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-grupo2\Base de Dados\"/>
    </mc:Choice>
  </mc:AlternateContent>
  <xr:revisionPtr revIDLastSave="0" documentId="13_ncr:1_{9A19AA4A-0EDA-4FA7-9CB7-CCDB74EC8ED7}" xr6:coauthVersionLast="46" xr6:coauthVersionMax="46" xr10:uidLastSave="{00000000-0000-0000-0000-000000000000}"/>
  <bookViews>
    <workbookView xWindow="1920" yWindow="1920" windowWidth="21600" windowHeight="11280" tabRatio="522" firstSheet="5" activeTab="9" xr2:uid="{270685B3-54EC-403D-A000-F7A56B1F5F8F}"/>
  </bookViews>
  <sheets>
    <sheet name="Especialidades" sheetId="1" r:id="rId1"/>
    <sheet name="Nomes" sheetId="2" r:id="rId2"/>
    <sheet name="rua_cod" sheetId="4" r:id="rId3"/>
    <sheet name="Users" sheetId="3" r:id="rId4"/>
    <sheet name="Médicos" sheetId="6" r:id="rId5"/>
    <sheet name="Receptionist" sheetId="9" r:id="rId6"/>
    <sheet name="doctor_has_Speciality" sheetId="8" r:id="rId7"/>
    <sheet name="patient_db" sheetId="5" r:id="rId8"/>
    <sheet name="Medicos_db" sheetId="7" r:id="rId9"/>
    <sheet name="Receptionist_db" sheetId="10" r:id="rId10"/>
  </sheets>
  <functionGroups builtInGroupCount="19"/>
  <definedNames>
    <definedName name="_xlnm._FilterDatabase" localSheetId="1" hidden="1">Nomes!$A$1:$E$1</definedName>
    <definedName name="_xlnm._FilterDatabase" localSheetId="2" hidden="1">rua_cod!$A$1:$B$104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10" l="1"/>
  <c r="R4" i="10"/>
  <c r="R5" i="10"/>
  <c r="R6" i="10"/>
  <c r="R7" i="10"/>
  <c r="W7" i="10" s="1"/>
  <c r="R8" i="10"/>
  <c r="R9" i="10"/>
  <c r="W9" i="10" s="1"/>
  <c r="R10" i="10"/>
  <c r="R11" i="10"/>
  <c r="W11" i="10" s="1"/>
  <c r="R2" i="10"/>
  <c r="X11" i="10"/>
  <c r="X4" i="10"/>
  <c r="X5" i="10"/>
  <c r="X6" i="10"/>
  <c r="X7" i="10"/>
  <c r="X8" i="10"/>
  <c r="X9" i="10"/>
  <c r="X10" i="10"/>
  <c r="X3" i="10"/>
  <c r="X2" i="10"/>
  <c r="Y11" i="10"/>
  <c r="Y10" i="10"/>
  <c r="W10" i="10"/>
  <c r="Y9" i="10"/>
  <c r="Y8" i="10"/>
  <c r="W8" i="10"/>
  <c r="Y7" i="10"/>
  <c r="Y6" i="10"/>
  <c r="W6" i="10"/>
  <c r="Y5" i="10"/>
  <c r="W5" i="10"/>
  <c r="Y4" i="10"/>
  <c r="W4" i="10"/>
  <c r="Y3" i="10"/>
  <c r="W3" i="10"/>
  <c r="Y2" i="10"/>
  <c r="W2" i="10"/>
  <c r="B3" i="9"/>
  <c r="B4" i="9"/>
  <c r="B5" i="9"/>
  <c r="B6" i="9"/>
  <c r="B7" i="9"/>
  <c r="B8" i="9"/>
  <c r="R8" i="9" s="1"/>
  <c r="B9" i="9"/>
  <c r="R9" i="9" s="1"/>
  <c r="B10" i="9"/>
  <c r="C10" i="9" s="1"/>
  <c r="B11" i="9"/>
  <c r="R11" i="9" s="1"/>
  <c r="B2" i="9"/>
  <c r="AC11" i="9"/>
  <c r="AB11" i="9"/>
  <c r="AA11" i="9"/>
  <c r="AD11" i="9" s="1"/>
  <c r="Z11" i="9"/>
  <c r="Y11" i="9"/>
  <c r="P11" i="9" s="1" a="1"/>
  <c r="P11" i="9" s="1"/>
  <c r="X11" i="9"/>
  <c r="I11" i="9" s="1" a="1"/>
  <c r="I11" i="9" s="1"/>
  <c r="O11" i="9"/>
  <c r="N11" i="9"/>
  <c r="M11" i="9"/>
  <c r="G11" i="9" a="1"/>
  <c r="G11" i="9" s="1"/>
  <c r="C11" i="9"/>
  <c r="AC10" i="9"/>
  <c r="AB10" i="9"/>
  <c r="AA10" i="9"/>
  <c r="AD10" i="9" s="1"/>
  <c r="Z10" i="9"/>
  <c r="Q10" i="9" s="1" a="1"/>
  <c r="Q10" i="9" s="1"/>
  <c r="Y10" i="9"/>
  <c r="P10" i="9" s="1" a="1"/>
  <c r="P10" i="9" s="1"/>
  <c r="X10" i="9"/>
  <c r="H10" i="9" s="1" a="1"/>
  <c r="H10" i="9" s="1"/>
  <c r="O10" i="9"/>
  <c r="N10" i="9"/>
  <c r="M10" i="9"/>
  <c r="G10" i="9" a="1"/>
  <c r="G10" i="9" s="1"/>
  <c r="AC9" i="9"/>
  <c r="AB9" i="9"/>
  <c r="AA9" i="9"/>
  <c r="AD9" i="9" s="1"/>
  <c r="Z9" i="9"/>
  <c r="Y9" i="9"/>
  <c r="P9" i="9" s="1" a="1"/>
  <c r="P9" i="9" s="1"/>
  <c r="X9" i="9"/>
  <c r="H9" i="9" s="1" a="1"/>
  <c r="H9" i="9" s="1"/>
  <c r="O9" i="9"/>
  <c r="N9" i="9"/>
  <c r="M9" i="9"/>
  <c r="G9" i="9" a="1"/>
  <c r="G9" i="9" s="1"/>
  <c r="C9" i="9"/>
  <c r="AC8" i="9"/>
  <c r="AB8" i="9"/>
  <c r="AA8" i="9"/>
  <c r="AD8" i="9" s="1"/>
  <c r="Z8" i="9"/>
  <c r="Q8" i="9" s="1" a="1"/>
  <c r="Q8" i="9" s="1"/>
  <c r="Y8" i="9"/>
  <c r="P8" i="9" s="1" a="1"/>
  <c r="P8" i="9" s="1"/>
  <c r="X8" i="9"/>
  <c r="I8" i="9" s="1" a="1"/>
  <c r="I8" i="9" s="1"/>
  <c r="O8" i="9"/>
  <c r="N8" i="9"/>
  <c r="M8" i="9"/>
  <c r="G8" i="9" a="1"/>
  <c r="G8" i="9" s="1"/>
  <c r="AC7" i="9"/>
  <c r="AB7" i="9"/>
  <c r="AA7" i="9"/>
  <c r="AD7" i="9" s="1"/>
  <c r="Z7" i="9"/>
  <c r="Y7" i="9"/>
  <c r="P7" i="9" s="1" a="1"/>
  <c r="P7" i="9" s="1"/>
  <c r="X7" i="9"/>
  <c r="I7" i="9" s="1" a="1"/>
  <c r="I7" i="9" s="1"/>
  <c r="O7" i="9"/>
  <c r="N7" i="9"/>
  <c r="M7" i="9"/>
  <c r="G7" i="9" a="1"/>
  <c r="G7" i="9" s="1"/>
  <c r="R7" i="9"/>
  <c r="AC6" i="9"/>
  <c r="AB6" i="9"/>
  <c r="AA6" i="9"/>
  <c r="AD6" i="9" s="1"/>
  <c r="Z6" i="9"/>
  <c r="Y6" i="9"/>
  <c r="P6" i="9" s="1" a="1"/>
  <c r="P6" i="9" s="1"/>
  <c r="X6" i="9"/>
  <c r="H6" i="9" s="1" a="1"/>
  <c r="H6" i="9" s="1"/>
  <c r="O6" i="9"/>
  <c r="N6" i="9"/>
  <c r="M6" i="9"/>
  <c r="G6" i="9" a="1"/>
  <c r="G6" i="9" s="1"/>
  <c r="R6" i="9"/>
  <c r="AC5" i="9"/>
  <c r="AB5" i="9"/>
  <c r="AA5" i="9"/>
  <c r="AD5" i="9" s="1"/>
  <c r="Z5" i="9"/>
  <c r="Y5" i="9"/>
  <c r="P5" i="9" s="1" a="1"/>
  <c r="P5" i="9" s="1"/>
  <c r="X5" i="9"/>
  <c r="I5" i="9" s="1" a="1"/>
  <c r="I5" i="9" s="1"/>
  <c r="O5" i="9"/>
  <c r="N5" i="9"/>
  <c r="M5" i="9"/>
  <c r="G5" i="9" a="1"/>
  <c r="G5" i="9" s="1"/>
  <c r="C5" i="9"/>
  <c r="R5" i="9"/>
  <c r="AC4" i="9"/>
  <c r="AB4" i="9"/>
  <c r="AA4" i="9"/>
  <c r="AD4" i="9" s="1"/>
  <c r="Z4" i="9"/>
  <c r="Q4" i="9" s="1" a="1"/>
  <c r="Q4" i="9" s="1"/>
  <c r="Y4" i="9"/>
  <c r="P4" i="9" s="1" a="1"/>
  <c r="P4" i="9" s="1"/>
  <c r="X4" i="9"/>
  <c r="I4" i="9" s="1" a="1"/>
  <c r="I4" i="9" s="1"/>
  <c r="O4" i="9"/>
  <c r="N4" i="9"/>
  <c r="M4" i="9"/>
  <c r="G4" i="9" a="1"/>
  <c r="G4" i="9" s="1"/>
  <c r="C4" i="9"/>
  <c r="R4" i="9"/>
  <c r="AC3" i="9"/>
  <c r="AB3" i="9"/>
  <c r="AA3" i="9"/>
  <c r="AD3" i="9" s="1"/>
  <c r="Z3" i="9"/>
  <c r="Y3" i="9"/>
  <c r="P3" i="9" s="1" a="1"/>
  <c r="P3" i="9" s="1"/>
  <c r="X3" i="9"/>
  <c r="H3" i="9" s="1" a="1"/>
  <c r="H3" i="9" s="1"/>
  <c r="R3" i="9"/>
  <c r="O3" i="9"/>
  <c r="N3" i="9"/>
  <c r="M3" i="9"/>
  <c r="G3" i="9" a="1"/>
  <c r="G3" i="9" s="1"/>
  <c r="C3" i="9"/>
  <c r="AC2" i="9"/>
  <c r="AB2" i="9"/>
  <c r="AA2" i="9"/>
  <c r="Z2" i="9"/>
  <c r="Y2" i="9"/>
  <c r="P2" i="9" s="1" a="1"/>
  <c r="P2" i="9" s="1"/>
  <c r="X2" i="9"/>
  <c r="H2" i="9" s="1" a="1"/>
  <c r="H2" i="9" s="1"/>
  <c r="R2" i="9"/>
  <c r="O2" i="9"/>
  <c r="N2" i="9"/>
  <c r="M2" i="9"/>
  <c r="G2" i="9" a="1"/>
  <c r="G2" i="9" s="1"/>
  <c r="C2" i="9"/>
  <c r="J3" i="2"/>
  <c r="O3" i="2" s="1" a="1"/>
  <c r="O3" i="2" s="1"/>
  <c r="J4" i="2"/>
  <c r="O4" i="2" s="1" a="1"/>
  <c r="O4" i="2" s="1"/>
  <c r="J5" i="2"/>
  <c r="O5" i="2" s="1" a="1"/>
  <c r="O5" i="2" s="1"/>
  <c r="J6" i="2"/>
  <c r="O6" i="2" s="1" a="1"/>
  <c r="O6" i="2" s="1"/>
  <c r="J7" i="2"/>
  <c r="O7" i="2" s="1" a="1"/>
  <c r="O7" i="2" s="1"/>
  <c r="J8" i="2"/>
  <c r="O8" i="2" s="1" a="1"/>
  <c r="O8" i="2" s="1"/>
  <c r="J9" i="2"/>
  <c r="O9" i="2" s="1" a="1"/>
  <c r="O9" i="2" s="1"/>
  <c r="J10" i="2"/>
  <c r="O10" i="2" s="1" a="1"/>
  <c r="O10" i="2" s="1"/>
  <c r="J11" i="2"/>
  <c r="O11" i="2" s="1" a="1"/>
  <c r="O11" i="2" s="1"/>
  <c r="J12" i="2"/>
  <c r="O12" i="2" s="1" a="1"/>
  <c r="O12" i="2" s="1"/>
  <c r="J13" i="2"/>
  <c r="O13" i="2" s="1" a="1"/>
  <c r="O13" i="2" s="1"/>
  <c r="J14" i="2"/>
  <c r="O14" i="2" s="1" a="1"/>
  <c r="O14" i="2" s="1"/>
  <c r="J15" i="2"/>
  <c r="O15" i="2" s="1" a="1"/>
  <c r="O15" i="2" s="1"/>
  <c r="J16" i="2"/>
  <c r="O16" i="2" s="1" a="1"/>
  <c r="O16" i="2" s="1"/>
  <c r="J17" i="2"/>
  <c r="O17" i="2" s="1" a="1"/>
  <c r="O17" i="2" s="1"/>
  <c r="J18" i="2"/>
  <c r="O18" i="2" s="1" a="1"/>
  <c r="O18" i="2" s="1"/>
  <c r="J19" i="2"/>
  <c r="O19" i="2" s="1" a="1"/>
  <c r="O19" i="2" s="1"/>
  <c r="J20" i="2"/>
  <c r="O20" i="2" s="1" a="1"/>
  <c r="O20" i="2" s="1"/>
  <c r="J21" i="2"/>
  <c r="O21" i="2" s="1" a="1"/>
  <c r="O21" i="2" s="1"/>
  <c r="J22" i="2"/>
  <c r="O22" i="2" s="1" a="1"/>
  <c r="O22" i="2" s="1"/>
  <c r="J23" i="2"/>
  <c r="O23" i="2" s="1" a="1"/>
  <c r="O23" i="2" s="1"/>
  <c r="J24" i="2"/>
  <c r="O24" i="2" s="1" a="1"/>
  <c r="O24" i="2" s="1"/>
  <c r="J25" i="2"/>
  <c r="O25" i="2" s="1" a="1"/>
  <c r="O25" i="2" s="1"/>
  <c r="J26" i="2"/>
  <c r="O26" i="2" s="1" a="1"/>
  <c r="O26" i="2" s="1"/>
  <c r="J27" i="2"/>
  <c r="O27" i="2" s="1" a="1"/>
  <c r="O27" i="2" s="1"/>
  <c r="J28" i="2"/>
  <c r="O28" i="2" s="1" a="1"/>
  <c r="O28" i="2" s="1"/>
  <c r="J29" i="2"/>
  <c r="O29" i="2" s="1" a="1"/>
  <c r="O29" i="2" s="1"/>
  <c r="J30" i="2"/>
  <c r="O30" i="2" s="1" a="1"/>
  <c r="O30" i="2" s="1"/>
  <c r="J31" i="2"/>
  <c r="O31" i="2" s="1" a="1"/>
  <c r="O31" i="2" s="1"/>
  <c r="J32" i="2"/>
  <c r="O32" i="2" s="1" a="1"/>
  <c r="O32" i="2" s="1"/>
  <c r="J33" i="2"/>
  <c r="O33" i="2" s="1" a="1"/>
  <c r="O33" i="2" s="1"/>
  <c r="J34" i="2"/>
  <c r="O34" i="2" s="1" a="1"/>
  <c r="O34" i="2" s="1"/>
  <c r="J35" i="2"/>
  <c r="O35" i="2" s="1" a="1"/>
  <c r="O35" i="2" s="1"/>
  <c r="J36" i="2"/>
  <c r="O36" i="2" s="1" a="1"/>
  <c r="O36" i="2" s="1"/>
  <c r="J37" i="2"/>
  <c r="O37" i="2" s="1" a="1"/>
  <c r="O37" i="2" s="1"/>
  <c r="J38" i="2"/>
  <c r="O38" i="2" s="1" a="1"/>
  <c r="O38" i="2" s="1"/>
  <c r="J39" i="2"/>
  <c r="O39" i="2" s="1" a="1"/>
  <c r="O39" i="2" s="1"/>
  <c r="J40" i="2"/>
  <c r="O40" i="2" s="1" a="1"/>
  <c r="O40" i="2" s="1"/>
  <c r="J41" i="2"/>
  <c r="O41" i="2" s="1" a="1"/>
  <c r="O41" i="2" s="1"/>
  <c r="J42" i="2"/>
  <c r="O42" i="2" s="1" a="1"/>
  <c r="O42" i="2" s="1"/>
  <c r="J43" i="2"/>
  <c r="O43" i="2" s="1" a="1"/>
  <c r="O43" i="2" s="1"/>
  <c r="J44" i="2"/>
  <c r="O44" i="2" s="1" a="1"/>
  <c r="O44" i="2" s="1"/>
  <c r="J45" i="2"/>
  <c r="O45" i="2" s="1" a="1"/>
  <c r="O45" i="2" s="1"/>
  <c r="J46" i="2"/>
  <c r="O46" i="2" s="1" a="1"/>
  <c r="O46" i="2" s="1"/>
  <c r="J47" i="2"/>
  <c r="O47" i="2" s="1" a="1"/>
  <c r="O47" i="2" s="1"/>
  <c r="J48" i="2"/>
  <c r="O48" i="2" s="1" a="1"/>
  <c r="O48" i="2" s="1"/>
  <c r="J49" i="2"/>
  <c r="O49" i="2" s="1" a="1"/>
  <c r="O49" i="2" s="1"/>
  <c r="J50" i="2"/>
  <c r="O50" i="2" s="1" a="1"/>
  <c r="O50" i="2" s="1"/>
  <c r="J51" i="2"/>
  <c r="O51" i="2" s="1" a="1"/>
  <c r="O51" i="2" s="1"/>
  <c r="J52" i="2"/>
  <c r="O52" i="2" s="1" a="1"/>
  <c r="O52" i="2" s="1"/>
  <c r="J53" i="2"/>
  <c r="O53" i="2" s="1" a="1"/>
  <c r="O53" i="2" s="1"/>
  <c r="J54" i="2"/>
  <c r="O54" i="2" s="1" a="1"/>
  <c r="O54" i="2" s="1"/>
  <c r="J55" i="2"/>
  <c r="O55" i="2" s="1" a="1"/>
  <c r="O55" i="2" s="1"/>
  <c r="J56" i="2"/>
  <c r="O56" i="2" s="1" a="1"/>
  <c r="O56" i="2" s="1"/>
  <c r="J57" i="2"/>
  <c r="O57" i="2" s="1" a="1"/>
  <c r="O57" i="2" s="1"/>
  <c r="J58" i="2"/>
  <c r="O58" i="2" s="1" a="1"/>
  <c r="O58" i="2" s="1"/>
  <c r="J59" i="2"/>
  <c r="O59" i="2" s="1" a="1"/>
  <c r="O59" i="2" s="1"/>
  <c r="J60" i="2"/>
  <c r="O60" i="2" s="1" a="1"/>
  <c r="O60" i="2" s="1"/>
  <c r="J61" i="2"/>
  <c r="O61" i="2" s="1" a="1"/>
  <c r="O61" i="2" s="1"/>
  <c r="J62" i="2"/>
  <c r="O62" i="2" s="1" a="1"/>
  <c r="O62" i="2" s="1"/>
  <c r="J63" i="2"/>
  <c r="O63" i="2" s="1" a="1"/>
  <c r="O63" i="2" s="1"/>
  <c r="J64" i="2"/>
  <c r="O64" i="2" s="1" a="1"/>
  <c r="O64" i="2" s="1"/>
  <c r="J65" i="2"/>
  <c r="O65" i="2" s="1" a="1"/>
  <c r="O65" i="2" s="1"/>
  <c r="J66" i="2"/>
  <c r="O66" i="2" s="1" a="1"/>
  <c r="O66" i="2" s="1"/>
  <c r="J67" i="2"/>
  <c r="O67" i="2" s="1" a="1"/>
  <c r="O67" i="2" s="1"/>
  <c r="J68" i="2"/>
  <c r="O68" i="2" s="1" a="1"/>
  <c r="O68" i="2" s="1"/>
  <c r="J69" i="2"/>
  <c r="O69" i="2" s="1" a="1"/>
  <c r="O69" i="2" s="1"/>
  <c r="J70" i="2"/>
  <c r="O70" i="2" s="1" a="1"/>
  <c r="O70" i="2" s="1"/>
  <c r="J71" i="2"/>
  <c r="O71" i="2" s="1" a="1"/>
  <c r="O71" i="2" s="1"/>
  <c r="J72" i="2"/>
  <c r="O72" i="2" s="1" a="1"/>
  <c r="O72" i="2" s="1"/>
  <c r="J73" i="2"/>
  <c r="O73" i="2" s="1" a="1"/>
  <c r="O73" i="2" s="1"/>
  <c r="J74" i="2"/>
  <c r="O74" i="2" s="1" a="1"/>
  <c r="O74" i="2" s="1"/>
  <c r="J75" i="2"/>
  <c r="O75" i="2" s="1" a="1"/>
  <c r="O75" i="2" s="1"/>
  <c r="J76" i="2"/>
  <c r="O76" i="2" s="1" a="1"/>
  <c r="O76" i="2" s="1"/>
  <c r="J77" i="2"/>
  <c r="O77" i="2" s="1" a="1"/>
  <c r="O77" i="2" s="1"/>
  <c r="J78" i="2"/>
  <c r="O78" i="2" s="1" a="1"/>
  <c r="O78" i="2" s="1"/>
  <c r="J79" i="2"/>
  <c r="O79" i="2" s="1" a="1"/>
  <c r="O79" i="2" s="1"/>
  <c r="J80" i="2"/>
  <c r="O80" i="2" s="1" a="1"/>
  <c r="O80" i="2" s="1"/>
  <c r="J81" i="2"/>
  <c r="O81" i="2" s="1" a="1"/>
  <c r="O81" i="2" s="1"/>
  <c r="J82" i="2"/>
  <c r="O82" i="2" s="1" a="1"/>
  <c r="O82" i="2" s="1"/>
  <c r="J83" i="2"/>
  <c r="O83" i="2" s="1" a="1"/>
  <c r="O83" i="2" s="1"/>
  <c r="J84" i="2"/>
  <c r="O84" i="2" s="1" a="1"/>
  <c r="O84" i="2" s="1"/>
  <c r="J85" i="2"/>
  <c r="O85" i="2" s="1" a="1"/>
  <c r="O85" i="2" s="1"/>
  <c r="J86" i="2"/>
  <c r="O86" i="2" s="1" a="1"/>
  <c r="O86" i="2" s="1"/>
  <c r="J87" i="2"/>
  <c r="O87" i="2" s="1" a="1"/>
  <c r="O87" i="2" s="1"/>
  <c r="J88" i="2"/>
  <c r="O88" i="2" s="1" a="1"/>
  <c r="O88" i="2" s="1"/>
  <c r="J89" i="2"/>
  <c r="O89" i="2" s="1" a="1"/>
  <c r="O89" i="2" s="1"/>
  <c r="J90" i="2"/>
  <c r="O90" i="2" s="1" a="1"/>
  <c r="O90" i="2" s="1"/>
  <c r="J91" i="2"/>
  <c r="O91" i="2" s="1" a="1"/>
  <c r="O91" i="2" s="1"/>
  <c r="J92" i="2"/>
  <c r="O92" i="2" s="1" a="1"/>
  <c r="O92" i="2" s="1"/>
  <c r="J93" i="2"/>
  <c r="O93" i="2" s="1" a="1"/>
  <c r="O93" i="2" s="1"/>
  <c r="J94" i="2"/>
  <c r="O94" i="2" s="1" a="1"/>
  <c r="O94" i="2" s="1"/>
  <c r="J95" i="2"/>
  <c r="O95" i="2" s="1" a="1"/>
  <c r="O95" i="2" s="1"/>
  <c r="J96" i="2"/>
  <c r="O96" i="2" s="1" a="1"/>
  <c r="O96" i="2" s="1"/>
  <c r="J97" i="2"/>
  <c r="O97" i="2" s="1" a="1"/>
  <c r="O97" i="2" s="1"/>
  <c r="J98" i="2"/>
  <c r="O98" i="2" s="1" a="1"/>
  <c r="O98" i="2" s="1"/>
  <c r="J99" i="2"/>
  <c r="O99" i="2" s="1" a="1"/>
  <c r="O99" i="2" s="1"/>
  <c r="J100" i="2"/>
  <c r="O100" i="2" s="1" a="1"/>
  <c r="O100" i="2" s="1"/>
  <c r="J101" i="2"/>
  <c r="O101" i="2" s="1" a="1"/>
  <c r="O101" i="2" s="1"/>
  <c r="J102" i="2"/>
  <c r="O102" i="2" s="1" a="1"/>
  <c r="O102" i="2" s="1"/>
  <c r="J103" i="2"/>
  <c r="O103" i="2" s="1" a="1"/>
  <c r="O103" i="2" s="1"/>
  <c r="J104" i="2"/>
  <c r="O104" i="2" s="1" a="1"/>
  <c r="O104" i="2" s="1"/>
  <c r="J105" i="2"/>
  <c r="O105" i="2" s="1" a="1"/>
  <c r="O105" i="2" s="1"/>
  <c r="J106" i="2"/>
  <c r="O106" i="2" s="1" a="1"/>
  <c r="O106" i="2" s="1"/>
  <c r="J107" i="2"/>
  <c r="O107" i="2" s="1" a="1"/>
  <c r="O107" i="2" s="1"/>
  <c r="J108" i="2"/>
  <c r="O108" i="2" s="1" a="1"/>
  <c r="O108" i="2" s="1"/>
  <c r="J109" i="2"/>
  <c r="O109" i="2" s="1" a="1"/>
  <c r="O109" i="2" s="1"/>
  <c r="J110" i="2"/>
  <c r="O110" i="2" s="1" a="1"/>
  <c r="O110" i="2" s="1"/>
  <c r="J111" i="2"/>
  <c r="O111" i="2" s="1" a="1"/>
  <c r="O111" i="2" s="1"/>
  <c r="J112" i="2"/>
  <c r="O112" i="2" s="1" a="1"/>
  <c r="O112" i="2" s="1"/>
  <c r="J113" i="2"/>
  <c r="O113" i="2" s="1" a="1"/>
  <c r="O113" i="2" s="1"/>
  <c r="J114" i="2"/>
  <c r="O114" i="2" s="1" a="1"/>
  <c r="O114" i="2" s="1"/>
  <c r="J115" i="2"/>
  <c r="O115" i="2" s="1" a="1"/>
  <c r="O115" i="2" s="1"/>
  <c r="J116" i="2"/>
  <c r="O116" i="2" s="1" a="1"/>
  <c r="O116" i="2" s="1"/>
  <c r="J117" i="2"/>
  <c r="O117" i="2" s="1" a="1"/>
  <c r="O117" i="2" s="1"/>
  <c r="J118" i="2"/>
  <c r="O118" i="2" s="1" a="1"/>
  <c r="O118" i="2" s="1"/>
  <c r="J119" i="2"/>
  <c r="O119" i="2" s="1" a="1"/>
  <c r="O119" i="2" s="1"/>
  <c r="J120" i="2"/>
  <c r="O120" i="2" s="1" a="1"/>
  <c r="O120" i="2" s="1"/>
  <c r="J121" i="2"/>
  <c r="O121" i="2" s="1" a="1"/>
  <c r="O121" i="2" s="1"/>
  <c r="J122" i="2"/>
  <c r="O122" i="2" s="1" a="1"/>
  <c r="O122" i="2" s="1"/>
  <c r="J123" i="2"/>
  <c r="O123" i="2" s="1" a="1"/>
  <c r="O123" i="2" s="1"/>
  <c r="J124" i="2"/>
  <c r="O124" i="2" s="1" a="1"/>
  <c r="O124" i="2" s="1"/>
  <c r="J125" i="2"/>
  <c r="O125" i="2" s="1" a="1"/>
  <c r="O125" i="2" s="1"/>
  <c r="J126" i="2"/>
  <c r="O126" i="2" s="1" a="1"/>
  <c r="O126" i="2" s="1"/>
  <c r="J127" i="2"/>
  <c r="O127" i="2" s="1" a="1"/>
  <c r="O127" i="2" s="1"/>
  <c r="J128" i="2"/>
  <c r="O128" i="2" s="1" a="1"/>
  <c r="O128" i="2" s="1"/>
  <c r="J129" i="2"/>
  <c r="O129" i="2" s="1" a="1"/>
  <c r="O129" i="2" s="1"/>
  <c r="J130" i="2"/>
  <c r="O130" i="2" s="1" a="1"/>
  <c r="O130" i="2" s="1"/>
  <c r="J131" i="2"/>
  <c r="O131" i="2" s="1" a="1"/>
  <c r="O131" i="2" s="1"/>
  <c r="J132" i="2"/>
  <c r="O132" i="2" s="1" a="1"/>
  <c r="O132" i="2" s="1"/>
  <c r="J133" i="2"/>
  <c r="O133" i="2" s="1" a="1"/>
  <c r="O133" i="2" s="1"/>
  <c r="J134" i="2"/>
  <c r="O134" i="2" s="1" a="1"/>
  <c r="O134" i="2" s="1"/>
  <c r="J135" i="2"/>
  <c r="O135" i="2" s="1" a="1"/>
  <c r="O135" i="2" s="1"/>
  <c r="J136" i="2"/>
  <c r="O136" i="2" s="1" a="1"/>
  <c r="O136" i="2" s="1"/>
  <c r="J137" i="2"/>
  <c r="O137" i="2" s="1" a="1"/>
  <c r="O137" i="2" s="1"/>
  <c r="J138" i="2"/>
  <c r="O138" i="2" s="1" a="1"/>
  <c r="O138" i="2" s="1"/>
  <c r="J139" i="2"/>
  <c r="O139" i="2" s="1" a="1"/>
  <c r="O139" i="2" s="1"/>
  <c r="J140" i="2"/>
  <c r="O140" i="2" s="1" a="1"/>
  <c r="O140" i="2" s="1"/>
  <c r="J141" i="2"/>
  <c r="O141" i="2" s="1" a="1"/>
  <c r="O141" i="2" s="1"/>
  <c r="J142" i="2"/>
  <c r="O142" i="2" s="1" a="1"/>
  <c r="O142" i="2" s="1"/>
  <c r="J143" i="2"/>
  <c r="O143" i="2" s="1" a="1"/>
  <c r="O143" i="2" s="1"/>
  <c r="J144" i="2"/>
  <c r="O144" i="2" s="1" a="1"/>
  <c r="O144" i="2" s="1"/>
  <c r="J145" i="2"/>
  <c r="O145" i="2" s="1" a="1"/>
  <c r="O145" i="2" s="1"/>
  <c r="J146" i="2"/>
  <c r="O146" i="2" s="1" a="1"/>
  <c r="O146" i="2" s="1"/>
  <c r="J147" i="2"/>
  <c r="O147" i="2" s="1" a="1"/>
  <c r="O147" i="2" s="1"/>
  <c r="J148" i="2"/>
  <c r="O148" i="2" s="1" a="1"/>
  <c r="O148" i="2" s="1"/>
  <c r="J149" i="2"/>
  <c r="O149" i="2" s="1" a="1"/>
  <c r="O149" i="2" s="1"/>
  <c r="J150" i="2"/>
  <c r="O150" i="2" s="1" a="1"/>
  <c r="O150" i="2" s="1"/>
  <c r="J151" i="2"/>
  <c r="O151" i="2" s="1" a="1"/>
  <c r="O151" i="2" s="1"/>
  <c r="J152" i="2"/>
  <c r="O152" i="2" s="1" a="1"/>
  <c r="O152" i="2" s="1"/>
  <c r="J153" i="2"/>
  <c r="O153" i="2" s="1" a="1"/>
  <c r="O153" i="2" s="1"/>
  <c r="J154" i="2"/>
  <c r="O154" i="2" s="1" a="1"/>
  <c r="O154" i="2" s="1"/>
  <c r="J155" i="2"/>
  <c r="O155" i="2" s="1" a="1"/>
  <c r="O155" i="2" s="1"/>
  <c r="J156" i="2"/>
  <c r="O156" i="2" s="1" a="1"/>
  <c r="O156" i="2" s="1"/>
  <c r="J157" i="2"/>
  <c r="O157" i="2" s="1" a="1"/>
  <c r="O157" i="2" s="1"/>
  <c r="J158" i="2"/>
  <c r="O158" i="2" s="1" a="1"/>
  <c r="O158" i="2" s="1"/>
  <c r="J159" i="2"/>
  <c r="O159" i="2" s="1" a="1"/>
  <c r="O159" i="2" s="1"/>
  <c r="J160" i="2"/>
  <c r="O160" i="2" s="1" a="1"/>
  <c r="O160" i="2" s="1"/>
  <c r="J161" i="2"/>
  <c r="O161" i="2" s="1" a="1"/>
  <c r="O161" i="2" s="1"/>
  <c r="J162" i="2"/>
  <c r="O162" i="2" s="1" a="1"/>
  <c r="O162" i="2" s="1"/>
  <c r="J163" i="2"/>
  <c r="O163" i="2" s="1" a="1"/>
  <c r="O163" i="2" s="1"/>
  <c r="J164" i="2"/>
  <c r="O164" i="2" s="1" a="1"/>
  <c r="O164" i="2" s="1"/>
  <c r="J165" i="2"/>
  <c r="O165" i="2" s="1" a="1"/>
  <c r="O165" i="2" s="1"/>
  <c r="J166" i="2"/>
  <c r="O166" i="2" s="1" a="1"/>
  <c r="O166" i="2" s="1"/>
  <c r="J167" i="2"/>
  <c r="O167" i="2" s="1" a="1"/>
  <c r="O167" i="2" s="1"/>
  <c r="J168" i="2"/>
  <c r="O168" i="2" s="1" a="1"/>
  <c r="O168" i="2" s="1"/>
  <c r="J169" i="2"/>
  <c r="O169" i="2" s="1" a="1"/>
  <c r="O169" i="2" s="1"/>
  <c r="J170" i="2"/>
  <c r="O170" i="2" s="1" a="1"/>
  <c r="O170" i="2" s="1"/>
  <c r="J171" i="2"/>
  <c r="O171" i="2" s="1" a="1"/>
  <c r="O171" i="2" s="1"/>
  <c r="J172" i="2"/>
  <c r="O172" i="2" s="1" a="1"/>
  <c r="O172" i="2" s="1"/>
  <c r="J173" i="2"/>
  <c r="O173" i="2" s="1" a="1"/>
  <c r="O173" i="2" s="1"/>
  <c r="J174" i="2"/>
  <c r="O174" i="2" s="1" a="1"/>
  <c r="O174" i="2" s="1"/>
  <c r="J175" i="2"/>
  <c r="O175" i="2" s="1" a="1"/>
  <c r="O175" i="2" s="1"/>
  <c r="J176" i="2"/>
  <c r="O176" i="2" s="1" a="1"/>
  <c r="O176" i="2" s="1"/>
  <c r="J177" i="2"/>
  <c r="O177" i="2" s="1" a="1"/>
  <c r="O177" i="2" s="1"/>
  <c r="J178" i="2"/>
  <c r="O178" i="2" s="1" a="1"/>
  <c r="O178" i="2" s="1"/>
  <c r="J179" i="2"/>
  <c r="O179" i="2" s="1" a="1"/>
  <c r="O179" i="2" s="1"/>
  <c r="J180" i="2"/>
  <c r="O180" i="2" s="1" a="1"/>
  <c r="O180" i="2" s="1"/>
  <c r="J181" i="2"/>
  <c r="O181" i="2" s="1" a="1"/>
  <c r="O181" i="2" s="1"/>
  <c r="J182" i="2"/>
  <c r="O182" i="2" s="1" a="1"/>
  <c r="O182" i="2" s="1"/>
  <c r="J183" i="2"/>
  <c r="O183" i="2" s="1" a="1"/>
  <c r="O183" i="2" s="1"/>
  <c r="J184" i="2"/>
  <c r="O184" i="2" s="1" a="1"/>
  <c r="O184" i="2" s="1"/>
  <c r="J185" i="2"/>
  <c r="O185" i="2" s="1" a="1"/>
  <c r="O185" i="2" s="1"/>
  <c r="J186" i="2"/>
  <c r="O186" i="2" s="1" a="1"/>
  <c r="O186" i="2" s="1"/>
  <c r="J187" i="2"/>
  <c r="O187" i="2" s="1" a="1"/>
  <c r="O187" i="2" s="1"/>
  <c r="J188" i="2"/>
  <c r="O188" i="2" s="1" a="1"/>
  <c r="O188" i="2" s="1"/>
  <c r="J189" i="2"/>
  <c r="O189" i="2" s="1" a="1"/>
  <c r="O189" i="2" s="1"/>
  <c r="J190" i="2"/>
  <c r="O190" i="2" s="1" a="1"/>
  <c r="O190" i="2" s="1"/>
  <c r="J191" i="2"/>
  <c r="O191" i="2" s="1" a="1"/>
  <c r="O191" i="2" s="1"/>
  <c r="J192" i="2"/>
  <c r="O192" i="2" s="1" a="1"/>
  <c r="O192" i="2" s="1"/>
  <c r="J193" i="2"/>
  <c r="O193" i="2" s="1" a="1"/>
  <c r="O193" i="2" s="1"/>
  <c r="J194" i="2"/>
  <c r="O194" i="2" s="1" a="1"/>
  <c r="O194" i="2" s="1"/>
  <c r="J195" i="2"/>
  <c r="O195" i="2" s="1" a="1"/>
  <c r="O195" i="2" s="1"/>
  <c r="J196" i="2"/>
  <c r="O196" i="2" s="1" a="1"/>
  <c r="O196" i="2" s="1"/>
  <c r="J197" i="2"/>
  <c r="O197" i="2" s="1" a="1"/>
  <c r="O197" i="2" s="1"/>
  <c r="J198" i="2"/>
  <c r="O198" i="2" s="1" a="1"/>
  <c r="O198" i="2" s="1"/>
  <c r="J199" i="2"/>
  <c r="O199" i="2" s="1" a="1"/>
  <c r="O199" i="2" s="1"/>
  <c r="J200" i="2"/>
  <c r="O200" i="2" s="1" a="1"/>
  <c r="O200" i="2" s="1"/>
  <c r="J2" i="2"/>
  <c r="O2" i="2" s="1" a="1"/>
  <c r="O2" i="2" s="1"/>
  <c r="I3" i="2"/>
  <c r="M3" i="2" s="1" a="1"/>
  <c r="M3" i="2" s="1"/>
  <c r="S3" i="2" s="1"/>
  <c r="I4" i="2"/>
  <c r="M4" i="2" s="1" a="1"/>
  <c r="M4" i="2" s="1"/>
  <c r="S4" i="2" s="1"/>
  <c r="E3" i="3" s="1"/>
  <c r="I5" i="2"/>
  <c r="M5" i="2" s="1" a="1"/>
  <c r="M5" i="2" s="1"/>
  <c r="I6" i="2"/>
  <c r="M6" i="2" s="1" a="1"/>
  <c r="M6" i="2" s="1"/>
  <c r="I7" i="2"/>
  <c r="M7" i="2" s="1" a="1"/>
  <c r="M7" i="2" s="1"/>
  <c r="S7" i="2" s="1"/>
  <c r="E6" i="3" s="1"/>
  <c r="I8" i="2"/>
  <c r="M8" i="2" s="1" a="1"/>
  <c r="M8" i="2" s="1"/>
  <c r="S8" i="2" s="1"/>
  <c r="E7" i="6" s="1"/>
  <c r="I9" i="2"/>
  <c r="M9" i="2" s="1" a="1"/>
  <c r="M9" i="2" s="1"/>
  <c r="S9" i="2" s="1"/>
  <c r="E8" i="3" s="1"/>
  <c r="I10" i="2"/>
  <c r="M10" i="2" s="1" a="1"/>
  <c r="M10" i="2" s="1"/>
  <c r="S10" i="2" s="1"/>
  <c r="E9" i="6" s="1"/>
  <c r="I11" i="2"/>
  <c r="N11" i="2" s="1" a="1"/>
  <c r="N11" i="2" s="1"/>
  <c r="T11" i="2" s="1"/>
  <c r="D10" i="3" s="1"/>
  <c r="I12" i="2"/>
  <c r="M12" i="2" s="1" a="1"/>
  <c r="M12" i="2" s="1"/>
  <c r="S12" i="2" s="1"/>
  <c r="E11" i="6" s="1"/>
  <c r="I13" i="2"/>
  <c r="M13" i="2" s="1" a="1"/>
  <c r="M13" i="2" s="1"/>
  <c r="I14" i="2"/>
  <c r="M14" i="2" s="1" a="1"/>
  <c r="M14" i="2" s="1"/>
  <c r="I15" i="2"/>
  <c r="M15" i="2" s="1" a="1"/>
  <c r="M15" i="2" s="1"/>
  <c r="S15" i="2" s="1"/>
  <c r="E14" i="6" s="1"/>
  <c r="I16" i="2"/>
  <c r="M16" i="2" s="1" a="1"/>
  <c r="M16" i="2" s="1"/>
  <c r="S16" i="2" s="1"/>
  <c r="I17" i="2"/>
  <c r="I18" i="2"/>
  <c r="M18" i="2" s="1" a="1"/>
  <c r="M18" i="2" s="1"/>
  <c r="S18" i="2" s="1"/>
  <c r="I19" i="2"/>
  <c r="M19" i="2" s="1" a="1"/>
  <c r="M19" i="2" s="1"/>
  <c r="I20" i="2"/>
  <c r="M20" i="2" s="1" a="1"/>
  <c r="M20" i="2" s="1"/>
  <c r="I21" i="2"/>
  <c r="M21" i="2" s="1" a="1"/>
  <c r="M21" i="2" s="1"/>
  <c r="S21" i="2" s="1"/>
  <c r="E20" i="3" s="1"/>
  <c r="I22" i="2"/>
  <c r="M22" i="2" s="1" a="1"/>
  <c r="M22" i="2" s="1"/>
  <c r="I23" i="2"/>
  <c r="N23" i="2" s="1" a="1"/>
  <c r="N23" i="2" s="1"/>
  <c r="I24" i="2"/>
  <c r="M24" i="2" s="1" a="1"/>
  <c r="M24" i="2" s="1"/>
  <c r="I25" i="2"/>
  <c r="M25" i="2" s="1" a="1"/>
  <c r="M25" i="2" s="1"/>
  <c r="S25" i="2" s="1"/>
  <c r="E24" i="3" s="1"/>
  <c r="I26" i="2"/>
  <c r="M26" i="2" s="1" a="1"/>
  <c r="M26" i="2" s="1"/>
  <c r="I27" i="2"/>
  <c r="M27" i="2" s="1" a="1"/>
  <c r="M27" i="2" s="1"/>
  <c r="I28" i="2"/>
  <c r="M28" i="2" s="1" a="1"/>
  <c r="M28" i="2" s="1"/>
  <c r="S28" i="2" s="1"/>
  <c r="E27" i="3" s="1"/>
  <c r="I29" i="2"/>
  <c r="M29" i="2" s="1" a="1"/>
  <c r="M29" i="2" s="1"/>
  <c r="I30" i="2"/>
  <c r="M30" i="2" s="1" a="1"/>
  <c r="M30" i="2" s="1"/>
  <c r="I31" i="2"/>
  <c r="M31" i="2" s="1" a="1"/>
  <c r="M31" i="2" s="1"/>
  <c r="S31" i="2" s="1"/>
  <c r="E30" i="6" s="1"/>
  <c r="I32" i="2"/>
  <c r="M32" i="2" s="1" a="1"/>
  <c r="M32" i="2" s="1"/>
  <c r="I33" i="2"/>
  <c r="M33" i="2" s="1" a="1"/>
  <c r="M33" i="2" s="1"/>
  <c r="S33" i="2" s="1"/>
  <c r="E32" i="3" s="1"/>
  <c r="I34" i="2"/>
  <c r="M34" i="2" s="1" a="1"/>
  <c r="M34" i="2" s="1"/>
  <c r="S34" i="2" s="1"/>
  <c r="E33" i="6" s="1"/>
  <c r="I35" i="2"/>
  <c r="N35" i="2" s="1" a="1"/>
  <c r="N35" i="2" s="1"/>
  <c r="I36" i="2"/>
  <c r="M36" i="2" s="1" a="1"/>
  <c r="M36" i="2" s="1"/>
  <c r="S36" i="2" s="1"/>
  <c r="E35" i="6" s="1"/>
  <c r="I37" i="2"/>
  <c r="M37" i="2" s="1" a="1"/>
  <c r="M37" i="2" s="1"/>
  <c r="S37" i="2" s="1"/>
  <c r="E36" i="6" s="1"/>
  <c r="I38" i="2"/>
  <c r="M38" i="2" s="1" a="1"/>
  <c r="M38" i="2" s="1"/>
  <c r="I39" i="2"/>
  <c r="M39" i="2" s="1" a="1"/>
  <c r="M39" i="2" s="1"/>
  <c r="S39" i="2" s="1"/>
  <c r="E38" i="6" s="1"/>
  <c r="I40" i="2"/>
  <c r="M40" i="2" s="1" a="1"/>
  <c r="M40" i="2" s="1"/>
  <c r="S40" i="2" s="1"/>
  <c r="I41" i="2"/>
  <c r="I42" i="2"/>
  <c r="M42" i="2" s="1" a="1"/>
  <c r="M42" i="2" s="1"/>
  <c r="S42" i="2" s="1"/>
  <c r="I43" i="2"/>
  <c r="M43" i="2" s="1" a="1"/>
  <c r="M43" i="2" s="1"/>
  <c r="I44" i="2"/>
  <c r="M44" i="2" s="1" a="1"/>
  <c r="M44" i="2" s="1"/>
  <c r="I45" i="2"/>
  <c r="M45" i="2" s="1" a="1"/>
  <c r="M45" i="2" s="1"/>
  <c r="S45" i="2" s="1"/>
  <c r="E44" i="3" s="1"/>
  <c r="I46" i="2"/>
  <c r="M46" i="2" s="1" a="1"/>
  <c r="M46" i="2" s="1"/>
  <c r="I47" i="2"/>
  <c r="N47" i="2" s="1" a="1"/>
  <c r="N47" i="2" s="1"/>
  <c r="I48" i="2"/>
  <c r="M48" i="2" s="1" a="1"/>
  <c r="M48" i="2" s="1"/>
  <c r="I49" i="2"/>
  <c r="M49" i="2" s="1" a="1"/>
  <c r="M49" i="2" s="1"/>
  <c r="S49" i="2" s="1"/>
  <c r="E48" i="3" s="1"/>
  <c r="I50" i="2"/>
  <c r="M50" i="2" s="1" a="1"/>
  <c r="M50" i="2" s="1"/>
  <c r="S50" i="2" s="1"/>
  <c r="E49" i="6" s="1"/>
  <c r="I51" i="2"/>
  <c r="M51" i="2" s="1" a="1"/>
  <c r="M51" i="2" s="1"/>
  <c r="S51" i="2" s="1"/>
  <c r="E50" i="3" s="1"/>
  <c r="I52" i="2"/>
  <c r="M52" i="2" s="1" a="1"/>
  <c r="M52" i="2" s="1"/>
  <c r="S52" i="2" s="1"/>
  <c r="E51" i="3" s="1"/>
  <c r="I53" i="2"/>
  <c r="M53" i="2" s="1" a="1"/>
  <c r="M53" i="2" s="1"/>
  <c r="I54" i="2"/>
  <c r="M54" i="2" s="1" a="1"/>
  <c r="M54" i="2" s="1"/>
  <c r="I55" i="2"/>
  <c r="M55" i="2" s="1" a="1"/>
  <c r="M55" i="2" s="1"/>
  <c r="S55" i="2" s="1"/>
  <c r="E54" i="6" s="1"/>
  <c r="I56" i="2"/>
  <c r="M56" i="2" s="1" a="1"/>
  <c r="M56" i="2" s="1"/>
  <c r="S56" i="2" s="1"/>
  <c r="E55" i="3" s="1"/>
  <c r="I57" i="2"/>
  <c r="M57" i="2" s="1" a="1"/>
  <c r="M57" i="2" s="1"/>
  <c r="S57" i="2" s="1"/>
  <c r="E56" i="3" s="1"/>
  <c r="I58" i="2"/>
  <c r="M58" i="2" s="1" a="1"/>
  <c r="M58" i="2" s="1"/>
  <c r="S58" i="2" s="1"/>
  <c r="I59" i="2"/>
  <c r="N59" i="2" s="1" a="1"/>
  <c r="N59" i="2" s="1"/>
  <c r="I60" i="2"/>
  <c r="M60" i="2" s="1" a="1"/>
  <c r="M60" i="2" s="1"/>
  <c r="S60" i="2" s="1"/>
  <c r="E59" i="6" s="1"/>
  <c r="I61" i="2"/>
  <c r="M61" i="2" s="1" a="1"/>
  <c r="M61" i="2" s="1"/>
  <c r="I62" i="2"/>
  <c r="M62" i="2" s="1" a="1"/>
  <c r="M62" i="2" s="1"/>
  <c r="I63" i="2"/>
  <c r="M63" i="2" s="1" a="1"/>
  <c r="M63" i="2" s="1"/>
  <c r="S63" i="2" s="1"/>
  <c r="E62" i="6" s="1"/>
  <c r="I64" i="2"/>
  <c r="M64" i="2" s="1" a="1"/>
  <c r="M64" i="2" s="1"/>
  <c r="S64" i="2" s="1"/>
  <c r="I65" i="2"/>
  <c r="I66" i="2"/>
  <c r="M66" i="2" s="1" a="1"/>
  <c r="M66" i="2" s="1"/>
  <c r="S66" i="2" s="1"/>
  <c r="I67" i="2"/>
  <c r="M67" i="2" s="1" a="1"/>
  <c r="M67" i="2" s="1"/>
  <c r="I68" i="2"/>
  <c r="M68" i="2" s="1" a="1"/>
  <c r="M68" i="2" s="1"/>
  <c r="I69" i="2"/>
  <c r="M69" i="2" s="1" a="1"/>
  <c r="M69" i="2" s="1"/>
  <c r="S69" i="2" s="1"/>
  <c r="E68" i="3" s="1"/>
  <c r="I70" i="2"/>
  <c r="M70" i="2" s="1" a="1"/>
  <c r="M70" i="2" s="1"/>
  <c r="I71" i="2"/>
  <c r="N71" i="2" s="1" a="1"/>
  <c r="N71" i="2" s="1"/>
  <c r="I72" i="2"/>
  <c r="M72" i="2" s="1" a="1"/>
  <c r="M72" i="2" s="1"/>
  <c r="I73" i="2"/>
  <c r="M73" i="2" s="1" a="1"/>
  <c r="M73" i="2" s="1"/>
  <c r="S73" i="2" s="1"/>
  <c r="E72" i="3" s="1"/>
  <c r="I74" i="2"/>
  <c r="M74" i="2" s="1" a="1"/>
  <c r="M74" i="2" s="1"/>
  <c r="S74" i="2" s="1"/>
  <c r="E73" i="6" s="1"/>
  <c r="I75" i="2"/>
  <c r="M75" i="2" s="1" a="1"/>
  <c r="M75" i="2" s="1"/>
  <c r="I76" i="2"/>
  <c r="M76" i="2" s="1" a="1"/>
  <c r="M76" i="2" s="1"/>
  <c r="S76" i="2" s="1"/>
  <c r="E75" i="3" s="1"/>
  <c r="I77" i="2"/>
  <c r="M77" i="2" s="1" a="1"/>
  <c r="M77" i="2" s="1"/>
  <c r="I78" i="2"/>
  <c r="M78" i="2" s="1" a="1"/>
  <c r="M78" i="2" s="1"/>
  <c r="I79" i="2"/>
  <c r="M79" i="2" s="1" a="1"/>
  <c r="M79" i="2" s="1"/>
  <c r="S79" i="2" s="1"/>
  <c r="E78" i="6" s="1"/>
  <c r="I80" i="2"/>
  <c r="M80" i="2" s="1" a="1"/>
  <c r="M80" i="2" s="1"/>
  <c r="S80" i="2" s="1"/>
  <c r="E79" i="3" s="1"/>
  <c r="I81" i="2"/>
  <c r="M81" i="2" s="1" a="1"/>
  <c r="M81" i="2" s="1"/>
  <c r="S81" i="2" s="1"/>
  <c r="E80" i="3" s="1"/>
  <c r="I82" i="2"/>
  <c r="M82" i="2" s="1" a="1"/>
  <c r="M82" i="2" s="1"/>
  <c r="S82" i="2" s="1"/>
  <c r="E81" i="6" s="1"/>
  <c r="I83" i="2"/>
  <c r="N83" i="2" s="1" a="1"/>
  <c r="N83" i="2" s="1"/>
  <c r="I84" i="2"/>
  <c r="M84" i="2" s="1" a="1"/>
  <c r="M84" i="2" s="1"/>
  <c r="S84" i="2" s="1"/>
  <c r="E83" i="6" s="1"/>
  <c r="I85" i="2"/>
  <c r="M85" i="2" s="1" a="1"/>
  <c r="M85" i="2" s="1"/>
  <c r="S85" i="2" s="1"/>
  <c r="E84" i="6" s="1"/>
  <c r="I86" i="2"/>
  <c r="M86" i="2" s="1" a="1"/>
  <c r="M86" i="2" s="1"/>
  <c r="I87" i="2"/>
  <c r="M87" i="2" s="1" a="1"/>
  <c r="M87" i="2" s="1"/>
  <c r="S87" i="2" s="1"/>
  <c r="E86" i="6" s="1"/>
  <c r="I88" i="2"/>
  <c r="M88" i="2" s="1" a="1"/>
  <c r="M88" i="2" s="1"/>
  <c r="S88" i="2" s="1"/>
  <c r="I89" i="2"/>
  <c r="I90" i="2"/>
  <c r="M90" i="2" s="1" a="1"/>
  <c r="M90" i="2" s="1"/>
  <c r="S90" i="2" s="1"/>
  <c r="I91" i="2"/>
  <c r="M91" i="2" s="1" a="1"/>
  <c r="M91" i="2" s="1"/>
  <c r="I92" i="2"/>
  <c r="M92" i="2" s="1" a="1"/>
  <c r="M92" i="2" s="1"/>
  <c r="I93" i="2"/>
  <c r="M93" i="2" s="1" a="1"/>
  <c r="M93" i="2" s="1"/>
  <c r="S93" i="2" s="1"/>
  <c r="E92" i="3" s="1"/>
  <c r="I94" i="2"/>
  <c r="M94" i="2" s="1" a="1"/>
  <c r="M94" i="2" s="1"/>
  <c r="I95" i="2"/>
  <c r="N95" i="2" s="1" a="1"/>
  <c r="N95" i="2" s="1"/>
  <c r="I96" i="2"/>
  <c r="M96" i="2" s="1" a="1"/>
  <c r="M96" i="2" s="1"/>
  <c r="I97" i="2"/>
  <c r="M97" i="2" s="1" a="1"/>
  <c r="M97" i="2" s="1"/>
  <c r="S97" i="2" s="1"/>
  <c r="I98" i="2"/>
  <c r="M98" i="2" s="1" a="1"/>
  <c r="M98" i="2" s="1"/>
  <c r="S98" i="2" s="1"/>
  <c r="I99" i="2"/>
  <c r="M99" i="2" s="1" a="1"/>
  <c r="M99" i="2" s="1"/>
  <c r="S99" i="2" s="1"/>
  <c r="I100" i="2"/>
  <c r="M100" i="2" s="1" a="1"/>
  <c r="M100" i="2" s="1"/>
  <c r="S100" i="2" s="1"/>
  <c r="I101" i="2"/>
  <c r="M101" i="2" s="1" a="1"/>
  <c r="M101" i="2" s="1"/>
  <c r="I102" i="2"/>
  <c r="M102" i="2" s="1" a="1"/>
  <c r="M102" i="2" s="1"/>
  <c r="I103" i="2"/>
  <c r="M103" i="2" s="1" a="1"/>
  <c r="M103" i="2" s="1"/>
  <c r="S103" i="2" s="1"/>
  <c r="I104" i="2"/>
  <c r="M104" i="2" s="1" a="1"/>
  <c r="M104" i="2" s="1"/>
  <c r="S104" i="2" s="1"/>
  <c r="I105" i="2"/>
  <c r="M105" i="2" s="1" a="1"/>
  <c r="M105" i="2" s="1"/>
  <c r="S105" i="2" s="1"/>
  <c r="I106" i="2"/>
  <c r="M106" i="2" s="1" a="1"/>
  <c r="M106" i="2" s="1"/>
  <c r="S106" i="2" s="1"/>
  <c r="I107" i="2"/>
  <c r="N107" i="2" s="1" a="1"/>
  <c r="N107" i="2" s="1"/>
  <c r="I108" i="2"/>
  <c r="M108" i="2" s="1" a="1"/>
  <c r="M108" i="2" s="1"/>
  <c r="S108" i="2" s="1"/>
  <c r="I109" i="2"/>
  <c r="M109" i="2" s="1" a="1"/>
  <c r="M109" i="2" s="1"/>
  <c r="I110" i="2"/>
  <c r="M110" i="2" s="1" a="1"/>
  <c r="M110" i="2" s="1"/>
  <c r="I111" i="2"/>
  <c r="M111" i="2" s="1" a="1"/>
  <c r="M111" i="2" s="1"/>
  <c r="S111" i="2" s="1"/>
  <c r="I112" i="2"/>
  <c r="M112" i="2" s="1" a="1"/>
  <c r="M112" i="2" s="1"/>
  <c r="S112" i="2" s="1"/>
  <c r="I113" i="2"/>
  <c r="I114" i="2"/>
  <c r="M114" i="2" s="1" a="1"/>
  <c r="M114" i="2" s="1"/>
  <c r="S114" i="2" s="1"/>
  <c r="I115" i="2"/>
  <c r="M115" i="2" s="1" a="1"/>
  <c r="M115" i="2" s="1"/>
  <c r="I116" i="2"/>
  <c r="M116" i="2" s="1" a="1"/>
  <c r="M116" i="2" s="1"/>
  <c r="I117" i="2"/>
  <c r="M117" i="2" s="1" a="1"/>
  <c r="M117" i="2" s="1"/>
  <c r="S117" i="2" s="1"/>
  <c r="I118" i="2"/>
  <c r="M118" i="2" s="1" a="1"/>
  <c r="M118" i="2" s="1"/>
  <c r="I119" i="2"/>
  <c r="N119" i="2" s="1" a="1"/>
  <c r="N119" i="2" s="1"/>
  <c r="I120" i="2"/>
  <c r="M120" i="2" s="1" a="1"/>
  <c r="M120" i="2" s="1"/>
  <c r="I121" i="2"/>
  <c r="M121" i="2" s="1" a="1"/>
  <c r="M121" i="2" s="1"/>
  <c r="S121" i="2" s="1"/>
  <c r="I122" i="2"/>
  <c r="M122" i="2" s="1" a="1"/>
  <c r="M122" i="2" s="1"/>
  <c r="S122" i="2" s="1"/>
  <c r="I123" i="2"/>
  <c r="M123" i="2" s="1" a="1"/>
  <c r="M123" i="2" s="1"/>
  <c r="S123" i="2" s="1"/>
  <c r="I124" i="2"/>
  <c r="M124" i="2" s="1" a="1"/>
  <c r="M124" i="2" s="1"/>
  <c r="S124" i="2" s="1"/>
  <c r="I125" i="2"/>
  <c r="M125" i="2" s="1" a="1"/>
  <c r="M125" i="2" s="1"/>
  <c r="I126" i="2"/>
  <c r="M126" i="2" s="1" a="1"/>
  <c r="M126" i="2" s="1"/>
  <c r="I127" i="2"/>
  <c r="M127" i="2" s="1" a="1"/>
  <c r="M127" i="2" s="1"/>
  <c r="S127" i="2" s="1"/>
  <c r="I128" i="2"/>
  <c r="M128" i="2" s="1" a="1"/>
  <c r="M128" i="2" s="1"/>
  <c r="S128" i="2" s="1"/>
  <c r="I129" i="2"/>
  <c r="M129" i="2" s="1" a="1"/>
  <c r="M129" i="2" s="1"/>
  <c r="S129" i="2" s="1"/>
  <c r="I130" i="2"/>
  <c r="M130" i="2" s="1" a="1"/>
  <c r="M130" i="2" s="1"/>
  <c r="S130" i="2" s="1"/>
  <c r="I131" i="2"/>
  <c r="N131" i="2" s="1" a="1"/>
  <c r="N131" i="2" s="1"/>
  <c r="I132" i="2"/>
  <c r="M132" i="2" s="1" a="1"/>
  <c r="M132" i="2" s="1"/>
  <c r="S132" i="2" s="1"/>
  <c r="I133" i="2"/>
  <c r="M133" i="2" s="1" a="1"/>
  <c r="M133" i="2" s="1"/>
  <c r="I134" i="2"/>
  <c r="M134" i="2" s="1" a="1"/>
  <c r="M134" i="2" s="1"/>
  <c r="I135" i="2"/>
  <c r="M135" i="2" s="1" a="1"/>
  <c r="M135" i="2" s="1"/>
  <c r="S135" i="2" s="1"/>
  <c r="I136" i="2"/>
  <c r="M136" i="2" s="1" a="1"/>
  <c r="M136" i="2" s="1"/>
  <c r="S136" i="2" s="1"/>
  <c r="I137" i="2"/>
  <c r="I138" i="2"/>
  <c r="M138" i="2" s="1" a="1"/>
  <c r="M138" i="2" s="1"/>
  <c r="S138" i="2" s="1"/>
  <c r="I139" i="2"/>
  <c r="M139" i="2" s="1" a="1"/>
  <c r="M139" i="2" s="1"/>
  <c r="I140" i="2"/>
  <c r="M140" i="2" s="1" a="1"/>
  <c r="M140" i="2" s="1"/>
  <c r="S140" i="2" s="1"/>
  <c r="I141" i="2"/>
  <c r="M141" i="2" s="1" a="1"/>
  <c r="M141" i="2" s="1"/>
  <c r="S141" i="2" s="1"/>
  <c r="I142" i="2"/>
  <c r="M142" i="2" s="1" a="1"/>
  <c r="M142" i="2" s="1"/>
  <c r="I143" i="2"/>
  <c r="N143" i="2" s="1" a="1"/>
  <c r="N143" i="2" s="1"/>
  <c r="I144" i="2"/>
  <c r="M144" i="2" s="1" a="1"/>
  <c r="M144" i="2" s="1"/>
  <c r="I145" i="2"/>
  <c r="M145" i="2" s="1" a="1"/>
  <c r="M145" i="2" s="1"/>
  <c r="S145" i="2" s="1"/>
  <c r="I146" i="2"/>
  <c r="M146" i="2" s="1" a="1"/>
  <c r="M146" i="2" s="1"/>
  <c r="S146" i="2" s="1"/>
  <c r="I147" i="2"/>
  <c r="M147" i="2" s="1" a="1"/>
  <c r="M147" i="2" s="1"/>
  <c r="S147" i="2" s="1"/>
  <c r="I148" i="2"/>
  <c r="M148" i="2" s="1" a="1"/>
  <c r="M148" i="2" s="1"/>
  <c r="S148" i="2" s="1"/>
  <c r="I149" i="2"/>
  <c r="M149" i="2" s="1" a="1"/>
  <c r="M149" i="2" s="1"/>
  <c r="I150" i="2"/>
  <c r="M150" i="2" s="1" a="1"/>
  <c r="M150" i="2" s="1"/>
  <c r="I151" i="2"/>
  <c r="M151" i="2" s="1" a="1"/>
  <c r="M151" i="2" s="1"/>
  <c r="S151" i="2" s="1"/>
  <c r="I152" i="2"/>
  <c r="N152" i="2" s="1" a="1"/>
  <c r="N152" i="2" s="1"/>
  <c r="I153" i="2"/>
  <c r="M153" i="2" s="1" a="1"/>
  <c r="M153" i="2" s="1"/>
  <c r="I154" i="2"/>
  <c r="M154" i="2" s="1" a="1"/>
  <c r="M154" i="2" s="1"/>
  <c r="S154" i="2" s="1"/>
  <c r="I155" i="2"/>
  <c r="N155" i="2" s="1" a="1"/>
  <c r="N155" i="2" s="1"/>
  <c r="I156" i="2"/>
  <c r="M156" i="2" s="1" a="1"/>
  <c r="M156" i="2" s="1"/>
  <c r="S156" i="2" s="1"/>
  <c r="I157" i="2"/>
  <c r="M157" i="2" s="1" a="1"/>
  <c r="M157" i="2" s="1"/>
  <c r="S157" i="2" s="1"/>
  <c r="I158" i="2"/>
  <c r="M158" i="2" s="1" a="1"/>
  <c r="M158" i="2" s="1"/>
  <c r="I159" i="2"/>
  <c r="M159" i="2" s="1" a="1"/>
  <c r="M159" i="2" s="1"/>
  <c r="S159" i="2" s="1"/>
  <c r="I160" i="2"/>
  <c r="M160" i="2" s="1" a="1"/>
  <c r="M160" i="2" s="1"/>
  <c r="S160" i="2" s="1"/>
  <c r="I161" i="2"/>
  <c r="I162" i="2"/>
  <c r="N162" i="2" s="1" a="1"/>
  <c r="N162" i="2" s="1"/>
  <c r="I163" i="2"/>
  <c r="M163" i="2" s="1" a="1"/>
  <c r="M163" i="2" s="1"/>
  <c r="I164" i="2"/>
  <c r="M164" i="2" s="1" a="1"/>
  <c r="M164" i="2" s="1"/>
  <c r="I165" i="2"/>
  <c r="M165" i="2" s="1" a="1"/>
  <c r="M165" i="2" s="1"/>
  <c r="S165" i="2" s="1"/>
  <c r="I166" i="2"/>
  <c r="N166" i="2" s="1" a="1"/>
  <c r="N166" i="2" s="1"/>
  <c r="I167" i="2"/>
  <c r="N167" i="2" s="1" a="1"/>
  <c r="N167" i="2" s="1"/>
  <c r="I168" i="2"/>
  <c r="M168" i="2" s="1" a="1"/>
  <c r="M168" i="2" s="1"/>
  <c r="I169" i="2"/>
  <c r="M169" i="2" s="1" a="1"/>
  <c r="M169" i="2" s="1"/>
  <c r="S169" i="2" s="1"/>
  <c r="I170" i="2"/>
  <c r="M170" i="2" s="1" a="1"/>
  <c r="M170" i="2" s="1"/>
  <c r="S170" i="2" s="1"/>
  <c r="I171" i="2"/>
  <c r="M171" i="2" s="1" a="1"/>
  <c r="M171" i="2" s="1"/>
  <c r="I172" i="2"/>
  <c r="M172" i="2" s="1" a="1"/>
  <c r="M172" i="2" s="1"/>
  <c r="S172" i="2" s="1"/>
  <c r="I173" i="2"/>
  <c r="M173" i="2" s="1" a="1"/>
  <c r="M173" i="2" s="1"/>
  <c r="I174" i="2"/>
  <c r="M174" i="2" s="1" a="1"/>
  <c r="M174" i="2" s="1"/>
  <c r="I175" i="2"/>
  <c r="M175" i="2" s="1" a="1"/>
  <c r="M175" i="2" s="1"/>
  <c r="S175" i="2" s="1"/>
  <c r="I176" i="2"/>
  <c r="M176" i="2" s="1" a="1"/>
  <c r="M176" i="2" s="1"/>
  <c r="S176" i="2" s="1"/>
  <c r="I177" i="2"/>
  <c r="M177" i="2" s="1" a="1"/>
  <c r="M177" i="2" s="1"/>
  <c r="S177" i="2" s="1"/>
  <c r="I178" i="2"/>
  <c r="M178" i="2" s="1" a="1"/>
  <c r="M178" i="2" s="1"/>
  <c r="S178" i="2" s="1"/>
  <c r="I179" i="2"/>
  <c r="N179" i="2" s="1" a="1"/>
  <c r="N179" i="2" s="1"/>
  <c r="I180" i="2"/>
  <c r="M180" i="2" s="1" a="1"/>
  <c r="M180" i="2" s="1"/>
  <c r="S180" i="2" s="1"/>
  <c r="I181" i="2"/>
  <c r="M181" i="2" s="1" a="1"/>
  <c r="M181" i="2" s="1"/>
  <c r="S181" i="2" s="1"/>
  <c r="I182" i="2"/>
  <c r="M182" i="2" s="1" a="1"/>
  <c r="M182" i="2" s="1"/>
  <c r="I183" i="2"/>
  <c r="M183" i="2" s="1" a="1"/>
  <c r="M183" i="2" s="1"/>
  <c r="S183" i="2" s="1"/>
  <c r="I184" i="2"/>
  <c r="M184" i="2" s="1" a="1"/>
  <c r="M184" i="2" s="1"/>
  <c r="S184" i="2" s="1"/>
  <c r="I185" i="2"/>
  <c r="I186" i="2"/>
  <c r="N186" i="2" s="1" a="1"/>
  <c r="N186" i="2" s="1"/>
  <c r="I187" i="2"/>
  <c r="N187" i="2" s="1" a="1"/>
  <c r="N187" i="2" s="1"/>
  <c r="I188" i="2"/>
  <c r="M188" i="2" s="1" a="1"/>
  <c r="M188" i="2" s="1"/>
  <c r="S188" i="2" s="1"/>
  <c r="I189" i="2"/>
  <c r="N189" i="2" s="1" a="1"/>
  <c r="N189" i="2" s="1"/>
  <c r="I190" i="2"/>
  <c r="N190" i="2" s="1" a="1"/>
  <c r="N190" i="2" s="1"/>
  <c r="I191" i="2"/>
  <c r="N191" i="2" s="1" a="1"/>
  <c r="N191" i="2" s="1"/>
  <c r="I192" i="2"/>
  <c r="M192" i="2" s="1" a="1"/>
  <c r="M192" i="2" s="1"/>
  <c r="I193" i="2"/>
  <c r="M193" i="2" s="1" a="1"/>
  <c r="M193" i="2" s="1"/>
  <c r="S193" i="2" s="1"/>
  <c r="I194" i="2"/>
  <c r="M194" i="2" s="1" a="1"/>
  <c r="M194" i="2" s="1"/>
  <c r="I195" i="2"/>
  <c r="M195" i="2" s="1" a="1"/>
  <c r="M195" i="2" s="1"/>
  <c r="S195" i="2" s="1"/>
  <c r="I196" i="2"/>
  <c r="M196" i="2" s="1" a="1"/>
  <c r="M196" i="2" s="1"/>
  <c r="S196" i="2" s="1"/>
  <c r="I197" i="2"/>
  <c r="M197" i="2" s="1" a="1"/>
  <c r="M197" i="2" s="1"/>
  <c r="I198" i="2"/>
  <c r="M198" i="2" s="1" a="1"/>
  <c r="M198" i="2" s="1"/>
  <c r="I199" i="2"/>
  <c r="M199" i="2" s="1" a="1"/>
  <c r="M199" i="2" s="1"/>
  <c r="S199" i="2" s="1"/>
  <c r="I200" i="2"/>
  <c r="M200" i="2" s="1" a="1"/>
  <c r="M200" i="2" s="1"/>
  <c r="S200" i="2" s="1"/>
  <c r="I2" i="2"/>
  <c r="M2" i="2" s="1" a="1"/>
  <c r="M2" i="2" s="1"/>
  <c r="Y188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3" i="7"/>
  <c r="Y2" i="7"/>
  <c r="W188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3" i="7"/>
  <c r="W2" i="7"/>
  <c r="X188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3" i="7"/>
  <c r="X2" i="7"/>
  <c r="V199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3" i="5"/>
  <c r="V2" i="5"/>
  <c r="U44" i="5"/>
  <c r="D191" i="8"/>
  <c r="U199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3" i="5"/>
  <c r="U2" i="5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6" i="8"/>
  <c r="D5" i="8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2" i="7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" i="6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A3" i="6"/>
  <c r="AD3" i="6" s="1"/>
  <c r="AA4" i="6"/>
  <c r="AD4" i="6" s="1"/>
  <c r="AA5" i="6"/>
  <c r="AD5" i="6" s="1"/>
  <c r="AA6" i="6"/>
  <c r="AD6" i="6" s="1"/>
  <c r="AA7" i="6"/>
  <c r="AD7" i="6" s="1"/>
  <c r="AA8" i="6"/>
  <c r="AD8" i="6" s="1"/>
  <c r="AA9" i="6"/>
  <c r="AD9" i="6" s="1"/>
  <c r="AA10" i="6"/>
  <c r="AD10" i="6" s="1"/>
  <c r="AA11" i="6"/>
  <c r="AD11" i="6" s="1"/>
  <c r="AA12" i="6"/>
  <c r="AD12" i="6" s="1"/>
  <c r="AA13" i="6"/>
  <c r="AD13" i="6" s="1"/>
  <c r="AA14" i="6"/>
  <c r="AD14" i="6" s="1"/>
  <c r="AA15" i="6"/>
  <c r="AD15" i="6" s="1"/>
  <c r="AA16" i="6"/>
  <c r="AD16" i="6" s="1"/>
  <c r="AA17" i="6"/>
  <c r="AD17" i="6" s="1"/>
  <c r="AA18" i="6"/>
  <c r="AD18" i="6" s="1"/>
  <c r="AA19" i="6"/>
  <c r="AD19" i="6" s="1"/>
  <c r="AA20" i="6"/>
  <c r="AD20" i="6" s="1"/>
  <c r="AA21" i="6"/>
  <c r="AD21" i="6" s="1"/>
  <c r="AA22" i="6"/>
  <c r="AD22" i="6" s="1"/>
  <c r="AA23" i="6"/>
  <c r="AD23" i="6" s="1"/>
  <c r="AA24" i="6"/>
  <c r="AD24" i="6" s="1"/>
  <c r="AA25" i="6"/>
  <c r="AD25" i="6" s="1"/>
  <c r="AA26" i="6"/>
  <c r="AD26" i="6" s="1"/>
  <c r="AA27" i="6"/>
  <c r="AD27" i="6" s="1"/>
  <c r="AA28" i="6"/>
  <c r="AD28" i="6" s="1"/>
  <c r="AA29" i="6"/>
  <c r="AD29" i="6" s="1"/>
  <c r="AA30" i="6"/>
  <c r="AD30" i="6" s="1"/>
  <c r="AA31" i="6"/>
  <c r="AD31" i="6" s="1"/>
  <c r="AA32" i="6"/>
  <c r="AD32" i="6" s="1"/>
  <c r="AA33" i="6"/>
  <c r="AD33" i="6" s="1"/>
  <c r="AA34" i="6"/>
  <c r="AD34" i="6" s="1"/>
  <c r="AA35" i="6"/>
  <c r="AD35" i="6" s="1"/>
  <c r="AA36" i="6"/>
  <c r="AD36" i="6" s="1"/>
  <c r="AA37" i="6"/>
  <c r="AD37" i="6" s="1"/>
  <c r="AA38" i="6"/>
  <c r="AD38" i="6" s="1"/>
  <c r="AA39" i="6"/>
  <c r="AD39" i="6" s="1"/>
  <c r="AA40" i="6"/>
  <c r="AD40" i="6" s="1"/>
  <c r="AA41" i="6"/>
  <c r="AD41" i="6" s="1"/>
  <c r="AA42" i="6"/>
  <c r="AD42" i="6" s="1"/>
  <c r="AA43" i="6"/>
  <c r="AD43" i="6" s="1"/>
  <c r="AA44" i="6"/>
  <c r="AD44" i="6" s="1"/>
  <c r="AA45" i="6"/>
  <c r="AD45" i="6" s="1"/>
  <c r="AA46" i="6"/>
  <c r="AD46" i="6" s="1"/>
  <c r="AA47" i="6"/>
  <c r="AD47" i="6" s="1"/>
  <c r="AA48" i="6"/>
  <c r="AD48" i="6" s="1"/>
  <c r="AA49" i="6"/>
  <c r="AD49" i="6" s="1"/>
  <c r="AA50" i="6"/>
  <c r="AD50" i="6" s="1"/>
  <c r="AA51" i="6"/>
  <c r="AD51" i="6" s="1"/>
  <c r="AA52" i="6"/>
  <c r="AD52" i="6" s="1"/>
  <c r="AA53" i="6"/>
  <c r="AD53" i="6" s="1"/>
  <c r="AA54" i="6"/>
  <c r="AD54" i="6" s="1"/>
  <c r="AA55" i="6"/>
  <c r="AD55" i="6" s="1"/>
  <c r="AA56" i="6"/>
  <c r="AD56" i="6" s="1"/>
  <c r="AA57" i="6"/>
  <c r="AD57" i="6" s="1"/>
  <c r="AA58" i="6"/>
  <c r="AD58" i="6" s="1"/>
  <c r="AA59" i="6"/>
  <c r="AD59" i="6" s="1"/>
  <c r="AA60" i="6"/>
  <c r="AD60" i="6" s="1"/>
  <c r="AA61" i="6"/>
  <c r="AD61" i="6" s="1"/>
  <c r="AA62" i="6"/>
  <c r="AD62" i="6" s="1"/>
  <c r="AA63" i="6"/>
  <c r="AD63" i="6" s="1"/>
  <c r="AA64" i="6"/>
  <c r="AD64" i="6" s="1"/>
  <c r="AA65" i="6"/>
  <c r="AD65" i="6" s="1"/>
  <c r="AA66" i="6"/>
  <c r="AD66" i="6" s="1"/>
  <c r="AA67" i="6"/>
  <c r="AD67" i="6" s="1"/>
  <c r="AA68" i="6"/>
  <c r="AD68" i="6" s="1"/>
  <c r="AA69" i="6"/>
  <c r="AD69" i="6" s="1"/>
  <c r="AA70" i="6"/>
  <c r="AD70" i="6" s="1"/>
  <c r="AA71" i="6"/>
  <c r="AD71" i="6" s="1"/>
  <c r="AA72" i="6"/>
  <c r="AD72" i="6" s="1"/>
  <c r="AA73" i="6"/>
  <c r="AD73" i="6" s="1"/>
  <c r="AA74" i="6"/>
  <c r="AD74" i="6" s="1"/>
  <c r="AA75" i="6"/>
  <c r="AD75" i="6" s="1"/>
  <c r="AA76" i="6"/>
  <c r="AD76" i="6" s="1"/>
  <c r="AA77" i="6"/>
  <c r="AD77" i="6" s="1"/>
  <c r="AA78" i="6"/>
  <c r="AD78" i="6" s="1"/>
  <c r="AA79" i="6"/>
  <c r="AD79" i="6" s="1"/>
  <c r="AA80" i="6"/>
  <c r="AD80" i="6" s="1"/>
  <c r="AA81" i="6"/>
  <c r="AD81" i="6" s="1"/>
  <c r="AA82" i="6"/>
  <c r="AD82" i="6" s="1"/>
  <c r="AA83" i="6"/>
  <c r="AD83" i="6" s="1"/>
  <c r="AA84" i="6"/>
  <c r="AD84" i="6" s="1"/>
  <c r="AA85" i="6"/>
  <c r="AD85" i="6" s="1"/>
  <c r="AA86" i="6"/>
  <c r="AD86" i="6" s="1"/>
  <c r="AA87" i="6"/>
  <c r="AD87" i="6" s="1"/>
  <c r="AA88" i="6"/>
  <c r="AD88" i="6" s="1"/>
  <c r="AA89" i="6"/>
  <c r="AD89" i="6" s="1"/>
  <c r="AA90" i="6"/>
  <c r="AD90" i="6" s="1"/>
  <c r="AA91" i="6"/>
  <c r="AD91" i="6" s="1"/>
  <c r="AA92" i="6"/>
  <c r="AD92" i="6" s="1"/>
  <c r="AA93" i="6"/>
  <c r="AD93" i="6" s="1"/>
  <c r="AA94" i="6"/>
  <c r="AD94" i="6" s="1"/>
  <c r="AA95" i="6"/>
  <c r="AD95" i="6" s="1"/>
  <c r="AA96" i="6"/>
  <c r="AD96" i="6" s="1"/>
  <c r="AA97" i="6"/>
  <c r="AD97" i="6" s="1"/>
  <c r="AA98" i="6"/>
  <c r="AD98" i="6" s="1"/>
  <c r="AA99" i="6"/>
  <c r="AD99" i="6" s="1"/>
  <c r="AA100" i="6"/>
  <c r="AD100" i="6" s="1"/>
  <c r="AA101" i="6"/>
  <c r="AD101" i="6" s="1"/>
  <c r="AA102" i="6"/>
  <c r="AD102" i="6" s="1"/>
  <c r="AA103" i="6"/>
  <c r="AD103" i="6" s="1"/>
  <c r="AA104" i="6"/>
  <c r="AD104" i="6" s="1"/>
  <c r="AA105" i="6"/>
  <c r="AD105" i="6" s="1"/>
  <c r="AA106" i="6"/>
  <c r="AD106" i="6" s="1"/>
  <c r="AA107" i="6"/>
  <c r="AD107" i="6" s="1"/>
  <c r="AA108" i="6"/>
  <c r="AD108" i="6" s="1"/>
  <c r="AA109" i="6"/>
  <c r="AD109" i="6" s="1"/>
  <c r="AA110" i="6"/>
  <c r="AD110" i="6" s="1"/>
  <c r="AA111" i="6"/>
  <c r="AD111" i="6" s="1"/>
  <c r="AA112" i="6"/>
  <c r="AD112" i="6" s="1"/>
  <c r="AA113" i="6"/>
  <c r="AD113" i="6" s="1"/>
  <c r="AA114" i="6"/>
  <c r="AD114" i="6" s="1"/>
  <c r="AA115" i="6"/>
  <c r="AD115" i="6" s="1"/>
  <c r="AA116" i="6"/>
  <c r="AD116" i="6" s="1"/>
  <c r="AA117" i="6"/>
  <c r="AD117" i="6" s="1"/>
  <c r="AA118" i="6"/>
  <c r="AD118" i="6" s="1"/>
  <c r="AA119" i="6"/>
  <c r="AD119" i="6" s="1"/>
  <c r="AA120" i="6"/>
  <c r="AD120" i="6" s="1"/>
  <c r="AA121" i="6"/>
  <c r="AD121" i="6" s="1"/>
  <c r="AA122" i="6"/>
  <c r="AD122" i="6" s="1"/>
  <c r="AA123" i="6"/>
  <c r="AD123" i="6" s="1"/>
  <c r="AA124" i="6"/>
  <c r="AD124" i="6" s="1"/>
  <c r="AA125" i="6"/>
  <c r="AD125" i="6" s="1"/>
  <c r="AA126" i="6"/>
  <c r="AD126" i="6" s="1"/>
  <c r="AA127" i="6"/>
  <c r="AD127" i="6" s="1"/>
  <c r="AA128" i="6"/>
  <c r="AD128" i="6" s="1"/>
  <c r="AA129" i="6"/>
  <c r="AD129" i="6" s="1"/>
  <c r="AA130" i="6"/>
  <c r="AD130" i="6" s="1"/>
  <c r="AA131" i="6"/>
  <c r="AD131" i="6" s="1"/>
  <c r="AA132" i="6"/>
  <c r="AD132" i="6" s="1"/>
  <c r="AA133" i="6"/>
  <c r="AD133" i="6" s="1"/>
  <c r="AA134" i="6"/>
  <c r="AD134" i="6" s="1"/>
  <c r="AA135" i="6"/>
  <c r="AD135" i="6" s="1"/>
  <c r="AA136" i="6"/>
  <c r="AD136" i="6" s="1"/>
  <c r="AA137" i="6"/>
  <c r="AD137" i="6" s="1"/>
  <c r="AA138" i="6"/>
  <c r="AD138" i="6" s="1"/>
  <c r="AA139" i="6"/>
  <c r="AD139" i="6" s="1"/>
  <c r="AA140" i="6"/>
  <c r="AD140" i="6" s="1"/>
  <c r="AA141" i="6"/>
  <c r="AD141" i="6" s="1"/>
  <c r="AA142" i="6"/>
  <c r="AD142" i="6" s="1"/>
  <c r="AA143" i="6"/>
  <c r="AD143" i="6" s="1"/>
  <c r="AA144" i="6"/>
  <c r="AD144" i="6" s="1"/>
  <c r="AA145" i="6"/>
  <c r="AD145" i="6" s="1"/>
  <c r="AA146" i="6"/>
  <c r="AD146" i="6" s="1"/>
  <c r="AA147" i="6"/>
  <c r="AD147" i="6" s="1"/>
  <c r="AA148" i="6"/>
  <c r="AD148" i="6" s="1"/>
  <c r="AA149" i="6"/>
  <c r="AD149" i="6" s="1"/>
  <c r="AA150" i="6"/>
  <c r="AD150" i="6" s="1"/>
  <c r="AA151" i="6"/>
  <c r="AD151" i="6" s="1"/>
  <c r="AA152" i="6"/>
  <c r="AD152" i="6" s="1"/>
  <c r="AA153" i="6"/>
  <c r="AD153" i="6" s="1"/>
  <c r="AA154" i="6"/>
  <c r="AD154" i="6" s="1"/>
  <c r="AA155" i="6"/>
  <c r="AD155" i="6" s="1"/>
  <c r="AA156" i="6"/>
  <c r="AD156" i="6" s="1"/>
  <c r="AA157" i="6"/>
  <c r="AD157" i="6" s="1"/>
  <c r="AA158" i="6"/>
  <c r="AD158" i="6" s="1"/>
  <c r="AA159" i="6"/>
  <c r="AD159" i="6" s="1"/>
  <c r="AA160" i="6"/>
  <c r="AD160" i="6" s="1"/>
  <c r="AA161" i="6"/>
  <c r="AD161" i="6" s="1"/>
  <c r="AA162" i="6"/>
  <c r="AD162" i="6" s="1"/>
  <c r="AA163" i="6"/>
  <c r="AD163" i="6" s="1"/>
  <c r="AA164" i="6"/>
  <c r="AD164" i="6" s="1"/>
  <c r="AA165" i="6"/>
  <c r="AD165" i="6" s="1"/>
  <c r="AA166" i="6"/>
  <c r="AD166" i="6" s="1"/>
  <c r="AA167" i="6"/>
  <c r="AD167" i="6" s="1"/>
  <c r="AA168" i="6"/>
  <c r="AD168" i="6" s="1"/>
  <c r="AA169" i="6"/>
  <c r="AD169" i="6" s="1"/>
  <c r="AA170" i="6"/>
  <c r="AD170" i="6" s="1"/>
  <c r="AA171" i="6"/>
  <c r="AD171" i="6" s="1"/>
  <c r="AA172" i="6"/>
  <c r="AD172" i="6" s="1"/>
  <c r="AA173" i="6"/>
  <c r="AD173" i="6" s="1"/>
  <c r="AA174" i="6"/>
  <c r="AD174" i="6" s="1"/>
  <c r="AA175" i="6"/>
  <c r="AD175" i="6" s="1"/>
  <c r="AA176" i="6"/>
  <c r="AD176" i="6" s="1"/>
  <c r="AA177" i="6"/>
  <c r="AD177" i="6" s="1"/>
  <c r="AA178" i="6"/>
  <c r="AD178" i="6" s="1"/>
  <c r="AA179" i="6"/>
  <c r="AD179" i="6" s="1"/>
  <c r="AA180" i="6"/>
  <c r="AD180" i="6" s="1"/>
  <c r="AA181" i="6"/>
  <c r="AD181" i="6" s="1"/>
  <c r="AA182" i="6"/>
  <c r="AD182" i="6" s="1"/>
  <c r="AA183" i="6"/>
  <c r="AD183" i="6" s="1"/>
  <c r="AA184" i="6"/>
  <c r="AD184" i="6" s="1"/>
  <c r="AA185" i="6"/>
  <c r="AD185" i="6" s="1"/>
  <c r="AA186" i="6"/>
  <c r="AD186" i="6" s="1"/>
  <c r="AA187" i="6"/>
  <c r="AD187" i="6" s="1"/>
  <c r="AA188" i="6"/>
  <c r="AD188" i="6" s="1"/>
  <c r="AA189" i="6"/>
  <c r="AD189" i="6" s="1"/>
  <c r="AA190" i="6"/>
  <c r="AD190" i="6" s="1"/>
  <c r="AA191" i="6"/>
  <c r="AD191" i="6" s="1"/>
  <c r="AA192" i="6"/>
  <c r="AD192" i="6" s="1"/>
  <c r="AA193" i="6"/>
  <c r="AD193" i="6" s="1"/>
  <c r="AA194" i="6"/>
  <c r="AD194" i="6" s="1"/>
  <c r="AA195" i="6"/>
  <c r="AD195" i="6" s="1"/>
  <c r="AA196" i="6"/>
  <c r="AD196" i="6" s="1"/>
  <c r="AA197" i="6"/>
  <c r="AD197" i="6" s="1"/>
  <c r="AA198" i="6"/>
  <c r="AD198" i="6" s="1"/>
  <c r="AA199" i="6"/>
  <c r="AD199" i="6" s="1"/>
  <c r="AA2" i="6"/>
  <c r="AD2" i="6" s="1"/>
  <c r="AB199" i="6"/>
  <c r="Z199" i="6"/>
  <c r="Y199" i="6"/>
  <c r="P199" i="6" s="1" a="1"/>
  <c r="P199" i="6" s="1"/>
  <c r="X199" i="6"/>
  <c r="I199" i="6" s="1" a="1"/>
  <c r="I199" i="6" s="1"/>
  <c r="O199" i="6"/>
  <c r="N199" i="6"/>
  <c r="M199" i="6"/>
  <c r="G199" i="6" a="1"/>
  <c r="G199" i="6" s="1"/>
  <c r="AB198" i="6"/>
  <c r="Z198" i="6"/>
  <c r="Y198" i="6"/>
  <c r="P198" i="6" s="1" a="1"/>
  <c r="P198" i="6" s="1"/>
  <c r="X198" i="6"/>
  <c r="I198" i="6" s="1" a="1"/>
  <c r="I198" i="6" s="1"/>
  <c r="O198" i="6"/>
  <c r="N198" i="6"/>
  <c r="M198" i="6"/>
  <c r="G198" i="6" a="1"/>
  <c r="G198" i="6" s="1"/>
  <c r="AB197" i="6"/>
  <c r="Z197" i="6"/>
  <c r="Y197" i="6"/>
  <c r="P197" i="6" s="1" a="1"/>
  <c r="P197" i="6" s="1"/>
  <c r="X197" i="6"/>
  <c r="H197" i="6" s="1" a="1"/>
  <c r="H197" i="6" s="1"/>
  <c r="O197" i="6"/>
  <c r="N197" i="6"/>
  <c r="M197" i="6"/>
  <c r="G197" i="6" a="1"/>
  <c r="G197" i="6" s="1"/>
  <c r="AB196" i="6"/>
  <c r="Z196" i="6"/>
  <c r="Y196" i="6"/>
  <c r="P196" i="6" s="1" a="1"/>
  <c r="P196" i="6" s="1"/>
  <c r="X196" i="6"/>
  <c r="H196" i="6" s="1" a="1"/>
  <c r="H196" i="6" s="1"/>
  <c r="O196" i="6"/>
  <c r="N196" i="6"/>
  <c r="M196" i="6"/>
  <c r="G196" i="6" a="1"/>
  <c r="G196" i="6" s="1"/>
  <c r="AB195" i="6"/>
  <c r="Z195" i="6"/>
  <c r="Y195" i="6"/>
  <c r="P195" i="6" s="1" a="1"/>
  <c r="P195" i="6" s="1"/>
  <c r="X195" i="6"/>
  <c r="I195" i="6" s="1" a="1"/>
  <c r="I195" i="6" s="1"/>
  <c r="O195" i="6"/>
  <c r="N195" i="6"/>
  <c r="M195" i="6"/>
  <c r="G195" i="6" a="1"/>
  <c r="G195" i="6" s="1"/>
  <c r="AB194" i="6"/>
  <c r="Z194" i="6"/>
  <c r="Y194" i="6"/>
  <c r="P194" i="6" s="1" a="1"/>
  <c r="P194" i="6" s="1"/>
  <c r="X194" i="6"/>
  <c r="I194" i="6" s="1" a="1"/>
  <c r="I194" i="6" s="1"/>
  <c r="O194" i="6"/>
  <c r="N194" i="6"/>
  <c r="M194" i="6"/>
  <c r="G194" i="6" a="1"/>
  <c r="G194" i="6" s="1"/>
  <c r="AB193" i="6"/>
  <c r="Z193" i="6"/>
  <c r="Y193" i="6"/>
  <c r="P193" i="6" s="1" a="1"/>
  <c r="P193" i="6" s="1"/>
  <c r="X193" i="6"/>
  <c r="I193" i="6" s="1" a="1"/>
  <c r="I193" i="6" s="1"/>
  <c r="O193" i="6"/>
  <c r="N193" i="6"/>
  <c r="M193" i="6"/>
  <c r="G193" i="6" a="1"/>
  <c r="G193" i="6" s="1"/>
  <c r="AB192" i="6"/>
  <c r="Z192" i="6"/>
  <c r="Y192" i="6"/>
  <c r="P192" i="6" s="1" a="1"/>
  <c r="P192" i="6" s="1"/>
  <c r="X192" i="6"/>
  <c r="I192" i="6" s="1" a="1"/>
  <c r="I192" i="6" s="1"/>
  <c r="O192" i="6"/>
  <c r="N192" i="6"/>
  <c r="M192" i="6"/>
  <c r="G192" i="6" a="1"/>
  <c r="G192" i="6" s="1"/>
  <c r="AB191" i="6"/>
  <c r="Z191" i="6"/>
  <c r="Y191" i="6"/>
  <c r="P191" i="6" s="1" a="1"/>
  <c r="P191" i="6" s="1"/>
  <c r="X191" i="6"/>
  <c r="I191" i="6" s="1" a="1"/>
  <c r="I191" i="6" s="1"/>
  <c r="O191" i="6"/>
  <c r="N191" i="6"/>
  <c r="M191" i="6"/>
  <c r="G191" i="6" a="1"/>
  <c r="G191" i="6" s="1"/>
  <c r="AB190" i="6"/>
  <c r="Z190" i="6"/>
  <c r="Y190" i="6"/>
  <c r="P190" i="6" s="1" a="1"/>
  <c r="P190" i="6" s="1"/>
  <c r="X190" i="6"/>
  <c r="I190" i="6" s="1" a="1"/>
  <c r="I190" i="6" s="1"/>
  <c r="O190" i="6"/>
  <c r="N190" i="6"/>
  <c r="M190" i="6"/>
  <c r="G190" i="6" a="1"/>
  <c r="G190" i="6" s="1"/>
  <c r="AB189" i="6"/>
  <c r="Z189" i="6"/>
  <c r="Y189" i="6"/>
  <c r="P189" i="6" s="1" a="1"/>
  <c r="P189" i="6" s="1"/>
  <c r="X189" i="6"/>
  <c r="I189" i="6" s="1" a="1"/>
  <c r="I189" i="6" s="1"/>
  <c r="O189" i="6"/>
  <c r="N189" i="6"/>
  <c r="M189" i="6"/>
  <c r="G189" i="6" a="1"/>
  <c r="G189" i="6" s="1"/>
  <c r="AB188" i="6"/>
  <c r="Z188" i="6"/>
  <c r="Y188" i="6"/>
  <c r="P188" i="6" s="1" a="1"/>
  <c r="P188" i="6" s="1"/>
  <c r="X188" i="6"/>
  <c r="I188" i="6" s="1" a="1"/>
  <c r="I188" i="6" s="1"/>
  <c r="O188" i="6"/>
  <c r="N188" i="6"/>
  <c r="M188" i="6"/>
  <c r="G188" i="6" a="1"/>
  <c r="G188" i="6" s="1"/>
  <c r="AB187" i="6"/>
  <c r="Z187" i="6"/>
  <c r="Y187" i="6"/>
  <c r="P187" i="6" s="1" a="1"/>
  <c r="P187" i="6" s="1"/>
  <c r="X187" i="6"/>
  <c r="H187" i="6" s="1" a="1"/>
  <c r="H187" i="6" s="1"/>
  <c r="O187" i="6"/>
  <c r="N187" i="6"/>
  <c r="M187" i="6"/>
  <c r="G187" i="6" a="1"/>
  <c r="G187" i="6" s="1"/>
  <c r="AB186" i="6"/>
  <c r="Z186" i="6"/>
  <c r="Y186" i="6"/>
  <c r="P186" i="6" s="1" a="1"/>
  <c r="P186" i="6" s="1"/>
  <c r="X186" i="6"/>
  <c r="I186" i="6" s="1" a="1"/>
  <c r="I186" i="6" s="1"/>
  <c r="O186" i="6"/>
  <c r="N186" i="6"/>
  <c r="M186" i="6"/>
  <c r="G186" i="6" a="1"/>
  <c r="G186" i="6" s="1"/>
  <c r="AB185" i="6"/>
  <c r="Z185" i="6"/>
  <c r="Y185" i="6"/>
  <c r="P185" i="6" s="1" a="1"/>
  <c r="P185" i="6" s="1"/>
  <c r="X185" i="6"/>
  <c r="I185" i="6" s="1" a="1"/>
  <c r="I185" i="6" s="1"/>
  <c r="O185" i="6"/>
  <c r="N185" i="6"/>
  <c r="M185" i="6"/>
  <c r="G185" i="6" a="1"/>
  <c r="G185" i="6" s="1"/>
  <c r="AB184" i="6"/>
  <c r="Z184" i="6"/>
  <c r="Y184" i="6"/>
  <c r="P184" i="6" s="1" a="1"/>
  <c r="P184" i="6" s="1"/>
  <c r="X184" i="6"/>
  <c r="H184" i="6" s="1" a="1"/>
  <c r="H184" i="6" s="1"/>
  <c r="O184" i="6"/>
  <c r="N184" i="6"/>
  <c r="M184" i="6"/>
  <c r="G184" i="6" a="1"/>
  <c r="G184" i="6" s="1"/>
  <c r="AB183" i="6"/>
  <c r="Z183" i="6"/>
  <c r="Y183" i="6"/>
  <c r="P183" i="6" s="1" a="1"/>
  <c r="P183" i="6" s="1"/>
  <c r="X183" i="6"/>
  <c r="I183" i="6" s="1" a="1"/>
  <c r="I183" i="6" s="1"/>
  <c r="O183" i="6"/>
  <c r="N183" i="6"/>
  <c r="M183" i="6"/>
  <c r="G183" i="6" a="1"/>
  <c r="G183" i="6" s="1"/>
  <c r="AB182" i="6"/>
  <c r="Z182" i="6"/>
  <c r="Y182" i="6"/>
  <c r="P182" i="6" s="1" a="1"/>
  <c r="P182" i="6" s="1"/>
  <c r="X182" i="6"/>
  <c r="I182" i="6" s="1" a="1"/>
  <c r="I182" i="6" s="1"/>
  <c r="O182" i="6"/>
  <c r="N182" i="6"/>
  <c r="M182" i="6"/>
  <c r="G182" i="6" a="1"/>
  <c r="G182" i="6" s="1"/>
  <c r="AB181" i="6"/>
  <c r="Z181" i="6"/>
  <c r="Y181" i="6"/>
  <c r="P181" i="6" s="1" a="1"/>
  <c r="P181" i="6" s="1"/>
  <c r="X181" i="6"/>
  <c r="H181" i="6" s="1" a="1"/>
  <c r="H181" i="6" s="1"/>
  <c r="O181" i="6"/>
  <c r="N181" i="6"/>
  <c r="M181" i="6"/>
  <c r="G181" i="6" a="1"/>
  <c r="G181" i="6" s="1"/>
  <c r="AB180" i="6"/>
  <c r="Z180" i="6"/>
  <c r="Y180" i="6"/>
  <c r="P180" i="6" s="1" a="1"/>
  <c r="P180" i="6" s="1"/>
  <c r="X180" i="6"/>
  <c r="I180" i="6" s="1" a="1"/>
  <c r="I180" i="6" s="1"/>
  <c r="O180" i="6"/>
  <c r="N180" i="6"/>
  <c r="M180" i="6"/>
  <c r="G180" i="6" a="1"/>
  <c r="G180" i="6" s="1"/>
  <c r="AB179" i="6"/>
  <c r="Z179" i="6"/>
  <c r="Y179" i="6"/>
  <c r="P179" i="6" s="1" a="1"/>
  <c r="P179" i="6" s="1"/>
  <c r="X179" i="6"/>
  <c r="I179" i="6" s="1" a="1"/>
  <c r="I179" i="6" s="1"/>
  <c r="O179" i="6"/>
  <c r="N179" i="6"/>
  <c r="M179" i="6"/>
  <c r="G179" i="6" a="1"/>
  <c r="G179" i="6" s="1"/>
  <c r="AB178" i="6"/>
  <c r="Z178" i="6"/>
  <c r="Y178" i="6"/>
  <c r="P178" i="6" s="1" a="1"/>
  <c r="P178" i="6" s="1"/>
  <c r="X178" i="6"/>
  <c r="H178" i="6" s="1" a="1"/>
  <c r="H178" i="6" s="1"/>
  <c r="O178" i="6"/>
  <c r="N178" i="6"/>
  <c r="M178" i="6"/>
  <c r="G178" i="6" a="1"/>
  <c r="G178" i="6" s="1"/>
  <c r="AB177" i="6"/>
  <c r="Z177" i="6"/>
  <c r="Y177" i="6"/>
  <c r="P177" i="6" s="1" a="1"/>
  <c r="P177" i="6" s="1"/>
  <c r="X177" i="6"/>
  <c r="I177" i="6" s="1" a="1"/>
  <c r="I177" i="6" s="1"/>
  <c r="O177" i="6"/>
  <c r="N177" i="6"/>
  <c r="M177" i="6"/>
  <c r="G177" i="6" a="1"/>
  <c r="G177" i="6" s="1"/>
  <c r="AB176" i="6"/>
  <c r="Z176" i="6"/>
  <c r="Y176" i="6"/>
  <c r="P176" i="6" s="1" a="1"/>
  <c r="P176" i="6" s="1"/>
  <c r="X176" i="6"/>
  <c r="I176" i="6" s="1" a="1"/>
  <c r="I176" i="6" s="1"/>
  <c r="O176" i="6"/>
  <c r="N176" i="6"/>
  <c r="M176" i="6"/>
  <c r="G176" i="6" a="1"/>
  <c r="G176" i="6" s="1"/>
  <c r="AB175" i="6"/>
  <c r="Z175" i="6"/>
  <c r="Y175" i="6"/>
  <c r="P175" i="6" s="1" a="1"/>
  <c r="P175" i="6" s="1"/>
  <c r="X175" i="6"/>
  <c r="H175" i="6" s="1" a="1"/>
  <c r="H175" i="6" s="1"/>
  <c r="O175" i="6"/>
  <c r="N175" i="6"/>
  <c r="M175" i="6"/>
  <c r="G175" i="6" a="1"/>
  <c r="G175" i="6" s="1"/>
  <c r="AB174" i="6"/>
  <c r="Z174" i="6"/>
  <c r="Y174" i="6"/>
  <c r="P174" i="6" s="1" a="1"/>
  <c r="P174" i="6" s="1"/>
  <c r="X174" i="6"/>
  <c r="I174" i="6" s="1" a="1"/>
  <c r="I174" i="6" s="1"/>
  <c r="O174" i="6"/>
  <c r="N174" i="6"/>
  <c r="M174" i="6"/>
  <c r="G174" i="6" a="1"/>
  <c r="G174" i="6" s="1"/>
  <c r="AB173" i="6"/>
  <c r="Z173" i="6"/>
  <c r="Y173" i="6"/>
  <c r="P173" i="6" s="1" a="1"/>
  <c r="P173" i="6" s="1"/>
  <c r="X173" i="6"/>
  <c r="H173" i="6" s="1" a="1"/>
  <c r="H173" i="6" s="1"/>
  <c r="O173" i="6"/>
  <c r="N173" i="6"/>
  <c r="M173" i="6"/>
  <c r="G173" i="6" a="1"/>
  <c r="G173" i="6" s="1"/>
  <c r="AB172" i="6"/>
  <c r="Z172" i="6"/>
  <c r="Y172" i="6"/>
  <c r="P172" i="6" s="1" a="1"/>
  <c r="P172" i="6" s="1"/>
  <c r="X172" i="6"/>
  <c r="H172" i="6" s="1" a="1"/>
  <c r="H172" i="6" s="1"/>
  <c r="O172" i="6"/>
  <c r="N172" i="6"/>
  <c r="M172" i="6"/>
  <c r="G172" i="6" a="1"/>
  <c r="G172" i="6" s="1"/>
  <c r="AB171" i="6"/>
  <c r="Z171" i="6"/>
  <c r="Y171" i="6"/>
  <c r="P171" i="6" s="1" a="1"/>
  <c r="P171" i="6" s="1"/>
  <c r="X171" i="6"/>
  <c r="I171" i="6" s="1" a="1"/>
  <c r="I171" i="6" s="1"/>
  <c r="O171" i="6"/>
  <c r="N171" i="6"/>
  <c r="M171" i="6"/>
  <c r="G171" i="6" a="1"/>
  <c r="G171" i="6" s="1"/>
  <c r="AB170" i="6"/>
  <c r="Z170" i="6"/>
  <c r="Y170" i="6"/>
  <c r="P170" i="6" s="1" a="1"/>
  <c r="P170" i="6" s="1"/>
  <c r="X170" i="6"/>
  <c r="I170" i="6" s="1" a="1"/>
  <c r="I170" i="6" s="1"/>
  <c r="O170" i="6"/>
  <c r="N170" i="6"/>
  <c r="M170" i="6"/>
  <c r="G170" i="6" a="1"/>
  <c r="G170" i="6" s="1"/>
  <c r="AB169" i="6"/>
  <c r="Z169" i="6"/>
  <c r="Y169" i="6"/>
  <c r="P169" i="6" s="1" a="1"/>
  <c r="P169" i="6" s="1"/>
  <c r="X169" i="6"/>
  <c r="H169" i="6" s="1" a="1"/>
  <c r="H169" i="6" s="1"/>
  <c r="O169" i="6"/>
  <c r="N169" i="6"/>
  <c r="M169" i="6"/>
  <c r="G169" i="6" a="1"/>
  <c r="G169" i="6" s="1"/>
  <c r="AB168" i="6"/>
  <c r="Z168" i="6"/>
  <c r="Y168" i="6"/>
  <c r="P168" i="6" s="1" a="1"/>
  <c r="P168" i="6" s="1"/>
  <c r="X168" i="6"/>
  <c r="I168" i="6" s="1" a="1"/>
  <c r="I168" i="6" s="1"/>
  <c r="O168" i="6"/>
  <c r="N168" i="6"/>
  <c r="M168" i="6"/>
  <c r="G168" i="6" a="1"/>
  <c r="G168" i="6" s="1"/>
  <c r="AB167" i="6"/>
  <c r="Z167" i="6"/>
  <c r="Y167" i="6"/>
  <c r="P167" i="6" s="1" a="1"/>
  <c r="P167" i="6" s="1"/>
  <c r="X167" i="6"/>
  <c r="I167" i="6" s="1" a="1"/>
  <c r="I167" i="6" s="1"/>
  <c r="O167" i="6"/>
  <c r="N167" i="6"/>
  <c r="M167" i="6"/>
  <c r="G167" i="6" a="1"/>
  <c r="G167" i="6" s="1"/>
  <c r="AB166" i="6"/>
  <c r="Z166" i="6"/>
  <c r="Y166" i="6"/>
  <c r="P166" i="6" s="1" a="1"/>
  <c r="P166" i="6" s="1"/>
  <c r="X166" i="6"/>
  <c r="I166" i="6" s="1" a="1"/>
  <c r="I166" i="6" s="1"/>
  <c r="O166" i="6"/>
  <c r="N166" i="6"/>
  <c r="M166" i="6"/>
  <c r="G166" i="6" a="1"/>
  <c r="G166" i="6" s="1"/>
  <c r="AB165" i="6"/>
  <c r="Z165" i="6"/>
  <c r="Y165" i="6"/>
  <c r="P165" i="6" s="1" a="1"/>
  <c r="P165" i="6" s="1"/>
  <c r="X165" i="6"/>
  <c r="I165" i="6" s="1" a="1"/>
  <c r="I165" i="6" s="1"/>
  <c r="O165" i="6"/>
  <c r="N165" i="6"/>
  <c r="M165" i="6"/>
  <c r="G165" i="6" a="1"/>
  <c r="G165" i="6" s="1"/>
  <c r="AB164" i="6"/>
  <c r="Z164" i="6"/>
  <c r="Y164" i="6"/>
  <c r="P164" i="6" s="1" a="1"/>
  <c r="P164" i="6" s="1"/>
  <c r="X164" i="6"/>
  <c r="I164" i="6" s="1" a="1"/>
  <c r="I164" i="6" s="1"/>
  <c r="O164" i="6"/>
  <c r="N164" i="6"/>
  <c r="M164" i="6"/>
  <c r="G164" i="6" a="1"/>
  <c r="G164" i="6" s="1"/>
  <c r="AB163" i="6"/>
  <c r="Z163" i="6"/>
  <c r="Y163" i="6"/>
  <c r="P163" i="6" s="1" a="1"/>
  <c r="P163" i="6" s="1"/>
  <c r="X163" i="6"/>
  <c r="H163" i="6" s="1" a="1"/>
  <c r="H163" i="6" s="1"/>
  <c r="O163" i="6"/>
  <c r="N163" i="6"/>
  <c r="M163" i="6"/>
  <c r="G163" i="6" a="1"/>
  <c r="G163" i="6" s="1"/>
  <c r="AB162" i="6"/>
  <c r="Z162" i="6"/>
  <c r="Y162" i="6"/>
  <c r="P162" i="6" s="1" a="1"/>
  <c r="P162" i="6" s="1"/>
  <c r="X162" i="6"/>
  <c r="I162" i="6" s="1" a="1"/>
  <c r="I162" i="6" s="1"/>
  <c r="O162" i="6"/>
  <c r="N162" i="6"/>
  <c r="M162" i="6"/>
  <c r="G162" i="6" a="1"/>
  <c r="G162" i="6" s="1"/>
  <c r="AB161" i="6"/>
  <c r="Z161" i="6"/>
  <c r="Y161" i="6"/>
  <c r="P161" i="6" s="1" a="1"/>
  <c r="P161" i="6" s="1"/>
  <c r="X161" i="6"/>
  <c r="I161" i="6" s="1" a="1"/>
  <c r="I161" i="6" s="1"/>
  <c r="O161" i="6"/>
  <c r="N161" i="6"/>
  <c r="M161" i="6"/>
  <c r="G161" i="6" a="1"/>
  <c r="G161" i="6" s="1"/>
  <c r="AB160" i="6"/>
  <c r="Z160" i="6"/>
  <c r="Y160" i="6"/>
  <c r="P160" i="6" s="1" a="1"/>
  <c r="P160" i="6" s="1"/>
  <c r="X160" i="6"/>
  <c r="H160" i="6" s="1" a="1"/>
  <c r="H160" i="6" s="1"/>
  <c r="O160" i="6"/>
  <c r="N160" i="6"/>
  <c r="M160" i="6"/>
  <c r="G160" i="6" a="1"/>
  <c r="G160" i="6" s="1"/>
  <c r="AB159" i="6"/>
  <c r="Z159" i="6"/>
  <c r="Y159" i="6"/>
  <c r="P159" i="6" s="1" a="1"/>
  <c r="P159" i="6" s="1"/>
  <c r="X159" i="6"/>
  <c r="I159" i="6" s="1" a="1"/>
  <c r="I159" i="6" s="1"/>
  <c r="O159" i="6"/>
  <c r="N159" i="6"/>
  <c r="M159" i="6"/>
  <c r="G159" i="6" a="1"/>
  <c r="G159" i="6" s="1"/>
  <c r="AB158" i="6"/>
  <c r="Z158" i="6"/>
  <c r="Y158" i="6"/>
  <c r="P158" i="6" s="1" a="1"/>
  <c r="P158" i="6" s="1"/>
  <c r="X158" i="6"/>
  <c r="I158" i="6" s="1" a="1"/>
  <c r="I158" i="6" s="1"/>
  <c r="O158" i="6"/>
  <c r="N158" i="6"/>
  <c r="M158" i="6"/>
  <c r="G158" i="6" a="1"/>
  <c r="G158" i="6" s="1"/>
  <c r="AB157" i="6"/>
  <c r="Z157" i="6"/>
  <c r="Y157" i="6"/>
  <c r="P157" i="6" s="1" a="1"/>
  <c r="P157" i="6" s="1"/>
  <c r="X157" i="6"/>
  <c r="H157" i="6" s="1" a="1"/>
  <c r="H157" i="6" s="1"/>
  <c r="O157" i="6"/>
  <c r="N157" i="6"/>
  <c r="M157" i="6"/>
  <c r="G157" i="6" a="1"/>
  <c r="G157" i="6" s="1"/>
  <c r="AB156" i="6"/>
  <c r="Z156" i="6"/>
  <c r="Y156" i="6"/>
  <c r="P156" i="6" s="1" a="1"/>
  <c r="P156" i="6" s="1"/>
  <c r="X156" i="6"/>
  <c r="I156" i="6" s="1" a="1"/>
  <c r="I156" i="6" s="1"/>
  <c r="O156" i="6"/>
  <c r="N156" i="6"/>
  <c r="M156" i="6"/>
  <c r="G156" i="6" a="1"/>
  <c r="G156" i="6" s="1"/>
  <c r="AB155" i="6"/>
  <c r="Z155" i="6"/>
  <c r="Y155" i="6"/>
  <c r="P155" i="6" s="1" a="1"/>
  <c r="P155" i="6" s="1"/>
  <c r="X155" i="6"/>
  <c r="I155" i="6" s="1" a="1"/>
  <c r="I155" i="6" s="1"/>
  <c r="O155" i="6"/>
  <c r="N155" i="6"/>
  <c r="M155" i="6"/>
  <c r="G155" i="6" a="1"/>
  <c r="G155" i="6" s="1"/>
  <c r="AB154" i="6"/>
  <c r="Z154" i="6"/>
  <c r="Y154" i="6"/>
  <c r="P154" i="6" s="1" a="1"/>
  <c r="P154" i="6" s="1"/>
  <c r="X154" i="6"/>
  <c r="I154" i="6" s="1" a="1"/>
  <c r="I154" i="6" s="1"/>
  <c r="O154" i="6"/>
  <c r="N154" i="6"/>
  <c r="M154" i="6"/>
  <c r="G154" i="6" a="1"/>
  <c r="G154" i="6" s="1"/>
  <c r="AB153" i="6"/>
  <c r="Z153" i="6"/>
  <c r="Y153" i="6"/>
  <c r="P153" i="6" s="1" a="1"/>
  <c r="P153" i="6" s="1"/>
  <c r="X153" i="6"/>
  <c r="I153" i="6" s="1" a="1"/>
  <c r="I153" i="6" s="1"/>
  <c r="O153" i="6"/>
  <c r="N153" i="6"/>
  <c r="M153" i="6"/>
  <c r="G153" i="6" a="1"/>
  <c r="G153" i="6" s="1"/>
  <c r="AB152" i="6"/>
  <c r="Z152" i="6"/>
  <c r="Y152" i="6"/>
  <c r="P152" i="6" s="1" a="1"/>
  <c r="P152" i="6" s="1"/>
  <c r="X152" i="6"/>
  <c r="I152" i="6" s="1" a="1"/>
  <c r="I152" i="6" s="1"/>
  <c r="O152" i="6"/>
  <c r="N152" i="6"/>
  <c r="M152" i="6"/>
  <c r="G152" i="6" a="1"/>
  <c r="G152" i="6" s="1"/>
  <c r="AB151" i="6"/>
  <c r="Z151" i="6"/>
  <c r="Y151" i="6"/>
  <c r="P151" i="6" s="1" a="1"/>
  <c r="P151" i="6" s="1"/>
  <c r="X151" i="6"/>
  <c r="H151" i="6" s="1" a="1"/>
  <c r="H151" i="6" s="1"/>
  <c r="O151" i="6"/>
  <c r="N151" i="6"/>
  <c r="M151" i="6"/>
  <c r="G151" i="6" a="1"/>
  <c r="G151" i="6" s="1"/>
  <c r="AB150" i="6"/>
  <c r="Z150" i="6"/>
  <c r="Y150" i="6"/>
  <c r="P150" i="6" s="1" a="1"/>
  <c r="P150" i="6" s="1"/>
  <c r="X150" i="6"/>
  <c r="I150" i="6" s="1" a="1"/>
  <c r="I150" i="6" s="1"/>
  <c r="O150" i="6"/>
  <c r="N150" i="6"/>
  <c r="M150" i="6"/>
  <c r="G150" i="6" a="1"/>
  <c r="G150" i="6" s="1"/>
  <c r="AB149" i="6"/>
  <c r="Z149" i="6"/>
  <c r="Y149" i="6"/>
  <c r="P149" i="6" s="1" a="1"/>
  <c r="P149" i="6" s="1"/>
  <c r="X149" i="6"/>
  <c r="I149" i="6" s="1" a="1"/>
  <c r="I149" i="6" s="1"/>
  <c r="O149" i="6"/>
  <c r="N149" i="6"/>
  <c r="M149" i="6"/>
  <c r="G149" i="6" a="1"/>
  <c r="G149" i="6" s="1"/>
  <c r="AB148" i="6"/>
  <c r="Z148" i="6"/>
  <c r="Y148" i="6"/>
  <c r="P148" i="6" s="1" a="1"/>
  <c r="P148" i="6" s="1"/>
  <c r="X148" i="6"/>
  <c r="H148" i="6" s="1" a="1"/>
  <c r="H148" i="6" s="1"/>
  <c r="O148" i="6"/>
  <c r="N148" i="6"/>
  <c r="M148" i="6"/>
  <c r="G148" i="6" a="1"/>
  <c r="G148" i="6" s="1"/>
  <c r="AB147" i="6"/>
  <c r="Z147" i="6"/>
  <c r="Y147" i="6"/>
  <c r="P147" i="6" s="1" a="1"/>
  <c r="P147" i="6" s="1"/>
  <c r="X147" i="6"/>
  <c r="I147" i="6" s="1" a="1"/>
  <c r="I147" i="6" s="1"/>
  <c r="O147" i="6"/>
  <c r="N147" i="6"/>
  <c r="M147" i="6"/>
  <c r="G147" i="6" a="1"/>
  <c r="G147" i="6" s="1"/>
  <c r="AB146" i="6"/>
  <c r="Z146" i="6"/>
  <c r="Y146" i="6"/>
  <c r="P146" i="6" s="1" a="1"/>
  <c r="P146" i="6" s="1"/>
  <c r="X146" i="6"/>
  <c r="I146" i="6" s="1" a="1"/>
  <c r="I146" i="6" s="1"/>
  <c r="O146" i="6"/>
  <c r="N146" i="6"/>
  <c r="M146" i="6"/>
  <c r="G146" i="6" a="1"/>
  <c r="G146" i="6" s="1"/>
  <c r="AB145" i="6"/>
  <c r="Z145" i="6"/>
  <c r="Y145" i="6"/>
  <c r="P145" i="6" s="1" a="1"/>
  <c r="P145" i="6" s="1"/>
  <c r="X145" i="6"/>
  <c r="H145" i="6" s="1" a="1"/>
  <c r="H145" i="6" s="1"/>
  <c r="O145" i="6"/>
  <c r="N145" i="6"/>
  <c r="M145" i="6"/>
  <c r="G145" i="6" a="1"/>
  <c r="G145" i="6" s="1"/>
  <c r="AB144" i="6"/>
  <c r="Z144" i="6"/>
  <c r="Y144" i="6"/>
  <c r="P144" i="6" s="1" a="1"/>
  <c r="P144" i="6" s="1"/>
  <c r="X144" i="6"/>
  <c r="I144" i="6" s="1" a="1"/>
  <c r="I144" i="6" s="1"/>
  <c r="O144" i="6"/>
  <c r="N144" i="6"/>
  <c r="M144" i="6"/>
  <c r="G144" i="6" a="1"/>
  <c r="G144" i="6" s="1"/>
  <c r="AB143" i="6"/>
  <c r="Z143" i="6"/>
  <c r="Y143" i="6"/>
  <c r="P143" i="6" s="1" a="1"/>
  <c r="P143" i="6" s="1"/>
  <c r="X143" i="6"/>
  <c r="H143" i="6" s="1" a="1"/>
  <c r="H143" i="6" s="1"/>
  <c r="O143" i="6"/>
  <c r="N143" i="6"/>
  <c r="M143" i="6"/>
  <c r="G143" i="6" a="1"/>
  <c r="G143" i="6" s="1"/>
  <c r="AB142" i="6"/>
  <c r="Z142" i="6"/>
  <c r="Y142" i="6"/>
  <c r="P142" i="6" s="1" a="1"/>
  <c r="P142" i="6" s="1"/>
  <c r="X142" i="6"/>
  <c r="I142" i="6" s="1" a="1"/>
  <c r="I142" i="6" s="1"/>
  <c r="O142" i="6"/>
  <c r="N142" i="6"/>
  <c r="M142" i="6"/>
  <c r="G142" i="6" a="1"/>
  <c r="G142" i="6" s="1"/>
  <c r="AB141" i="6"/>
  <c r="Z141" i="6"/>
  <c r="Y141" i="6"/>
  <c r="P141" i="6" s="1" a="1"/>
  <c r="P141" i="6" s="1"/>
  <c r="X141" i="6"/>
  <c r="I141" i="6" s="1" a="1"/>
  <c r="I141" i="6" s="1"/>
  <c r="O141" i="6"/>
  <c r="N141" i="6"/>
  <c r="M141" i="6"/>
  <c r="G141" i="6" a="1"/>
  <c r="G141" i="6" s="1"/>
  <c r="AB140" i="6"/>
  <c r="Z140" i="6"/>
  <c r="Y140" i="6"/>
  <c r="P140" i="6" s="1" a="1"/>
  <c r="P140" i="6" s="1"/>
  <c r="X140" i="6"/>
  <c r="I140" i="6" s="1" a="1"/>
  <c r="I140" i="6" s="1"/>
  <c r="O140" i="6"/>
  <c r="N140" i="6"/>
  <c r="M140" i="6"/>
  <c r="G140" i="6" a="1"/>
  <c r="G140" i="6" s="1"/>
  <c r="AB139" i="6"/>
  <c r="Z139" i="6"/>
  <c r="Y139" i="6"/>
  <c r="P139" i="6" s="1" a="1"/>
  <c r="P139" i="6" s="1"/>
  <c r="X139" i="6"/>
  <c r="H139" i="6" s="1" a="1"/>
  <c r="H139" i="6" s="1"/>
  <c r="O139" i="6"/>
  <c r="N139" i="6"/>
  <c r="M139" i="6"/>
  <c r="G139" i="6" a="1"/>
  <c r="G139" i="6" s="1"/>
  <c r="AB138" i="6"/>
  <c r="Z138" i="6"/>
  <c r="Y138" i="6"/>
  <c r="P138" i="6" s="1" a="1"/>
  <c r="P138" i="6" s="1"/>
  <c r="X138" i="6"/>
  <c r="I138" i="6" s="1" a="1"/>
  <c r="I138" i="6" s="1"/>
  <c r="O138" i="6"/>
  <c r="N138" i="6"/>
  <c r="M138" i="6"/>
  <c r="G138" i="6" a="1"/>
  <c r="G138" i="6" s="1"/>
  <c r="AB137" i="6"/>
  <c r="Z137" i="6"/>
  <c r="Y137" i="6"/>
  <c r="P137" i="6" s="1" a="1"/>
  <c r="P137" i="6" s="1"/>
  <c r="X137" i="6"/>
  <c r="I137" i="6" s="1" a="1"/>
  <c r="I137" i="6" s="1"/>
  <c r="O137" i="6"/>
  <c r="N137" i="6"/>
  <c r="M137" i="6"/>
  <c r="G137" i="6" a="1"/>
  <c r="G137" i="6" s="1"/>
  <c r="AB136" i="6"/>
  <c r="Z136" i="6"/>
  <c r="Y136" i="6"/>
  <c r="P136" i="6" s="1" a="1"/>
  <c r="P136" i="6" s="1"/>
  <c r="X136" i="6"/>
  <c r="H136" i="6" s="1" a="1"/>
  <c r="H136" i="6" s="1"/>
  <c r="O136" i="6"/>
  <c r="N136" i="6"/>
  <c r="M136" i="6"/>
  <c r="G136" i="6" a="1"/>
  <c r="G136" i="6" s="1"/>
  <c r="AB135" i="6"/>
  <c r="Z135" i="6"/>
  <c r="Y135" i="6"/>
  <c r="P135" i="6" s="1" a="1"/>
  <c r="P135" i="6" s="1"/>
  <c r="X135" i="6"/>
  <c r="H135" i="6" s="1" a="1"/>
  <c r="H135" i="6" s="1"/>
  <c r="O135" i="6"/>
  <c r="N135" i="6"/>
  <c r="M135" i="6"/>
  <c r="G135" i="6" a="1"/>
  <c r="G135" i="6" s="1"/>
  <c r="AB134" i="6"/>
  <c r="Z134" i="6"/>
  <c r="Y134" i="6"/>
  <c r="P134" i="6" s="1" a="1"/>
  <c r="P134" i="6" s="1"/>
  <c r="X134" i="6"/>
  <c r="H134" i="6" s="1" a="1"/>
  <c r="H134" i="6" s="1"/>
  <c r="O134" i="6"/>
  <c r="N134" i="6"/>
  <c r="M134" i="6"/>
  <c r="G134" i="6" a="1"/>
  <c r="G134" i="6" s="1"/>
  <c r="AB133" i="6"/>
  <c r="Z133" i="6"/>
  <c r="Y133" i="6"/>
  <c r="P133" i="6" s="1" a="1"/>
  <c r="P133" i="6" s="1"/>
  <c r="X133" i="6"/>
  <c r="H133" i="6" s="1" a="1"/>
  <c r="H133" i="6" s="1"/>
  <c r="O133" i="6"/>
  <c r="N133" i="6"/>
  <c r="M133" i="6"/>
  <c r="G133" i="6" a="1"/>
  <c r="G133" i="6" s="1"/>
  <c r="AB132" i="6"/>
  <c r="Z132" i="6"/>
  <c r="Y132" i="6"/>
  <c r="P132" i="6" s="1" a="1"/>
  <c r="P132" i="6" s="1"/>
  <c r="X132" i="6"/>
  <c r="H132" i="6" s="1" a="1"/>
  <c r="H132" i="6" s="1"/>
  <c r="O132" i="6"/>
  <c r="N132" i="6"/>
  <c r="M132" i="6"/>
  <c r="G132" i="6" a="1"/>
  <c r="G132" i="6" s="1"/>
  <c r="AB131" i="6"/>
  <c r="Z131" i="6"/>
  <c r="Y131" i="6"/>
  <c r="P131" i="6" s="1" a="1"/>
  <c r="P131" i="6" s="1"/>
  <c r="X131" i="6"/>
  <c r="H131" i="6" s="1" a="1"/>
  <c r="H131" i="6" s="1"/>
  <c r="O131" i="6"/>
  <c r="N131" i="6"/>
  <c r="M131" i="6"/>
  <c r="G131" i="6" a="1"/>
  <c r="G131" i="6" s="1"/>
  <c r="AB130" i="6"/>
  <c r="Z130" i="6"/>
  <c r="Y130" i="6"/>
  <c r="P130" i="6" s="1" a="1"/>
  <c r="P130" i="6" s="1"/>
  <c r="X130" i="6"/>
  <c r="I130" i="6" s="1" a="1"/>
  <c r="I130" i="6" s="1"/>
  <c r="O130" i="6"/>
  <c r="N130" i="6"/>
  <c r="M130" i="6"/>
  <c r="G130" i="6" a="1"/>
  <c r="G130" i="6" s="1"/>
  <c r="AB129" i="6"/>
  <c r="Z129" i="6"/>
  <c r="Y129" i="6"/>
  <c r="P129" i="6" s="1" a="1"/>
  <c r="P129" i="6" s="1"/>
  <c r="X129" i="6"/>
  <c r="H129" i="6" s="1" a="1"/>
  <c r="H129" i="6" s="1"/>
  <c r="O129" i="6"/>
  <c r="N129" i="6"/>
  <c r="M129" i="6"/>
  <c r="G129" i="6" a="1"/>
  <c r="G129" i="6" s="1"/>
  <c r="AB128" i="6"/>
  <c r="Z128" i="6"/>
  <c r="Y128" i="6"/>
  <c r="P128" i="6" s="1" a="1"/>
  <c r="P128" i="6" s="1"/>
  <c r="X128" i="6"/>
  <c r="I128" i="6" s="1" a="1"/>
  <c r="I128" i="6" s="1"/>
  <c r="O128" i="6"/>
  <c r="N128" i="6"/>
  <c r="M128" i="6"/>
  <c r="G128" i="6" a="1"/>
  <c r="G128" i="6" s="1"/>
  <c r="AB127" i="6"/>
  <c r="Z127" i="6"/>
  <c r="Y127" i="6"/>
  <c r="P127" i="6" s="1" a="1"/>
  <c r="P127" i="6" s="1"/>
  <c r="X127" i="6"/>
  <c r="H127" i="6" s="1" a="1"/>
  <c r="H127" i="6" s="1"/>
  <c r="O127" i="6"/>
  <c r="N127" i="6"/>
  <c r="M127" i="6"/>
  <c r="G127" i="6" a="1"/>
  <c r="G127" i="6" s="1"/>
  <c r="AB126" i="6"/>
  <c r="Z126" i="6"/>
  <c r="Y126" i="6"/>
  <c r="P126" i="6" s="1" a="1"/>
  <c r="P126" i="6" s="1"/>
  <c r="X126" i="6"/>
  <c r="I126" i="6" s="1" a="1"/>
  <c r="I126" i="6" s="1"/>
  <c r="O126" i="6"/>
  <c r="N126" i="6"/>
  <c r="M126" i="6"/>
  <c r="G126" i="6" a="1"/>
  <c r="G126" i="6" s="1"/>
  <c r="AB125" i="6"/>
  <c r="Z125" i="6"/>
  <c r="Y125" i="6"/>
  <c r="P125" i="6" s="1" a="1"/>
  <c r="P125" i="6" s="1"/>
  <c r="X125" i="6"/>
  <c r="I125" i="6" s="1" a="1"/>
  <c r="I125" i="6" s="1"/>
  <c r="O125" i="6"/>
  <c r="N125" i="6"/>
  <c r="M125" i="6"/>
  <c r="G125" i="6" a="1"/>
  <c r="G125" i="6" s="1"/>
  <c r="AB124" i="6"/>
  <c r="Z124" i="6"/>
  <c r="Y124" i="6"/>
  <c r="P124" i="6" s="1" a="1"/>
  <c r="P124" i="6" s="1"/>
  <c r="X124" i="6"/>
  <c r="H124" i="6" s="1" a="1"/>
  <c r="H124" i="6" s="1"/>
  <c r="O124" i="6"/>
  <c r="N124" i="6"/>
  <c r="M124" i="6"/>
  <c r="G124" i="6" a="1"/>
  <c r="G124" i="6" s="1"/>
  <c r="AB123" i="6"/>
  <c r="Z123" i="6"/>
  <c r="Y123" i="6"/>
  <c r="P123" i="6" s="1" a="1"/>
  <c r="P123" i="6" s="1"/>
  <c r="X123" i="6"/>
  <c r="H123" i="6" s="1" a="1"/>
  <c r="H123" i="6" s="1"/>
  <c r="O123" i="6"/>
  <c r="N123" i="6"/>
  <c r="M123" i="6"/>
  <c r="G123" i="6" a="1"/>
  <c r="G123" i="6" s="1"/>
  <c r="AB122" i="6"/>
  <c r="Z122" i="6"/>
  <c r="Y122" i="6"/>
  <c r="P122" i="6" s="1" a="1"/>
  <c r="P122" i="6" s="1"/>
  <c r="X122" i="6"/>
  <c r="I122" i="6" s="1" a="1"/>
  <c r="I122" i="6" s="1"/>
  <c r="O122" i="6"/>
  <c r="N122" i="6"/>
  <c r="M122" i="6"/>
  <c r="G122" i="6" a="1"/>
  <c r="G122" i="6" s="1"/>
  <c r="AB121" i="6"/>
  <c r="Z121" i="6"/>
  <c r="Y121" i="6"/>
  <c r="P121" i="6" s="1" a="1"/>
  <c r="P121" i="6" s="1"/>
  <c r="X121" i="6"/>
  <c r="H121" i="6" s="1" a="1"/>
  <c r="H121" i="6" s="1"/>
  <c r="O121" i="6"/>
  <c r="N121" i="6"/>
  <c r="M121" i="6"/>
  <c r="G121" i="6" a="1"/>
  <c r="G121" i="6" s="1"/>
  <c r="AB120" i="6"/>
  <c r="Z120" i="6"/>
  <c r="Y120" i="6"/>
  <c r="P120" i="6" s="1" a="1"/>
  <c r="P120" i="6" s="1"/>
  <c r="X120" i="6"/>
  <c r="H120" i="6" s="1" a="1"/>
  <c r="H120" i="6" s="1"/>
  <c r="O120" i="6"/>
  <c r="N120" i="6"/>
  <c r="M120" i="6"/>
  <c r="G120" i="6" a="1"/>
  <c r="G120" i="6" s="1"/>
  <c r="AB119" i="6"/>
  <c r="Z119" i="6"/>
  <c r="Y119" i="6"/>
  <c r="P119" i="6" s="1" a="1"/>
  <c r="P119" i="6" s="1"/>
  <c r="X119" i="6"/>
  <c r="I119" i="6" s="1" a="1"/>
  <c r="I119" i="6" s="1"/>
  <c r="O119" i="6"/>
  <c r="N119" i="6"/>
  <c r="M119" i="6"/>
  <c r="G119" i="6" a="1"/>
  <c r="G119" i="6" s="1"/>
  <c r="AB118" i="6"/>
  <c r="Z118" i="6"/>
  <c r="Y118" i="6"/>
  <c r="P118" i="6" s="1" a="1"/>
  <c r="P118" i="6" s="1"/>
  <c r="X118" i="6"/>
  <c r="I118" i="6" s="1" a="1"/>
  <c r="I118" i="6" s="1"/>
  <c r="O118" i="6"/>
  <c r="N118" i="6"/>
  <c r="M118" i="6"/>
  <c r="G118" i="6" a="1"/>
  <c r="G118" i="6" s="1"/>
  <c r="AB117" i="6"/>
  <c r="Z117" i="6"/>
  <c r="Y117" i="6"/>
  <c r="P117" i="6" s="1" a="1"/>
  <c r="P117" i="6" s="1"/>
  <c r="X117" i="6"/>
  <c r="H117" i="6" s="1" a="1"/>
  <c r="H117" i="6" s="1"/>
  <c r="O117" i="6"/>
  <c r="N117" i="6"/>
  <c r="M117" i="6"/>
  <c r="G117" i="6" a="1"/>
  <c r="G117" i="6" s="1"/>
  <c r="AB116" i="6"/>
  <c r="Z116" i="6"/>
  <c r="Y116" i="6"/>
  <c r="P116" i="6" s="1" a="1"/>
  <c r="P116" i="6" s="1"/>
  <c r="X116" i="6"/>
  <c r="I116" i="6" s="1" a="1"/>
  <c r="I116" i="6" s="1"/>
  <c r="O116" i="6"/>
  <c r="N116" i="6"/>
  <c r="M116" i="6"/>
  <c r="G116" i="6" a="1"/>
  <c r="G116" i="6" s="1"/>
  <c r="AB115" i="6"/>
  <c r="Z115" i="6"/>
  <c r="Y115" i="6"/>
  <c r="P115" i="6" s="1" a="1"/>
  <c r="P115" i="6" s="1"/>
  <c r="X115" i="6"/>
  <c r="H115" i="6" s="1" a="1"/>
  <c r="H115" i="6" s="1"/>
  <c r="O115" i="6"/>
  <c r="N115" i="6"/>
  <c r="M115" i="6"/>
  <c r="G115" i="6" a="1"/>
  <c r="G115" i="6" s="1"/>
  <c r="AB114" i="6"/>
  <c r="Z114" i="6"/>
  <c r="Y114" i="6"/>
  <c r="P114" i="6" s="1" a="1"/>
  <c r="P114" i="6" s="1"/>
  <c r="X114" i="6"/>
  <c r="I114" i="6" s="1" a="1"/>
  <c r="I114" i="6" s="1"/>
  <c r="O114" i="6"/>
  <c r="N114" i="6"/>
  <c r="M114" i="6"/>
  <c r="G114" i="6" a="1"/>
  <c r="G114" i="6" s="1"/>
  <c r="AB113" i="6"/>
  <c r="Z113" i="6"/>
  <c r="Y113" i="6"/>
  <c r="P113" i="6" s="1" a="1"/>
  <c r="P113" i="6" s="1"/>
  <c r="X113" i="6"/>
  <c r="H113" i="6" s="1" a="1"/>
  <c r="H113" i="6" s="1"/>
  <c r="O113" i="6"/>
  <c r="N113" i="6"/>
  <c r="M113" i="6"/>
  <c r="G113" i="6" a="1"/>
  <c r="G113" i="6" s="1"/>
  <c r="AB112" i="6"/>
  <c r="Z112" i="6"/>
  <c r="Y112" i="6"/>
  <c r="P112" i="6" s="1" a="1"/>
  <c r="P112" i="6" s="1"/>
  <c r="X112" i="6"/>
  <c r="I112" i="6" s="1" a="1"/>
  <c r="I112" i="6" s="1"/>
  <c r="O112" i="6"/>
  <c r="N112" i="6"/>
  <c r="M112" i="6"/>
  <c r="G112" i="6" a="1"/>
  <c r="G112" i="6" s="1"/>
  <c r="AB111" i="6"/>
  <c r="Z111" i="6"/>
  <c r="Y111" i="6"/>
  <c r="P111" i="6" s="1" a="1"/>
  <c r="P111" i="6" s="1"/>
  <c r="X111" i="6"/>
  <c r="I111" i="6" s="1" a="1"/>
  <c r="I111" i="6" s="1"/>
  <c r="O111" i="6"/>
  <c r="N111" i="6"/>
  <c r="M111" i="6"/>
  <c r="G111" i="6" a="1"/>
  <c r="G111" i="6" s="1"/>
  <c r="AB110" i="6"/>
  <c r="Z110" i="6"/>
  <c r="Y110" i="6"/>
  <c r="P110" i="6" s="1" a="1"/>
  <c r="P110" i="6" s="1"/>
  <c r="X110" i="6"/>
  <c r="H110" i="6" s="1" a="1"/>
  <c r="H110" i="6" s="1"/>
  <c r="O110" i="6"/>
  <c r="N110" i="6"/>
  <c r="M110" i="6"/>
  <c r="G110" i="6" a="1"/>
  <c r="G110" i="6" s="1"/>
  <c r="AB109" i="6"/>
  <c r="Z109" i="6"/>
  <c r="Y109" i="6"/>
  <c r="P109" i="6" s="1" a="1"/>
  <c r="P109" i="6" s="1"/>
  <c r="X109" i="6"/>
  <c r="I109" i="6" s="1" a="1"/>
  <c r="I109" i="6" s="1"/>
  <c r="O109" i="6"/>
  <c r="N109" i="6"/>
  <c r="M109" i="6"/>
  <c r="G109" i="6" a="1"/>
  <c r="G109" i="6" s="1"/>
  <c r="AB108" i="6"/>
  <c r="Z108" i="6"/>
  <c r="Y108" i="6"/>
  <c r="P108" i="6" s="1" a="1"/>
  <c r="P108" i="6" s="1"/>
  <c r="X108" i="6"/>
  <c r="H108" i="6" s="1" a="1"/>
  <c r="H108" i="6" s="1"/>
  <c r="O108" i="6"/>
  <c r="N108" i="6"/>
  <c r="M108" i="6"/>
  <c r="G108" i="6" a="1"/>
  <c r="G108" i="6" s="1"/>
  <c r="AB107" i="6"/>
  <c r="Z107" i="6"/>
  <c r="Y107" i="6"/>
  <c r="P107" i="6" s="1" a="1"/>
  <c r="P107" i="6" s="1"/>
  <c r="X107" i="6"/>
  <c r="I107" i="6" s="1" a="1"/>
  <c r="I107" i="6" s="1"/>
  <c r="O107" i="6"/>
  <c r="N107" i="6"/>
  <c r="M107" i="6"/>
  <c r="G107" i="6" a="1"/>
  <c r="G107" i="6" s="1"/>
  <c r="AB106" i="6"/>
  <c r="Z106" i="6"/>
  <c r="Y106" i="6"/>
  <c r="P106" i="6" s="1" a="1"/>
  <c r="P106" i="6" s="1"/>
  <c r="X106" i="6"/>
  <c r="I106" i="6" s="1" a="1"/>
  <c r="I106" i="6" s="1"/>
  <c r="O106" i="6"/>
  <c r="N106" i="6"/>
  <c r="M106" i="6"/>
  <c r="G106" i="6" a="1"/>
  <c r="G106" i="6" s="1"/>
  <c r="AB105" i="6"/>
  <c r="Z105" i="6"/>
  <c r="Y105" i="6"/>
  <c r="P105" i="6" s="1" a="1"/>
  <c r="P105" i="6" s="1"/>
  <c r="X105" i="6"/>
  <c r="I105" i="6" s="1" a="1"/>
  <c r="I105" i="6" s="1"/>
  <c r="O105" i="6"/>
  <c r="N105" i="6"/>
  <c r="M105" i="6"/>
  <c r="G105" i="6" a="1"/>
  <c r="G105" i="6" s="1"/>
  <c r="AB104" i="6"/>
  <c r="Z104" i="6"/>
  <c r="Y104" i="6"/>
  <c r="P104" i="6" s="1" a="1"/>
  <c r="P104" i="6" s="1"/>
  <c r="X104" i="6"/>
  <c r="H104" i="6" s="1" a="1"/>
  <c r="H104" i="6" s="1"/>
  <c r="O104" i="6"/>
  <c r="N104" i="6"/>
  <c r="M104" i="6"/>
  <c r="G104" i="6" a="1"/>
  <c r="G104" i="6" s="1"/>
  <c r="AB103" i="6"/>
  <c r="Z103" i="6"/>
  <c r="Y103" i="6"/>
  <c r="P103" i="6" s="1" a="1"/>
  <c r="P103" i="6" s="1"/>
  <c r="X103" i="6"/>
  <c r="I103" i="6" s="1" a="1"/>
  <c r="I103" i="6" s="1"/>
  <c r="O103" i="6"/>
  <c r="N103" i="6"/>
  <c r="M103" i="6"/>
  <c r="G103" i="6" a="1"/>
  <c r="G103" i="6" s="1"/>
  <c r="AB102" i="6"/>
  <c r="Z102" i="6"/>
  <c r="Y102" i="6"/>
  <c r="P102" i="6" s="1" a="1"/>
  <c r="P102" i="6" s="1"/>
  <c r="X102" i="6"/>
  <c r="I102" i="6" s="1" a="1"/>
  <c r="I102" i="6" s="1"/>
  <c r="O102" i="6"/>
  <c r="N102" i="6"/>
  <c r="M102" i="6"/>
  <c r="G102" i="6" a="1"/>
  <c r="G102" i="6" s="1"/>
  <c r="AB101" i="6"/>
  <c r="Z101" i="6"/>
  <c r="Y101" i="6"/>
  <c r="P101" i="6" s="1" a="1"/>
  <c r="P101" i="6" s="1"/>
  <c r="X101" i="6"/>
  <c r="I101" i="6" s="1" a="1"/>
  <c r="I101" i="6" s="1"/>
  <c r="O101" i="6"/>
  <c r="N101" i="6"/>
  <c r="M101" i="6"/>
  <c r="G101" i="6" a="1"/>
  <c r="G101" i="6" s="1"/>
  <c r="AB100" i="6"/>
  <c r="Z100" i="6"/>
  <c r="Y100" i="6"/>
  <c r="P100" i="6" s="1" a="1"/>
  <c r="P100" i="6" s="1"/>
  <c r="X100" i="6"/>
  <c r="I100" i="6" s="1" a="1"/>
  <c r="I100" i="6" s="1"/>
  <c r="O100" i="6"/>
  <c r="N100" i="6"/>
  <c r="M100" i="6"/>
  <c r="G100" i="6" a="1"/>
  <c r="G100" i="6" s="1"/>
  <c r="AB99" i="6"/>
  <c r="Z99" i="6"/>
  <c r="Y99" i="6"/>
  <c r="P99" i="6" s="1" a="1"/>
  <c r="P99" i="6" s="1"/>
  <c r="X99" i="6"/>
  <c r="I99" i="6" s="1" a="1"/>
  <c r="I99" i="6" s="1"/>
  <c r="O99" i="6"/>
  <c r="N99" i="6"/>
  <c r="M99" i="6"/>
  <c r="G99" i="6" a="1"/>
  <c r="G99" i="6" s="1"/>
  <c r="AB98" i="6"/>
  <c r="Z98" i="6"/>
  <c r="Y98" i="6"/>
  <c r="P98" i="6" s="1" a="1"/>
  <c r="P98" i="6" s="1"/>
  <c r="X98" i="6"/>
  <c r="H98" i="6" s="1" a="1"/>
  <c r="H98" i="6" s="1"/>
  <c r="O98" i="6"/>
  <c r="N98" i="6"/>
  <c r="M98" i="6"/>
  <c r="G98" i="6" a="1"/>
  <c r="G98" i="6" s="1"/>
  <c r="AB97" i="6"/>
  <c r="Z97" i="6"/>
  <c r="Y97" i="6"/>
  <c r="P97" i="6" s="1" a="1"/>
  <c r="P97" i="6" s="1"/>
  <c r="X97" i="6"/>
  <c r="I97" i="6" s="1" a="1"/>
  <c r="I97" i="6" s="1"/>
  <c r="O97" i="6"/>
  <c r="N97" i="6"/>
  <c r="M97" i="6"/>
  <c r="G97" i="6" a="1"/>
  <c r="G97" i="6" s="1"/>
  <c r="AB96" i="6"/>
  <c r="Z96" i="6"/>
  <c r="Y96" i="6"/>
  <c r="P96" i="6" s="1" a="1"/>
  <c r="P96" i="6" s="1"/>
  <c r="X96" i="6"/>
  <c r="I96" i="6" s="1" a="1"/>
  <c r="I96" i="6" s="1"/>
  <c r="O96" i="6"/>
  <c r="N96" i="6"/>
  <c r="M96" i="6"/>
  <c r="G96" i="6" a="1"/>
  <c r="G96" i="6" s="1"/>
  <c r="AB95" i="6"/>
  <c r="Z95" i="6"/>
  <c r="Y95" i="6"/>
  <c r="P95" i="6" s="1" a="1"/>
  <c r="P95" i="6" s="1"/>
  <c r="X95" i="6"/>
  <c r="I95" i="6" s="1" a="1"/>
  <c r="I95" i="6" s="1"/>
  <c r="O95" i="6"/>
  <c r="N95" i="6"/>
  <c r="M95" i="6"/>
  <c r="G95" i="6" a="1"/>
  <c r="G95" i="6" s="1"/>
  <c r="AB94" i="6"/>
  <c r="Z94" i="6"/>
  <c r="Y94" i="6"/>
  <c r="P94" i="6" s="1" a="1"/>
  <c r="P94" i="6" s="1"/>
  <c r="X94" i="6"/>
  <c r="H94" i="6" s="1" a="1"/>
  <c r="H94" i="6" s="1"/>
  <c r="O94" i="6"/>
  <c r="N94" i="6"/>
  <c r="M94" i="6"/>
  <c r="G94" i="6" a="1"/>
  <c r="G94" i="6" s="1"/>
  <c r="AB93" i="6"/>
  <c r="Z93" i="6"/>
  <c r="Y93" i="6"/>
  <c r="P93" i="6" s="1" a="1"/>
  <c r="P93" i="6" s="1"/>
  <c r="X93" i="6"/>
  <c r="I93" i="6" s="1" a="1"/>
  <c r="I93" i="6" s="1"/>
  <c r="O93" i="6"/>
  <c r="N93" i="6"/>
  <c r="M93" i="6"/>
  <c r="G93" i="6" a="1"/>
  <c r="G93" i="6" s="1"/>
  <c r="AB92" i="6"/>
  <c r="Z92" i="6"/>
  <c r="Y92" i="6"/>
  <c r="P92" i="6" s="1" a="1"/>
  <c r="P92" i="6" s="1"/>
  <c r="X92" i="6"/>
  <c r="I92" i="6" s="1" a="1"/>
  <c r="I92" i="6" s="1"/>
  <c r="O92" i="6"/>
  <c r="N92" i="6"/>
  <c r="M92" i="6"/>
  <c r="G92" i="6" a="1"/>
  <c r="G92" i="6" s="1"/>
  <c r="AB91" i="6"/>
  <c r="Z91" i="6"/>
  <c r="Y91" i="6"/>
  <c r="P91" i="6" s="1" a="1"/>
  <c r="P91" i="6" s="1"/>
  <c r="X91" i="6"/>
  <c r="I91" i="6" s="1" a="1"/>
  <c r="I91" i="6" s="1"/>
  <c r="O91" i="6"/>
  <c r="N91" i="6"/>
  <c r="M91" i="6"/>
  <c r="G91" i="6" a="1"/>
  <c r="G91" i="6" s="1"/>
  <c r="AB90" i="6"/>
  <c r="Z90" i="6"/>
  <c r="Y90" i="6"/>
  <c r="P90" i="6" s="1" a="1"/>
  <c r="P90" i="6" s="1"/>
  <c r="X90" i="6"/>
  <c r="H90" i="6" s="1" a="1"/>
  <c r="H90" i="6" s="1"/>
  <c r="O90" i="6"/>
  <c r="N90" i="6"/>
  <c r="M90" i="6"/>
  <c r="G90" i="6" a="1"/>
  <c r="G90" i="6" s="1"/>
  <c r="AB89" i="6"/>
  <c r="Z89" i="6"/>
  <c r="Y89" i="6"/>
  <c r="P89" i="6" s="1" a="1"/>
  <c r="P89" i="6" s="1"/>
  <c r="X89" i="6"/>
  <c r="H89" i="6" s="1" a="1"/>
  <c r="H89" i="6" s="1"/>
  <c r="O89" i="6"/>
  <c r="N89" i="6"/>
  <c r="M89" i="6"/>
  <c r="G89" i="6" a="1"/>
  <c r="G89" i="6" s="1"/>
  <c r="AB88" i="6"/>
  <c r="Z88" i="6"/>
  <c r="Y88" i="6"/>
  <c r="P88" i="6" s="1" a="1"/>
  <c r="P88" i="6" s="1"/>
  <c r="X88" i="6"/>
  <c r="H88" i="6" s="1" a="1"/>
  <c r="H88" i="6" s="1"/>
  <c r="O88" i="6"/>
  <c r="N88" i="6"/>
  <c r="M88" i="6"/>
  <c r="G88" i="6" a="1"/>
  <c r="G88" i="6" s="1"/>
  <c r="AB87" i="6"/>
  <c r="Z87" i="6"/>
  <c r="Y87" i="6"/>
  <c r="P87" i="6" s="1" a="1"/>
  <c r="P87" i="6" s="1"/>
  <c r="X87" i="6"/>
  <c r="H87" i="6" s="1" a="1"/>
  <c r="H87" i="6" s="1"/>
  <c r="O87" i="6"/>
  <c r="N87" i="6"/>
  <c r="M87" i="6"/>
  <c r="G87" i="6" a="1"/>
  <c r="G87" i="6" s="1"/>
  <c r="AB86" i="6"/>
  <c r="Z86" i="6"/>
  <c r="Y86" i="6"/>
  <c r="P86" i="6" s="1" a="1"/>
  <c r="P86" i="6" s="1"/>
  <c r="X86" i="6"/>
  <c r="H86" i="6" s="1" a="1"/>
  <c r="H86" i="6" s="1"/>
  <c r="O86" i="6"/>
  <c r="N86" i="6"/>
  <c r="M86" i="6"/>
  <c r="G86" i="6" a="1"/>
  <c r="G86" i="6" s="1"/>
  <c r="AB85" i="6"/>
  <c r="Z85" i="6"/>
  <c r="Y85" i="6"/>
  <c r="P85" i="6" s="1" a="1"/>
  <c r="P85" i="6" s="1"/>
  <c r="X85" i="6"/>
  <c r="H85" i="6" s="1" a="1"/>
  <c r="H85" i="6" s="1"/>
  <c r="O85" i="6"/>
  <c r="N85" i="6"/>
  <c r="M85" i="6"/>
  <c r="G85" i="6" a="1"/>
  <c r="G85" i="6" s="1"/>
  <c r="AB84" i="6"/>
  <c r="Z84" i="6"/>
  <c r="Y84" i="6"/>
  <c r="P84" i="6" s="1" a="1"/>
  <c r="P84" i="6" s="1"/>
  <c r="X84" i="6"/>
  <c r="I84" i="6" s="1" a="1"/>
  <c r="I84" i="6" s="1"/>
  <c r="O84" i="6"/>
  <c r="N84" i="6"/>
  <c r="M84" i="6"/>
  <c r="G84" i="6" a="1"/>
  <c r="G84" i="6" s="1"/>
  <c r="AB83" i="6"/>
  <c r="Z83" i="6"/>
  <c r="Y83" i="6"/>
  <c r="P83" i="6" s="1" a="1"/>
  <c r="P83" i="6" s="1"/>
  <c r="X83" i="6"/>
  <c r="I83" i="6" s="1" a="1"/>
  <c r="I83" i="6" s="1"/>
  <c r="O83" i="6"/>
  <c r="N83" i="6"/>
  <c r="M83" i="6"/>
  <c r="G83" i="6" a="1"/>
  <c r="G83" i="6" s="1"/>
  <c r="AB82" i="6"/>
  <c r="Z82" i="6"/>
  <c r="Y82" i="6"/>
  <c r="P82" i="6" s="1" a="1"/>
  <c r="P82" i="6" s="1"/>
  <c r="X82" i="6"/>
  <c r="I82" i="6" s="1" a="1"/>
  <c r="I82" i="6" s="1"/>
  <c r="O82" i="6"/>
  <c r="N82" i="6"/>
  <c r="M82" i="6"/>
  <c r="G82" i="6" a="1"/>
  <c r="G82" i="6" s="1"/>
  <c r="AB81" i="6"/>
  <c r="Z81" i="6"/>
  <c r="Y81" i="6"/>
  <c r="P81" i="6" s="1" a="1"/>
  <c r="P81" i="6" s="1"/>
  <c r="X81" i="6"/>
  <c r="I81" i="6" s="1" a="1"/>
  <c r="I81" i="6" s="1"/>
  <c r="O81" i="6"/>
  <c r="N81" i="6"/>
  <c r="M81" i="6"/>
  <c r="G81" i="6" a="1"/>
  <c r="G81" i="6" s="1"/>
  <c r="AB80" i="6"/>
  <c r="Z80" i="6"/>
  <c r="Y80" i="6"/>
  <c r="P80" i="6" s="1" a="1"/>
  <c r="P80" i="6" s="1"/>
  <c r="X80" i="6"/>
  <c r="I80" i="6" s="1" a="1"/>
  <c r="I80" i="6" s="1"/>
  <c r="O80" i="6"/>
  <c r="N80" i="6"/>
  <c r="M80" i="6"/>
  <c r="G80" i="6" a="1"/>
  <c r="G80" i="6" s="1"/>
  <c r="AB79" i="6"/>
  <c r="Z79" i="6"/>
  <c r="Y79" i="6"/>
  <c r="P79" i="6" s="1" a="1"/>
  <c r="P79" i="6" s="1"/>
  <c r="X79" i="6"/>
  <c r="H79" i="6" s="1" a="1"/>
  <c r="H79" i="6" s="1"/>
  <c r="O79" i="6"/>
  <c r="N79" i="6"/>
  <c r="M79" i="6"/>
  <c r="G79" i="6" a="1"/>
  <c r="G79" i="6" s="1"/>
  <c r="AB78" i="6"/>
  <c r="Z78" i="6"/>
  <c r="Y78" i="6"/>
  <c r="P78" i="6" s="1" a="1"/>
  <c r="P78" i="6" s="1"/>
  <c r="X78" i="6"/>
  <c r="I78" i="6" s="1" a="1"/>
  <c r="I78" i="6" s="1"/>
  <c r="O78" i="6"/>
  <c r="N78" i="6"/>
  <c r="M78" i="6"/>
  <c r="G78" i="6" a="1"/>
  <c r="G78" i="6" s="1"/>
  <c r="AB77" i="6"/>
  <c r="Z77" i="6"/>
  <c r="Y77" i="6"/>
  <c r="P77" i="6" s="1" a="1"/>
  <c r="P77" i="6" s="1"/>
  <c r="X77" i="6"/>
  <c r="I77" i="6" s="1" a="1"/>
  <c r="I77" i="6" s="1"/>
  <c r="O77" i="6"/>
  <c r="N77" i="6"/>
  <c r="M77" i="6"/>
  <c r="G77" i="6" a="1"/>
  <c r="G77" i="6" s="1"/>
  <c r="AB76" i="6"/>
  <c r="Z76" i="6"/>
  <c r="Y76" i="6"/>
  <c r="P76" i="6" s="1" a="1"/>
  <c r="P76" i="6" s="1"/>
  <c r="X76" i="6"/>
  <c r="I76" i="6" s="1" a="1"/>
  <c r="I76" i="6" s="1"/>
  <c r="O76" i="6"/>
  <c r="N76" i="6"/>
  <c r="M76" i="6"/>
  <c r="G76" i="6" a="1"/>
  <c r="G76" i="6" s="1"/>
  <c r="AB75" i="6"/>
  <c r="Z75" i="6"/>
  <c r="Y75" i="6"/>
  <c r="P75" i="6" s="1" a="1"/>
  <c r="P75" i="6" s="1"/>
  <c r="X75" i="6"/>
  <c r="I75" i="6" s="1" a="1"/>
  <c r="I75" i="6" s="1"/>
  <c r="O75" i="6"/>
  <c r="N75" i="6"/>
  <c r="M75" i="6"/>
  <c r="G75" i="6" a="1"/>
  <c r="G75" i="6" s="1"/>
  <c r="AB74" i="6"/>
  <c r="Z74" i="6"/>
  <c r="Y74" i="6"/>
  <c r="P74" i="6" s="1" a="1"/>
  <c r="P74" i="6" s="1"/>
  <c r="X74" i="6"/>
  <c r="I74" i="6" s="1" a="1"/>
  <c r="I74" i="6" s="1"/>
  <c r="O74" i="6"/>
  <c r="N74" i="6"/>
  <c r="M74" i="6"/>
  <c r="G74" i="6" a="1"/>
  <c r="G74" i="6" s="1"/>
  <c r="AB73" i="6"/>
  <c r="Z73" i="6"/>
  <c r="Y73" i="6"/>
  <c r="P73" i="6" s="1" a="1"/>
  <c r="P73" i="6" s="1"/>
  <c r="X73" i="6"/>
  <c r="I73" i="6" s="1" a="1"/>
  <c r="I73" i="6" s="1"/>
  <c r="O73" i="6"/>
  <c r="N73" i="6"/>
  <c r="M73" i="6"/>
  <c r="G73" i="6" a="1"/>
  <c r="G73" i="6" s="1"/>
  <c r="AB72" i="6"/>
  <c r="Z72" i="6"/>
  <c r="Y72" i="6"/>
  <c r="P72" i="6" s="1" a="1"/>
  <c r="P72" i="6" s="1"/>
  <c r="X72" i="6"/>
  <c r="I72" i="6" s="1" a="1"/>
  <c r="I72" i="6" s="1"/>
  <c r="O72" i="6"/>
  <c r="N72" i="6"/>
  <c r="M72" i="6"/>
  <c r="G72" i="6" a="1"/>
  <c r="G72" i="6" s="1"/>
  <c r="AB71" i="6"/>
  <c r="Z71" i="6"/>
  <c r="Y71" i="6"/>
  <c r="P71" i="6" s="1" a="1"/>
  <c r="P71" i="6" s="1"/>
  <c r="X71" i="6"/>
  <c r="I71" i="6" s="1" a="1"/>
  <c r="I71" i="6" s="1"/>
  <c r="O71" i="6"/>
  <c r="N71" i="6"/>
  <c r="M71" i="6"/>
  <c r="G71" i="6" a="1"/>
  <c r="G71" i="6" s="1"/>
  <c r="AB70" i="6"/>
  <c r="Z70" i="6"/>
  <c r="Y70" i="6"/>
  <c r="P70" i="6" s="1" a="1"/>
  <c r="P70" i="6" s="1"/>
  <c r="X70" i="6"/>
  <c r="I70" i="6" s="1" a="1"/>
  <c r="I70" i="6" s="1"/>
  <c r="O70" i="6"/>
  <c r="N70" i="6"/>
  <c r="M70" i="6"/>
  <c r="G70" i="6" a="1"/>
  <c r="G70" i="6" s="1"/>
  <c r="AB69" i="6"/>
  <c r="Z69" i="6"/>
  <c r="Y69" i="6"/>
  <c r="P69" i="6" s="1" a="1"/>
  <c r="P69" i="6" s="1"/>
  <c r="X69" i="6"/>
  <c r="I69" i="6" s="1" a="1"/>
  <c r="I69" i="6" s="1"/>
  <c r="O69" i="6"/>
  <c r="N69" i="6"/>
  <c r="M69" i="6"/>
  <c r="G69" i="6" a="1"/>
  <c r="G69" i="6" s="1"/>
  <c r="AB68" i="6"/>
  <c r="Z68" i="6"/>
  <c r="Y68" i="6"/>
  <c r="P68" i="6" s="1" a="1"/>
  <c r="P68" i="6" s="1"/>
  <c r="X68" i="6"/>
  <c r="I68" i="6" s="1" a="1"/>
  <c r="I68" i="6" s="1"/>
  <c r="O68" i="6"/>
  <c r="N68" i="6"/>
  <c r="M68" i="6"/>
  <c r="G68" i="6" a="1"/>
  <c r="G68" i="6" s="1"/>
  <c r="AB67" i="6"/>
  <c r="Z67" i="6"/>
  <c r="Y67" i="6"/>
  <c r="P67" i="6" s="1" a="1"/>
  <c r="P67" i="6" s="1"/>
  <c r="X67" i="6"/>
  <c r="H67" i="6" s="1" a="1"/>
  <c r="H67" i="6" s="1"/>
  <c r="O67" i="6"/>
  <c r="N67" i="6"/>
  <c r="M67" i="6"/>
  <c r="G67" i="6" a="1"/>
  <c r="G67" i="6" s="1"/>
  <c r="AB66" i="6"/>
  <c r="Z66" i="6"/>
  <c r="Y66" i="6"/>
  <c r="P66" i="6" s="1" a="1"/>
  <c r="P66" i="6" s="1"/>
  <c r="X66" i="6"/>
  <c r="I66" i="6" s="1" a="1"/>
  <c r="I66" i="6" s="1"/>
  <c r="O66" i="6"/>
  <c r="N66" i="6"/>
  <c r="M66" i="6"/>
  <c r="G66" i="6" a="1"/>
  <c r="G66" i="6" s="1"/>
  <c r="AB65" i="6"/>
  <c r="Z65" i="6"/>
  <c r="Y65" i="6"/>
  <c r="P65" i="6" s="1" a="1"/>
  <c r="P65" i="6" s="1"/>
  <c r="X65" i="6"/>
  <c r="I65" i="6" s="1" a="1"/>
  <c r="I65" i="6" s="1"/>
  <c r="O65" i="6"/>
  <c r="N65" i="6"/>
  <c r="M65" i="6"/>
  <c r="G65" i="6" a="1"/>
  <c r="G65" i="6" s="1"/>
  <c r="AB64" i="6"/>
  <c r="Z64" i="6"/>
  <c r="Y64" i="6"/>
  <c r="P64" i="6" s="1" a="1"/>
  <c r="P64" i="6" s="1"/>
  <c r="X64" i="6"/>
  <c r="H64" i="6" s="1" a="1"/>
  <c r="H64" i="6" s="1"/>
  <c r="O64" i="6"/>
  <c r="N64" i="6"/>
  <c r="M64" i="6"/>
  <c r="G64" i="6" a="1"/>
  <c r="G64" i="6" s="1"/>
  <c r="AB63" i="6"/>
  <c r="Z63" i="6"/>
  <c r="Y63" i="6"/>
  <c r="P63" i="6" s="1" a="1"/>
  <c r="P63" i="6" s="1"/>
  <c r="X63" i="6"/>
  <c r="I63" i="6" s="1" a="1"/>
  <c r="I63" i="6" s="1"/>
  <c r="O63" i="6"/>
  <c r="N63" i="6"/>
  <c r="M63" i="6"/>
  <c r="G63" i="6" a="1"/>
  <c r="G63" i="6" s="1"/>
  <c r="AB62" i="6"/>
  <c r="Z62" i="6"/>
  <c r="Y62" i="6"/>
  <c r="P62" i="6" s="1" a="1"/>
  <c r="P62" i="6" s="1"/>
  <c r="X62" i="6"/>
  <c r="I62" i="6" s="1" a="1"/>
  <c r="I62" i="6" s="1"/>
  <c r="O62" i="6"/>
  <c r="N62" i="6"/>
  <c r="M62" i="6"/>
  <c r="G62" i="6" a="1"/>
  <c r="G62" i="6" s="1"/>
  <c r="AB61" i="6"/>
  <c r="Z61" i="6"/>
  <c r="Y61" i="6"/>
  <c r="P61" i="6" s="1" a="1"/>
  <c r="P61" i="6" s="1"/>
  <c r="X61" i="6"/>
  <c r="I61" i="6" s="1" a="1"/>
  <c r="I61" i="6" s="1"/>
  <c r="O61" i="6"/>
  <c r="N61" i="6"/>
  <c r="M61" i="6"/>
  <c r="G61" i="6" a="1"/>
  <c r="G61" i="6" s="1"/>
  <c r="AB60" i="6"/>
  <c r="Z60" i="6"/>
  <c r="Y60" i="6"/>
  <c r="P60" i="6" s="1" a="1"/>
  <c r="P60" i="6" s="1"/>
  <c r="X60" i="6"/>
  <c r="H60" i="6" s="1" a="1"/>
  <c r="H60" i="6" s="1"/>
  <c r="O60" i="6"/>
  <c r="N60" i="6"/>
  <c r="M60" i="6"/>
  <c r="G60" i="6" a="1"/>
  <c r="G60" i="6" s="1"/>
  <c r="AB59" i="6"/>
  <c r="Z59" i="6"/>
  <c r="Y59" i="6"/>
  <c r="P59" i="6" s="1" a="1"/>
  <c r="P59" i="6" s="1"/>
  <c r="X59" i="6"/>
  <c r="I59" i="6" s="1" a="1"/>
  <c r="I59" i="6" s="1"/>
  <c r="O59" i="6"/>
  <c r="N59" i="6"/>
  <c r="M59" i="6"/>
  <c r="G59" i="6" a="1"/>
  <c r="G59" i="6" s="1"/>
  <c r="AB58" i="6"/>
  <c r="Z58" i="6"/>
  <c r="Y58" i="6"/>
  <c r="P58" i="6" s="1" a="1"/>
  <c r="P58" i="6" s="1"/>
  <c r="X58" i="6"/>
  <c r="I58" i="6" s="1" a="1"/>
  <c r="I58" i="6" s="1"/>
  <c r="O58" i="6"/>
  <c r="N58" i="6"/>
  <c r="M58" i="6"/>
  <c r="G58" i="6" a="1"/>
  <c r="G58" i="6" s="1"/>
  <c r="AB57" i="6"/>
  <c r="Z57" i="6"/>
  <c r="Y57" i="6"/>
  <c r="P57" i="6" s="1" a="1"/>
  <c r="P57" i="6" s="1"/>
  <c r="X57" i="6"/>
  <c r="I57" i="6" s="1" a="1"/>
  <c r="I57" i="6" s="1"/>
  <c r="O57" i="6"/>
  <c r="N57" i="6"/>
  <c r="M57" i="6"/>
  <c r="G57" i="6" a="1"/>
  <c r="G57" i="6" s="1"/>
  <c r="AB56" i="6"/>
  <c r="Z56" i="6"/>
  <c r="Y56" i="6"/>
  <c r="P56" i="6" s="1" a="1"/>
  <c r="P56" i="6" s="1"/>
  <c r="X56" i="6"/>
  <c r="I56" i="6" s="1" a="1"/>
  <c r="I56" i="6" s="1"/>
  <c r="O56" i="6"/>
  <c r="N56" i="6"/>
  <c r="M56" i="6"/>
  <c r="G56" i="6" a="1"/>
  <c r="G56" i="6" s="1"/>
  <c r="AB55" i="6"/>
  <c r="Z55" i="6"/>
  <c r="Y55" i="6"/>
  <c r="P55" i="6" s="1" a="1"/>
  <c r="P55" i="6" s="1"/>
  <c r="X55" i="6"/>
  <c r="H55" i="6" s="1" a="1"/>
  <c r="H55" i="6" s="1"/>
  <c r="O55" i="6"/>
  <c r="N55" i="6"/>
  <c r="M55" i="6"/>
  <c r="G55" i="6" a="1"/>
  <c r="G55" i="6" s="1"/>
  <c r="AB54" i="6"/>
  <c r="Z54" i="6"/>
  <c r="Y54" i="6"/>
  <c r="P54" i="6" s="1" a="1"/>
  <c r="P54" i="6" s="1"/>
  <c r="X54" i="6"/>
  <c r="I54" i="6" s="1" a="1"/>
  <c r="I54" i="6" s="1"/>
  <c r="O54" i="6"/>
  <c r="N54" i="6"/>
  <c r="M54" i="6"/>
  <c r="G54" i="6" a="1"/>
  <c r="G54" i="6" s="1"/>
  <c r="AB53" i="6"/>
  <c r="Z53" i="6"/>
  <c r="Y53" i="6"/>
  <c r="P53" i="6" s="1" a="1"/>
  <c r="P53" i="6" s="1"/>
  <c r="X53" i="6"/>
  <c r="I53" i="6" s="1" a="1"/>
  <c r="I53" i="6" s="1"/>
  <c r="O53" i="6"/>
  <c r="N53" i="6"/>
  <c r="M53" i="6"/>
  <c r="G53" i="6" a="1"/>
  <c r="G53" i="6" s="1"/>
  <c r="AB52" i="6"/>
  <c r="Z52" i="6"/>
  <c r="Y52" i="6"/>
  <c r="P52" i="6" s="1" a="1"/>
  <c r="P52" i="6" s="1"/>
  <c r="X52" i="6"/>
  <c r="I52" i="6" s="1" a="1"/>
  <c r="I52" i="6" s="1"/>
  <c r="O52" i="6"/>
  <c r="N52" i="6"/>
  <c r="M52" i="6"/>
  <c r="G52" i="6" a="1"/>
  <c r="G52" i="6" s="1"/>
  <c r="AB51" i="6"/>
  <c r="Z51" i="6"/>
  <c r="Y51" i="6"/>
  <c r="P51" i="6" s="1" a="1"/>
  <c r="P51" i="6" s="1"/>
  <c r="X51" i="6"/>
  <c r="I51" i="6" s="1" a="1"/>
  <c r="I51" i="6" s="1"/>
  <c r="O51" i="6"/>
  <c r="N51" i="6"/>
  <c r="M51" i="6"/>
  <c r="G51" i="6" a="1"/>
  <c r="G51" i="6" s="1"/>
  <c r="AB50" i="6"/>
  <c r="Z50" i="6"/>
  <c r="Y50" i="6"/>
  <c r="P50" i="6" s="1" a="1"/>
  <c r="P50" i="6" s="1"/>
  <c r="X50" i="6"/>
  <c r="I50" i="6" s="1" a="1"/>
  <c r="I50" i="6" s="1"/>
  <c r="O50" i="6"/>
  <c r="N50" i="6"/>
  <c r="M50" i="6"/>
  <c r="G50" i="6" a="1"/>
  <c r="G50" i="6" s="1"/>
  <c r="AB49" i="6"/>
  <c r="Z49" i="6"/>
  <c r="Y49" i="6"/>
  <c r="P49" i="6" s="1" a="1"/>
  <c r="P49" i="6" s="1"/>
  <c r="X49" i="6"/>
  <c r="I49" i="6" s="1" a="1"/>
  <c r="I49" i="6" s="1"/>
  <c r="O49" i="6"/>
  <c r="N49" i="6"/>
  <c r="M49" i="6"/>
  <c r="G49" i="6" a="1"/>
  <c r="G49" i="6" s="1"/>
  <c r="AB48" i="6"/>
  <c r="Z48" i="6"/>
  <c r="Y48" i="6"/>
  <c r="P48" i="6" s="1" a="1"/>
  <c r="P48" i="6" s="1"/>
  <c r="X48" i="6"/>
  <c r="I48" i="6" s="1" a="1"/>
  <c r="I48" i="6" s="1"/>
  <c r="O48" i="6"/>
  <c r="N48" i="6"/>
  <c r="M48" i="6"/>
  <c r="G48" i="6" a="1"/>
  <c r="G48" i="6" s="1"/>
  <c r="AB47" i="6"/>
  <c r="Z47" i="6"/>
  <c r="Y47" i="6"/>
  <c r="P47" i="6" s="1" a="1"/>
  <c r="P47" i="6" s="1"/>
  <c r="X47" i="6"/>
  <c r="I47" i="6" s="1" a="1"/>
  <c r="I47" i="6" s="1"/>
  <c r="O47" i="6"/>
  <c r="N47" i="6"/>
  <c r="M47" i="6"/>
  <c r="G47" i="6" a="1"/>
  <c r="G47" i="6" s="1"/>
  <c r="AB46" i="6"/>
  <c r="Z46" i="6"/>
  <c r="Y46" i="6"/>
  <c r="P46" i="6" s="1" a="1"/>
  <c r="P46" i="6" s="1"/>
  <c r="X46" i="6"/>
  <c r="I46" i="6" s="1" a="1"/>
  <c r="I46" i="6" s="1"/>
  <c r="O46" i="6"/>
  <c r="N46" i="6"/>
  <c r="M46" i="6"/>
  <c r="G46" i="6" a="1"/>
  <c r="G46" i="6" s="1"/>
  <c r="AB45" i="6"/>
  <c r="Z45" i="6"/>
  <c r="Y45" i="6"/>
  <c r="P45" i="6" s="1" a="1"/>
  <c r="P45" i="6" s="1"/>
  <c r="X45" i="6"/>
  <c r="I45" i="6" s="1" a="1"/>
  <c r="I45" i="6" s="1"/>
  <c r="O45" i="6"/>
  <c r="N45" i="6"/>
  <c r="M45" i="6"/>
  <c r="G45" i="6" a="1"/>
  <c r="G45" i="6" s="1"/>
  <c r="AB44" i="6"/>
  <c r="Z44" i="6"/>
  <c r="Y44" i="6"/>
  <c r="P44" i="6" s="1" a="1"/>
  <c r="P44" i="6" s="1"/>
  <c r="X44" i="6"/>
  <c r="I44" i="6" s="1" a="1"/>
  <c r="I44" i="6" s="1"/>
  <c r="O44" i="6"/>
  <c r="N44" i="6"/>
  <c r="M44" i="6"/>
  <c r="G44" i="6" a="1"/>
  <c r="G44" i="6" s="1"/>
  <c r="AB43" i="6"/>
  <c r="Z43" i="6"/>
  <c r="Y43" i="6"/>
  <c r="P43" i="6" s="1" a="1"/>
  <c r="P43" i="6" s="1"/>
  <c r="X43" i="6"/>
  <c r="H43" i="6" s="1" a="1"/>
  <c r="H43" i="6" s="1"/>
  <c r="O43" i="6"/>
  <c r="N43" i="6"/>
  <c r="M43" i="6"/>
  <c r="G43" i="6" a="1"/>
  <c r="G43" i="6" s="1"/>
  <c r="AB42" i="6"/>
  <c r="Z42" i="6"/>
  <c r="Y42" i="6"/>
  <c r="P42" i="6" s="1" a="1"/>
  <c r="P42" i="6" s="1"/>
  <c r="X42" i="6"/>
  <c r="I42" i="6" s="1" a="1"/>
  <c r="I42" i="6" s="1"/>
  <c r="O42" i="6"/>
  <c r="N42" i="6"/>
  <c r="M42" i="6"/>
  <c r="G42" i="6" a="1"/>
  <c r="G42" i="6" s="1"/>
  <c r="AB41" i="6"/>
  <c r="Z41" i="6"/>
  <c r="Y41" i="6"/>
  <c r="P41" i="6" s="1" a="1"/>
  <c r="P41" i="6" s="1"/>
  <c r="X41" i="6"/>
  <c r="I41" i="6" s="1" a="1"/>
  <c r="I41" i="6" s="1"/>
  <c r="O41" i="6"/>
  <c r="N41" i="6"/>
  <c r="M41" i="6"/>
  <c r="G41" i="6" a="1"/>
  <c r="G41" i="6" s="1"/>
  <c r="AB40" i="6"/>
  <c r="Z40" i="6"/>
  <c r="Y40" i="6"/>
  <c r="P40" i="6" s="1" a="1"/>
  <c r="P40" i="6" s="1"/>
  <c r="X40" i="6"/>
  <c r="I40" i="6" s="1" a="1"/>
  <c r="I40" i="6" s="1"/>
  <c r="O40" i="6"/>
  <c r="N40" i="6"/>
  <c r="M40" i="6"/>
  <c r="G40" i="6" a="1"/>
  <c r="G40" i="6" s="1"/>
  <c r="AB39" i="6"/>
  <c r="Z39" i="6"/>
  <c r="Y39" i="6"/>
  <c r="P39" i="6" s="1" a="1"/>
  <c r="P39" i="6" s="1"/>
  <c r="X39" i="6"/>
  <c r="H39" i="6" s="1" a="1"/>
  <c r="H39" i="6" s="1"/>
  <c r="O39" i="6"/>
  <c r="N39" i="6"/>
  <c r="M39" i="6"/>
  <c r="G39" i="6" a="1"/>
  <c r="G39" i="6" s="1"/>
  <c r="AB38" i="6"/>
  <c r="Z38" i="6"/>
  <c r="Y38" i="6"/>
  <c r="P38" i="6" s="1" a="1"/>
  <c r="P38" i="6" s="1"/>
  <c r="X38" i="6"/>
  <c r="I38" i="6" s="1" a="1"/>
  <c r="I38" i="6" s="1"/>
  <c r="O38" i="6"/>
  <c r="N38" i="6"/>
  <c r="M38" i="6"/>
  <c r="G38" i="6" a="1"/>
  <c r="G38" i="6" s="1"/>
  <c r="AB37" i="6"/>
  <c r="Z37" i="6"/>
  <c r="Y37" i="6"/>
  <c r="P37" i="6" s="1" a="1"/>
  <c r="P37" i="6" s="1"/>
  <c r="X37" i="6"/>
  <c r="I37" i="6" s="1" a="1"/>
  <c r="I37" i="6" s="1"/>
  <c r="O37" i="6"/>
  <c r="N37" i="6"/>
  <c r="M37" i="6"/>
  <c r="G37" i="6" a="1"/>
  <c r="G37" i="6" s="1"/>
  <c r="AB36" i="6"/>
  <c r="Z36" i="6"/>
  <c r="Y36" i="6"/>
  <c r="P36" i="6" s="1" a="1"/>
  <c r="P36" i="6" s="1"/>
  <c r="X36" i="6"/>
  <c r="I36" i="6" s="1" a="1"/>
  <c r="I36" i="6" s="1"/>
  <c r="O36" i="6"/>
  <c r="N36" i="6"/>
  <c r="M36" i="6"/>
  <c r="G36" i="6" a="1"/>
  <c r="G36" i="6" s="1"/>
  <c r="AB35" i="6"/>
  <c r="Z35" i="6"/>
  <c r="Y35" i="6"/>
  <c r="P35" i="6" s="1" a="1"/>
  <c r="P35" i="6" s="1"/>
  <c r="X35" i="6"/>
  <c r="I35" i="6" s="1" a="1"/>
  <c r="I35" i="6" s="1"/>
  <c r="O35" i="6"/>
  <c r="N35" i="6"/>
  <c r="M35" i="6"/>
  <c r="G35" i="6" a="1"/>
  <c r="G35" i="6" s="1"/>
  <c r="AB34" i="6"/>
  <c r="Z34" i="6"/>
  <c r="Y34" i="6"/>
  <c r="P34" i="6" s="1" a="1"/>
  <c r="P34" i="6" s="1"/>
  <c r="X34" i="6"/>
  <c r="I34" i="6" s="1" a="1"/>
  <c r="I34" i="6" s="1"/>
  <c r="O34" i="6"/>
  <c r="N34" i="6"/>
  <c r="M34" i="6"/>
  <c r="G34" i="6" a="1"/>
  <c r="G34" i="6" s="1"/>
  <c r="AB33" i="6"/>
  <c r="Z33" i="6"/>
  <c r="Y33" i="6"/>
  <c r="P33" i="6" s="1" a="1"/>
  <c r="P33" i="6" s="1"/>
  <c r="X33" i="6"/>
  <c r="I33" i="6" s="1" a="1"/>
  <c r="I33" i="6" s="1"/>
  <c r="O33" i="6"/>
  <c r="N33" i="6"/>
  <c r="M33" i="6"/>
  <c r="G33" i="6" a="1"/>
  <c r="G33" i="6" s="1"/>
  <c r="AB32" i="6"/>
  <c r="Z32" i="6"/>
  <c r="Y32" i="6"/>
  <c r="P32" i="6" s="1" a="1"/>
  <c r="P32" i="6" s="1"/>
  <c r="X32" i="6"/>
  <c r="I32" i="6" s="1" a="1"/>
  <c r="I32" i="6" s="1"/>
  <c r="O32" i="6"/>
  <c r="N32" i="6"/>
  <c r="M32" i="6"/>
  <c r="G32" i="6" a="1"/>
  <c r="G32" i="6" s="1"/>
  <c r="AB31" i="6"/>
  <c r="Z31" i="6"/>
  <c r="Y31" i="6"/>
  <c r="P31" i="6" s="1" a="1"/>
  <c r="P31" i="6" s="1"/>
  <c r="X31" i="6"/>
  <c r="H31" i="6" s="1" a="1"/>
  <c r="H31" i="6" s="1"/>
  <c r="O31" i="6"/>
  <c r="N31" i="6"/>
  <c r="M31" i="6"/>
  <c r="G31" i="6" a="1"/>
  <c r="G31" i="6" s="1"/>
  <c r="AB30" i="6"/>
  <c r="Z30" i="6"/>
  <c r="Y30" i="6"/>
  <c r="P30" i="6" s="1" a="1"/>
  <c r="P30" i="6" s="1"/>
  <c r="X30" i="6"/>
  <c r="I30" i="6" s="1" a="1"/>
  <c r="I30" i="6" s="1"/>
  <c r="O30" i="6"/>
  <c r="N30" i="6"/>
  <c r="M30" i="6"/>
  <c r="G30" i="6" a="1"/>
  <c r="G30" i="6" s="1"/>
  <c r="AB29" i="6"/>
  <c r="Z29" i="6"/>
  <c r="Y29" i="6"/>
  <c r="P29" i="6" s="1" a="1"/>
  <c r="P29" i="6" s="1"/>
  <c r="X29" i="6"/>
  <c r="I29" i="6" s="1" a="1"/>
  <c r="I29" i="6" s="1"/>
  <c r="O29" i="6"/>
  <c r="N29" i="6"/>
  <c r="M29" i="6"/>
  <c r="G29" i="6" a="1"/>
  <c r="G29" i="6" s="1"/>
  <c r="AB28" i="6"/>
  <c r="Z28" i="6"/>
  <c r="Y28" i="6"/>
  <c r="P28" i="6" s="1" a="1"/>
  <c r="P28" i="6" s="1"/>
  <c r="X28" i="6"/>
  <c r="I28" i="6" s="1" a="1"/>
  <c r="I28" i="6" s="1"/>
  <c r="O28" i="6"/>
  <c r="N28" i="6"/>
  <c r="M28" i="6"/>
  <c r="G28" i="6" a="1"/>
  <c r="G28" i="6" s="1"/>
  <c r="AB27" i="6"/>
  <c r="Z27" i="6"/>
  <c r="Y27" i="6"/>
  <c r="P27" i="6" s="1" a="1"/>
  <c r="P27" i="6" s="1"/>
  <c r="X27" i="6"/>
  <c r="I27" i="6" s="1" a="1"/>
  <c r="I27" i="6" s="1"/>
  <c r="O27" i="6"/>
  <c r="N27" i="6"/>
  <c r="M27" i="6"/>
  <c r="G27" i="6" a="1"/>
  <c r="G27" i="6" s="1"/>
  <c r="AB26" i="6"/>
  <c r="Z26" i="6"/>
  <c r="Y26" i="6"/>
  <c r="P26" i="6" s="1" a="1"/>
  <c r="P26" i="6" s="1"/>
  <c r="X26" i="6"/>
  <c r="I26" i="6" s="1" a="1"/>
  <c r="I26" i="6" s="1"/>
  <c r="O26" i="6"/>
  <c r="N26" i="6"/>
  <c r="M26" i="6"/>
  <c r="G26" i="6" a="1"/>
  <c r="G26" i="6" s="1"/>
  <c r="AB25" i="6"/>
  <c r="Z25" i="6"/>
  <c r="Y25" i="6"/>
  <c r="P25" i="6" s="1" a="1"/>
  <c r="P25" i="6" s="1"/>
  <c r="X25" i="6"/>
  <c r="I25" i="6" s="1" a="1"/>
  <c r="I25" i="6" s="1"/>
  <c r="O25" i="6"/>
  <c r="N25" i="6"/>
  <c r="M25" i="6"/>
  <c r="G25" i="6" a="1"/>
  <c r="G25" i="6" s="1"/>
  <c r="AB24" i="6"/>
  <c r="Z24" i="6"/>
  <c r="Y24" i="6"/>
  <c r="P24" i="6" s="1" a="1"/>
  <c r="P24" i="6" s="1"/>
  <c r="X24" i="6"/>
  <c r="I24" i="6" s="1" a="1"/>
  <c r="I24" i="6" s="1"/>
  <c r="O24" i="6"/>
  <c r="N24" i="6"/>
  <c r="M24" i="6"/>
  <c r="G24" i="6" a="1"/>
  <c r="G24" i="6" s="1"/>
  <c r="AB23" i="6"/>
  <c r="Z23" i="6"/>
  <c r="Y23" i="6"/>
  <c r="P23" i="6" s="1" a="1"/>
  <c r="P23" i="6" s="1"/>
  <c r="X23" i="6"/>
  <c r="I23" i="6" s="1" a="1"/>
  <c r="I23" i="6" s="1"/>
  <c r="O23" i="6"/>
  <c r="N23" i="6"/>
  <c r="M23" i="6"/>
  <c r="G23" i="6" a="1"/>
  <c r="G23" i="6" s="1"/>
  <c r="AB22" i="6"/>
  <c r="Z22" i="6"/>
  <c r="Y22" i="6"/>
  <c r="P22" i="6" s="1" a="1"/>
  <c r="P22" i="6" s="1"/>
  <c r="X22" i="6"/>
  <c r="I22" i="6" s="1" a="1"/>
  <c r="I22" i="6" s="1"/>
  <c r="O22" i="6"/>
  <c r="N22" i="6"/>
  <c r="M22" i="6"/>
  <c r="G22" i="6" a="1"/>
  <c r="G22" i="6" s="1"/>
  <c r="AB21" i="6"/>
  <c r="Z21" i="6"/>
  <c r="Y21" i="6"/>
  <c r="P21" i="6" s="1" a="1"/>
  <c r="P21" i="6" s="1"/>
  <c r="X21" i="6"/>
  <c r="I21" i="6" s="1" a="1"/>
  <c r="I21" i="6" s="1"/>
  <c r="O21" i="6"/>
  <c r="N21" i="6"/>
  <c r="M21" i="6"/>
  <c r="G21" i="6" a="1"/>
  <c r="G21" i="6" s="1"/>
  <c r="AB20" i="6"/>
  <c r="Z20" i="6"/>
  <c r="Y20" i="6"/>
  <c r="P20" i="6" s="1" a="1"/>
  <c r="P20" i="6" s="1"/>
  <c r="X20" i="6"/>
  <c r="I20" i="6" s="1" a="1"/>
  <c r="I20" i="6" s="1"/>
  <c r="O20" i="6"/>
  <c r="N20" i="6"/>
  <c r="M20" i="6"/>
  <c r="G20" i="6" a="1"/>
  <c r="G20" i="6" s="1"/>
  <c r="AB19" i="6"/>
  <c r="Z19" i="6"/>
  <c r="Y19" i="6"/>
  <c r="P19" i="6" s="1" a="1"/>
  <c r="P19" i="6" s="1"/>
  <c r="X19" i="6"/>
  <c r="H19" i="6" s="1" a="1"/>
  <c r="H19" i="6" s="1"/>
  <c r="O19" i="6"/>
  <c r="N19" i="6"/>
  <c r="M19" i="6"/>
  <c r="G19" i="6" a="1"/>
  <c r="G19" i="6" s="1"/>
  <c r="AB18" i="6"/>
  <c r="Z18" i="6"/>
  <c r="Y18" i="6"/>
  <c r="P18" i="6" s="1" a="1"/>
  <c r="P18" i="6" s="1"/>
  <c r="X18" i="6"/>
  <c r="I18" i="6" s="1" a="1"/>
  <c r="I18" i="6" s="1"/>
  <c r="O18" i="6"/>
  <c r="N18" i="6"/>
  <c r="M18" i="6"/>
  <c r="G18" i="6" a="1"/>
  <c r="G18" i="6" s="1"/>
  <c r="AB17" i="6"/>
  <c r="Z17" i="6"/>
  <c r="Y17" i="6"/>
  <c r="P17" i="6" s="1" a="1"/>
  <c r="P17" i="6" s="1"/>
  <c r="X17" i="6"/>
  <c r="I17" i="6" s="1" a="1"/>
  <c r="I17" i="6" s="1"/>
  <c r="O17" i="6"/>
  <c r="N17" i="6"/>
  <c r="M17" i="6"/>
  <c r="G17" i="6" a="1"/>
  <c r="G17" i="6" s="1"/>
  <c r="AB16" i="6"/>
  <c r="Z16" i="6"/>
  <c r="Y16" i="6"/>
  <c r="P16" i="6" s="1" a="1"/>
  <c r="P16" i="6" s="1"/>
  <c r="X16" i="6"/>
  <c r="I16" i="6" s="1" a="1"/>
  <c r="I16" i="6" s="1"/>
  <c r="O16" i="6"/>
  <c r="N16" i="6"/>
  <c r="M16" i="6"/>
  <c r="G16" i="6" a="1"/>
  <c r="G16" i="6" s="1"/>
  <c r="AB15" i="6"/>
  <c r="Z15" i="6"/>
  <c r="Y15" i="6"/>
  <c r="P15" i="6" s="1" a="1"/>
  <c r="P15" i="6" s="1"/>
  <c r="X15" i="6"/>
  <c r="I15" i="6" s="1" a="1"/>
  <c r="I15" i="6" s="1"/>
  <c r="O15" i="6"/>
  <c r="N15" i="6"/>
  <c r="M15" i="6"/>
  <c r="G15" i="6" a="1"/>
  <c r="G15" i="6" s="1"/>
  <c r="AB14" i="6"/>
  <c r="Z14" i="6"/>
  <c r="Y14" i="6"/>
  <c r="P14" i="6" s="1" a="1"/>
  <c r="P14" i="6" s="1"/>
  <c r="X14" i="6"/>
  <c r="I14" i="6" s="1" a="1"/>
  <c r="I14" i="6" s="1"/>
  <c r="O14" i="6"/>
  <c r="N14" i="6"/>
  <c r="M14" i="6"/>
  <c r="G14" i="6" a="1"/>
  <c r="G14" i="6" s="1"/>
  <c r="AB13" i="6"/>
  <c r="Z13" i="6"/>
  <c r="Y13" i="6"/>
  <c r="P13" i="6" s="1" a="1"/>
  <c r="P13" i="6" s="1"/>
  <c r="X13" i="6"/>
  <c r="I13" i="6" s="1" a="1"/>
  <c r="I13" i="6" s="1"/>
  <c r="O13" i="6"/>
  <c r="N13" i="6"/>
  <c r="M13" i="6"/>
  <c r="G13" i="6" a="1"/>
  <c r="G13" i="6" s="1"/>
  <c r="AB12" i="6"/>
  <c r="Z12" i="6"/>
  <c r="Y12" i="6"/>
  <c r="P12" i="6" s="1" a="1"/>
  <c r="P12" i="6" s="1"/>
  <c r="X12" i="6"/>
  <c r="I12" i="6" s="1" a="1"/>
  <c r="I12" i="6" s="1"/>
  <c r="O12" i="6"/>
  <c r="N12" i="6"/>
  <c r="M12" i="6"/>
  <c r="G12" i="6" a="1"/>
  <c r="G12" i="6" s="1"/>
  <c r="AB11" i="6"/>
  <c r="Z11" i="6"/>
  <c r="Y11" i="6"/>
  <c r="P11" i="6" s="1" a="1"/>
  <c r="P11" i="6" s="1"/>
  <c r="X11" i="6"/>
  <c r="I11" i="6" s="1" a="1"/>
  <c r="I11" i="6" s="1"/>
  <c r="O11" i="6"/>
  <c r="N11" i="6"/>
  <c r="M11" i="6"/>
  <c r="G11" i="6" a="1"/>
  <c r="G11" i="6" s="1"/>
  <c r="AB10" i="6"/>
  <c r="Z10" i="6"/>
  <c r="Y10" i="6"/>
  <c r="P10" i="6" s="1" a="1"/>
  <c r="P10" i="6" s="1"/>
  <c r="X10" i="6"/>
  <c r="I10" i="6" s="1" a="1"/>
  <c r="I10" i="6" s="1"/>
  <c r="O10" i="6"/>
  <c r="N10" i="6"/>
  <c r="M10" i="6"/>
  <c r="G10" i="6" a="1"/>
  <c r="G10" i="6" s="1"/>
  <c r="AB9" i="6"/>
  <c r="Z9" i="6"/>
  <c r="Y9" i="6"/>
  <c r="P9" i="6" s="1" a="1"/>
  <c r="P9" i="6" s="1"/>
  <c r="X9" i="6"/>
  <c r="I9" i="6" s="1" a="1"/>
  <c r="I9" i="6" s="1"/>
  <c r="O9" i="6"/>
  <c r="N9" i="6"/>
  <c r="M9" i="6"/>
  <c r="G9" i="6" a="1"/>
  <c r="G9" i="6" s="1"/>
  <c r="AB8" i="6"/>
  <c r="Z8" i="6"/>
  <c r="Y8" i="6"/>
  <c r="P8" i="6" s="1" a="1"/>
  <c r="P8" i="6" s="1"/>
  <c r="X8" i="6"/>
  <c r="I8" i="6" s="1" a="1"/>
  <c r="I8" i="6" s="1"/>
  <c r="O8" i="6"/>
  <c r="N8" i="6"/>
  <c r="M8" i="6"/>
  <c r="G8" i="6" a="1"/>
  <c r="G8" i="6" s="1"/>
  <c r="AB7" i="6"/>
  <c r="Z7" i="6"/>
  <c r="Y7" i="6"/>
  <c r="P7" i="6" s="1" a="1"/>
  <c r="P7" i="6" s="1"/>
  <c r="X7" i="6"/>
  <c r="H7" i="6" s="1" a="1"/>
  <c r="H7" i="6" s="1"/>
  <c r="O7" i="6"/>
  <c r="N7" i="6"/>
  <c r="M7" i="6"/>
  <c r="G7" i="6" a="1"/>
  <c r="G7" i="6" s="1"/>
  <c r="AB6" i="6"/>
  <c r="Z6" i="6"/>
  <c r="Y6" i="6"/>
  <c r="P6" i="6" s="1" a="1"/>
  <c r="P6" i="6" s="1"/>
  <c r="X6" i="6"/>
  <c r="I6" i="6" s="1" a="1"/>
  <c r="I6" i="6" s="1"/>
  <c r="O6" i="6"/>
  <c r="N6" i="6"/>
  <c r="M6" i="6"/>
  <c r="G6" i="6" a="1"/>
  <c r="G6" i="6" s="1"/>
  <c r="AB5" i="6"/>
  <c r="Z5" i="6"/>
  <c r="Y5" i="6"/>
  <c r="P5" i="6" s="1" a="1"/>
  <c r="P5" i="6" s="1"/>
  <c r="X5" i="6"/>
  <c r="I5" i="6" s="1" a="1"/>
  <c r="I5" i="6" s="1"/>
  <c r="O5" i="6"/>
  <c r="N5" i="6"/>
  <c r="M5" i="6"/>
  <c r="G5" i="6" a="1"/>
  <c r="G5" i="6" s="1"/>
  <c r="AB4" i="6"/>
  <c r="Z4" i="6"/>
  <c r="Y4" i="6"/>
  <c r="P4" i="6" s="1" a="1"/>
  <c r="P4" i="6" s="1"/>
  <c r="X4" i="6"/>
  <c r="I4" i="6" s="1" a="1"/>
  <c r="I4" i="6" s="1"/>
  <c r="O4" i="6"/>
  <c r="N4" i="6"/>
  <c r="M4" i="6"/>
  <c r="G4" i="6" a="1"/>
  <c r="G4" i="6" s="1"/>
  <c r="AB3" i="6"/>
  <c r="Z3" i="6"/>
  <c r="Y3" i="6"/>
  <c r="P3" i="6" s="1" a="1"/>
  <c r="P3" i="6" s="1"/>
  <c r="X3" i="6"/>
  <c r="I3" i="6" s="1" a="1"/>
  <c r="I3" i="6" s="1"/>
  <c r="O3" i="6"/>
  <c r="N3" i="6"/>
  <c r="M3" i="6"/>
  <c r="G3" i="6" a="1"/>
  <c r="G3" i="6" s="1"/>
  <c r="AC2" i="6"/>
  <c r="AB2" i="6"/>
  <c r="Z2" i="6"/>
  <c r="Y2" i="6"/>
  <c r="P2" i="6" s="1" a="1"/>
  <c r="P2" i="6" s="1"/>
  <c r="X2" i="6"/>
  <c r="I2" i="6" s="1" a="1"/>
  <c r="I2" i="6" s="1"/>
  <c r="O2" i="6"/>
  <c r="N2" i="6"/>
  <c r="M2" i="6"/>
  <c r="G2" i="6" a="1"/>
  <c r="G2" i="6" s="1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20" i="5"/>
  <c r="R21" i="5"/>
  <c r="R22" i="5"/>
  <c r="R23" i="5"/>
  <c r="R24" i="5"/>
  <c r="R25" i="5"/>
  <c r="R26" i="5"/>
  <c r="R27" i="5"/>
  <c r="R28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" i="3"/>
  <c r="W3" i="3"/>
  <c r="P3" i="3" s="1" a="1"/>
  <c r="P3" i="3" s="1"/>
  <c r="W4" i="3"/>
  <c r="P4" i="3" s="1" a="1"/>
  <c r="P4" i="3" s="1"/>
  <c r="W5" i="3"/>
  <c r="P5" i="3" s="1" a="1"/>
  <c r="P5" i="3" s="1"/>
  <c r="W6" i="3"/>
  <c r="P6" i="3" s="1" a="1"/>
  <c r="P6" i="3" s="1"/>
  <c r="W7" i="3"/>
  <c r="P7" i="3" s="1" a="1"/>
  <c r="P7" i="3" s="1"/>
  <c r="W8" i="3"/>
  <c r="P8" i="3" s="1" a="1"/>
  <c r="P8" i="3" s="1"/>
  <c r="W9" i="3"/>
  <c r="P9" i="3" s="1" a="1"/>
  <c r="P9" i="3" s="1"/>
  <c r="W10" i="3"/>
  <c r="P10" i="3" s="1" a="1"/>
  <c r="P10" i="3" s="1"/>
  <c r="W11" i="3"/>
  <c r="P11" i="3" s="1" a="1"/>
  <c r="P11" i="3" s="1"/>
  <c r="W12" i="3"/>
  <c r="P12" i="3" s="1" a="1"/>
  <c r="P12" i="3" s="1"/>
  <c r="W13" i="3"/>
  <c r="P13" i="3" s="1" a="1"/>
  <c r="P13" i="3" s="1"/>
  <c r="W14" i="3"/>
  <c r="P14" i="3" s="1" a="1"/>
  <c r="P14" i="3" s="1"/>
  <c r="W15" i="3"/>
  <c r="P15" i="3" s="1" a="1"/>
  <c r="P15" i="3" s="1"/>
  <c r="W16" i="3"/>
  <c r="P16" i="3" s="1" a="1"/>
  <c r="P16" i="3" s="1"/>
  <c r="W17" i="3"/>
  <c r="P17" i="3" s="1" a="1"/>
  <c r="P17" i="3" s="1"/>
  <c r="W18" i="3"/>
  <c r="P18" i="3" s="1" a="1"/>
  <c r="P18" i="3" s="1"/>
  <c r="W19" i="3"/>
  <c r="P19" i="3" s="1" a="1"/>
  <c r="P19" i="3" s="1"/>
  <c r="W20" i="3"/>
  <c r="P20" i="3" s="1" a="1"/>
  <c r="P20" i="3" s="1"/>
  <c r="W21" i="3"/>
  <c r="P21" i="3" s="1" a="1"/>
  <c r="P21" i="3" s="1"/>
  <c r="W22" i="3"/>
  <c r="P22" i="3" s="1" a="1"/>
  <c r="P22" i="3" s="1"/>
  <c r="W23" i="3"/>
  <c r="P23" i="3" s="1" a="1"/>
  <c r="P23" i="3" s="1"/>
  <c r="W24" i="3"/>
  <c r="P24" i="3" s="1" a="1"/>
  <c r="P24" i="3" s="1"/>
  <c r="W25" i="3"/>
  <c r="P25" i="3" s="1" a="1"/>
  <c r="P25" i="3" s="1"/>
  <c r="W26" i="3"/>
  <c r="P26" i="3" s="1" a="1"/>
  <c r="P26" i="3" s="1"/>
  <c r="W27" i="3"/>
  <c r="P27" i="3" s="1" a="1"/>
  <c r="P27" i="3" s="1"/>
  <c r="W28" i="3"/>
  <c r="P28" i="3" s="1" a="1"/>
  <c r="P28" i="3" s="1"/>
  <c r="W29" i="3"/>
  <c r="P29" i="3" s="1" a="1"/>
  <c r="P29" i="3" s="1"/>
  <c r="W30" i="3"/>
  <c r="P30" i="3" s="1" a="1"/>
  <c r="P30" i="3" s="1"/>
  <c r="W31" i="3"/>
  <c r="P31" i="3" s="1" a="1"/>
  <c r="P31" i="3" s="1"/>
  <c r="W32" i="3"/>
  <c r="P32" i="3" s="1" a="1"/>
  <c r="P32" i="3" s="1"/>
  <c r="W33" i="3"/>
  <c r="P33" i="3" s="1" a="1"/>
  <c r="P33" i="3" s="1"/>
  <c r="W34" i="3"/>
  <c r="P34" i="3" s="1" a="1"/>
  <c r="P34" i="3" s="1"/>
  <c r="W35" i="3"/>
  <c r="P35" i="3" s="1" a="1"/>
  <c r="P35" i="3" s="1"/>
  <c r="W36" i="3"/>
  <c r="P36" i="3" s="1" a="1"/>
  <c r="P36" i="3" s="1"/>
  <c r="W37" i="3"/>
  <c r="P37" i="3" s="1" a="1"/>
  <c r="P37" i="3" s="1"/>
  <c r="W38" i="3"/>
  <c r="P38" i="3" s="1" a="1"/>
  <c r="P38" i="3" s="1"/>
  <c r="W39" i="3"/>
  <c r="P39" i="3" s="1" a="1"/>
  <c r="P39" i="3" s="1"/>
  <c r="W40" i="3"/>
  <c r="P40" i="3" s="1" a="1"/>
  <c r="P40" i="3" s="1"/>
  <c r="W41" i="3"/>
  <c r="P41" i="3" s="1" a="1"/>
  <c r="P41" i="3" s="1"/>
  <c r="W42" i="3"/>
  <c r="P42" i="3" s="1" a="1"/>
  <c r="P42" i="3" s="1"/>
  <c r="W43" i="3"/>
  <c r="P43" i="3" s="1" a="1"/>
  <c r="P43" i="3" s="1"/>
  <c r="W44" i="3"/>
  <c r="P44" i="3" s="1" a="1"/>
  <c r="P44" i="3" s="1"/>
  <c r="W45" i="3"/>
  <c r="P45" i="3" s="1" a="1"/>
  <c r="P45" i="3" s="1"/>
  <c r="W46" i="3"/>
  <c r="P46" i="3" s="1" a="1"/>
  <c r="P46" i="3" s="1"/>
  <c r="W47" i="3"/>
  <c r="P47" i="3" s="1" a="1"/>
  <c r="P47" i="3" s="1"/>
  <c r="W48" i="3"/>
  <c r="P48" i="3" s="1" a="1"/>
  <c r="P48" i="3" s="1"/>
  <c r="W49" i="3"/>
  <c r="P49" i="3" s="1" a="1"/>
  <c r="P49" i="3" s="1"/>
  <c r="W50" i="3"/>
  <c r="P50" i="3" s="1" a="1"/>
  <c r="P50" i="3" s="1"/>
  <c r="W51" i="3"/>
  <c r="P51" i="3" s="1" a="1"/>
  <c r="P51" i="3" s="1"/>
  <c r="W52" i="3"/>
  <c r="P52" i="3" s="1" a="1"/>
  <c r="P52" i="3" s="1"/>
  <c r="W53" i="3"/>
  <c r="P53" i="3" s="1" a="1"/>
  <c r="P53" i="3" s="1"/>
  <c r="W54" i="3"/>
  <c r="P54" i="3" s="1" a="1"/>
  <c r="P54" i="3" s="1"/>
  <c r="W55" i="3"/>
  <c r="P55" i="3" s="1" a="1"/>
  <c r="P55" i="3" s="1"/>
  <c r="W56" i="3"/>
  <c r="P56" i="3" s="1" a="1"/>
  <c r="P56" i="3" s="1"/>
  <c r="W57" i="3"/>
  <c r="P57" i="3" s="1" a="1"/>
  <c r="P57" i="3" s="1"/>
  <c r="W58" i="3"/>
  <c r="P58" i="3" s="1" a="1"/>
  <c r="P58" i="3" s="1"/>
  <c r="W59" i="3"/>
  <c r="P59" i="3" s="1" a="1"/>
  <c r="P59" i="3" s="1"/>
  <c r="W60" i="3"/>
  <c r="P60" i="3" s="1" a="1"/>
  <c r="P60" i="3" s="1"/>
  <c r="W61" i="3"/>
  <c r="P61" i="3" s="1" a="1"/>
  <c r="P61" i="3" s="1"/>
  <c r="W62" i="3"/>
  <c r="P62" i="3" s="1" a="1"/>
  <c r="P62" i="3" s="1"/>
  <c r="W63" i="3"/>
  <c r="P63" i="3" s="1" a="1"/>
  <c r="P63" i="3" s="1"/>
  <c r="W64" i="3"/>
  <c r="P64" i="3" s="1" a="1"/>
  <c r="P64" i="3" s="1"/>
  <c r="W65" i="3"/>
  <c r="P65" i="3" s="1" a="1"/>
  <c r="P65" i="3" s="1"/>
  <c r="W66" i="3"/>
  <c r="P66" i="3" s="1" a="1"/>
  <c r="P66" i="3" s="1"/>
  <c r="W67" i="3"/>
  <c r="P67" i="3" s="1" a="1"/>
  <c r="P67" i="3" s="1"/>
  <c r="W68" i="3"/>
  <c r="P68" i="3" s="1" a="1"/>
  <c r="P68" i="3" s="1"/>
  <c r="W69" i="3"/>
  <c r="P69" i="3" s="1" a="1"/>
  <c r="P69" i="3" s="1"/>
  <c r="W70" i="3"/>
  <c r="P70" i="3" s="1" a="1"/>
  <c r="P70" i="3" s="1"/>
  <c r="W71" i="3"/>
  <c r="P71" i="3" s="1" a="1"/>
  <c r="P71" i="3" s="1"/>
  <c r="W72" i="3"/>
  <c r="P72" i="3" s="1" a="1"/>
  <c r="P72" i="3" s="1"/>
  <c r="W73" i="3"/>
  <c r="P73" i="3" s="1" a="1"/>
  <c r="P73" i="3" s="1"/>
  <c r="W74" i="3"/>
  <c r="P74" i="3" s="1" a="1"/>
  <c r="P74" i="3" s="1"/>
  <c r="W75" i="3"/>
  <c r="P75" i="3" s="1" a="1"/>
  <c r="P75" i="3" s="1"/>
  <c r="W76" i="3"/>
  <c r="P76" i="3" s="1" a="1"/>
  <c r="P76" i="3" s="1"/>
  <c r="W77" i="3"/>
  <c r="P77" i="3" s="1" a="1"/>
  <c r="P77" i="3" s="1"/>
  <c r="W78" i="3"/>
  <c r="P78" i="3" s="1" a="1"/>
  <c r="P78" i="3" s="1"/>
  <c r="W79" i="3"/>
  <c r="P79" i="3" s="1" a="1"/>
  <c r="P79" i="3" s="1"/>
  <c r="W80" i="3"/>
  <c r="P80" i="3" s="1" a="1"/>
  <c r="P80" i="3" s="1"/>
  <c r="W81" i="3"/>
  <c r="P81" i="3" s="1" a="1"/>
  <c r="P81" i="3" s="1"/>
  <c r="W82" i="3"/>
  <c r="P82" i="3" s="1" a="1"/>
  <c r="P82" i="3" s="1"/>
  <c r="W83" i="3"/>
  <c r="P83" i="3" s="1" a="1"/>
  <c r="P83" i="3" s="1"/>
  <c r="W84" i="3"/>
  <c r="P84" i="3" s="1" a="1"/>
  <c r="P84" i="3" s="1"/>
  <c r="W85" i="3"/>
  <c r="P85" i="3" s="1" a="1"/>
  <c r="P85" i="3" s="1"/>
  <c r="W86" i="3"/>
  <c r="P86" i="3" s="1" a="1"/>
  <c r="P86" i="3" s="1"/>
  <c r="W87" i="3"/>
  <c r="P87" i="3" s="1" a="1"/>
  <c r="P87" i="3" s="1"/>
  <c r="W88" i="3"/>
  <c r="P88" i="3" s="1" a="1"/>
  <c r="P88" i="3" s="1"/>
  <c r="W89" i="3"/>
  <c r="P89" i="3" s="1" a="1"/>
  <c r="P89" i="3" s="1"/>
  <c r="W90" i="3"/>
  <c r="P90" i="3" s="1" a="1"/>
  <c r="P90" i="3" s="1"/>
  <c r="W91" i="3"/>
  <c r="P91" i="3" s="1" a="1"/>
  <c r="P91" i="3" s="1"/>
  <c r="W92" i="3"/>
  <c r="P92" i="3" s="1" a="1"/>
  <c r="P92" i="3" s="1"/>
  <c r="W93" i="3"/>
  <c r="P93" i="3" s="1" a="1"/>
  <c r="P93" i="3" s="1"/>
  <c r="W94" i="3"/>
  <c r="P94" i="3" s="1" a="1"/>
  <c r="P94" i="3" s="1"/>
  <c r="W95" i="3"/>
  <c r="P95" i="3" s="1" a="1"/>
  <c r="P95" i="3" s="1"/>
  <c r="W96" i="3"/>
  <c r="P96" i="3" s="1" a="1"/>
  <c r="P96" i="3" s="1"/>
  <c r="W97" i="3"/>
  <c r="P97" i="3" s="1" a="1"/>
  <c r="P97" i="3" s="1"/>
  <c r="W98" i="3"/>
  <c r="P98" i="3" s="1" a="1"/>
  <c r="P98" i="3" s="1"/>
  <c r="W99" i="3"/>
  <c r="P99" i="3" s="1" a="1"/>
  <c r="P99" i="3" s="1"/>
  <c r="W100" i="3"/>
  <c r="P100" i="3" s="1" a="1"/>
  <c r="P100" i="3" s="1"/>
  <c r="W101" i="3"/>
  <c r="P101" i="3" s="1" a="1"/>
  <c r="P101" i="3" s="1"/>
  <c r="W102" i="3"/>
  <c r="P102" i="3" s="1" a="1"/>
  <c r="P102" i="3" s="1"/>
  <c r="W103" i="3"/>
  <c r="P103" i="3" s="1" a="1"/>
  <c r="P103" i="3" s="1"/>
  <c r="W104" i="3"/>
  <c r="P104" i="3" s="1" a="1"/>
  <c r="P104" i="3" s="1"/>
  <c r="W105" i="3"/>
  <c r="P105" i="3" s="1" a="1"/>
  <c r="P105" i="3" s="1"/>
  <c r="W106" i="3"/>
  <c r="P106" i="3" s="1" a="1"/>
  <c r="P106" i="3" s="1"/>
  <c r="W107" i="3"/>
  <c r="P107" i="3" s="1" a="1"/>
  <c r="P107" i="3" s="1"/>
  <c r="W108" i="3"/>
  <c r="P108" i="3" s="1" a="1"/>
  <c r="P108" i="3" s="1"/>
  <c r="W109" i="3"/>
  <c r="P109" i="3" s="1" a="1"/>
  <c r="P109" i="3" s="1"/>
  <c r="W110" i="3"/>
  <c r="P110" i="3" s="1" a="1"/>
  <c r="P110" i="3" s="1"/>
  <c r="W111" i="3"/>
  <c r="P111" i="3" s="1" a="1"/>
  <c r="P111" i="3" s="1"/>
  <c r="W112" i="3"/>
  <c r="P112" i="3" s="1" a="1"/>
  <c r="P112" i="3" s="1"/>
  <c r="W113" i="3"/>
  <c r="P113" i="3" s="1" a="1"/>
  <c r="P113" i="3" s="1"/>
  <c r="W114" i="3"/>
  <c r="P114" i="3" s="1" a="1"/>
  <c r="P114" i="3" s="1"/>
  <c r="W115" i="3"/>
  <c r="P115" i="3" s="1" a="1"/>
  <c r="P115" i="3" s="1"/>
  <c r="W116" i="3"/>
  <c r="P116" i="3" s="1" a="1"/>
  <c r="P116" i="3" s="1"/>
  <c r="W117" i="3"/>
  <c r="P117" i="3" s="1" a="1"/>
  <c r="P117" i="3" s="1"/>
  <c r="W118" i="3"/>
  <c r="P118" i="3" s="1" a="1"/>
  <c r="P118" i="3" s="1"/>
  <c r="W119" i="3"/>
  <c r="P119" i="3" s="1" a="1"/>
  <c r="P119" i="3" s="1"/>
  <c r="W120" i="3"/>
  <c r="P120" i="3" s="1" a="1"/>
  <c r="P120" i="3" s="1"/>
  <c r="W121" i="3"/>
  <c r="P121" i="3" s="1" a="1"/>
  <c r="P121" i="3" s="1"/>
  <c r="W122" i="3"/>
  <c r="P122" i="3" s="1" a="1"/>
  <c r="P122" i="3" s="1"/>
  <c r="W123" i="3"/>
  <c r="P123" i="3" s="1" a="1"/>
  <c r="P123" i="3" s="1"/>
  <c r="W124" i="3"/>
  <c r="P124" i="3" s="1" a="1"/>
  <c r="P124" i="3" s="1"/>
  <c r="W125" i="3"/>
  <c r="P125" i="3" s="1" a="1"/>
  <c r="P125" i="3" s="1"/>
  <c r="W126" i="3"/>
  <c r="P126" i="3" s="1" a="1"/>
  <c r="P126" i="3" s="1"/>
  <c r="W127" i="3"/>
  <c r="P127" i="3" s="1" a="1"/>
  <c r="P127" i="3" s="1"/>
  <c r="W128" i="3"/>
  <c r="P128" i="3" s="1" a="1"/>
  <c r="P128" i="3" s="1"/>
  <c r="W129" i="3"/>
  <c r="P129" i="3" s="1" a="1"/>
  <c r="P129" i="3" s="1"/>
  <c r="W130" i="3"/>
  <c r="P130" i="3" s="1" a="1"/>
  <c r="P130" i="3" s="1"/>
  <c r="W131" i="3"/>
  <c r="P131" i="3" s="1" a="1"/>
  <c r="P131" i="3" s="1"/>
  <c r="W132" i="3"/>
  <c r="P132" i="3" s="1" a="1"/>
  <c r="P132" i="3" s="1"/>
  <c r="W133" i="3"/>
  <c r="P133" i="3" s="1" a="1"/>
  <c r="P133" i="3" s="1"/>
  <c r="W134" i="3"/>
  <c r="P134" i="3" s="1" a="1"/>
  <c r="P134" i="3" s="1"/>
  <c r="W135" i="3"/>
  <c r="P135" i="3" s="1" a="1"/>
  <c r="P135" i="3" s="1"/>
  <c r="W136" i="3"/>
  <c r="P136" i="3" s="1" a="1"/>
  <c r="P136" i="3" s="1"/>
  <c r="W137" i="3"/>
  <c r="P137" i="3" s="1" a="1"/>
  <c r="P137" i="3" s="1"/>
  <c r="W138" i="3"/>
  <c r="P138" i="3" s="1" a="1"/>
  <c r="P138" i="3" s="1"/>
  <c r="W139" i="3"/>
  <c r="P139" i="3" s="1" a="1"/>
  <c r="P139" i="3" s="1"/>
  <c r="W140" i="3"/>
  <c r="P140" i="3" s="1" a="1"/>
  <c r="P140" i="3" s="1"/>
  <c r="W141" i="3"/>
  <c r="P141" i="3" s="1" a="1"/>
  <c r="P141" i="3" s="1"/>
  <c r="W142" i="3"/>
  <c r="P142" i="3" s="1" a="1"/>
  <c r="P142" i="3" s="1"/>
  <c r="W143" i="3"/>
  <c r="P143" i="3" s="1" a="1"/>
  <c r="P143" i="3" s="1"/>
  <c r="W144" i="3"/>
  <c r="P144" i="3" s="1" a="1"/>
  <c r="P144" i="3" s="1"/>
  <c r="W145" i="3"/>
  <c r="P145" i="3" s="1" a="1"/>
  <c r="P145" i="3" s="1"/>
  <c r="W146" i="3"/>
  <c r="P146" i="3" s="1" a="1"/>
  <c r="P146" i="3" s="1"/>
  <c r="W147" i="3"/>
  <c r="P147" i="3" s="1" a="1"/>
  <c r="P147" i="3" s="1"/>
  <c r="W148" i="3"/>
  <c r="P148" i="3" s="1" a="1"/>
  <c r="P148" i="3" s="1"/>
  <c r="W149" i="3"/>
  <c r="P149" i="3" s="1" a="1"/>
  <c r="P149" i="3" s="1"/>
  <c r="W150" i="3"/>
  <c r="P150" i="3" s="1" a="1"/>
  <c r="P150" i="3" s="1"/>
  <c r="W151" i="3"/>
  <c r="P151" i="3" s="1" a="1"/>
  <c r="P151" i="3" s="1"/>
  <c r="W152" i="3"/>
  <c r="P152" i="3" s="1" a="1"/>
  <c r="P152" i="3" s="1"/>
  <c r="W153" i="3"/>
  <c r="P153" i="3" s="1" a="1"/>
  <c r="P153" i="3" s="1"/>
  <c r="W154" i="3"/>
  <c r="P154" i="3" s="1" a="1"/>
  <c r="P154" i="3" s="1"/>
  <c r="W155" i="3"/>
  <c r="P155" i="3" s="1" a="1"/>
  <c r="P155" i="3" s="1"/>
  <c r="W156" i="3"/>
  <c r="P156" i="3" s="1" a="1"/>
  <c r="P156" i="3" s="1"/>
  <c r="W157" i="3"/>
  <c r="P157" i="3" s="1" a="1"/>
  <c r="P157" i="3" s="1"/>
  <c r="W158" i="3"/>
  <c r="P158" i="3" s="1" a="1"/>
  <c r="P158" i="3" s="1"/>
  <c r="W159" i="3"/>
  <c r="P159" i="3" s="1" a="1"/>
  <c r="P159" i="3" s="1"/>
  <c r="W160" i="3"/>
  <c r="P160" i="3" s="1" a="1"/>
  <c r="P160" i="3" s="1"/>
  <c r="W161" i="3"/>
  <c r="P161" i="3" s="1" a="1"/>
  <c r="P161" i="3" s="1"/>
  <c r="W162" i="3"/>
  <c r="P162" i="3" s="1" a="1"/>
  <c r="P162" i="3" s="1"/>
  <c r="W163" i="3"/>
  <c r="P163" i="3" s="1" a="1"/>
  <c r="P163" i="3" s="1"/>
  <c r="W164" i="3"/>
  <c r="P164" i="3" s="1" a="1"/>
  <c r="P164" i="3" s="1"/>
  <c r="W165" i="3"/>
  <c r="P165" i="3" s="1" a="1"/>
  <c r="P165" i="3" s="1"/>
  <c r="W166" i="3"/>
  <c r="P166" i="3" s="1" a="1"/>
  <c r="P166" i="3" s="1"/>
  <c r="W167" i="3"/>
  <c r="P167" i="3" s="1" a="1"/>
  <c r="P167" i="3" s="1"/>
  <c r="W168" i="3"/>
  <c r="P168" i="3" s="1" a="1"/>
  <c r="P168" i="3" s="1"/>
  <c r="W169" i="3"/>
  <c r="P169" i="3" s="1" a="1"/>
  <c r="P169" i="3" s="1"/>
  <c r="W170" i="3"/>
  <c r="P170" i="3" s="1" a="1"/>
  <c r="P170" i="3" s="1"/>
  <c r="W171" i="3"/>
  <c r="P171" i="3" s="1" a="1"/>
  <c r="P171" i="3" s="1"/>
  <c r="W172" i="3"/>
  <c r="P172" i="3" s="1" a="1"/>
  <c r="P172" i="3" s="1"/>
  <c r="W173" i="3"/>
  <c r="P173" i="3" s="1" a="1"/>
  <c r="P173" i="3" s="1"/>
  <c r="W174" i="3"/>
  <c r="P174" i="3" s="1" a="1"/>
  <c r="P174" i="3" s="1"/>
  <c r="W175" i="3"/>
  <c r="P175" i="3" s="1" a="1"/>
  <c r="P175" i="3" s="1"/>
  <c r="W176" i="3"/>
  <c r="P176" i="3" s="1" a="1"/>
  <c r="P176" i="3" s="1"/>
  <c r="W177" i="3"/>
  <c r="P177" i="3" s="1" a="1"/>
  <c r="P177" i="3" s="1"/>
  <c r="W178" i="3"/>
  <c r="P178" i="3" s="1" a="1"/>
  <c r="P178" i="3" s="1"/>
  <c r="W179" i="3"/>
  <c r="P179" i="3" s="1" a="1"/>
  <c r="P179" i="3" s="1"/>
  <c r="W180" i="3"/>
  <c r="P180" i="3" s="1" a="1"/>
  <c r="P180" i="3" s="1"/>
  <c r="W181" i="3"/>
  <c r="P181" i="3" s="1" a="1"/>
  <c r="P181" i="3" s="1"/>
  <c r="W182" i="3"/>
  <c r="P182" i="3" s="1" a="1"/>
  <c r="P182" i="3" s="1"/>
  <c r="W183" i="3"/>
  <c r="P183" i="3" s="1" a="1"/>
  <c r="P183" i="3" s="1"/>
  <c r="W184" i="3"/>
  <c r="P184" i="3" s="1" a="1"/>
  <c r="P184" i="3" s="1"/>
  <c r="W185" i="3"/>
  <c r="P185" i="3" s="1" a="1"/>
  <c r="P185" i="3" s="1"/>
  <c r="W186" i="3"/>
  <c r="P186" i="3" s="1" a="1"/>
  <c r="P186" i="3" s="1"/>
  <c r="W187" i="3"/>
  <c r="P187" i="3" s="1" a="1"/>
  <c r="P187" i="3" s="1"/>
  <c r="W188" i="3"/>
  <c r="P188" i="3" s="1" a="1"/>
  <c r="P188" i="3" s="1"/>
  <c r="W189" i="3"/>
  <c r="P189" i="3" s="1" a="1"/>
  <c r="P189" i="3" s="1"/>
  <c r="W190" i="3"/>
  <c r="P190" i="3" s="1" a="1"/>
  <c r="P190" i="3" s="1"/>
  <c r="W191" i="3"/>
  <c r="P191" i="3" s="1" a="1"/>
  <c r="P191" i="3" s="1"/>
  <c r="W192" i="3"/>
  <c r="P192" i="3" s="1" a="1"/>
  <c r="P192" i="3" s="1"/>
  <c r="W193" i="3"/>
  <c r="P193" i="3" s="1" a="1"/>
  <c r="P193" i="3" s="1"/>
  <c r="W194" i="3"/>
  <c r="P194" i="3" s="1" a="1"/>
  <c r="P194" i="3" s="1"/>
  <c r="W195" i="3"/>
  <c r="P195" i="3" s="1" a="1"/>
  <c r="P195" i="3" s="1"/>
  <c r="W196" i="3"/>
  <c r="P196" i="3" s="1" a="1"/>
  <c r="P196" i="3" s="1"/>
  <c r="W197" i="3"/>
  <c r="P197" i="3" s="1" a="1"/>
  <c r="P197" i="3" s="1"/>
  <c r="W198" i="3"/>
  <c r="P198" i="3" s="1" a="1"/>
  <c r="P198" i="3" s="1"/>
  <c r="W199" i="3"/>
  <c r="P199" i="3" s="1" a="1"/>
  <c r="P199" i="3" s="1"/>
  <c r="W2" i="3"/>
  <c r="P2" i="3" s="1" a="1"/>
  <c r="P2" i="3" s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V3" i="3"/>
  <c r="H3" i="3" s="1" a="1"/>
  <c r="H3" i="3" s="1"/>
  <c r="V4" i="3"/>
  <c r="H4" i="3" s="1" a="1"/>
  <c r="H4" i="3" s="1"/>
  <c r="V5" i="3"/>
  <c r="H5" i="3" s="1" a="1"/>
  <c r="H5" i="3" s="1"/>
  <c r="V6" i="3"/>
  <c r="H6" i="3" s="1" a="1"/>
  <c r="H6" i="3" s="1"/>
  <c r="V7" i="3"/>
  <c r="H7" i="3" s="1" a="1"/>
  <c r="H7" i="3" s="1"/>
  <c r="V8" i="3"/>
  <c r="H8" i="3" s="1" a="1"/>
  <c r="H8" i="3" s="1"/>
  <c r="V9" i="3"/>
  <c r="H9" i="3" s="1" a="1"/>
  <c r="H9" i="3" s="1"/>
  <c r="V10" i="3"/>
  <c r="H10" i="3" s="1" a="1"/>
  <c r="H10" i="3" s="1"/>
  <c r="V11" i="3"/>
  <c r="H11" i="3" s="1" a="1"/>
  <c r="H11" i="3" s="1"/>
  <c r="V12" i="3"/>
  <c r="H12" i="3" s="1" a="1"/>
  <c r="H12" i="3" s="1"/>
  <c r="V13" i="3"/>
  <c r="H13" i="3" s="1" a="1"/>
  <c r="H13" i="3" s="1"/>
  <c r="V14" i="3"/>
  <c r="H14" i="3" s="1" a="1"/>
  <c r="H14" i="3" s="1"/>
  <c r="V15" i="3"/>
  <c r="H15" i="3" s="1" a="1"/>
  <c r="H15" i="3" s="1"/>
  <c r="V16" i="3"/>
  <c r="H16" i="3" s="1" a="1"/>
  <c r="H16" i="3" s="1"/>
  <c r="V17" i="3"/>
  <c r="H17" i="3" s="1" a="1"/>
  <c r="H17" i="3" s="1"/>
  <c r="V18" i="3"/>
  <c r="H18" i="3" s="1" a="1"/>
  <c r="H18" i="3" s="1"/>
  <c r="V19" i="3"/>
  <c r="H19" i="3" s="1" a="1"/>
  <c r="H19" i="3" s="1"/>
  <c r="V20" i="3"/>
  <c r="H20" i="3" s="1" a="1"/>
  <c r="H20" i="3" s="1"/>
  <c r="V21" i="3"/>
  <c r="H21" i="3" s="1" a="1"/>
  <c r="H21" i="3" s="1"/>
  <c r="V22" i="3"/>
  <c r="H22" i="3" s="1" a="1"/>
  <c r="H22" i="3" s="1"/>
  <c r="V23" i="3"/>
  <c r="H23" i="3" s="1" a="1"/>
  <c r="H23" i="3" s="1"/>
  <c r="V24" i="3"/>
  <c r="H24" i="3" s="1" a="1"/>
  <c r="H24" i="3" s="1"/>
  <c r="V25" i="3"/>
  <c r="H25" i="3" s="1" a="1"/>
  <c r="H25" i="3" s="1"/>
  <c r="V26" i="3"/>
  <c r="H26" i="3" s="1" a="1"/>
  <c r="H26" i="3" s="1"/>
  <c r="V27" i="3"/>
  <c r="H27" i="3" s="1" a="1"/>
  <c r="H27" i="3" s="1"/>
  <c r="V28" i="3"/>
  <c r="H28" i="3" s="1" a="1"/>
  <c r="H28" i="3" s="1"/>
  <c r="V29" i="3"/>
  <c r="H29" i="3" s="1" a="1"/>
  <c r="H29" i="3" s="1"/>
  <c r="V30" i="3"/>
  <c r="H30" i="3" s="1" a="1"/>
  <c r="H30" i="3" s="1"/>
  <c r="V31" i="3"/>
  <c r="H31" i="3" s="1" a="1"/>
  <c r="H31" i="3" s="1"/>
  <c r="V32" i="3"/>
  <c r="H32" i="3" s="1" a="1"/>
  <c r="H32" i="3" s="1"/>
  <c r="V33" i="3"/>
  <c r="H33" i="3" s="1" a="1"/>
  <c r="H33" i="3" s="1"/>
  <c r="V34" i="3"/>
  <c r="H34" i="3" s="1" a="1"/>
  <c r="H34" i="3" s="1"/>
  <c r="V35" i="3"/>
  <c r="H35" i="3" s="1" a="1"/>
  <c r="H35" i="3" s="1"/>
  <c r="V36" i="3"/>
  <c r="H36" i="3" s="1" a="1"/>
  <c r="H36" i="3" s="1"/>
  <c r="V37" i="3"/>
  <c r="H37" i="3" s="1" a="1"/>
  <c r="H37" i="3" s="1"/>
  <c r="V38" i="3"/>
  <c r="H38" i="3" s="1" a="1"/>
  <c r="H38" i="3" s="1"/>
  <c r="V39" i="3"/>
  <c r="H39" i="3" s="1" a="1"/>
  <c r="H39" i="3" s="1"/>
  <c r="V40" i="3"/>
  <c r="H40" i="3" s="1" a="1"/>
  <c r="H40" i="3" s="1"/>
  <c r="V41" i="3"/>
  <c r="H41" i="3" s="1" a="1"/>
  <c r="H41" i="3" s="1"/>
  <c r="V42" i="3"/>
  <c r="H42" i="3" s="1" a="1"/>
  <c r="H42" i="3" s="1"/>
  <c r="V43" i="3"/>
  <c r="H43" i="3" s="1" a="1"/>
  <c r="H43" i="3" s="1"/>
  <c r="V44" i="3"/>
  <c r="H44" i="3" s="1" a="1"/>
  <c r="H44" i="3" s="1"/>
  <c r="V45" i="3"/>
  <c r="H45" i="3" s="1" a="1"/>
  <c r="H45" i="3" s="1"/>
  <c r="V46" i="3"/>
  <c r="H46" i="3" s="1" a="1"/>
  <c r="H46" i="3" s="1"/>
  <c r="V47" i="3"/>
  <c r="H47" i="3" s="1" a="1"/>
  <c r="H47" i="3" s="1"/>
  <c r="V48" i="3"/>
  <c r="H48" i="3" s="1" a="1"/>
  <c r="H48" i="3" s="1"/>
  <c r="V49" i="3"/>
  <c r="H49" i="3" s="1" a="1"/>
  <c r="H49" i="3" s="1"/>
  <c r="V50" i="3"/>
  <c r="H50" i="3" s="1" a="1"/>
  <c r="H50" i="3" s="1"/>
  <c r="V51" i="3"/>
  <c r="H51" i="3" s="1" a="1"/>
  <c r="H51" i="3" s="1"/>
  <c r="V52" i="3"/>
  <c r="H52" i="3" s="1" a="1"/>
  <c r="H52" i="3" s="1"/>
  <c r="V53" i="3"/>
  <c r="H53" i="3" s="1" a="1"/>
  <c r="H53" i="3" s="1"/>
  <c r="V54" i="3"/>
  <c r="H54" i="3" s="1" a="1"/>
  <c r="H54" i="3" s="1"/>
  <c r="V55" i="3"/>
  <c r="H55" i="3" s="1" a="1"/>
  <c r="H55" i="3" s="1"/>
  <c r="V56" i="3"/>
  <c r="H56" i="3" s="1" a="1"/>
  <c r="H56" i="3" s="1"/>
  <c r="V57" i="3"/>
  <c r="H57" i="3" s="1" a="1"/>
  <c r="H57" i="3" s="1"/>
  <c r="V58" i="3"/>
  <c r="H58" i="3" s="1" a="1"/>
  <c r="H58" i="3" s="1"/>
  <c r="V59" i="3"/>
  <c r="H59" i="3" s="1" a="1"/>
  <c r="H59" i="3" s="1"/>
  <c r="V60" i="3"/>
  <c r="H60" i="3" s="1" a="1"/>
  <c r="H60" i="3" s="1"/>
  <c r="V61" i="3"/>
  <c r="H61" i="3" s="1" a="1"/>
  <c r="H61" i="3" s="1"/>
  <c r="V62" i="3"/>
  <c r="H62" i="3" s="1" a="1"/>
  <c r="H62" i="3" s="1"/>
  <c r="V63" i="3"/>
  <c r="H63" i="3" s="1" a="1"/>
  <c r="H63" i="3" s="1"/>
  <c r="V64" i="3"/>
  <c r="H64" i="3" s="1" a="1"/>
  <c r="H64" i="3" s="1"/>
  <c r="V65" i="3"/>
  <c r="H65" i="3" s="1" a="1"/>
  <c r="H65" i="3" s="1"/>
  <c r="V66" i="3"/>
  <c r="H66" i="3" s="1" a="1"/>
  <c r="H66" i="3" s="1"/>
  <c r="V67" i="3"/>
  <c r="H67" i="3" s="1" a="1"/>
  <c r="H67" i="3" s="1"/>
  <c r="V68" i="3"/>
  <c r="H68" i="3" s="1" a="1"/>
  <c r="H68" i="3" s="1"/>
  <c r="V69" i="3"/>
  <c r="H69" i="3" s="1" a="1"/>
  <c r="H69" i="3" s="1"/>
  <c r="V70" i="3"/>
  <c r="H70" i="3" s="1" a="1"/>
  <c r="H70" i="3" s="1"/>
  <c r="V71" i="3"/>
  <c r="H71" i="3" s="1" a="1"/>
  <c r="H71" i="3" s="1"/>
  <c r="V72" i="3"/>
  <c r="H72" i="3" s="1" a="1"/>
  <c r="H72" i="3" s="1"/>
  <c r="V73" i="3"/>
  <c r="H73" i="3" s="1" a="1"/>
  <c r="H73" i="3" s="1"/>
  <c r="V74" i="3"/>
  <c r="H74" i="3" s="1" a="1"/>
  <c r="H74" i="3" s="1"/>
  <c r="V75" i="3"/>
  <c r="H75" i="3" s="1" a="1"/>
  <c r="H75" i="3" s="1"/>
  <c r="V76" i="3"/>
  <c r="H76" i="3" s="1" a="1"/>
  <c r="H76" i="3" s="1"/>
  <c r="V77" i="3"/>
  <c r="H77" i="3" s="1" a="1"/>
  <c r="H77" i="3" s="1"/>
  <c r="V78" i="3"/>
  <c r="H78" i="3" s="1" a="1"/>
  <c r="H78" i="3" s="1"/>
  <c r="V79" i="3"/>
  <c r="H79" i="3" s="1" a="1"/>
  <c r="H79" i="3" s="1"/>
  <c r="V80" i="3"/>
  <c r="H80" i="3" s="1" a="1"/>
  <c r="H80" i="3" s="1"/>
  <c r="V81" i="3"/>
  <c r="H81" i="3" s="1" a="1"/>
  <c r="H81" i="3" s="1"/>
  <c r="V82" i="3"/>
  <c r="H82" i="3" s="1" a="1"/>
  <c r="H82" i="3" s="1"/>
  <c r="V83" i="3"/>
  <c r="H83" i="3" s="1" a="1"/>
  <c r="H83" i="3" s="1"/>
  <c r="V84" i="3"/>
  <c r="H84" i="3" s="1" a="1"/>
  <c r="H84" i="3" s="1"/>
  <c r="V85" i="3"/>
  <c r="H85" i="3" s="1" a="1"/>
  <c r="H85" i="3" s="1"/>
  <c r="V86" i="3"/>
  <c r="H86" i="3" s="1" a="1"/>
  <c r="H86" i="3" s="1"/>
  <c r="V87" i="3"/>
  <c r="H87" i="3" s="1" a="1"/>
  <c r="H87" i="3" s="1"/>
  <c r="V88" i="3"/>
  <c r="H88" i="3" s="1" a="1"/>
  <c r="H88" i="3" s="1"/>
  <c r="V89" i="3"/>
  <c r="H89" i="3" s="1" a="1"/>
  <c r="H89" i="3" s="1"/>
  <c r="V90" i="3"/>
  <c r="H90" i="3" s="1" a="1"/>
  <c r="H90" i="3" s="1"/>
  <c r="V91" i="3"/>
  <c r="H91" i="3" s="1" a="1"/>
  <c r="H91" i="3" s="1"/>
  <c r="V92" i="3"/>
  <c r="H92" i="3" s="1" a="1"/>
  <c r="H92" i="3" s="1"/>
  <c r="V93" i="3"/>
  <c r="H93" i="3" s="1" a="1"/>
  <c r="H93" i="3" s="1"/>
  <c r="V94" i="3"/>
  <c r="H94" i="3" s="1" a="1"/>
  <c r="H94" i="3" s="1"/>
  <c r="V95" i="3"/>
  <c r="H95" i="3" s="1" a="1"/>
  <c r="H95" i="3" s="1"/>
  <c r="V96" i="3"/>
  <c r="H96" i="3" s="1" a="1"/>
  <c r="H96" i="3" s="1"/>
  <c r="V97" i="3"/>
  <c r="H97" i="3" s="1" a="1"/>
  <c r="H97" i="3" s="1"/>
  <c r="V98" i="3"/>
  <c r="H98" i="3" s="1" a="1"/>
  <c r="H98" i="3" s="1"/>
  <c r="V99" i="3"/>
  <c r="H99" i="3" s="1" a="1"/>
  <c r="H99" i="3" s="1"/>
  <c r="V100" i="3"/>
  <c r="H100" i="3" s="1" a="1"/>
  <c r="H100" i="3" s="1"/>
  <c r="V101" i="3"/>
  <c r="H101" i="3" s="1" a="1"/>
  <c r="H101" i="3" s="1"/>
  <c r="V102" i="3"/>
  <c r="H102" i="3" s="1" a="1"/>
  <c r="H102" i="3" s="1"/>
  <c r="V103" i="3"/>
  <c r="H103" i="3" s="1" a="1"/>
  <c r="H103" i="3" s="1"/>
  <c r="V104" i="3"/>
  <c r="H104" i="3" s="1" a="1"/>
  <c r="H104" i="3" s="1"/>
  <c r="V105" i="3"/>
  <c r="H105" i="3" s="1" a="1"/>
  <c r="H105" i="3" s="1"/>
  <c r="V106" i="3"/>
  <c r="H106" i="3" s="1" a="1"/>
  <c r="H106" i="3" s="1"/>
  <c r="V107" i="3"/>
  <c r="H107" i="3" s="1" a="1"/>
  <c r="H107" i="3" s="1"/>
  <c r="V108" i="3"/>
  <c r="H108" i="3" s="1" a="1"/>
  <c r="H108" i="3" s="1"/>
  <c r="V109" i="3"/>
  <c r="H109" i="3" s="1" a="1"/>
  <c r="H109" i="3" s="1"/>
  <c r="V110" i="3"/>
  <c r="H110" i="3" s="1" a="1"/>
  <c r="H110" i="3" s="1"/>
  <c r="V111" i="3"/>
  <c r="H111" i="3" s="1" a="1"/>
  <c r="H111" i="3" s="1"/>
  <c r="V112" i="3"/>
  <c r="H112" i="3" s="1" a="1"/>
  <c r="H112" i="3" s="1"/>
  <c r="V113" i="3"/>
  <c r="H113" i="3" s="1" a="1"/>
  <c r="H113" i="3" s="1"/>
  <c r="V114" i="3"/>
  <c r="H114" i="3" s="1" a="1"/>
  <c r="H114" i="3" s="1"/>
  <c r="V115" i="3"/>
  <c r="H115" i="3" s="1" a="1"/>
  <c r="H115" i="3" s="1"/>
  <c r="V116" i="3"/>
  <c r="H116" i="3" s="1" a="1"/>
  <c r="H116" i="3" s="1"/>
  <c r="V117" i="3"/>
  <c r="H117" i="3" s="1" a="1"/>
  <c r="H117" i="3" s="1"/>
  <c r="V118" i="3"/>
  <c r="H118" i="3" s="1" a="1"/>
  <c r="H118" i="3" s="1"/>
  <c r="V119" i="3"/>
  <c r="H119" i="3" s="1" a="1"/>
  <c r="H119" i="3" s="1"/>
  <c r="V120" i="3"/>
  <c r="H120" i="3" s="1" a="1"/>
  <c r="H120" i="3" s="1"/>
  <c r="V121" i="3"/>
  <c r="H121" i="3" s="1" a="1"/>
  <c r="H121" i="3" s="1"/>
  <c r="V122" i="3"/>
  <c r="H122" i="3" s="1" a="1"/>
  <c r="H122" i="3" s="1"/>
  <c r="V123" i="3"/>
  <c r="H123" i="3" s="1" a="1"/>
  <c r="H123" i="3" s="1"/>
  <c r="V124" i="3"/>
  <c r="H124" i="3" s="1" a="1"/>
  <c r="H124" i="3" s="1"/>
  <c r="V125" i="3"/>
  <c r="H125" i="3" s="1" a="1"/>
  <c r="H125" i="3" s="1"/>
  <c r="V126" i="3"/>
  <c r="H126" i="3" s="1" a="1"/>
  <c r="H126" i="3" s="1"/>
  <c r="V127" i="3"/>
  <c r="H127" i="3" s="1" a="1"/>
  <c r="H127" i="3" s="1"/>
  <c r="V128" i="3"/>
  <c r="H128" i="3" s="1" a="1"/>
  <c r="H128" i="3" s="1"/>
  <c r="V129" i="3"/>
  <c r="H129" i="3" s="1" a="1"/>
  <c r="H129" i="3" s="1"/>
  <c r="V130" i="3"/>
  <c r="H130" i="3" s="1" a="1"/>
  <c r="H130" i="3" s="1"/>
  <c r="V131" i="3"/>
  <c r="H131" i="3" s="1" a="1"/>
  <c r="H131" i="3" s="1"/>
  <c r="V132" i="3"/>
  <c r="H132" i="3" s="1" a="1"/>
  <c r="H132" i="3" s="1"/>
  <c r="V133" i="3"/>
  <c r="H133" i="3" s="1" a="1"/>
  <c r="H133" i="3" s="1"/>
  <c r="V134" i="3"/>
  <c r="H134" i="3" s="1" a="1"/>
  <c r="H134" i="3" s="1"/>
  <c r="V135" i="3"/>
  <c r="H135" i="3" s="1" a="1"/>
  <c r="H135" i="3" s="1"/>
  <c r="V136" i="3"/>
  <c r="H136" i="3" s="1" a="1"/>
  <c r="H136" i="3" s="1"/>
  <c r="V137" i="3"/>
  <c r="H137" i="3" s="1" a="1"/>
  <c r="H137" i="3" s="1"/>
  <c r="V138" i="3"/>
  <c r="H138" i="3" s="1" a="1"/>
  <c r="H138" i="3" s="1"/>
  <c r="V139" i="3"/>
  <c r="H139" i="3" s="1" a="1"/>
  <c r="H139" i="3" s="1"/>
  <c r="V140" i="3"/>
  <c r="H140" i="3" s="1" a="1"/>
  <c r="H140" i="3" s="1"/>
  <c r="V141" i="3"/>
  <c r="H141" i="3" s="1" a="1"/>
  <c r="H141" i="3" s="1"/>
  <c r="V142" i="3"/>
  <c r="H142" i="3" s="1" a="1"/>
  <c r="H142" i="3" s="1"/>
  <c r="V143" i="3"/>
  <c r="H143" i="3" s="1" a="1"/>
  <c r="H143" i="3" s="1"/>
  <c r="V144" i="3"/>
  <c r="H144" i="3" s="1" a="1"/>
  <c r="H144" i="3" s="1"/>
  <c r="V145" i="3"/>
  <c r="H145" i="3" s="1" a="1"/>
  <c r="H145" i="3" s="1"/>
  <c r="V146" i="3"/>
  <c r="H146" i="3" s="1" a="1"/>
  <c r="H146" i="3" s="1"/>
  <c r="V147" i="3"/>
  <c r="H147" i="3" s="1" a="1"/>
  <c r="H147" i="3" s="1"/>
  <c r="V148" i="3"/>
  <c r="H148" i="3" s="1" a="1"/>
  <c r="H148" i="3" s="1"/>
  <c r="V149" i="3"/>
  <c r="H149" i="3" s="1" a="1"/>
  <c r="H149" i="3" s="1"/>
  <c r="V150" i="3"/>
  <c r="H150" i="3" s="1" a="1"/>
  <c r="H150" i="3" s="1"/>
  <c r="V151" i="3"/>
  <c r="H151" i="3" s="1" a="1"/>
  <c r="H151" i="3" s="1"/>
  <c r="V152" i="3"/>
  <c r="H152" i="3" s="1" a="1"/>
  <c r="H152" i="3" s="1"/>
  <c r="V153" i="3"/>
  <c r="H153" i="3" s="1" a="1"/>
  <c r="H153" i="3" s="1"/>
  <c r="V154" i="3"/>
  <c r="H154" i="3" s="1" a="1"/>
  <c r="H154" i="3" s="1"/>
  <c r="V155" i="3"/>
  <c r="H155" i="3" s="1" a="1"/>
  <c r="H155" i="3" s="1"/>
  <c r="V156" i="3"/>
  <c r="H156" i="3" s="1" a="1"/>
  <c r="H156" i="3" s="1"/>
  <c r="V157" i="3"/>
  <c r="H157" i="3" s="1" a="1"/>
  <c r="H157" i="3" s="1"/>
  <c r="V158" i="3"/>
  <c r="H158" i="3" s="1" a="1"/>
  <c r="H158" i="3" s="1"/>
  <c r="V159" i="3"/>
  <c r="H159" i="3" s="1" a="1"/>
  <c r="H159" i="3" s="1"/>
  <c r="V160" i="3"/>
  <c r="H160" i="3" s="1" a="1"/>
  <c r="H160" i="3" s="1"/>
  <c r="V161" i="3"/>
  <c r="H161" i="3" s="1" a="1"/>
  <c r="H161" i="3" s="1"/>
  <c r="V162" i="3"/>
  <c r="H162" i="3" s="1" a="1"/>
  <c r="H162" i="3" s="1"/>
  <c r="V163" i="3"/>
  <c r="H163" i="3" s="1" a="1"/>
  <c r="H163" i="3" s="1"/>
  <c r="V164" i="3"/>
  <c r="H164" i="3" s="1" a="1"/>
  <c r="H164" i="3" s="1"/>
  <c r="V165" i="3"/>
  <c r="H165" i="3" s="1" a="1"/>
  <c r="H165" i="3" s="1"/>
  <c r="V166" i="3"/>
  <c r="H166" i="3" s="1" a="1"/>
  <c r="H166" i="3" s="1"/>
  <c r="V167" i="3"/>
  <c r="H167" i="3" s="1" a="1"/>
  <c r="H167" i="3" s="1"/>
  <c r="V168" i="3"/>
  <c r="H168" i="3" s="1" a="1"/>
  <c r="H168" i="3" s="1"/>
  <c r="V169" i="3"/>
  <c r="H169" i="3" s="1" a="1"/>
  <c r="H169" i="3" s="1"/>
  <c r="V170" i="3"/>
  <c r="H170" i="3" s="1" a="1"/>
  <c r="H170" i="3" s="1"/>
  <c r="V171" i="3"/>
  <c r="H171" i="3" s="1" a="1"/>
  <c r="H171" i="3" s="1"/>
  <c r="V172" i="3"/>
  <c r="H172" i="3" s="1" a="1"/>
  <c r="H172" i="3" s="1"/>
  <c r="V173" i="3"/>
  <c r="H173" i="3" s="1" a="1"/>
  <c r="H173" i="3" s="1"/>
  <c r="V174" i="3"/>
  <c r="H174" i="3" s="1" a="1"/>
  <c r="H174" i="3" s="1"/>
  <c r="V175" i="3"/>
  <c r="H175" i="3" s="1" a="1"/>
  <c r="H175" i="3" s="1"/>
  <c r="V176" i="3"/>
  <c r="H176" i="3" s="1" a="1"/>
  <c r="H176" i="3" s="1"/>
  <c r="V177" i="3"/>
  <c r="H177" i="3" s="1" a="1"/>
  <c r="H177" i="3" s="1"/>
  <c r="V178" i="3"/>
  <c r="H178" i="3" s="1" a="1"/>
  <c r="H178" i="3" s="1"/>
  <c r="V179" i="3"/>
  <c r="H179" i="3" s="1" a="1"/>
  <c r="H179" i="3" s="1"/>
  <c r="V180" i="3"/>
  <c r="H180" i="3" s="1" a="1"/>
  <c r="H180" i="3" s="1"/>
  <c r="V181" i="3"/>
  <c r="H181" i="3" s="1" a="1"/>
  <c r="H181" i="3" s="1"/>
  <c r="V182" i="3"/>
  <c r="H182" i="3" s="1" a="1"/>
  <c r="H182" i="3" s="1"/>
  <c r="V183" i="3"/>
  <c r="H183" i="3" s="1" a="1"/>
  <c r="H183" i="3" s="1"/>
  <c r="V184" i="3"/>
  <c r="H184" i="3" s="1" a="1"/>
  <c r="H184" i="3" s="1"/>
  <c r="V185" i="3"/>
  <c r="H185" i="3" s="1" a="1"/>
  <c r="H185" i="3" s="1"/>
  <c r="V186" i="3"/>
  <c r="H186" i="3" s="1" a="1"/>
  <c r="H186" i="3" s="1"/>
  <c r="V187" i="3"/>
  <c r="H187" i="3" s="1" a="1"/>
  <c r="H187" i="3" s="1"/>
  <c r="V188" i="3"/>
  <c r="H188" i="3" s="1" a="1"/>
  <c r="H188" i="3" s="1"/>
  <c r="V189" i="3"/>
  <c r="H189" i="3" s="1" a="1"/>
  <c r="H189" i="3" s="1"/>
  <c r="V190" i="3"/>
  <c r="H190" i="3" s="1" a="1"/>
  <c r="H190" i="3" s="1"/>
  <c r="V191" i="3"/>
  <c r="H191" i="3" s="1" a="1"/>
  <c r="H191" i="3" s="1"/>
  <c r="V192" i="3"/>
  <c r="H192" i="3" s="1" a="1"/>
  <c r="H192" i="3" s="1"/>
  <c r="V193" i="3"/>
  <c r="H193" i="3" s="1" a="1"/>
  <c r="H193" i="3" s="1"/>
  <c r="V194" i="3"/>
  <c r="H194" i="3" s="1" a="1"/>
  <c r="H194" i="3" s="1"/>
  <c r="V195" i="3"/>
  <c r="H195" i="3" s="1" a="1"/>
  <c r="H195" i="3" s="1"/>
  <c r="V196" i="3"/>
  <c r="H196" i="3" s="1" a="1"/>
  <c r="H196" i="3" s="1"/>
  <c r="V197" i="3"/>
  <c r="H197" i="3" s="1" a="1"/>
  <c r="H197" i="3" s="1"/>
  <c r="V198" i="3"/>
  <c r="H198" i="3" s="1" a="1"/>
  <c r="H198" i="3" s="1"/>
  <c r="V199" i="3"/>
  <c r="H199" i="3" s="1" a="1"/>
  <c r="H199" i="3" s="1"/>
  <c r="V2" i="3"/>
  <c r="H2" i="3" s="1" a="1"/>
  <c r="H2" i="3" s="1"/>
  <c r="G3" i="3" a="1"/>
  <c r="G3" i="3" s="1"/>
  <c r="G4" i="3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 s="1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16" i="3" a="1"/>
  <c r="G16" i="3" s="1"/>
  <c r="G17" i="3" a="1"/>
  <c r="G17" i="3" s="1"/>
  <c r="G18" i="3" a="1"/>
  <c r="G18" i="3" s="1"/>
  <c r="G19" i="3" a="1"/>
  <c r="G19" i="3" s="1"/>
  <c r="G20" i="3" a="1"/>
  <c r="G20" i="3" s="1"/>
  <c r="G21" i="3" a="1"/>
  <c r="G21" i="3" s="1"/>
  <c r="G22" i="3" a="1"/>
  <c r="G22" i="3" s="1"/>
  <c r="G23" i="3" a="1"/>
  <c r="G23" i="3" s="1"/>
  <c r="G24" i="3" a="1"/>
  <c r="G24" i="3" s="1"/>
  <c r="G25" i="3" a="1"/>
  <c r="G25" i="3" s="1"/>
  <c r="G26" i="3" a="1"/>
  <c r="G26" i="3" s="1"/>
  <c r="G27" i="3" a="1"/>
  <c r="G27" i="3" s="1"/>
  <c r="G28" i="3" a="1"/>
  <c r="G28" i="3" s="1"/>
  <c r="G29" i="3" a="1"/>
  <c r="G29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35" i="3" a="1"/>
  <c r="G35" i="3" s="1"/>
  <c r="G36" i="3" a="1"/>
  <c r="G36" i="3" s="1"/>
  <c r="G37" i="3" a="1"/>
  <c r="G37" i="3" s="1"/>
  <c r="G38" i="3" a="1"/>
  <c r="G38" i="3" s="1"/>
  <c r="G39" i="3" a="1"/>
  <c r="G39" i="3" s="1"/>
  <c r="G40" i="3" a="1"/>
  <c r="G40" i="3" s="1"/>
  <c r="G41" i="3" a="1"/>
  <c r="G41" i="3" s="1"/>
  <c r="G42" i="3" a="1"/>
  <c r="G42" i="3" s="1"/>
  <c r="G43" i="3" a="1"/>
  <c r="G43" i="3" s="1"/>
  <c r="G44" i="3" a="1"/>
  <c r="G44" i="3" s="1"/>
  <c r="G45" i="3" a="1"/>
  <c r="G45" i="3" s="1"/>
  <c r="G46" i="3" a="1"/>
  <c r="G46" i="3" s="1"/>
  <c r="G47" i="3" a="1"/>
  <c r="G47" i="3" s="1"/>
  <c r="G48" i="3" a="1"/>
  <c r="G48" i="3" s="1"/>
  <c r="G49" i="3" a="1"/>
  <c r="G49" i="3" s="1"/>
  <c r="G50" i="3" a="1"/>
  <c r="G50" i="3" s="1"/>
  <c r="G51" i="3" a="1"/>
  <c r="G51" i="3" s="1"/>
  <c r="G52" i="3" a="1"/>
  <c r="G52" i="3" s="1"/>
  <c r="G53" i="3" a="1"/>
  <c r="G53" i="3" s="1"/>
  <c r="G54" i="3" a="1"/>
  <c r="G54" i="3" s="1"/>
  <c r="G55" i="3" a="1"/>
  <c r="G55" i="3" s="1"/>
  <c r="G56" i="3" a="1"/>
  <c r="G56" i="3" s="1"/>
  <c r="G57" i="3" a="1"/>
  <c r="G57" i="3" s="1"/>
  <c r="G58" i="3" a="1"/>
  <c r="G58" i="3" s="1"/>
  <c r="G59" i="3" a="1"/>
  <c r="G59" i="3" s="1"/>
  <c r="G60" i="3" a="1"/>
  <c r="G60" i="3" s="1"/>
  <c r="G61" i="3" a="1"/>
  <c r="G61" i="3" s="1"/>
  <c r="G62" i="3" a="1"/>
  <c r="G62" i="3" s="1"/>
  <c r="G63" i="3" a="1"/>
  <c r="G63" i="3" s="1"/>
  <c r="G64" i="3" a="1"/>
  <c r="G64" i="3" s="1"/>
  <c r="G65" i="3" a="1"/>
  <c r="G65" i="3" s="1"/>
  <c r="G66" i="3" a="1"/>
  <c r="G66" i="3" s="1"/>
  <c r="G67" i="3" a="1"/>
  <c r="G67" i="3" s="1"/>
  <c r="G68" i="3" a="1"/>
  <c r="G68" i="3" s="1"/>
  <c r="G69" i="3" a="1"/>
  <c r="G69" i="3" s="1"/>
  <c r="G70" i="3" a="1"/>
  <c r="G70" i="3" s="1"/>
  <c r="G71" i="3" a="1"/>
  <c r="G71" i="3" s="1"/>
  <c r="G72" i="3" a="1"/>
  <c r="G72" i="3" s="1"/>
  <c r="G73" i="3" a="1"/>
  <c r="G73" i="3" s="1"/>
  <c r="G74" i="3" a="1"/>
  <c r="G74" i="3" s="1"/>
  <c r="G75" i="3" a="1"/>
  <c r="G75" i="3" s="1"/>
  <c r="G76" i="3" a="1"/>
  <c r="G76" i="3" s="1"/>
  <c r="G77" i="3" a="1"/>
  <c r="G77" i="3" s="1"/>
  <c r="G78" i="3" a="1"/>
  <c r="G78" i="3" s="1"/>
  <c r="G79" i="3" a="1"/>
  <c r="G79" i="3" s="1"/>
  <c r="G80" i="3" a="1"/>
  <c r="G80" i="3" s="1"/>
  <c r="G81" i="3" a="1"/>
  <c r="G81" i="3" s="1"/>
  <c r="G82" i="3" a="1"/>
  <c r="G82" i="3" s="1"/>
  <c r="G83" i="3" a="1"/>
  <c r="G83" i="3" s="1"/>
  <c r="G84" i="3" a="1"/>
  <c r="G84" i="3" s="1"/>
  <c r="G85" i="3" a="1"/>
  <c r="G85" i="3" s="1"/>
  <c r="G86" i="3" a="1"/>
  <c r="G86" i="3" s="1"/>
  <c r="G87" i="3" a="1"/>
  <c r="G87" i="3" s="1"/>
  <c r="G88" i="3" a="1"/>
  <c r="G88" i="3" s="1"/>
  <c r="G89" i="3" a="1"/>
  <c r="G89" i="3" s="1"/>
  <c r="G90" i="3" a="1"/>
  <c r="G90" i="3" s="1"/>
  <c r="G91" i="3" a="1"/>
  <c r="G91" i="3" s="1"/>
  <c r="G92" i="3" a="1"/>
  <c r="G92" i="3" s="1"/>
  <c r="G93" i="3" a="1"/>
  <c r="G93" i="3" s="1"/>
  <c r="G94" i="3" a="1"/>
  <c r="G94" i="3" s="1"/>
  <c r="G95" i="3" a="1"/>
  <c r="G95" i="3" s="1"/>
  <c r="G96" i="3" a="1"/>
  <c r="G96" i="3" s="1"/>
  <c r="G97" i="3" a="1"/>
  <c r="G97" i="3" s="1"/>
  <c r="G98" i="3" a="1"/>
  <c r="G98" i="3" s="1"/>
  <c r="G99" i="3" a="1"/>
  <c r="G99" i="3" s="1"/>
  <c r="G100" i="3" a="1"/>
  <c r="G100" i="3" s="1"/>
  <c r="G101" i="3" a="1"/>
  <c r="G101" i="3" s="1"/>
  <c r="G102" i="3" a="1"/>
  <c r="G102" i="3" s="1"/>
  <c r="G103" i="3" a="1"/>
  <c r="G103" i="3" s="1"/>
  <c r="G104" i="3" a="1"/>
  <c r="G104" i="3" s="1"/>
  <c r="G105" i="3" a="1"/>
  <c r="G105" i="3" s="1"/>
  <c r="G106" i="3" a="1"/>
  <c r="G106" i="3" s="1"/>
  <c r="G107" i="3" a="1"/>
  <c r="G107" i="3" s="1"/>
  <c r="G108" i="3" a="1"/>
  <c r="G108" i="3" s="1"/>
  <c r="G109" i="3" a="1"/>
  <c r="G109" i="3" s="1"/>
  <c r="G110" i="3" a="1"/>
  <c r="G110" i="3" s="1"/>
  <c r="G111" i="3" a="1"/>
  <c r="G111" i="3" s="1"/>
  <c r="G112" i="3" a="1"/>
  <c r="G112" i="3" s="1"/>
  <c r="G113" i="3" a="1"/>
  <c r="G113" i="3" s="1"/>
  <c r="G114" i="3" a="1"/>
  <c r="G114" i="3" s="1"/>
  <c r="G115" i="3" a="1"/>
  <c r="G115" i="3" s="1"/>
  <c r="G116" i="3" a="1"/>
  <c r="G116" i="3" s="1"/>
  <c r="G117" i="3" a="1"/>
  <c r="G117" i="3" s="1"/>
  <c r="G118" i="3" a="1"/>
  <c r="G118" i="3" s="1"/>
  <c r="G119" i="3" a="1"/>
  <c r="G119" i="3" s="1"/>
  <c r="G120" i="3" a="1"/>
  <c r="G120" i="3" s="1"/>
  <c r="G121" i="3" a="1"/>
  <c r="G121" i="3" s="1"/>
  <c r="G122" i="3" a="1"/>
  <c r="G122" i="3" s="1"/>
  <c r="G123" i="3" a="1"/>
  <c r="G123" i="3" s="1"/>
  <c r="G124" i="3" a="1"/>
  <c r="G124" i="3" s="1"/>
  <c r="G125" i="3" a="1"/>
  <c r="G125" i="3" s="1"/>
  <c r="G126" i="3" a="1"/>
  <c r="G126" i="3" s="1"/>
  <c r="G127" i="3" a="1"/>
  <c r="G127" i="3" s="1"/>
  <c r="G128" i="3" a="1"/>
  <c r="G128" i="3" s="1"/>
  <c r="G129" i="3" a="1"/>
  <c r="G129" i="3" s="1"/>
  <c r="G130" i="3" a="1"/>
  <c r="G130" i="3" s="1"/>
  <c r="G131" i="3" a="1"/>
  <c r="G131" i="3" s="1"/>
  <c r="G132" i="3" a="1"/>
  <c r="G132" i="3" s="1"/>
  <c r="G133" i="3" a="1"/>
  <c r="G133" i="3" s="1"/>
  <c r="G134" i="3" a="1"/>
  <c r="G134" i="3" s="1"/>
  <c r="G135" i="3" a="1"/>
  <c r="G135" i="3" s="1"/>
  <c r="G136" i="3" a="1"/>
  <c r="G136" i="3" s="1"/>
  <c r="G137" i="3" a="1"/>
  <c r="G137" i="3" s="1"/>
  <c r="G138" i="3" a="1"/>
  <c r="G138" i="3" s="1"/>
  <c r="G139" i="3" a="1"/>
  <c r="G139" i="3" s="1"/>
  <c r="G140" i="3" a="1"/>
  <c r="G140" i="3" s="1"/>
  <c r="G141" i="3" a="1"/>
  <c r="G141" i="3" s="1"/>
  <c r="G142" i="3" a="1"/>
  <c r="G142" i="3" s="1"/>
  <c r="G143" i="3" a="1"/>
  <c r="G143" i="3" s="1"/>
  <c r="G144" i="3" a="1"/>
  <c r="G144" i="3" s="1"/>
  <c r="G145" i="3" a="1"/>
  <c r="G145" i="3" s="1"/>
  <c r="G146" i="3" a="1"/>
  <c r="G146" i="3" s="1"/>
  <c r="G147" i="3" a="1"/>
  <c r="G147" i="3" s="1"/>
  <c r="G148" i="3" a="1"/>
  <c r="G148" i="3" s="1"/>
  <c r="G149" i="3" a="1"/>
  <c r="G149" i="3" s="1"/>
  <c r="G150" i="3" a="1"/>
  <c r="G150" i="3" s="1"/>
  <c r="G151" i="3" a="1"/>
  <c r="G151" i="3" s="1"/>
  <c r="G152" i="3" a="1"/>
  <c r="G152" i="3" s="1"/>
  <c r="G153" i="3" a="1"/>
  <c r="G153" i="3" s="1"/>
  <c r="G154" i="3" a="1"/>
  <c r="G154" i="3" s="1"/>
  <c r="G155" i="3" a="1"/>
  <c r="G155" i="3" s="1"/>
  <c r="G156" i="3" a="1"/>
  <c r="G156" i="3" s="1"/>
  <c r="G157" i="3" a="1"/>
  <c r="G157" i="3" s="1"/>
  <c r="G158" i="3" a="1"/>
  <c r="G158" i="3" s="1"/>
  <c r="G159" i="3" a="1"/>
  <c r="G159" i="3" s="1"/>
  <c r="G160" i="3" a="1"/>
  <c r="G160" i="3" s="1"/>
  <c r="G161" i="3" a="1"/>
  <c r="G161" i="3" s="1"/>
  <c r="G162" i="3" a="1"/>
  <c r="G162" i="3" s="1"/>
  <c r="G163" i="3" a="1"/>
  <c r="G163" i="3" s="1"/>
  <c r="G164" i="3" a="1"/>
  <c r="G164" i="3" s="1"/>
  <c r="G165" i="3" a="1"/>
  <c r="G165" i="3" s="1"/>
  <c r="G166" i="3" a="1"/>
  <c r="G166" i="3" s="1"/>
  <c r="G167" i="3" a="1"/>
  <c r="G167" i="3" s="1"/>
  <c r="G168" i="3" a="1"/>
  <c r="G168" i="3" s="1"/>
  <c r="G169" i="3" a="1"/>
  <c r="G169" i="3" s="1"/>
  <c r="G170" i="3" a="1"/>
  <c r="G170" i="3" s="1"/>
  <c r="G171" i="3" a="1"/>
  <c r="G171" i="3" s="1"/>
  <c r="G172" i="3" a="1"/>
  <c r="G172" i="3" s="1"/>
  <c r="G173" i="3" a="1"/>
  <c r="G173" i="3" s="1"/>
  <c r="G174" i="3" a="1"/>
  <c r="G174" i="3" s="1"/>
  <c r="G175" i="3" a="1"/>
  <c r="G175" i="3" s="1"/>
  <c r="G176" i="3" a="1"/>
  <c r="G176" i="3" s="1"/>
  <c r="G177" i="3" a="1"/>
  <c r="G177" i="3" s="1"/>
  <c r="G178" i="3" a="1"/>
  <c r="G178" i="3" s="1"/>
  <c r="G179" i="3" a="1"/>
  <c r="G179" i="3" s="1"/>
  <c r="G180" i="3" a="1"/>
  <c r="G180" i="3" s="1"/>
  <c r="G181" i="3" a="1"/>
  <c r="G181" i="3" s="1"/>
  <c r="G182" i="3" a="1"/>
  <c r="G182" i="3" s="1"/>
  <c r="G183" i="3" a="1"/>
  <c r="G183" i="3" s="1"/>
  <c r="G184" i="3" a="1"/>
  <c r="G184" i="3" s="1"/>
  <c r="G185" i="3" a="1"/>
  <c r="G185" i="3" s="1"/>
  <c r="G186" i="3" a="1"/>
  <c r="G186" i="3" s="1"/>
  <c r="G187" i="3" a="1"/>
  <c r="G187" i="3" s="1"/>
  <c r="G188" i="3" a="1"/>
  <c r="G188" i="3" s="1"/>
  <c r="G189" i="3" a="1"/>
  <c r="G189" i="3" s="1"/>
  <c r="G190" i="3" a="1"/>
  <c r="G190" i="3" s="1"/>
  <c r="G191" i="3" a="1"/>
  <c r="G191" i="3" s="1"/>
  <c r="G192" i="3" a="1"/>
  <c r="G192" i="3" s="1"/>
  <c r="G193" i="3" a="1"/>
  <c r="G193" i="3" s="1"/>
  <c r="G194" i="3" a="1"/>
  <c r="G194" i="3" s="1"/>
  <c r="G195" i="3" a="1"/>
  <c r="G195" i="3" s="1"/>
  <c r="G196" i="3" a="1"/>
  <c r="G196" i="3" s="1"/>
  <c r="G197" i="3" a="1"/>
  <c r="G197" i="3" s="1"/>
  <c r="G198" i="3" a="1"/>
  <c r="G198" i="3" s="1"/>
  <c r="G199" i="3" a="1"/>
  <c r="G199" i="3" s="1"/>
  <c r="G2" i="3" a="1"/>
  <c r="G2" i="3" s="1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" i="3"/>
  <c r="S14" i="2"/>
  <c r="E13" i="6" s="1"/>
  <c r="S19" i="2"/>
  <c r="E18" i="6" s="1"/>
  <c r="S20" i="2"/>
  <c r="E19" i="3" s="1"/>
  <c r="S22" i="2"/>
  <c r="E21" i="3" s="1"/>
  <c r="S24" i="2"/>
  <c r="E23" i="3" s="1"/>
  <c r="S26" i="2"/>
  <c r="E25" i="6" s="1"/>
  <c r="S27" i="2"/>
  <c r="E26" i="3" s="1"/>
  <c r="S29" i="2"/>
  <c r="E28" i="6" s="1"/>
  <c r="S30" i="2"/>
  <c r="E29" i="3" s="1"/>
  <c r="S32" i="2"/>
  <c r="E31" i="3" s="1"/>
  <c r="S38" i="2"/>
  <c r="E37" i="6" s="1"/>
  <c r="S43" i="2"/>
  <c r="E42" i="6" s="1"/>
  <c r="S44" i="2"/>
  <c r="E43" i="3" s="1"/>
  <c r="S46" i="2"/>
  <c r="E45" i="3" s="1"/>
  <c r="S48" i="2"/>
  <c r="E47" i="3" s="1"/>
  <c r="S53" i="2"/>
  <c r="E52" i="6" s="1"/>
  <c r="S54" i="2"/>
  <c r="E53" i="3" s="1"/>
  <c r="S61" i="2"/>
  <c r="E60" i="6" s="1"/>
  <c r="S62" i="2"/>
  <c r="E61" i="6" s="1"/>
  <c r="S67" i="2"/>
  <c r="E66" i="6" s="1"/>
  <c r="S68" i="2"/>
  <c r="E67" i="3" s="1"/>
  <c r="S70" i="2"/>
  <c r="E69" i="3" s="1"/>
  <c r="S72" i="2"/>
  <c r="E71" i="3" s="1"/>
  <c r="S75" i="2"/>
  <c r="E74" i="3" s="1"/>
  <c r="S77" i="2"/>
  <c r="E76" i="6" s="1"/>
  <c r="S78" i="2"/>
  <c r="E77" i="3" s="1"/>
  <c r="S86" i="2"/>
  <c r="E85" i="6" s="1"/>
  <c r="S91" i="2"/>
  <c r="S92" i="2"/>
  <c r="S94" i="2"/>
  <c r="E93" i="3" s="1"/>
  <c r="S96" i="2"/>
  <c r="S101" i="2"/>
  <c r="S102" i="2"/>
  <c r="S109" i="2"/>
  <c r="S110" i="2"/>
  <c r="S115" i="2"/>
  <c r="S116" i="2"/>
  <c r="S118" i="2"/>
  <c r="E117" i="3" s="1"/>
  <c r="S120" i="2"/>
  <c r="S125" i="2"/>
  <c r="S126" i="2"/>
  <c r="S133" i="2"/>
  <c r="S134" i="2"/>
  <c r="S139" i="2"/>
  <c r="S142" i="2"/>
  <c r="S144" i="2"/>
  <c r="S149" i="2"/>
  <c r="S150" i="2"/>
  <c r="S153" i="2"/>
  <c r="S158" i="2"/>
  <c r="S163" i="2"/>
  <c r="S164" i="2"/>
  <c r="S168" i="2"/>
  <c r="S171" i="2"/>
  <c r="S173" i="2"/>
  <c r="S174" i="2"/>
  <c r="S182" i="2"/>
  <c r="S192" i="2"/>
  <c r="S194" i="2"/>
  <c r="S197" i="2"/>
  <c r="S198" i="2"/>
  <c r="S5" i="2"/>
  <c r="E4" i="3" s="1"/>
  <c r="S6" i="2"/>
  <c r="E5" i="6" s="1"/>
  <c r="S13" i="2"/>
  <c r="E12" i="6" s="1"/>
  <c r="L3" i="2"/>
  <c r="Q3" i="2" s="1" a="1"/>
  <c r="Q3" i="2" s="1"/>
  <c r="L4" i="2"/>
  <c r="Q4" i="2" s="1" a="1"/>
  <c r="Q4" i="2" s="1"/>
  <c r="L5" i="2"/>
  <c r="Q5" i="2" s="1" a="1"/>
  <c r="Q5" i="2" s="1"/>
  <c r="L6" i="2"/>
  <c r="Q6" i="2" s="1" a="1"/>
  <c r="Q6" i="2" s="1"/>
  <c r="L7" i="2"/>
  <c r="Q7" i="2" s="1" a="1"/>
  <c r="Q7" i="2" s="1"/>
  <c r="L8" i="2"/>
  <c r="Q8" i="2" s="1" a="1"/>
  <c r="Q8" i="2" s="1"/>
  <c r="L9" i="2"/>
  <c r="Q9" i="2" s="1" a="1"/>
  <c r="Q9" i="2" s="1"/>
  <c r="L10" i="2"/>
  <c r="Q10" i="2" s="1" a="1"/>
  <c r="Q10" i="2" s="1"/>
  <c r="L11" i="2"/>
  <c r="Q11" i="2" s="1" a="1"/>
  <c r="Q11" i="2" s="1"/>
  <c r="L12" i="2"/>
  <c r="Q12" i="2" s="1" a="1"/>
  <c r="Q12" i="2" s="1"/>
  <c r="L13" i="2"/>
  <c r="Q13" i="2" s="1" a="1"/>
  <c r="Q13" i="2" s="1"/>
  <c r="L14" i="2"/>
  <c r="Q14" i="2" s="1" a="1"/>
  <c r="Q14" i="2" s="1"/>
  <c r="L15" i="2"/>
  <c r="Q15" i="2" s="1" a="1"/>
  <c r="Q15" i="2" s="1"/>
  <c r="L16" i="2"/>
  <c r="Q16" i="2" s="1" a="1"/>
  <c r="Q16" i="2" s="1"/>
  <c r="L17" i="2"/>
  <c r="Q17" i="2" s="1" a="1"/>
  <c r="Q17" i="2" s="1"/>
  <c r="L18" i="2"/>
  <c r="Q18" i="2" s="1" a="1"/>
  <c r="Q18" i="2" s="1"/>
  <c r="L19" i="2"/>
  <c r="Q19" i="2" s="1" a="1"/>
  <c r="Q19" i="2" s="1"/>
  <c r="L20" i="2"/>
  <c r="Q20" i="2" s="1" a="1"/>
  <c r="Q20" i="2" s="1"/>
  <c r="L21" i="2"/>
  <c r="Q21" i="2" s="1" a="1"/>
  <c r="Q21" i="2" s="1"/>
  <c r="L22" i="2"/>
  <c r="Q22" i="2" s="1" a="1"/>
  <c r="Q22" i="2" s="1"/>
  <c r="L23" i="2"/>
  <c r="Q23" i="2" s="1" a="1"/>
  <c r="Q23" i="2" s="1"/>
  <c r="L24" i="2"/>
  <c r="Q24" i="2" s="1" a="1"/>
  <c r="Q24" i="2" s="1"/>
  <c r="L25" i="2"/>
  <c r="Q25" i="2" s="1" a="1"/>
  <c r="Q25" i="2" s="1"/>
  <c r="L26" i="2"/>
  <c r="Q26" i="2" s="1" a="1"/>
  <c r="Q26" i="2" s="1"/>
  <c r="L27" i="2"/>
  <c r="Q27" i="2" s="1" a="1"/>
  <c r="Q27" i="2" s="1"/>
  <c r="L28" i="2"/>
  <c r="Q28" i="2" s="1" a="1"/>
  <c r="Q28" i="2" s="1"/>
  <c r="L29" i="2"/>
  <c r="Q29" i="2" s="1" a="1"/>
  <c r="Q29" i="2" s="1"/>
  <c r="L30" i="2"/>
  <c r="Q30" i="2" s="1" a="1"/>
  <c r="Q30" i="2" s="1"/>
  <c r="L31" i="2"/>
  <c r="Q31" i="2" s="1" a="1"/>
  <c r="Q31" i="2" s="1"/>
  <c r="L32" i="2"/>
  <c r="Q32" i="2" s="1" a="1"/>
  <c r="Q32" i="2" s="1"/>
  <c r="L33" i="2"/>
  <c r="Q33" i="2" s="1" a="1"/>
  <c r="Q33" i="2" s="1"/>
  <c r="L34" i="2"/>
  <c r="Q34" i="2" s="1" a="1"/>
  <c r="Q34" i="2" s="1"/>
  <c r="L35" i="2"/>
  <c r="Q35" i="2" s="1" a="1"/>
  <c r="Q35" i="2" s="1"/>
  <c r="L36" i="2"/>
  <c r="Q36" i="2" s="1" a="1"/>
  <c r="Q36" i="2" s="1"/>
  <c r="L37" i="2"/>
  <c r="Q37" i="2" s="1" a="1"/>
  <c r="Q37" i="2" s="1"/>
  <c r="L38" i="2"/>
  <c r="Q38" i="2" s="1" a="1"/>
  <c r="Q38" i="2" s="1"/>
  <c r="L39" i="2"/>
  <c r="Q39" i="2" s="1" a="1"/>
  <c r="Q39" i="2" s="1"/>
  <c r="L40" i="2"/>
  <c r="Q40" i="2" s="1" a="1"/>
  <c r="Q40" i="2" s="1"/>
  <c r="L41" i="2"/>
  <c r="Q41" i="2" s="1" a="1"/>
  <c r="Q41" i="2" s="1"/>
  <c r="L42" i="2"/>
  <c r="Q42" i="2" s="1" a="1"/>
  <c r="Q42" i="2" s="1"/>
  <c r="L43" i="2"/>
  <c r="Q43" i="2" s="1" a="1"/>
  <c r="Q43" i="2" s="1"/>
  <c r="L44" i="2"/>
  <c r="Q44" i="2" s="1" a="1"/>
  <c r="Q44" i="2" s="1"/>
  <c r="L45" i="2"/>
  <c r="Q45" i="2" s="1" a="1"/>
  <c r="Q45" i="2" s="1"/>
  <c r="L46" i="2"/>
  <c r="Q46" i="2" s="1" a="1"/>
  <c r="Q46" i="2" s="1"/>
  <c r="L47" i="2"/>
  <c r="Q47" i="2" s="1" a="1"/>
  <c r="Q47" i="2" s="1"/>
  <c r="L48" i="2"/>
  <c r="Q48" i="2" s="1" a="1"/>
  <c r="Q48" i="2" s="1"/>
  <c r="L49" i="2"/>
  <c r="Q49" i="2" s="1" a="1"/>
  <c r="Q49" i="2" s="1"/>
  <c r="L50" i="2"/>
  <c r="Q50" i="2" s="1" a="1"/>
  <c r="Q50" i="2" s="1"/>
  <c r="L51" i="2"/>
  <c r="Q51" i="2" s="1" a="1"/>
  <c r="Q51" i="2" s="1"/>
  <c r="L52" i="2"/>
  <c r="Q52" i="2" s="1" a="1"/>
  <c r="Q52" i="2" s="1"/>
  <c r="L53" i="2"/>
  <c r="Q53" i="2" s="1" a="1"/>
  <c r="Q53" i="2" s="1"/>
  <c r="L54" i="2"/>
  <c r="Q54" i="2" s="1" a="1"/>
  <c r="Q54" i="2" s="1"/>
  <c r="L55" i="2"/>
  <c r="Q55" i="2" s="1" a="1"/>
  <c r="Q55" i="2" s="1"/>
  <c r="L56" i="2"/>
  <c r="Q56" i="2" s="1" a="1"/>
  <c r="Q56" i="2" s="1"/>
  <c r="L57" i="2"/>
  <c r="Q57" i="2" s="1" a="1"/>
  <c r="Q57" i="2" s="1"/>
  <c r="L58" i="2"/>
  <c r="Q58" i="2" s="1" a="1"/>
  <c r="Q58" i="2" s="1"/>
  <c r="L59" i="2"/>
  <c r="Q59" i="2" s="1" a="1"/>
  <c r="Q59" i="2" s="1"/>
  <c r="L60" i="2"/>
  <c r="Q60" i="2" s="1" a="1"/>
  <c r="Q60" i="2" s="1"/>
  <c r="L61" i="2"/>
  <c r="Q61" i="2" s="1" a="1"/>
  <c r="Q61" i="2" s="1"/>
  <c r="L62" i="2"/>
  <c r="Q62" i="2" s="1" a="1"/>
  <c r="Q62" i="2" s="1"/>
  <c r="L63" i="2"/>
  <c r="Q63" i="2" s="1" a="1"/>
  <c r="Q63" i="2" s="1"/>
  <c r="L64" i="2"/>
  <c r="Q64" i="2" s="1" a="1"/>
  <c r="Q64" i="2" s="1"/>
  <c r="L65" i="2"/>
  <c r="Q65" i="2" s="1" a="1"/>
  <c r="Q65" i="2" s="1"/>
  <c r="L66" i="2"/>
  <c r="Q66" i="2" s="1" a="1"/>
  <c r="Q66" i="2" s="1"/>
  <c r="L67" i="2"/>
  <c r="Q67" i="2" s="1" a="1"/>
  <c r="Q67" i="2" s="1"/>
  <c r="L68" i="2"/>
  <c r="Q68" i="2" s="1" a="1"/>
  <c r="Q68" i="2" s="1"/>
  <c r="L69" i="2"/>
  <c r="Q69" i="2" s="1" a="1"/>
  <c r="Q69" i="2" s="1"/>
  <c r="L70" i="2"/>
  <c r="Q70" i="2" s="1" a="1"/>
  <c r="Q70" i="2" s="1"/>
  <c r="L71" i="2"/>
  <c r="Q71" i="2" s="1" a="1"/>
  <c r="Q71" i="2" s="1"/>
  <c r="L72" i="2"/>
  <c r="Q72" i="2" s="1" a="1"/>
  <c r="Q72" i="2" s="1"/>
  <c r="L73" i="2"/>
  <c r="Q73" i="2" s="1" a="1"/>
  <c r="Q73" i="2" s="1"/>
  <c r="L74" i="2"/>
  <c r="Q74" i="2" s="1" a="1"/>
  <c r="Q74" i="2" s="1"/>
  <c r="L75" i="2"/>
  <c r="Q75" i="2" s="1" a="1"/>
  <c r="Q75" i="2" s="1"/>
  <c r="L76" i="2"/>
  <c r="Q76" i="2" s="1" a="1"/>
  <c r="Q76" i="2" s="1"/>
  <c r="L77" i="2"/>
  <c r="Q77" i="2" s="1" a="1"/>
  <c r="Q77" i="2" s="1"/>
  <c r="L78" i="2"/>
  <c r="Q78" i="2" s="1" a="1"/>
  <c r="Q78" i="2" s="1"/>
  <c r="L79" i="2"/>
  <c r="Q79" i="2" s="1" a="1"/>
  <c r="Q79" i="2" s="1"/>
  <c r="L80" i="2"/>
  <c r="Q80" i="2" s="1" a="1"/>
  <c r="Q80" i="2" s="1"/>
  <c r="L81" i="2"/>
  <c r="Q81" i="2" s="1" a="1"/>
  <c r="Q81" i="2" s="1"/>
  <c r="L82" i="2"/>
  <c r="Q82" i="2" s="1" a="1"/>
  <c r="Q82" i="2" s="1"/>
  <c r="L83" i="2"/>
  <c r="Q83" i="2" s="1" a="1"/>
  <c r="Q83" i="2" s="1"/>
  <c r="L84" i="2"/>
  <c r="Q84" i="2" s="1" a="1"/>
  <c r="Q84" i="2" s="1"/>
  <c r="L85" i="2"/>
  <c r="Q85" i="2" s="1" a="1"/>
  <c r="Q85" i="2" s="1"/>
  <c r="L86" i="2"/>
  <c r="Q86" i="2" s="1" a="1"/>
  <c r="Q86" i="2" s="1"/>
  <c r="L87" i="2"/>
  <c r="Q87" i="2" s="1" a="1"/>
  <c r="Q87" i="2" s="1"/>
  <c r="L88" i="2"/>
  <c r="Q88" i="2" s="1" a="1"/>
  <c r="Q88" i="2" s="1"/>
  <c r="L89" i="2"/>
  <c r="Q89" i="2" s="1" a="1"/>
  <c r="Q89" i="2" s="1"/>
  <c r="L90" i="2"/>
  <c r="Q90" i="2" s="1" a="1"/>
  <c r="Q90" i="2" s="1"/>
  <c r="L91" i="2"/>
  <c r="Q91" i="2" s="1" a="1"/>
  <c r="Q91" i="2" s="1"/>
  <c r="L92" i="2"/>
  <c r="Q92" i="2" s="1" a="1"/>
  <c r="Q92" i="2" s="1"/>
  <c r="L93" i="2"/>
  <c r="Q93" i="2" s="1" a="1"/>
  <c r="Q93" i="2" s="1"/>
  <c r="L94" i="2"/>
  <c r="Q94" i="2" s="1" a="1"/>
  <c r="Q94" i="2" s="1"/>
  <c r="L95" i="2"/>
  <c r="Q95" i="2" s="1" a="1"/>
  <c r="Q95" i="2" s="1"/>
  <c r="L96" i="2"/>
  <c r="Q96" i="2" s="1" a="1"/>
  <c r="Q96" i="2" s="1"/>
  <c r="L97" i="2"/>
  <c r="Q97" i="2" s="1" a="1"/>
  <c r="Q97" i="2" s="1"/>
  <c r="L98" i="2"/>
  <c r="Q98" i="2" s="1" a="1"/>
  <c r="Q98" i="2" s="1"/>
  <c r="L99" i="2"/>
  <c r="Q99" i="2" s="1" a="1"/>
  <c r="Q99" i="2" s="1"/>
  <c r="L100" i="2"/>
  <c r="Q100" i="2" s="1" a="1"/>
  <c r="Q100" i="2" s="1"/>
  <c r="L101" i="2"/>
  <c r="Q101" i="2" s="1" a="1"/>
  <c r="Q101" i="2" s="1"/>
  <c r="L102" i="2"/>
  <c r="Q102" i="2" s="1" a="1"/>
  <c r="Q102" i="2" s="1"/>
  <c r="L103" i="2"/>
  <c r="Q103" i="2" s="1" a="1"/>
  <c r="Q103" i="2" s="1"/>
  <c r="L104" i="2"/>
  <c r="Q104" i="2" s="1" a="1"/>
  <c r="Q104" i="2" s="1"/>
  <c r="L105" i="2"/>
  <c r="Q105" i="2" s="1" a="1"/>
  <c r="Q105" i="2" s="1"/>
  <c r="L106" i="2"/>
  <c r="Q106" i="2" s="1" a="1"/>
  <c r="Q106" i="2" s="1"/>
  <c r="L107" i="2"/>
  <c r="Q107" i="2" s="1" a="1"/>
  <c r="Q107" i="2" s="1"/>
  <c r="L108" i="2"/>
  <c r="Q108" i="2" s="1" a="1"/>
  <c r="Q108" i="2" s="1"/>
  <c r="L109" i="2"/>
  <c r="Q109" i="2" s="1" a="1"/>
  <c r="Q109" i="2" s="1"/>
  <c r="L110" i="2"/>
  <c r="Q110" i="2" s="1" a="1"/>
  <c r="Q110" i="2" s="1"/>
  <c r="L111" i="2"/>
  <c r="Q111" i="2" s="1" a="1"/>
  <c r="Q111" i="2" s="1"/>
  <c r="L112" i="2"/>
  <c r="Q112" i="2" s="1" a="1"/>
  <c r="Q112" i="2" s="1"/>
  <c r="L113" i="2"/>
  <c r="Q113" i="2" s="1" a="1"/>
  <c r="Q113" i="2" s="1"/>
  <c r="L114" i="2"/>
  <c r="Q114" i="2" s="1" a="1"/>
  <c r="Q114" i="2" s="1"/>
  <c r="L115" i="2"/>
  <c r="Q115" i="2" s="1" a="1"/>
  <c r="Q115" i="2" s="1"/>
  <c r="L116" i="2"/>
  <c r="Q116" i="2" s="1" a="1"/>
  <c r="Q116" i="2" s="1"/>
  <c r="L117" i="2"/>
  <c r="Q117" i="2" s="1" a="1"/>
  <c r="Q117" i="2" s="1"/>
  <c r="L118" i="2"/>
  <c r="Q118" i="2" s="1" a="1"/>
  <c r="Q118" i="2" s="1"/>
  <c r="L119" i="2"/>
  <c r="Q119" i="2" s="1" a="1"/>
  <c r="Q119" i="2" s="1"/>
  <c r="L120" i="2"/>
  <c r="Q120" i="2" s="1" a="1"/>
  <c r="Q120" i="2" s="1"/>
  <c r="L121" i="2"/>
  <c r="Q121" i="2" s="1" a="1"/>
  <c r="Q121" i="2" s="1"/>
  <c r="L122" i="2"/>
  <c r="Q122" i="2" s="1" a="1"/>
  <c r="Q122" i="2" s="1"/>
  <c r="L123" i="2"/>
  <c r="Q123" i="2" s="1" a="1"/>
  <c r="Q123" i="2" s="1"/>
  <c r="L124" i="2"/>
  <c r="Q124" i="2" s="1" a="1"/>
  <c r="Q124" i="2" s="1"/>
  <c r="L125" i="2"/>
  <c r="Q125" i="2" s="1" a="1"/>
  <c r="Q125" i="2" s="1"/>
  <c r="L126" i="2"/>
  <c r="Q126" i="2" s="1" a="1"/>
  <c r="Q126" i="2" s="1"/>
  <c r="L127" i="2"/>
  <c r="Q127" i="2" s="1" a="1"/>
  <c r="Q127" i="2" s="1"/>
  <c r="L128" i="2"/>
  <c r="Q128" i="2" s="1" a="1"/>
  <c r="Q128" i="2" s="1"/>
  <c r="L129" i="2"/>
  <c r="Q129" i="2" s="1" a="1"/>
  <c r="Q129" i="2" s="1"/>
  <c r="L130" i="2"/>
  <c r="Q130" i="2" s="1" a="1"/>
  <c r="Q130" i="2" s="1"/>
  <c r="L131" i="2"/>
  <c r="Q131" i="2" s="1" a="1"/>
  <c r="Q131" i="2" s="1"/>
  <c r="L132" i="2"/>
  <c r="Q132" i="2" s="1" a="1"/>
  <c r="Q132" i="2" s="1"/>
  <c r="L133" i="2"/>
  <c r="Q133" i="2" s="1" a="1"/>
  <c r="Q133" i="2" s="1"/>
  <c r="L134" i="2"/>
  <c r="Q134" i="2" s="1" a="1"/>
  <c r="Q134" i="2" s="1"/>
  <c r="L135" i="2"/>
  <c r="Q135" i="2" s="1" a="1"/>
  <c r="Q135" i="2" s="1"/>
  <c r="L136" i="2"/>
  <c r="Q136" i="2" s="1" a="1"/>
  <c r="Q136" i="2" s="1"/>
  <c r="L137" i="2"/>
  <c r="Q137" i="2" s="1" a="1"/>
  <c r="Q137" i="2" s="1"/>
  <c r="L138" i="2"/>
  <c r="Q138" i="2" s="1" a="1"/>
  <c r="Q138" i="2" s="1"/>
  <c r="L139" i="2"/>
  <c r="Q139" i="2" s="1" a="1"/>
  <c r="Q139" i="2" s="1"/>
  <c r="L140" i="2"/>
  <c r="Q140" i="2" s="1" a="1"/>
  <c r="Q140" i="2" s="1"/>
  <c r="L141" i="2"/>
  <c r="Q141" i="2" s="1" a="1"/>
  <c r="Q141" i="2" s="1"/>
  <c r="L142" i="2"/>
  <c r="Q142" i="2" s="1" a="1"/>
  <c r="Q142" i="2" s="1"/>
  <c r="L143" i="2"/>
  <c r="Q143" i="2" s="1" a="1"/>
  <c r="Q143" i="2" s="1"/>
  <c r="L144" i="2"/>
  <c r="Q144" i="2" s="1" a="1"/>
  <c r="Q144" i="2" s="1"/>
  <c r="L145" i="2"/>
  <c r="Q145" i="2" s="1" a="1"/>
  <c r="Q145" i="2" s="1"/>
  <c r="L146" i="2"/>
  <c r="Q146" i="2" s="1" a="1"/>
  <c r="Q146" i="2" s="1"/>
  <c r="L147" i="2"/>
  <c r="Q147" i="2" s="1" a="1"/>
  <c r="Q147" i="2" s="1"/>
  <c r="L148" i="2"/>
  <c r="Q148" i="2" s="1" a="1"/>
  <c r="Q148" i="2" s="1"/>
  <c r="L149" i="2"/>
  <c r="Q149" i="2" s="1" a="1"/>
  <c r="Q149" i="2" s="1"/>
  <c r="L150" i="2"/>
  <c r="Q150" i="2" s="1" a="1"/>
  <c r="Q150" i="2" s="1"/>
  <c r="L151" i="2"/>
  <c r="Q151" i="2" s="1" a="1"/>
  <c r="Q151" i="2" s="1"/>
  <c r="L152" i="2"/>
  <c r="Q152" i="2" s="1" a="1"/>
  <c r="Q152" i="2" s="1"/>
  <c r="L153" i="2"/>
  <c r="Q153" i="2" s="1" a="1"/>
  <c r="Q153" i="2" s="1"/>
  <c r="L154" i="2"/>
  <c r="Q154" i="2" s="1" a="1"/>
  <c r="Q154" i="2" s="1"/>
  <c r="L155" i="2"/>
  <c r="Q155" i="2" s="1" a="1"/>
  <c r="Q155" i="2" s="1"/>
  <c r="L156" i="2"/>
  <c r="Q156" i="2" s="1" a="1"/>
  <c r="Q156" i="2" s="1"/>
  <c r="L157" i="2"/>
  <c r="Q157" i="2" s="1" a="1"/>
  <c r="Q157" i="2" s="1"/>
  <c r="L158" i="2"/>
  <c r="Q158" i="2" s="1" a="1"/>
  <c r="Q158" i="2" s="1"/>
  <c r="L159" i="2"/>
  <c r="Q159" i="2" s="1" a="1"/>
  <c r="Q159" i="2" s="1"/>
  <c r="L160" i="2"/>
  <c r="Q160" i="2" s="1" a="1"/>
  <c r="Q160" i="2" s="1"/>
  <c r="L161" i="2"/>
  <c r="Q161" i="2" s="1" a="1"/>
  <c r="Q161" i="2" s="1"/>
  <c r="L162" i="2"/>
  <c r="Q162" i="2" s="1" a="1"/>
  <c r="Q162" i="2" s="1"/>
  <c r="L163" i="2"/>
  <c r="Q163" i="2" s="1" a="1"/>
  <c r="Q163" i="2" s="1"/>
  <c r="L164" i="2"/>
  <c r="Q164" i="2" s="1" a="1"/>
  <c r="Q164" i="2" s="1"/>
  <c r="L165" i="2"/>
  <c r="Q165" i="2" s="1" a="1"/>
  <c r="Q165" i="2" s="1"/>
  <c r="L166" i="2"/>
  <c r="Q166" i="2" s="1" a="1"/>
  <c r="Q166" i="2" s="1"/>
  <c r="L167" i="2"/>
  <c r="Q167" i="2" s="1" a="1"/>
  <c r="Q167" i="2" s="1"/>
  <c r="L168" i="2"/>
  <c r="Q168" i="2" s="1" a="1"/>
  <c r="Q168" i="2" s="1"/>
  <c r="L169" i="2"/>
  <c r="Q169" i="2" s="1" a="1"/>
  <c r="Q169" i="2" s="1"/>
  <c r="L170" i="2"/>
  <c r="Q170" i="2" s="1" a="1"/>
  <c r="Q170" i="2" s="1"/>
  <c r="L171" i="2"/>
  <c r="Q171" i="2" s="1" a="1"/>
  <c r="Q171" i="2" s="1"/>
  <c r="L172" i="2"/>
  <c r="Q172" i="2" s="1" a="1"/>
  <c r="Q172" i="2" s="1"/>
  <c r="L173" i="2"/>
  <c r="Q173" i="2" s="1" a="1"/>
  <c r="Q173" i="2" s="1"/>
  <c r="L174" i="2"/>
  <c r="Q174" i="2" s="1" a="1"/>
  <c r="Q174" i="2" s="1"/>
  <c r="L175" i="2"/>
  <c r="Q175" i="2" s="1" a="1"/>
  <c r="Q175" i="2" s="1"/>
  <c r="L176" i="2"/>
  <c r="Q176" i="2" s="1" a="1"/>
  <c r="Q176" i="2" s="1"/>
  <c r="L177" i="2"/>
  <c r="Q177" i="2" s="1" a="1"/>
  <c r="Q177" i="2" s="1"/>
  <c r="L178" i="2"/>
  <c r="Q178" i="2" s="1" a="1"/>
  <c r="Q178" i="2" s="1"/>
  <c r="L179" i="2"/>
  <c r="Q179" i="2" s="1" a="1"/>
  <c r="Q179" i="2" s="1"/>
  <c r="L180" i="2"/>
  <c r="Q180" i="2" s="1" a="1"/>
  <c r="Q180" i="2" s="1"/>
  <c r="L181" i="2"/>
  <c r="Q181" i="2" s="1" a="1"/>
  <c r="Q181" i="2" s="1"/>
  <c r="L182" i="2"/>
  <c r="Q182" i="2" s="1" a="1"/>
  <c r="Q182" i="2" s="1"/>
  <c r="L183" i="2"/>
  <c r="Q183" i="2" s="1" a="1"/>
  <c r="Q183" i="2" s="1"/>
  <c r="L184" i="2"/>
  <c r="Q184" i="2" s="1" a="1"/>
  <c r="Q184" i="2" s="1"/>
  <c r="L185" i="2"/>
  <c r="Q185" i="2" s="1" a="1"/>
  <c r="Q185" i="2" s="1"/>
  <c r="L186" i="2"/>
  <c r="Q186" i="2" s="1" a="1"/>
  <c r="Q186" i="2" s="1"/>
  <c r="L187" i="2"/>
  <c r="Q187" i="2" s="1" a="1"/>
  <c r="Q187" i="2" s="1"/>
  <c r="L188" i="2"/>
  <c r="Q188" i="2" s="1" a="1"/>
  <c r="Q188" i="2" s="1"/>
  <c r="L189" i="2"/>
  <c r="Q189" i="2" s="1" a="1"/>
  <c r="Q189" i="2" s="1"/>
  <c r="L190" i="2"/>
  <c r="Q190" i="2" s="1" a="1"/>
  <c r="Q190" i="2" s="1"/>
  <c r="L191" i="2"/>
  <c r="Q191" i="2" s="1" a="1"/>
  <c r="Q191" i="2" s="1"/>
  <c r="L192" i="2"/>
  <c r="Q192" i="2" s="1" a="1"/>
  <c r="Q192" i="2" s="1"/>
  <c r="L193" i="2"/>
  <c r="Q193" i="2" s="1" a="1"/>
  <c r="Q193" i="2" s="1"/>
  <c r="L194" i="2"/>
  <c r="Q194" i="2" s="1" a="1"/>
  <c r="Q194" i="2" s="1"/>
  <c r="L195" i="2"/>
  <c r="Q195" i="2" s="1" a="1"/>
  <c r="Q195" i="2" s="1"/>
  <c r="L196" i="2"/>
  <c r="Q196" i="2" s="1" a="1"/>
  <c r="Q196" i="2" s="1"/>
  <c r="L197" i="2"/>
  <c r="Q197" i="2" s="1" a="1"/>
  <c r="Q197" i="2" s="1"/>
  <c r="L198" i="2"/>
  <c r="Q198" i="2" s="1" a="1"/>
  <c r="Q198" i="2" s="1"/>
  <c r="L199" i="2"/>
  <c r="Q199" i="2" s="1" a="1"/>
  <c r="Q199" i="2" s="1"/>
  <c r="L200" i="2"/>
  <c r="Q200" i="2" s="1" a="1"/>
  <c r="Q200" i="2" s="1"/>
  <c r="L2" i="2"/>
  <c r="Q2" i="2" s="1" a="1"/>
  <c r="Q2" i="2" s="1"/>
  <c r="Y199" i="3"/>
  <c r="AB199" i="3" s="1"/>
  <c r="Y198" i="3"/>
  <c r="AB198" i="3" s="1"/>
  <c r="Y197" i="3"/>
  <c r="AB197" i="3" s="1"/>
  <c r="Y196" i="3"/>
  <c r="AB196" i="3" s="1"/>
  <c r="Y195" i="3"/>
  <c r="AB195" i="3" s="1"/>
  <c r="Y194" i="3"/>
  <c r="AB194" i="3" s="1"/>
  <c r="Y193" i="3"/>
  <c r="AB193" i="3" s="1"/>
  <c r="Y192" i="3"/>
  <c r="AB192" i="3" s="1"/>
  <c r="Y191" i="3"/>
  <c r="AB191" i="3" s="1"/>
  <c r="Y190" i="3"/>
  <c r="AB190" i="3" s="1"/>
  <c r="Y189" i="3"/>
  <c r="AB189" i="3" s="1"/>
  <c r="Y188" i="3"/>
  <c r="AB188" i="3" s="1"/>
  <c r="Y187" i="3"/>
  <c r="AB187" i="3" s="1"/>
  <c r="Y186" i="3"/>
  <c r="AB186" i="3" s="1"/>
  <c r="Y185" i="3"/>
  <c r="AB185" i="3" s="1"/>
  <c r="Y184" i="3"/>
  <c r="Y183" i="3"/>
  <c r="AB183" i="3" s="1"/>
  <c r="Y182" i="3"/>
  <c r="AB182" i="3" s="1"/>
  <c r="Y181" i="3"/>
  <c r="AB181" i="3" s="1"/>
  <c r="Y180" i="3"/>
  <c r="AB180" i="3" s="1"/>
  <c r="Y179" i="3"/>
  <c r="AB179" i="3" s="1"/>
  <c r="Y178" i="3"/>
  <c r="AB178" i="3" s="1"/>
  <c r="Y177" i="3"/>
  <c r="AB177" i="3" s="1"/>
  <c r="Y176" i="3"/>
  <c r="Y175" i="3"/>
  <c r="AB175" i="3" s="1"/>
  <c r="Y174" i="3"/>
  <c r="AB174" i="3" s="1"/>
  <c r="Y173" i="3"/>
  <c r="AB173" i="3" s="1"/>
  <c r="Y172" i="3"/>
  <c r="AB172" i="3" s="1"/>
  <c r="Y171" i="3"/>
  <c r="AB171" i="3" s="1"/>
  <c r="Y170" i="3"/>
  <c r="AB170" i="3" s="1"/>
  <c r="Y169" i="3"/>
  <c r="AB169" i="3" s="1"/>
  <c r="Y168" i="3"/>
  <c r="AB168" i="3" s="1"/>
  <c r="Y167" i="3"/>
  <c r="AB167" i="3" s="1"/>
  <c r="Y166" i="3"/>
  <c r="AB166" i="3" s="1"/>
  <c r="Y165" i="3"/>
  <c r="AB165" i="3" s="1"/>
  <c r="Y164" i="3"/>
  <c r="Y163" i="3"/>
  <c r="AB163" i="3" s="1"/>
  <c r="Y162" i="3"/>
  <c r="AB162" i="3" s="1"/>
  <c r="Y161" i="3"/>
  <c r="AB161" i="3" s="1"/>
  <c r="Y160" i="3"/>
  <c r="AB160" i="3" s="1"/>
  <c r="Y159" i="3"/>
  <c r="Y158" i="3"/>
  <c r="Y157" i="3"/>
  <c r="AB157" i="3" s="1"/>
  <c r="Y156" i="3"/>
  <c r="Y155" i="3"/>
  <c r="AB155" i="3" s="1"/>
  <c r="Y154" i="3"/>
  <c r="AB154" i="3" s="1"/>
  <c r="Y153" i="3"/>
  <c r="AB153" i="3" s="1"/>
  <c r="Y152" i="3"/>
  <c r="AB152" i="3" s="1"/>
  <c r="Y151" i="3"/>
  <c r="AB151" i="3" s="1"/>
  <c r="Y150" i="3"/>
  <c r="AB150" i="3" s="1"/>
  <c r="Y149" i="3"/>
  <c r="AB149" i="3" s="1"/>
  <c r="Y148" i="3"/>
  <c r="AB148" i="3" s="1"/>
  <c r="Y147" i="3"/>
  <c r="AB147" i="3" s="1"/>
  <c r="Y146" i="3"/>
  <c r="AB146" i="3" s="1"/>
  <c r="Y145" i="3"/>
  <c r="AB145" i="3" s="1"/>
  <c r="Y144" i="3"/>
  <c r="AB144" i="3" s="1"/>
  <c r="Y143" i="3"/>
  <c r="AB143" i="3" s="1"/>
  <c r="Y142" i="3"/>
  <c r="AB142" i="3" s="1"/>
  <c r="Y141" i="3"/>
  <c r="AB141" i="3" s="1"/>
  <c r="Y140" i="3"/>
  <c r="AB140" i="3" s="1"/>
  <c r="Y139" i="3"/>
  <c r="AB139" i="3" s="1"/>
  <c r="Y138" i="3"/>
  <c r="AB138" i="3" s="1"/>
  <c r="Y137" i="3"/>
  <c r="AB137" i="3" s="1"/>
  <c r="Y136" i="3"/>
  <c r="AB136" i="3" s="1"/>
  <c r="Y135" i="3"/>
  <c r="Y134" i="3"/>
  <c r="Y133" i="3"/>
  <c r="AB133" i="3" s="1"/>
  <c r="Y132" i="3"/>
  <c r="Y131" i="3"/>
  <c r="AB131" i="3" s="1"/>
  <c r="Y130" i="3"/>
  <c r="AB130" i="3" s="1"/>
  <c r="Y129" i="3"/>
  <c r="AB129" i="3" s="1"/>
  <c r="Y128" i="3"/>
  <c r="AB128" i="3" s="1"/>
  <c r="Y127" i="3"/>
  <c r="AB127" i="3" s="1"/>
  <c r="Y126" i="3"/>
  <c r="AB126" i="3" s="1"/>
  <c r="Y125" i="3"/>
  <c r="AB125" i="3" s="1"/>
  <c r="Y124" i="3"/>
  <c r="AB124" i="3" s="1"/>
  <c r="Y123" i="3"/>
  <c r="AB123" i="3" s="1"/>
  <c r="Y122" i="3"/>
  <c r="AB122" i="3" s="1"/>
  <c r="Y121" i="3"/>
  <c r="AB121" i="3" s="1"/>
  <c r="Y120" i="3"/>
  <c r="AB120" i="3" s="1"/>
  <c r="Y119" i="3"/>
  <c r="AB119" i="3" s="1"/>
  <c r="Y118" i="3"/>
  <c r="AB118" i="3" s="1"/>
  <c r="Y117" i="3"/>
  <c r="AB117" i="3" s="1"/>
  <c r="Y116" i="3"/>
  <c r="AB116" i="3" s="1"/>
  <c r="Y115" i="3"/>
  <c r="AB115" i="3" s="1"/>
  <c r="Y114" i="3"/>
  <c r="AB114" i="3" s="1"/>
  <c r="Y113" i="3"/>
  <c r="AB113" i="3" s="1"/>
  <c r="Y112" i="3"/>
  <c r="AB112" i="3" s="1"/>
  <c r="Y111" i="3"/>
  <c r="AB111" i="3" s="1"/>
  <c r="Y110" i="3"/>
  <c r="AB110" i="3" s="1"/>
  <c r="Y109" i="3"/>
  <c r="AB109" i="3" s="1"/>
  <c r="Y108" i="3"/>
  <c r="AB108" i="3" s="1"/>
  <c r="Y107" i="3"/>
  <c r="AB107" i="3" s="1"/>
  <c r="Y106" i="3"/>
  <c r="AB106" i="3" s="1"/>
  <c r="Y105" i="3"/>
  <c r="AB105" i="3" s="1"/>
  <c r="Y104" i="3"/>
  <c r="Y103" i="3"/>
  <c r="AB103" i="3" s="1"/>
  <c r="Y102" i="3"/>
  <c r="AB102" i="3" s="1"/>
  <c r="Y101" i="3"/>
  <c r="AB101" i="3" s="1"/>
  <c r="Y100" i="3"/>
  <c r="AB100" i="3" s="1"/>
  <c r="Y99" i="3"/>
  <c r="AB99" i="3" s="1"/>
  <c r="Y98" i="3"/>
  <c r="AB98" i="3" s="1"/>
  <c r="Y97" i="3"/>
  <c r="AB97" i="3" s="1"/>
  <c r="Y96" i="3"/>
  <c r="AB96" i="3" s="1"/>
  <c r="Y95" i="3"/>
  <c r="AB95" i="3" s="1"/>
  <c r="Y94" i="3"/>
  <c r="AB94" i="3" s="1"/>
  <c r="Y93" i="3"/>
  <c r="AB93" i="3" s="1"/>
  <c r="Y92" i="3"/>
  <c r="AB92" i="3" s="1"/>
  <c r="Y91" i="3"/>
  <c r="AB91" i="3" s="1"/>
  <c r="Y90" i="3"/>
  <c r="AB90" i="3" s="1"/>
  <c r="Y89" i="3"/>
  <c r="AB89" i="3" s="1"/>
  <c r="Y88" i="3"/>
  <c r="Y87" i="3"/>
  <c r="Y86" i="3"/>
  <c r="Y85" i="3"/>
  <c r="Y84" i="3"/>
  <c r="AB84" i="3" s="1"/>
  <c r="Y83" i="3"/>
  <c r="AB83" i="3" s="1"/>
  <c r="Y82" i="3"/>
  <c r="AB82" i="3" s="1"/>
  <c r="Y81" i="3"/>
  <c r="AB81" i="3" s="1"/>
  <c r="Y80" i="3"/>
  <c r="AB80" i="3" s="1"/>
  <c r="Y79" i="3"/>
  <c r="AB79" i="3" s="1"/>
  <c r="Y78" i="3"/>
  <c r="AB78" i="3" s="1"/>
  <c r="Y77" i="3"/>
  <c r="AB77" i="3" s="1"/>
  <c r="Y76" i="3"/>
  <c r="AB76" i="3" s="1"/>
  <c r="Y75" i="3"/>
  <c r="AB75" i="3" s="1"/>
  <c r="Y74" i="3"/>
  <c r="AB74" i="3" s="1"/>
  <c r="Y73" i="3"/>
  <c r="AB73" i="3" s="1"/>
  <c r="Y72" i="3"/>
  <c r="AB72" i="3" s="1"/>
  <c r="Y71" i="3"/>
  <c r="AB71" i="3" s="1"/>
  <c r="Y70" i="3"/>
  <c r="AB70" i="3" s="1"/>
  <c r="Y69" i="3"/>
  <c r="AB69" i="3" s="1"/>
  <c r="Y68" i="3"/>
  <c r="AB68" i="3" s="1"/>
  <c r="Y67" i="3"/>
  <c r="AB67" i="3" s="1"/>
  <c r="Y66" i="3"/>
  <c r="AB66" i="3" s="1"/>
  <c r="Y65" i="3"/>
  <c r="AB65" i="3" s="1"/>
  <c r="Y64" i="3"/>
  <c r="AB64" i="3" s="1"/>
  <c r="Y63" i="3"/>
  <c r="AB63" i="3" s="1"/>
  <c r="Y62" i="3"/>
  <c r="AB62" i="3" s="1"/>
  <c r="Y61" i="3"/>
  <c r="AB61" i="3" s="1"/>
  <c r="Y60" i="3"/>
  <c r="AB60" i="3" s="1"/>
  <c r="Y59" i="3"/>
  <c r="AB59" i="3" s="1"/>
  <c r="Y58" i="3"/>
  <c r="AB58" i="3" s="1"/>
  <c r="Y57" i="3"/>
  <c r="AB57" i="3" s="1"/>
  <c r="Y56" i="3"/>
  <c r="AB56" i="3" s="1"/>
  <c r="Y55" i="3"/>
  <c r="AB55" i="3" s="1"/>
  <c r="Y54" i="3"/>
  <c r="AB54" i="3" s="1"/>
  <c r="Y53" i="3"/>
  <c r="AB53" i="3" s="1"/>
  <c r="Y52" i="3"/>
  <c r="AB52" i="3" s="1"/>
  <c r="Y51" i="3"/>
  <c r="AB51" i="3" s="1"/>
  <c r="Y50" i="3"/>
  <c r="AB50" i="3" s="1"/>
  <c r="Y49" i="3"/>
  <c r="AB49" i="3" s="1"/>
  <c r="Y48" i="3"/>
  <c r="AB48" i="3" s="1"/>
  <c r="Y47" i="3"/>
  <c r="AB47" i="3" s="1"/>
  <c r="Y46" i="3"/>
  <c r="AB46" i="3" s="1"/>
  <c r="Y45" i="3"/>
  <c r="AB45" i="3" s="1"/>
  <c r="Y44" i="3"/>
  <c r="AB44" i="3" s="1"/>
  <c r="Y43" i="3"/>
  <c r="AB43" i="3" s="1"/>
  <c r="Y42" i="3"/>
  <c r="AB42" i="3" s="1"/>
  <c r="Y41" i="3"/>
  <c r="AB41" i="3" s="1"/>
  <c r="Y40" i="3"/>
  <c r="AB40" i="3" s="1"/>
  <c r="Y39" i="3"/>
  <c r="AB39" i="3" s="1"/>
  <c r="Y38" i="3"/>
  <c r="AB38" i="3" s="1"/>
  <c r="Y37" i="3"/>
  <c r="AB37" i="3" s="1"/>
  <c r="Y36" i="3"/>
  <c r="AB36" i="3" s="1"/>
  <c r="Y35" i="3"/>
  <c r="AB35" i="3" s="1"/>
  <c r="Y34" i="3"/>
  <c r="AB34" i="3" s="1"/>
  <c r="Y33" i="3"/>
  <c r="AB33" i="3" s="1"/>
  <c r="Y32" i="3"/>
  <c r="AB32" i="3" s="1"/>
  <c r="Y31" i="3"/>
  <c r="AB31" i="3" s="1"/>
  <c r="Y30" i="3"/>
  <c r="AB30" i="3" s="1"/>
  <c r="Y29" i="3"/>
  <c r="AB29" i="3" s="1"/>
  <c r="Y28" i="3"/>
  <c r="AB28" i="3" s="1"/>
  <c r="Y27" i="3"/>
  <c r="AB27" i="3" s="1"/>
  <c r="Y26" i="3"/>
  <c r="AB26" i="3" s="1"/>
  <c r="Y25" i="3"/>
  <c r="AB25" i="3" s="1"/>
  <c r="Y24" i="3"/>
  <c r="AB24" i="3" s="1"/>
  <c r="Y23" i="3"/>
  <c r="AB23" i="3" s="1"/>
  <c r="Y22" i="3"/>
  <c r="AB22" i="3" s="1"/>
  <c r="Y21" i="3"/>
  <c r="AB21" i="3" s="1"/>
  <c r="Y20" i="3"/>
  <c r="AB20" i="3" s="1"/>
  <c r="Y19" i="3"/>
  <c r="AB19" i="3" s="1"/>
  <c r="Y18" i="3"/>
  <c r="AB18" i="3" s="1"/>
  <c r="Y17" i="3"/>
  <c r="AB17" i="3" s="1"/>
  <c r="Y16" i="3"/>
  <c r="AB16" i="3" s="1"/>
  <c r="Y15" i="3"/>
  <c r="AB15" i="3" s="1"/>
  <c r="Y14" i="3"/>
  <c r="Y13" i="3"/>
  <c r="Y12" i="3"/>
  <c r="AB12" i="3" s="1"/>
  <c r="Y11" i="3"/>
  <c r="AB11" i="3" s="1"/>
  <c r="Y10" i="3"/>
  <c r="AB10" i="3" s="1"/>
  <c r="Y9" i="3"/>
  <c r="AB9" i="3" s="1"/>
  <c r="Y8" i="3"/>
  <c r="AB8" i="3" s="1"/>
  <c r="Y7" i="3"/>
  <c r="AB7" i="3" s="1"/>
  <c r="Y6" i="3"/>
  <c r="AB6" i="3" s="1"/>
  <c r="Y5" i="3"/>
  <c r="AB5" i="3" s="1"/>
  <c r="Y4" i="3"/>
  <c r="AB4" i="3" s="1"/>
  <c r="Y3" i="3"/>
  <c r="Y2" i="3"/>
  <c r="AB2" i="3" s="1"/>
  <c r="D52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3" i="1"/>
  <c r="D4" i="1"/>
  <c r="D3" i="1"/>
  <c r="D54" i="1"/>
  <c r="D55" i="1"/>
  <c r="D56" i="1"/>
  <c r="D57" i="1"/>
  <c r="K3" i="2"/>
  <c r="P3" i="2" s="1" a="1"/>
  <c r="P3" i="2" s="1"/>
  <c r="K4" i="2"/>
  <c r="P4" i="2" s="1" a="1"/>
  <c r="P4" i="2" s="1"/>
  <c r="K5" i="2"/>
  <c r="P5" i="2" s="1" a="1"/>
  <c r="P5" i="2" s="1"/>
  <c r="K6" i="2"/>
  <c r="P6" i="2" s="1" a="1"/>
  <c r="P6" i="2" s="1"/>
  <c r="K7" i="2"/>
  <c r="P7" i="2" s="1" a="1"/>
  <c r="P7" i="2" s="1"/>
  <c r="K8" i="2"/>
  <c r="P8" i="2" s="1" a="1"/>
  <c r="P8" i="2" s="1"/>
  <c r="K9" i="2"/>
  <c r="P9" i="2" s="1" a="1"/>
  <c r="P9" i="2" s="1"/>
  <c r="K10" i="2"/>
  <c r="P10" i="2" s="1" a="1"/>
  <c r="P10" i="2" s="1"/>
  <c r="K11" i="2"/>
  <c r="P11" i="2" s="1" a="1"/>
  <c r="P11" i="2" s="1"/>
  <c r="K12" i="2"/>
  <c r="P12" i="2" s="1" a="1"/>
  <c r="P12" i="2" s="1"/>
  <c r="K13" i="2"/>
  <c r="P13" i="2" s="1" a="1"/>
  <c r="P13" i="2" s="1"/>
  <c r="K14" i="2"/>
  <c r="P14" i="2" s="1" a="1"/>
  <c r="P14" i="2" s="1"/>
  <c r="K15" i="2"/>
  <c r="P15" i="2" s="1" a="1"/>
  <c r="P15" i="2" s="1"/>
  <c r="K16" i="2"/>
  <c r="P16" i="2" s="1" a="1"/>
  <c r="P16" i="2" s="1"/>
  <c r="K17" i="2"/>
  <c r="P17" i="2" s="1" a="1"/>
  <c r="P17" i="2" s="1"/>
  <c r="K18" i="2"/>
  <c r="P18" i="2" s="1" a="1"/>
  <c r="P18" i="2" s="1"/>
  <c r="K19" i="2"/>
  <c r="P19" i="2" s="1" a="1"/>
  <c r="P19" i="2" s="1"/>
  <c r="K20" i="2"/>
  <c r="P20" i="2" s="1" a="1"/>
  <c r="P20" i="2" s="1"/>
  <c r="K21" i="2"/>
  <c r="P21" i="2" s="1" a="1"/>
  <c r="P21" i="2" s="1"/>
  <c r="K22" i="2"/>
  <c r="P22" i="2" s="1" a="1"/>
  <c r="P22" i="2" s="1"/>
  <c r="K23" i="2"/>
  <c r="P23" i="2" s="1" a="1"/>
  <c r="P23" i="2" s="1"/>
  <c r="K24" i="2"/>
  <c r="P24" i="2" s="1" a="1"/>
  <c r="P24" i="2" s="1"/>
  <c r="K25" i="2"/>
  <c r="P25" i="2" s="1" a="1"/>
  <c r="P25" i="2" s="1"/>
  <c r="K26" i="2"/>
  <c r="P26" i="2" s="1" a="1"/>
  <c r="P26" i="2" s="1"/>
  <c r="K27" i="2"/>
  <c r="P27" i="2" s="1" a="1"/>
  <c r="P27" i="2" s="1"/>
  <c r="K28" i="2"/>
  <c r="P28" i="2" s="1" a="1"/>
  <c r="P28" i="2" s="1"/>
  <c r="K29" i="2"/>
  <c r="P29" i="2" s="1" a="1"/>
  <c r="P29" i="2" s="1"/>
  <c r="K30" i="2"/>
  <c r="P30" i="2" s="1" a="1"/>
  <c r="P30" i="2" s="1"/>
  <c r="K31" i="2"/>
  <c r="P31" i="2" s="1" a="1"/>
  <c r="P31" i="2" s="1"/>
  <c r="K32" i="2"/>
  <c r="P32" i="2" s="1" a="1"/>
  <c r="P32" i="2" s="1"/>
  <c r="K33" i="2"/>
  <c r="P33" i="2" s="1" a="1"/>
  <c r="P33" i="2" s="1"/>
  <c r="K34" i="2"/>
  <c r="P34" i="2" s="1" a="1"/>
  <c r="P34" i="2" s="1"/>
  <c r="K35" i="2"/>
  <c r="P35" i="2" s="1" a="1"/>
  <c r="P35" i="2" s="1"/>
  <c r="K36" i="2"/>
  <c r="P36" i="2" s="1" a="1"/>
  <c r="P36" i="2" s="1"/>
  <c r="K37" i="2"/>
  <c r="P37" i="2" s="1" a="1"/>
  <c r="P37" i="2" s="1"/>
  <c r="K38" i="2"/>
  <c r="P38" i="2" s="1" a="1"/>
  <c r="P38" i="2" s="1"/>
  <c r="K39" i="2"/>
  <c r="P39" i="2" s="1" a="1"/>
  <c r="P39" i="2" s="1"/>
  <c r="K40" i="2"/>
  <c r="P40" i="2" s="1" a="1"/>
  <c r="P40" i="2" s="1"/>
  <c r="K41" i="2"/>
  <c r="P41" i="2" s="1" a="1"/>
  <c r="P41" i="2" s="1"/>
  <c r="K42" i="2"/>
  <c r="P42" i="2" s="1" a="1"/>
  <c r="P42" i="2" s="1"/>
  <c r="K43" i="2"/>
  <c r="P43" i="2" s="1" a="1"/>
  <c r="P43" i="2" s="1"/>
  <c r="K44" i="2"/>
  <c r="P44" i="2" s="1" a="1"/>
  <c r="P44" i="2" s="1"/>
  <c r="K45" i="2"/>
  <c r="P45" i="2" s="1" a="1"/>
  <c r="P45" i="2" s="1"/>
  <c r="K46" i="2"/>
  <c r="P46" i="2" s="1" a="1"/>
  <c r="P46" i="2" s="1"/>
  <c r="K47" i="2"/>
  <c r="P47" i="2" s="1" a="1"/>
  <c r="P47" i="2" s="1"/>
  <c r="K48" i="2"/>
  <c r="P48" i="2" s="1" a="1"/>
  <c r="P48" i="2" s="1"/>
  <c r="K49" i="2"/>
  <c r="P49" i="2" s="1" a="1"/>
  <c r="P49" i="2" s="1"/>
  <c r="K50" i="2"/>
  <c r="P50" i="2" s="1" a="1"/>
  <c r="P50" i="2" s="1"/>
  <c r="K51" i="2"/>
  <c r="P51" i="2" s="1" a="1"/>
  <c r="P51" i="2" s="1"/>
  <c r="K52" i="2"/>
  <c r="P52" i="2" s="1" a="1"/>
  <c r="P52" i="2" s="1"/>
  <c r="K53" i="2"/>
  <c r="P53" i="2" s="1" a="1"/>
  <c r="P53" i="2" s="1"/>
  <c r="K54" i="2"/>
  <c r="P54" i="2" s="1" a="1"/>
  <c r="P54" i="2" s="1"/>
  <c r="K55" i="2"/>
  <c r="P55" i="2" s="1" a="1"/>
  <c r="P55" i="2" s="1"/>
  <c r="K56" i="2"/>
  <c r="P56" i="2" s="1" a="1"/>
  <c r="P56" i="2" s="1"/>
  <c r="K57" i="2"/>
  <c r="P57" i="2" s="1" a="1"/>
  <c r="P57" i="2" s="1"/>
  <c r="K58" i="2"/>
  <c r="P58" i="2" s="1" a="1"/>
  <c r="P58" i="2" s="1"/>
  <c r="K59" i="2"/>
  <c r="P59" i="2" s="1" a="1"/>
  <c r="P59" i="2" s="1"/>
  <c r="K60" i="2"/>
  <c r="P60" i="2" s="1" a="1"/>
  <c r="P60" i="2" s="1"/>
  <c r="K61" i="2"/>
  <c r="P61" i="2" s="1" a="1"/>
  <c r="P61" i="2" s="1"/>
  <c r="K62" i="2"/>
  <c r="P62" i="2" s="1" a="1"/>
  <c r="P62" i="2" s="1"/>
  <c r="K63" i="2"/>
  <c r="P63" i="2" s="1" a="1"/>
  <c r="P63" i="2" s="1"/>
  <c r="K64" i="2"/>
  <c r="P64" i="2" s="1" a="1"/>
  <c r="P64" i="2" s="1"/>
  <c r="K65" i="2"/>
  <c r="P65" i="2" s="1" a="1"/>
  <c r="P65" i="2" s="1"/>
  <c r="K66" i="2"/>
  <c r="P66" i="2" s="1" a="1"/>
  <c r="P66" i="2" s="1"/>
  <c r="K67" i="2"/>
  <c r="P67" i="2" s="1" a="1"/>
  <c r="P67" i="2" s="1"/>
  <c r="K68" i="2"/>
  <c r="P68" i="2" s="1" a="1"/>
  <c r="P68" i="2" s="1"/>
  <c r="K69" i="2"/>
  <c r="P69" i="2" s="1" a="1"/>
  <c r="P69" i="2" s="1"/>
  <c r="K70" i="2"/>
  <c r="P70" i="2" s="1" a="1"/>
  <c r="P70" i="2" s="1"/>
  <c r="K71" i="2"/>
  <c r="P71" i="2" s="1" a="1"/>
  <c r="P71" i="2" s="1"/>
  <c r="K72" i="2"/>
  <c r="P72" i="2" s="1" a="1"/>
  <c r="P72" i="2" s="1"/>
  <c r="K73" i="2"/>
  <c r="P73" i="2" s="1" a="1"/>
  <c r="P73" i="2" s="1"/>
  <c r="K74" i="2"/>
  <c r="P74" i="2" s="1" a="1"/>
  <c r="P74" i="2" s="1"/>
  <c r="K75" i="2"/>
  <c r="P75" i="2" s="1" a="1"/>
  <c r="P75" i="2" s="1"/>
  <c r="K76" i="2"/>
  <c r="P76" i="2" s="1" a="1"/>
  <c r="P76" i="2" s="1"/>
  <c r="K77" i="2"/>
  <c r="P77" i="2" s="1" a="1"/>
  <c r="P77" i="2" s="1"/>
  <c r="K78" i="2"/>
  <c r="P78" i="2" s="1" a="1"/>
  <c r="P78" i="2" s="1"/>
  <c r="K79" i="2"/>
  <c r="P79" i="2" s="1" a="1"/>
  <c r="P79" i="2" s="1"/>
  <c r="K80" i="2"/>
  <c r="P80" i="2" s="1" a="1"/>
  <c r="P80" i="2" s="1"/>
  <c r="K81" i="2"/>
  <c r="P81" i="2" s="1" a="1"/>
  <c r="P81" i="2" s="1"/>
  <c r="K82" i="2"/>
  <c r="P82" i="2" s="1" a="1"/>
  <c r="P82" i="2" s="1"/>
  <c r="K83" i="2"/>
  <c r="P83" i="2" s="1" a="1"/>
  <c r="P83" i="2" s="1"/>
  <c r="K84" i="2"/>
  <c r="P84" i="2" s="1" a="1"/>
  <c r="P84" i="2" s="1"/>
  <c r="K85" i="2"/>
  <c r="P85" i="2" s="1" a="1"/>
  <c r="P85" i="2" s="1"/>
  <c r="K86" i="2"/>
  <c r="P86" i="2" s="1" a="1"/>
  <c r="P86" i="2" s="1"/>
  <c r="K87" i="2"/>
  <c r="P87" i="2" s="1" a="1"/>
  <c r="P87" i="2" s="1"/>
  <c r="K88" i="2"/>
  <c r="P88" i="2" s="1" a="1"/>
  <c r="P88" i="2" s="1"/>
  <c r="K89" i="2"/>
  <c r="P89" i="2" s="1" a="1"/>
  <c r="P89" i="2" s="1"/>
  <c r="K90" i="2"/>
  <c r="P90" i="2" s="1" a="1"/>
  <c r="P90" i="2" s="1"/>
  <c r="K91" i="2"/>
  <c r="P91" i="2" s="1" a="1"/>
  <c r="P91" i="2" s="1"/>
  <c r="K92" i="2"/>
  <c r="P92" i="2" s="1" a="1"/>
  <c r="P92" i="2" s="1"/>
  <c r="K93" i="2"/>
  <c r="P93" i="2" s="1" a="1"/>
  <c r="P93" i="2" s="1"/>
  <c r="K94" i="2"/>
  <c r="P94" i="2" s="1" a="1"/>
  <c r="P94" i="2" s="1"/>
  <c r="K95" i="2"/>
  <c r="P95" i="2" s="1" a="1"/>
  <c r="P95" i="2" s="1"/>
  <c r="K96" i="2"/>
  <c r="P96" i="2" s="1" a="1"/>
  <c r="P96" i="2" s="1"/>
  <c r="K97" i="2"/>
  <c r="P97" i="2" s="1" a="1"/>
  <c r="P97" i="2" s="1"/>
  <c r="K98" i="2"/>
  <c r="P98" i="2" s="1" a="1"/>
  <c r="P98" i="2" s="1"/>
  <c r="K99" i="2"/>
  <c r="P99" i="2" s="1" a="1"/>
  <c r="P99" i="2" s="1"/>
  <c r="K100" i="2"/>
  <c r="P100" i="2" s="1" a="1"/>
  <c r="P100" i="2" s="1"/>
  <c r="K101" i="2"/>
  <c r="P101" i="2" s="1" a="1"/>
  <c r="P101" i="2" s="1"/>
  <c r="K102" i="2"/>
  <c r="P102" i="2" s="1" a="1"/>
  <c r="P102" i="2" s="1"/>
  <c r="K103" i="2"/>
  <c r="P103" i="2" s="1" a="1"/>
  <c r="P103" i="2" s="1"/>
  <c r="K104" i="2"/>
  <c r="P104" i="2" s="1" a="1"/>
  <c r="P104" i="2" s="1"/>
  <c r="K105" i="2"/>
  <c r="P105" i="2" s="1" a="1"/>
  <c r="P105" i="2" s="1"/>
  <c r="K106" i="2"/>
  <c r="P106" i="2" s="1" a="1"/>
  <c r="P106" i="2" s="1"/>
  <c r="K107" i="2"/>
  <c r="P107" i="2" s="1" a="1"/>
  <c r="P107" i="2" s="1"/>
  <c r="K108" i="2"/>
  <c r="P108" i="2" s="1" a="1"/>
  <c r="P108" i="2" s="1"/>
  <c r="K109" i="2"/>
  <c r="P109" i="2" s="1" a="1"/>
  <c r="P109" i="2" s="1"/>
  <c r="K110" i="2"/>
  <c r="P110" i="2" s="1" a="1"/>
  <c r="P110" i="2" s="1"/>
  <c r="K111" i="2"/>
  <c r="P111" i="2" s="1" a="1"/>
  <c r="P111" i="2" s="1"/>
  <c r="K112" i="2"/>
  <c r="P112" i="2" s="1" a="1"/>
  <c r="P112" i="2" s="1"/>
  <c r="K113" i="2"/>
  <c r="P113" i="2" s="1" a="1"/>
  <c r="P113" i="2" s="1"/>
  <c r="K114" i="2"/>
  <c r="P114" i="2" s="1" a="1"/>
  <c r="P114" i="2" s="1"/>
  <c r="K115" i="2"/>
  <c r="P115" i="2" s="1" a="1"/>
  <c r="P115" i="2" s="1"/>
  <c r="K116" i="2"/>
  <c r="P116" i="2" s="1" a="1"/>
  <c r="P116" i="2" s="1"/>
  <c r="K117" i="2"/>
  <c r="P117" i="2" s="1" a="1"/>
  <c r="P117" i="2" s="1"/>
  <c r="K118" i="2"/>
  <c r="P118" i="2" s="1" a="1"/>
  <c r="P118" i="2" s="1"/>
  <c r="K119" i="2"/>
  <c r="P119" i="2" s="1" a="1"/>
  <c r="P119" i="2" s="1"/>
  <c r="K120" i="2"/>
  <c r="P120" i="2" s="1" a="1"/>
  <c r="P120" i="2" s="1"/>
  <c r="K121" i="2"/>
  <c r="P121" i="2" s="1" a="1"/>
  <c r="P121" i="2" s="1"/>
  <c r="K122" i="2"/>
  <c r="P122" i="2" s="1" a="1"/>
  <c r="P122" i="2" s="1"/>
  <c r="K123" i="2"/>
  <c r="P123" i="2" s="1" a="1"/>
  <c r="P123" i="2" s="1"/>
  <c r="K124" i="2"/>
  <c r="P124" i="2" s="1" a="1"/>
  <c r="P124" i="2" s="1"/>
  <c r="K125" i="2"/>
  <c r="P125" i="2" s="1" a="1"/>
  <c r="P125" i="2" s="1"/>
  <c r="K126" i="2"/>
  <c r="P126" i="2" s="1" a="1"/>
  <c r="P126" i="2" s="1"/>
  <c r="K127" i="2"/>
  <c r="P127" i="2" s="1" a="1"/>
  <c r="P127" i="2" s="1"/>
  <c r="K128" i="2"/>
  <c r="P128" i="2" s="1" a="1"/>
  <c r="P128" i="2" s="1"/>
  <c r="K129" i="2"/>
  <c r="P129" i="2" s="1" a="1"/>
  <c r="P129" i="2" s="1"/>
  <c r="K130" i="2"/>
  <c r="P130" i="2" s="1" a="1"/>
  <c r="P130" i="2" s="1"/>
  <c r="K131" i="2"/>
  <c r="P131" i="2" s="1" a="1"/>
  <c r="P131" i="2" s="1"/>
  <c r="K132" i="2"/>
  <c r="P132" i="2" s="1" a="1"/>
  <c r="P132" i="2" s="1"/>
  <c r="K133" i="2"/>
  <c r="P133" i="2" s="1" a="1"/>
  <c r="P133" i="2" s="1"/>
  <c r="K134" i="2"/>
  <c r="P134" i="2" s="1" a="1"/>
  <c r="P134" i="2" s="1"/>
  <c r="K135" i="2"/>
  <c r="P135" i="2" s="1" a="1"/>
  <c r="P135" i="2" s="1"/>
  <c r="K136" i="2"/>
  <c r="P136" i="2" s="1" a="1"/>
  <c r="P136" i="2" s="1"/>
  <c r="K137" i="2"/>
  <c r="P137" i="2" s="1" a="1"/>
  <c r="P137" i="2" s="1"/>
  <c r="K138" i="2"/>
  <c r="P138" i="2" s="1" a="1"/>
  <c r="P138" i="2" s="1"/>
  <c r="K139" i="2"/>
  <c r="P139" i="2" s="1" a="1"/>
  <c r="P139" i="2" s="1"/>
  <c r="K140" i="2"/>
  <c r="P140" i="2" s="1" a="1"/>
  <c r="P140" i="2" s="1"/>
  <c r="K141" i="2"/>
  <c r="P141" i="2" s="1" a="1"/>
  <c r="P141" i="2" s="1"/>
  <c r="K142" i="2"/>
  <c r="P142" i="2" s="1" a="1"/>
  <c r="P142" i="2" s="1"/>
  <c r="K143" i="2"/>
  <c r="P143" i="2" s="1" a="1"/>
  <c r="P143" i="2" s="1"/>
  <c r="K144" i="2"/>
  <c r="P144" i="2" s="1" a="1"/>
  <c r="P144" i="2" s="1"/>
  <c r="K145" i="2"/>
  <c r="P145" i="2" s="1" a="1"/>
  <c r="P145" i="2" s="1"/>
  <c r="K146" i="2"/>
  <c r="P146" i="2" s="1" a="1"/>
  <c r="P146" i="2" s="1"/>
  <c r="K147" i="2"/>
  <c r="P147" i="2" s="1" a="1"/>
  <c r="P147" i="2" s="1"/>
  <c r="K148" i="2"/>
  <c r="P148" i="2" s="1" a="1"/>
  <c r="P148" i="2" s="1"/>
  <c r="K149" i="2"/>
  <c r="P149" i="2" s="1" a="1"/>
  <c r="P149" i="2" s="1"/>
  <c r="K150" i="2"/>
  <c r="P150" i="2" s="1" a="1"/>
  <c r="P150" i="2" s="1"/>
  <c r="K151" i="2"/>
  <c r="P151" i="2" s="1" a="1"/>
  <c r="P151" i="2" s="1"/>
  <c r="K152" i="2"/>
  <c r="P152" i="2" s="1" a="1"/>
  <c r="P152" i="2" s="1"/>
  <c r="K153" i="2"/>
  <c r="P153" i="2" s="1" a="1"/>
  <c r="P153" i="2" s="1"/>
  <c r="K154" i="2"/>
  <c r="P154" i="2" s="1" a="1"/>
  <c r="P154" i="2" s="1"/>
  <c r="K155" i="2"/>
  <c r="P155" i="2" s="1" a="1"/>
  <c r="P155" i="2" s="1"/>
  <c r="K156" i="2"/>
  <c r="P156" i="2" s="1" a="1"/>
  <c r="P156" i="2" s="1"/>
  <c r="K157" i="2"/>
  <c r="P157" i="2" s="1" a="1"/>
  <c r="P157" i="2" s="1"/>
  <c r="K158" i="2"/>
  <c r="P158" i="2" s="1" a="1"/>
  <c r="P158" i="2" s="1"/>
  <c r="K159" i="2"/>
  <c r="P159" i="2" s="1" a="1"/>
  <c r="P159" i="2" s="1"/>
  <c r="K160" i="2"/>
  <c r="P160" i="2" s="1" a="1"/>
  <c r="P160" i="2" s="1"/>
  <c r="K161" i="2"/>
  <c r="P161" i="2" s="1" a="1"/>
  <c r="P161" i="2" s="1"/>
  <c r="K162" i="2"/>
  <c r="P162" i="2" s="1" a="1"/>
  <c r="P162" i="2" s="1"/>
  <c r="K163" i="2"/>
  <c r="P163" i="2" s="1" a="1"/>
  <c r="P163" i="2" s="1"/>
  <c r="K164" i="2"/>
  <c r="P164" i="2" s="1" a="1"/>
  <c r="P164" i="2" s="1"/>
  <c r="K165" i="2"/>
  <c r="P165" i="2" s="1" a="1"/>
  <c r="P165" i="2" s="1"/>
  <c r="K166" i="2"/>
  <c r="P166" i="2" s="1" a="1"/>
  <c r="P166" i="2" s="1"/>
  <c r="K167" i="2"/>
  <c r="P167" i="2" s="1" a="1"/>
  <c r="P167" i="2" s="1"/>
  <c r="K168" i="2"/>
  <c r="P168" i="2" s="1" a="1"/>
  <c r="P168" i="2" s="1"/>
  <c r="K169" i="2"/>
  <c r="P169" i="2" s="1" a="1"/>
  <c r="P169" i="2" s="1"/>
  <c r="K170" i="2"/>
  <c r="P170" i="2" s="1" a="1"/>
  <c r="P170" i="2" s="1"/>
  <c r="K171" i="2"/>
  <c r="P171" i="2" s="1" a="1"/>
  <c r="P171" i="2" s="1"/>
  <c r="K172" i="2"/>
  <c r="P172" i="2" s="1" a="1"/>
  <c r="P172" i="2" s="1"/>
  <c r="K173" i="2"/>
  <c r="P173" i="2" s="1" a="1"/>
  <c r="P173" i="2" s="1"/>
  <c r="K174" i="2"/>
  <c r="P174" i="2" s="1" a="1"/>
  <c r="P174" i="2" s="1"/>
  <c r="K175" i="2"/>
  <c r="P175" i="2" s="1" a="1"/>
  <c r="P175" i="2" s="1"/>
  <c r="K176" i="2"/>
  <c r="P176" i="2" s="1" a="1"/>
  <c r="P176" i="2" s="1"/>
  <c r="K177" i="2"/>
  <c r="P177" i="2" s="1" a="1"/>
  <c r="P177" i="2" s="1"/>
  <c r="K178" i="2"/>
  <c r="P178" i="2" s="1" a="1"/>
  <c r="P178" i="2" s="1"/>
  <c r="K179" i="2"/>
  <c r="P179" i="2" s="1" a="1"/>
  <c r="P179" i="2" s="1"/>
  <c r="K180" i="2"/>
  <c r="P180" i="2" s="1" a="1"/>
  <c r="P180" i="2" s="1"/>
  <c r="K181" i="2"/>
  <c r="P181" i="2" s="1" a="1"/>
  <c r="P181" i="2" s="1"/>
  <c r="K182" i="2"/>
  <c r="P182" i="2" s="1" a="1"/>
  <c r="P182" i="2" s="1"/>
  <c r="K183" i="2"/>
  <c r="P183" i="2" s="1" a="1"/>
  <c r="P183" i="2" s="1"/>
  <c r="K184" i="2"/>
  <c r="P184" i="2" s="1" a="1"/>
  <c r="P184" i="2" s="1"/>
  <c r="K185" i="2"/>
  <c r="P185" i="2" s="1" a="1"/>
  <c r="P185" i="2" s="1"/>
  <c r="K186" i="2"/>
  <c r="P186" i="2" s="1" a="1"/>
  <c r="P186" i="2" s="1"/>
  <c r="K187" i="2"/>
  <c r="P187" i="2" s="1" a="1"/>
  <c r="P187" i="2" s="1"/>
  <c r="K188" i="2"/>
  <c r="P188" i="2" s="1" a="1"/>
  <c r="P188" i="2" s="1"/>
  <c r="K189" i="2"/>
  <c r="P189" i="2" s="1" a="1"/>
  <c r="P189" i="2" s="1"/>
  <c r="K190" i="2"/>
  <c r="P190" i="2" s="1" a="1"/>
  <c r="P190" i="2" s="1"/>
  <c r="K191" i="2"/>
  <c r="P191" i="2" s="1" a="1"/>
  <c r="P191" i="2" s="1"/>
  <c r="K192" i="2"/>
  <c r="P192" i="2" s="1" a="1"/>
  <c r="P192" i="2" s="1"/>
  <c r="K193" i="2"/>
  <c r="P193" i="2" s="1" a="1"/>
  <c r="P193" i="2" s="1"/>
  <c r="K194" i="2"/>
  <c r="P194" i="2" s="1" a="1"/>
  <c r="P194" i="2" s="1"/>
  <c r="K195" i="2"/>
  <c r="P195" i="2" s="1" a="1"/>
  <c r="P195" i="2" s="1"/>
  <c r="K196" i="2"/>
  <c r="P196" i="2" s="1" a="1"/>
  <c r="P196" i="2" s="1"/>
  <c r="K197" i="2"/>
  <c r="P197" i="2" s="1" a="1"/>
  <c r="P197" i="2" s="1"/>
  <c r="K198" i="2"/>
  <c r="P198" i="2" s="1" a="1"/>
  <c r="P198" i="2" s="1"/>
  <c r="K199" i="2"/>
  <c r="P199" i="2" s="1" a="1"/>
  <c r="P199" i="2" s="1"/>
  <c r="K200" i="2"/>
  <c r="P200" i="2" s="1" a="1"/>
  <c r="P200" i="2" s="1"/>
  <c r="K2" i="2"/>
  <c r="P2" i="2" s="1" a="1"/>
  <c r="P2" i="2" s="1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" i="3"/>
  <c r="AA2" i="3"/>
  <c r="Q9" i="9" l="1" a="1"/>
  <c r="Q9" i="9" s="1"/>
  <c r="E105" i="6"/>
  <c r="E57" i="6"/>
  <c r="E10" i="9"/>
  <c r="E9" i="9"/>
  <c r="E8" i="9"/>
  <c r="E7" i="9"/>
  <c r="E6" i="9"/>
  <c r="E5" i="9"/>
  <c r="E4" i="9"/>
  <c r="E3" i="9"/>
  <c r="H5" i="9" a="1"/>
  <c r="H5" i="9" s="1"/>
  <c r="F11" i="9"/>
  <c r="F10" i="9"/>
  <c r="F9" i="9"/>
  <c r="F8" i="9"/>
  <c r="F7" i="9"/>
  <c r="F6" i="9"/>
  <c r="F5" i="9"/>
  <c r="F4" i="9"/>
  <c r="F3" i="9"/>
  <c r="E2" i="9"/>
  <c r="I6" i="9" a="1"/>
  <c r="I6" i="9" s="1"/>
  <c r="I3" i="9" a="1"/>
  <c r="I3" i="9" s="1"/>
  <c r="I10" i="9" a="1"/>
  <c r="I10" i="9" s="1"/>
  <c r="I9" i="9" a="1"/>
  <c r="I9" i="9" s="1"/>
  <c r="H4" i="9" a="1"/>
  <c r="H4" i="9" s="1"/>
  <c r="Q11" i="9" a="1"/>
  <c r="Q11" i="9" s="1"/>
  <c r="H11" i="9" a="1"/>
  <c r="H11" i="9" s="1"/>
  <c r="Q2" i="9" a="1"/>
  <c r="Q2" i="9" s="1"/>
  <c r="F2" i="9"/>
  <c r="E164" i="3"/>
  <c r="E127" i="3"/>
  <c r="E97" i="6"/>
  <c r="I2" i="9" a="1"/>
  <c r="I2" i="9" s="1"/>
  <c r="E163" i="3"/>
  <c r="E126" i="6"/>
  <c r="E96" i="3"/>
  <c r="C6" i="9"/>
  <c r="R10" i="9"/>
  <c r="E167" i="3"/>
  <c r="E162" i="6"/>
  <c r="E125" i="3"/>
  <c r="E95" i="3"/>
  <c r="E199" i="6"/>
  <c r="E128" i="3"/>
  <c r="E98" i="3"/>
  <c r="E157" i="6"/>
  <c r="E124" i="6"/>
  <c r="E198" i="6"/>
  <c r="C7" i="9"/>
  <c r="E123" i="3"/>
  <c r="C8" i="9"/>
  <c r="E153" i="6"/>
  <c r="E120" i="3"/>
  <c r="E131" i="6"/>
  <c r="E121" i="6"/>
  <c r="E90" i="6"/>
  <c r="E196" i="6"/>
  <c r="E150" i="6"/>
  <c r="E119" i="3"/>
  <c r="H7" i="9" a="1"/>
  <c r="H7" i="9" s="1"/>
  <c r="E91" i="3"/>
  <c r="E152" i="3"/>
  <c r="E195" i="6"/>
  <c r="E149" i="3"/>
  <c r="E192" i="6"/>
  <c r="E168" i="3"/>
  <c r="E144" i="3"/>
  <c r="Q3" i="9" a="1"/>
  <c r="Q3" i="9" s="1"/>
  <c r="E122" i="3"/>
  <c r="E197" i="6"/>
  <c r="E194" i="6"/>
  <c r="E148" i="6"/>
  <c r="E116" i="3"/>
  <c r="H8" i="9" a="1"/>
  <c r="H8" i="9" s="1"/>
  <c r="E170" i="3"/>
  <c r="E193" i="6"/>
  <c r="E156" i="6"/>
  <c r="E147" i="3"/>
  <c r="E115" i="3"/>
  <c r="E191" i="6"/>
  <c r="E146" i="3"/>
  <c r="E114" i="6"/>
  <c r="E100" i="6"/>
  <c r="E155" i="6"/>
  <c r="E181" i="6"/>
  <c r="E145" i="6"/>
  <c r="E109" i="6"/>
  <c r="Q5" i="9" a="1"/>
  <c r="Q5" i="9" s="1"/>
  <c r="E179" i="6"/>
  <c r="E143" i="3"/>
  <c r="E108" i="6"/>
  <c r="E187" i="6"/>
  <c r="E141" i="3"/>
  <c r="Q6" i="9" a="1"/>
  <c r="Q6" i="9" s="1"/>
  <c r="E107" i="6"/>
  <c r="E176" i="3"/>
  <c r="E140" i="3"/>
  <c r="E174" i="6"/>
  <c r="E139" i="3"/>
  <c r="E104" i="3"/>
  <c r="AD2" i="9"/>
  <c r="Q7" i="9" a="1"/>
  <c r="Q7" i="9" s="1"/>
  <c r="E177" i="6"/>
  <c r="E173" i="3"/>
  <c r="E138" i="6"/>
  <c r="E103" i="3"/>
  <c r="E172" i="6"/>
  <c r="E133" i="6"/>
  <c r="E102" i="6"/>
  <c r="E182" i="6"/>
  <c r="E158" i="6"/>
  <c r="E134" i="6"/>
  <c r="E110" i="6"/>
  <c r="E171" i="3"/>
  <c r="E132" i="6"/>
  <c r="E101" i="3"/>
  <c r="E180" i="6"/>
  <c r="E169" i="6"/>
  <c r="E129" i="6"/>
  <c r="E99" i="3"/>
  <c r="E55" i="6"/>
  <c r="E114" i="3"/>
  <c r="N200" i="2" a="1"/>
  <c r="N200" i="2" s="1"/>
  <c r="E175" i="3"/>
  <c r="E175" i="6"/>
  <c r="E18" i="3"/>
  <c r="M186" i="2" a="1"/>
  <c r="M186" i="2" s="1"/>
  <c r="S186" i="2" s="1"/>
  <c r="M162" i="2" a="1"/>
  <c r="M162" i="2" s="1"/>
  <c r="S162" i="2" s="1"/>
  <c r="E79" i="6"/>
  <c r="N199" i="2" a="1"/>
  <c r="N199" i="2" s="1"/>
  <c r="N183" i="2" a="1"/>
  <c r="N183" i="2" s="1"/>
  <c r="N159" i="2" a="1"/>
  <c r="N159" i="2" s="1"/>
  <c r="T159" i="2" s="1"/>
  <c r="E103" i="6"/>
  <c r="N181" i="2" a="1"/>
  <c r="N181" i="2" s="1"/>
  <c r="N157" i="2" a="1"/>
  <c r="N157" i="2" s="1"/>
  <c r="E23" i="6"/>
  <c r="N197" i="2" a="1"/>
  <c r="N197" i="2" s="1"/>
  <c r="T197" i="2" s="1"/>
  <c r="E127" i="6"/>
  <c r="E47" i="6"/>
  <c r="M155" i="2" a="1"/>
  <c r="M155" i="2" s="1"/>
  <c r="S155" i="2" s="1"/>
  <c r="N195" i="2" a="1"/>
  <c r="N195" i="2" s="1"/>
  <c r="T195" i="2" s="1"/>
  <c r="M179" i="2" a="1"/>
  <c r="M179" i="2" s="1"/>
  <c r="S179" i="2" s="1"/>
  <c r="E71" i="6"/>
  <c r="M152" i="2" a="1"/>
  <c r="M152" i="2" s="1"/>
  <c r="S152" i="2" s="1"/>
  <c r="E95" i="6"/>
  <c r="N176" i="2" a="1"/>
  <c r="N176" i="2" s="1"/>
  <c r="T176" i="2" s="1"/>
  <c r="N149" i="2" a="1"/>
  <c r="N149" i="2" s="1"/>
  <c r="T149" i="2" s="1"/>
  <c r="N193" i="2" a="1"/>
  <c r="N193" i="2" s="1"/>
  <c r="T193" i="2" s="1"/>
  <c r="N147" i="2" a="1"/>
  <c r="N147" i="2" s="1"/>
  <c r="T147" i="2" s="1"/>
  <c r="E119" i="6"/>
  <c r="N173" i="2" a="1"/>
  <c r="N173" i="2" s="1"/>
  <c r="N145" i="2" a="1"/>
  <c r="N145" i="2" s="1"/>
  <c r="T145" i="2" s="1"/>
  <c r="E42" i="3"/>
  <c r="E143" i="6"/>
  <c r="M191" i="2" a="1"/>
  <c r="M191" i="2" s="1"/>
  <c r="S191" i="2" s="1"/>
  <c r="N171" i="2" a="1"/>
  <c r="N171" i="2" s="1"/>
  <c r="T171" i="2" s="1"/>
  <c r="E167" i="6"/>
  <c r="M143" i="2" a="1"/>
  <c r="M143" i="2" s="1"/>
  <c r="S143" i="2" s="1"/>
  <c r="M190" i="2" a="1"/>
  <c r="M190" i="2" s="1"/>
  <c r="S190" i="2" s="1"/>
  <c r="E162" i="3"/>
  <c r="M189" i="2" a="1"/>
  <c r="M189" i="2" s="1"/>
  <c r="S189" i="2" s="1"/>
  <c r="N169" i="2" a="1"/>
  <c r="N169" i="2" s="1"/>
  <c r="T169" i="2" s="1"/>
  <c r="E138" i="3"/>
  <c r="D10" i="6"/>
  <c r="N188" i="2" a="1"/>
  <c r="N188" i="2" s="1"/>
  <c r="T188" i="2" s="1"/>
  <c r="M167" i="2" a="1"/>
  <c r="M167" i="2" s="1"/>
  <c r="S167" i="2" s="1"/>
  <c r="E90" i="3"/>
  <c r="E31" i="6"/>
  <c r="M187" i="2" a="1"/>
  <c r="M187" i="2" s="1"/>
  <c r="S187" i="2" s="1"/>
  <c r="E66" i="3"/>
  <c r="M166" i="2" a="1"/>
  <c r="M166" i="2" s="1"/>
  <c r="S166" i="2" s="1"/>
  <c r="E183" i="6"/>
  <c r="E183" i="3"/>
  <c r="E159" i="6"/>
  <c r="E159" i="3"/>
  <c r="E135" i="6"/>
  <c r="E135" i="3"/>
  <c r="E111" i="6"/>
  <c r="E111" i="3"/>
  <c r="E87" i="6"/>
  <c r="E87" i="3"/>
  <c r="E63" i="6"/>
  <c r="E63" i="3"/>
  <c r="E39" i="6"/>
  <c r="E39" i="3"/>
  <c r="E15" i="6"/>
  <c r="E15" i="3"/>
  <c r="E113" i="6"/>
  <c r="E113" i="3"/>
  <c r="E89" i="6"/>
  <c r="E89" i="3"/>
  <c r="E65" i="6"/>
  <c r="E65" i="3"/>
  <c r="E41" i="6"/>
  <c r="E41" i="3"/>
  <c r="E17" i="6"/>
  <c r="E17" i="3"/>
  <c r="E137" i="6"/>
  <c r="E137" i="3"/>
  <c r="M185" i="2" a="1"/>
  <c r="M185" i="2" s="1"/>
  <c r="S185" i="2" s="1"/>
  <c r="N185" i="2" a="1"/>
  <c r="N185" i="2" s="1"/>
  <c r="M161" i="2" a="1"/>
  <c r="M161" i="2" s="1"/>
  <c r="S161" i="2" s="1"/>
  <c r="N161" i="2" a="1"/>
  <c r="N161" i="2" s="1"/>
  <c r="M137" i="2" a="1"/>
  <c r="M137" i="2" s="1"/>
  <c r="S137" i="2" s="1"/>
  <c r="N137" i="2" a="1"/>
  <c r="N137" i="2" s="1"/>
  <c r="T137" i="2" s="1"/>
  <c r="M113" i="2" a="1"/>
  <c r="M113" i="2" s="1"/>
  <c r="S113" i="2" s="1"/>
  <c r="N113" i="2" a="1"/>
  <c r="N113" i="2" s="1"/>
  <c r="M89" i="2" a="1"/>
  <c r="M89" i="2" s="1"/>
  <c r="S89" i="2" s="1"/>
  <c r="N89" i="2" a="1"/>
  <c r="N89" i="2" s="1"/>
  <c r="T89" i="2" s="1"/>
  <c r="M65" i="2" a="1"/>
  <c r="M65" i="2" s="1"/>
  <c r="S65" i="2" s="1"/>
  <c r="N65" i="2" a="1"/>
  <c r="N65" i="2" s="1"/>
  <c r="M41" i="2" a="1"/>
  <c r="M41" i="2" s="1"/>
  <c r="S41" i="2" s="1"/>
  <c r="N41" i="2" a="1"/>
  <c r="N41" i="2" s="1"/>
  <c r="T41" i="2" s="1"/>
  <c r="M17" i="2" a="1"/>
  <c r="M17" i="2" s="1"/>
  <c r="S17" i="2" s="1"/>
  <c r="N17" i="2" a="1"/>
  <c r="N17" i="2" s="1"/>
  <c r="T17" i="2" s="1"/>
  <c r="E3" i="6"/>
  <c r="E26" i="6"/>
  <c r="E50" i="6"/>
  <c r="E74" i="6"/>
  <c r="E98" i="6"/>
  <c r="E122" i="6"/>
  <c r="E146" i="6"/>
  <c r="E170" i="6"/>
  <c r="E182" i="3"/>
  <c r="E158" i="3"/>
  <c r="E134" i="3"/>
  <c r="E110" i="3"/>
  <c r="E86" i="3"/>
  <c r="E62" i="3"/>
  <c r="E38" i="3"/>
  <c r="E14" i="3"/>
  <c r="E181" i="3"/>
  <c r="E157" i="3"/>
  <c r="E133" i="3"/>
  <c r="E109" i="3"/>
  <c r="E85" i="3"/>
  <c r="E61" i="3"/>
  <c r="E37" i="3"/>
  <c r="E13" i="3"/>
  <c r="E8" i="6"/>
  <c r="E180" i="3"/>
  <c r="E156" i="3"/>
  <c r="E132" i="3"/>
  <c r="E108" i="3"/>
  <c r="E84" i="3"/>
  <c r="E60" i="3"/>
  <c r="E36" i="3"/>
  <c r="E12" i="3"/>
  <c r="E21" i="6"/>
  <c r="E29" i="6"/>
  <c r="E45" i="6"/>
  <c r="E53" i="6"/>
  <c r="E69" i="6"/>
  <c r="E77" i="6"/>
  <c r="E93" i="6"/>
  <c r="E101" i="6"/>
  <c r="E117" i="6"/>
  <c r="E125" i="6"/>
  <c r="E141" i="6"/>
  <c r="E149" i="6"/>
  <c r="E173" i="6"/>
  <c r="E179" i="3"/>
  <c r="E155" i="3"/>
  <c r="E131" i="3"/>
  <c r="E107" i="3"/>
  <c r="E83" i="3"/>
  <c r="E59" i="3"/>
  <c r="E35" i="3"/>
  <c r="E11" i="3"/>
  <c r="E177" i="3"/>
  <c r="E153" i="3"/>
  <c r="E129" i="3"/>
  <c r="E105" i="3"/>
  <c r="E81" i="3"/>
  <c r="E57" i="3"/>
  <c r="E33" i="3"/>
  <c r="E9" i="3"/>
  <c r="E6" i="6"/>
  <c r="E24" i="6"/>
  <c r="E32" i="6"/>
  <c r="E48" i="6"/>
  <c r="E56" i="6"/>
  <c r="E72" i="6"/>
  <c r="E80" i="6"/>
  <c r="E96" i="6"/>
  <c r="E104" i="6"/>
  <c r="E120" i="6"/>
  <c r="E128" i="6"/>
  <c r="E144" i="6"/>
  <c r="E152" i="6"/>
  <c r="E168" i="6"/>
  <c r="E176" i="6"/>
  <c r="E199" i="3"/>
  <c r="E7" i="3"/>
  <c r="E198" i="3"/>
  <c r="E174" i="3"/>
  <c r="E150" i="3"/>
  <c r="E126" i="3"/>
  <c r="E102" i="3"/>
  <c r="E78" i="3"/>
  <c r="E54" i="3"/>
  <c r="E30" i="3"/>
  <c r="E19" i="6"/>
  <c r="E27" i="6"/>
  <c r="E43" i="6"/>
  <c r="E51" i="6"/>
  <c r="E67" i="6"/>
  <c r="E75" i="6"/>
  <c r="E91" i="6"/>
  <c r="E99" i="6"/>
  <c r="E115" i="6"/>
  <c r="E123" i="6"/>
  <c r="E139" i="6"/>
  <c r="E147" i="6"/>
  <c r="E163" i="6"/>
  <c r="E171" i="6"/>
  <c r="E197" i="3"/>
  <c r="E5" i="3"/>
  <c r="E4" i="6"/>
  <c r="E196" i="3"/>
  <c r="E172" i="3"/>
  <c r="E148" i="3"/>
  <c r="E124" i="3"/>
  <c r="E100" i="3"/>
  <c r="E76" i="3"/>
  <c r="E52" i="3"/>
  <c r="E28" i="3"/>
  <c r="E195" i="3"/>
  <c r="E194" i="3"/>
  <c r="E193" i="3"/>
  <c r="E169" i="3"/>
  <c r="E145" i="3"/>
  <c r="E121" i="3"/>
  <c r="E97" i="3"/>
  <c r="E73" i="3"/>
  <c r="E49" i="3"/>
  <c r="E25" i="3"/>
  <c r="E192" i="3"/>
  <c r="E191" i="3"/>
  <c r="E20" i="6"/>
  <c r="E44" i="6"/>
  <c r="E68" i="6"/>
  <c r="E92" i="6"/>
  <c r="E116" i="6"/>
  <c r="E140" i="6"/>
  <c r="E164" i="6"/>
  <c r="E187" i="3"/>
  <c r="N198" i="2" a="1"/>
  <c r="N198" i="2" s="1"/>
  <c r="T198" i="2" s="1"/>
  <c r="N174" i="2" a="1"/>
  <c r="N174" i="2" s="1"/>
  <c r="T174" i="2" s="1"/>
  <c r="N150" i="2" a="1"/>
  <c r="N150" i="2" s="1"/>
  <c r="T150" i="2" s="1"/>
  <c r="N138" i="2" a="1"/>
  <c r="N138" i="2" s="1"/>
  <c r="T138" i="2" s="1"/>
  <c r="M131" i="2" a="1"/>
  <c r="M131" i="2" s="1"/>
  <c r="S131" i="2" s="1"/>
  <c r="N126" i="2" a="1"/>
  <c r="N126" i="2" s="1"/>
  <c r="T126" i="2" s="1"/>
  <c r="M119" i="2" a="1"/>
  <c r="M119" i="2" s="1"/>
  <c r="S119" i="2" s="1"/>
  <c r="N114" i="2" a="1"/>
  <c r="N114" i="2" s="1"/>
  <c r="M107" i="2" a="1"/>
  <c r="M107" i="2" s="1"/>
  <c r="S107" i="2" s="1"/>
  <c r="N102" i="2" a="1"/>
  <c r="N102" i="2" s="1"/>
  <c r="T102" i="2" s="1"/>
  <c r="M95" i="2" a="1"/>
  <c r="M95" i="2" s="1"/>
  <c r="S95" i="2" s="1"/>
  <c r="N90" i="2" a="1"/>
  <c r="N90" i="2" s="1"/>
  <c r="T90" i="2" s="1"/>
  <c r="M83" i="2" a="1"/>
  <c r="M83" i="2" s="1"/>
  <c r="S83" i="2" s="1"/>
  <c r="N78" i="2" a="1"/>
  <c r="N78" i="2" s="1"/>
  <c r="M71" i="2" a="1"/>
  <c r="M71" i="2" s="1"/>
  <c r="S71" i="2" s="1"/>
  <c r="N66" i="2" a="1"/>
  <c r="N66" i="2" s="1"/>
  <c r="M59" i="2" a="1"/>
  <c r="M59" i="2" s="1"/>
  <c r="S59" i="2" s="1"/>
  <c r="E11" i="9" s="1"/>
  <c r="N54" i="2" a="1"/>
  <c r="N54" i="2" s="1"/>
  <c r="T54" i="2" s="1"/>
  <c r="D6" i="9" s="1"/>
  <c r="M47" i="2" a="1"/>
  <c r="M47" i="2" s="1"/>
  <c r="S47" i="2" s="1"/>
  <c r="N42" i="2" a="1"/>
  <c r="N42" i="2" s="1"/>
  <c r="M35" i="2" a="1"/>
  <c r="M35" i="2" s="1"/>
  <c r="S35" i="2" s="1"/>
  <c r="N30" i="2" a="1"/>
  <c r="N30" i="2" s="1"/>
  <c r="M23" i="2" a="1"/>
  <c r="M23" i="2" s="1"/>
  <c r="S23" i="2" s="1"/>
  <c r="N18" i="2" a="1"/>
  <c r="N18" i="2" s="1"/>
  <c r="T18" i="2" s="1"/>
  <c r="M11" i="2" a="1"/>
  <c r="M11" i="2" s="1"/>
  <c r="S11" i="2" s="1"/>
  <c r="N6" i="2" a="1"/>
  <c r="N6" i="2" s="1"/>
  <c r="T6" i="2" s="1"/>
  <c r="N133" i="2" a="1"/>
  <c r="N133" i="2" s="1"/>
  <c r="T133" i="2" s="1"/>
  <c r="N121" i="2" a="1"/>
  <c r="N121" i="2" s="1"/>
  <c r="T121" i="2" s="1"/>
  <c r="N109" i="2" a="1"/>
  <c r="N109" i="2" s="1"/>
  <c r="T109" i="2" s="1"/>
  <c r="N97" i="2" a="1"/>
  <c r="N97" i="2" s="1"/>
  <c r="T97" i="2" s="1"/>
  <c r="N85" i="2" a="1"/>
  <c r="N85" i="2" s="1"/>
  <c r="T85" i="2" s="1"/>
  <c r="N73" i="2" a="1"/>
  <c r="N73" i="2" s="1"/>
  <c r="N61" i="2" a="1"/>
  <c r="N61" i="2" s="1"/>
  <c r="T61" i="2" s="1"/>
  <c r="N49" i="2" a="1"/>
  <c r="N49" i="2" s="1"/>
  <c r="T49" i="2" s="1"/>
  <c r="N37" i="2" a="1"/>
  <c r="N37" i="2" s="1"/>
  <c r="T37" i="2" s="1"/>
  <c r="N25" i="2" a="1"/>
  <c r="N25" i="2" s="1"/>
  <c r="T25" i="2" s="1"/>
  <c r="N13" i="2" a="1"/>
  <c r="N13" i="2" s="1"/>
  <c r="T13" i="2" s="1"/>
  <c r="N164" i="2" a="1"/>
  <c r="N164" i="2" s="1"/>
  <c r="N140" i="2" a="1"/>
  <c r="N140" i="2" s="1"/>
  <c r="N128" i="2" a="1"/>
  <c r="N128" i="2" s="1"/>
  <c r="N116" i="2" a="1"/>
  <c r="N116" i="2" s="1"/>
  <c r="T116" i="2" s="1"/>
  <c r="N104" i="2" a="1"/>
  <c r="N104" i="2" s="1"/>
  <c r="T104" i="2" s="1"/>
  <c r="N92" i="2" a="1"/>
  <c r="N92" i="2" s="1"/>
  <c r="N80" i="2" a="1"/>
  <c r="N80" i="2" s="1"/>
  <c r="N68" i="2" a="1"/>
  <c r="N68" i="2" s="1"/>
  <c r="T68" i="2" s="1"/>
  <c r="N56" i="2" a="1"/>
  <c r="N56" i="2" s="1"/>
  <c r="N44" i="2" a="1"/>
  <c r="N44" i="2" s="1"/>
  <c r="N32" i="2" a="1"/>
  <c r="N32" i="2" s="1"/>
  <c r="T32" i="2" s="1"/>
  <c r="N20" i="2" a="1"/>
  <c r="N20" i="2" s="1"/>
  <c r="T20" i="2" s="1"/>
  <c r="N8" i="2" a="1"/>
  <c r="N8" i="2" s="1"/>
  <c r="T8" i="2" s="1"/>
  <c r="N135" i="2" a="1"/>
  <c r="N135" i="2" s="1"/>
  <c r="T135" i="2" s="1"/>
  <c r="N123" i="2" a="1"/>
  <c r="N123" i="2" s="1"/>
  <c r="T123" i="2" s="1"/>
  <c r="N111" i="2" a="1"/>
  <c r="N111" i="2" s="1"/>
  <c r="T111" i="2" s="1"/>
  <c r="N99" i="2" a="1"/>
  <c r="N99" i="2" s="1"/>
  <c r="T99" i="2" s="1"/>
  <c r="N87" i="2" a="1"/>
  <c r="N87" i="2" s="1"/>
  <c r="T87" i="2" s="1"/>
  <c r="N75" i="2" a="1"/>
  <c r="N75" i="2" s="1"/>
  <c r="N63" i="2" a="1"/>
  <c r="N63" i="2" s="1"/>
  <c r="T63" i="2" s="1"/>
  <c r="N51" i="2" a="1"/>
  <c r="N51" i="2" s="1"/>
  <c r="T51" i="2" s="1"/>
  <c r="D3" i="9" s="1"/>
  <c r="N39" i="2" a="1"/>
  <c r="N39" i="2" s="1"/>
  <c r="T39" i="2" s="1"/>
  <c r="N27" i="2" a="1"/>
  <c r="N27" i="2" s="1"/>
  <c r="T27" i="2" s="1"/>
  <c r="N15" i="2" a="1"/>
  <c r="N15" i="2" s="1"/>
  <c r="N178" i="2" a="1"/>
  <c r="N178" i="2" s="1"/>
  <c r="N154" i="2" a="1"/>
  <c r="N154" i="2" s="1"/>
  <c r="T154" i="2" s="1"/>
  <c r="N142" i="2" a="1"/>
  <c r="N142" i="2" s="1"/>
  <c r="N130" i="2" a="1"/>
  <c r="N130" i="2" s="1"/>
  <c r="T130" i="2" s="1"/>
  <c r="N118" i="2" a="1"/>
  <c r="N118" i="2" s="1"/>
  <c r="T118" i="2" s="1"/>
  <c r="N106" i="2" a="1"/>
  <c r="N106" i="2" s="1"/>
  <c r="N94" i="2" a="1"/>
  <c r="N94" i="2" s="1"/>
  <c r="N82" i="2" a="1"/>
  <c r="N82" i="2" s="1"/>
  <c r="N70" i="2" a="1"/>
  <c r="N70" i="2" s="1"/>
  <c r="N58" i="2" a="1"/>
  <c r="N58" i="2" s="1"/>
  <c r="N46" i="2" a="1"/>
  <c r="N46" i="2" s="1"/>
  <c r="T46" i="2" s="1"/>
  <c r="N34" i="2" a="1"/>
  <c r="N34" i="2" s="1"/>
  <c r="T34" i="2" s="1"/>
  <c r="N22" i="2" a="1"/>
  <c r="N22" i="2" s="1"/>
  <c r="T22" i="2" s="1"/>
  <c r="N10" i="2" a="1"/>
  <c r="N10" i="2" s="1"/>
  <c r="T10" i="2" s="1"/>
  <c r="N125" i="2" a="1"/>
  <c r="N125" i="2" s="1"/>
  <c r="T125" i="2" s="1"/>
  <c r="N101" i="2" a="1"/>
  <c r="N101" i="2" s="1"/>
  <c r="T101" i="2" s="1"/>
  <c r="N77" i="2" a="1"/>
  <c r="N77" i="2" s="1"/>
  <c r="T77" i="2" s="1"/>
  <c r="N53" i="2" a="1"/>
  <c r="N53" i="2" s="1"/>
  <c r="T53" i="2" s="1"/>
  <c r="D5" i="9" s="1"/>
  <c r="N29" i="2" a="1"/>
  <c r="N29" i="2" s="1"/>
  <c r="N5" i="2" a="1"/>
  <c r="N5" i="2" s="1"/>
  <c r="T5" i="2" s="1"/>
  <c r="N192" i="2" a="1"/>
  <c r="N192" i="2" s="1"/>
  <c r="T192" i="2" s="1"/>
  <c r="N180" i="2" a="1"/>
  <c r="N180" i="2" s="1"/>
  <c r="T180" i="2" s="1"/>
  <c r="N168" i="2" a="1"/>
  <c r="N168" i="2" s="1"/>
  <c r="T168" i="2" s="1"/>
  <c r="N156" i="2" a="1"/>
  <c r="N156" i="2" s="1"/>
  <c r="N144" i="2" a="1"/>
  <c r="N144" i="2" s="1"/>
  <c r="N132" i="2" a="1"/>
  <c r="N132" i="2" s="1"/>
  <c r="T132" i="2" s="1"/>
  <c r="N120" i="2" a="1"/>
  <c r="N120" i="2" s="1"/>
  <c r="N108" i="2" a="1"/>
  <c r="N108" i="2" s="1"/>
  <c r="T108" i="2" s="1"/>
  <c r="N96" i="2" a="1"/>
  <c r="N96" i="2" s="1"/>
  <c r="T96" i="2" s="1"/>
  <c r="N84" i="2" a="1"/>
  <c r="N84" i="2" s="1"/>
  <c r="N72" i="2" a="1"/>
  <c r="N72" i="2" s="1"/>
  <c r="N60" i="2" a="1"/>
  <c r="N60" i="2" s="1"/>
  <c r="T60" i="2" s="1"/>
  <c r="N48" i="2" a="1"/>
  <c r="N48" i="2" s="1"/>
  <c r="N36" i="2" a="1"/>
  <c r="N36" i="2" s="1"/>
  <c r="N24" i="2" a="1"/>
  <c r="N24" i="2" s="1"/>
  <c r="T24" i="2" s="1"/>
  <c r="N12" i="2" a="1"/>
  <c r="N12" i="2" s="1"/>
  <c r="T12" i="2" s="1"/>
  <c r="N175" i="2" a="1"/>
  <c r="N175" i="2" s="1"/>
  <c r="T175" i="2" s="1"/>
  <c r="N163" i="2" a="1"/>
  <c r="N163" i="2" s="1"/>
  <c r="T163" i="2" s="1"/>
  <c r="N151" i="2" a="1"/>
  <c r="N151" i="2" s="1"/>
  <c r="T151" i="2" s="1"/>
  <c r="N139" i="2" a="1"/>
  <c r="N139" i="2" s="1"/>
  <c r="T139" i="2" s="1"/>
  <c r="N127" i="2" a="1"/>
  <c r="N127" i="2" s="1"/>
  <c r="T127" i="2" s="1"/>
  <c r="N115" i="2" a="1"/>
  <c r="N115" i="2" s="1"/>
  <c r="T115" i="2" s="1"/>
  <c r="N103" i="2" a="1"/>
  <c r="N103" i="2" s="1"/>
  <c r="N91" i="2" a="1"/>
  <c r="N91" i="2" s="1"/>
  <c r="T91" i="2" s="1"/>
  <c r="N79" i="2" a="1"/>
  <c r="N79" i="2" s="1"/>
  <c r="T79" i="2" s="1"/>
  <c r="N67" i="2" a="1"/>
  <c r="N67" i="2" s="1"/>
  <c r="T67" i="2" s="1"/>
  <c r="N55" i="2" a="1"/>
  <c r="N55" i="2" s="1"/>
  <c r="T55" i="2" s="1"/>
  <c r="D7" i="9" s="1"/>
  <c r="N43" i="2" a="1"/>
  <c r="N43" i="2" s="1"/>
  <c r="N31" i="2" a="1"/>
  <c r="N31" i="2" s="1"/>
  <c r="N19" i="2" a="1"/>
  <c r="N19" i="2" s="1"/>
  <c r="T19" i="2" s="1"/>
  <c r="N7" i="2" a="1"/>
  <c r="N7" i="2" s="1"/>
  <c r="T7" i="2" s="1"/>
  <c r="N194" i="2" a="1"/>
  <c r="N194" i="2" s="1"/>
  <c r="T194" i="2" s="1"/>
  <c r="N182" i="2" a="1"/>
  <c r="N182" i="2" s="1"/>
  <c r="T182" i="2" s="1"/>
  <c r="N170" i="2" a="1"/>
  <c r="N170" i="2" s="1"/>
  <c r="N158" i="2" a="1"/>
  <c r="N158" i="2" s="1"/>
  <c r="N146" i="2" a="1"/>
  <c r="N146" i="2" s="1"/>
  <c r="T146" i="2" s="1"/>
  <c r="N134" i="2" a="1"/>
  <c r="N134" i="2" s="1"/>
  <c r="T134" i="2" s="1"/>
  <c r="N122" i="2" a="1"/>
  <c r="N122" i="2" s="1"/>
  <c r="N110" i="2" a="1"/>
  <c r="N110" i="2" s="1"/>
  <c r="T110" i="2" s="1"/>
  <c r="N98" i="2" a="1"/>
  <c r="N98" i="2" s="1"/>
  <c r="T98" i="2" s="1"/>
  <c r="N86" i="2" a="1"/>
  <c r="N86" i="2" s="1"/>
  <c r="T86" i="2" s="1"/>
  <c r="N74" i="2" a="1"/>
  <c r="N74" i="2" s="1"/>
  <c r="N62" i="2" a="1"/>
  <c r="N62" i="2" s="1"/>
  <c r="T62" i="2" s="1"/>
  <c r="N50" i="2" a="1"/>
  <c r="N50" i="2" s="1"/>
  <c r="T50" i="2" s="1"/>
  <c r="N38" i="2" a="1"/>
  <c r="N38" i="2" s="1"/>
  <c r="T38" i="2" s="1"/>
  <c r="N26" i="2" a="1"/>
  <c r="N26" i="2" s="1"/>
  <c r="T26" i="2" s="1"/>
  <c r="N14" i="2" a="1"/>
  <c r="N14" i="2" s="1"/>
  <c r="N177" i="2" a="1"/>
  <c r="N177" i="2" s="1"/>
  <c r="T177" i="2" s="1"/>
  <c r="N165" i="2" a="1"/>
  <c r="N165" i="2" s="1"/>
  <c r="T165" i="2" s="1"/>
  <c r="N153" i="2" a="1"/>
  <c r="N153" i="2" s="1"/>
  <c r="T153" i="2" s="1"/>
  <c r="N141" i="2" a="1"/>
  <c r="N141" i="2" s="1"/>
  <c r="T141" i="2" s="1"/>
  <c r="N129" i="2" a="1"/>
  <c r="N129" i="2" s="1"/>
  <c r="N117" i="2" a="1"/>
  <c r="N117" i="2" s="1"/>
  <c r="N105" i="2" a="1"/>
  <c r="N105" i="2" s="1"/>
  <c r="T105" i="2" s="1"/>
  <c r="N93" i="2" a="1"/>
  <c r="N93" i="2" s="1"/>
  <c r="N81" i="2" a="1"/>
  <c r="N81" i="2" s="1"/>
  <c r="T81" i="2" s="1"/>
  <c r="N69" i="2" a="1"/>
  <c r="N69" i="2" s="1"/>
  <c r="T69" i="2" s="1"/>
  <c r="N57" i="2" a="1"/>
  <c r="N57" i="2" s="1"/>
  <c r="N45" i="2" a="1"/>
  <c r="N45" i="2" s="1"/>
  <c r="N33" i="2" a="1"/>
  <c r="N33" i="2" s="1"/>
  <c r="T33" i="2" s="1"/>
  <c r="N21" i="2" a="1"/>
  <c r="N21" i="2" s="1"/>
  <c r="N9" i="2" a="1"/>
  <c r="N9" i="2" s="1"/>
  <c r="T9" i="2" s="1"/>
  <c r="N196" i="2" a="1"/>
  <c r="N196" i="2" s="1"/>
  <c r="T196" i="2" s="1"/>
  <c r="N184" i="2" a="1"/>
  <c r="N184" i="2" s="1"/>
  <c r="T184" i="2" s="1"/>
  <c r="N172" i="2" a="1"/>
  <c r="N172" i="2" s="1"/>
  <c r="T172" i="2" s="1"/>
  <c r="N160" i="2" a="1"/>
  <c r="N160" i="2" s="1"/>
  <c r="T160" i="2" s="1"/>
  <c r="N148" i="2" a="1"/>
  <c r="N148" i="2" s="1"/>
  <c r="T148" i="2" s="1"/>
  <c r="N136" i="2" a="1"/>
  <c r="N136" i="2" s="1"/>
  <c r="T136" i="2" s="1"/>
  <c r="N124" i="2" a="1"/>
  <c r="N124" i="2" s="1"/>
  <c r="T124" i="2" s="1"/>
  <c r="N112" i="2" a="1"/>
  <c r="N112" i="2" s="1"/>
  <c r="T112" i="2" s="1"/>
  <c r="N100" i="2" a="1"/>
  <c r="N100" i="2" s="1"/>
  <c r="N88" i="2" a="1"/>
  <c r="N88" i="2" s="1"/>
  <c r="T88" i="2" s="1"/>
  <c r="N76" i="2" a="1"/>
  <c r="N76" i="2" s="1"/>
  <c r="T76" i="2" s="1"/>
  <c r="N64" i="2" a="1"/>
  <c r="N64" i="2" s="1"/>
  <c r="T64" i="2" s="1"/>
  <c r="N52" i="2" a="1"/>
  <c r="N52" i="2" s="1"/>
  <c r="T52" i="2" s="1"/>
  <c r="D4" i="9" s="1"/>
  <c r="N40" i="2" a="1"/>
  <c r="N40" i="2" s="1"/>
  <c r="N28" i="2" a="1"/>
  <c r="N28" i="2" s="1"/>
  <c r="N16" i="2" a="1"/>
  <c r="N16" i="2" s="1"/>
  <c r="T16" i="2" s="1"/>
  <c r="N4" i="2" a="1"/>
  <c r="N4" i="2" s="1"/>
  <c r="T4" i="2" s="1"/>
  <c r="E2" i="6"/>
  <c r="E2" i="3"/>
  <c r="N3" i="2" a="1"/>
  <c r="N3" i="2" s="1"/>
  <c r="T3" i="2" s="1"/>
  <c r="N2" i="2" a="1"/>
  <c r="N2" i="2" s="1"/>
  <c r="H194" i="6" a="1"/>
  <c r="H194" i="6" s="1"/>
  <c r="H182" i="6" a="1"/>
  <c r="H182" i="6" s="1"/>
  <c r="H170" i="6" a="1"/>
  <c r="H170" i="6" s="1"/>
  <c r="H158" i="6" a="1"/>
  <c r="H158" i="6" s="1"/>
  <c r="H146" i="6" a="1"/>
  <c r="H146" i="6" s="1"/>
  <c r="H122" i="6" a="1"/>
  <c r="H122" i="6" s="1"/>
  <c r="H74" i="6" a="1"/>
  <c r="H74" i="6" s="1"/>
  <c r="H62" i="6" a="1"/>
  <c r="H62" i="6" s="1"/>
  <c r="H50" i="6" a="1"/>
  <c r="H50" i="6" s="1"/>
  <c r="H26" i="6" a="1"/>
  <c r="H26" i="6" s="1"/>
  <c r="H14" i="6" a="1"/>
  <c r="H14" i="6" s="1"/>
  <c r="H38" i="6" a="1"/>
  <c r="H38" i="6" s="1"/>
  <c r="H193" i="6" a="1"/>
  <c r="H193" i="6" s="1"/>
  <c r="H109" i="6" a="1"/>
  <c r="H109" i="6" s="1"/>
  <c r="H97" i="6" a="1"/>
  <c r="H97" i="6" s="1"/>
  <c r="H73" i="6" a="1"/>
  <c r="H73" i="6" s="1"/>
  <c r="H61" i="6" a="1"/>
  <c r="H61" i="6" s="1"/>
  <c r="H49" i="6" a="1"/>
  <c r="H49" i="6" s="1"/>
  <c r="H37" i="6" a="1"/>
  <c r="H37" i="6" s="1"/>
  <c r="H25" i="6" a="1"/>
  <c r="H25" i="6" s="1"/>
  <c r="H13" i="6" a="1"/>
  <c r="H13" i="6" s="1"/>
  <c r="H192" i="6" a="1"/>
  <c r="H192" i="6" s="1"/>
  <c r="H180" i="6" a="1"/>
  <c r="H180" i="6" s="1"/>
  <c r="H168" i="6" a="1"/>
  <c r="H168" i="6" s="1"/>
  <c r="H156" i="6" a="1"/>
  <c r="H156" i="6" s="1"/>
  <c r="H144" i="6" a="1"/>
  <c r="H144" i="6" s="1"/>
  <c r="H96" i="6" a="1"/>
  <c r="H96" i="6" s="1"/>
  <c r="H84" i="6" a="1"/>
  <c r="H84" i="6" s="1"/>
  <c r="H72" i="6" a="1"/>
  <c r="H72" i="6" s="1"/>
  <c r="H48" i="6" a="1"/>
  <c r="H48" i="6" s="1"/>
  <c r="H36" i="6" a="1"/>
  <c r="H36" i="6" s="1"/>
  <c r="H24" i="6" a="1"/>
  <c r="H24" i="6" s="1"/>
  <c r="H12" i="6" a="1"/>
  <c r="H12" i="6" s="1"/>
  <c r="H191" i="6" a="1"/>
  <c r="H191" i="6" s="1"/>
  <c r="H179" i="6" a="1"/>
  <c r="H179" i="6" s="1"/>
  <c r="H167" i="6" a="1"/>
  <c r="H167" i="6" s="1"/>
  <c r="H155" i="6" a="1"/>
  <c r="H155" i="6" s="1"/>
  <c r="H119" i="6" a="1"/>
  <c r="H119" i="6" s="1"/>
  <c r="H107" i="6" a="1"/>
  <c r="H107" i="6" s="1"/>
  <c r="H95" i="6" a="1"/>
  <c r="H95" i="6" s="1"/>
  <c r="H83" i="6" a="1"/>
  <c r="H83" i="6" s="1"/>
  <c r="H71" i="6" a="1"/>
  <c r="H71" i="6" s="1"/>
  <c r="H59" i="6" a="1"/>
  <c r="H59" i="6" s="1"/>
  <c r="H47" i="6" a="1"/>
  <c r="H47" i="6" s="1"/>
  <c r="H35" i="6" a="1"/>
  <c r="H35" i="6" s="1"/>
  <c r="H23" i="6" a="1"/>
  <c r="H23" i="6" s="1"/>
  <c r="H11" i="6" a="1"/>
  <c r="H11" i="6" s="1"/>
  <c r="H190" i="6" a="1"/>
  <c r="H190" i="6" s="1"/>
  <c r="H166" i="6" a="1"/>
  <c r="H166" i="6" s="1"/>
  <c r="H154" i="6" a="1"/>
  <c r="H154" i="6" s="1"/>
  <c r="H142" i="6" a="1"/>
  <c r="H142" i="6" s="1"/>
  <c r="H130" i="6" a="1"/>
  <c r="H130" i="6" s="1"/>
  <c r="H118" i="6" a="1"/>
  <c r="H118" i="6" s="1"/>
  <c r="H106" i="6" a="1"/>
  <c r="H106" i="6" s="1"/>
  <c r="H82" i="6" a="1"/>
  <c r="H82" i="6" s="1"/>
  <c r="H70" i="6" a="1"/>
  <c r="H70" i="6" s="1"/>
  <c r="H58" i="6" a="1"/>
  <c r="H58" i="6" s="1"/>
  <c r="H46" i="6" a="1"/>
  <c r="H46" i="6" s="1"/>
  <c r="H34" i="6" a="1"/>
  <c r="H34" i="6" s="1"/>
  <c r="H22" i="6" a="1"/>
  <c r="H22" i="6" s="1"/>
  <c r="H10" i="6" a="1"/>
  <c r="H10" i="6" s="1"/>
  <c r="H189" i="6" a="1"/>
  <c r="H189" i="6" s="1"/>
  <c r="H177" i="6" a="1"/>
  <c r="H177" i="6" s="1"/>
  <c r="H165" i="6" a="1"/>
  <c r="H165" i="6" s="1"/>
  <c r="H153" i="6" a="1"/>
  <c r="H153" i="6" s="1"/>
  <c r="H141" i="6" a="1"/>
  <c r="H141" i="6" s="1"/>
  <c r="H105" i="6" a="1"/>
  <c r="H105" i="6" s="1"/>
  <c r="H93" i="6" a="1"/>
  <c r="H93" i="6" s="1"/>
  <c r="H81" i="6" a="1"/>
  <c r="H81" i="6" s="1"/>
  <c r="H69" i="6" a="1"/>
  <c r="H69" i="6" s="1"/>
  <c r="H57" i="6" a="1"/>
  <c r="H57" i="6" s="1"/>
  <c r="H45" i="6" a="1"/>
  <c r="H45" i="6" s="1"/>
  <c r="H33" i="6" a="1"/>
  <c r="H33" i="6" s="1"/>
  <c r="H21" i="6" a="1"/>
  <c r="H21" i="6" s="1"/>
  <c r="H9" i="6" a="1"/>
  <c r="H9" i="6" s="1"/>
  <c r="H188" i="6" a="1"/>
  <c r="H188" i="6" s="1"/>
  <c r="H176" i="6" a="1"/>
  <c r="H176" i="6" s="1"/>
  <c r="H164" i="6" a="1"/>
  <c r="H164" i="6" s="1"/>
  <c r="H152" i="6" a="1"/>
  <c r="H152" i="6" s="1"/>
  <c r="H140" i="6" a="1"/>
  <c r="H140" i="6" s="1"/>
  <c r="H128" i="6" a="1"/>
  <c r="H128" i="6" s="1"/>
  <c r="H116" i="6" a="1"/>
  <c r="H116" i="6" s="1"/>
  <c r="H92" i="6" a="1"/>
  <c r="H92" i="6" s="1"/>
  <c r="H80" i="6" a="1"/>
  <c r="H80" i="6" s="1"/>
  <c r="H68" i="6" a="1"/>
  <c r="H68" i="6" s="1"/>
  <c r="H56" i="6" a="1"/>
  <c r="H56" i="6" s="1"/>
  <c r="H44" i="6" a="1"/>
  <c r="H44" i="6" s="1"/>
  <c r="H32" i="6" a="1"/>
  <c r="H32" i="6" s="1"/>
  <c r="H20" i="6" a="1"/>
  <c r="H20" i="6" s="1"/>
  <c r="H8" i="6" a="1"/>
  <c r="H8" i="6" s="1"/>
  <c r="H199" i="6" a="1"/>
  <c r="H199" i="6" s="1"/>
  <c r="H103" i="6" a="1"/>
  <c r="H103" i="6" s="1"/>
  <c r="H91" i="6" a="1"/>
  <c r="H91" i="6" s="1"/>
  <c r="H198" i="6" a="1"/>
  <c r="H198" i="6" s="1"/>
  <c r="H186" i="6" a="1"/>
  <c r="H186" i="6" s="1"/>
  <c r="H174" i="6" a="1"/>
  <c r="H174" i="6" s="1"/>
  <c r="H162" i="6" a="1"/>
  <c r="H162" i="6" s="1"/>
  <c r="H150" i="6" a="1"/>
  <c r="H150" i="6" s="1"/>
  <c r="H138" i="6" a="1"/>
  <c r="H138" i="6" s="1"/>
  <c r="H126" i="6" a="1"/>
  <c r="H126" i="6" s="1"/>
  <c r="H114" i="6" a="1"/>
  <c r="H114" i="6" s="1"/>
  <c r="H102" i="6" a="1"/>
  <c r="H102" i="6" s="1"/>
  <c r="H78" i="6" a="1"/>
  <c r="H78" i="6" s="1"/>
  <c r="H66" i="6" a="1"/>
  <c r="H66" i="6" s="1"/>
  <c r="H54" i="6" a="1"/>
  <c r="H54" i="6" s="1"/>
  <c r="H42" i="6" a="1"/>
  <c r="H42" i="6" s="1"/>
  <c r="H30" i="6" a="1"/>
  <c r="H30" i="6" s="1"/>
  <c r="H18" i="6" a="1"/>
  <c r="H18" i="6" s="1"/>
  <c r="H6" i="6" a="1"/>
  <c r="H6" i="6" s="1"/>
  <c r="H185" i="6" a="1"/>
  <c r="H185" i="6" s="1"/>
  <c r="H161" i="6" a="1"/>
  <c r="H161" i="6" s="1"/>
  <c r="H149" i="6" a="1"/>
  <c r="H149" i="6" s="1"/>
  <c r="H137" i="6" a="1"/>
  <c r="H137" i="6" s="1"/>
  <c r="H125" i="6" a="1"/>
  <c r="H125" i="6" s="1"/>
  <c r="H101" i="6" a="1"/>
  <c r="H101" i="6" s="1"/>
  <c r="H77" i="6" a="1"/>
  <c r="H77" i="6" s="1"/>
  <c r="H65" i="6" a="1"/>
  <c r="H65" i="6" s="1"/>
  <c r="H53" i="6" a="1"/>
  <c r="H53" i="6" s="1"/>
  <c r="H41" i="6" a="1"/>
  <c r="H41" i="6" s="1"/>
  <c r="H29" i="6" a="1"/>
  <c r="H29" i="6" s="1"/>
  <c r="H17" i="6" a="1"/>
  <c r="H17" i="6" s="1"/>
  <c r="H5" i="6" a="1"/>
  <c r="H5" i="6" s="1"/>
  <c r="H112" i="6" a="1"/>
  <c r="H112" i="6" s="1"/>
  <c r="H100" i="6" a="1"/>
  <c r="H100" i="6" s="1"/>
  <c r="H76" i="6" a="1"/>
  <c r="H76" i="6" s="1"/>
  <c r="H52" i="6" a="1"/>
  <c r="H52" i="6" s="1"/>
  <c r="H40" i="6" a="1"/>
  <c r="H40" i="6" s="1"/>
  <c r="H28" i="6" a="1"/>
  <c r="H28" i="6" s="1"/>
  <c r="H16" i="6" a="1"/>
  <c r="H16" i="6" s="1"/>
  <c r="H4" i="6" a="1"/>
  <c r="H4" i="6" s="1"/>
  <c r="H195" i="6" a="1"/>
  <c r="H195" i="6" s="1"/>
  <c r="H183" i="6" a="1"/>
  <c r="H183" i="6" s="1"/>
  <c r="H171" i="6" a="1"/>
  <c r="H171" i="6" s="1"/>
  <c r="H159" i="6" a="1"/>
  <c r="H159" i="6" s="1"/>
  <c r="H147" i="6" a="1"/>
  <c r="H147" i="6" s="1"/>
  <c r="H111" i="6" a="1"/>
  <c r="H111" i="6" s="1"/>
  <c r="H99" i="6" a="1"/>
  <c r="H99" i="6" s="1"/>
  <c r="H75" i="6" a="1"/>
  <c r="H75" i="6" s="1"/>
  <c r="H63" i="6" a="1"/>
  <c r="H63" i="6" s="1"/>
  <c r="H51" i="6" a="1"/>
  <c r="H51" i="6" s="1"/>
  <c r="H27" i="6" a="1"/>
  <c r="H27" i="6" s="1"/>
  <c r="H15" i="6" a="1"/>
  <c r="H15" i="6" s="1"/>
  <c r="H3" i="6" a="1"/>
  <c r="H3" i="6" s="1"/>
  <c r="H2" i="6" a="1"/>
  <c r="H2" i="6" s="1"/>
  <c r="I16" i="3" a="1"/>
  <c r="I16" i="3" s="1"/>
  <c r="I11" i="3" a="1"/>
  <c r="I11" i="3" s="1"/>
  <c r="I108" i="3" a="1"/>
  <c r="I108" i="3" s="1"/>
  <c r="I36" i="3" a="1"/>
  <c r="I36" i="3" s="1"/>
  <c r="I196" i="6" a="1"/>
  <c r="I196" i="6" s="1"/>
  <c r="I86" i="3" a="1"/>
  <c r="I86" i="3" s="1"/>
  <c r="F2" i="6"/>
  <c r="I98" i="6" a="1"/>
  <c r="I98" i="6" s="1"/>
  <c r="I90" i="6" a="1"/>
  <c r="I90" i="6" s="1"/>
  <c r="I64" i="6" a="1"/>
  <c r="I64" i="6" s="1"/>
  <c r="I67" i="3" a="1"/>
  <c r="I67" i="3" s="1"/>
  <c r="I115" i="6" a="1"/>
  <c r="I115" i="6" s="1"/>
  <c r="I39" i="6" a="1"/>
  <c r="I39" i="6" s="1"/>
  <c r="I108" i="6" a="1"/>
  <c r="I108" i="6" s="1"/>
  <c r="I43" i="6" a="1"/>
  <c r="I43" i="6" s="1"/>
  <c r="I94" i="6" a="1"/>
  <c r="I94" i="6" s="1"/>
  <c r="I187" i="6" a="1"/>
  <c r="I187" i="6" s="1"/>
  <c r="I129" i="6" a="1"/>
  <c r="I129" i="6" s="1"/>
  <c r="I55" i="6" a="1"/>
  <c r="I55" i="6" s="1"/>
  <c r="I104" i="6" a="1"/>
  <c r="I104" i="6" s="1"/>
  <c r="I7" i="6" a="1"/>
  <c r="I7" i="6" s="1"/>
  <c r="I132" i="3" a="1"/>
  <c r="I132" i="3" s="1"/>
  <c r="I84" i="3" a="1"/>
  <c r="I84" i="3" s="1"/>
  <c r="I85" i="6" a="1"/>
  <c r="I85" i="6" s="1"/>
  <c r="I181" i="6" a="1"/>
  <c r="I181" i="6" s="1"/>
  <c r="I178" i="6" a="1"/>
  <c r="I178" i="6" s="1"/>
  <c r="I88" i="3" a="1"/>
  <c r="I88" i="3" s="1"/>
  <c r="I79" i="6" a="1"/>
  <c r="I79" i="6" s="1"/>
  <c r="I197" i="6" a="1"/>
  <c r="I197" i="6" s="1"/>
  <c r="I43" i="3" a="1"/>
  <c r="I43" i="3" s="1"/>
  <c r="I139" i="6" a="1"/>
  <c r="I139" i="6" s="1"/>
  <c r="I19" i="3" a="1"/>
  <c r="I19" i="3" s="1"/>
  <c r="I87" i="6" a="1"/>
  <c r="I87" i="6" s="1"/>
  <c r="I60" i="6" a="1"/>
  <c r="I60" i="6" s="1"/>
  <c r="I163" i="6" a="1"/>
  <c r="I163" i="6" s="1"/>
  <c r="I169" i="6" a="1"/>
  <c r="I169" i="6" s="1"/>
  <c r="I173" i="6" a="1"/>
  <c r="I173" i="6" s="1"/>
  <c r="I31" i="6" a="1"/>
  <c r="I31" i="6" s="1"/>
  <c r="I89" i="6" a="1"/>
  <c r="I89" i="6" s="1"/>
  <c r="I136" i="6" a="1"/>
  <c r="I136" i="6" s="1"/>
  <c r="I139" i="3" a="1"/>
  <c r="I139" i="3" s="1"/>
  <c r="I113" i="6" a="1"/>
  <c r="I113" i="6" s="1"/>
  <c r="I115" i="3" a="1"/>
  <c r="I115" i="3" s="1"/>
  <c r="I148" i="6" a="1"/>
  <c r="I148" i="6" s="1"/>
  <c r="I86" i="6" a="1"/>
  <c r="I86" i="6" s="1"/>
  <c r="I117" i="6" a="1"/>
  <c r="I117" i="6" s="1"/>
  <c r="I127" i="6" a="1"/>
  <c r="I127" i="6" s="1"/>
  <c r="I88" i="6" a="1"/>
  <c r="I88" i="6" s="1"/>
  <c r="I172" i="6" a="1"/>
  <c r="I172" i="6" s="1"/>
  <c r="I124" i="6" a="1"/>
  <c r="I124" i="6" s="1"/>
  <c r="I110" i="6" a="1"/>
  <c r="I110" i="6" s="1"/>
  <c r="I157" i="6" a="1"/>
  <c r="I157" i="6" s="1"/>
  <c r="I133" i="6" a="1"/>
  <c r="I133" i="6" s="1"/>
  <c r="I145" i="6" a="1"/>
  <c r="I145" i="6" s="1"/>
  <c r="I121" i="6" a="1"/>
  <c r="I121" i="6" s="1"/>
  <c r="I19" i="6" a="1"/>
  <c r="I19" i="6" s="1"/>
  <c r="I184" i="6" a="1"/>
  <c r="I184" i="6" s="1"/>
  <c r="I175" i="6" a="1"/>
  <c r="I175" i="6" s="1"/>
  <c r="I67" i="6" a="1"/>
  <c r="I67" i="6" s="1"/>
  <c r="I151" i="6" a="1"/>
  <c r="I151" i="6" s="1"/>
  <c r="I160" i="6" a="1"/>
  <c r="I160" i="6" s="1"/>
  <c r="I134" i="6" a="1"/>
  <c r="I134" i="6" s="1"/>
  <c r="I131" i="6" a="1"/>
  <c r="I131" i="6" s="1"/>
  <c r="I135" i="6" a="1"/>
  <c r="I135" i="6" s="1"/>
  <c r="I143" i="6" a="1"/>
  <c r="I143" i="6" s="1"/>
  <c r="I120" i="6" a="1"/>
  <c r="I120" i="6" s="1"/>
  <c r="I123" i="6" a="1"/>
  <c r="I123" i="6" s="1"/>
  <c r="I132" i="6" a="1"/>
  <c r="I132" i="6" s="1"/>
  <c r="I156" i="3" a="1"/>
  <c r="I156" i="3" s="1"/>
  <c r="I18" i="3" a="1"/>
  <c r="I18" i="3" s="1"/>
  <c r="I138" i="3" a="1"/>
  <c r="I138" i="3" s="1"/>
  <c r="I60" i="3" a="1"/>
  <c r="I60" i="3" s="1"/>
  <c r="I180" i="3" a="1"/>
  <c r="I180" i="3" s="1"/>
  <c r="I107" i="3" a="1"/>
  <c r="I107" i="3" s="1"/>
  <c r="I29" i="3" a="1"/>
  <c r="I29" i="3" s="1"/>
  <c r="I22" i="3" a="1"/>
  <c r="I22" i="3" s="1"/>
  <c r="I131" i="3" a="1"/>
  <c r="I131" i="3" s="1"/>
  <c r="I59" i="3" a="1"/>
  <c r="I59" i="3" s="1"/>
  <c r="I35" i="3" a="1"/>
  <c r="I35" i="3" s="1"/>
  <c r="I179" i="3" a="1"/>
  <c r="I179" i="3" s="1"/>
  <c r="I14" i="3" a="1"/>
  <c r="I14" i="3" s="1"/>
  <c r="I155" i="3" a="1"/>
  <c r="I155" i="3" s="1"/>
  <c r="I83" i="3" a="1"/>
  <c r="I83" i="3" s="1"/>
  <c r="I21" i="3" a="1"/>
  <c r="I21" i="3" s="1"/>
  <c r="I140" i="3" a="1"/>
  <c r="I140" i="3" s="1"/>
  <c r="I90" i="3" a="1"/>
  <c r="I90" i="3" s="1"/>
  <c r="I114" i="3" a="1"/>
  <c r="I114" i="3" s="1"/>
  <c r="I66" i="3" a="1"/>
  <c r="I66" i="3" s="1"/>
  <c r="I186" i="3" a="1"/>
  <c r="I186" i="3" s="1"/>
  <c r="I45" i="3" a="1"/>
  <c r="I45" i="3" s="1"/>
  <c r="I117" i="3" a="1"/>
  <c r="I117" i="3" s="1"/>
  <c r="I162" i="3" a="1"/>
  <c r="I162" i="3" s="1"/>
  <c r="I42" i="3" a="1"/>
  <c r="I42" i="3" s="1"/>
  <c r="I149" i="3" a="1"/>
  <c r="I149" i="3" s="1"/>
  <c r="I158" i="3" a="1"/>
  <c r="I158" i="3" s="1"/>
  <c r="I89" i="3" a="1"/>
  <c r="I89" i="3" s="1"/>
  <c r="I141" i="3" a="1"/>
  <c r="I141" i="3" s="1"/>
  <c r="I17" i="3" a="1"/>
  <c r="I17" i="3" s="1"/>
  <c r="I65" i="3" a="1"/>
  <c r="I65" i="3" s="1"/>
  <c r="I134" i="3" a="1"/>
  <c r="I134" i="3" s="1"/>
  <c r="I62" i="3" a="1"/>
  <c r="I62" i="3" s="1"/>
  <c r="I136" i="3" a="1"/>
  <c r="I136" i="3" s="1"/>
  <c r="I137" i="3" a="1"/>
  <c r="I137" i="3" s="1"/>
  <c r="I64" i="3" a="1"/>
  <c r="I64" i="3" s="1"/>
  <c r="I187" i="3" a="1"/>
  <c r="I187" i="3" s="1"/>
  <c r="I118" i="3" a="1"/>
  <c r="I118" i="3" s="1"/>
  <c r="I46" i="3" a="1"/>
  <c r="I46" i="3" s="1"/>
  <c r="I185" i="3" a="1"/>
  <c r="I185" i="3" s="1"/>
  <c r="I184" i="3" a="1"/>
  <c r="I184" i="3" s="1"/>
  <c r="I112" i="3" a="1"/>
  <c r="I112" i="3" s="1"/>
  <c r="I40" i="3" a="1"/>
  <c r="I40" i="3" s="1"/>
  <c r="I182" i="3" a="1"/>
  <c r="I182" i="3" s="1"/>
  <c r="I113" i="3" a="1"/>
  <c r="I113" i="3" s="1"/>
  <c r="I41" i="3" a="1"/>
  <c r="I41" i="3" s="1"/>
  <c r="I111" i="3" a="1"/>
  <c r="I111" i="3" s="1"/>
  <c r="I38" i="3" a="1"/>
  <c r="I38" i="3" s="1"/>
  <c r="I163" i="3" a="1"/>
  <c r="I163" i="3" s="1"/>
  <c r="I110" i="3" a="1"/>
  <c r="I110" i="3" s="1"/>
  <c r="I161" i="3" a="1"/>
  <c r="I161" i="3" s="1"/>
  <c r="I160" i="3" a="1"/>
  <c r="I160" i="3" s="1"/>
  <c r="I91" i="3" a="1"/>
  <c r="I91" i="3" s="1"/>
  <c r="I24" i="3" a="1"/>
  <c r="I24" i="3" s="1"/>
  <c r="I70" i="3" a="1"/>
  <c r="I70" i="3" s="1"/>
  <c r="I69" i="3" a="1"/>
  <c r="I69" i="3" s="1"/>
  <c r="I189" i="3" a="1"/>
  <c r="I189" i="3" s="1"/>
  <c r="I166" i="3" a="1"/>
  <c r="I166" i="3" s="1"/>
  <c r="I93" i="3" a="1"/>
  <c r="I93" i="3" s="1"/>
  <c r="I26" i="3" a="1"/>
  <c r="I26" i="3" s="1"/>
  <c r="I142" i="3" a="1"/>
  <c r="I142" i="3" s="1"/>
  <c r="I25" i="3" a="1"/>
  <c r="I25" i="3" s="1"/>
  <c r="I188" i="3" a="1"/>
  <c r="I188" i="3" s="1"/>
  <c r="I68" i="3" a="1"/>
  <c r="I68" i="3" s="1"/>
  <c r="I20" i="3" a="1"/>
  <c r="I20" i="3" s="1"/>
  <c r="I116" i="3" a="1"/>
  <c r="I116" i="3" s="1"/>
  <c r="I164" i="3" a="1"/>
  <c r="I164" i="3" s="1"/>
  <c r="I44" i="3" a="1"/>
  <c r="I44" i="3" s="1"/>
  <c r="I92" i="3" a="1"/>
  <c r="I92" i="3" s="1"/>
  <c r="I73" i="3" a="1"/>
  <c r="I73" i="3" s="1"/>
  <c r="I165" i="3" a="1"/>
  <c r="I165" i="3" s="1"/>
  <c r="I74" i="3" a="1"/>
  <c r="I74" i="3" s="1"/>
  <c r="I121" i="3" a="1"/>
  <c r="I121" i="3" s="1"/>
  <c r="I169" i="3" a="1"/>
  <c r="I169" i="3" s="1"/>
  <c r="I49" i="3" a="1"/>
  <c r="I49" i="3" s="1"/>
  <c r="I97" i="3" a="1"/>
  <c r="I97" i="3" s="1"/>
  <c r="I145" i="3" a="1"/>
  <c r="I145" i="3" s="1"/>
  <c r="I193" i="3" a="1"/>
  <c r="I193" i="3" s="1"/>
  <c r="I194" i="3" a="1"/>
  <c r="I194" i="3" s="1"/>
  <c r="I192" i="3" a="1"/>
  <c r="I192" i="3" s="1"/>
  <c r="I191" i="3" a="1"/>
  <c r="I191" i="3" s="1"/>
  <c r="I146" i="3" a="1"/>
  <c r="I146" i="3" s="1"/>
  <c r="I98" i="3" a="1"/>
  <c r="I98" i="3" s="1"/>
  <c r="I50" i="3" a="1"/>
  <c r="I50" i="3" s="1"/>
  <c r="I96" i="3" a="1"/>
  <c r="I96" i="3" s="1"/>
  <c r="I95" i="3" a="1"/>
  <c r="I95" i="3" s="1"/>
  <c r="I170" i="3" a="1"/>
  <c r="I170" i="3" s="1"/>
  <c r="I168" i="3" a="1"/>
  <c r="I168" i="3" s="1"/>
  <c r="I122" i="3" a="1"/>
  <c r="I122" i="3" s="1"/>
  <c r="I144" i="3" a="1"/>
  <c r="I144" i="3" s="1"/>
  <c r="I183" i="3" a="1"/>
  <c r="I183" i="3" s="1"/>
  <c r="I63" i="3" a="1"/>
  <c r="I63" i="3" s="1"/>
  <c r="I94" i="3" a="1"/>
  <c r="I94" i="3" s="1"/>
  <c r="I53" i="3" a="1"/>
  <c r="I53" i="3" s="1"/>
  <c r="I135" i="3" a="1"/>
  <c r="I135" i="3" s="1"/>
  <c r="I15" i="3" a="1"/>
  <c r="I15" i="3" s="1"/>
  <c r="I48" i="3" a="1"/>
  <c r="I48" i="3" s="1"/>
  <c r="I87" i="3" a="1"/>
  <c r="I87" i="3" s="1"/>
  <c r="I120" i="3" a="1"/>
  <c r="I120" i="3" s="1"/>
  <c r="I197" i="3" a="1"/>
  <c r="I197" i="3" s="1"/>
  <c r="I159" i="3" a="1"/>
  <c r="I159" i="3" s="1"/>
  <c r="I39" i="3" a="1"/>
  <c r="I39" i="3" s="1"/>
  <c r="I72" i="3" a="1"/>
  <c r="I72" i="3" s="1"/>
  <c r="I190" i="3" a="1"/>
  <c r="I190" i="3" s="1"/>
  <c r="I27" i="3" a="1"/>
  <c r="I27" i="3" s="1"/>
  <c r="I195" i="3" a="1"/>
  <c r="I195" i="3" s="1"/>
  <c r="I124" i="3" a="1"/>
  <c r="I124" i="3" s="1"/>
  <c r="I123" i="3" a="1"/>
  <c r="I123" i="3" s="1"/>
  <c r="I52" i="3" a="1"/>
  <c r="I52" i="3" s="1"/>
  <c r="I51" i="3" a="1"/>
  <c r="I51" i="3" s="1"/>
  <c r="I148" i="3" a="1"/>
  <c r="I148" i="3" s="1"/>
  <c r="I147" i="3" a="1"/>
  <c r="I147" i="3" s="1"/>
  <c r="I76" i="3" a="1"/>
  <c r="I76" i="3" s="1"/>
  <c r="I75" i="3" a="1"/>
  <c r="I75" i="3" s="1"/>
  <c r="I196" i="3" a="1"/>
  <c r="I196" i="3" s="1"/>
  <c r="I172" i="3" a="1"/>
  <c r="I172" i="3" s="1"/>
  <c r="I171" i="3" a="1"/>
  <c r="I171" i="3" s="1"/>
  <c r="I100" i="3" a="1"/>
  <c r="I100" i="3" s="1"/>
  <c r="I99" i="3" a="1"/>
  <c r="I99" i="3" s="1"/>
  <c r="I28" i="3" a="1"/>
  <c r="I28" i="3" s="1"/>
  <c r="I32" i="3" a="1"/>
  <c r="I32" i="3" s="1"/>
  <c r="I125" i="3" a="1"/>
  <c r="I125" i="3" s="1"/>
  <c r="I77" i="3" a="1"/>
  <c r="I77" i="3" s="1"/>
  <c r="I173" i="3" a="1"/>
  <c r="I173" i="3" s="1"/>
  <c r="I101" i="3" a="1"/>
  <c r="I101" i="3" s="1"/>
  <c r="I152" i="3" a="1"/>
  <c r="I152" i="3" s="1"/>
  <c r="I119" i="3" a="1"/>
  <c r="I119" i="3" s="1"/>
  <c r="I23" i="3" a="1"/>
  <c r="I23" i="3" s="1"/>
  <c r="I143" i="3" a="1"/>
  <c r="I143" i="3" s="1"/>
  <c r="I47" i="3" a="1"/>
  <c r="I47" i="3" s="1"/>
  <c r="I167" i="3" a="1"/>
  <c r="I167" i="3" s="1"/>
  <c r="I71" i="3" a="1"/>
  <c r="I71" i="3" s="1"/>
  <c r="I56" i="3" a="1"/>
  <c r="I56" i="3" s="1"/>
  <c r="I176" i="3" a="1"/>
  <c r="I176" i="3" s="1"/>
  <c r="I80" i="3" a="1"/>
  <c r="I80" i="3" s="1"/>
  <c r="I2" i="3" a="1"/>
  <c r="I2" i="3" s="1"/>
  <c r="I104" i="3" a="1"/>
  <c r="I104" i="3" s="1"/>
  <c r="I8" i="3" a="1"/>
  <c r="I8" i="3" s="1"/>
  <c r="I128" i="3" a="1"/>
  <c r="I128" i="3" s="1"/>
  <c r="I181" i="3" a="1"/>
  <c r="I181" i="3" s="1"/>
  <c r="I157" i="3" a="1"/>
  <c r="I157" i="3" s="1"/>
  <c r="I133" i="3" a="1"/>
  <c r="I133" i="3" s="1"/>
  <c r="I109" i="3" a="1"/>
  <c r="I109" i="3" s="1"/>
  <c r="I85" i="3" a="1"/>
  <c r="I85" i="3" s="1"/>
  <c r="I61" i="3" a="1"/>
  <c r="I61" i="3" s="1"/>
  <c r="I37" i="3" a="1"/>
  <c r="I37" i="3" s="1"/>
  <c r="I13" i="3" a="1"/>
  <c r="I13" i="3" s="1"/>
  <c r="I12" i="3" a="1"/>
  <c r="I12" i="3" s="1"/>
  <c r="I178" i="3" a="1"/>
  <c r="I178" i="3" s="1"/>
  <c r="I154" i="3" a="1"/>
  <c r="I154" i="3" s="1"/>
  <c r="I130" i="3" a="1"/>
  <c r="I130" i="3" s="1"/>
  <c r="I106" i="3" a="1"/>
  <c r="I106" i="3" s="1"/>
  <c r="I82" i="3" a="1"/>
  <c r="I82" i="3" s="1"/>
  <c r="I58" i="3" a="1"/>
  <c r="I58" i="3" s="1"/>
  <c r="I34" i="3" a="1"/>
  <c r="I34" i="3" s="1"/>
  <c r="I10" i="3" a="1"/>
  <c r="I10" i="3" s="1"/>
  <c r="I177" i="3" a="1"/>
  <c r="I177" i="3" s="1"/>
  <c r="I153" i="3" a="1"/>
  <c r="I153" i="3" s="1"/>
  <c r="I129" i="3" a="1"/>
  <c r="I129" i="3" s="1"/>
  <c r="I105" i="3" a="1"/>
  <c r="I105" i="3" s="1"/>
  <c r="I81" i="3" a="1"/>
  <c r="I81" i="3" s="1"/>
  <c r="I57" i="3" a="1"/>
  <c r="I57" i="3" s="1"/>
  <c r="I33" i="3" a="1"/>
  <c r="I33" i="3" s="1"/>
  <c r="I9" i="3" a="1"/>
  <c r="I9" i="3" s="1"/>
  <c r="I199" i="3" a="1"/>
  <c r="I199" i="3" s="1"/>
  <c r="I175" i="3" a="1"/>
  <c r="I175" i="3" s="1"/>
  <c r="I151" i="3" a="1"/>
  <c r="I151" i="3" s="1"/>
  <c r="I127" i="3" a="1"/>
  <c r="I127" i="3" s="1"/>
  <c r="I103" i="3" a="1"/>
  <c r="I103" i="3" s="1"/>
  <c r="I79" i="3" a="1"/>
  <c r="I79" i="3" s="1"/>
  <c r="I55" i="3" a="1"/>
  <c r="I55" i="3" s="1"/>
  <c r="I31" i="3" a="1"/>
  <c r="I31" i="3" s="1"/>
  <c r="I7" i="3" a="1"/>
  <c r="I7" i="3" s="1"/>
  <c r="I198" i="3" a="1"/>
  <c r="I198" i="3" s="1"/>
  <c r="I174" i="3" a="1"/>
  <c r="I174" i="3" s="1"/>
  <c r="I150" i="3" a="1"/>
  <c r="I150" i="3" s="1"/>
  <c r="I126" i="3" a="1"/>
  <c r="I126" i="3" s="1"/>
  <c r="I102" i="3" a="1"/>
  <c r="I102" i="3" s="1"/>
  <c r="I78" i="3" a="1"/>
  <c r="I78" i="3" s="1"/>
  <c r="I54" i="3" a="1"/>
  <c r="I54" i="3" s="1"/>
  <c r="I30" i="3" a="1"/>
  <c r="I30" i="3" s="1"/>
  <c r="I6" i="3" a="1"/>
  <c r="I6" i="3" s="1"/>
  <c r="I5" i="3" a="1"/>
  <c r="I5" i="3" s="1"/>
  <c r="I4" i="3" a="1"/>
  <c r="I4" i="3" s="1"/>
  <c r="I3" i="3" a="1"/>
  <c r="I3" i="3" s="1"/>
  <c r="T48" i="2"/>
  <c r="T117" i="2"/>
  <c r="T164" i="2"/>
  <c r="T140" i="2"/>
  <c r="T92" i="2"/>
  <c r="T44" i="2"/>
  <c r="T43" i="2"/>
  <c r="T173" i="2"/>
  <c r="T75" i="2"/>
  <c r="T189" i="2"/>
  <c r="T36" i="2"/>
  <c r="T186" i="2"/>
  <c r="T162" i="2"/>
  <c r="T114" i="2"/>
  <c r="T66" i="2"/>
  <c r="T42" i="2"/>
  <c r="T35" i="2"/>
  <c r="T185" i="2"/>
  <c r="T161" i="2"/>
  <c r="T113" i="2"/>
  <c r="T65" i="2"/>
  <c r="T23" i="2"/>
  <c r="T100" i="2"/>
  <c r="T21" i="2"/>
  <c r="T40" i="2"/>
  <c r="T190" i="2"/>
  <c r="T45" i="2"/>
  <c r="T183" i="2"/>
  <c r="T70" i="2"/>
  <c r="T93" i="2"/>
  <c r="T158" i="2"/>
  <c r="T31" i="2"/>
  <c r="T181" i="2"/>
  <c r="T157" i="2"/>
  <c r="T94" i="2"/>
  <c r="T30" i="2"/>
  <c r="T156" i="2"/>
  <c r="T84" i="2"/>
  <c r="T142" i="2"/>
  <c r="T29" i="2"/>
  <c r="T179" i="2"/>
  <c r="T155" i="2"/>
  <c r="T131" i="2"/>
  <c r="T107" i="2"/>
  <c r="T83" i="2"/>
  <c r="T59" i="2"/>
  <c r="D11" i="9" s="1"/>
  <c r="T166" i="2"/>
  <c r="T28" i="2"/>
  <c r="T170" i="2"/>
  <c r="T122" i="2"/>
  <c r="T74" i="2"/>
  <c r="T73" i="2"/>
  <c r="T144" i="2"/>
  <c r="T120" i="2"/>
  <c r="T72" i="2"/>
  <c r="T191" i="2"/>
  <c r="T167" i="2"/>
  <c r="T143" i="2"/>
  <c r="T119" i="2"/>
  <c r="T95" i="2"/>
  <c r="T71" i="2"/>
  <c r="T47" i="2"/>
  <c r="T187" i="2"/>
  <c r="T178" i="2"/>
  <c r="T106" i="2"/>
  <c r="T82" i="2"/>
  <c r="T58" i="2"/>
  <c r="D10" i="9" s="1"/>
  <c r="T129" i="2"/>
  <c r="T57" i="2"/>
  <c r="D9" i="9" s="1"/>
  <c r="T200" i="2"/>
  <c r="T152" i="2"/>
  <c r="T128" i="2"/>
  <c r="T80" i="2"/>
  <c r="T56" i="2"/>
  <c r="D8" i="9" s="1"/>
  <c r="T199" i="2"/>
  <c r="T103" i="2"/>
  <c r="T78" i="2"/>
  <c r="T15" i="2"/>
  <c r="T14" i="2"/>
  <c r="AB135" i="3"/>
  <c r="AB13" i="3"/>
  <c r="AB159" i="3"/>
  <c r="AB158" i="3"/>
  <c r="AB87" i="3"/>
  <c r="AB176" i="3"/>
  <c r="AB156" i="3"/>
  <c r="AB86" i="3"/>
  <c r="AB132" i="3"/>
  <c r="AB104" i="3"/>
  <c r="AB134" i="3"/>
  <c r="AB88" i="3"/>
  <c r="AB184" i="3"/>
  <c r="AB14" i="3"/>
  <c r="AB85" i="3"/>
  <c r="AB164" i="3"/>
  <c r="AB3" i="3"/>
  <c r="F2" i="3"/>
  <c r="B10" i="3" a="1"/>
  <c r="E189" i="3" l="1"/>
  <c r="E188" i="3"/>
  <c r="E151" i="3"/>
  <c r="D2" i="9"/>
  <c r="E189" i="6"/>
  <c r="E142" i="3"/>
  <c r="E190" i="6"/>
  <c r="E190" i="3"/>
  <c r="E165" i="3"/>
  <c r="E151" i="6"/>
  <c r="E166" i="3"/>
  <c r="E178" i="3"/>
  <c r="E154" i="3"/>
  <c r="E142" i="6"/>
  <c r="E188" i="6"/>
  <c r="E166" i="6"/>
  <c r="E178" i="6"/>
  <c r="E165" i="6"/>
  <c r="E186" i="6"/>
  <c r="E186" i="3"/>
  <c r="E154" i="6"/>
  <c r="E161" i="6"/>
  <c r="E161" i="3"/>
  <c r="E185" i="6"/>
  <c r="E185" i="3"/>
  <c r="E130" i="3"/>
  <c r="E130" i="6"/>
  <c r="D9" i="6"/>
  <c r="D9" i="3"/>
  <c r="E16" i="6"/>
  <c r="E16" i="3"/>
  <c r="D7" i="6"/>
  <c r="D7" i="3"/>
  <c r="D5" i="6"/>
  <c r="D5" i="3"/>
  <c r="D11" i="3"/>
  <c r="D11" i="6"/>
  <c r="E10" i="3"/>
  <c r="E10" i="6"/>
  <c r="E40" i="3"/>
  <c r="E40" i="6"/>
  <c r="D8" i="3"/>
  <c r="D8" i="6"/>
  <c r="E22" i="3"/>
  <c r="E22" i="6"/>
  <c r="E64" i="6"/>
  <c r="E64" i="3"/>
  <c r="E34" i="3"/>
  <c r="E34" i="6"/>
  <c r="E88" i="3"/>
  <c r="E88" i="6"/>
  <c r="E46" i="3"/>
  <c r="E46" i="6"/>
  <c r="E112" i="3"/>
  <c r="E112" i="6"/>
  <c r="E58" i="3"/>
  <c r="E58" i="6"/>
  <c r="E136" i="6"/>
  <c r="E136" i="3"/>
  <c r="D3" i="3"/>
  <c r="D3" i="6"/>
  <c r="D6" i="6"/>
  <c r="D6" i="3"/>
  <c r="E70" i="3"/>
  <c r="E70" i="6"/>
  <c r="E160" i="3"/>
  <c r="E160" i="6"/>
  <c r="D12" i="6"/>
  <c r="D12" i="3"/>
  <c r="E82" i="3"/>
  <c r="E82" i="6"/>
  <c r="E184" i="3"/>
  <c r="E184" i="6"/>
  <c r="E94" i="3"/>
  <c r="E94" i="6"/>
  <c r="D4" i="6"/>
  <c r="D4" i="3"/>
  <c r="E106" i="3"/>
  <c r="E106" i="6"/>
  <c r="E118" i="3"/>
  <c r="E118" i="6"/>
  <c r="D2" i="3"/>
  <c r="D2" i="6"/>
  <c r="D152" i="3"/>
  <c r="D152" i="6"/>
  <c r="D119" i="3"/>
  <c r="D119" i="6"/>
  <c r="D49" i="3"/>
  <c r="D49" i="6"/>
  <c r="D84" i="3"/>
  <c r="D84" i="6"/>
  <c r="D134" i="3"/>
  <c r="D134" i="6"/>
  <c r="D88" i="3"/>
  <c r="D88" i="6"/>
  <c r="D25" i="3"/>
  <c r="D25" i="6"/>
  <c r="D14" i="3"/>
  <c r="D14" i="6"/>
  <c r="D132" i="3"/>
  <c r="D132" i="6"/>
  <c r="D42" i="3"/>
  <c r="D42" i="6"/>
  <c r="D143" i="3"/>
  <c r="D143" i="6"/>
  <c r="D81" i="3"/>
  <c r="D81" i="6"/>
  <c r="D191" i="3"/>
  <c r="D191" i="6"/>
  <c r="D106" i="3"/>
  <c r="D106" i="6"/>
  <c r="D156" i="3"/>
  <c r="D156" i="6"/>
  <c r="D32" i="3"/>
  <c r="D32" i="6"/>
  <c r="D160" i="3"/>
  <c r="D160" i="6"/>
  <c r="D36" i="3"/>
  <c r="D36" i="6"/>
  <c r="D112" i="3"/>
  <c r="D112" i="6"/>
  <c r="D130" i="3"/>
  <c r="D130" i="6"/>
  <c r="D180" i="3"/>
  <c r="D180" i="6"/>
  <c r="D44" i="3"/>
  <c r="D44" i="6"/>
  <c r="D184" i="3"/>
  <c r="D184" i="6"/>
  <c r="D43" i="3"/>
  <c r="D43" i="6"/>
  <c r="D72" i="3"/>
  <c r="D72" i="6"/>
  <c r="D154" i="3"/>
  <c r="D154" i="6"/>
  <c r="D30" i="3"/>
  <c r="D30" i="6"/>
  <c r="D189" i="3"/>
  <c r="D189" i="6"/>
  <c r="D34" i="3"/>
  <c r="D34" i="6"/>
  <c r="D67" i="3"/>
  <c r="D67" i="6"/>
  <c r="D53" i="3"/>
  <c r="D53" i="6"/>
  <c r="D153" i="3"/>
  <c r="D153" i="6"/>
  <c r="D96" i="3"/>
  <c r="D96" i="6"/>
  <c r="D178" i="3"/>
  <c r="D178" i="6"/>
  <c r="D140" i="3"/>
  <c r="D140" i="6"/>
  <c r="D18" i="3"/>
  <c r="D18" i="6"/>
  <c r="D117" i="3"/>
  <c r="D117" i="6"/>
  <c r="D91" i="3"/>
  <c r="D91" i="6"/>
  <c r="D78" i="3"/>
  <c r="D78" i="6"/>
  <c r="D177" i="3"/>
  <c r="D177" i="6"/>
  <c r="D120" i="3"/>
  <c r="D120" i="6"/>
  <c r="D28" i="3"/>
  <c r="D28" i="6"/>
  <c r="D61" i="3"/>
  <c r="D61" i="6"/>
  <c r="D51" i="3"/>
  <c r="D51" i="6"/>
  <c r="D124" i="3"/>
  <c r="D124" i="6"/>
  <c r="D115" i="3"/>
  <c r="D115" i="6"/>
  <c r="D136" i="3"/>
  <c r="D136" i="6"/>
  <c r="D144" i="3"/>
  <c r="D144" i="6"/>
  <c r="D85" i="3"/>
  <c r="D85" i="6"/>
  <c r="D148" i="3"/>
  <c r="D148" i="6"/>
  <c r="D41" i="3"/>
  <c r="D41" i="6"/>
  <c r="D139" i="3"/>
  <c r="D139" i="6"/>
  <c r="D39" i="3"/>
  <c r="D39" i="6"/>
  <c r="D65" i="3"/>
  <c r="D65" i="6"/>
  <c r="D163" i="3"/>
  <c r="D163" i="6"/>
  <c r="D89" i="3"/>
  <c r="D89" i="6"/>
  <c r="D187" i="3"/>
  <c r="D187" i="6"/>
  <c r="D58" i="3"/>
  <c r="D58" i="6"/>
  <c r="D167" i="3"/>
  <c r="D167" i="6"/>
  <c r="D54" i="3"/>
  <c r="D54" i="6"/>
  <c r="D126" i="3"/>
  <c r="D126" i="6"/>
  <c r="D138" i="3"/>
  <c r="D138" i="6"/>
  <c r="D76" i="3"/>
  <c r="D76" i="6"/>
  <c r="D157" i="3"/>
  <c r="D157" i="6"/>
  <c r="D87" i="3"/>
  <c r="D87" i="6"/>
  <c r="D113" i="3"/>
  <c r="D113" i="6"/>
  <c r="D37" i="3"/>
  <c r="D37" i="6"/>
  <c r="D170" i="3"/>
  <c r="D170" i="6"/>
  <c r="D168" i="3"/>
  <c r="D168" i="6"/>
  <c r="D146" i="3"/>
  <c r="D146" i="6"/>
  <c r="D198" i="3"/>
  <c r="D198" i="6"/>
  <c r="D162" i="3"/>
  <c r="D162" i="6"/>
  <c r="D73" i="3"/>
  <c r="D73" i="6"/>
  <c r="D59" i="3"/>
  <c r="D59" i="6"/>
  <c r="D181" i="3"/>
  <c r="D181" i="6"/>
  <c r="D111" i="3"/>
  <c r="D111" i="6"/>
  <c r="D137" i="3"/>
  <c r="D137" i="6"/>
  <c r="D116" i="3"/>
  <c r="D116" i="6"/>
  <c r="D13" i="3"/>
  <c r="D13" i="6"/>
  <c r="D82" i="3"/>
  <c r="D82" i="6"/>
  <c r="D90" i="3"/>
  <c r="D90" i="6"/>
  <c r="D186" i="3"/>
  <c r="D186" i="6"/>
  <c r="D31" i="3"/>
  <c r="D31" i="6"/>
  <c r="D135" i="3"/>
  <c r="D135" i="6"/>
  <c r="D161" i="3"/>
  <c r="D161" i="6"/>
  <c r="D45" i="3"/>
  <c r="D45" i="6"/>
  <c r="D158" i="3"/>
  <c r="D158" i="6"/>
  <c r="D57" i="3"/>
  <c r="D57" i="6"/>
  <c r="D63" i="3"/>
  <c r="D63" i="6"/>
  <c r="D55" i="3"/>
  <c r="D55" i="6"/>
  <c r="D79" i="3"/>
  <c r="D79" i="6"/>
  <c r="D46" i="3"/>
  <c r="D46" i="6"/>
  <c r="D121" i="3"/>
  <c r="D121" i="6"/>
  <c r="D107" i="3"/>
  <c r="D107" i="6"/>
  <c r="D92" i="3"/>
  <c r="D92" i="6"/>
  <c r="D159" i="3"/>
  <c r="D159" i="6"/>
  <c r="D185" i="3"/>
  <c r="D185" i="6"/>
  <c r="D47" i="3"/>
  <c r="D47" i="6"/>
  <c r="D129" i="3"/>
  <c r="D129" i="6"/>
  <c r="D114" i="3"/>
  <c r="D114" i="6"/>
  <c r="D83" i="3"/>
  <c r="D83" i="6"/>
  <c r="D145" i="3"/>
  <c r="D145" i="6"/>
  <c r="D69" i="3"/>
  <c r="D69" i="6"/>
  <c r="D35" i="3"/>
  <c r="D35" i="6"/>
  <c r="D123" i="3"/>
  <c r="D123" i="6"/>
  <c r="D77" i="3"/>
  <c r="D77" i="6"/>
  <c r="D102" i="3"/>
  <c r="D102" i="6"/>
  <c r="D192" i="3"/>
  <c r="D192" i="6"/>
  <c r="D97" i="3"/>
  <c r="D97" i="6"/>
  <c r="D103" i="3"/>
  <c r="D103" i="6"/>
  <c r="D70" i="3"/>
  <c r="D70" i="6"/>
  <c r="D131" i="3"/>
  <c r="D131" i="6"/>
  <c r="D183" i="3"/>
  <c r="D183" i="6"/>
  <c r="D127" i="3"/>
  <c r="D127" i="6"/>
  <c r="D94" i="3"/>
  <c r="D94" i="6"/>
  <c r="D169" i="3"/>
  <c r="D169" i="6"/>
  <c r="D155" i="3"/>
  <c r="D155" i="6"/>
  <c r="D50" i="3"/>
  <c r="D50" i="6"/>
  <c r="D33" i="3"/>
  <c r="D33" i="6"/>
  <c r="D188" i="3"/>
  <c r="D188" i="6"/>
  <c r="D149" i="3"/>
  <c r="D149" i="6"/>
  <c r="D101" i="3"/>
  <c r="D101" i="6"/>
  <c r="D193" i="3"/>
  <c r="D193" i="6"/>
  <c r="D179" i="3"/>
  <c r="D179" i="6"/>
  <c r="D21" i="3"/>
  <c r="D21" i="6"/>
  <c r="D68" i="3"/>
  <c r="D68" i="6"/>
  <c r="D48" i="3"/>
  <c r="D48" i="6"/>
  <c r="D108" i="3"/>
  <c r="D108" i="6"/>
  <c r="D109" i="3"/>
  <c r="D109" i="6"/>
  <c r="D20" i="3"/>
  <c r="D20" i="6"/>
  <c r="D164" i="3"/>
  <c r="D164" i="6"/>
  <c r="D174" i="3"/>
  <c r="D174" i="6"/>
  <c r="D19" i="3"/>
  <c r="D19" i="6"/>
  <c r="D199" i="3"/>
  <c r="D199" i="6"/>
  <c r="D194" i="3"/>
  <c r="D194" i="6"/>
  <c r="D173" i="3"/>
  <c r="D173" i="6"/>
  <c r="D74" i="3"/>
  <c r="D74" i="6"/>
  <c r="D176" i="3"/>
  <c r="D176" i="6"/>
  <c r="D182" i="3"/>
  <c r="D182" i="6"/>
  <c r="D171" i="3"/>
  <c r="D171" i="6"/>
  <c r="D166" i="3"/>
  <c r="D166" i="6"/>
  <c r="D93" i="3"/>
  <c r="D93" i="6"/>
  <c r="D99" i="3"/>
  <c r="D99" i="6"/>
  <c r="D56" i="3"/>
  <c r="D56" i="6"/>
  <c r="D190" i="3"/>
  <c r="D190" i="6"/>
  <c r="D27" i="3"/>
  <c r="D27" i="6"/>
  <c r="D147" i="3"/>
  <c r="D147" i="6"/>
  <c r="D38" i="3"/>
  <c r="D38" i="6"/>
  <c r="D22" i="3"/>
  <c r="D22" i="6"/>
  <c r="D75" i="3"/>
  <c r="D75" i="6"/>
  <c r="R12" i="6"/>
  <c r="Q12" i="6" a="1"/>
  <c r="Q12" i="6" s="1"/>
  <c r="C12" i="6"/>
  <c r="D26" i="3"/>
  <c r="D26" i="6"/>
  <c r="D16" i="3"/>
  <c r="D16" i="6"/>
  <c r="D66" i="3"/>
  <c r="D66" i="6"/>
  <c r="D150" i="3"/>
  <c r="D150" i="6"/>
  <c r="D118" i="3"/>
  <c r="D118" i="6"/>
  <c r="D175" i="3"/>
  <c r="D175" i="6"/>
  <c r="D122" i="3"/>
  <c r="D122" i="6"/>
  <c r="D100" i="3"/>
  <c r="D100" i="6"/>
  <c r="D62" i="3"/>
  <c r="D62" i="6"/>
  <c r="D197" i="3"/>
  <c r="D197" i="6"/>
  <c r="D172" i="3"/>
  <c r="D172" i="6"/>
  <c r="C4" i="6"/>
  <c r="R4" i="6"/>
  <c r="Q4" i="6" a="1"/>
  <c r="Q4" i="6" s="1"/>
  <c r="D133" i="3"/>
  <c r="D133" i="6"/>
  <c r="D98" i="3"/>
  <c r="D98" i="6"/>
  <c r="D29" i="3"/>
  <c r="D29" i="6"/>
  <c r="D71" i="3"/>
  <c r="D71" i="6"/>
  <c r="D23" i="3"/>
  <c r="D23" i="6"/>
  <c r="D40" i="3"/>
  <c r="D40" i="6"/>
  <c r="D125" i="3"/>
  <c r="D125" i="6"/>
  <c r="C8" i="6"/>
  <c r="R8" i="6"/>
  <c r="Q8" i="6" a="1"/>
  <c r="Q8" i="6" s="1"/>
  <c r="D105" i="3"/>
  <c r="D105" i="6"/>
  <c r="D141" i="3"/>
  <c r="D141" i="6"/>
  <c r="D151" i="3"/>
  <c r="D151" i="6"/>
  <c r="D142" i="3"/>
  <c r="D142" i="6"/>
  <c r="D52" i="3"/>
  <c r="D52" i="6"/>
  <c r="D80" i="3"/>
  <c r="D80" i="6"/>
  <c r="D165" i="3"/>
  <c r="D165" i="6"/>
  <c r="D17" i="3"/>
  <c r="D17" i="6"/>
  <c r="D104" i="3"/>
  <c r="D104" i="6"/>
  <c r="D195" i="3"/>
  <c r="D195" i="6"/>
  <c r="D86" i="3"/>
  <c r="D86" i="6"/>
  <c r="D15" i="3"/>
  <c r="D15" i="6"/>
  <c r="D128" i="3"/>
  <c r="D128" i="6"/>
  <c r="D95" i="3"/>
  <c r="D95" i="6"/>
  <c r="D196" i="3"/>
  <c r="D196" i="6"/>
  <c r="D60" i="3"/>
  <c r="D60" i="6"/>
  <c r="D110" i="3"/>
  <c r="D110" i="6"/>
  <c r="D64" i="3"/>
  <c r="D64" i="6"/>
  <c r="D24" i="3"/>
  <c r="D24" i="6"/>
  <c r="C5" i="6"/>
  <c r="R5" i="6"/>
  <c r="Q5" i="6" a="1"/>
  <c r="Q5" i="6" s="1"/>
  <c r="B10" i="3"/>
  <c r="C10" i="3" s="1"/>
  <c r="W2" i="2"/>
  <c r="B92" i="3" a="1"/>
  <c r="B136" i="3" a="1"/>
  <c r="B9" i="3" a="1"/>
  <c r="B87" i="3" a="1"/>
  <c r="B191" i="3" a="1"/>
  <c r="B90" i="3" a="1"/>
  <c r="B45" i="3" a="1"/>
  <c r="B51" i="3" a="1"/>
  <c r="B19" i="3" a="1"/>
  <c r="B34" i="3" a="1"/>
  <c r="B13" i="3" a="1"/>
  <c r="B150" i="3" a="1"/>
  <c r="B119" i="3" a="1"/>
  <c r="B14" i="3" a="1"/>
  <c r="B11" i="3" a="1"/>
  <c r="B39" i="3" a="1"/>
  <c r="B184" i="3" a="1"/>
  <c r="B3" i="3" a="1"/>
  <c r="B160" i="3" a="1"/>
  <c r="B71" i="3" a="1"/>
  <c r="B141" i="3" a="1"/>
  <c r="B38" i="3" a="1"/>
  <c r="B60" i="3" a="1"/>
  <c r="B18" i="3" a="1"/>
  <c r="B76" i="3" a="1"/>
  <c r="B118" i="3" a="1"/>
  <c r="B142" i="3" a="1"/>
  <c r="B33" i="3" a="1"/>
  <c r="B129" i="3" a="1"/>
  <c r="B138" i="3" a="1"/>
  <c r="B8" i="3" a="1"/>
  <c r="B47" i="3" a="1"/>
  <c r="B169" i="3" a="1"/>
  <c r="B154" i="3" a="1"/>
  <c r="B7" i="3" a="1"/>
  <c r="B37" i="3" a="1"/>
  <c r="B198" i="3" a="1"/>
  <c r="B49" i="3" a="1"/>
  <c r="B159" i="3" a="1"/>
  <c r="B91" i="3" a="1"/>
  <c r="B130" i="3" a="1"/>
  <c r="B195" i="3" a="1"/>
  <c r="B111" i="3" a="1"/>
  <c r="B167" i="3" a="1"/>
  <c r="B108" i="3" a="1"/>
  <c r="B109" i="3" a="1"/>
  <c r="B199" i="3" a="1"/>
  <c r="B106" i="3" a="1"/>
  <c r="B78" i="3" a="1"/>
  <c r="B61" i="3" a="1"/>
  <c r="B152" i="3" a="1"/>
  <c r="B89" i="3" a="1"/>
  <c r="B58" i="3" a="1"/>
  <c r="B171" i="3" a="1"/>
  <c r="B31" i="3" a="1"/>
  <c r="B189" i="3" a="1"/>
  <c r="B57" i="3" a="1"/>
  <c r="B86" i="3" a="1"/>
  <c r="B16" i="3" a="1"/>
  <c r="B73" i="3" a="1"/>
  <c r="B62" i="3" a="1"/>
  <c r="B182" i="3" a="1"/>
  <c r="B156" i="3" a="1"/>
  <c r="B181" i="3" a="1"/>
  <c r="B137" i="3" a="1"/>
  <c r="B101" i="3" a="1"/>
  <c r="B4" i="3" a="1"/>
  <c r="B80" i="3" a="1"/>
  <c r="B12" i="3" a="1"/>
  <c r="B155" i="3" a="1"/>
  <c r="B147" i="3" a="1"/>
  <c r="B163" i="3" a="1"/>
  <c r="B165" i="3" a="1"/>
  <c r="B29" i="3" a="1"/>
  <c r="B149" i="3" a="1"/>
  <c r="B32" i="3" a="1"/>
  <c r="B115" i="3" a="1"/>
  <c r="B30" i="3" a="1"/>
  <c r="B148" i="3" a="1"/>
  <c r="B162" i="3" a="1"/>
  <c r="B103" i="3" a="1"/>
  <c r="B117" i="3" a="1"/>
  <c r="B131" i="3" a="1"/>
  <c r="B173" i="3" a="1"/>
  <c r="B120" i="3" a="1"/>
  <c r="B179" i="3" a="1"/>
  <c r="B79" i="3" a="1"/>
  <c r="B70" i="3" a="1"/>
  <c r="B26" i="3" a="1"/>
  <c r="B110" i="3" a="1"/>
  <c r="B42" i="3" a="1"/>
  <c r="B27" i="3" a="1"/>
  <c r="B194" i="3" a="1"/>
  <c r="B190" i="3" a="1"/>
  <c r="B64" i="3" a="1"/>
  <c r="B146" i="3" a="1"/>
  <c r="B123" i="3" a="1"/>
  <c r="B66" i="3" a="1"/>
  <c r="B104" i="3" a="1"/>
  <c r="B186" i="3" a="1"/>
  <c r="B100" i="3" a="1"/>
  <c r="B69" i="3" a="1"/>
  <c r="B185" i="3" a="1"/>
  <c r="B151" i="3" a="1"/>
  <c r="B102" i="3" a="1"/>
  <c r="B193" i="3" a="1"/>
  <c r="B98" i="3" a="1"/>
  <c r="B135" i="3" a="1"/>
  <c r="B99" i="3" a="1"/>
  <c r="B43" i="3" a="1"/>
  <c r="B81" i="3" a="1"/>
  <c r="B44" i="3" a="1"/>
  <c r="B144" i="3" a="1"/>
  <c r="B139" i="3" a="1"/>
  <c r="B175" i="3" a="1"/>
  <c r="B40" i="3" a="1"/>
  <c r="B121" i="3" a="1"/>
  <c r="B172" i="3" a="1"/>
  <c r="B143" i="3" a="1"/>
  <c r="B157" i="3" a="1"/>
  <c r="B23" i="3" a="1"/>
  <c r="B50" i="3" a="1"/>
  <c r="B82" i="3" a="1"/>
  <c r="B28" i="3" a="1"/>
  <c r="B6" i="3" a="1"/>
  <c r="B188" i="3" a="1"/>
  <c r="B168" i="3" a="1"/>
  <c r="B25" i="3" a="1"/>
  <c r="B134" i="3" a="1"/>
  <c r="B53" i="3" a="1"/>
  <c r="B2" i="3" a="1"/>
  <c r="B85" i="3" a="1"/>
  <c r="B166" i="3" a="1"/>
  <c r="B122" i="3" a="1"/>
  <c r="B56" i="3" a="1"/>
  <c r="B126" i="3" a="1"/>
  <c r="B17" i="3" a="1"/>
  <c r="B96" i="3" a="1"/>
  <c r="B97" i="3" a="1"/>
  <c r="B192" i="3" a="1"/>
  <c r="B133" i="3" a="1"/>
  <c r="B170" i="3" a="1"/>
  <c r="B161" i="3" a="1"/>
  <c r="B187" i="3" a="1"/>
  <c r="B93" i="3" a="1"/>
  <c r="B124" i="3" a="1"/>
  <c r="B20" i="3" a="1"/>
  <c r="B178" i="3" a="1"/>
  <c r="B59" i="3" a="1"/>
  <c r="B77" i="3" a="1"/>
  <c r="B158" i="3" a="1"/>
  <c r="B180" i="3" a="1"/>
  <c r="B24" i="3" a="1"/>
  <c r="B114" i="3" a="1"/>
  <c r="B83" i="3" a="1"/>
  <c r="B15" i="3" a="1"/>
  <c r="B132" i="3" a="1"/>
  <c r="B48" i="3" a="1"/>
  <c r="B72" i="3" a="1"/>
  <c r="B107" i="3" a="1"/>
  <c r="B46" i="3" a="1"/>
  <c r="B84" i="3" a="1"/>
  <c r="B125" i="3" a="1"/>
  <c r="B174" i="3" a="1"/>
  <c r="B74" i="3" a="1"/>
  <c r="B140" i="3" a="1"/>
  <c r="B63" i="3" a="1"/>
  <c r="B177" i="3" a="1"/>
  <c r="B164" i="3" a="1"/>
  <c r="B52" i="3" a="1"/>
  <c r="B153" i="3" a="1"/>
  <c r="B36" i="3" a="1"/>
  <c r="B197" i="3" a="1"/>
  <c r="B105" i="3" a="1"/>
  <c r="B128" i="3" a="1"/>
  <c r="B35" i="3" a="1"/>
  <c r="B54" i="3" a="1"/>
  <c r="B41" i="3" a="1"/>
  <c r="B5" i="3" a="1"/>
  <c r="B112" i="3" a="1"/>
  <c r="B196" i="3" a="1"/>
  <c r="B127" i="3" a="1"/>
  <c r="B94" i="3" a="1"/>
  <c r="B21" i="3" a="1"/>
  <c r="B113" i="3" a="1"/>
  <c r="B116" i="3" a="1"/>
  <c r="B88" i="3" a="1"/>
  <c r="B67" i="3" a="1"/>
  <c r="B68" i="3" a="1"/>
  <c r="B65" i="3" a="1"/>
  <c r="B55" i="3" a="1"/>
  <c r="B75" i="3" a="1"/>
  <c r="B22" i="3" a="1"/>
  <c r="B176" i="3" a="1"/>
  <c r="B183" i="3" a="1"/>
  <c r="B95" i="3" a="1"/>
  <c r="B145" i="3" a="1"/>
  <c r="B12" i="3" l="1"/>
  <c r="C12" i="3" s="1"/>
  <c r="B8" i="3"/>
  <c r="C8" i="3" s="1"/>
  <c r="B6" i="3"/>
  <c r="C6" i="3" s="1"/>
  <c r="B3" i="3"/>
  <c r="C3" i="3" s="1"/>
  <c r="B11" i="3"/>
  <c r="B5" i="3"/>
  <c r="C5" i="3" s="1"/>
  <c r="B7" i="3"/>
  <c r="Q7" i="3" s="1" a="1"/>
  <c r="Q7" i="3" s="1"/>
  <c r="B4" i="3"/>
  <c r="C4" i="3" s="1"/>
  <c r="B9" i="3"/>
  <c r="C9" i="3" s="1"/>
  <c r="B2" i="3"/>
  <c r="R2" i="3" s="1"/>
  <c r="Q8" i="3" a="1"/>
  <c r="Q8" i="3" s="1"/>
  <c r="Q10" i="3" a="1"/>
  <c r="Q10" i="3" s="1"/>
  <c r="R10" i="3"/>
  <c r="B133" i="3"/>
  <c r="C133" i="3" s="1"/>
  <c r="B166" i="3"/>
  <c r="R166" i="3" s="1"/>
  <c r="B109" i="3"/>
  <c r="C109" i="3" s="1"/>
  <c r="B155" i="3"/>
  <c r="C155" i="3" s="1"/>
  <c r="B123" i="3"/>
  <c r="C123" i="3" s="1"/>
  <c r="B90" i="3"/>
  <c r="R90" i="3" s="1"/>
  <c r="B168" i="3"/>
  <c r="C168" i="3" s="1"/>
  <c r="B124" i="3"/>
  <c r="C124" i="3" s="1"/>
  <c r="B96" i="3"/>
  <c r="R96" i="3" s="1"/>
  <c r="B180" i="3"/>
  <c r="C180" i="3" s="1"/>
  <c r="B132" i="3"/>
  <c r="R132" i="3" s="1"/>
  <c r="B171" i="3"/>
  <c r="C171" i="3" s="1"/>
  <c r="B108" i="3"/>
  <c r="C108" i="3" s="1"/>
  <c r="B35" i="3"/>
  <c r="C35" i="3" s="1"/>
  <c r="B46" i="3"/>
  <c r="C46" i="3" s="1"/>
  <c r="B82" i="3"/>
  <c r="C82" i="3" s="1"/>
  <c r="B170" i="3"/>
  <c r="C170" i="3" s="1"/>
  <c r="B89" i="3"/>
  <c r="C89" i="3" s="1"/>
  <c r="B51" i="3"/>
  <c r="R51" i="3" s="1"/>
  <c r="B153" i="3"/>
  <c r="R153" i="3" s="1"/>
  <c r="B130" i="3"/>
  <c r="C130" i="3" s="1"/>
  <c r="B14" i="3"/>
  <c r="C14" i="3" s="1"/>
  <c r="B182" i="3"/>
  <c r="Q182" i="3" s="1" a="1"/>
  <c r="Q182" i="3" s="1"/>
  <c r="B48" i="3"/>
  <c r="C48" i="3" s="1"/>
  <c r="B69" i="3"/>
  <c r="Q69" i="3" s="1" a="1"/>
  <c r="Q69" i="3" s="1"/>
  <c r="B163" i="3"/>
  <c r="C163" i="3" s="1"/>
  <c r="B53" i="3"/>
  <c r="C53" i="3" s="1"/>
  <c r="B112" i="3"/>
  <c r="C112" i="3" s="1"/>
  <c r="B25" i="3"/>
  <c r="C25" i="3" s="1"/>
  <c r="B95" i="3"/>
  <c r="C95" i="3" s="1"/>
  <c r="B141" i="3"/>
  <c r="C141" i="3" s="1"/>
  <c r="B172" i="3"/>
  <c r="R172" i="3" s="1"/>
  <c r="B142" i="3"/>
  <c r="C142" i="3" s="1"/>
  <c r="B75" i="3"/>
  <c r="R75" i="3" s="1"/>
  <c r="B176" i="3"/>
  <c r="C176" i="3" s="1"/>
  <c r="B68" i="3"/>
  <c r="R68" i="3" s="1"/>
  <c r="B145" i="3"/>
  <c r="C145" i="3" s="1"/>
  <c r="B116" i="3"/>
  <c r="C116" i="3" s="1"/>
  <c r="B113" i="3"/>
  <c r="R113" i="3" s="1"/>
  <c r="B67" i="3"/>
  <c r="C67" i="3" s="1"/>
  <c r="B36" i="3"/>
  <c r="C36" i="3" s="1"/>
  <c r="B88" i="3"/>
  <c r="C88" i="3" s="1"/>
  <c r="B197" i="3"/>
  <c r="R197" i="3" s="1"/>
  <c r="B128" i="3"/>
  <c r="R128" i="3" s="1"/>
  <c r="B22" i="3"/>
  <c r="R22" i="3" s="1"/>
  <c r="B21" i="3"/>
  <c r="Q21" i="3" s="1" a="1"/>
  <c r="Q21" i="3" s="1"/>
  <c r="B183" i="3"/>
  <c r="C183" i="3" s="1"/>
  <c r="B83" i="3"/>
  <c r="C83" i="3" s="1"/>
  <c r="B63" i="3"/>
  <c r="R63" i="3" s="1"/>
  <c r="B137" i="3"/>
  <c r="R137" i="3" s="1"/>
  <c r="B39" i="3"/>
  <c r="C39" i="3" s="1"/>
  <c r="B120" i="3"/>
  <c r="C120" i="3" s="1"/>
  <c r="B34" i="3"/>
  <c r="C34" i="3" s="1"/>
  <c r="B160" i="3"/>
  <c r="C160" i="3" s="1"/>
  <c r="B134" i="3"/>
  <c r="Q134" i="3" s="1" a="1"/>
  <c r="Q134" i="3" s="1"/>
  <c r="B62" i="3"/>
  <c r="C62" i="3" s="1"/>
  <c r="B196" i="3"/>
  <c r="C196" i="3" s="1"/>
  <c r="B173" i="3"/>
  <c r="C173" i="3" s="1"/>
  <c r="B179" i="3"/>
  <c r="R179" i="3" s="1"/>
  <c r="B131" i="3"/>
  <c r="R131" i="3" s="1"/>
  <c r="B114" i="3"/>
  <c r="Q114" i="3" s="1" a="1"/>
  <c r="Q114" i="3" s="1"/>
  <c r="B111" i="3"/>
  <c r="R111" i="3" s="1"/>
  <c r="B157" i="3"/>
  <c r="C157" i="3" s="1"/>
  <c r="B139" i="3"/>
  <c r="C139" i="3" s="1"/>
  <c r="B177" i="3"/>
  <c r="R177" i="3" s="1"/>
  <c r="B189" i="3"/>
  <c r="C189" i="3" s="1"/>
  <c r="B84" i="3"/>
  <c r="C84" i="3" s="1"/>
  <c r="B86" i="3"/>
  <c r="R86" i="3" s="1"/>
  <c r="B100" i="3"/>
  <c r="C100" i="3" s="1"/>
  <c r="B26" i="3"/>
  <c r="C26" i="3" s="1"/>
  <c r="B125" i="3"/>
  <c r="C125" i="3" s="1"/>
  <c r="B147" i="3"/>
  <c r="C147" i="3" s="1"/>
  <c r="B194" i="3"/>
  <c r="B193" i="3"/>
  <c r="R193" i="3" s="1"/>
  <c r="B70" i="3"/>
  <c r="C70" i="3" s="1"/>
  <c r="B129" i="3"/>
  <c r="Q129" i="3" s="1" a="1"/>
  <c r="Q129" i="3" s="1"/>
  <c r="B181" i="3"/>
  <c r="C181" i="3" s="1"/>
  <c r="B76" i="3"/>
  <c r="C76" i="3" s="1"/>
  <c r="B41" i="3"/>
  <c r="C41" i="3" s="1"/>
  <c r="B78" i="3"/>
  <c r="C78" i="3" s="1"/>
  <c r="B30" i="3"/>
  <c r="C30" i="3" s="1"/>
  <c r="B156" i="3"/>
  <c r="C156" i="3" s="1"/>
  <c r="B49" i="3"/>
  <c r="C49" i="3" s="1"/>
  <c r="B122" i="3"/>
  <c r="C122" i="3" s="1"/>
  <c r="B195" i="3"/>
  <c r="C195" i="3" s="1"/>
  <c r="B40" i="3"/>
  <c r="C40" i="3" s="1"/>
  <c r="B27" i="3"/>
  <c r="R27" i="3" s="1"/>
  <c r="B199" i="3"/>
  <c r="B101" i="3"/>
  <c r="C101" i="3" s="1"/>
  <c r="B47" i="3"/>
  <c r="C47" i="3" s="1"/>
  <c r="B45" i="3"/>
  <c r="C45" i="3" s="1"/>
  <c r="B59" i="3"/>
  <c r="C59" i="3" s="1"/>
  <c r="B138" i="3"/>
  <c r="C138" i="3" s="1"/>
  <c r="B148" i="3"/>
  <c r="C148" i="3" s="1"/>
  <c r="B91" i="3"/>
  <c r="C91" i="3" s="1"/>
  <c r="B154" i="3"/>
  <c r="C154" i="3" s="1"/>
  <c r="B106" i="3"/>
  <c r="C106" i="3" s="1"/>
  <c r="B119" i="3"/>
  <c r="C119" i="3" s="1"/>
  <c r="B175" i="3"/>
  <c r="C175" i="3" s="1"/>
  <c r="B104" i="3"/>
  <c r="C104" i="3" s="1"/>
  <c r="B23" i="3"/>
  <c r="C23" i="3" s="1"/>
  <c r="B190" i="3"/>
  <c r="C190" i="3" s="1"/>
  <c r="B19" i="3"/>
  <c r="C19" i="3" s="1"/>
  <c r="B97" i="3"/>
  <c r="Q97" i="3" s="1" a="1"/>
  <c r="Q97" i="3" s="1"/>
  <c r="B185" i="3"/>
  <c r="C185" i="3" s="1"/>
  <c r="B73" i="3"/>
  <c r="R73" i="3" s="1"/>
  <c r="B126" i="3"/>
  <c r="C126" i="3" s="1"/>
  <c r="B117" i="3"/>
  <c r="Q117" i="3" s="1" a="1"/>
  <c r="Q117" i="3" s="1"/>
  <c r="B72" i="3"/>
  <c r="R72" i="3" s="1"/>
  <c r="B191" i="3"/>
  <c r="C191" i="3" s="1"/>
  <c r="B152" i="3"/>
  <c r="Q152" i="3" s="1" a="1"/>
  <c r="Q152" i="3" s="1"/>
  <c r="B17" i="3"/>
  <c r="C17" i="3" s="1"/>
  <c r="B118" i="3"/>
  <c r="R118" i="3" s="1"/>
  <c r="B151" i="3"/>
  <c r="C151" i="3" s="1"/>
  <c r="B71" i="3"/>
  <c r="C71" i="3" s="1"/>
  <c r="B56" i="3"/>
  <c r="C56" i="3" s="1"/>
  <c r="B174" i="3"/>
  <c r="R174" i="3" s="1"/>
  <c r="B188" i="3"/>
  <c r="C188" i="3" s="1"/>
  <c r="B159" i="3"/>
  <c r="C159" i="3" s="1"/>
  <c r="B135" i="3"/>
  <c r="Q135" i="3" s="1" a="1"/>
  <c r="Q135" i="3" s="1"/>
  <c r="B162" i="3"/>
  <c r="C162" i="3" s="1"/>
  <c r="B54" i="3"/>
  <c r="C54" i="3" s="1"/>
  <c r="B144" i="3"/>
  <c r="R144" i="3" s="1"/>
  <c r="B18" i="3"/>
  <c r="R18" i="3" s="1"/>
  <c r="B43" i="3"/>
  <c r="C43" i="3" s="1"/>
  <c r="B60" i="3"/>
  <c r="Q60" i="3" s="1" a="1"/>
  <c r="Q60" i="3" s="1"/>
  <c r="B165" i="3"/>
  <c r="C165" i="3" s="1"/>
  <c r="B24" i="3"/>
  <c r="C24" i="3" s="1"/>
  <c r="B29" i="3"/>
  <c r="C29" i="3" s="1"/>
  <c r="B99" i="3"/>
  <c r="C99" i="3" s="1"/>
  <c r="B164" i="3"/>
  <c r="Q164" i="3" s="1" a="1"/>
  <c r="Q164" i="3" s="1"/>
  <c r="B33" i="3"/>
  <c r="R33" i="3" s="1"/>
  <c r="B102" i="3"/>
  <c r="C102" i="3" s="1"/>
  <c r="B92" i="3"/>
  <c r="Q92" i="3" s="1" a="1"/>
  <c r="Q92" i="3" s="1"/>
  <c r="B31" i="3"/>
  <c r="C31" i="3" s="1"/>
  <c r="B198" i="3"/>
  <c r="Q198" i="3" s="1" a="1"/>
  <c r="Q198" i="3" s="1"/>
  <c r="B167" i="3"/>
  <c r="C167" i="3" s="1"/>
  <c r="B136" i="3"/>
  <c r="C136" i="3" s="1"/>
  <c r="B140" i="3"/>
  <c r="Q140" i="3" s="1" a="1"/>
  <c r="Q140" i="3" s="1"/>
  <c r="B184" i="3"/>
  <c r="C184" i="3" s="1"/>
  <c r="B143" i="3"/>
  <c r="C143" i="3" s="1"/>
  <c r="B64" i="3"/>
  <c r="C64" i="3" s="1"/>
  <c r="B80" i="3"/>
  <c r="C80" i="3" s="1"/>
  <c r="B66" i="3"/>
  <c r="R66" i="3" s="1"/>
  <c r="B98" i="3"/>
  <c r="C98" i="3" s="1"/>
  <c r="B93" i="3"/>
  <c r="Q93" i="3" s="1" a="1"/>
  <c r="Q93" i="3" s="1"/>
  <c r="B20" i="3"/>
  <c r="C20" i="3" s="1"/>
  <c r="B50" i="3"/>
  <c r="C50" i="3" s="1"/>
  <c r="B107" i="3"/>
  <c r="C107" i="3" s="1"/>
  <c r="B186" i="3"/>
  <c r="C186" i="3" s="1"/>
  <c r="B146" i="3"/>
  <c r="C146" i="3" s="1"/>
  <c r="B58" i="3"/>
  <c r="C58" i="3" s="1"/>
  <c r="B115" i="3"/>
  <c r="C115" i="3" s="1"/>
  <c r="B178" i="3"/>
  <c r="C178" i="3" s="1"/>
  <c r="B44" i="3"/>
  <c r="R44" i="3" s="1"/>
  <c r="B42" i="3"/>
  <c r="R42" i="3" s="1"/>
  <c r="B52" i="3"/>
  <c r="C52" i="3" s="1"/>
  <c r="B16" i="3"/>
  <c r="C16" i="3" s="1"/>
  <c r="R7" i="3"/>
  <c r="C7" i="6"/>
  <c r="R7" i="6"/>
  <c r="Q7" i="6" a="1"/>
  <c r="Q7" i="6" s="1"/>
  <c r="C3" i="6"/>
  <c r="R3" i="6"/>
  <c r="Q3" i="6" a="1"/>
  <c r="Q3" i="6" s="1"/>
  <c r="R11" i="6"/>
  <c r="Q11" i="6" a="1"/>
  <c r="Q11" i="6" s="1"/>
  <c r="C11" i="6"/>
  <c r="C6" i="6"/>
  <c r="R6" i="6"/>
  <c r="Q6" i="6" a="1"/>
  <c r="Q6" i="6" s="1"/>
  <c r="C9" i="6"/>
  <c r="R9" i="6"/>
  <c r="Q9" i="6" a="1"/>
  <c r="Q9" i="6" s="1"/>
  <c r="Q2" i="6" a="1"/>
  <c r="Q2" i="6" s="1"/>
  <c r="C2" i="6"/>
  <c r="R2" i="6"/>
  <c r="R10" i="6"/>
  <c r="Q10" i="6" a="1"/>
  <c r="Q10" i="6" s="1"/>
  <c r="C10" i="6"/>
  <c r="B149" i="3"/>
  <c r="C149" i="3" s="1"/>
  <c r="B110" i="3"/>
  <c r="Q110" i="3" s="1" a="1"/>
  <c r="Q110" i="3" s="1"/>
  <c r="B169" i="3"/>
  <c r="C169" i="3" s="1"/>
  <c r="B87" i="3"/>
  <c r="R87" i="3" s="1"/>
  <c r="B37" i="3"/>
  <c r="C37" i="3" s="1"/>
  <c r="B79" i="3"/>
  <c r="C79" i="3" s="1"/>
  <c r="B158" i="3"/>
  <c r="C158" i="3" s="1"/>
  <c r="B161" i="3"/>
  <c r="R161" i="3" s="1"/>
  <c r="B77" i="3"/>
  <c r="C77" i="3" s="1"/>
  <c r="B13" i="3"/>
  <c r="C13" i="3" s="1"/>
  <c r="B55" i="3"/>
  <c r="C55" i="3" s="1"/>
  <c r="B94" i="3"/>
  <c r="R94" i="3" s="1"/>
  <c r="C2" i="3"/>
  <c r="Q2" i="3" a="1"/>
  <c r="Q2" i="3" s="1"/>
  <c r="Q6" i="3" a="1"/>
  <c r="Q6" i="3" s="1"/>
  <c r="Q9" i="3" a="1"/>
  <c r="Q9" i="3" s="1"/>
  <c r="B103" i="3"/>
  <c r="C103" i="3" s="1"/>
  <c r="B150" i="3"/>
  <c r="R150" i="3" s="1"/>
  <c r="B38" i="3"/>
  <c r="C38" i="3" s="1"/>
  <c r="B74" i="3"/>
  <c r="C74" i="3" s="1"/>
  <c r="B15" i="3"/>
  <c r="C15" i="3" s="1"/>
  <c r="B28" i="3"/>
  <c r="C28" i="3" s="1"/>
  <c r="B85" i="3"/>
  <c r="C85" i="3" s="1"/>
  <c r="B127" i="3"/>
  <c r="C127" i="3" s="1"/>
  <c r="B187" i="3"/>
  <c r="C187" i="3" s="1"/>
  <c r="B192" i="3"/>
  <c r="C192" i="3" s="1"/>
  <c r="B121" i="3"/>
  <c r="Q121" i="3" s="1" a="1"/>
  <c r="Q121" i="3" s="1"/>
  <c r="B32" i="3"/>
  <c r="C32" i="3" s="1"/>
  <c r="B61" i="3"/>
  <c r="C61" i="3" s="1"/>
  <c r="B65" i="3"/>
  <c r="C65" i="3" s="1"/>
  <c r="Q3" i="3" a="1"/>
  <c r="Q3" i="3" s="1"/>
  <c r="R5" i="3"/>
  <c r="R6" i="3"/>
  <c r="R3" i="3"/>
  <c r="Q153" i="3" a="1"/>
  <c r="Q153" i="3" s="1"/>
  <c r="R8" i="3"/>
  <c r="C153" i="3"/>
  <c r="Q12" i="3" a="1"/>
  <c r="Q12" i="3" s="1"/>
  <c r="Q4" i="3" a="1"/>
  <c r="Q4" i="3" s="1"/>
  <c r="R34" i="3"/>
  <c r="Q14" i="3" a="1"/>
  <c r="Q14" i="3" s="1"/>
  <c r="R12" i="3"/>
  <c r="Q5" i="3" a="1"/>
  <c r="Q5" i="3" s="1"/>
  <c r="B105" i="3"/>
  <c r="C105" i="3" s="1"/>
  <c r="B81" i="3"/>
  <c r="Q81" i="3" s="1" a="1"/>
  <c r="Q81" i="3" s="1"/>
  <c r="B57" i="3"/>
  <c r="Q57" i="3" s="1" a="1"/>
  <c r="Q57" i="3" s="1"/>
  <c r="Q155" i="3" l="1" a="1"/>
  <c r="Q155" i="3" s="1"/>
  <c r="R133" i="3"/>
  <c r="C22" i="3"/>
  <c r="R130" i="3"/>
  <c r="Q133" i="3" a="1"/>
  <c r="Q133" i="3" s="1"/>
  <c r="C179" i="3"/>
  <c r="C7" i="3"/>
  <c r="R155" i="3"/>
  <c r="Q180" i="3" a="1"/>
  <c r="Q180" i="3" s="1"/>
  <c r="Q112" i="3" a="1"/>
  <c r="Q112" i="3" s="1"/>
  <c r="R4" i="3"/>
  <c r="R168" i="3"/>
  <c r="Q100" i="3" a="1"/>
  <c r="Q100" i="3" s="1"/>
  <c r="Q168" i="3" a="1"/>
  <c r="Q168" i="3" s="1"/>
  <c r="Q109" i="3" a="1"/>
  <c r="Q109" i="3" s="1"/>
  <c r="Q96" i="3" a="1"/>
  <c r="Q96" i="3" s="1"/>
  <c r="R112" i="3"/>
  <c r="R109" i="3"/>
  <c r="R183" i="3"/>
  <c r="R9" i="3"/>
  <c r="Q53" i="3" a="1"/>
  <c r="Q53" i="3" s="1"/>
  <c r="Q83" i="3" a="1"/>
  <c r="Q83" i="3" s="1"/>
  <c r="Q90" i="3" a="1"/>
  <c r="Q90" i="3" s="1"/>
  <c r="R95" i="3"/>
  <c r="Q95" i="3" a="1"/>
  <c r="Q95" i="3" s="1"/>
  <c r="Q130" i="3" a="1"/>
  <c r="Q130" i="3" s="1"/>
  <c r="C11" i="3"/>
  <c r="R11" i="3"/>
  <c r="Q11" i="3" a="1"/>
  <c r="Q11" i="3" s="1"/>
  <c r="Q141" i="3" a="1"/>
  <c r="Q141" i="3" s="1"/>
  <c r="R141" i="3"/>
  <c r="R14" i="3"/>
  <c r="C172" i="3"/>
  <c r="Q128" i="3" a="1"/>
  <c r="Q128" i="3" s="1"/>
  <c r="C128" i="3"/>
  <c r="R180" i="3"/>
  <c r="R182" i="3"/>
  <c r="C182" i="3"/>
  <c r="Q22" i="3" a="1"/>
  <c r="Q22" i="3" s="1"/>
  <c r="Q163" i="3" a="1"/>
  <c r="Q163" i="3" s="1"/>
  <c r="Q75" i="3" a="1"/>
  <c r="Q75" i="3" s="1"/>
  <c r="C75" i="3"/>
  <c r="R142" i="3"/>
  <c r="C96" i="3"/>
  <c r="C90" i="3"/>
  <c r="R21" i="3"/>
  <c r="Q23" i="3" a="1"/>
  <c r="Q23" i="3" s="1"/>
  <c r="Q184" i="3" a="1"/>
  <c r="Q184" i="3" s="1"/>
  <c r="Q142" i="3" a="1"/>
  <c r="Q142" i="3" s="1"/>
  <c r="Q39" i="3" a="1"/>
  <c r="Q39" i="3" s="1"/>
  <c r="Q123" i="3" a="1"/>
  <c r="Q123" i="3" s="1"/>
  <c r="Q183" i="3" a="1"/>
  <c r="Q183" i="3" s="1"/>
  <c r="R120" i="3"/>
  <c r="R123" i="3"/>
  <c r="R39" i="3"/>
  <c r="C60" i="3"/>
  <c r="Q25" i="3" a="1"/>
  <c r="Q25" i="3" s="1"/>
  <c r="C137" i="3"/>
  <c r="Q145" i="3" a="1"/>
  <c r="Q145" i="3" s="1"/>
  <c r="R145" i="3"/>
  <c r="R122" i="3"/>
  <c r="R119" i="3"/>
  <c r="R116" i="3"/>
  <c r="Q49" i="3" a="1"/>
  <c r="Q49" i="3" s="1"/>
  <c r="C63" i="3"/>
  <c r="Q179" i="3" a="1"/>
  <c r="Q179" i="3" s="1"/>
  <c r="R148" i="3"/>
  <c r="R23" i="3"/>
  <c r="C92" i="3"/>
  <c r="R92" i="3"/>
  <c r="Q125" i="3" a="1"/>
  <c r="Q125" i="3" s="1"/>
  <c r="R160" i="3"/>
  <c r="Q98" i="3" a="1"/>
  <c r="Q98" i="3" s="1"/>
  <c r="R35" i="3"/>
  <c r="R115" i="3"/>
  <c r="R25" i="3"/>
  <c r="Q172" i="3" a="1"/>
  <c r="Q172" i="3" s="1"/>
  <c r="Q137" i="3" a="1"/>
  <c r="Q137" i="3" s="1"/>
  <c r="Q116" i="3" a="1"/>
  <c r="Q116" i="3" s="1"/>
  <c r="R125" i="3"/>
  <c r="R100" i="3"/>
  <c r="Q175" i="3" a="1"/>
  <c r="Q175" i="3" s="1"/>
  <c r="Q196" i="3" a="1"/>
  <c r="Q196" i="3" s="1"/>
  <c r="R176" i="3"/>
  <c r="Q173" i="3" a="1"/>
  <c r="Q173" i="3" s="1"/>
  <c r="Q148" i="3" a="1"/>
  <c r="Q148" i="3" s="1"/>
  <c r="R93" i="3"/>
  <c r="Q40" i="3" a="1"/>
  <c r="Q40" i="3" s="1"/>
  <c r="Q35" i="3" a="1"/>
  <c r="Q35" i="3" s="1"/>
  <c r="Q176" i="3" a="1"/>
  <c r="Q176" i="3" s="1"/>
  <c r="Q122" i="3" a="1"/>
  <c r="Q122" i="3" s="1"/>
  <c r="C21" i="3"/>
  <c r="Q68" i="3" a="1"/>
  <c r="Q68" i="3" s="1"/>
  <c r="Q181" i="3" a="1"/>
  <c r="Q181" i="3" s="1"/>
  <c r="C68" i="3"/>
  <c r="Q126" i="3" a="1"/>
  <c r="Q126" i="3" s="1"/>
  <c r="Q43" i="3" a="1"/>
  <c r="Q43" i="3" s="1"/>
  <c r="Q54" i="3" a="1"/>
  <c r="Q54" i="3" s="1"/>
  <c r="R20" i="3"/>
  <c r="R156" i="3"/>
  <c r="R54" i="3"/>
  <c r="R106" i="3"/>
  <c r="R16" i="3"/>
  <c r="Q67" i="3" a="1"/>
  <c r="Q67" i="3" s="1"/>
  <c r="Q149" i="3" a="1"/>
  <c r="Q149" i="3" s="1"/>
  <c r="C73" i="3"/>
  <c r="R173" i="3"/>
  <c r="R67" i="3"/>
  <c r="C114" i="3"/>
  <c r="C113" i="3"/>
  <c r="R19" i="3"/>
  <c r="R198" i="3"/>
  <c r="Q63" i="3" a="1"/>
  <c r="Q63" i="3" s="1"/>
  <c r="R30" i="3"/>
  <c r="R196" i="3"/>
  <c r="C33" i="3"/>
  <c r="Q91" i="3" a="1"/>
  <c r="Q91" i="3" s="1"/>
  <c r="R45" i="3"/>
  <c r="R89" i="3"/>
  <c r="Q89" i="3" a="1"/>
  <c r="Q89" i="3" s="1"/>
  <c r="R140" i="3"/>
  <c r="Q170" i="3" a="1"/>
  <c r="Q170" i="3" s="1"/>
  <c r="R170" i="3"/>
  <c r="C140" i="3"/>
  <c r="C51" i="3"/>
  <c r="Q33" i="3" a="1"/>
  <c r="Q33" i="3" s="1"/>
  <c r="Q88" i="3" a="1"/>
  <c r="Q88" i="3" s="1"/>
  <c r="R91" i="3"/>
  <c r="R36" i="3"/>
  <c r="Q160" i="3" a="1"/>
  <c r="Q160" i="3" s="1"/>
  <c r="R181" i="3"/>
  <c r="C197" i="3"/>
  <c r="Q36" i="3" a="1"/>
  <c r="Q36" i="3" s="1"/>
  <c r="Q51" i="3" a="1"/>
  <c r="Q51" i="3" s="1"/>
  <c r="R31" i="3"/>
  <c r="R47" i="3"/>
  <c r="Q47" i="3" a="1"/>
  <c r="Q47" i="3" s="1"/>
  <c r="R60" i="3"/>
  <c r="Q167" i="3" a="1"/>
  <c r="Q167" i="3" s="1"/>
  <c r="Q139" i="3" a="1"/>
  <c r="Q139" i="3" s="1"/>
  <c r="R187" i="3"/>
  <c r="Q20" i="3" a="1"/>
  <c r="Q20" i="3" s="1"/>
  <c r="C174" i="3"/>
  <c r="R114" i="3"/>
  <c r="Q101" i="3" a="1"/>
  <c r="Q101" i="3" s="1"/>
  <c r="Q30" i="3" a="1"/>
  <c r="Q30" i="3" s="1"/>
  <c r="C44" i="3"/>
  <c r="R139" i="3"/>
  <c r="R43" i="3"/>
  <c r="Q31" i="3" a="1"/>
  <c r="Q31" i="3" s="1"/>
  <c r="Q16" i="3" a="1"/>
  <c r="Q16" i="3" s="1"/>
  <c r="Q106" i="3" a="1"/>
  <c r="Q106" i="3" s="1"/>
  <c r="Q45" i="3" a="1"/>
  <c r="Q45" i="3" s="1"/>
  <c r="Q59" i="3" a="1"/>
  <c r="Q59" i="3" s="1"/>
  <c r="R104" i="3"/>
  <c r="C150" i="3"/>
  <c r="R101" i="3"/>
  <c r="C111" i="3"/>
  <c r="Q34" i="3" a="1"/>
  <c r="Q34" i="3" s="1"/>
  <c r="Q174" i="3" a="1"/>
  <c r="Q174" i="3" s="1"/>
  <c r="R53" i="3"/>
  <c r="R77" i="3"/>
  <c r="Q120" i="3" a="1"/>
  <c r="Q120" i="3" s="1"/>
  <c r="Q111" i="3" a="1"/>
  <c r="Q111" i="3" s="1"/>
  <c r="Q186" i="3" a="1"/>
  <c r="Q186" i="3" s="1"/>
  <c r="Q147" i="3" a="1"/>
  <c r="Q147" i="3" s="1"/>
  <c r="Q156" i="3" a="1"/>
  <c r="Q156" i="3" s="1"/>
  <c r="R175" i="3"/>
  <c r="Q19" i="3" a="1"/>
  <c r="Q19" i="3" s="1"/>
  <c r="R186" i="3"/>
  <c r="Q72" i="3" a="1"/>
  <c r="Q72" i="3" s="1"/>
  <c r="R26" i="3"/>
  <c r="R49" i="3"/>
  <c r="R124" i="3"/>
  <c r="Q115" i="3" a="1"/>
  <c r="Q115" i="3" s="1"/>
  <c r="C72" i="3"/>
  <c r="Q102" i="3" a="1"/>
  <c r="Q102" i="3" s="1"/>
  <c r="R102" i="3"/>
  <c r="Q197" i="3" a="1"/>
  <c r="Q197" i="3" s="1"/>
  <c r="C27" i="3"/>
  <c r="Q124" i="3" a="1"/>
  <c r="Q124" i="3" s="1"/>
  <c r="R184" i="3"/>
  <c r="R165" i="3"/>
  <c r="R83" i="3"/>
  <c r="Q44" i="3" a="1"/>
  <c r="Q44" i="3" s="1"/>
  <c r="R167" i="3"/>
  <c r="Q73" i="3" a="1"/>
  <c r="Q73" i="3" s="1"/>
  <c r="R59" i="3"/>
  <c r="Q38" i="3" a="1"/>
  <c r="Q38" i="3" s="1"/>
  <c r="C66" i="3"/>
  <c r="R146" i="3"/>
  <c r="C97" i="3"/>
  <c r="Q131" i="3" a="1"/>
  <c r="Q131" i="3" s="1"/>
  <c r="Q87" i="3" a="1"/>
  <c r="Q87" i="3" s="1"/>
  <c r="Q165" i="3" a="1"/>
  <c r="Q165" i="3" s="1"/>
  <c r="R88" i="3"/>
  <c r="R71" i="3"/>
  <c r="C131" i="3"/>
  <c r="R126" i="3"/>
  <c r="R169" i="3"/>
  <c r="R64" i="3"/>
  <c r="R103" i="3"/>
  <c r="R134" i="3"/>
  <c r="R188" i="3"/>
  <c r="R157" i="3"/>
  <c r="R15" i="3"/>
  <c r="Q119" i="3" a="1"/>
  <c r="Q119" i="3" s="1"/>
  <c r="Q113" i="3" a="1"/>
  <c r="Q113" i="3" s="1"/>
  <c r="Q26" i="3" a="1"/>
  <c r="Q26" i="3" s="1"/>
  <c r="C134" i="3"/>
  <c r="Q188" i="3" a="1"/>
  <c r="Q188" i="3" s="1"/>
  <c r="R143" i="3"/>
  <c r="C161" i="3"/>
  <c r="Q24" i="3" a="1"/>
  <c r="Q24" i="3" s="1"/>
  <c r="R117" i="3"/>
  <c r="Q15" i="3" a="1"/>
  <c r="Q15" i="3" s="1"/>
  <c r="R154" i="3"/>
  <c r="Q64" i="3" a="1"/>
  <c r="Q64" i="3" s="1"/>
  <c r="Q177" i="3" a="1"/>
  <c r="Q177" i="3" s="1"/>
  <c r="Q62" i="3" a="1"/>
  <c r="Q62" i="3" s="1"/>
  <c r="R190" i="3"/>
  <c r="Q138" i="3" a="1"/>
  <c r="Q138" i="3" s="1"/>
  <c r="R50" i="3"/>
  <c r="R138" i="3"/>
  <c r="R58" i="3"/>
  <c r="R189" i="3"/>
  <c r="Q185" i="3" a="1"/>
  <c r="Q185" i="3" s="1"/>
  <c r="R151" i="3"/>
  <c r="Q127" i="3" a="1"/>
  <c r="Q127" i="3" s="1"/>
  <c r="Q151" i="3" a="1"/>
  <c r="Q151" i="3" s="1"/>
  <c r="R24" i="3"/>
  <c r="Q136" i="3" a="1"/>
  <c r="Q136" i="3" s="1"/>
  <c r="Q146" i="3" a="1"/>
  <c r="Q146" i="3" s="1"/>
  <c r="R191" i="3"/>
  <c r="R62" i="3"/>
  <c r="Q71" i="3" a="1"/>
  <c r="Q71" i="3" s="1"/>
  <c r="Q154" i="3" a="1"/>
  <c r="Q154" i="3" s="1"/>
  <c r="R110" i="3"/>
  <c r="Q132" i="3" a="1"/>
  <c r="Q132" i="3" s="1"/>
  <c r="R56" i="3"/>
  <c r="Q191" i="3" a="1"/>
  <c r="Q191" i="3" s="1"/>
  <c r="Q50" i="3" a="1"/>
  <c r="Q50" i="3" s="1"/>
  <c r="C117" i="3"/>
  <c r="C110" i="3"/>
  <c r="C132" i="3"/>
  <c r="C177" i="3"/>
  <c r="Q157" i="3" a="1"/>
  <c r="Q157" i="3" s="1"/>
  <c r="R149" i="3"/>
  <c r="R38" i="3"/>
  <c r="Q103" i="3" a="1"/>
  <c r="Q103" i="3" s="1"/>
  <c r="Q37" i="3" a="1"/>
  <c r="Q37" i="3" s="1"/>
  <c r="Q77" i="3" a="1"/>
  <c r="Q77" i="3" s="1"/>
  <c r="Q178" i="3" a="1"/>
  <c r="Q178" i="3" s="1"/>
  <c r="C93" i="3"/>
  <c r="Q66" i="3" a="1"/>
  <c r="Q66" i="3" s="1"/>
  <c r="Q56" i="3" a="1"/>
  <c r="Q56" i="3" s="1"/>
  <c r="C198" i="3"/>
  <c r="Q192" i="3" a="1"/>
  <c r="Q192" i="3" s="1"/>
  <c r="C87" i="3"/>
  <c r="Q169" i="3" a="1"/>
  <c r="Q169" i="3" s="1"/>
  <c r="Q190" i="3" a="1"/>
  <c r="Q190" i="3" s="1"/>
  <c r="Q150" i="3" a="1"/>
  <c r="Q150" i="3" s="1"/>
  <c r="R121" i="3"/>
  <c r="R97" i="3"/>
  <c r="Q143" i="3" a="1"/>
  <c r="Q143" i="3" s="1"/>
  <c r="Q17" i="3" a="1"/>
  <c r="Q17" i="3" s="1"/>
  <c r="C135" i="3"/>
  <c r="R70" i="3"/>
  <c r="Q70" i="3" a="1"/>
  <c r="Q70" i="3" s="1"/>
  <c r="Q189" i="3" a="1"/>
  <c r="Q189" i="3" s="1"/>
  <c r="R135" i="3"/>
  <c r="R79" i="3"/>
  <c r="Q42" i="3" a="1"/>
  <c r="Q42" i="3" s="1"/>
  <c r="R171" i="3"/>
  <c r="R107" i="3"/>
  <c r="Q171" i="3" a="1"/>
  <c r="Q171" i="3" s="1"/>
  <c r="Q79" i="3" a="1"/>
  <c r="Q79" i="3" s="1"/>
  <c r="Q107" i="3" a="1"/>
  <c r="Q107" i="3" s="1"/>
  <c r="Q104" i="3" a="1"/>
  <c r="Q104" i="3" s="1"/>
  <c r="C152" i="3"/>
  <c r="Q94" i="3" a="1"/>
  <c r="Q94" i="3" s="1"/>
  <c r="R17" i="3"/>
  <c r="Q159" i="3" a="1"/>
  <c r="Q159" i="3" s="1"/>
  <c r="R84" i="3"/>
  <c r="C94" i="3"/>
  <c r="R147" i="3"/>
  <c r="R152" i="3"/>
  <c r="Q84" i="3" a="1"/>
  <c r="Q84" i="3" s="1"/>
  <c r="R192" i="3"/>
  <c r="C121" i="3"/>
  <c r="R136" i="3"/>
  <c r="R98" i="3"/>
  <c r="R80" i="3"/>
  <c r="R52" i="3"/>
  <c r="R185" i="3"/>
  <c r="R127" i="3"/>
  <c r="Q161" i="3" a="1"/>
  <c r="Q161" i="3" s="1"/>
  <c r="R159" i="3"/>
  <c r="R37" i="3"/>
  <c r="Q80" i="3" a="1"/>
  <c r="Q80" i="3" s="1"/>
  <c r="Q52" i="3" a="1"/>
  <c r="Q52" i="3" s="1"/>
  <c r="Q58" i="3" a="1"/>
  <c r="Q58" i="3" s="1"/>
  <c r="Q29" i="3" a="1"/>
  <c r="Q29" i="3" s="1"/>
  <c r="R29" i="3"/>
  <c r="Q108" i="3" a="1"/>
  <c r="Q108" i="3" s="1"/>
  <c r="R108" i="3"/>
  <c r="R178" i="3"/>
  <c r="Q195" i="3" a="1"/>
  <c r="Q195" i="3" s="1"/>
  <c r="R162" i="3"/>
  <c r="R195" i="3"/>
  <c r="Q162" i="3" a="1"/>
  <c r="Q162" i="3" s="1"/>
  <c r="R129" i="3"/>
  <c r="Q118" i="3" a="1"/>
  <c r="Q118" i="3" s="1"/>
  <c r="C129" i="3"/>
  <c r="C42" i="3"/>
  <c r="Q158" i="3" a="1"/>
  <c r="Q158" i="3" s="1"/>
  <c r="R40" i="3"/>
  <c r="Q155" i="6" a="1"/>
  <c r="Q155" i="6" s="1"/>
  <c r="C155" i="6"/>
  <c r="R155" i="6"/>
  <c r="R178" i="6"/>
  <c r="Q178" i="6" a="1"/>
  <c r="Q178" i="6" s="1"/>
  <c r="C178" i="6"/>
  <c r="C192" i="6"/>
  <c r="R192" i="6"/>
  <c r="Q192" i="6" a="1"/>
  <c r="Q192" i="6" s="1"/>
  <c r="R72" i="6"/>
  <c r="Q72" i="6" a="1"/>
  <c r="Q72" i="6" s="1"/>
  <c r="C72" i="6"/>
  <c r="C193" i="6"/>
  <c r="R193" i="6"/>
  <c r="Q193" i="6" a="1"/>
  <c r="Q193" i="6" s="1"/>
  <c r="R111" i="6"/>
  <c r="C111" i="6"/>
  <c r="Q111" i="6" a="1"/>
  <c r="Q111" i="6" s="1"/>
  <c r="R35" i="6"/>
  <c r="Q35" i="6" a="1"/>
  <c r="Q35" i="6" s="1"/>
  <c r="C35" i="6"/>
  <c r="C197" i="6"/>
  <c r="R197" i="6"/>
  <c r="Q197" i="6" a="1"/>
  <c r="Q197" i="6" s="1"/>
  <c r="R188" i="6"/>
  <c r="Q188" i="6" a="1"/>
  <c r="Q188" i="6" s="1"/>
  <c r="C188" i="6"/>
  <c r="R58" i="6"/>
  <c r="Q58" i="6" a="1"/>
  <c r="Q58" i="6" s="1"/>
  <c r="C58" i="6"/>
  <c r="Q46" i="3" a="1"/>
  <c r="Q46" i="3" s="1"/>
  <c r="C146" i="6"/>
  <c r="R146" i="6"/>
  <c r="Q146" i="6" a="1"/>
  <c r="Q146" i="6" s="1"/>
  <c r="C66" i="6"/>
  <c r="R66" i="6"/>
  <c r="Q66" i="6" a="1"/>
  <c r="Q66" i="6" s="1"/>
  <c r="C56" i="6"/>
  <c r="R56" i="6"/>
  <c r="Q56" i="6" a="1"/>
  <c r="Q56" i="6" s="1"/>
  <c r="C126" i="6"/>
  <c r="R126" i="6"/>
  <c r="Q126" i="6" a="1"/>
  <c r="Q126" i="6" s="1"/>
  <c r="R104" i="6"/>
  <c r="C104" i="6"/>
  <c r="Q104" i="6" a="1"/>
  <c r="Q104" i="6" s="1"/>
  <c r="Q131" i="6" a="1"/>
  <c r="Q131" i="6" s="1"/>
  <c r="C131" i="6"/>
  <c r="R131" i="6"/>
  <c r="R34" i="6"/>
  <c r="Q34" i="6" a="1"/>
  <c r="Q34" i="6" s="1"/>
  <c r="C34" i="6"/>
  <c r="R99" i="3"/>
  <c r="C133" i="6"/>
  <c r="R133" i="6"/>
  <c r="Q133" i="6" a="1"/>
  <c r="Q133" i="6" s="1"/>
  <c r="C186" i="6"/>
  <c r="R186" i="6"/>
  <c r="Q186" i="6" a="1"/>
  <c r="Q186" i="6" s="1"/>
  <c r="R73" i="6"/>
  <c r="Q73" i="6" a="1"/>
  <c r="Q73" i="6" s="1"/>
  <c r="C73" i="6"/>
  <c r="C86" i="3"/>
  <c r="Q86" i="3" a="1"/>
  <c r="Q86" i="3" s="1"/>
  <c r="Q179" i="6" a="1"/>
  <c r="Q179" i="6" s="1"/>
  <c r="C179" i="6"/>
  <c r="R179" i="6"/>
  <c r="C120" i="6"/>
  <c r="R120" i="6"/>
  <c r="Q120" i="6" a="1"/>
  <c r="Q120" i="6" s="1"/>
  <c r="C88" i="6"/>
  <c r="R88" i="6"/>
  <c r="Q88" i="6" a="1"/>
  <c r="Q88" i="6" s="1"/>
  <c r="C172" i="6"/>
  <c r="R172" i="6"/>
  <c r="Q172" i="6" a="1"/>
  <c r="Q172" i="6" s="1"/>
  <c r="Q107" i="6" a="1"/>
  <c r="Q107" i="6" s="1"/>
  <c r="C107" i="6"/>
  <c r="R107" i="6"/>
  <c r="R80" i="6"/>
  <c r="Q80" i="6" a="1"/>
  <c r="Q80" i="6" s="1"/>
  <c r="C80" i="6"/>
  <c r="C161" i="6"/>
  <c r="R161" i="6"/>
  <c r="Q161" i="6" a="1"/>
  <c r="Q161" i="6" s="1"/>
  <c r="C51" i="6"/>
  <c r="R51" i="6"/>
  <c r="Q51" i="6" a="1"/>
  <c r="Q51" i="6" s="1"/>
  <c r="C173" i="6"/>
  <c r="R173" i="6"/>
  <c r="Q173" i="6" a="1"/>
  <c r="Q173" i="6" s="1"/>
  <c r="C39" i="6"/>
  <c r="R39" i="6"/>
  <c r="Q39" i="6" a="1"/>
  <c r="Q39" i="6" s="1"/>
  <c r="R36" i="6"/>
  <c r="Q36" i="6" a="1"/>
  <c r="Q36" i="6" s="1"/>
  <c r="C36" i="6"/>
  <c r="R141" i="6"/>
  <c r="Q141" i="6" a="1"/>
  <c r="Q141" i="6" s="1"/>
  <c r="C141" i="6"/>
  <c r="C194" i="6"/>
  <c r="R194" i="6"/>
  <c r="Q194" i="6" a="1"/>
  <c r="Q194" i="6" s="1"/>
  <c r="R76" i="3"/>
  <c r="R108" i="6"/>
  <c r="C108" i="6"/>
  <c r="Q108" i="6" a="1"/>
  <c r="Q108" i="6" s="1"/>
  <c r="R77" i="6"/>
  <c r="Q77" i="6" a="1"/>
  <c r="Q77" i="6" s="1"/>
  <c r="C77" i="6"/>
  <c r="C64" i="6"/>
  <c r="R64" i="6"/>
  <c r="Q64" i="6" a="1"/>
  <c r="Q64" i="6" s="1"/>
  <c r="C185" i="6"/>
  <c r="R185" i="6"/>
  <c r="Q185" i="6" a="1"/>
  <c r="Q185" i="6" s="1"/>
  <c r="Q119" i="6" a="1"/>
  <c r="Q119" i="6" s="1"/>
  <c r="C119" i="6"/>
  <c r="R119" i="6"/>
  <c r="C193" i="3"/>
  <c r="Q193" i="3" a="1"/>
  <c r="Q193" i="3" s="1"/>
  <c r="Q38" i="6" a="1"/>
  <c r="Q38" i="6" s="1"/>
  <c r="C38" i="6"/>
  <c r="R38" i="6"/>
  <c r="R87" i="6"/>
  <c r="Q87" i="6" a="1"/>
  <c r="Q87" i="6" s="1"/>
  <c r="C87" i="6"/>
  <c r="C67" i="6"/>
  <c r="R67" i="6"/>
  <c r="Q67" i="6" a="1"/>
  <c r="Q67" i="6" s="1"/>
  <c r="Q95" i="6" a="1"/>
  <c r="Q95" i="6" s="1"/>
  <c r="C95" i="6"/>
  <c r="R95" i="6"/>
  <c r="R151" i="6"/>
  <c r="Q151" i="6" a="1"/>
  <c r="Q151" i="6" s="1"/>
  <c r="C151" i="6"/>
  <c r="R115" i="6"/>
  <c r="Q115" i="6" a="1"/>
  <c r="Q115" i="6" s="1"/>
  <c r="C115" i="6"/>
  <c r="Q78" i="3" a="1"/>
  <c r="Q78" i="3" s="1"/>
  <c r="R48" i="3"/>
  <c r="R163" i="3"/>
  <c r="Q50" i="6" a="1"/>
  <c r="Q50" i="6" s="1"/>
  <c r="C50" i="6"/>
  <c r="R50" i="6"/>
  <c r="R97" i="6"/>
  <c r="Q97" i="6" a="1"/>
  <c r="Q97" i="6" s="1"/>
  <c r="C97" i="6"/>
  <c r="R106" i="6"/>
  <c r="C106" i="6"/>
  <c r="Q106" i="6" a="1"/>
  <c r="Q106" i="6" s="1"/>
  <c r="C194" i="3"/>
  <c r="Q194" i="3" a="1"/>
  <c r="Q194" i="3" s="1"/>
  <c r="R194" i="3"/>
  <c r="C137" i="6"/>
  <c r="R137" i="6"/>
  <c r="Q137" i="6" a="1"/>
  <c r="Q137" i="6" s="1"/>
  <c r="C28" i="6"/>
  <c r="R28" i="6"/>
  <c r="Q28" i="6" a="1"/>
  <c r="Q28" i="6" s="1"/>
  <c r="R25" i="6"/>
  <c r="Q25" i="6" a="1"/>
  <c r="Q25" i="6" s="1"/>
  <c r="C25" i="6"/>
  <c r="C196" i="6"/>
  <c r="R196" i="6"/>
  <c r="Q196" i="6" a="1"/>
  <c r="Q196" i="6" s="1"/>
  <c r="Q105" i="6" a="1"/>
  <c r="Q105" i="6" s="1"/>
  <c r="C105" i="6"/>
  <c r="R105" i="6"/>
  <c r="R65" i="3"/>
  <c r="Q76" i="3" a="1"/>
  <c r="Q76" i="3" s="1"/>
  <c r="C20" i="6"/>
  <c r="R20" i="6"/>
  <c r="Q20" i="6" a="1"/>
  <c r="Q20" i="6" s="1"/>
  <c r="C169" i="6"/>
  <c r="R169" i="6"/>
  <c r="Q169" i="6" a="1"/>
  <c r="Q169" i="6" s="1"/>
  <c r="C149" i="6"/>
  <c r="R149" i="6"/>
  <c r="Q149" i="6" a="1"/>
  <c r="Q149" i="6" s="1"/>
  <c r="R154" i="6"/>
  <c r="Q154" i="6" a="1"/>
  <c r="Q154" i="6" s="1"/>
  <c r="C154" i="6"/>
  <c r="R82" i="6"/>
  <c r="Q82" i="6" a="1"/>
  <c r="Q82" i="6" s="1"/>
  <c r="C82" i="6"/>
  <c r="C63" i="6"/>
  <c r="R63" i="6"/>
  <c r="Q63" i="6" a="1"/>
  <c r="Q63" i="6" s="1"/>
  <c r="C65" i="6"/>
  <c r="R65" i="6"/>
  <c r="Q65" i="6" a="1"/>
  <c r="Q65" i="6" s="1"/>
  <c r="C112" i="6"/>
  <c r="Q112" i="6" a="1"/>
  <c r="Q112" i="6" s="1"/>
  <c r="R112" i="6"/>
  <c r="Q14" i="6" a="1"/>
  <c r="Q14" i="6" s="1"/>
  <c r="C14" i="6"/>
  <c r="R14" i="6"/>
  <c r="C69" i="3"/>
  <c r="Q93" i="6" a="1"/>
  <c r="Q93" i="6" s="1"/>
  <c r="R93" i="6"/>
  <c r="C93" i="6"/>
  <c r="Q143" i="6" a="1"/>
  <c r="Q143" i="6" s="1"/>
  <c r="C143" i="6"/>
  <c r="R143" i="6"/>
  <c r="C19" i="6"/>
  <c r="R19" i="6"/>
  <c r="Q19" i="6" a="1"/>
  <c r="Q19" i="6" s="1"/>
  <c r="Q91" i="6" a="1"/>
  <c r="Q91" i="6" s="1"/>
  <c r="R91" i="6"/>
  <c r="C91" i="6"/>
  <c r="C122" i="6"/>
  <c r="Q122" i="6" a="1"/>
  <c r="Q122" i="6" s="1"/>
  <c r="R122" i="6"/>
  <c r="Q83" i="6" a="1"/>
  <c r="Q83" i="6" s="1"/>
  <c r="R83" i="6"/>
  <c r="C83" i="6"/>
  <c r="Q113" i="6" a="1"/>
  <c r="Q113" i="6" s="1"/>
  <c r="C113" i="6"/>
  <c r="R113" i="6"/>
  <c r="C53" i="6"/>
  <c r="R53" i="6"/>
  <c r="Q53" i="6" a="1"/>
  <c r="Q53" i="6" s="1"/>
  <c r="C160" i="6"/>
  <c r="R160" i="6"/>
  <c r="Q160" i="6" a="1"/>
  <c r="Q160" i="6" s="1"/>
  <c r="Q99" i="3" a="1"/>
  <c r="Q99" i="3" s="1"/>
  <c r="C184" i="6"/>
  <c r="R184" i="6"/>
  <c r="Q184" i="6" a="1"/>
  <c r="Q184" i="6" s="1"/>
  <c r="C150" i="6"/>
  <c r="R150" i="6"/>
  <c r="Q150" i="6" a="1"/>
  <c r="Q150" i="6" s="1"/>
  <c r="C148" i="6"/>
  <c r="R148" i="6"/>
  <c r="Q148" i="6" a="1"/>
  <c r="Q148" i="6" s="1"/>
  <c r="C183" i="6"/>
  <c r="R183" i="6"/>
  <c r="Q183" i="6" a="1"/>
  <c r="Q183" i="6" s="1"/>
  <c r="R116" i="6"/>
  <c r="Q116" i="6" a="1"/>
  <c r="Q116" i="6" s="1"/>
  <c r="C116" i="6"/>
  <c r="R61" i="6"/>
  <c r="Q61" i="6" a="1"/>
  <c r="Q61" i="6" s="1"/>
  <c r="C61" i="6"/>
  <c r="Q109" i="6" a="1"/>
  <c r="Q109" i="6" s="1"/>
  <c r="C109" i="6"/>
  <c r="R109" i="6"/>
  <c r="C144" i="3"/>
  <c r="R78" i="3"/>
  <c r="C98" i="6"/>
  <c r="R98" i="6"/>
  <c r="Q98" i="6" a="1"/>
  <c r="Q98" i="6" s="1"/>
  <c r="R140" i="6"/>
  <c r="Q140" i="6" a="1"/>
  <c r="Q140" i="6" s="1"/>
  <c r="C140" i="6"/>
  <c r="R23" i="6"/>
  <c r="Q23" i="6" a="1"/>
  <c r="Q23" i="6" s="1"/>
  <c r="C23" i="6"/>
  <c r="C138" i="6"/>
  <c r="R138" i="6"/>
  <c r="Q138" i="6" a="1"/>
  <c r="Q138" i="6" s="1"/>
  <c r="C195" i="6"/>
  <c r="R195" i="6"/>
  <c r="Q195" i="6" a="1"/>
  <c r="Q195" i="6" s="1"/>
  <c r="C21" i="6"/>
  <c r="R21" i="6"/>
  <c r="Q21" i="6" a="1"/>
  <c r="Q21" i="6" s="1"/>
  <c r="C55" i="6"/>
  <c r="R55" i="6"/>
  <c r="Q55" i="6" a="1"/>
  <c r="Q55" i="6" s="1"/>
  <c r="R163" i="6"/>
  <c r="Q163" i="6" a="1"/>
  <c r="Q163" i="6" s="1"/>
  <c r="C163" i="6"/>
  <c r="C57" i="6"/>
  <c r="R57" i="6"/>
  <c r="Q57" i="6" a="1"/>
  <c r="Q57" i="6" s="1"/>
  <c r="R85" i="6"/>
  <c r="Q85" i="6" a="1"/>
  <c r="Q85" i="6" s="1"/>
  <c r="C85" i="6"/>
  <c r="R69" i="3"/>
  <c r="Q144" i="3" a="1"/>
  <c r="Q144" i="3" s="1"/>
  <c r="R164" i="3"/>
  <c r="R46" i="3"/>
  <c r="Q48" i="3" a="1"/>
  <c r="Q48" i="3" s="1"/>
  <c r="C136" i="6"/>
  <c r="R136" i="6"/>
  <c r="Q136" i="6" a="1"/>
  <c r="Q136" i="6" s="1"/>
  <c r="R165" i="6"/>
  <c r="Q165" i="6" a="1"/>
  <c r="Q165" i="6" s="1"/>
  <c r="C165" i="6"/>
  <c r="C171" i="6"/>
  <c r="R171" i="6"/>
  <c r="Q171" i="6" a="1"/>
  <c r="Q171" i="6" s="1"/>
  <c r="R59" i="6"/>
  <c r="Q59" i="6" a="1"/>
  <c r="Q59" i="6" s="1"/>
  <c r="C59" i="6"/>
  <c r="C125" i="6"/>
  <c r="R125" i="6"/>
  <c r="Q125" i="6" a="1"/>
  <c r="Q125" i="6" s="1"/>
  <c r="C74" i="6"/>
  <c r="R74" i="6"/>
  <c r="Q74" i="6" a="1"/>
  <c r="Q74" i="6" s="1"/>
  <c r="C145" i="6"/>
  <c r="R145" i="6"/>
  <c r="Q145" i="6" a="1"/>
  <c r="Q145" i="6" s="1"/>
  <c r="R37" i="6"/>
  <c r="Q37" i="6" a="1"/>
  <c r="Q37" i="6" s="1"/>
  <c r="C37" i="6"/>
  <c r="Q167" i="6" a="1"/>
  <c r="Q167" i="6" s="1"/>
  <c r="C167" i="6"/>
  <c r="R167" i="6"/>
  <c r="R24" i="6"/>
  <c r="Q24" i="6" a="1"/>
  <c r="Q24" i="6" s="1"/>
  <c r="C24" i="6"/>
  <c r="C45" i="6"/>
  <c r="R45" i="6"/>
  <c r="Q45" i="6" a="1"/>
  <c r="Q45" i="6" s="1"/>
  <c r="R127" i="6"/>
  <c r="Q127" i="6" a="1"/>
  <c r="Q127" i="6" s="1"/>
  <c r="C127" i="6"/>
  <c r="R13" i="6"/>
  <c r="Q13" i="6" a="1"/>
  <c r="Q13" i="6" s="1"/>
  <c r="C13" i="6"/>
  <c r="C134" i="6"/>
  <c r="R134" i="6"/>
  <c r="Q134" i="6" a="1"/>
  <c r="Q134" i="6" s="1"/>
  <c r="Q27" i="3" a="1"/>
  <c r="Q27" i="3" s="1"/>
  <c r="R55" i="3"/>
  <c r="R41" i="3"/>
  <c r="Q85" i="3" a="1"/>
  <c r="Q85" i="3" s="1"/>
  <c r="R46" i="6"/>
  <c r="Q46" i="6" a="1"/>
  <c r="Q46" i="6" s="1"/>
  <c r="C46" i="6"/>
  <c r="C198" i="6"/>
  <c r="R198" i="6"/>
  <c r="Q198" i="6" a="1"/>
  <c r="Q198" i="6" s="1"/>
  <c r="R71" i="6"/>
  <c r="Q71" i="6" a="1"/>
  <c r="Q71" i="6" s="1"/>
  <c r="C71" i="6"/>
  <c r="R47" i="6"/>
  <c r="Q47" i="6" a="1"/>
  <c r="Q47" i="6" s="1"/>
  <c r="C47" i="6"/>
  <c r="R49" i="6"/>
  <c r="Q49" i="6" a="1"/>
  <c r="Q49" i="6" s="1"/>
  <c r="C49" i="6"/>
  <c r="R89" i="6"/>
  <c r="Q89" i="6" a="1"/>
  <c r="Q89" i="6" s="1"/>
  <c r="C89" i="6"/>
  <c r="C68" i="6"/>
  <c r="R68" i="6"/>
  <c r="Q68" i="6" a="1"/>
  <c r="Q68" i="6" s="1"/>
  <c r="Q79" i="6" a="1"/>
  <c r="Q79" i="6" s="1"/>
  <c r="R79" i="6"/>
  <c r="C79" i="6"/>
  <c r="Q117" i="6" a="1"/>
  <c r="Q117" i="6" s="1"/>
  <c r="C117" i="6"/>
  <c r="R117" i="6"/>
  <c r="C174" i="6"/>
  <c r="R174" i="6"/>
  <c r="Q174" i="6" a="1"/>
  <c r="Q174" i="6" s="1"/>
  <c r="Q55" i="3" a="1"/>
  <c r="Q55" i="3" s="1"/>
  <c r="Q18" i="3" a="1"/>
  <c r="Q18" i="3" s="1"/>
  <c r="C132" i="6"/>
  <c r="R132" i="6"/>
  <c r="Q132" i="6" a="1"/>
  <c r="Q132" i="6" s="1"/>
  <c r="C31" i="6"/>
  <c r="R31" i="6"/>
  <c r="Q31" i="6" a="1"/>
  <c r="Q31" i="6" s="1"/>
  <c r="Q103" i="6" a="1"/>
  <c r="Q103" i="6" s="1"/>
  <c r="R103" i="6"/>
  <c r="C103" i="6"/>
  <c r="C156" i="6"/>
  <c r="R156" i="6"/>
  <c r="Q156" i="6" a="1"/>
  <c r="Q156" i="6" s="1"/>
  <c r="C100" i="6"/>
  <c r="Q100" i="6" a="1"/>
  <c r="Q100" i="6" s="1"/>
  <c r="R100" i="6"/>
  <c r="R176" i="6"/>
  <c r="Q176" i="6" a="1"/>
  <c r="Q176" i="6" s="1"/>
  <c r="C176" i="6"/>
  <c r="C69" i="6"/>
  <c r="R69" i="6"/>
  <c r="Q69" i="6" a="1"/>
  <c r="Q69" i="6" s="1"/>
  <c r="C18" i="3"/>
  <c r="Q41" i="3" a="1"/>
  <c r="Q41" i="3" s="1"/>
  <c r="C180" i="6"/>
  <c r="R180" i="6"/>
  <c r="Q180" i="6" a="1"/>
  <c r="Q180" i="6" s="1"/>
  <c r="R92" i="6"/>
  <c r="Q92" i="6" a="1"/>
  <c r="Q92" i="6" s="1"/>
  <c r="C92" i="6"/>
  <c r="Q81" i="6" a="1"/>
  <c r="Q81" i="6" s="1"/>
  <c r="C81" i="6"/>
  <c r="R81" i="6"/>
  <c r="R118" i="6"/>
  <c r="C118" i="6"/>
  <c r="Q118" i="6" a="1"/>
  <c r="Q118" i="6" s="1"/>
  <c r="R101" i="6"/>
  <c r="Q101" i="6" a="1"/>
  <c r="Q101" i="6" s="1"/>
  <c r="C101" i="6"/>
  <c r="C30" i="6"/>
  <c r="R30" i="6"/>
  <c r="Q30" i="6" a="1"/>
  <c r="Q30" i="6" s="1"/>
  <c r="C86" i="6"/>
  <c r="R86" i="6"/>
  <c r="Q86" i="6" a="1"/>
  <c r="Q86" i="6" s="1"/>
  <c r="R75" i="6"/>
  <c r="Q75" i="6" a="1"/>
  <c r="Q75" i="6" s="1"/>
  <c r="C75" i="6"/>
  <c r="R94" i="6"/>
  <c r="Q94" i="6" a="1"/>
  <c r="Q94" i="6" s="1"/>
  <c r="C94" i="6"/>
  <c r="C164" i="3"/>
  <c r="R96" i="6"/>
  <c r="Q96" i="6" a="1"/>
  <c r="Q96" i="6" s="1"/>
  <c r="C96" i="6"/>
  <c r="C102" i="6"/>
  <c r="R102" i="6"/>
  <c r="Q102" i="6" a="1"/>
  <c r="Q102" i="6" s="1"/>
  <c r="C43" i="6"/>
  <c r="R43" i="6"/>
  <c r="Q43" i="6" a="1"/>
  <c r="Q43" i="6" s="1"/>
  <c r="R199" i="6"/>
  <c r="Q199" i="6" a="1"/>
  <c r="Q199" i="6" s="1"/>
  <c r="C199" i="6"/>
  <c r="C78" i="6"/>
  <c r="R78" i="6"/>
  <c r="Q78" i="6" a="1"/>
  <c r="Q78" i="6" s="1"/>
  <c r="R48" i="6"/>
  <c r="Q48" i="6" a="1"/>
  <c r="Q48" i="6" s="1"/>
  <c r="C48" i="6"/>
  <c r="R128" i="6"/>
  <c r="Q128" i="6" a="1"/>
  <c r="Q128" i="6" s="1"/>
  <c r="C128" i="6"/>
  <c r="C124" i="6"/>
  <c r="R124" i="6"/>
  <c r="Q124" i="6" a="1"/>
  <c r="Q124" i="6" s="1"/>
  <c r="C16" i="6"/>
  <c r="R16" i="6"/>
  <c r="Q16" i="6" a="1"/>
  <c r="Q16" i="6" s="1"/>
  <c r="C33" i="6"/>
  <c r="R33" i="6"/>
  <c r="Q33" i="6" a="1"/>
  <c r="Q33" i="6" s="1"/>
  <c r="C18" i="6"/>
  <c r="R18" i="6"/>
  <c r="Q18" i="6" a="1"/>
  <c r="Q18" i="6" s="1"/>
  <c r="C17" i="6"/>
  <c r="R17" i="6"/>
  <c r="Q17" i="6" a="1"/>
  <c r="Q17" i="6" s="1"/>
  <c r="C27" i="6"/>
  <c r="R27" i="6"/>
  <c r="Q27" i="6" a="1"/>
  <c r="Q27" i="6" s="1"/>
  <c r="C41" i="6"/>
  <c r="R41" i="6"/>
  <c r="Q41" i="6" a="1"/>
  <c r="Q41" i="6" s="1"/>
  <c r="R84" i="6"/>
  <c r="Q84" i="6" a="1"/>
  <c r="Q84" i="6" s="1"/>
  <c r="C84" i="6"/>
  <c r="C182" i="6"/>
  <c r="R182" i="6"/>
  <c r="Q182" i="6" a="1"/>
  <c r="Q182" i="6" s="1"/>
  <c r="C166" i="3"/>
  <c r="Q166" i="3" a="1"/>
  <c r="Q166" i="3" s="1"/>
  <c r="C147" i="6"/>
  <c r="R147" i="6"/>
  <c r="Q147" i="6" a="1"/>
  <c r="Q147" i="6" s="1"/>
  <c r="R187" i="6"/>
  <c r="Q187" i="6" a="1"/>
  <c r="Q187" i="6" s="1"/>
  <c r="C187" i="6"/>
  <c r="R164" i="6"/>
  <c r="Q164" i="6" a="1"/>
  <c r="Q164" i="6" s="1"/>
  <c r="C164" i="6"/>
  <c r="C144" i="6"/>
  <c r="R144" i="6"/>
  <c r="Q144" i="6" a="1"/>
  <c r="Q144" i="6" s="1"/>
  <c r="R190" i="6"/>
  <c r="Q190" i="6" a="1"/>
  <c r="Q190" i="6" s="1"/>
  <c r="C190" i="6"/>
  <c r="C76" i="6"/>
  <c r="R76" i="6"/>
  <c r="Q76" i="6" a="1"/>
  <c r="Q76" i="6" s="1"/>
  <c r="C32" i="6"/>
  <c r="R32" i="6"/>
  <c r="Q32" i="6" a="1"/>
  <c r="Q32" i="6" s="1"/>
  <c r="Q26" i="6" a="1"/>
  <c r="Q26" i="6" s="1"/>
  <c r="C26" i="6"/>
  <c r="R26" i="6"/>
  <c r="R166" i="6"/>
  <c r="Q166" i="6" a="1"/>
  <c r="Q166" i="6" s="1"/>
  <c r="C166" i="6"/>
  <c r="R82" i="3"/>
  <c r="R61" i="3"/>
  <c r="C168" i="6"/>
  <c r="R168" i="6"/>
  <c r="Q168" i="6" a="1"/>
  <c r="Q168" i="6" s="1"/>
  <c r="C52" i="6"/>
  <c r="R52" i="6"/>
  <c r="Q52" i="6" a="1"/>
  <c r="Q52" i="6" s="1"/>
  <c r="R99" i="6"/>
  <c r="Q99" i="6" a="1"/>
  <c r="Q99" i="6" s="1"/>
  <c r="C99" i="6"/>
  <c r="C54" i="6"/>
  <c r="R54" i="6"/>
  <c r="Q54" i="6" a="1"/>
  <c r="Q54" i="6" s="1"/>
  <c r="C40" i="6"/>
  <c r="R40" i="6"/>
  <c r="Q40" i="6" a="1"/>
  <c r="Q40" i="6" s="1"/>
  <c r="C181" i="6"/>
  <c r="R181" i="6"/>
  <c r="Q181" i="6" a="1"/>
  <c r="Q181" i="6" s="1"/>
  <c r="R189" i="6"/>
  <c r="Q189" i="6" a="1"/>
  <c r="Q189" i="6" s="1"/>
  <c r="C189" i="6"/>
  <c r="Q62" i="6" a="1"/>
  <c r="Q62" i="6" s="1"/>
  <c r="C62" i="6"/>
  <c r="R62" i="6"/>
  <c r="C170" i="6"/>
  <c r="R170" i="6"/>
  <c r="Q170" i="6" a="1"/>
  <c r="Q170" i="6" s="1"/>
  <c r="C114" i="6"/>
  <c r="R114" i="6"/>
  <c r="Q114" i="6" a="1"/>
  <c r="Q114" i="6" s="1"/>
  <c r="C90" i="6"/>
  <c r="R90" i="6"/>
  <c r="Q90" i="6" a="1"/>
  <c r="Q90" i="6" s="1"/>
  <c r="C110" i="6"/>
  <c r="R110" i="6"/>
  <c r="Q110" i="6" a="1"/>
  <c r="Q110" i="6" s="1"/>
  <c r="C29" i="6"/>
  <c r="R29" i="6"/>
  <c r="Q29" i="6" a="1"/>
  <c r="Q29" i="6" s="1"/>
  <c r="C162" i="6"/>
  <c r="R162" i="6"/>
  <c r="Q162" i="6" a="1"/>
  <c r="Q162" i="6" s="1"/>
  <c r="R153" i="6"/>
  <c r="Q153" i="6" a="1"/>
  <c r="Q153" i="6" s="1"/>
  <c r="C153" i="6"/>
  <c r="C158" i="6"/>
  <c r="R158" i="6"/>
  <c r="Q158" i="6" a="1"/>
  <c r="Q158" i="6" s="1"/>
  <c r="R177" i="6"/>
  <c r="Q177" i="6" a="1"/>
  <c r="Q177" i="6" s="1"/>
  <c r="C177" i="6"/>
  <c r="C15" i="6"/>
  <c r="R15" i="6"/>
  <c r="Q15" i="6" a="1"/>
  <c r="Q15" i="6" s="1"/>
  <c r="R142" i="6"/>
  <c r="Q142" i="6" a="1"/>
  <c r="Q142" i="6" s="1"/>
  <c r="C142" i="6"/>
  <c r="R175" i="6"/>
  <c r="Q175" i="6" a="1"/>
  <c r="Q175" i="6" s="1"/>
  <c r="C175" i="6"/>
  <c r="C118" i="3"/>
  <c r="C121" i="6"/>
  <c r="R121" i="6"/>
  <c r="Q121" i="6" a="1"/>
  <c r="Q121" i="6" s="1"/>
  <c r="C42" i="6"/>
  <c r="R42" i="6"/>
  <c r="Q42" i="6" a="1"/>
  <c r="Q42" i="6" s="1"/>
  <c r="C135" i="6"/>
  <c r="R135" i="6"/>
  <c r="Q135" i="6" a="1"/>
  <c r="Q135" i="6" s="1"/>
  <c r="R152" i="6"/>
  <c r="Q152" i="6" a="1"/>
  <c r="Q152" i="6" s="1"/>
  <c r="C152" i="6"/>
  <c r="R129" i="6"/>
  <c r="Q129" i="6" a="1"/>
  <c r="Q129" i="6" s="1"/>
  <c r="C129" i="6"/>
  <c r="R139" i="6"/>
  <c r="Q139" i="6" a="1"/>
  <c r="Q139" i="6" s="1"/>
  <c r="C139" i="6"/>
  <c r="R22" i="6"/>
  <c r="Q22" i="6" a="1"/>
  <c r="Q22" i="6" s="1"/>
  <c r="C22" i="6"/>
  <c r="R60" i="6"/>
  <c r="Q60" i="6" a="1"/>
  <c r="Q60" i="6" s="1"/>
  <c r="C60" i="6"/>
  <c r="Q82" i="3" a="1"/>
  <c r="Q82" i="3" s="1"/>
  <c r="C123" i="6"/>
  <c r="R123" i="6"/>
  <c r="Q123" i="6" a="1"/>
  <c r="Q123" i="6" s="1"/>
  <c r="C44" i="6"/>
  <c r="R44" i="6"/>
  <c r="Q44" i="6" a="1"/>
  <c r="Q44" i="6" s="1"/>
  <c r="C159" i="6"/>
  <c r="R159" i="6"/>
  <c r="Q159" i="6" a="1"/>
  <c r="Q159" i="6" s="1"/>
  <c r="Q191" i="6" a="1"/>
  <c r="Q191" i="6" s="1"/>
  <c r="C191" i="6"/>
  <c r="R191" i="6"/>
  <c r="C199" i="3"/>
  <c r="R199" i="3"/>
  <c r="Q199" i="3" a="1"/>
  <c r="Q199" i="3" s="1"/>
  <c r="R70" i="6"/>
  <c r="Q70" i="6" a="1"/>
  <c r="Q70" i="6" s="1"/>
  <c r="C70" i="6"/>
  <c r="C157" i="6"/>
  <c r="R157" i="6"/>
  <c r="Q157" i="6" a="1"/>
  <c r="Q157" i="6" s="1"/>
  <c r="R130" i="6"/>
  <c r="Q130" i="6" a="1"/>
  <c r="Q130" i="6" s="1"/>
  <c r="C130" i="6"/>
  <c r="Q32" i="3" a="1"/>
  <c r="Q32" i="3" s="1"/>
  <c r="R32" i="3"/>
  <c r="R13" i="3"/>
  <c r="Q13" i="3" a="1"/>
  <c r="Q13" i="3" s="1"/>
  <c r="R158" i="3"/>
  <c r="Q61" i="3" a="1"/>
  <c r="Q61" i="3" s="1"/>
  <c r="C57" i="3"/>
  <c r="Q65" i="3" a="1"/>
  <c r="Q65" i="3" s="1"/>
  <c r="Q187" i="3" a="1"/>
  <c r="Q187" i="3" s="1"/>
  <c r="R28" i="3"/>
  <c r="Q28" i="3" a="1"/>
  <c r="Q28" i="3" s="1"/>
  <c r="Q74" i="3" a="1"/>
  <c r="Q74" i="3" s="1"/>
  <c r="R74" i="3"/>
  <c r="R85" i="3"/>
  <c r="R57" i="3"/>
  <c r="R81" i="3"/>
  <c r="C81" i="3"/>
  <c r="R105" i="3"/>
  <c r="Q105" i="3" a="1"/>
  <c r="Q10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<sst xmlns="http://schemas.openxmlformats.org/spreadsheetml/2006/main" count="7878" uniqueCount="3834">
  <si>
    <t>Nome da Especialidade</t>
  </si>
  <si>
    <t>Dermato-Venereologia</t>
  </si>
  <si>
    <t>Anatomia Patológica</t>
  </si>
  <si>
    <t>Anestesiologia</t>
  </si>
  <si>
    <t>Angiologia e Cirurgia Vascular</t>
  </si>
  <si>
    <t>Cardiologia</t>
  </si>
  <si>
    <t>Cardiologia Pediátrica</t>
  </si>
  <si>
    <t>Cirurgia Cardíaca</t>
  </si>
  <si>
    <t>Cirurgia Cardiotorácica</t>
  </si>
  <si>
    <t>Cirurgia Geral</t>
  </si>
  <si>
    <t>Cirurgia Maxilo-Facial</t>
  </si>
  <si>
    <t>Cirurgia Pediátrica</t>
  </si>
  <si>
    <t>Cirurgia Plástica Reco. e Est.</t>
  </si>
  <si>
    <t>Cirurgia Torácica</t>
  </si>
  <si>
    <t>Doenças Infecciosas</t>
  </si>
  <si>
    <t>Endocrinologia e Nutrição</t>
  </si>
  <si>
    <t>Estomatologia</t>
  </si>
  <si>
    <t>Farmacologia Clínica</t>
  </si>
  <si>
    <t>Gastrenterologia</t>
  </si>
  <si>
    <t>Genética Médica</t>
  </si>
  <si>
    <t>Ginecologia/Obstetrícia</t>
  </si>
  <si>
    <t>Hematologia Clínica</t>
  </si>
  <si>
    <t>Imunoalergologia</t>
  </si>
  <si>
    <t>Imunohemoterapia</t>
  </si>
  <si>
    <t>Medicina Desportiva</t>
  </si>
  <si>
    <t>Medicina do Trabalho</t>
  </si>
  <si>
    <t>Especialidade Medicina Física e de Reabilitação</t>
  </si>
  <si>
    <t>Medicina Geral e Familiar</t>
  </si>
  <si>
    <t>Medicina Intensiva</t>
  </si>
  <si>
    <t>Medicina Interna</t>
  </si>
  <si>
    <t>Medicina Legal</t>
  </si>
  <si>
    <t>Medicina Nuclear</t>
  </si>
  <si>
    <t>Medicina Tropical</t>
  </si>
  <si>
    <t>Nefrologia</t>
  </si>
  <si>
    <t>Neurocirurgia</t>
  </si>
  <si>
    <t>Neurologia</t>
  </si>
  <si>
    <t>Neurorradiologia</t>
  </si>
  <si>
    <t>Oftalmologia</t>
  </si>
  <si>
    <t>Oncologia Médica</t>
  </si>
  <si>
    <t>Ortopedia</t>
  </si>
  <si>
    <t>Otorrinolaringologia</t>
  </si>
  <si>
    <t>Patologia Clínica</t>
  </si>
  <si>
    <t>Pediatria</t>
  </si>
  <si>
    <t>Pneumologia</t>
  </si>
  <si>
    <t>Psiquiatria</t>
  </si>
  <si>
    <t>Psiquiatria da Infância e da Adolescência</t>
  </si>
  <si>
    <t>Radiologia</t>
  </si>
  <si>
    <t>Radioncologia</t>
  </si>
  <si>
    <t>Reumatologia</t>
  </si>
  <si>
    <t>Saúde Pública</t>
  </si>
  <si>
    <t>Urologia</t>
  </si>
  <si>
    <t>Sexo</t>
  </si>
  <si>
    <t>Nome</t>
  </si>
  <si>
    <t>Masculino</t>
  </si>
  <si>
    <t>Santiago</t>
  </si>
  <si>
    <t>Francisco</t>
  </si>
  <si>
    <t>João</t>
  </si>
  <si>
    <t>Afonso</t>
  </si>
  <si>
    <t>Rodrigo</t>
  </si>
  <si>
    <t>Martim</t>
  </si>
  <si>
    <t>Tomás</t>
  </si>
  <si>
    <t>Duarte</t>
  </si>
  <si>
    <t>Miguel</t>
  </si>
  <si>
    <t>Gabriel</t>
  </si>
  <si>
    <t>Pedro</t>
  </si>
  <si>
    <t>Marco</t>
  </si>
  <si>
    <t>Feminino</t>
  </si>
  <si>
    <t>Maria</t>
  </si>
  <si>
    <t>Leonor</t>
  </si>
  <si>
    <t>Matilde</t>
  </si>
  <si>
    <t>Beatriz</t>
  </si>
  <si>
    <t>Carolina</t>
  </si>
  <si>
    <t>Mariana</t>
  </si>
  <si>
    <t>Ana</t>
  </si>
  <si>
    <t>Sofia</t>
  </si>
  <si>
    <t>Francisca</t>
  </si>
  <si>
    <t>Inês</t>
  </si>
  <si>
    <t>Diogo</t>
  </si>
  <si>
    <t>Tiago</t>
  </si>
  <si>
    <t>Bruno</t>
  </si>
  <si>
    <t>José</t>
  </si>
  <si>
    <t>André</t>
  </si>
  <si>
    <t>Ricardo</t>
  </si>
  <si>
    <t>Luís</t>
  </si>
  <si>
    <t>Joana</t>
  </si>
  <si>
    <t>Catarina</t>
  </si>
  <si>
    <t>Sara</t>
  </si>
  <si>
    <t>Daniela</t>
  </si>
  <si>
    <t>Diana</t>
  </si>
  <si>
    <t>Apelidos</t>
  </si>
  <si>
    <t>Silva</t>
  </si>
  <si>
    <t>Santos</t>
  </si>
  <si>
    <t>Ferreira</t>
  </si>
  <si>
    <t>Pereira</t>
  </si>
  <si>
    <t>Oliveira</t>
  </si>
  <si>
    <t>Costa</t>
  </si>
  <si>
    <t>Rodrigues</t>
  </si>
  <si>
    <t>Martins</t>
  </si>
  <si>
    <t>Jesus</t>
  </si>
  <si>
    <t>Sousa</t>
  </si>
  <si>
    <t>Fernandes</t>
  </si>
  <si>
    <t>Gonçalves</t>
  </si>
  <si>
    <t>Gomes</t>
  </si>
  <si>
    <t>Lopes</t>
  </si>
  <si>
    <t>Marques</t>
  </si>
  <si>
    <t>Alves</t>
  </si>
  <si>
    <t>Almeida</t>
  </si>
  <si>
    <t>Ribeiro</t>
  </si>
  <si>
    <t>Pinto</t>
  </si>
  <si>
    <t>Carvalho</t>
  </si>
  <si>
    <t>Teixeira</t>
  </si>
  <si>
    <t>Moreira</t>
  </si>
  <si>
    <t>Correia</t>
  </si>
  <si>
    <t>Mendes</t>
  </si>
  <si>
    <t>Nunes</t>
  </si>
  <si>
    <t>Soares</t>
  </si>
  <si>
    <t>Vieira</t>
  </si>
  <si>
    <t>Monteiro</t>
  </si>
  <si>
    <t>Cardoso</t>
  </si>
  <si>
    <t>Rocha</t>
  </si>
  <si>
    <t>Raposo</t>
  </si>
  <si>
    <t>Neves</t>
  </si>
  <si>
    <t>Coelho</t>
  </si>
  <si>
    <t>Cruz</t>
  </si>
  <si>
    <t>Cunha</t>
  </si>
  <si>
    <t>Pires</t>
  </si>
  <si>
    <t>Ramos</t>
  </si>
  <si>
    <t>Reis</t>
  </si>
  <si>
    <t>Simões</t>
  </si>
  <si>
    <t>Antunes</t>
  </si>
  <si>
    <t>Matos</t>
  </si>
  <si>
    <t>Fonseca</t>
  </si>
  <si>
    <t>Machado</t>
  </si>
  <si>
    <t>Araújo</t>
  </si>
  <si>
    <t>Barbosa</t>
  </si>
  <si>
    <t>Tavares</t>
  </si>
  <si>
    <t>Lourenço</t>
  </si>
  <si>
    <t>Castro</t>
  </si>
  <si>
    <t>Figueiredo</t>
  </si>
  <si>
    <t>Azevedo</t>
  </si>
  <si>
    <t>Freitas</t>
  </si>
  <si>
    <t>Magalhães</t>
  </si>
  <si>
    <t>Henriques</t>
  </si>
  <si>
    <t>Lima</t>
  </si>
  <si>
    <t>Guerreiro</t>
  </si>
  <si>
    <t>Batista</t>
  </si>
  <si>
    <t>Pinheiro</t>
  </si>
  <si>
    <t>Faria</t>
  </si>
  <si>
    <t>Miranda</t>
  </si>
  <si>
    <t>Barros</t>
  </si>
  <si>
    <t>Morais</t>
  </si>
  <si>
    <t>Nogueira</t>
  </si>
  <si>
    <t>Esteves</t>
  </si>
  <si>
    <t>Anjos</t>
  </si>
  <si>
    <t>Baptista</t>
  </si>
  <si>
    <t>Campos</t>
  </si>
  <si>
    <t>Mota</t>
  </si>
  <si>
    <t>Andrade</t>
  </si>
  <si>
    <t>Brito</t>
  </si>
  <si>
    <t>Sá</t>
  </si>
  <si>
    <t>Nascimento</t>
  </si>
  <si>
    <t>Leite</t>
  </si>
  <si>
    <t>Abreu</t>
  </si>
  <si>
    <t>Borges</t>
  </si>
  <si>
    <t>Melo</t>
  </si>
  <si>
    <t>Vaz</t>
  </si>
  <si>
    <t>Pinho</t>
  </si>
  <si>
    <t>Vicente</t>
  </si>
  <si>
    <t>Gaspar</t>
  </si>
  <si>
    <t>Assunção</t>
  </si>
  <si>
    <t>Maia</t>
  </si>
  <si>
    <t>Moura</t>
  </si>
  <si>
    <t>Valente</t>
  </si>
  <si>
    <t>Domingues</t>
  </si>
  <si>
    <t>Garcia</t>
  </si>
  <si>
    <t>Carneiro</t>
  </si>
  <si>
    <t>Loureiro</t>
  </si>
  <si>
    <t>Neto</t>
  </si>
  <si>
    <t>Amaral</t>
  </si>
  <si>
    <t>Branco</t>
  </si>
  <si>
    <t>Leal</t>
  </si>
  <si>
    <t>Pacheco</t>
  </si>
  <si>
    <t>Macedo</t>
  </si>
  <si>
    <t>Paiva</t>
  </si>
  <si>
    <t>Matias</t>
  </si>
  <si>
    <t>Amorim</t>
  </si>
  <si>
    <t>Torres</t>
  </si>
  <si>
    <t>birthday</t>
  </si>
  <si>
    <t>year</t>
  </si>
  <si>
    <t>day</t>
  </si>
  <si>
    <t>month</t>
  </si>
  <si>
    <t>Vera</t>
  </si>
  <si>
    <t>Lurdes</t>
  </si>
  <si>
    <t>INSERT INTO speciality(name)</t>
  </si>
  <si>
    <t>1º nome</t>
  </si>
  <si>
    <t>2º nome</t>
  </si>
  <si>
    <t>1º apelido</t>
  </si>
  <si>
    <t>2º apelido</t>
  </si>
  <si>
    <t>num_cod_postal</t>
  </si>
  <si>
    <t>desig_postal</t>
  </si>
  <si>
    <t>Coimbra</t>
  </si>
  <si>
    <t>Leiria</t>
  </si>
  <si>
    <t>Tomar</t>
  </si>
  <si>
    <t>Torres Novas</t>
  </si>
  <si>
    <t>Torres Vedras</t>
  </si>
  <si>
    <t>Santarém</t>
  </si>
  <si>
    <t>Sintra</t>
  </si>
  <si>
    <t>Queluz</t>
  </si>
  <si>
    <t>Setúbal</t>
  </si>
  <si>
    <t>Almada</t>
  </si>
  <si>
    <t>Amadora</t>
  </si>
  <si>
    <t>Lisboa</t>
  </si>
  <si>
    <t>Loures</t>
  </si>
  <si>
    <t>Mafra</t>
  </si>
  <si>
    <t>Montijo</t>
  </si>
  <si>
    <t>Oeiras</t>
  </si>
  <si>
    <t>Barreiro</t>
  </si>
  <si>
    <t>Caparica</t>
  </si>
  <si>
    <t>Carcavelos</t>
  </si>
  <si>
    <t>Carnaxide</t>
  </si>
  <si>
    <t>Cascais</t>
  </si>
  <si>
    <t>Costa de Caparica</t>
  </si>
  <si>
    <t>Entroncamento</t>
  </si>
  <si>
    <t>Ericeira</t>
  </si>
  <si>
    <t>random</t>
  </si>
  <si>
    <t>Portuguesa</t>
  </si>
  <si>
    <t>Rua do Arsenal</t>
  </si>
  <si>
    <t>Rua dos Bacalhoeiros</t>
  </si>
  <si>
    <t>Calçada de Carriche</t>
  </si>
  <si>
    <t>Rua Cidade de Bolama</t>
  </si>
  <si>
    <t>Estrada da Circunvalação de Lisboa</t>
  </si>
  <si>
    <t>Rua dos Fanqueiros</t>
  </si>
  <si>
    <t>Rua Garrett</t>
  </si>
  <si>
    <t>Rua dos Heróis de Quionga</t>
  </si>
  <si>
    <t>Rua do Instituto Bacteriológico</t>
  </si>
  <si>
    <t>Estrada das Laranjeiras</t>
  </si>
  <si>
    <t>Rua da Madalena</t>
  </si>
  <si>
    <t>Calçada Marquês de Abrantes</t>
  </si>
  <si>
    <t>Calçada do Moinho de Vento</t>
  </si>
  <si>
    <t>Rua da Oliveira ao Carmo</t>
  </si>
  <si>
    <t>Calçada do Poço dos Mouros</t>
  </si>
  <si>
    <t>Rua da Prata</t>
  </si>
  <si>
    <t>Avenida Ressano Garcia</t>
  </si>
  <si>
    <t>Rua Roberto Duarte Silva</t>
  </si>
  <si>
    <t>Rua da Betesga</t>
  </si>
  <si>
    <t>Rua do Comércio</t>
  </si>
  <si>
    <t>Rua do Guarda-Mor</t>
  </si>
  <si>
    <t>Rua Ferreira Lapa</t>
  </si>
  <si>
    <t>Rua General Morais Sarmento</t>
  </si>
  <si>
    <t>Rua Júlio César Machado</t>
  </si>
  <si>
    <t>Rua Nova do Almada</t>
  </si>
  <si>
    <t>Rua do Salitre</t>
  </si>
  <si>
    <t>Rua de São Julião</t>
  </si>
  <si>
    <t>Rua de São Mamede</t>
  </si>
  <si>
    <t>Rua do Sacramento à Lapa</t>
  </si>
  <si>
    <t>Rua de São Bento</t>
  </si>
  <si>
    <t>Travessa de São João da Praça</t>
  </si>
  <si>
    <t>Rua do Sol a Santana</t>
  </si>
  <si>
    <t>Ruas</t>
  </si>
  <si>
    <t>Rua da Alfândega</t>
  </si>
  <si>
    <t>Rua Augusta</t>
  </si>
  <si>
    <t>Rua do Carmo</t>
  </si>
  <si>
    <t>Estrada Militar</t>
  </si>
  <si>
    <t>Rua da Junqueira</t>
  </si>
  <si>
    <t>PoscódigoPostal</t>
  </si>
  <si>
    <t>Bilhete de Identidade</t>
  </si>
  <si>
    <t>phone</t>
  </si>
  <si>
    <t>@outlook.com</t>
  </si>
  <si>
    <t>@gmail.com</t>
  </si>
  <si>
    <t>@sapo.pt</t>
  </si>
  <si>
    <t>Posphone</t>
  </si>
  <si>
    <t>Posemail</t>
  </si>
  <si>
    <t>id</t>
  </si>
  <si>
    <t>username</t>
  </si>
  <si>
    <t>password</t>
  </si>
  <si>
    <t>name</t>
  </si>
  <si>
    <t>sex</t>
  </si>
  <si>
    <t>address</t>
  </si>
  <si>
    <t>account</t>
  </si>
  <si>
    <t>nationality</t>
  </si>
  <si>
    <t>nif</t>
  </si>
  <si>
    <t>patientNumber</t>
  </si>
  <si>
    <t>email</t>
  </si>
  <si>
    <t>photoURL</t>
  </si>
  <si>
    <t>tomboa1199</t>
  </si>
  <si>
    <t>pswtomboa1199</t>
  </si>
  <si>
    <t>verboa1949</t>
  </si>
  <si>
    <t>pswverboa1949</t>
  </si>
  <si>
    <t>marica2829</t>
  </si>
  <si>
    <t>pswmarica2829</t>
  </si>
  <si>
    <t>marica2829@gmail.com</t>
  </si>
  <si>
    <t>marira2655</t>
  </si>
  <si>
    <t>pswmarira2655</t>
  </si>
  <si>
    <t>marira2655@sapo.pt</t>
  </si>
  <si>
    <t>marboa1000</t>
  </si>
  <si>
    <t>pswmarboa1000</t>
  </si>
  <si>
    <t>marais2754</t>
  </si>
  <si>
    <t>pswmarais2754</t>
  </si>
  <si>
    <t>rodnto2334</t>
  </si>
  <si>
    <t>pswrodnto2334</t>
  </si>
  <si>
    <t>rodnto2334@sapo.pt</t>
  </si>
  <si>
    <t>tiaboa1549</t>
  </si>
  <si>
    <t>pswtiaboa1549</t>
  </si>
  <si>
    <t>tiaboa1549@sapo.pt</t>
  </si>
  <si>
    <t>luiboa1300</t>
  </si>
  <si>
    <t>pswluiboa1300</t>
  </si>
  <si>
    <t>luiboa1300@sapo.pt</t>
  </si>
  <si>
    <t>marboa1959</t>
  </si>
  <si>
    <t>pswmarboa1959</t>
  </si>
  <si>
    <t>brufra2640</t>
  </si>
  <si>
    <t>pswbrufra2640</t>
  </si>
  <si>
    <t>brufra2640@sapo.pt</t>
  </si>
  <si>
    <t>fraboa1150</t>
  </si>
  <si>
    <t>pswfraboa1150</t>
  </si>
  <si>
    <t>fraboa1150@sapo.pt</t>
  </si>
  <si>
    <t>tomiro2834</t>
  </si>
  <si>
    <t>pswtomiro2834</t>
  </si>
  <si>
    <t>marais2754@gmail.com</t>
  </si>
  <si>
    <t>marica2825</t>
  </si>
  <si>
    <t>pswmarica2825</t>
  </si>
  <si>
    <t>marica2825@sapo.pt</t>
  </si>
  <si>
    <t>tomboa1449</t>
  </si>
  <si>
    <t>pswtomboa1449</t>
  </si>
  <si>
    <t>marboa1169</t>
  </si>
  <si>
    <t>pswmarboa1169</t>
  </si>
  <si>
    <t>marboa1169@outlook.com</t>
  </si>
  <si>
    <t>marlos2775</t>
  </si>
  <si>
    <t>pswmarlos2775</t>
  </si>
  <si>
    <t>marlos2775@gmail.com</t>
  </si>
  <si>
    <t>marmar2300</t>
  </si>
  <si>
    <t>pswmarmar2300</t>
  </si>
  <si>
    <t>1400-125</t>
  </si>
  <si>
    <t>aforem2009</t>
  </si>
  <si>
    <t>pswaforem2009</t>
  </si>
  <si>
    <t>city</t>
  </si>
  <si>
    <t>document_number</t>
  </si>
  <si>
    <t>patient_number</t>
  </si>
  <si>
    <t>document_type</t>
  </si>
  <si>
    <t>post_Code</t>
  </si>
  <si>
    <t>photourl</t>
  </si>
  <si>
    <t>@hospital.upskill.com</t>
  </si>
  <si>
    <t>Doctor</t>
  </si>
  <si>
    <t>license_number</t>
  </si>
  <si>
    <t>employee_type</t>
  </si>
  <si>
    <t>med012</t>
  </si>
  <si>
    <t>pswmed012</t>
  </si>
  <si>
    <t>Tomás Santos</t>
  </si>
  <si>
    <t>2674-999</t>
  </si>
  <si>
    <t>33696253</t>
  </si>
  <si>
    <t>118341462</t>
  </si>
  <si>
    <t>535478583</t>
  </si>
  <si>
    <t>963706322</t>
  </si>
  <si>
    <t>med012@hospital.upskill.com</t>
  </si>
  <si>
    <t>med013</t>
  </si>
  <si>
    <t>pswmed013</t>
  </si>
  <si>
    <t>André Nogueira</t>
  </si>
  <si>
    <t>2914-110</t>
  </si>
  <si>
    <t>58060035</t>
  </si>
  <si>
    <t>500525330</t>
  </si>
  <si>
    <t>639557550</t>
  </si>
  <si>
    <t>966710210</t>
  </si>
  <si>
    <t>med013@hospital.upskill.com</t>
  </si>
  <si>
    <t>med014</t>
  </si>
  <si>
    <t>pswmed014</t>
  </si>
  <si>
    <t>Sara Miranda</t>
  </si>
  <si>
    <t>3000-412</t>
  </si>
  <si>
    <t>28644332</t>
  </si>
  <si>
    <t>439805765</t>
  </si>
  <si>
    <t>665084101</t>
  </si>
  <si>
    <t>910103682</t>
  </si>
  <si>
    <t>med014@hospital.upskill.com</t>
  </si>
  <si>
    <t>med015</t>
  </si>
  <si>
    <t>pswmed015</t>
  </si>
  <si>
    <t>Sofia Fonseca</t>
  </si>
  <si>
    <t>1200-505</t>
  </si>
  <si>
    <t>39128367</t>
  </si>
  <si>
    <t>580249488</t>
  </si>
  <si>
    <t>963855058</t>
  </si>
  <si>
    <t>963418644</t>
  </si>
  <si>
    <t>med015@hospital.upskill.com</t>
  </si>
  <si>
    <t>med016</t>
  </si>
  <si>
    <t>pswmed016</t>
  </si>
  <si>
    <t>Afonso Neves</t>
  </si>
  <si>
    <t>1949-949</t>
  </si>
  <si>
    <t>92943346</t>
  </si>
  <si>
    <t>433733189</t>
  </si>
  <si>
    <t>831453292</t>
  </si>
  <si>
    <t>911182360</t>
  </si>
  <si>
    <t>med016@hospital.upskill.com</t>
  </si>
  <si>
    <t>med017</t>
  </si>
  <si>
    <t>pswmed017</t>
  </si>
  <si>
    <t>Sofia Antunes</t>
  </si>
  <si>
    <t>2004-480</t>
  </si>
  <si>
    <t>13352267</t>
  </si>
  <si>
    <t>199571599</t>
  </si>
  <si>
    <t>450437281</t>
  </si>
  <si>
    <t>965384042</t>
  </si>
  <si>
    <t>med017@hospital.upskill.com</t>
  </si>
  <si>
    <t>med018</t>
  </si>
  <si>
    <t>pswmed018</t>
  </si>
  <si>
    <t>Diogo Baptista</t>
  </si>
  <si>
    <t>1959-925</t>
  </si>
  <si>
    <t>55725963</t>
  </si>
  <si>
    <t>146885985</t>
  </si>
  <si>
    <t>621580208</t>
  </si>
  <si>
    <t>931465362</t>
  </si>
  <si>
    <t>med018@hospital.upskill.com</t>
  </si>
  <si>
    <t>med019</t>
  </si>
  <si>
    <t>pswmed019</t>
  </si>
  <si>
    <t>Vera Mendes</t>
  </si>
  <si>
    <t>2724-953</t>
  </si>
  <si>
    <t>47492153</t>
  </si>
  <si>
    <t>533401158</t>
  </si>
  <si>
    <t>521361032</t>
  </si>
  <si>
    <t>968368319</t>
  </si>
  <si>
    <t>med019@hospital.upskill.com</t>
  </si>
  <si>
    <t>med020</t>
  </si>
  <si>
    <t>pswmed020</t>
  </si>
  <si>
    <t>Luís Oliveira</t>
  </si>
  <si>
    <t>2419-164</t>
  </si>
  <si>
    <t>38438525</t>
  </si>
  <si>
    <t>478007887</t>
  </si>
  <si>
    <t>867442594</t>
  </si>
  <si>
    <t>924432019</t>
  </si>
  <si>
    <t>med020@hospital.upskill.com</t>
  </si>
  <si>
    <t>med021</t>
  </si>
  <si>
    <t>pswmed021</t>
  </si>
  <si>
    <t>Beatriz Guerreiro</t>
  </si>
  <si>
    <t>2610-611</t>
  </si>
  <si>
    <t>91237602</t>
  </si>
  <si>
    <t>954771175</t>
  </si>
  <si>
    <t>775823974</t>
  </si>
  <si>
    <t>931953399</t>
  </si>
  <si>
    <t>med021@hospital.upskill.com</t>
  </si>
  <si>
    <t>med022</t>
  </si>
  <si>
    <t>pswmed022</t>
  </si>
  <si>
    <t>Tomás Domingues</t>
  </si>
  <si>
    <t>2904-862</t>
  </si>
  <si>
    <t>17748762</t>
  </si>
  <si>
    <t>339553711</t>
  </si>
  <si>
    <t>372102865</t>
  </si>
  <si>
    <t>914038015</t>
  </si>
  <si>
    <t>med022@hospital.upskill.com</t>
  </si>
  <si>
    <t>med023</t>
  </si>
  <si>
    <t>pswmed023</t>
  </si>
  <si>
    <t>Maria Sousa</t>
  </si>
  <si>
    <t>2420-573</t>
  </si>
  <si>
    <t>73526953</t>
  </si>
  <si>
    <t>707477594</t>
  </si>
  <si>
    <t>922404080</t>
  </si>
  <si>
    <t>935200647</t>
  </si>
  <si>
    <t>med023@hospital.upskill.com</t>
  </si>
  <si>
    <t>med024</t>
  </si>
  <si>
    <t>pswmed024</t>
  </si>
  <si>
    <t>Lurdes Esteves</t>
  </si>
  <si>
    <t>2654-516</t>
  </si>
  <si>
    <t>44552239</t>
  </si>
  <si>
    <t>837752328</t>
  </si>
  <si>
    <t>742678965</t>
  </si>
  <si>
    <t>920367653</t>
  </si>
  <si>
    <t>med024@hospital.upskill.com</t>
  </si>
  <si>
    <t>med025</t>
  </si>
  <si>
    <t>pswmed025</t>
  </si>
  <si>
    <t>Bruno Miranda</t>
  </si>
  <si>
    <t>2814-590</t>
  </si>
  <si>
    <t>95601024</t>
  </si>
  <si>
    <t>106647341</t>
  </si>
  <si>
    <t>277148136</t>
  </si>
  <si>
    <t>966864988</t>
  </si>
  <si>
    <t>med025@hospital.upskill.com</t>
  </si>
  <si>
    <t>med026</t>
  </si>
  <si>
    <t>pswmed026</t>
  </si>
  <si>
    <t>Luís Miranda</t>
  </si>
  <si>
    <t>1649-61</t>
  </si>
  <si>
    <t>19045668</t>
  </si>
  <si>
    <t>662077315</t>
  </si>
  <si>
    <t>529541810</t>
  </si>
  <si>
    <t>920739832</t>
  </si>
  <si>
    <t>med026@hospital.upskill.com</t>
  </si>
  <si>
    <t>med027</t>
  </si>
  <si>
    <t>pswmed027</t>
  </si>
  <si>
    <t>Miguel Mota</t>
  </si>
  <si>
    <t>1300-816</t>
  </si>
  <si>
    <t>14775683</t>
  </si>
  <si>
    <t>682941556</t>
  </si>
  <si>
    <t>392222416</t>
  </si>
  <si>
    <t>924174901</t>
  </si>
  <si>
    <t>med027@hospital.upskill.com</t>
  </si>
  <si>
    <t>med028</t>
  </si>
  <si>
    <t>pswmed028</t>
  </si>
  <si>
    <t>Ana Carneiro</t>
  </si>
  <si>
    <t>2423-281</t>
  </si>
  <si>
    <t>13784174</t>
  </si>
  <si>
    <t>774689054</t>
  </si>
  <si>
    <t>349584753</t>
  </si>
  <si>
    <t>920557337</t>
  </si>
  <si>
    <t>med028@hospital.upskill.com</t>
  </si>
  <si>
    <t>med029</t>
  </si>
  <si>
    <t>pswmed029</t>
  </si>
  <si>
    <t>Maria Pereira</t>
  </si>
  <si>
    <t>2904-16</t>
  </si>
  <si>
    <t>23246998</t>
  </si>
  <si>
    <t>825232321</t>
  </si>
  <si>
    <t>234779728</t>
  </si>
  <si>
    <t>929975981</t>
  </si>
  <si>
    <t>med029@hospital.upskill.com</t>
  </si>
  <si>
    <t>med030</t>
  </si>
  <si>
    <t>pswmed030</t>
  </si>
  <si>
    <t>Francisca Neto</t>
  </si>
  <si>
    <t>2700-44</t>
  </si>
  <si>
    <t>71192882</t>
  </si>
  <si>
    <t>190466321</t>
  </si>
  <si>
    <t>590719808</t>
  </si>
  <si>
    <t>928805344</t>
  </si>
  <si>
    <t>med030@hospital.upskill.com</t>
  </si>
  <si>
    <t>med031</t>
  </si>
  <si>
    <t>pswmed031</t>
  </si>
  <si>
    <t>Luís Amorim</t>
  </si>
  <si>
    <t>1069-799</t>
  </si>
  <si>
    <t>72552448</t>
  </si>
  <si>
    <t>678254929</t>
  </si>
  <si>
    <t>430801507</t>
  </si>
  <si>
    <t>937121327</t>
  </si>
  <si>
    <t>med031@hospital.upskill.com</t>
  </si>
  <si>
    <t>med032</t>
  </si>
  <si>
    <t>pswmed032</t>
  </si>
  <si>
    <t>Carolina Pinho</t>
  </si>
  <si>
    <t>1949-796</t>
  </si>
  <si>
    <t>62421317</t>
  </si>
  <si>
    <t>664223058</t>
  </si>
  <si>
    <t>759238919</t>
  </si>
  <si>
    <t>937730920</t>
  </si>
  <si>
    <t>med032@hospital.upskill.com</t>
  </si>
  <si>
    <t>med033</t>
  </si>
  <si>
    <t>pswmed033</t>
  </si>
  <si>
    <t>Daniela Castro Baptista</t>
  </si>
  <si>
    <t>1998-138</t>
  </si>
  <si>
    <t>20364889</t>
  </si>
  <si>
    <t>892990128</t>
  </si>
  <si>
    <t>214105146</t>
  </si>
  <si>
    <t>928368747</t>
  </si>
  <si>
    <t>med033@hospital.upskill.com</t>
  </si>
  <si>
    <t>med034</t>
  </si>
  <si>
    <t>pswmed034</t>
  </si>
  <si>
    <t>Luís Ferreira Morais</t>
  </si>
  <si>
    <t>2614-252</t>
  </si>
  <si>
    <t>39542763</t>
  </si>
  <si>
    <t>181657084</t>
  </si>
  <si>
    <t>924064526</t>
  </si>
  <si>
    <t>923033282</t>
  </si>
  <si>
    <t>med034@hospital.upskill.com</t>
  </si>
  <si>
    <t>med035</t>
  </si>
  <si>
    <t>pswmed035</t>
  </si>
  <si>
    <t>Joana Fernandes Ferreira</t>
  </si>
  <si>
    <t>1169-44</t>
  </si>
  <si>
    <t>75787908</t>
  </si>
  <si>
    <t>259223217</t>
  </si>
  <si>
    <t>655526951</t>
  </si>
  <si>
    <t>932650211</t>
  </si>
  <si>
    <t>med035@hospital.upskill.com</t>
  </si>
  <si>
    <t>med036</t>
  </si>
  <si>
    <t>pswmed036</t>
  </si>
  <si>
    <t>José Gaspar Leal</t>
  </si>
  <si>
    <t>2714-547</t>
  </si>
  <si>
    <t>80146984</t>
  </si>
  <si>
    <t>469380803</t>
  </si>
  <si>
    <t>314734480</t>
  </si>
  <si>
    <t>966190771</t>
  </si>
  <si>
    <t>med036@hospital.upskill.com</t>
  </si>
  <si>
    <t>med037</t>
  </si>
  <si>
    <t>pswmed037</t>
  </si>
  <si>
    <t>Afonso Lourenço Abreu</t>
  </si>
  <si>
    <t>2749-892</t>
  </si>
  <si>
    <t>69635686</t>
  </si>
  <si>
    <t>911856714</t>
  </si>
  <si>
    <t>635897481</t>
  </si>
  <si>
    <t>933580171</t>
  </si>
  <si>
    <t>med037@hospital.upskill.com</t>
  </si>
  <si>
    <t>med038</t>
  </si>
  <si>
    <t>pswmed038</t>
  </si>
  <si>
    <t>Luís Ramos Ramos</t>
  </si>
  <si>
    <t>1199-850</t>
  </si>
  <si>
    <t>41414797</t>
  </si>
  <si>
    <t>128347042</t>
  </si>
  <si>
    <t>110244371</t>
  </si>
  <si>
    <t>968194030</t>
  </si>
  <si>
    <t>med038@hospital.upskill.com</t>
  </si>
  <si>
    <t>med039</t>
  </si>
  <si>
    <t>pswmed039</t>
  </si>
  <si>
    <t>José Cruz Matos</t>
  </si>
  <si>
    <t>2720-10</t>
  </si>
  <si>
    <t>34631755</t>
  </si>
  <si>
    <t>136840423</t>
  </si>
  <si>
    <t>154068972</t>
  </si>
  <si>
    <t>939911331</t>
  </si>
  <si>
    <t>med039@hospital.upskill.com</t>
  </si>
  <si>
    <t>med040</t>
  </si>
  <si>
    <t>pswmed040</t>
  </si>
  <si>
    <t>José Cardoso Castro</t>
  </si>
  <si>
    <t>2775-554</t>
  </si>
  <si>
    <t>74296340</t>
  </si>
  <si>
    <t>931018102</t>
  </si>
  <si>
    <t>914845039</t>
  </si>
  <si>
    <t>925694345</t>
  </si>
  <si>
    <t>med040@hospital.upskill.com</t>
  </si>
  <si>
    <t>med041</t>
  </si>
  <si>
    <t>pswmed041</t>
  </si>
  <si>
    <t>Tiago Ferreira Martins</t>
  </si>
  <si>
    <t>2910-179</t>
  </si>
  <si>
    <t>38346486</t>
  </si>
  <si>
    <t>699992984</t>
  </si>
  <si>
    <t>360548211</t>
  </si>
  <si>
    <t>919223042</t>
  </si>
  <si>
    <t>med041@hospital.upskill.com</t>
  </si>
  <si>
    <t>med042</t>
  </si>
  <si>
    <t>pswmed042</t>
  </si>
  <si>
    <t>Gabriel Matos Carneiro</t>
  </si>
  <si>
    <t>1099-465</t>
  </si>
  <si>
    <t>68051463</t>
  </si>
  <si>
    <t>141253950</t>
  </si>
  <si>
    <t>258508634</t>
  </si>
  <si>
    <t>924622420</t>
  </si>
  <si>
    <t>med042@hospital.upskill.com</t>
  </si>
  <si>
    <t>med043</t>
  </si>
  <si>
    <t>pswmed043</t>
  </si>
  <si>
    <t>Miguel Almeida Lima</t>
  </si>
  <si>
    <t>2829-151</t>
  </si>
  <si>
    <t>98739895</t>
  </si>
  <si>
    <t>117389003</t>
  </si>
  <si>
    <t>282445387</t>
  </si>
  <si>
    <t>919692272</t>
  </si>
  <si>
    <t>med043@hospital.upskill.com</t>
  </si>
  <si>
    <t>med044</t>
  </si>
  <si>
    <t>pswmed044</t>
  </si>
  <si>
    <t>Marco Amorim Santos</t>
  </si>
  <si>
    <t>1200-680</t>
  </si>
  <si>
    <t>34959489</t>
  </si>
  <si>
    <t>292181130</t>
  </si>
  <si>
    <t>382000530</t>
  </si>
  <si>
    <t>935788418</t>
  </si>
  <si>
    <t>med044@hospital.upskill.com</t>
  </si>
  <si>
    <t>med045</t>
  </si>
  <si>
    <t>pswmed045</t>
  </si>
  <si>
    <t>Marco Alves Antunes</t>
  </si>
  <si>
    <t>1150-167</t>
  </si>
  <si>
    <t>22509017</t>
  </si>
  <si>
    <t>284010712</t>
  </si>
  <si>
    <t>397574699</t>
  </si>
  <si>
    <t>934324382</t>
  </si>
  <si>
    <t>med045@hospital.upskill.com</t>
  </si>
  <si>
    <t>med046</t>
  </si>
  <si>
    <t>pswmed046</t>
  </si>
  <si>
    <t>Afonso Mota Pinho</t>
  </si>
  <si>
    <t>2420-892</t>
  </si>
  <si>
    <t>57598220</t>
  </si>
  <si>
    <t>815923823</t>
  </si>
  <si>
    <t>353708725</t>
  </si>
  <si>
    <t>922666499</t>
  </si>
  <si>
    <t>med046@hospital.upskill.com</t>
  </si>
  <si>
    <t>med047</t>
  </si>
  <si>
    <t>pswmed047</t>
  </si>
  <si>
    <t>Santiago Figueiredo Pinheiro</t>
  </si>
  <si>
    <t>2414-205</t>
  </si>
  <si>
    <t>94304833</t>
  </si>
  <si>
    <t>599516459</t>
  </si>
  <si>
    <t>886533774</t>
  </si>
  <si>
    <t>962633745</t>
  </si>
  <si>
    <t>med047@hospital.upskill.com</t>
  </si>
  <si>
    <t>med048</t>
  </si>
  <si>
    <t>pswmed048</t>
  </si>
  <si>
    <t>Joana Sá Garcia</t>
  </si>
  <si>
    <t>2670-910</t>
  </si>
  <si>
    <t>74539669</t>
  </si>
  <si>
    <t>438575984</t>
  </si>
  <si>
    <t>299529729</t>
  </si>
  <si>
    <t>966895040</t>
  </si>
  <si>
    <t>med048@hospital.upskill.com</t>
  </si>
  <si>
    <t>med049</t>
  </si>
  <si>
    <t>pswmed049</t>
  </si>
  <si>
    <t>Beatriz Paiva Marques</t>
  </si>
  <si>
    <t>1067-805</t>
  </si>
  <si>
    <t>16191870</t>
  </si>
  <si>
    <t>721867444</t>
  </si>
  <si>
    <t>563703619</t>
  </si>
  <si>
    <t>920694885</t>
  </si>
  <si>
    <t>med049@hospital.upskill.com</t>
  </si>
  <si>
    <t>med050</t>
  </si>
  <si>
    <t>pswmed050</t>
  </si>
  <si>
    <t>Afonso José Tavares Miranda</t>
  </si>
  <si>
    <t>2560-542</t>
  </si>
  <si>
    <t>39670437</t>
  </si>
  <si>
    <t>453096007</t>
  </si>
  <si>
    <t>253870958</t>
  </si>
  <si>
    <t>938362729</t>
  </si>
  <si>
    <t>med050@hospital.upskill.com</t>
  </si>
  <si>
    <t>med051</t>
  </si>
  <si>
    <t>pswmed051</t>
  </si>
  <si>
    <t>Rodrigo Mariana Santos Araújo</t>
  </si>
  <si>
    <t>1649-98</t>
  </si>
  <si>
    <t>20780186</t>
  </si>
  <si>
    <t>313289654</t>
  </si>
  <si>
    <t>433671939</t>
  </si>
  <si>
    <t>932843056</t>
  </si>
  <si>
    <t>med051@hospital.upskill.com</t>
  </si>
  <si>
    <t>med052</t>
  </si>
  <si>
    <t>pswmed052</t>
  </si>
  <si>
    <t>Matilde Sara Coelho Ribeiro</t>
  </si>
  <si>
    <t>1200-604</t>
  </si>
  <si>
    <t>68439063</t>
  </si>
  <si>
    <t>446859515</t>
  </si>
  <si>
    <t>747206327</t>
  </si>
  <si>
    <t>928171103</t>
  </si>
  <si>
    <t>med052@hospital.upskill.com</t>
  </si>
  <si>
    <t>med053</t>
  </si>
  <si>
    <t>pswmed053</t>
  </si>
  <si>
    <t>Francisco Diogo Pires Assunção</t>
  </si>
  <si>
    <t>1349-903</t>
  </si>
  <si>
    <t>53705375</t>
  </si>
  <si>
    <t>227069487</t>
  </si>
  <si>
    <t>319750281</t>
  </si>
  <si>
    <t>927950886</t>
  </si>
  <si>
    <t>med053@hospital.upskill.com</t>
  </si>
  <si>
    <t>med054</t>
  </si>
  <si>
    <t>pswmed054</t>
  </si>
  <si>
    <t>Tiago João Nogueira Matos</t>
  </si>
  <si>
    <t>1100-761</t>
  </si>
  <si>
    <t>38589986</t>
  </si>
  <si>
    <t>559464074</t>
  </si>
  <si>
    <t>791898566</t>
  </si>
  <si>
    <t>939271963</t>
  </si>
  <si>
    <t>med054@hospital.upskill.com</t>
  </si>
  <si>
    <t>med055</t>
  </si>
  <si>
    <t>pswmed055</t>
  </si>
  <si>
    <t>Pedro João Santos Gaspar</t>
  </si>
  <si>
    <t>2419-31</t>
  </si>
  <si>
    <t>45014313</t>
  </si>
  <si>
    <t>502140806</t>
  </si>
  <si>
    <t>316742900</t>
  </si>
  <si>
    <t>914529174</t>
  </si>
  <si>
    <t>med055@hospital.upskill.com</t>
  </si>
  <si>
    <t>med056</t>
  </si>
  <si>
    <t>pswmed056</t>
  </si>
  <si>
    <t>Francisca João Moreira Ribeiro</t>
  </si>
  <si>
    <t>1800-582</t>
  </si>
  <si>
    <t>81684087</t>
  </si>
  <si>
    <t>149072825</t>
  </si>
  <si>
    <t>539540791</t>
  </si>
  <si>
    <t>911149516</t>
  </si>
  <si>
    <t>med056@hospital.upskill.com</t>
  </si>
  <si>
    <t>med057</t>
  </si>
  <si>
    <t>pswmed057</t>
  </si>
  <si>
    <t>João Ana Almeida Maia</t>
  </si>
  <si>
    <t>2825-660</t>
  </si>
  <si>
    <t>77443779</t>
  </si>
  <si>
    <t>153105734</t>
  </si>
  <si>
    <t>777955068</t>
  </si>
  <si>
    <t>925538728</t>
  </si>
  <si>
    <t>med057@hospital.upskill.com</t>
  </si>
  <si>
    <t>med058</t>
  </si>
  <si>
    <t>pswmed058</t>
  </si>
  <si>
    <t>Miguel Leonor Domingues Lopes</t>
  </si>
  <si>
    <t>1750-440</t>
  </si>
  <si>
    <t>86716102</t>
  </si>
  <si>
    <t>556609452</t>
  </si>
  <si>
    <t>233042960</t>
  </si>
  <si>
    <t>960653444</t>
  </si>
  <si>
    <t>med058@hospital.upskill.com</t>
  </si>
  <si>
    <t>med059</t>
  </si>
  <si>
    <t>pswmed059</t>
  </si>
  <si>
    <t>Luís Sofia Carneiro Fonseca</t>
  </si>
  <si>
    <t>1999-731</t>
  </si>
  <si>
    <t>37986900</t>
  </si>
  <si>
    <t>593484432</t>
  </si>
  <si>
    <t>653673221</t>
  </si>
  <si>
    <t>925338843</t>
  </si>
  <si>
    <t>med059@hospital.upskill.com</t>
  </si>
  <si>
    <t>med060</t>
  </si>
  <si>
    <t>pswmed060</t>
  </si>
  <si>
    <t>Duarte Luís Cardoso Cunha</t>
  </si>
  <si>
    <t>2654-168</t>
  </si>
  <si>
    <t>88953156</t>
  </si>
  <si>
    <t>397732593</t>
  </si>
  <si>
    <t>523682737</t>
  </si>
  <si>
    <t>912441208</t>
  </si>
  <si>
    <t>med060@hospital.upskill.com</t>
  </si>
  <si>
    <t>med061</t>
  </si>
  <si>
    <t>pswmed061</t>
  </si>
  <si>
    <t>Catarina Carolina Carneiro Leite</t>
  </si>
  <si>
    <t>2750-238</t>
  </si>
  <si>
    <t>88704200</t>
  </si>
  <si>
    <t>623987568</t>
  </si>
  <si>
    <t>880845556</t>
  </si>
  <si>
    <t>960593146</t>
  </si>
  <si>
    <t>med061@hospital.upskill.com</t>
  </si>
  <si>
    <t>med062</t>
  </si>
  <si>
    <t>pswmed062</t>
  </si>
  <si>
    <t>José Catarina Barbosa Figueiredo</t>
  </si>
  <si>
    <t>2720-897</t>
  </si>
  <si>
    <t>58201933</t>
  </si>
  <si>
    <t>356282233</t>
  </si>
  <si>
    <t>325629423</t>
  </si>
  <si>
    <t>930238334</t>
  </si>
  <si>
    <t>med062@hospital.upskill.com</t>
  </si>
  <si>
    <t>med063</t>
  </si>
  <si>
    <t>pswmed063</t>
  </si>
  <si>
    <t>Mariana Carolina Rocha Pinheiro</t>
  </si>
  <si>
    <t>2779-584</t>
  </si>
  <si>
    <t>28255623</t>
  </si>
  <si>
    <t>551088405</t>
  </si>
  <si>
    <t>728327382</t>
  </si>
  <si>
    <t>911714300</t>
  </si>
  <si>
    <t>med063@hospital.upskill.com</t>
  </si>
  <si>
    <t>med064</t>
  </si>
  <si>
    <t>pswmed064</t>
  </si>
  <si>
    <t>Francisca Diana Mendes Oliveira</t>
  </si>
  <si>
    <t>2414-99</t>
  </si>
  <si>
    <t>39635626</t>
  </si>
  <si>
    <t>455794753</t>
  </si>
  <si>
    <t>844872412</t>
  </si>
  <si>
    <t>910505328</t>
  </si>
  <si>
    <t>med064@hospital.upskill.com</t>
  </si>
  <si>
    <t>med065</t>
  </si>
  <si>
    <t>pswmed065</t>
  </si>
  <si>
    <t>Rodrigo Rodrigo Araújo Melo</t>
  </si>
  <si>
    <t>1300-430</t>
  </si>
  <si>
    <t>63842104</t>
  </si>
  <si>
    <t>666619540</t>
  </si>
  <si>
    <t>176766770</t>
  </si>
  <si>
    <t>934133757</t>
  </si>
  <si>
    <t>med065@hospital.upskill.com</t>
  </si>
  <si>
    <t>med066</t>
  </si>
  <si>
    <t>pswmed066</t>
  </si>
  <si>
    <t>Carolina Catarina Sousa Ribeiro</t>
  </si>
  <si>
    <t>70417846</t>
  </si>
  <si>
    <t>544181226</t>
  </si>
  <si>
    <t>183794647</t>
  </si>
  <si>
    <t>934514431</t>
  </si>
  <si>
    <t>med066@hospital.upskill.com</t>
  </si>
  <si>
    <t>med067</t>
  </si>
  <si>
    <t>pswmed067</t>
  </si>
  <si>
    <t>Leonor Rodrigo Pereira Mendes</t>
  </si>
  <si>
    <t>1149-810</t>
  </si>
  <si>
    <t>20128933</t>
  </si>
  <si>
    <t>987051048</t>
  </si>
  <si>
    <t>285627219</t>
  </si>
  <si>
    <t>930370276</t>
  </si>
  <si>
    <t>med067@hospital.upskill.com</t>
  </si>
  <si>
    <t>med068</t>
  </si>
  <si>
    <t>pswmed068</t>
  </si>
  <si>
    <t>Mariana Santiago Andrade Fernandes</t>
  </si>
  <si>
    <t>1749-845</t>
  </si>
  <si>
    <t>68198969</t>
  </si>
  <si>
    <t>445048373</t>
  </si>
  <si>
    <t>373109601</t>
  </si>
  <si>
    <t>969130112</t>
  </si>
  <si>
    <t>med068@hospital.upskill.com</t>
  </si>
  <si>
    <t>med069</t>
  </si>
  <si>
    <t>pswmed069</t>
  </si>
  <si>
    <t>Catarina Francisco Mota Miranda</t>
  </si>
  <si>
    <t>2710-691</t>
  </si>
  <si>
    <t>52154542</t>
  </si>
  <si>
    <t>576251739</t>
  </si>
  <si>
    <t>409787637</t>
  </si>
  <si>
    <t>929963484</t>
  </si>
  <si>
    <t>med069@hospital.upskill.com</t>
  </si>
  <si>
    <t>med070</t>
  </si>
  <si>
    <t>pswmed070</t>
  </si>
  <si>
    <t>Matilde Lurdes Freitas Moura</t>
  </si>
  <si>
    <t>2560-849</t>
  </si>
  <si>
    <t>12113236</t>
  </si>
  <si>
    <t>749184445</t>
  </si>
  <si>
    <t>160175051</t>
  </si>
  <si>
    <t>928286125</t>
  </si>
  <si>
    <t>med070@hospital.upskill.com</t>
  </si>
  <si>
    <t>med071</t>
  </si>
  <si>
    <t>pswmed071</t>
  </si>
  <si>
    <t>Francisco Tiago Sá Nunes</t>
  </si>
  <si>
    <t>2825-656</t>
  </si>
  <si>
    <t>74781613</t>
  </si>
  <si>
    <t>779749183</t>
  </si>
  <si>
    <t>194254933</t>
  </si>
  <si>
    <t>916423661</t>
  </si>
  <si>
    <t>med071@hospital.upskill.com</t>
  </si>
  <si>
    <t>med072</t>
  </si>
  <si>
    <t>pswmed072</t>
  </si>
  <si>
    <t>Miguel Diogo Miranda Matias</t>
  </si>
  <si>
    <t>2900-334</t>
  </si>
  <si>
    <t>62131426</t>
  </si>
  <si>
    <t>315332701</t>
  </si>
  <si>
    <t>421832457</t>
  </si>
  <si>
    <t>969205241</t>
  </si>
  <si>
    <t>med072@hospital.upskill.com</t>
  </si>
  <si>
    <t>med073</t>
  </si>
  <si>
    <t>pswmed073</t>
  </si>
  <si>
    <t>Tiago André Rocha Lopes</t>
  </si>
  <si>
    <t>3000-484</t>
  </si>
  <si>
    <t>75349752</t>
  </si>
  <si>
    <t>625987680</t>
  </si>
  <si>
    <t>317269559</t>
  </si>
  <si>
    <t>917408087</t>
  </si>
  <si>
    <t>med073@hospital.upskill.com</t>
  </si>
  <si>
    <t>med074</t>
  </si>
  <si>
    <t>pswmed074</t>
  </si>
  <si>
    <t>Francisco Vera Antunes Cunha</t>
  </si>
  <si>
    <t>2714-77</t>
  </si>
  <si>
    <t>68602763</t>
  </si>
  <si>
    <t>351751341</t>
  </si>
  <si>
    <t>439029727</t>
  </si>
  <si>
    <t>931426258</t>
  </si>
  <si>
    <t>med074@hospital.upskill.com</t>
  </si>
  <si>
    <t>med075</t>
  </si>
  <si>
    <t>pswmed075</t>
  </si>
  <si>
    <t>Santiago Marco Pinho Baptista</t>
  </si>
  <si>
    <t>1149-322</t>
  </si>
  <si>
    <t>14725823</t>
  </si>
  <si>
    <t>674469563</t>
  </si>
  <si>
    <t>682463417</t>
  </si>
  <si>
    <t>929027210</t>
  </si>
  <si>
    <t>med075@hospital.upskill.com</t>
  </si>
  <si>
    <t>med076</t>
  </si>
  <si>
    <t>pswmed076</t>
  </si>
  <si>
    <t>Leonor Duarte Almeida Marques</t>
  </si>
  <si>
    <t>3000-240</t>
  </si>
  <si>
    <t>65322986</t>
  </si>
  <si>
    <t>538389912</t>
  </si>
  <si>
    <t>882382367</t>
  </si>
  <si>
    <t>934249174</t>
  </si>
  <si>
    <t>med076@hospital.upskill.com</t>
  </si>
  <si>
    <t>med077</t>
  </si>
  <si>
    <t>pswmed077</t>
  </si>
  <si>
    <t>Beatriz Diogo Barros Pinto</t>
  </si>
  <si>
    <t>1099-732</t>
  </si>
  <si>
    <t>68029459</t>
  </si>
  <si>
    <t>219877889</t>
  </si>
  <si>
    <t>386331661</t>
  </si>
  <si>
    <t>960356372</t>
  </si>
  <si>
    <t>med077@hospital.upskill.com</t>
  </si>
  <si>
    <t>med078</t>
  </si>
  <si>
    <t>pswmed078</t>
  </si>
  <si>
    <t>Ana Tiago Nunes Matos</t>
  </si>
  <si>
    <t>2834-523</t>
  </si>
  <si>
    <t>91860386</t>
  </si>
  <si>
    <t>299428620</t>
  </si>
  <si>
    <t>787735034</t>
  </si>
  <si>
    <t>927444172</t>
  </si>
  <si>
    <t>med078@hospital.upskill.com</t>
  </si>
  <si>
    <t>med079</t>
  </si>
  <si>
    <t>pswmed079</t>
  </si>
  <si>
    <t>Beatriz Mariana Nascimento Freitas</t>
  </si>
  <si>
    <t>2749-80</t>
  </si>
  <si>
    <t>84786543</t>
  </si>
  <si>
    <t>751752800</t>
  </si>
  <si>
    <t>593613799</t>
  </si>
  <si>
    <t>931008964</t>
  </si>
  <si>
    <t>med079@hospital.upskill.com</t>
  </si>
  <si>
    <t>med080</t>
  </si>
  <si>
    <t>pswmed080</t>
  </si>
  <si>
    <t>Rodrigo Diana Domingues Torres</t>
  </si>
  <si>
    <t>2004-239</t>
  </si>
  <si>
    <t>65717941</t>
  </si>
  <si>
    <t>749676592</t>
  </si>
  <si>
    <t>926885534</t>
  </si>
  <si>
    <t>968196846</t>
  </si>
  <si>
    <t>med080@hospital.upskill.com</t>
  </si>
  <si>
    <t>med081</t>
  </si>
  <si>
    <t>pswmed081</t>
  </si>
  <si>
    <t>Bruno Joana Loureiro Alves</t>
  </si>
  <si>
    <t>2825-546</t>
  </si>
  <si>
    <t>86298454</t>
  </si>
  <si>
    <t>615211923</t>
  </si>
  <si>
    <t>762942241</t>
  </si>
  <si>
    <t>936502696</t>
  </si>
  <si>
    <t>med081@hospital.upskill.com</t>
  </si>
  <si>
    <t>med082</t>
  </si>
  <si>
    <t>pswmed082</t>
  </si>
  <si>
    <t>Francisca Mariana Machado Martins</t>
  </si>
  <si>
    <t>2775-774</t>
  </si>
  <si>
    <t>60752565</t>
  </si>
  <si>
    <t>267799279</t>
  </si>
  <si>
    <t>178371865</t>
  </si>
  <si>
    <t>925957948</t>
  </si>
  <si>
    <t>med082@hospital.upskill.com</t>
  </si>
  <si>
    <t>med083</t>
  </si>
  <si>
    <t>pswmed083</t>
  </si>
  <si>
    <t>Martim Bruno Rocha Guerreiro</t>
  </si>
  <si>
    <t>2415-55</t>
  </si>
  <si>
    <t>84354224</t>
  </si>
  <si>
    <t>276740665</t>
  </si>
  <si>
    <t>962880597</t>
  </si>
  <si>
    <t>965515416</t>
  </si>
  <si>
    <t>med083@hospital.upskill.com</t>
  </si>
  <si>
    <t>med084</t>
  </si>
  <si>
    <t>pswmed084</t>
  </si>
  <si>
    <t>Gabriel Sara Brito Domingues</t>
  </si>
  <si>
    <t>1949-787</t>
  </si>
  <si>
    <t>42480191</t>
  </si>
  <si>
    <t>363209352</t>
  </si>
  <si>
    <t>710264460</t>
  </si>
  <si>
    <t>926700649</t>
  </si>
  <si>
    <t>med084@hospital.upskill.com</t>
  </si>
  <si>
    <t>med085</t>
  </si>
  <si>
    <t>pswmed085</t>
  </si>
  <si>
    <t>Beatriz Afonso Moura Machado</t>
  </si>
  <si>
    <t>2779-181</t>
  </si>
  <si>
    <t>23628387</t>
  </si>
  <si>
    <t>261718716</t>
  </si>
  <si>
    <t>158557534</t>
  </si>
  <si>
    <t>960593510</t>
  </si>
  <si>
    <t>med085@hospital.upskill.com</t>
  </si>
  <si>
    <t>med086</t>
  </si>
  <si>
    <t>pswmed086</t>
  </si>
  <si>
    <t>Gabriel Duarte Neto Rocha</t>
  </si>
  <si>
    <t>1099-305</t>
  </si>
  <si>
    <t>79022005</t>
  </si>
  <si>
    <t>711964392</t>
  </si>
  <si>
    <t>794893603</t>
  </si>
  <si>
    <t>934680263</t>
  </si>
  <si>
    <t>med086@hospital.upskill.com</t>
  </si>
  <si>
    <t>med087</t>
  </si>
  <si>
    <t>pswmed087</t>
  </si>
  <si>
    <t>Francisco Mariana Soares Simões</t>
  </si>
  <si>
    <t>2350-627</t>
  </si>
  <si>
    <t>40410488</t>
  </si>
  <si>
    <t>764773529</t>
  </si>
  <si>
    <t>256136898</t>
  </si>
  <si>
    <t>968018985</t>
  </si>
  <si>
    <t>med087@hospital.upskill.com</t>
  </si>
  <si>
    <t>med088</t>
  </si>
  <si>
    <t>pswmed088</t>
  </si>
  <si>
    <t>Carolina André Azevedo Gaspar</t>
  </si>
  <si>
    <t>1999-41</t>
  </si>
  <si>
    <t>93579833</t>
  </si>
  <si>
    <t>862822548</t>
  </si>
  <si>
    <t>253013752</t>
  </si>
  <si>
    <t>961361058</t>
  </si>
  <si>
    <t>med088@hospital.upskill.com</t>
  </si>
  <si>
    <t>med089</t>
  </si>
  <si>
    <t>pswmed089</t>
  </si>
  <si>
    <t>Martim Ana Maia Tavares</t>
  </si>
  <si>
    <t>1950-452</t>
  </si>
  <si>
    <t>55707176</t>
  </si>
  <si>
    <t>333672673</t>
  </si>
  <si>
    <t>787664139</t>
  </si>
  <si>
    <t>929995483</t>
  </si>
  <si>
    <t>med089@hospital.upskill.com</t>
  </si>
  <si>
    <t>med090</t>
  </si>
  <si>
    <t>pswmed090</t>
  </si>
  <si>
    <t>Diogo Maria Valente Leite</t>
  </si>
  <si>
    <t>1300-832</t>
  </si>
  <si>
    <t>82482537</t>
  </si>
  <si>
    <t>863509065</t>
  </si>
  <si>
    <t>392898089</t>
  </si>
  <si>
    <t>961610768</t>
  </si>
  <si>
    <t>med090@hospital.upskill.com</t>
  </si>
  <si>
    <t>med091</t>
  </si>
  <si>
    <t>pswmed091</t>
  </si>
  <si>
    <t>Miguel Daniela Araújo Assunção</t>
  </si>
  <si>
    <t>1800-229</t>
  </si>
  <si>
    <t>56980397</t>
  </si>
  <si>
    <t>768690417</t>
  </si>
  <si>
    <t>868912666</t>
  </si>
  <si>
    <t>963115441</t>
  </si>
  <si>
    <t>med091@hospital.upskill.com</t>
  </si>
  <si>
    <t>med092</t>
  </si>
  <si>
    <t>pswmed092</t>
  </si>
  <si>
    <t>Daniela Marco Freitas Vaz</t>
  </si>
  <si>
    <t>2810-911</t>
  </si>
  <si>
    <t>66570393</t>
  </si>
  <si>
    <t>812928115</t>
  </si>
  <si>
    <t>523701106</t>
  </si>
  <si>
    <t>965853891</t>
  </si>
  <si>
    <t>med092@hospital.upskill.com</t>
  </si>
  <si>
    <t>med093</t>
  </si>
  <si>
    <t>pswmed093</t>
  </si>
  <si>
    <t>Afonso Luís Raposo Pinto</t>
  </si>
  <si>
    <t>2754-571</t>
  </si>
  <si>
    <t>83777376</t>
  </si>
  <si>
    <t>781297794</t>
  </si>
  <si>
    <t>698777117</t>
  </si>
  <si>
    <t>933919410</t>
  </si>
  <si>
    <t>med093@hospital.upskill.com</t>
  </si>
  <si>
    <t>med094</t>
  </si>
  <si>
    <t>pswmed094</t>
  </si>
  <si>
    <t>Diogo Gabriel Melo Moura</t>
  </si>
  <si>
    <t>1149-521</t>
  </si>
  <si>
    <t>49721151</t>
  </si>
  <si>
    <t>399163565</t>
  </si>
  <si>
    <t>850247680</t>
  </si>
  <si>
    <t>965896894</t>
  </si>
  <si>
    <t>med094@hospital.upskill.com</t>
  </si>
  <si>
    <t>med095</t>
  </si>
  <si>
    <t>pswmed095</t>
  </si>
  <si>
    <t>Tomás Francisca Brito Araújo</t>
  </si>
  <si>
    <t>1000-477</t>
  </si>
  <si>
    <t>64679712</t>
  </si>
  <si>
    <t>391707929</t>
  </si>
  <si>
    <t>123778456</t>
  </si>
  <si>
    <t>914369190</t>
  </si>
  <si>
    <t>med095@hospital.upskill.com</t>
  </si>
  <si>
    <t>med096</t>
  </si>
  <si>
    <t>pswmed096</t>
  </si>
  <si>
    <t>Ricardo Carolina Pires Carvalho</t>
  </si>
  <si>
    <t>2829-545</t>
  </si>
  <si>
    <t>93705457</t>
  </si>
  <si>
    <t>709292193</t>
  </si>
  <si>
    <t>841556037</t>
  </si>
  <si>
    <t>960557669</t>
  </si>
  <si>
    <t>med096@hospital.upskill.com</t>
  </si>
  <si>
    <t>med097</t>
  </si>
  <si>
    <t>pswmed097</t>
  </si>
  <si>
    <t>Maria Martim Tavares Antunes</t>
  </si>
  <si>
    <t>1749-688</t>
  </si>
  <si>
    <t>87852216</t>
  </si>
  <si>
    <t>968403489</t>
  </si>
  <si>
    <t>205945789</t>
  </si>
  <si>
    <t>936653818</t>
  </si>
  <si>
    <t>med097@hospital.upskill.com</t>
  </si>
  <si>
    <t>med098</t>
  </si>
  <si>
    <t>pswmed098</t>
  </si>
  <si>
    <t>Miguel Santiago Amorim Rocha</t>
  </si>
  <si>
    <t>2614-306</t>
  </si>
  <si>
    <t>65114515</t>
  </si>
  <si>
    <t>976746897</t>
  </si>
  <si>
    <t>341533719</t>
  </si>
  <si>
    <t>937888745</t>
  </si>
  <si>
    <t>med098@hospital.upskill.com</t>
  </si>
  <si>
    <t>med099</t>
  </si>
  <si>
    <t>pswmed099</t>
  </si>
  <si>
    <t>André Rodrigo Moreira Silva</t>
  </si>
  <si>
    <t>2775-45</t>
  </si>
  <si>
    <t>60599370</t>
  </si>
  <si>
    <t>215959333</t>
  </si>
  <si>
    <t>473748617</t>
  </si>
  <si>
    <t>931855664</t>
  </si>
  <si>
    <t>med099@hospital.upskill.com</t>
  </si>
  <si>
    <t>med100</t>
  </si>
  <si>
    <t>pswmed100</t>
  </si>
  <si>
    <t>Duarte Duarte Rodrigues Lima</t>
  </si>
  <si>
    <t>2004-39</t>
  </si>
  <si>
    <t>87221935</t>
  </si>
  <si>
    <t>773369861</t>
  </si>
  <si>
    <t>465412027</t>
  </si>
  <si>
    <t>962140989</t>
  </si>
  <si>
    <t>med100@hospital.upskill.com</t>
  </si>
  <si>
    <t>med101</t>
  </si>
  <si>
    <t>pswmed101</t>
  </si>
  <si>
    <t>José Tomás Alves Coelho</t>
  </si>
  <si>
    <t>1900-643</t>
  </si>
  <si>
    <t>39974473</t>
  </si>
  <si>
    <t>270075422</t>
  </si>
  <si>
    <t>808775453</t>
  </si>
  <si>
    <t>937639634</t>
  </si>
  <si>
    <t>med101@hospital.upskill.com</t>
  </si>
  <si>
    <t>med102</t>
  </si>
  <si>
    <t>pswmed102</t>
  </si>
  <si>
    <t>Rodrigo Inês Vicente Reis</t>
  </si>
  <si>
    <t>2674-168</t>
  </si>
  <si>
    <t>24753334</t>
  </si>
  <si>
    <t>140405657</t>
  </si>
  <si>
    <t>911377883</t>
  </si>
  <si>
    <t>919676765</t>
  </si>
  <si>
    <t>med102@hospital.upskill.com</t>
  </si>
  <si>
    <t>med103</t>
  </si>
  <si>
    <t>pswmed103</t>
  </si>
  <si>
    <t>Daniela Tiago Rodrigues Branco</t>
  </si>
  <si>
    <t>2724-48</t>
  </si>
  <si>
    <t>40438791</t>
  </si>
  <si>
    <t>997276756</t>
  </si>
  <si>
    <t>865131182</t>
  </si>
  <si>
    <t>960884039</t>
  </si>
  <si>
    <t>med103@hospital.upskill.com</t>
  </si>
  <si>
    <t>med104</t>
  </si>
  <si>
    <t>pswmed104</t>
  </si>
  <si>
    <t>Duarte Inês Gomes Marques</t>
  </si>
  <si>
    <t>2914-650</t>
  </si>
  <si>
    <t>68349455</t>
  </si>
  <si>
    <t>358356102</t>
  </si>
  <si>
    <t>457198468</t>
  </si>
  <si>
    <t>921917057</t>
  </si>
  <si>
    <t>med104@hospital.upskill.com</t>
  </si>
  <si>
    <t>med105</t>
  </si>
  <si>
    <t>pswmed105</t>
  </si>
  <si>
    <t>Francisca Diana Tavares Nunes</t>
  </si>
  <si>
    <t>1249-791</t>
  </si>
  <si>
    <t>49162897</t>
  </si>
  <si>
    <t>707564723</t>
  </si>
  <si>
    <t>576764909</t>
  </si>
  <si>
    <t>933504937</t>
  </si>
  <si>
    <t>med105@hospital.upskill.com</t>
  </si>
  <si>
    <t>med106</t>
  </si>
  <si>
    <t>pswmed106</t>
  </si>
  <si>
    <t>Marco Joana Vicente Paiva</t>
  </si>
  <si>
    <t>2004-193</t>
  </si>
  <si>
    <t>56079530</t>
  </si>
  <si>
    <t>907563409</t>
  </si>
  <si>
    <t>774541123</t>
  </si>
  <si>
    <t>960163443</t>
  </si>
  <si>
    <t>med106@hospital.upskill.com</t>
  </si>
  <si>
    <t>med107</t>
  </si>
  <si>
    <t>pswmed107</t>
  </si>
  <si>
    <t>Tiago Matilde Oliveira Silva</t>
  </si>
  <si>
    <t>1949-245</t>
  </si>
  <si>
    <t>93599804</t>
  </si>
  <si>
    <t>356865821</t>
  </si>
  <si>
    <t>252581810</t>
  </si>
  <si>
    <t>962950572</t>
  </si>
  <si>
    <t>med107@hospital.upskill.com</t>
  </si>
  <si>
    <t>med108</t>
  </si>
  <si>
    <t>pswmed108</t>
  </si>
  <si>
    <t>Francisco Sofia Brito Pinho</t>
  </si>
  <si>
    <t>2900-638</t>
  </si>
  <si>
    <t>52193687</t>
  </si>
  <si>
    <t>700860724</t>
  </si>
  <si>
    <t>922491323</t>
  </si>
  <si>
    <t>930483292</t>
  </si>
  <si>
    <t>med108@hospital.upskill.com</t>
  </si>
  <si>
    <t>med109</t>
  </si>
  <si>
    <t>pswmed109</t>
  </si>
  <si>
    <t>Ana Daniela Soares Fernandes</t>
  </si>
  <si>
    <t>1800-328</t>
  </si>
  <si>
    <t>34198329</t>
  </si>
  <si>
    <t>286039057</t>
  </si>
  <si>
    <t>137746925</t>
  </si>
  <si>
    <t>966319136</t>
  </si>
  <si>
    <t>med109@hospital.upskill.com</t>
  </si>
  <si>
    <t>med110</t>
  </si>
  <si>
    <t>pswmed110</t>
  </si>
  <si>
    <t>Tiago Marco Amorim Macedo</t>
  </si>
  <si>
    <t>1000-161</t>
  </si>
  <si>
    <t>98799194</t>
  </si>
  <si>
    <t>821817761</t>
  </si>
  <si>
    <t>852025432</t>
  </si>
  <si>
    <t>922697953</t>
  </si>
  <si>
    <t>med110@hospital.upskill.com</t>
  </si>
  <si>
    <t>med111</t>
  </si>
  <si>
    <t>pswmed111</t>
  </si>
  <si>
    <t>Inês André Lopes Melo</t>
  </si>
  <si>
    <t>2650-809</t>
  </si>
  <si>
    <t>38622674</t>
  </si>
  <si>
    <t>585711247</t>
  </si>
  <si>
    <t>963989015</t>
  </si>
  <si>
    <t>med111@hospital.upskill.com</t>
  </si>
  <si>
    <t>med112</t>
  </si>
  <si>
    <t>pswmed112</t>
  </si>
  <si>
    <t>Carolina Ana Gomes Torres</t>
  </si>
  <si>
    <t>2410-812</t>
  </si>
  <si>
    <t>87438092</t>
  </si>
  <si>
    <t>827531424</t>
  </si>
  <si>
    <t>606380052</t>
  </si>
  <si>
    <t>919969616</t>
  </si>
  <si>
    <t>med112@hospital.upskill.com</t>
  </si>
  <si>
    <t>med113</t>
  </si>
  <si>
    <t>pswmed113</t>
  </si>
  <si>
    <t>Daniela Lurdes Nunes Miranda</t>
  </si>
  <si>
    <t>2904-4</t>
  </si>
  <si>
    <t>73977966</t>
  </si>
  <si>
    <t>784333504</t>
  </si>
  <si>
    <t>400890235</t>
  </si>
  <si>
    <t>917497455</t>
  </si>
  <si>
    <t>med113@hospital.upskill.com</t>
  </si>
  <si>
    <t>med114</t>
  </si>
  <si>
    <t>pswmed114</t>
  </si>
  <si>
    <t>Carolina Lurdes Correia Freitas</t>
  </si>
  <si>
    <t>2419-237</t>
  </si>
  <si>
    <t>79266021</t>
  </si>
  <si>
    <t>911582490</t>
  </si>
  <si>
    <t>569143046</t>
  </si>
  <si>
    <t>966927920</t>
  </si>
  <si>
    <t>med114@hospital.upskill.com</t>
  </si>
  <si>
    <t>med115</t>
  </si>
  <si>
    <t>pswmed115</t>
  </si>
  <si>
    <t>Inês Inês Anjos Guerreiro</t>
  </si>
  <si>
    <t>2904-419</t>
  </si>
  <si>
    <t>55709802</t>
  </si>
  <si>
    <t>239868479</t>
  </si>
  <si>
    <t>514909927</t>
  </si>
  <si>
    <t>962854357</t>
  </si>
  <si>
    <t>med115@hospital.upskill.com</t>
  </si>
  <si>
    <t>med116</t>
  </si>
  <si>
    <t>pswmed116</t>
  </si>
  <si>
    <t>Vera Pedro Neves Abreu</t>
  </si>
  <si>
    <t>2644-314</t>
  </si>
  <si>
    <t>87211952</t>
  </si>
  <si>
    <t>124025999</t>
  </si>
  <si>
    <t>738847057</t>
  </si>
  <si>
    <t>963167644</t>
  </si>
  <si>
    <t>med116@hospital.upskill.com</t>
  </si>
  <si>
    <t>med117</t>
  </si>
  <si>
    <t>pswmed117</t>
  </si>
  <si>
    <t>Luís Ana Martins Moreira</t>
  </si>
  <si>
    <t>2829-11</t>
  </si>
  <si>
    <t>36907258</t>
  </si>
  <si>
    <t>573768976</t>
  </si>
  <si>
    <t>297923926</t>
  </si>
  <si>
    <t>915356190</t>
  </si>
  <si>
    <t>med117@hospital.upskill.com</t>
  </si>
  <si>
    <t>med118</t>
  </si>
  <si>
    <t>pswmed118</t>
  </si>
  <si>
    <t>Tomás Vera Lima Pinto</t>
  </si>
  <si>
    <t>1100-109</t>
  </si>
  <si>
    <t>76350921</t>
  </si>
  <si>
    <t>673829753</t>
  </si>
  <si>
    <t>804446474</t>
  </si>
  <si>
    <t>913856773</t>
  </si>
  <si>
    <t>med118@hospital.upskill.com</t>
  </si>
  <si>
    <t>med119</t>
  </si>
  <si>
    <t>pswmed119</t>
  </si>
  <si>
    <t>Gabriel Leonor Nascimento Freitas</t>
  </si>
  <si>
    <t>1549-871</t>
  </si>
  <si>
    <t>33587122</t>
  </si>
  <si>
    <t>423550460</t>
  </si>
  <si>
    <t>286945042</t>
  </si>
  <si>
    <t>966153829</t>
  </si>
  <si>
    <t>med119@hospital.upskill.com</t>
  </si>
  <si>
    <t>med120</t>
  </si>
  <si>
    <t>pswmed120</t>
  </si>
  <si>
    <t>Beatriz Sara Vicente Faria</t>
  </si>
  <si>
    <t>2659-513</t>
  </si>
  <si>
    <t>20253622</t>
  </si>
  <si>
    <t>409527432</t>
  </si>
  <si>
    <t>475414265</t>
  </si>
  <si>
    <t>912870314</t>
  </si>
  <si>
    <t>med120@hospital.upskill.com</t>
  </si>
  <si>
    <t>med121</t>
  </si>
  <si>
    <t>pswmed121</t>
  </si>
  <si>
    <t>Francisco Tomás Amorim Campos</t>
  </si>
  <si>
    <t>2780-195</t>
  </si>
  <si>
    <t>33863764</t>
  </si>
  <si>
    <t>339226352</t>
  </si>
  <si>
    <t>680060814</t>
  </si>
  <si>
    <t>918814050</t>
  </si>
  <si>
    <t>med121@hospital.upskill.com</t>
  </si>
  <si>
    <t>med122</t>
  </si>
  <si>
    <t>pswmed122</t>
  </si>
  <si>
    <t>Beatriz Leonor Cardoso Guerreiro</t>
  </si>
  <si>
    <t>2834-362</t>
  </si>
  <si>
    <t>84876504</t>
  </si>
  <si>
    <t>199628606</t>
  </si>
  <si>
    <t>769279931</t>
  </si>
  <si>
    <t>936533090</t>
  </si>
  <si>
    <t>med122@hospital.upskill.com</t>
  </si>
  <si>
    <t>med123</t>
  </si>
  <si>
    <t>pswmed123</t>
  </si>
  <si>
    <t>André André Cruz Macedo</t>
  </si>
  <si>
    <t>1069-757</t>
  </si>
  <si>
    <t>51051662</t>
  </si>
  <si>
    <t>229516489</t>
  </si>
  <si>
    <t>478204972</t>
  </si>
  <si>
    <t>929440137</t>
  </si>
  <si>
    <t>med123@hospital.upskill.com</t>
  </si>
  <si>
    <t>med124</t>
  </si>
  <si>
    <t>pswmed124</t>
  </si>
  <si>
    <t>André Francisco Amorim Pinheiro</t>
  </si>
  <si>
    <t>1549-14</t>
  </si>
  <si>
    <t>61959585</t>
  </si>
  <si>
    <t>220210708</t>
  </si>
  <si>
    <t>276123553</t>
  </si>
  <si>
    <t>964571750</t>
  </si>
  <si>
    <t>med124@hospital.upskill.com</t>
  </si>
  <si>
    <t>med125</t>
  </si>
  <si>
    <t>pswmed125</t>
  </si>
  <si>
    <t>Tomás Luís Garcia Jesus</t>
  </si>
  <si>
    <t>2870-730</t>
  </si>
  <si>
    <t>10334328</t>
  </si>
  <si>
    <t>258335952</t>
  </si>
  <si>
    <t>624684238</t>
  </si>
  <si>
    <t>916600750</t>
  </si>
  <si>
    <t>med125@hospital.upskill.com</t>
  </si>
  <si>
    <t>med126</t>
  </si>
  <si>
    <t>pswmed126</t>
  </si>
  <si>
    <t>Lurdes José Abreu Melo</t>
  </si>
  <si>
    <t>1950-302</t>
  </si>
  <si>
    <t>57658946</t>
  </si>
  <si>
    <t>255738176</t>
  </si>
  <si>
    <t>390991642</t>
  </si>
  <si>
    <t>934965985</t>
  </si>
  <si>
    <t>med126@hospital.upskill.com</t>
  </si>
  <si>
    <t>med127</t>
  </si>
  <si>
    <t>pswmed127</t>
  </si>
  <si>
    <t>Sara Ana Pacheco Lima</t>
  </si>
  <si>
    <t>1049-22</t>
  </si>
  <si>
    <t>65860807</t>
  </si>
  <si>
    <t>653483171</t>
  </si>
  <si>
    <t>151257909</t>
  </si>
  <si>
    <t>927864106</t>
  </si>
  <si>
    <t>med127@hospital.upskill.com</t>
  </si>
  <si>
    <t>med128</t>
  </si>
  <si>
    <t>pswmed128</t>
  </si>
  <si>
    <t>André Lurdes Macedo Loureiro</t>
  </si>
  <si>
    <t>1349-962</t>
  </si>
  <si>
    <t>99083739</t>
  </si>
  <si>
    <t>690867620</t>
  </si>
  <si>
    <t>169088328</t>
  </si>
  <si>
    <t>929411356</t>
  </si>
  <si>
    <t>med128@hospital.upskill.com</t>
  </si>
  <si>
    <t>med129</t>
  </si>
  <si>
    <t>pswmed129</t>
  </si>
  <si>
    <t>Mariana Rodrigo Lima Pinto</t>
  </si>
  <si>
    <t>2779-811</t>
  </si>
  <si>
    <t>47724584</t>
  </si>
  <si>
    <t>789703854</t>
  </si>
  <si>
    <t>687357988</t>
  </si>
  <si>
    <t>960485999</t>
  </si>
  <si>
    <t>med129@hospital.upskill.com</t>
  </si>
  <si>
    <t>med130</t>
  </si>
  <si>
    <t>pswmed130</t>
  </si>
  <si>
    <t>Ricardo Martim Jesus Valente</t>
  </si>
  <si>
    <t>2825-78</t>
  </si>
  <si>
    <t>73134353</t>
  </si>
  <si>
    <t>216215068</t>
  </si>
  <si>
    <t>846698606</t>
  </si>
  <si>
    <t>938254076</t>
  </si>
  <si>
    <t>med130@hospital.upskill.com</t>
  </si>
  <si>
    <t>med131</t>
  </si>
  <si>
    <t>pswmed131</t>
  </si>
  <si>
    <t>Miguel Beatriz Miranda Reis</t>
  </si>
  <si>
    <t>1959-569</t>
  </si>
  <si>
    <t>75775786</t>
  </si>
  <si>
    <t>896075677</t>
  </si>
  <si>
    <t>256381116</t>
  </si>
  <si>
    <t>916862458</t>
  </si>
  <si>
    <t>med131@hospital.upskill.com</t>
  </si>
  <si>
    <t>med132</t>
  </si>
  <si>
    <t>pswmed132</t>
  </si>
  <si>
    <t>Francisca Bruno Neves Andrade</t>
  </si>
  <si>
    <t>1069-863</t>
  </si>
  <si>
    <t>67071246</t>
  </si>
  <si>
    <t>475742469</t>
  </si>
  <si>
    <t>979006872</t>
  </si>
  <si>
    <t>969035645</t>
  </si>
  <si>
    <t>med132@hospital.upskill.com</t>
  </si>
  <si>
    <t>med133</t>
  </si>
  <si>
    <t>pswmed133</t>
  </si>
  <si>
    <t>Gabriel Afonso Ramos Nogueira</t>
  </si>
  <si>
    <t>1099-699</t>
  </si>
  <si>
    <t>16065975</t>
  </si>
  <si>
    <t>832996346</t>
  </si>
  <si>
    <t>814650471</t>
  </si>
  <si>
    <t>936853191</t>
  </si>
  <si>
    <t>med133@hospital.upskill.com</t>
  </si>
  <si>
    <t>med134</t>
  </si>
  <si>
    <t>pswmed134</t>
  </si>
  <si>
    <t>Bruno Ricardo Pires Lourenço</t>
  </si>
  <si>
    <t>1050-509</t>
  </si>
  <si>
    <t>71803716</t>
  </si>
  <si>
    <t>842380643</t>
  </si>
  <si>
    <t>609320671</t>
  </si>
  <si>
    <t>931797541</t>
  </si>
  <si>
    <t>med134@hospital.upskill.com</t>
  </si>
  <si>
    <t>med135</t>
  </si>
  <si>
    <t>pswmed135</t>
  </si>
  <si>
    <t>Mariana João Domingues Mota</t>
  </si>
  <si>
    <t>2644-515</t>
  </si>
  <si>
    <t>87942510</t>
  </si>
  <si>
    <t>443148654</t>
  </si>
  <si>
    <t>940879104</t>
  </si>
  <si>
    <t>915078578</t>
  </si>
  <si>
    <t>med135@hospital.upskill.com</t>
  </si>
  <si>
    <t>med136</t>
  </si>
  <si>
    <t>pswmed136</t>
  </si>
  <si>
    <t>Gabriel Francisco Esteves Oliveira</t>
  </si>
  <si>
    <t>2825-797</t>
  </si>
  <si>
    <t>98363189</t>
  </si>
  <si>
    <t>790494930</t>
  </si>
  <si>
    <t>615488433</t>
  </si>
  <si>
    <t>934778005</t>
  </si>
  <si>
    <t>med136@hospital.upskill.com</t>
  </si>
  <si>
    <t>med137</t>
  </si>
  <si>
    <t>pswmed137</t>
  </si>
  <si>
    <t>Bruno José Teixeira Monteiro</t>
  </si>
  <si>
    <t>1249-809</t>
  </si>
  <si>
    <t>14736332</t>
  </si>
  <si>
    <t>952294210</t>
  </si>
  <si>
    <t>380296293</t>
  </si>
  <si>
    <t>912500470</t>
  </si>
  <si>
    <t>med137@hospital.upskill.com</t>
  </si>
  <si>
    <t>med138</t>
  </si>
  <si>
    <t>pswmed138</t>
  </si>
  <si>
    <t>Maria Tiago Garcia Freitas</t>
  </si>
  <si>
    <t>1170-696</t>
  </si>
  <si>
    <t>57896492</t>
  </si>
  <si>
    <t>696530831</t>
  </si>
  <si>
    <t>618557008</t>
  </si>
  <si>
    <t>963547783</t>
  </si>
  <si>
    <t>med138@hospital.upskill.com</t>
  </si>
  <si>
    <t>med139</t>
  </si>
  <si>
    <t>pswmed139</t>
  </si>
  <si>
    <t>Mariana Mariana Vieira Pacheco</t>
  </si>
  <si>
    <t>1649-615</t>
  </si>
  <si>
    <t>14901171</t>
  </si>
  <si>
    <t>764583453</t>
  </si>
  <si>
    <t>365675865</t>
  </si>
  <si>
    <t>932945801</t>
  </si>
  <si>
    <t>med139@hospital.upskill.com</t>
  </si>
  <si>
    <t>med140</t>
  </si>
  <si>
    <t>pswmed140</t>
  </si>
  <si>
    <t>Vera João Amaral Cruz</t>
  </si>
  <si>
    <t>2710-102</t>
  </si>
  <si>
    <t>41697178</t>
  </si>
  <si>
    <t>797802585</t>
  </si>
  <si>
    <t>726337185</t>
  </si>
  <si>
    <t>917616220</t>
  </si>
  <si>
    <t>med140@hospital.upskill.com</t>
  </si>
  <si>
    <t>med141</t>
  </si>
  <si>
    <t>pswmed141</t>
  </si>
  <si>
    <t>Afonso Joana Assunção Gomes</t>
  </si>
  <si>
    <t>2414-104</t>
  </si>
  <si>
    <t>33120801</t>
  </si>
  <si>
    <t>798998875</t>
  </si>
  <si>
    <t>774495144</t>
  </si>
  <si>
    <t>925996121</t>
  </si>
  <si>
    <t>med141@hospital.upskill.com</t>
  </si>
  <si>
    <t>med142</t>
  </si>
  <si>
    <t>pswmed142</t>
  </si>
  <si>
    <t>Catarina Gabriel Moreira Silva</t>
  </si>
  <si>
    <t>1249-655</t>
  </si>
  <si>
    <t>54864252</t>
  </si>
  <si>
    <t>405844962</t>
  </si>
  <si>
    <t>492534311</t>
  </si>
  <si>
    <t>913212242</t>
  </si>
  <si>
    <t>med142@hospital.upskill.com</t>
  </si>
  <si>
    <t>med143</t>
  </si>
  <si>
    <t>pswmed143</t>
  </si>
  <si>
    <t>Maria Diogo Domingues Valente</t>
  </si>
  <si>
    <t>1769-380</t>
  </si>
  <si>
    <t>47754237</t>
  </si>
  <si>
    <t>976293226</t>
  </si>
  <si>
    <t>180699100</t>
  </si>
  <si>
    <t>926283038</t>
  </si>
  <si>
    <t>med143@hospital.upskill.com</t>
  </si>
  <si>
    <t>med144</t>
  </si>
  <si>
    <t>pswmed144</t>
  </si>
  <si>
    <t>Beatriz Diogo Gonçalves Almeida</t>
  </si>
  <si>
    <t>1250-222</t>
  </si>
  <si>
    <t>79569284</t>
  </si>
  <si>
    <t>585051365</t>
  </si>
  <si>
    <t>952305062</t>
  </si>
  <si>
    <t>927836780</t>
  </si>
  <si>
    <t>med144@hospital.upskill.com</t>
  </si>
  <si>
    <t>med145</t>
  </si>
  <si>
    <t>pswmed145</t>
  </si>
  <si>
    <t>Beatriz Carolina Batista Leal</t>
  </si>
  <si>
    <t>1750-653</t>
  </si>
  <si>
    <t>11101081</t>
  </si>
  <si>
    <t>922773602</t>
  </si>
  <si>
    <t>657271476</t>
  </si>
  <si>
    <t>964893906</t>
  </si>
  <si>
    <t>med145@hospital.upskill.com</t>
  </si>
  <si>
    <t>med146</t>
  </si>
  <si>
    <t>pswmed146</t>
  </si>
  <si>
    <t>João Daniela Azevedo Abreu</t>
  </si>
  <si>
    <t>1999-407</t>
  </si>
  <si>
    <t>80504184</t>
  </si>
  <si>
    <t>801757415</t>
  </si>
  <si>
    <t>573704723</t>
  </si>
  <si>
    <t>935064808</t>
  </si>
  <si>
    <t>med146@hospital.upskill.com</t>
  </si>
  <si>
    <t>med147</t>
  </si>
  <si>
    <t>pswmed147</t>
  </si>
  <si>
    <t>Rodrigo Lurdes Cruz Pinho</t>
  </si>
  <si>
    <t>2423-20</t>
  </si>
  <si>
    <t>80740602</t>
  </si>
  <si>
    <t>862071189</t>
  </si>
  <si>
    <t>457452336</t>
  </si>
  <si>
    <t>922142290</t>
  </si>
  <si>
    <t>med147@hospital.upskill.com</t>
  </si>
  <si>
    <t>med148</t>
  </si>
  <si>
    <t>pswmed148</t>
  </si>
  <si>
    <t>André Diogo Machado Vieira</t>
  </si>
  <si>
    <t>1250-335</t>
  </si>
  <si>
    <t>99568157</t>
  </si>
  <si>
    <t>879379457</t>
  </si>
  <si>
    <t>303382348</t>
  </si>
  <si>
    <t>911244314</t>
  </si>
  <si>
    <t>med148@hospital.upskill.com</t>
  </si>
  <si>
    <t>med149</t>
  </si>
  <si>
    <t>pswmed149</t>
  </si>
  <si>
    <t>Francisca Miguel Mendes Maia</t>
  </si>
  <si>
    <t>1949-790</t>
  </si>
  <si>
    <t>84297198</t>
  </si>
  <si>
    <t>874614775</t>
  </si>
  <si>
    <t>467032594</t>
  </si>
  <si>
    <t>920920032</t>
  </si>
  <si>
    <t>med149@hospital.upskill.com</t>
  </si>
  <si>
    <t>med150</t>
  </si>
  <si>
    <t>pswmed150</t>
  </si>
  <si>
    <t>Francisco Pedro Magalhães Branco</t>
  </si>
  <si>
    <t>2659-751</t>
  </si>
  <si>
    <t>35274617</t>
  </si>
  <si>
    <t>148521200</t>
  </si>
  <si>
    <t>882690342</t>
  </si>
  <si>
    <t>968033992</t>
  </si>
  <si>
    <t>med150@hospital.upskill.com</t>
  </si>
  <si>
    <t>med151</t>
  </si>
  <si>
    <t>pswmed151</t>
  </si>
  <si>
    <t>José Francisco Soares Garcia</t>
  </si>
  <si>
    <t>1649-422</t>
  </si>
  <si>
    <t>67692095</t>
  </si>
  <si>
    <t>857851455</t>
  </si>
  <si>
    <t>622491139</t>
  </si>
  <si>
    <t>933347810</t>
  </si>
  <si>
    <t>med151@hospital.upskill.com</t>
  </si>
  <si>
    <t>med152</t>
  </si>
  <si>
    <t>pswmed152</t>
  </si>
  <si>
    <t>Tomás Martim Monteiro Rodrigues</t>
  </si>
  <si>
    <t>2650-224</t>
  </si>
  <si>
    <t>22457210</t>
  </si>
  <si>
    <t>598445762</t>
  </si>
  <si>
    <t>362953002</t>
  </si>
  <si>
    <t>926793148</t>
  </si>
  <si>
    <t>med152@hospital.upskill.com</t>
  </si>
  <si>
    <t>med153</t>
  </si>
  <si>
    <t>pswmed153</t>
  </si>
  <si>
    <t>Marco Maria Carvalho Fernandes</t>
  </si>
  <si>
    <t>2000-194</t>
  </si>
  <si>
    <t>33569866</t>
  </si>
  <si>
    <t>966821609</t>
  </si>
  <si>
    <t>666195068</t>
  </si>
  <si>
    <t>920618676</t>
  </si>
  <si>
    <t>med153@hospital.upskill.com</t>
  </si>
  <si>
    <t>med154</t>
  </si>
  <si>
    <t>pswmed154</t>
  </si>
  <si>
    <t>Marco Gabriel Neto Brito</t>
  </si>
  <si>
    <t>2005-374</t>
  </si>
  <si>
    <t>16216762</t>
  </si>
  <si>
    <t>135723215</t>
  </si>
  <si>
    <t>672910609</t>
  </si>
  <si>
    <t>939888307</t>
  </si>
  <si>
    <t>med154@hospital.upskill.com</t>
  </si>
  <si>
    <t>med155</t>
  </si>
  <si>
    <t>pswmed155</t>
  </si>
  <si>
    <t>Rodrigo Pedro Vicente Ramos</t>
  </si>
  <si>
    <t>2805-399</t>
  </si>
  <si>
    <t>39858987</t>
  </si>
  <si>
    <t>763086675</t>
  </si>
  <si>
    <t>569998927</t>
  </si>
  <si>
    <t>932614861</t>
  </si>
  <si>
    <t>med155@hospital.upskill.com</t>
  </si>
  <si>
    <t>med156</t>
  </si>
  <si>
    <t>pswmed156</t>
  </si>
  <si>
    <t>Gabriel João Nascimento Soares</t>
  </si>
  <si>
    <t>1100-801</t>
  </si>
  <si>
    <t>31485019</t>
  </si>
  <si>
    <t>637852025</t>
  </si>
  <si>
    <t>527257313</t>
  </si>
  <si>
    <t>922083009</t>
  </si>
  <si>
    <t>med156@hospital.upskill.com</t>
  </si>
  <si>
    <t>med157</t>
  </si>
  <si>
    <t>pswmed157</t>
  </si>
  <si>
    <t>Daniela Mariana Brito Raposo</t>
  </si>
  <si>
    <t>1748-287</t>
  </si>
  <si>
    <t>75274436</t>
  </si>
  <si>
    <t>896917927</t>
  </si>
  <si>
    <t>763097499</t>
  </si>
  <si>
    <t>930200608</t>
  </si>
  <si>
    <t>med157@hospital.upskill.com</t>
  </si>
  <si>
    <t>med158</t>
  </si>
  <si>
    <t>pswmed158</t>
  </si>
  <si>
    <t>Bruno Catarina Guerreiro Gomes</t>
  </si>
  <si>
    <t>2779-522</t>
  </si>
  <si>
    <t>97742740</t>
  </si>
  <si>
    <t>249042616</t>
  </si>
  <si>
    <t>125574648</t>
  </si>
  <si>
    <t>966581609</t>
  </si>
  <si>
    <t>med158@hospital.upskill.com</t>
  </si>
  <si>
    <t>med159</t>
  </si>
  <si>
    <t>pswmed159</t>
  </si>
  <si>
    <t>Sofia Inês Sá Jesus</t>
  </si>
  <si>
    <t>2610-872</t>
  </si>
  <si>
    <t>27705984</t>
  </si>
  <si>
    <t>903387796</t>
  </si>
  <si>
    <t>563851406</t>
  </si>
  <si>
    <t>921728959</t>
  </si>
  <si>
    <t>med159@hospital.upskill.com</t>
  </si>
  <si>
    <t>med160</t>
  </si>
  <si>
    <t>pswmed160</t>
  </si>
  <si>
    <t>Martim Martim Mendes Baptista</t>
  </si>
  <si>
    <t>2610-58</t>
  </si>
  <si>
    <t>68314294</t>
  </si>
  <si>
    <t>466535486</t>
  </si>
  <si>
    <t>928420290</t>
  </si>
  <si>
    <t>965101270</t>
  </si>
  <si>
    <t>med160@hospital.upskill.com</t>
  </si>
  <si>
    <t>med161</t>
  </si>
  <si>
    <t>pswmed161</t>
  </si>
  <si>
    <t>Francisco Ricardo Jesus Gomes</t>
  </si>
  <si>
    <t>1750-348</t>
  </si>
  <si>
    <t>87625569</t>
  </si>
  <si>
    <t>959522693</t>
  </si>
  <si>
    <t>322004746</t>
  </si>
  <si>
    <t>919165616</t>
  </si>
  <si>
    <t>med161@hospital.upskill.com</t>
  </si>
  <si>
    <t>med162</t>
  </si>
  <si>
    <t>pswmed162</t>
  </si>
  <si>
    <t>Carolina Duarte Pinho Amaral</t>
  </si>
  <si>
    <t>2000-704</t>
  </si>
  <si>
    <t>37297248</t>
  </si>
  <si>
    <t>850140471</t>
  </si>
  <si>
    <t>204287446</t>
  </si>
  <si>
    <t>921036009</t>
  </si>
  <si>
    <t>med162@hospital.upskill.com</t>
  </si>
  <si>
    <t>med163</t>
  </si>
  <si>
    <t>pswmed163</t>
  </si>
  <si>
    <t>Lurdes Beatriz Coelho Domingues</t>
  </si>
  <si>
    <t>1269-977</t>
  </si>
  <si>
    <t>49078320</t>
  </si>
  <si>
    <t>211141707</t>
  </si>
  <si>
    <t>670034332</t>
  </si>
  <si>
    <t>927617739</t>
  </si>
  <si>
    <t>med163@hospital.upskill.com</t>
  </si>
  <si>
    <t>med164</t>
  </si>
  <si>
    <t>pswmed164</t>
  </si>
  <si>
    <t>Francisca Joana Leal Barbosa</t>
  </si>
  <si>
    <t>1169-962</t>
  </si>
  <si>
    <t>49110185</t>
  </si>
  <si>
    <t>578692489</t>
  </si>
  <si>
    <t>993984582</t>
  </si>
  <si>
    <t>912310903</t>
  </si>
  <si>
    <t>med164@hospital.upskill.com</t>
  </si>
  <si>
    <t>med165</t>
  </si>
  <si>
    <t>pswmed165</t>
  </si>
  <si>
    <t>Mariana Afonso Vaz Coelho</t>
  </si>
  <si>
    <t>1169-806</t>
  </si>
  <si>
    <t>85044072</t>
  </si>
  <si>
    <t>332876310</t>
  </si>
  <si>
    <t>533899298</t>
  </si>
  <si>
    <t>931792508</t>
  </si>
  <si>
    <t>med165@hospital.upskill.com</t>
  </si>
  <si>
    <t>med166</t>
  </si>
  <si>
    <t>pswmed166</t>
  </si>
  <si>
    <t>Vera Matilde Henriques Torres</t>
  </si>
  <si>
    <t>2714-39</t>
  </si>
  <si>
    <t>54351832</t>
  </si>
  <si>
    <t>512310400</t>
  </si>
  <si>
    <t>438529874</t>
  </si>
  <si>
    <t>936697922</t>
  </si>
  <si>
    <t>med166@hospital.upskill.com</t>
  </si>
  <si>
    <t>med167</t>
  </si>
  <si>
    <t>pswmed167</t>
  </si>
  <si>
    <t>Luís Miguel Mota Barbosa</t>
  </si>
  <si>
    <t>2825-653</t>
  </si>
  <si>
    <t>80978954</t>
  </si>
  <si>
    <t>358095370</t>
  </si>
  <si>
    <t>771156914</t>
  </si>
  <si>
    <t>919374387</t>
  </si>
  <si>
    <t>med167@hospital.upskill.com</t>
  </si>
  <si>
    <t>med168</t>
  </si>
  <si>
    <t>pswmed168</t>
  </si>
  <si>
    <t>Tiago Catarina Batista Raposo</t>
  </si>
  <si>
    <t>2904-79</t>
  </si>
  <si>
    <t>97918113</t>
  </si>
  <si>
    <t>461473866</t>
  </si>
  <si>
    <t>135205573</t>
  </si>
  <si>
    <t>962802926</t>
  </si>
  <si>
    <t>med168@hospital.upskill.com</t>
  </si>
  <si>
    <t>med169</t>
  </si>
  <si>
    <t>pswmed169</t>
  </si>
  <si>
    <t>Afonso Ana Paiva Nunes</t>
  </si>
  <si>
    <t>2004-184</t>
  </si>
  <si>
    <t>87190151</t>
  </si>
  <si>
    <t>349320258</t>
  </si>
  <si>
    <t>825206033</t>
  </si>
  <si>
    <t>931999868</t>
  </si>
  <si>
    <t>med169@hospital.upskill.com</t>
  </si>
  <si>
    <t>med170</t>
  </si>
  <si>
    <t>pswmed170</t>
  </si>
  <si>
    <t>Daniela André Andrade Barbosa</t>
  </si>
  <si>
    <t>2814-57</t>
  </si>
  <si>
    <t>23357029</t>
  </si>
  <si>
    <t>212629083</t>
  </si>
  <si>
    <t>686276368</t>
  </si>
  <si>
    <t>966920989</t>
  </si>
  <si>
    <t>med170@hospital.upskill.com</t>
  </si>
  <si>
    <t>med171</t>
  </si>
  <si>
    <t>pswmed171</t>
  </si>
  <si>
    <t>Beatriz Miguel Gaspar Almeida</t>
  </si>
  <si>
    <t>1800-397</t>
  </si>
  <si>
    <t>29843426</t>
  </si>
  <si>
    <t>923188446</t>
  </si>
  <si>
    <t>641425464</t>
  </si>
  <si>
    <t>960955984</t>
  </si>
  <si>
    <t>med171@hospital.upskill.com</t>
  </si>
  <si>
    <t>med172</t>
  </si>
  <si>
    <t>pswmed172</t>
  </si>
  <si>
    <t>Maria Francisco Torres Ferreira</t>
  </si>
  <si>
    <t>2900-39</t>
  </si>
  <si>
    <t>98632300</t>
  </si>
  <si>
    <t>663707373</t>
  </si>
  <si>
    <t>408981479</t>
  </si>
  <si>
    <t>920051430</t>
  </si>
  <si>
    <t>med172@hospital.upskill.com</t>
  </si>
  <si>
    <t>med173</t>
  </si>
  <si>
    <t>pswmed173</t>
  </si>
  <si>
    <t>Lurdes Mariana Almeida Moura</t>
  </si>
  <si>
    <t>2350-47</t>
  </si>
  <si>
    <t>73820576</t>
  </si>
  <si>
    <t>524885903</t>
  </si>
  <si>
    <t>539896198</t>
  </si>
  <si>
    <t>963304339</t>
  </si>
  <si>
    <t>med173@hospital.upskill.com</t>
  </si>
  <si>
    <t>med174</t>
  </si>
  <si>
    <t>pswmed174</t>
  </si>
  <si>
    <t>Diogo Bruno Vieira Jesus</t>
  </si>
  <si>
    <t>2749-323</t>
  </si>
  <si>
    <t>52245547</t>
  </si>
  <si>
    <t>107167212</t>
  </si>
  <si>
    <t>939277197</t>
  </si>
  <si>
    <t>936205064</t>
  </si>
  <si>
    <t>med174@hospital.upskill.com</t>
  </si>
  <si>
    <t>med175</t>
  </si>
  <si>
    <t>pswmed175</t>
  </si>
  <si>
    <t>Bruno Ricardo Vicente Ribeiro</t>
  </si>
  <si>
    <t>2754-296</t>
  </si>
  <si>
    <t>63601759</t>
  </si>
  <si>
    <t>259595960</t>
  </si>
  <si>
    <t>386856592</t>
  </si>
  <si>
    <t>930844057</t>
  </si>
  <si>
    <t>med175@hospital.upskill.com</t>
  </si>
  <si>
    <t>med176</t>
  </si>
  <si>
    <t>pswmed176</t>
  </si>
  <si>
    <t>Francisco Rodrigo Moreira Almeida</t>
  </si>
  <si>
    <t>2610-592</t>
  </si>
  <si>
    <t>93772551</t>
  </si>
  <si>
    <t>654107835</t>
  </si>
  <si>
    <t>648781073</t>
  </si>
  <si>
    <t>964938119</t>
  </si>
  <si>
    <t>med176@hospital.upskill.com</t>
  </si>
  <si>
    <t>med177</t>
  </si>
  <si>
    <t>pswmed177</t>
  </si>
  <si>
    <t>Sofia Beatriz Neves Morais</t>
  </si>
  <si>
    <t>1600-951</t>
  </si>
  <si>
    <t>66917681</t>
  </si>
  <si>
    <t>649159556</t>
  </si>
  <si>
    <t>163329868</t>
  </si>
  <si>
    <t>925527558</t>
  </si>
  <si>
    <t>med177@hospital.upskill.com</t>
  </si>
  <si>
    <t>med178</t>
  </si>
  <si>
    <t>pswmed178</t>
  </si>
  <si>
    <t>Santiago Joana Gonçalves Neves</t>
  </si>
  <si>
    <t>1998-7</t>
  </si>
  <si>
    <t>67620114</t>
  </si>
  <si>
    <t>276177474</t>
  </si>
  <si>
    <t>779317269</t>
  </si>
  <si>
    <t>920253874</t>
  </si>
  <si>
    <t>med178@hospital.upskill.com</t>
  </si>
  <si>
    <t>med179</t>
  </si>
  <si>
    <t>pswmed179</t>
  </si>
  <si>
    <t>Tiago José Domingues Garcia</t>
  </si>
  <si>
    <t>1600-876</t>
  </si>
  <si>
    <t>43687614</t>
  </si>
  <si>
    <t>111798186</t>
  </si>
  <si>
    <t>462974509</t>
  </si>
  <si>
    <t>930804445</t>
  </si>
  <si>
    <t>med179@hospital.upskill.com</t>
  </si>
  <si>
    <t>med180</t>
  </si>
  <si>
    <t>pswmed180</t>
  </si>
  <si>
    <t>Mariana Inês Tavares Oliveira</t>
  </si>
  <si>
    <t>1249-198</t>
  </si>
  <si>
    <t>96642147</t>
  </si>
  <si>
    <t>978910972</t>
  </si>
  <si>
    <t>333996800</t>
  </si>
  <si>
    <t>937639335</t>
  </si>
  <si>
    <t>med180@hospital.upskill.com</t>
  </si>
  <si>
    <t>med181</t>
  </si>
  <si>
    <t>pswmed181</t>
  </si>
  <si>
    <t>Bruno Ana Correia Assunção</t>
  </si>
  <si>
    <t>2000-906</t>
  </si>
  <si>
    <t>35026920</t>
  </si>
  <si>
    <t>838687825</t>
  </si>
  <si>
    <t>990344501</t>
  </si>
  <si>
    <t>938502983</t>
  </si>
  <si>
    <t>med181@hospital.upskill.com</t>
  </si>
  <si>
    <t>med182</t>
  </si>
  <si>
    <t>pswmed182</t>
  </si>
  <si>
    <t>Pedro João Sá Pinheiro</t>
  </si>
  <si>
    <t>2009-763</t>
  </si>
  <si>
    <t>69859903</t>
  </si>
  <si>
    <t>971954007</t>
  </si>
  <si>
    <t>291907089</t>
  </si>
  <si>
    <t>962322732</t>
  </si>
  <si>
    <t>med182@hospital.upskill.com</t>
  </si>
  <si>
    <t>med183</t>
  </si>
  <si>
    <t>pswmed183</t>
  </si>
  <si>
    <t>Inês Sofia Campos Vicente</t>
  </si>
  <si>
    <t>2420-766</t>
  </si>
  <si>
    <t>79018748</t>
  </si>
  <si>
    <t>764542853</t>
  </si>
  <si>
    <t>195543716</t>
  </si>
  <si>
    <t>921294620</t>
  </si>
  <si>
    <t>med183@hospital.upskill.com</t>
  </si>
  <si>
    <t>med184</t>
  </si>
  <si>
    <t>pswmed184</t>
  </si>
  <si>
    <t>Catarina João Sá Cardoso</t>
  </si>
  <si>
    <t>1249-525</t>
  </si>
  <si>
    <t>70773267</t>
  </si>
  <si>
    <t>949578839</t>
  </si>
  <si>
    <t>144181235</t>
  </si>
  <si>
    <t>963143404</t>
  </si>
  <si>
    <t>med184@hospital.upskill.com</t>
  </si>
  <si>
    <t>med185</t>
  </si>
  <si>
    <t>pswmed185</t>
  </si>
  <si>
    <t>Catarina Mariana Gonçalves Nunes</t>
  </si>
  <si>
    <t>2720-707</t>
  </si>
  <si>
    <t>86408290</t>
  </si>
  <si>
    <t>387209795</t>
  </si>
  <si>
    <t>971556016</t>
  </si>
  <si>
    <t>966023653</t>
  </si>
  <si>
    <t>med185@hospital.upskill.com</t>
  </si>
  <si>
    <t>med186</t>
  </si>
  <si>
    <t>pswmed186</t>
  </si>
  <si>
    <t>Afonso Francisco Moura Ribeiro</t>
  </si>
  <si>
    <t>2914-806</t>
  </si>
  <si>
    <t>12200888</t>
  </si>
  <si>
    <t>348828792</t>
  </si>
  <si>
    <t>623637816</t>
  </si>
  <si>
    <t>934842831</t>
  </si>
  <si>
    <t>med186@hospital.upskill.com</t>
  </si>
  <si>
    <t>med187</t>
  </si>
  <si>
    <t>pswmed187</t>
  </si>
  <si>
    <t>Catarina Ana Azevedo Gomes</t>
  </si>
  <si>
    <t>2614-774</t>
  </si>
  <si>
    <t>34471969</t>
  </si>
  <si>
    <t>134902894</t>
  </si>
  <si>
    <t>678037833</t>
  </si>
  <si>
    <t>913784154</t>
  </si>
  <si>
    <t>med187@hospital.upskill.com</t>
  </si>
  <si>
    <t>med188</t>
  </si>
  <si>
    <t>pswmed188</t>
  </si>
  <si>
    <t>Santiago Francisco Pinho Figueiredo</t>
  </si>
  <si>
    <t>2610-539</t>
  </si>
  <si>
    <t>83847944</t>
  </si>
  <si>
    <t>594422239</t>
  </si>
  <si>
    <t>242139838</t>
  </si>
  <si>
    <t>966524366</t>
  </si>
  <si>
    <t>med188@hospital.upskill.com</t>
  </si>
  <si>
    <t>med189</t>
  </si>
  <si>
    <t>pswmed189</t>
  </si>
  <si>
    <t>Gabriel Mariana Borges Vieira</t>
  </si>
  <si>
    <t>1998-946</t>
  </si>
  <si>
    <t>98067373</t>
  </si>
  <si>
    <t>225839730</t>
  </si>
  <si>
    <t>592972845</t>
  </si>
  <si>
    <t>922626874</t>
  </si>
  <si>
    <t>med189@hospital.upskill.com</t>
  </si>
  <si>
    <t>med190</t>
  </si>
  <si>
    <t>pswmed190</t>
  </si>
  <si>
    <t>Pedro Martim Teixeira Jesus</t>
  </si>
  <si>
    <t>2670-880</t>
  </si>
  <si>
    <t>43402361</t>
  </si>
  <si>
    <t>166242901</t>
  </si>
  <si>
    <t>396655042</t>
  </si>
  <si>
    <t>920533116</t>
  </si>
  <si>
    <t>med190@hospital.upskill.com</t>
  </si>
  <si>
    <t>med191</t>
  </si>
  <si>
    <t>pswmed191</t>
  </si>
  <si>
    <t>Diana Daniela Andrade Cunha</t>
  </si>
  <si>
    <t>2655-422</t>
  </si>
  <si>
    <t>10712331</t>
  </si>
  <si>
    <t>762479156</t>
  </si>
  <si>
    <t>161736413</t>
  </si>
  <si>
    <t>928731953</t>
  </si>
  <si>
    <t>med191@hospital.upskill.com</t>
  </si>
  <si>
    <t>med192</t>
  </si>
  <si>
    <t>pswmed192</t>
  </si>
  <si>
    <t>Mariana Martim Pires Faria</t>
  </si>
  <si>
    <t>2414-951</t>
  </si>
  <si>
    <t>22901071</t>
  </si>
  <si>
    <t>715800421</t>
  </si>
  <si>
    <t>752066384</t>
  </si>
  <si>
    <t>925173370</t>
  </si>
  <si>
    <t>med192@hospital.upskill.com</t>
  </si>
  <si>
    <t>med193</t>
  </si>
  <si>
    <t>pswmed193</t>
  </si>
  <si>
    <t>Carolina Martim Morais Domingues</t>
  </si>
  <si>
    <t>2870-30</t>
  </si>
  <si>
    <t>92143440</t>
  </si>
  <si>
    <t>473971105</t>
  </si>
  <si>
    <t>705377476</t>
  </si>
  <si>
    <t>916923694</t>
  </si>
  <si>
    <t>med193@hospital.upskill.com</t>
  </si>
  <si>
    <t>med194</t>
  </si>
  <si>
    <t>pswmed194</t>
  </si>
  <si>
    <t>Ana Tiago Loureiro Batista</t>
  </si>
  <si>
    <t>1067-588</t>
  </si>
  <si>
    <t>66334183</t>
  </si>
  <si>
    <t>455438770</t>
  </si>
  <si>
    <t>489240765</t>
  </si>
  <si>
    <t>928234479</t>
  </si>
  <si>
    <t>med194@hospital.upskill.com</t>
  </si>
  <si>
    <t>med195</t>
  </si>
  <si>
    <t>pswmed195</t>
  </si>
  <si>
    <t>Martim Ana Almeida Cardoso</t>
  </si>
  <si>
    <t>2654-921</t>
  </si>
  <si>
    <t>80316565</t>
  </si>
  <si>
    <t>124734537</t>
  </si>
  <si>
    <t>200947676</t>
  </si>
  <si>
    <t>914622488</t>
  </si>
  <si>
    <t>med195@hospital.upskill.com</t>
  </si>
  <si>
    <t>med196</t>
  </si>
  <si>
    <t>pswmed196</t>
  </si>
  <si>
    <t>Mariana Daniela Branco Fonseca</t>
  </si>
  <si>
    <t>3000-190</t>
  </si>
  <si>
    <t>78534413</t>
  </si>
  <si>
    <t>234074635</t>
  </si>
  <si>
    <t>209032635</t>
  </si>
  <si>
    <t>969511554</t>
  </si>
  <si>
    <t>med196@hospital.upskill.com</t>
  </si>
  <si>
    <t>med197</t>
  </si>
  <si>
    <t>pswmed197</t>
  </si>
  <si>
    <t>Daniela Sara Branco Coelho</t>
  </si>
  <si>
    <t>1098-624</t>
  </si>
  <si>
    <t>95571505</t>
  </si>
  <si>
    <t>778129184</t>
  </si>
  <si>
    <t>429373531</t>
  </si>
  <si>
    <t>960726280</t>
  </si>
  <si>
    <t>med197@hospital.upskill.com</t>
  </si>
  <si>
    <t>med198</t>
  </si>
  <si>
    <t>pswmed198</t>
  </si>
  <si>
    <t>José Maria Domingues Nunes</t>
  </si>
  <si>
    <t>2825-819</t>
  </si>
  <si>
    <t>74770193</t>
  </si>
  <si>
    <t>451473099</t>
  </si>
  <si>
    <t>244018326</t>
  </si>
  <si>
    <t>928663067</t>
  </si>
  <si>
    <t>med198@hospital.upskill.com</t>
  </si>
  <si>
    <t>post_code</t>
  </si>
  <si>
    <t>matboa1998</t>
  </si>
  <si>
    <t>pswmatboa1998</t>
  </si>
  <si>
    <t>1998-797</t>
  </si>
  <si>
    <t>78624754</t>
  </si>
  <si>
    <t>451928972</t>
  </si>
  <si>
    <t>234765887</t>
  </si>
  <si>
    <t>968240344</t>
  </si>
  <si>
    <t>matboa1998@outlook.com</t>
  </si>
  <si>
    <t>ineboa1149</t>
  </si>
  <si>
    <t>pswineboa1149</t>
  </si>
  <si>
    <t>1149-717</t>
  </si>
  <si>
    <t>41331330</t>
  </si>
  <si>
    <t>663836367</t>
  </si>
  <si>
    <t>188647465</t>
  </si>
  <si>
    <t>933180718</t>
  </si>
  <si>
    <t>ineboa1149@sapo.pt</t>
  </si>
  <si>
    <t>catbal2900</t>
  </si>
  <si>
    <t>pswcatbal2900</t>
  </si>
  <si>
    <t>2900-035</t>
  </si>
  <si>
    <t>33811622</t>
  </si>
  <si>
    <t>771288542</t>
  </si>
  <si>
    <t>593706337</t>
  </si>
  <si>
    <t>926958025</t>
  </si>
  <si>
    <t>catbal2900@gmail.com</t>
  </si>
  <si>
    <t>sanira2659</t>
  </si>
  <si>
    <t>pswsanira2659</t>
  </si>
  <si>
    <t>2659-635</t>
  </si>
  <si>
    <t>50701579</t>
  </si>
  <si>
    <t>542975440</t>
  </si>
  <si>
    <t>356688422</t>
  </si>
  <si>
    <t>968126436</t>
  </si>
  <si>
    <t>sanira2659@gmail.com</t>
  </si>
  <si>
    <t>1199-516</t>
  </si>
  <si>
    <t>97453109</t>
  </si>
  <si>
    <t>176544640</t>
  </si>
  <si>
    <t>222840086</t>
  </si>
  <si>
    <t>966272040</t>
  </si>
  <si>
    <t>tomboa1199@gmail.com</t>
  </si>
  <si>
    <t>danboa1500</t>
  </si>
  <si>
    <t>pswdanboa1500</t>
  </si>
  <si>
    <t>1500-766</t>
  </si>
  <si>
    <t>40209340</t>
  </si>
  <si>
    <t>295159011</t>
  </si>
  <si>
    <t>349852642</t>
  </si>
  <si>
    <t>965184474</t>
  </si>
  <si>
    <t>danboa1500@gmail.com</t>
  </si>
  <si>
    <t>1300-689</t>
  </si>
  <si>
    <t>85307322</t>
  </si>
  <si>
    <t>526431410</t>
  </si>
  <si>
    <t>409443020</t>
  </si>
  <si>
    <t>929766199</t>
  </si>
  <si>
    <t>luiboa1300@gmail.com</t>
  </si>
  <si>
    <t>danboa1068</t>
  </si>
  <si>
    <t>pswdanboa1068</t>
  </si>
  <si>
    <t>1068-338</t>
  </si>
  <si>
    <t>21664050</t>
  </si>
  <si>
    <t>402086217</t>
  </si>
  <si>
    <t>186375197</t>
  </si>
  <si>
    <t>926770275</t>
  </si>
  <si>
    <t>danboa1068@sapo.pt</t>
  </si>
  <si>
    <t>tiamar2300</t>
  </si>
  <si>
    <t>pswtiamar2300</t>
  </si>
  <si>
    <t>2300-606</t>
  </si>
  <si>
    <t>30377138</t>
  </si>
  <si>
    <t>725527120</t>
  </si>
  <si>
    <t>204508046</t>
  </si>
  <si>
    <t>928672436</t>
  </si>
  <si>
    <t>tiamar2300@gmail.com</t>
  </si>
  <si>
    <t>danria2410</t>
  </si>
  <si>
    <t>pswdanria2410</t>
  </si>
  <si>
    <t>2410-777</t>
  </si>
  <si>
    <t>53687911</t>
  </si>
  <si>
    <t>311877594</t>
  </si>
  <si>
    <t>697156304</t>
  </si>
  <si>
    <t>917651006</t>
  </si>
  <si>
    <t>danria2410@gmail.com</t>
  </si>
  <si>
    <t>ineada2810</t>
  </si>
  <si>
    <t>pswineada2810</t>
  </si>
  <si>
    <t>2810-929</t>
  </si>
  <si>
    <t>97254696</t>
  </si>
  <si>
    <t>875221726</t>
  </si>
  <si>
    <t>236245090</t>
  </si>
  <si>
    <t>968453282</t>
  </si>
  <si>
    <t>ineada2810@sapo.pt</t>
  </si>
  <si>
    <t>tomira2659</t>
  </si>
  <si>
    <t>pswtomira2659</t>
  </si>
  <si>
    <t>Tomás Alves</t>
  </si>
  <si>
    <t>2659-411</t>
  </si>
  <si>
    <t>49353265</t>
  </si>
  <si>
    <t>863169869</t>
  </si>
  <si>
    <t>662412241</t>
  </si>
  <si>
    <t>939034152</t>
  </si>
  <si>
    <t>tomira2659@outlook.com</t>
  </si>
  <si>
    <t>andboa1070</t>
  </si>
  <si>
    <t>pswandboa1070</t>
  </si>
  <si>
    <t>André Fernandes</t>
  </si>
  <si>
    <t>1070-732</t>
  </si>
  <si>
    <t>93244153</t>
  </si>
  <si>
    <t>323457686</t>
  </si>
  <si>
    <t>960855137</t>
  </si>
  <si>
    <t>961670040</t>
  </si>
  <si>
    <t>andboa1070@gmail.com</t>
  </si>
  <si>
    <t>sarboa1748</t>
  </si>
  <si>
    <t>pswsarboa1748</t>
  </si>
  <si>
    <t>Sara Fonseca</t>
  </si>
  <si>
    <t>1748-007</t>
  </si>
  <si>
    <t>42668010</t>
  </si>
  <si>
    <t>447668216</t>
  </si>
  <si>
    <t>671355240</t>
  </si>
  <si>
    <t>917457301</t>
  </si>
  <si>
    <t>sarboa1748@outlook.com</t>
  </si>
  <si>
    <t>sofboa1149</t>
  </si>
  <si>
    <t>pswsofboa1149</t>
  </si>
  <si>
    <t>Sofia Monteiro</t>
  </si>
  <si>
    <t>1149-593</t>
  </si>
  <si>
    <t>44704014</t>
  </si>
  <si>
    <t>972591702</t>
  </si>
  <si>
    <t>709129991</t>
  </si>
  <si>
    <t>969025575</t>
  </si>
  <si>
    <t>sofboa1149@outlook.com</t>
  </si>
  <si>
    <t>afovas2350</t>
  </si>
  <si>
    <t>pswafovas2350</t>
  </si>
  <si>
    <t>Afonso Lopes</t>
  </si>
  <si>
    <t>2350-352</t>
  </si>
  <si>
    <t>13602453</t>
  </si>
  <si>
    <t>428893392</t>
  </si>
  <si>
    <t>724663676</t>
  </si>
  <si>
    <t>966203362</t>
  </si>
  <si>
    <t>afovas2350@gmail.com</t>
  </si>
  <si>
    <t>sofora2720</t>
  </si>
  <si>
    <t>pswsofora2720</t>
  </si>
  <si>
    <t>Sofia Araújo</t>
  </si>
  <si>
    <t>2720-006</t>
  </si>
  <si>
    <t>19962455</t>
  </si>
  <si>
    <t>250402701</t>
  </si>
  <si>
    <t>958712719</t>
  </si>
  <si>
    <t>939919167</t>
  </si>
  <si>
    <t>sofora2720@sapo.pt</t>
  </si>
  <si>
    <t>dioboa1549</t>
  </si>
  <si>
    <t>pswdioboa1549</t>
  </si>
  <si>
    <t>Diogo Marques</t>
  </si>
  <si>
    <t>1549-225</t>
  </si>
  <si>
    <t>13530939</t>
  </si>
  <si>
    <t>514260555</t>
  </si>
  <si>
    <t>661991618</t>
  </si>
  <si>
    <t>929195602</t>
  </si>
  <si>
    <t>dioboa1549@gmail.com</t>
  </si>
  <si>
    <t>verboa1449</t>
  </si>
  <si>
    <t>pswverboa1449</t>
  </si>
  <si>
    <t>Vera Guerreiro</t>
  </si>
  <si>
    <t>1449-554</t>
  </si>
  <si>
    <t>99736925</t>
  </si>
  <si>
    <t>206120516</t>
  </si>
  <si>
    <t>654314148</t>
  </si>
  <si>
    <t>920829499</t>
  </si>
  <si>
    <t>verboa1449@gmail.com</t>
  </si>
  <si>
    <t>luires2674</t>
  </si>
  <si>
    <t>pswluires2674</t>
  </si>
  <si>
    <t>Luís Moura</t>
  </si>
  <si>
    <t>2674-161</t>
  </si>
  <si>
    <t>48547393</t>
  </si>
  <si>
    <t>829232999</t>
  </si>
  <si>
    <t>742534559</t>
  </si>
  <si>
    <t>935089632</t>
  </si>
  <si>
    <t>luires2674@outlook.com</t>
  </si>
  <si>
    <t>beaboa1250</t>
  </si>
  <si>
    <t>pswbeaboa1250</t>
  </si>
  <si>
    <t>Beatriz Rodrigues</t>
  </si>
  <si>
    <t>1250-099</t>
  </si>
  <si>
    <t>54553248</t>
  </si>
  <si>
    <t>787624174</t>
  </si>
  <si>
    <t>279413108</t>
  </si>
  <si>
    <t>933692996</t>
  </si>
  <si>
    <t>beaboa1250@outlook.com</t>
  </si>
  <si>
    <t>tomiro2830</t>
  </si>
  <si>
    <t>pswtomiro2830</t>
  </si>
  <si>
    <t>Tomás Antunes</t>
  </si>
  <si>
    <t>2830-356</t>
  </si>
  <si>
    <t>83954885</t>
  </si>
  <si>
    <t>610817157</t>
  </si>
  <si>
    <t>131311426</t>
  </si>
  <si>
    <t>932240266</t>
  </si>
  <si>
    <t>tomiro2830@gmail.com</t>
  </si>
  <si>
    <t>marboa1449</t>
  </si>
  <si>
    <t>pswmarboa1449</t>
  </si>
  <si>
    <t>Maria Gonçalves</t>
  </si>
  <si>
    <t>1449-773</t>
  </si>
  <si>
    <t>97208417</t>
  </si>
  <si>
    <t>280167680</t>
  </si>
  <si>
    <t>841088729</t>
  </si>
  <si>
    <t>966458655</t>
  </si>
  <si>
    <t>marboa1449@sapo.pt</t>
  </si>
  <si>
    <t>lurora2614</t>
  </si>
  <si>
    <t>pswlurora2614</t>
  </si>
  <si>
    <t>Lurdes Anjos</t>
  </si>
  <si>
    <t>2614-558</t>
  </si>
  <si>
    <t>52766014</t>
  </si>
  <si>
    <t>587768332</t>
  </si>
  <si>
    <t>921851723</t>
  </si>
  <si>
    <t>963669868</t>
  </si>
  <si>
    <t>lurora2614@gmail.com</t>
  </si>
  <si>
    <t>brumar2300</t>
  </si>
  <si>
    <t>pswbrumar2300</t>
  </si>
  <si>
    <t>Bruno Cardoso</t>
  </si>
  <si>
    <t>2300-648</t>
  </si>
  <si>
    <t>49434863</t>
  </si>
  <si>
    <t>901014406</t>
  </si>
  <si>
    <t>771910521</t>
  </si>
  <si>
    <t>911763111</t>
  </si>
  <si>
    <t>brumar2300@gmail.com</t>
  </si>
  <si>
    <t>luibal2900</t>
  </si>
  <si>
    <t>pswluibal2900</t>
  </si>
  <si>
    <t>Luís Vaz</t>
  </si>
  <si>
    <t>2900-389</t>
  </si>
  <si>
    <t>90881305</t>
  </si>
  <si>
    <t>871142470</t>
  </si>
  <si>
    <t>119341641</t>
  </si>
  <si>
    <t>912739528</t>
  </si>
  <si>
    <t>luibal2900@gmail.com</t>
  </si>
  <si>
    <t>migboa1069</t>
  </si>
  <si>
    <t>pswmigboa1069</t>
  </si>
  <si>
    <t>Miguel Henriques</t>
  </si>
  <si>
    <t>1069-220</t>
  </si>
  <si>
    <t>98240797</t>
  </si>
  <si>
    <t>748524936</t>
  </si>
  <si>
    <t>639542463</t>
  </si>
  <si>
    <t>913254788</t>
  </si>
  <si>
    <t>migboa1069@gmail.com</t>
  </si>
  <si>
    <t>anaboa1069</t>
  </si>
  <si>
    <t>pswanaboa1069</t>
  </si>
  <si>
    <t>Ana Ribeiro</t>
  </si>
  <si>
    <t>1069-339</t>
  </si>
  <si>
    <t>92832000</t>
  </si>
  <si>
    <t>764495194</t>
  </si>
  <si>
    <t>310908090</t>
  </si>
  <si>
    <t>964115155</t>
  </si>
  <si>
    <t>anaboa1069@outlook.com</t>
  </si>
  <si>
    <t>Maria Ferreira</t>
  </si>
  <si>
    <t>2754-094</t>
  </si>
  <si>
    <t>71545317</t>
  </si>
  <si>
    <t>950173863</t>
  </si>
  <si>
    <t>332168392</t>
  </si>
  <si>
    <t>968892766</t>
  </si>
  <si>
    <t>fraide2794</t>
  </si>
  <si>
    <t>pswfraide2794</t>
  </si>
  <si>
    <t>Francisca Raposo</t>
  </si>
  <si>
    <t>2794-864</t>
  </si>
  <si>
    <t>83796504</t>
  </si>
  <si>
    <t>120828074</t>
  </si>
  <si>
    <t>769360947</t>
  </si>
  <si>
    <t>915574498</t>
  </si>
  <si>
    <t>fraide2794@outlook.com</t>
  </si>
  <si>
    <t>luiboa1200</t>
  </si>
  <si>
    <t>pswluiboa1200</t>
  </si>
  <si>
    <t>Luís Lima</t>
  </si>
  <si>
    <t>1200-936</t>
  </si>
  <si>
    <t>10780788</t>
  </si>
  <si>
    <t>629677497</t>
  </si>
  <si>
    <t>909190085</t>
  </si>
  <si>
    <t>936801172</t>
  </si>
  <si>
    <t>luiboa1200@sapo.pt</t>
  </si>
  <si>
    <t>carboa1849</t>
  </si>
  <si>
    <t>pswcarboa1849</t>
  </si>
  <si>
    <t>Carolina Ribeiro</t>
  </si>
  <si>
    <t>1849-970</t>
  </si>
  <si>
    <t>66745495</t>
  </si>
  <si>
    <t>333029176</t>
  </si>
  <si>
    <t>230345618</t>
  </si>
  <si>
    <t>915047705</t>
  </si>
  <si>
    <t>carboa1849@sapo.pt</t>
  </si>
  <si>
    <t>danluz2745</t>
  </si>
  <si>
    <t>pswdanluz2745</t>
  </si>
  <si>
    <t>Daniela Nascimento Oliveira</t>
  </si>
  <si>
    <t>2745-127</t>
  </si>
  <si>
    <t>42551173</t>
  </si>
  <si>
    <t>354429799</t>
  </si>
  <si>
    <t>778997333</t>
  </si>
  <si>
    <t>936973199</t>
  </si>
  <si>
    <t>danluz2745@outlook.com</t>
  </si>
  <si>
    <t>luiboa1950</t>
  </si>
  <si>
    <t>pswluiboa1950</t>
  </si>
  <si>
    <t>Luís Cruz Simões</t>
  </si>
  <si>
    <t>1950-476</t>
  </si>
  <si>
    <t>13966838</t>
  </si>
  <si>
    <t>179399141</t>
  </si>
  <si>
    <t>100041004</t>
  </si>
  <si>
    <t>914502172</t>
  </si>
  <si>
    <t>luiboa1950@sapo.pt</t>
  </si>
  <si>
    <t>joaais2750</t>
  </si>
  <si>
    <t>pswjoaais2750</t>
  </si>
  <si>
    <t>Joana Pinho Rocha</t>
  </si>
  <si>
    <t>2750-029</t>
  </si>
  <si>
    <t>92754268</t>
  </si>
  <si>
    <t>690270684</t>
  </si>
  <si>
    <t>140405514</t>
  </si>
  <si>
    <t>964111504</t>
  </si>
  <si>
    <t>joaais2750@sapo.pt</t>
  </si>
  <si>
    <t>josboa1350</t>
  </si>
  <si>
    <t>pswjosboa1350</t>
  </si>
  <si>
    <t>José Machado Anjos</t>
  </si>
  <si>
    <t>1350-896</t>
  </si>
  <si>
    <t>44449557</t>
  </si>
  <si>
    <t>897333196</t>
  </si>
  <si>
    <t>879565568</t>
  </si>
  <si>
    <t>960006116</t>
  </si>
  <si>
    <t>josboa1350@outlook.com</t>
  </si>
  <si>
    <t>afoada2800</t>
  </si>
  <si>
    <t>pswafoada2800</t>
  </si>
  <si>
    <t>Afonso Freitas Simões</t>
  </si>
  <si>
    <t>2800-543</t>
  </si>
  <si>
    <t>48775692</t>
  </si>
  <si>
    <t>442766446</t>
  </si>
  <si>
    <t>168068537</t>
  </si>
  <si>
    <t>938282700</t>
  </si>
  <si>
    <t>afoada2800@gmail.com</t>
  </si>
  <si>
    <t>luinto2330</t>
  </si>
  <si>
    <t>pswluinto2330</t>
  </si>
  <si>
    <t>Luís Campos Neto</t>
  </si>
  <si>
    <t>2330-347</t>
  </si>
  <si>
    <t>19645770</t>
  </si>
  <si>
    <t>215593110</t>
  </si>
  <si>
    <t>740344092</t>
  </si>
  <si>
    <t>935815866</t>
  </si>
  <si>
    <t>luinto2330@gmail.com</t>
  </si>
  <si>
    <t>josira2659</t>
  </si>
  <si>
    <t>pswjosira2659</t>
  </si>
  <si>
    <t>José Garcia Ribeiro</t>
  </si>
  <si>
    <t>2659-254</t>
  </si>
  <si>
    <t>33862797</t>
  </si>
  <si>
    <t>617202739</t>
  </si>
  <si>
    <t>442156607</t>
  </si>
  <si>
    <t>921610847</t>
  </si>
  <si>
    <t>josira2659@outlook.com</t>
  </si>
  <si>
    <t>josbra3000</t>
  </si>
  <si>
    <t>pswjosbra3000</t>
  </si>
  <si>
    <t>José Gonçalves Esteves</t>
  </si>
  <si>
    <t>3000-307</t>
  </si>
  <si>
    <t>57372394</t>
  </si>
  <si>
    <t>511532615</t>
  </si>
  <si>
    <t>173062103</t>
  </si>
  <si>
    <t>966368981</t>
  </si>
  <si>
    <t>josbra3000@sapo.pt</t>
  </si>
  <si>
    <t>tiaboa1269</t>
  </si>
  <si>
    <t>pswtiaboa1269</t>
  </si>
  <si>
    <t>Tiago Sá Lourenço</t>
  </si>
  <si>
    <t>1269-310</t>
  </si>
  <si>
    <t>71488926</t>
  </si>
  <si>
    <t>213552044</t>
  </si>
  <si>
    <t>186167308</t>
  </si>
  <si>
    <t>935138223</t>
  </si>
  <si>
    <t>tiaboa1269@outlook.com</t>
  </si>
  <si>
    <t>gabira2655</t>
  </si>
  <si>
    <t>pswgabira2655</t>
  </si>
  <si>
    <t>Gabriel Ribeiro Tavares</t>
  </si>
  <si>
    <t>2655-193</t>
  </si>
  <si>
    <t>23463815</t>
  </si>
  <si>
    <t>539397928</t>
  </si>
  <si>
    <t>338201319</t>
  </si>
  <si>
    <t>934988076</t>
  </si>
  <si>
    <t>gabira2655@gmail.com</t>
  </si>
  <si>
    <t>migboa1900</t>
  </si>
  <si>
    <t>pswmigboa1900</t>
  </si>
  <si>
    <t>Miguel Pereira Morais</t>
  </si>
  <si>
    <t>1900-943</t>
  </si>
  <si>
    <t>68951616</t>
  </si>
  <si>
    <t>422440781</t>
  </si>
  <si>
    <t>354331457</t>
  </si>
  <si>
    <t>922667954</t>
  </si>
  <si>
    <t>migboa1900@outlook.com</t>
  </si>
  <si>
    <t>Marco Ribeiro Valente</t>
  </si>
  <si>
    <t>2655-578</t>
  </si>
  <si>
    <t>54893103</t>
  </si>
  <si>
    <t>306189858</t>
  </si>
  <si>
    <t>546065255</t>
  </si>
  <si>
    <t>919985800</t>
  </si>
  <si>
    <t>marira2659</t>
  </si>
  <si>
    <t>pswmarira2659</t>
  </si>
  <si>
    <t>Marco Ferreira Sá</t>
  </si>
  <si>
    <t>2659-641</t>
  </si>
  <si>
    <t>43097415</t>
  </si>
  <si>
    <t>397180680</t>
  </si>
  <si>
    <t>639860952</t>
  </si>
  <si>
    <t>934979602</t>
  </si>
  <si>
    <t>marira2659@gmail.com</t>
  </si>
  <si>
    <t>aforia2419</t>
  </si>
  <si>
    <t>pswaforia2419</t>
  </si>
  <si>
    <t>Afonso Miranda Torres</t>
  </si>
  <si>
    <t>2419-959</t>
  </si>
  <si>
    <t>20203894</t>
  </si>
  <si>
    <t>856997536</t>
  </si>
  <si>
    <t>361264062</t>
  </si>
  <si>
    <t>912840680</t>
  </si>
  <si>
    <t>aforia2419@gmail.com</t>
  </si>
  <si>
    <t>sanboa1950</t>
  </si>
  <si>
    <t>pswsanboa1950</t>
  </si>
  <si>
    <t>Santiago Leal Matias</t>
  </si>
  <si>
    <t>1950-487</t>
  </si>
  <si>
    <t>75538337</t>
  </si>
  <si>
    <t>984301341</t>
  </si>
  <si>
    <t>157425709</t>
  </si>
  <si>
    <t>918595256</t>
  </si>
  <si>
    <t>sanboa1950@sapo.pt</t>
  </si>
  <si>
    <t>joaboa1067</t>
  </si>
  <si>
    <t>pswjoaboa1067</t>
  </si>
  <si>
    <t>Joana Campos Branco</t>
  </si>
  <si>
    <t>1067-714</t>
  </si>
  <si>
    <t>30500099</t>
  </si>
  <si>
    <t>427227460</t>
  </si>
  <si>
    <t>445110718</t>
  </si>
  <si>
    <t>964417168</t>
  </si>
  <si>
    <t>joaboa1067@outlook.com</t>
  </si>
  <si>
    <t>beabal2914</t>
  </si>
  <si>
    <t>pswbeabal2914</t>
  </si>
  <si>
    <t>Beatriz Baptista Campos</t>
  </si>
  <si>
    <t>2914-096</t>
  </si>
  <si>
    <t>83156191</t>
  </si>
  <si>
    <t>435528525</t>
  </si>
  <si>
    <t>820723227</t>
  </si>
  <si>
    <t>921681363</t>
  </si>
  <si>
    <t>beabal2914@sapo.pt</t>
  </si>
  <si>
    <t>afoica2825</t>
  </si>
  <si>
    <t>pswafoica2825</t>
  </si>
  <si>
    <t>Afonso José Carvalho Costa</t>
  </si>
  <si>
    <t>2825-490</t>
  </si>
  <si>
    <t>62799668</t>
  </si>
  <si>
    <t>641004413</t>
  </si>
  <si>
    <t>470837378</t>
  </si>
  <si>
    <t>937455457</t>
  </si>
  <si>
    <t>afoica2825@sapo.pt</t>
  </si>
  <si>
    <t>rodboa1349</t>
  </si>
  <si>
    <t>pswrodboa1349</t>
  </si>
  <si>
    <t>Rodrigo Mariana Esteves Ramos</t>
  </si>
  <si>
    <t>1349-048</t>
  </si>
  <si>
    <t>64868411</t>
  </si>
  <si>
    <t>337840802</t>
  </si>
  <si>
    <t>749755057</t>
  </si>
  <si>
    <t>918051060</t>
  </si>
  <si>
    <t>rodboa1349@sapo.pt</t>
  </si>
  <si>
    <t>matboa1200</t>
  </si>
  <si>
    <t>pswmatboa1200</t>
  </si>
  <si>
    <t>Matilde Sara Lourenço Baptista</t>
  </si>
  <si>
    <t>1200-458</t>
  </si>
  <si>
    <t>69912205</t>
  </si>
  <si>
    <t>747613461</t>
  </si>
  <si>
    <t>234972868</t>
  </si>
  <si>
    <t>917611732</t>
  </si>
  <si>
    <t>matboa1200@outlook.com</t>
  </si>
  <si>
    <t>frarem2000</t>
  </si>
  <si>
    <t>pswfrarem2000</t>
  </si>
  <si>
    <t>Francisco Diogo Lourenço Mendes</t>
  </si>
  <si>
    <t>2000-828</t>
  </si>
  <si>
    <t>33792897</t>
  </si>
  <si>
    <t>660525990</t>
  </si>
  <si>
    <t>207286044</t>
  </si>
  <si>
    <t>962900518</t>
  </si>
  <si>
    <t>frarem2000@outlook.com</t>
  </si>
  <si>
    <t>tiairo2834</t>
  </si>
  <si>
    <t>pswtiairo2834</t>
  </si>
  <si>
    <t>Tiago João Pereira Gomes</t>
  </si>
  <si>
    <t>2834-975</t>
  </si>
  <si>
    <t>10425363</t>
  </si>
  <si>
    <t>973493124</t>
  </si>
  <si>
    <t>886445606</t>
  </si>
  <si>
    <t>939819443</t>
  </si>
  <si>
    <t>tiairo2834@outlook.com</t>
  </si>
  <si>
    <t>pednto2334</t>
  </si>
  <si>
    <t>pswpednto2334</t>
  </si>
  <si>
    <t>Pedro João Castro Rodrigues</t>
  </si>
  <si>
    <t>2334-340</t>
  </si>
  <si>
    <t>59547809</t>
  </si>
  <si>
    <t>664564164</t>
  </si>
  <si>
    <t>518520759</t>
  </si>
  <si>
    <t>914035074</t>
  </si>
  <si>
    <t>pednto2334@gmail.com</t>
  </si>
  <si>
    <t>fravas2350</t>
  </si>
  <si>
    <t>pswfravas2350</t>
  </si>
  <si>
    <t>Francisca João Machado Miranda</t>
  </si>
  <si>
    <t>2350-102</t>
  </si>
  <si>
    <t>74854183</t>
  </si>
  <si>
    <t>469543594</t>
  </si>
  <si>
    <t>960999999</t>
  </si>
  <si>
    <t>911579295</t>
  </si>
  <si>
    <t>fravas2350@gmail.com</t>
  </si>
  <si>
    <t>joaada2814</t>
  </si>
  <si>
    <t>pswjoaada2814</t>
  </si>
  <si>
    <t>João Ana Lima Loureiro</t>
  </si>
  <si>
    <t>2814-011</t>
  </si>
  <si>
    <t>85830291</t>
  </si>
  <si>
    <t>493126874</t>
  </si>
  <si>
    <t>672575891</t>
  </si>
  <si>
    <t>922466068</t>
  </si>
  <si>
    <t>joaada2814@outlook.com</t>
  </si>
  <si>
    <t>migrem2009</t>
  </si>
  <si>
    <t>pswmigrem2009</t>
  </si>
  <si>
    <t>Miguel Leonor Domingues Magalhães</t>
  </si>
  <si>
    <t>2009-064</t>
  </si>
  <si>
    <t>21871432</t>
  </si>
  <si>
    <t>353531528</t>
  </si>
  <si>
    <t>119959009</t>
  </si>
  <si>
    <t>968897222</t>
  </si>
  <si>
    <t>migrem2009@gmail.com</t>
  </si>
  <si>
    <t>luiboa1350</t>
  </si>
  <si>
    <t>pswluiboa1350</t>
  </si>
  <si>
    <t>Luís Sofia Torres Lopes</t>
  </si>
  <si>
    <t>1350-111</t>
  </si>
  <si>
    <t>69618503</t>
  </si>
  <si>
    <t>247460069</t>
  </si>
  <si>
    <t>532697613</t>
  </si>
  <si>
    <t>919441524</t>
  </si>
  <si>
    <t>luiboa1350@sapo.pt</t>
  </si>
  <si>
    <t>duaboa1959</t>
  </si>
  <si>
    <t>pswduaboa1959</t>
  </si>
  <si>
    <t>Duarte Luís Moura Rodrigues</t>
  </si>
  <si>
    <t>1959-924</t>
  </si>
  <si>
    <t>13218009</t>
  </si>
  <si>
    <t>232244867</t>
  </si>
  <si>
    <t>871297708</t>
  </si>
  <si>
    <t>929109147</t>
  </si>
  <si>
    <t>duaboa1959@gmail.com</t>
  </si>
  <si>
    <t>catiro2834</t>
  </si>
  <si>
    <t>pswcatiro2834</t>
  </si>
  <si>
    <t>Catarina Carolina Amaral Oliveira</t>
  </si>
  <si>
    <t>2834-596</t>
  </si>
  <si>
    <t>34484776</t>
  </si>
  <si>
    <t>413715646</t>
  </si>
  <si>
    <t>168313102</t>
  </si>
  <si>
    <t>925246416</t>
  </si>
  <si>
    <t>catiro2834@sapo.pt</t>
  </si>
  <si>
    <t>josboa1449</t>
  </si>
  <si>
    <t>pswjosboa1449</t>
  </si>
  <si>
    <t>José Catarina Pinho Neves</t>
  </si>
  <si>
    <t>1449-678</t>
  </si>
  <si>
    <t>65057586</t>
  </si>
  <si>
    <t>291257924</t>
  </si>
  <si>
    <t>509744507</t>
  </si>
  <si>
    <t>937693125</t>
  </si>
  <si>
    <t>josboa1449@outlook.com</t>
  </si>
  <si>
    <t>marboa1200</t>
  </si>
  <si>
    <t>pswmarboa1200</t>
  </si>
  <si>
    <t>Mariana Carolina Vicente Batista</t>
  </si>
  <si>
    <t>1200-175</t>
  </si>
  <si>
    <t>45968953</t>
  </si>
  <si>
    <t>371761884</t>
  </si>
  <si>
    <t>684555582</t>
  </si>
  <si>
    <t>914412029</t>
  </si>
  <si>
    <t>marboa1200@outlook.com</t>
  </si>
  <si>
    <t>fraria2410</t>
  </si>
  <si>
    <t>pswfraria2410</t>
  </si>
  <si>
    <t>Francisca Diana Abreu Ferreira</t>
  </si>
  <si>
    <t>2410-428</t>
  </si>
  <si>
    <t>39448996</t>
  </si>
  <si>
    <t>249003570</t>
  </si>
  <si>
    <t>797346733</t>
  </si>
  <si>
    <t>962988085</t>
  </si>
  <si>
    <t>fraria2410@outlook.com</t>
  </si>
  <si>
    <t>rodria2415</t>
  </si>
  <si>
    <t>pswrodria2415</t>
  </si>
  <si>
    <t>Rodrigo Rodrigo Loureiro Teixeira</t>
  </si>
  <si>
    <t>2415-072</t>
  </si>
  <si>
    <t>53877334</t>
  </si>
  <si>
    <t>984350026</t>
  </si>
  <si>
    <t>793770092</t>
  </si>
  <si>
    <t>934540642</t>
  </si>
  <si>
    <t>rodria2415@gmail.com</t>
  </si>
  <si>
    <t>carboa1700</t>
  </si>
  <si>
    <t>pswcarboa1700</t>
  </si>
  <si>
    <t>Carolina Catarina Araújo Mendes</t>
  </si>
  <si>
    <t>1700-374</t>
  </si>
  <si>
    <t>29520487</t>
  </si>
  <si>
    <t>851741642</t>
  </si>
  <si>
    <t>368426765</t>
  </si>
  <si>
    <t>921433280</t>
  </si>
  <si>
    <t>carboa1700@gmail.com</t>
  </si>
  <si>
    <t>leoboa1949</t>
  </si>
  <si>
    <t>pswleoboa1949</t>
  </si>
  <si>
    <t>Leonor Rodrigo Rocha Vaz</t>
  </si>
  <si>
    <t>1949-190</t>
  </si>
  <si>
    <t>65695082</t>
  </si>
  <si>
    <t>814800647</t>
  </si>
  <si>
    <t>744117582</t>
  </si>
  <si>
    <t>964307079</t>
  </si>
  <si>
    <t>leoboa1949@gmail.com</t>
  </si>
  <si>
    <t>Mariana Santiago Amorim Gomes</t>
  </si>
  <si>
    <t>2300-556</t>
  </si>
  <si>
    <t>33595034</t>
  </si>
  <si>
    <t>686409605</t>
  </si>
  <si>
    <t>685186190</t>
  </si>
  <si>
    <t>966373581</t>
  </si>
  <si>
    <t>marmar2300@gmail.com</t>
  </si>
  <si>
    <t>catica2825</t>
  </si>
  <si>
    <t>pswcatica2825</t>
  </si>
  <si>
    <t>Catarina Francisco Cruz Barbosa</t>
  </si>
  <si>
    <t>2825-147</t>
  </si>
  <si>
    <t>78421506</t>
  </si>
  <si>
    <t>831345399</t>
  </si>
  <si>
    <t>570197220</t>
  </si>
  <si>
    <t>938165259</t>
  </si>
  <si>
    <t>catica2825@outlook.com</t>
  </si>
  <si>
    <t>matboa1950</t>
  </si>
  <si>
    <t>pswmatboa1950</t>
  </si>
  <si>
    <t>Matilde Lurdes Castro Loureiro</t>
  </si>
  <si>
    <t>1950-362</t>
  </si>
  <si>
    <t>34599081</t>
  </si>
  <si>
    <t>387905069</t>
  </si>
  <si>
    <t>673482981</t>
  </si>
  <si>
    <t>913492766</t>
  </si>
  <si>
    <t>matboa1950@gmail.com</t>
  </si>
  <si>
    <t>fraboa1950</t>
  </si>
  <si>
    <t>pswfraboa1950</t>
  </si>
  <si>
    <t>Francisco Tiago Cardoso Simões</t>
  </si>
  <si>
    <t>1950-000</t>
  </si>
  <si>
    <t>50548726</t>
  </si>
  <si>
    <t>832091637</t>
  </si>
  <si>
    <t>292579801</t>
  </si>
  <si>
    <t>935848306</t>
  </si>
  <si>
    <t>fraboa1950@sapo.pt</t>
  </si>
  <si>
    <t>migbal2914</t>
  </si>
  <si>
    <t>pswmigbal2914</t>
  </si>
  <si>
    <t>Miguel Diogo Fernandes Pacheco</t>
  </si>
  <si>
    <t>2914-639</t>
  </si>
  <si>
    <t>30983600</t>
  </si>
  <si>
    <t>782031457</t>
  </si>
  <si>
    <t>987701621</t>
  </si>
  <si>
    <t>967137122</t>
  </si>
  <si>
    <t>migbal2914@sapo.pt</t>
  </si>
  <si>
    <t>tiaira2659</t>
  </si>
  <si>
    <t>pswtiaira2659</t>
  </si>
  <si>
    <t>Tiago André Carvalho Santos</t>
  </si>
  <si>
    <t>2659-512</t>
  </si>
  <si>
    <t>89182166</t>
  </si>
  <si>
    <t>990347869</t>
  </si>
  <si>
    <t>274347664</t>
  </si>
  <si>
    <t>931766194</t>
  </si>
  <si>
    <t>tiaira2659@gmail.com</t>
  </si>
  <si>
    <t>fraboa1349</t>
  </si>
  <si>
    <t>pswfraboa1349</t>
  </si>
  <si>
    <t>Francisco Vera Melo Henriques</t>
  </si>
  <si>
    <t>1349-185</t>
  </si>
  <si>
    <t>11083959</t>
  </si>
  <si>
    <t>745670841</t>
  </si>
  <si>
    <t>991060898</t>
  </si>
  <si>
    <t>929725107</t>
  </si>
  <si>
    <t>fraboa1349@outlook.com</t>
  </si>
  <si>
    <t>Santiago Marco Cruz Nunes</t>
  </si>
  <si>
    <t>1950-801</t>
  </si>
  <si>
    <t>49137072</t>
  </si>
  <si>
    <t>140066375</t>
  </si>
  <si>
    <t>950365806</t>
  </si>
  <si>
    <t>965651052</t>
  </si>
  <si>
    <t>leoboa1250</t>
  </si>
  <si>
    <t>pswleoboa1250</t>
  </si>
  <si>
    <t>Leonor Duarte Ramos Melo</t>
  </si>
  <si>
    <t>1250-748</t>
  </si>
  <si>
    <t>31648782</t>
  </si>
  <si>
    <t>223691792</t>
  </si>
  <si>
    <t>765925446</t>
  </si>
  <si>
    <t>923596358</t>
  </si>
  <si>
    <t>leoboa1250@sapo.pt</t>
  </si>
  <si>
    <t>beaora2614</t>
  </si>
  <si>
    <t>pswbeaora2614</t>
  </si>
  <si>
    <t>Beatriz Diogo Cruz Ramos</t>
  </si>
  <si>
    <t>2614-324</t>
  </si>
  <si>
    <t>61347923</t>
  </si>
  <si>
    <t>756211029</t>
  </si>
  <si>
    <t>420846106</t>
  </si>
  <si>
    <t>934209642</t>
  </si>
  <si>
    <t>beaora2614@outlook.com</t>
  </si>
  <si>
    <t>anaboa1998</t>
  </si>
  <si>
    <t>pswanaboa1998</t>
  </si>
  <si>
    <t>Ana Tiago Barbosa Leal</t>
  </si>
  <si>
    <t>1998-961</t>
  </si>
  <si>
    <t>86981754</t>
  </si>
  <si>
    <t>379660272</t>
  </si>
  <si>
    <t>916521813</t>
  </si>
  <si>
    <t>914723656</t>
  </si>
  <si>
    <t>anaboa1998@sapo.pt</t>
  </si>
  <si>
    <t>beaboa1649</t>
  </si>
  <si>
    <t>pswbeaboa1649</t>
  </si>
  <si>
    <t>Beatriz Mariana Matias Ribeiro</t>
  </si>
  <si>
    <t>1649-363</t>
  </si>
  <si>
    <t>82588701</t>
  </si>
  <si>
    <t>809412821</t>
  </si>
  <si>
    <t>261516683</t>
  </si>
  <si>
    <t>933312523</t>
  </si>
  <si>
    <t>beaboa1649@sapo.pt</t>
  </si>
  <si>
    <t>rodrem2009</t>
  </si>
  <si>
    <t>pswrodrem2009</t>
  </si>
  <si>
    <t>Rodrigo Diana Pires Neves</t>
  </si>
  <si>
    <t>2009-773</t>
  </si>
  <si>
    <t>45090103</t>
  </si>
  <si>
    <t>369831948</t>
  </si>
  <si>
    <t>402334743</t>
  </si>
  <si>
    <t>932942747</t>
  </si>
  <si>
    <t>rodrem2009@sapo.pt</t>
  </si>
  <si>
    <t>bruboa1300</t>
  </si>
  <si>
    <t>pswbruboa1300</t>
  </si>
  <si>
    <t>Bruno Joana Gaspar Melo</t>
  </si>
  <si>
    <t>1300-732</t>
  </si>
  <si>
    <t>98303307</t>
  </si>
  <si>
    <t>240948186</t>
  </si>
  <si>
    <t>337872997</t>
  </si>
  <si>
    <t>968774378</t>
  </si>
  <si>
    <t>bruboa1300@outlook.com</t>
  </si>
  <si>
    <t>fraboa1050</t>
  </si>
  <si>
    <t>pswfraboa1050</t>
  </si>
  <si>
    <t>Francisca Mariana Coelho Marques</t>
  </si>
  <si>
    <t>1050-941</t>
  </si>
  <si>
    <t>43492331</t>
  </si>
  <si>
    <t>431037997</t>
  </si>
  <si>
    <t>921083994</t>
  </si>
  <si>
    <t>963132795</t>
  </si>
  <si>
    <t>fraboa1050@sapo.pt</t>
  </si>
  <si>
    <t>Martim Bruno Raposo Borges</t>
  </si>
  <si>
    <t>2775-293</t>
  </si>
  <si>
    <t>28171783</t>
  </si>
  <si>
    <t>488007815</t>
  </si>
  <si>
    <t>504591008</t>
  </si>
  <si>
    <t>920120892</t>
  </si>
  <si>
    <t>marlos2775@outlook.com</t>
  </si>
  <si>
    <t>gabnto2330</t>
  </si>
  <si>
    <t>pswgabnto2330</t>
  </si>
  <si>
    <t>Gabriel Sara Morais Leal</t>
  </si>
  <si>
    <t>2330-562</t>
  </si>
  <si>
    <t>48786129</t>
  </si>
  <si>
    <t>352590238</t>
  </si>
  <si>
    <t>443229053</t>
  </si>
  <si>
    <t>965921199</t>
  </si>
  <si>
    <t>gabnto2330@outlook.com</t>
  </si>
  <si>
    <t>beaboa1098</t>
  </si>
  <si>
    <t>pswbeaboa1098</t>
  </si>
  <si>
    <t>Beatriz Afonso Santos Ferreira</t>
  </si>
  <si>
    <t>1098-551</t>
  </si>
  <si>
    <t>48105884</t>
  </si>
  <si>
    <t>553368744</t>
  </si>
  <si>
    <t>518588077</t>
  </si>
  <si>
    <t>927776976</t>
  </si>
  <si>
    <t>beaboa1098@outlook.com</t>
  </si>
  <si>
    <t>gabrem2009</t>
  </si>
  <si>
    <t>pswgabrem2009</t>
  </si>
  <si>
    <t>Gabriel Duarte Pinto Amaral</t>
  </si>
  <si>
    <t>2009-265</t>
  </si>
  <si>
    <t>68519616</t>
  </si>
  <si>
    <t>382546816</t>
  </si>
  <si>
    <t>227789291</t>
  </si>
  <si>
    <t>963869258</t>
  </si>
  <si>
    <t>gabrem2009@sapo.pt</t>
  </si>
  <si>
    <t>fraboa1067</t>
  </si>
  <si>
    <t>pswfraboa1067</t>
  </si>
  <si>
    <t>Francisco Mariana Matias Miranda</t>
  </si>
  <si>
    <t>1067-738</t>
  </si>
  <si>
    <t>38012101</t>
  </si>
  <si>
    <t>634216481</t>
  </si>
  <si>
    <t>530225478</t>
  </si>
  <si>
    <t>963908101</t>
  </si>
  <si>
    <t>fraboa1067@sapo.pt</t>
  </si>
  <si>
    <t>carlos2775</t>
  </si>
  <si>
    <t>pswcarlos2775</t>
  </si>
  <si>
    <t>Carolina André Anjos Santos</t>
  </si>
  <si>
    <t>2775-985</t>
  </si>
  <si>
    <t>65809207</t>
  </si>
  <si>
    <t>717350049</t>
  </si>
  <si>
    <t>258512815</t>
  </si>
  <si>
    <t>936684178</t>
  </si>
  <si>
    <t>carlos2775@outlook.com</t>
  </si>
  <si>
    <t>Martim Ana Baptista Azevedo</t>
  </si>
  <si>
    <t>1000-426</t>
  </si>
  <si>
    <t>15569997</t>
  </si>
  <si>
    <t>580040177</t>
  </si>
  <si>
    <t>446008100</t>
  </si>
  <si>
    <t>911166669</t>
  </si>
  <si>
    <t>marboa1000@outlook.com</t>
  </si>
  <si>
    <t>dioboa1700</t>
  </si>
  <si>
    <t>pswdioboa1700</t>
  </si>
  <si>
    <t>Diogo Maria Fonseca Simões</t>
  </si>
  <si>
    <t>1700-520</t>
  </si>
  <si>
    <t>67409293</t>
  </si>
  <si>
    <t>290784725</t>
  </si>
  <si>
    <t>388843721</t>
  </si>
  <si>
    <t>932975765</t>
  </si>
  <si>
    <t>dioboa1700@outlook.com</t>
  </si>
  <si>
    <t>migboa1800</t>
  </si>
  <si>
    <t>pswmigboa1800</t>
  </si>
  <si>
    <t>Miguel Daniela Magalhães Cunha</t>
  </si>
  <si>
    <t>1800-402</t>
  </si>
  <si>
    <t>47329405</t>
  </si>
  <si>
    <t>267283310</t>
  </si>
  <si>
    <t>894552170</t>
  </si>
  <si>
    <t>915242913</t>
  </si>
  <si>
    <t>migboa1800@gmail.com</t>
  </si>
  <si>
    <t>daniro2830</t>
  </si>
  <si>
    <t>pswdaniro2830</t>
  </si>
  <si>
    <t>Daniela Marco Baptista Amorim</t>
  </si>
  <si>
    <t>2830-495</t>
  </si>
  <si>
    <t>69916772</t>
  </si>
  <si>
    <t>503233287</t>
  </si>
  <si>
    <t>549369637</t>
  </si>
  <si>
    <t>928355989</t>
  </si>
  <si>
    <t>daniro2830@outlook.com</t>
  </si>
  <si>
    <t>Afonso Luís Simões Carneiro</t>
  </si>
  <si>
    <t>2009-419</t>
  </si>
  <si>
    <t>26756588</t>
  </si>
  <si>
    <t>924103404</t>
  </si>
  <si>
    <t>672391278</t>
  </si>
  <si>
    <t>928000701</t>
  </si>
  <si>
    <t>aforem2009@sapo.pt</t>
  </si>
  <si>
    <t>dionto2334</t>
  </si>
  <si>
    <t>pswdionto2334</t>
  </si>
  <si>
    <t>Diogo Gabriel Ramos Anjos</t>
  </si>
  <si>
    <t>2334-315</t>
  </si>
  <si>
    <t>62971663</t>
  </si>
  <si>
    <t>427176925</t>
  </si>
  <si>
    <t>667579135</t>
  </si>
  <si>
    <t>934951508</t>
  </si>
  <si>
    <t>dionto2334@outlook.com</t>
  </si>
  <si>
    <t>tomlos2779</t>
  </si>
  <si>
    <t>pswtomlos2779</t>
  </si>
  <si>
    <t>Tomás Francisca Neto Melo</t>
  </si>
  <si>
    <t>2779-721</t>
  </si>
  <si>
    <t>72149185</t>
  </si>
  <si>
    <t>450508641</t>
  </si>
  <si>
    <t>141310846</t>
  </si>
  <si>
    <t>920167738</t>
  </si>
  <si>
    <t>tomlos2779@sapo.pt</t>
  </si>
  <si>
    <t>ricboa1748</t>
  </si>
  <si>
    <t>pswricboa1748</t>
  </si>
  <si>
    <t>Ricardo Carolina Guerreiro Castro</t>
  </si>
  <si>
    <t>1748-656</t>
  </si>
  <si>
    <t>20884004</t>
  </si>
  <si>
    <t>192156124</t>
  </si>
  <si>
    <t>610290081</t>
  </si>
  <si>
    <t>924488501</t>
  </si>
  <si>
    <t>ricboa1748@outlook.com</t>
  </si>
  <si>
    <t>marora2654</t>
  </si>
  <si>
    <t>pswmarora2654</t>
  </si>
  <si>
    <t>Maria Martim Barbosa Esteves</t>
  </si>
  <si>
    <t>2654-424</t>
  </si>
  <si>
    <t>74062576</t>
  </si>
  <si>
    <t>855669267</t>
  </si>
  <si>
    <t>444267404</t>
  </si>
  <si>
    <t>964648106</t>
  </si>
  <si>
    <t>marora2654@sapo.pt</t>
  </si>
  <si>
    <t>migboa1150</t>
  </si>
  <si>
    <t>pswmigboa1150</t>
  </si>
  <si>
    <t>Miguel Santiago Henriques Lourenço</t>
  </si>
  <si>
    <t>1150-942</t>
  </si>
  <si>
    <t>90593281</t>
  </si>
  <si>
    <t>117590197</t>
  </si>
  <si>
    <t>191079042</t>
  </si>
  <si>
    <t>934524575</t>
  </si>
  <si>
    <t>migboa1150@sapo.pt</t>
  </si>
  <si>
    <t>andria2424</t>
  </si>
  <si>
    <t>pswandria2424</t>
  </si>
  <si>
    <t>André Rodrigo Henriques Ferreira</t>
  </si>
  <si>
    <t>2424-183</t>
  </si>
  <si>
    <t>28462968</t>
  </si>
  <si>
    <t>354575196</t>
  </si>
  <si>
    <t>787232012</t>
  </si>
  <si>
    <t>914514262</t>
  </si>
  <si>
    <t>andria2424@sapo.pt</t>
  </si>
  <si>
    <t>duaboa1949</t>
  </si>
  <si>
    <t>pswduaboa1949</t>
  </si>
  <si>
    <t>Duarte Duarte Gaspar Pereira</t>
  </si>
  <si>
    <t>1949-765</t>
  </si>
  <si>
    <t>54510803</t>
  </si>
  <si>
    <t>681076498</t>
  </si>
  <si>
    <t>756758558</t>
  </si>
  <si>
    <t>910689905</t>
  </si>
  <si>
    <t>duaboa1949@sapo.pt</t>
  </si>
  <si>
    <t>José Tomás Carneiro Leite</t>
  </si>
  <si>
    <t>1350-725</t>
  </si>
  <si>
    <t>51361023</t>
  </si>
  <si>
    <t>764266216</t>
  </si>
  <si>
    <t>409687848</t>
  </si>
  <si>
    <t>910640335</t>
  </si>
  <si>
    <t>rodboa1049</t>
  </si>
  <si>
    <t>pswrodboa1049</t>
  </si>
  <si>
    <t>Rodrigo Inês Branco Costa</t>
  </si>
  <si>
    <t>1049-723</t>
  </si>
  <si>
    <t>78646074</t>
  </si>
  <si>
    <t>514876207</t>
  </si>
  <si>
    <t>259239344</t>
  </si>
  <si>
    <t>926934449</t>
  </si>
  <si>
    <t>rodboa1049@sapo.pt</t>
  </si>
  <si>
    <t>danica2825</t>
  </si>
  <si>
    <t>pswdanica2825</t>
  </si>
  <si>
    <t>Daniela Tiago Araújo Castro</t>
  </si>
  <si>
    <t>2825-805</t>
  </si>
  <si>
    <t>84411572</t>
  </si>
  <si>
    <t>544762038</t>
  </si>
  <si>
    <t>490453735</t>
  </si>
  <si>
    <t>914385256</t>
  </si>
  <si>
    <t>danica2825@outlook.com</t>
  </si>
  <si>
    <t>duaica2825</t>
  </si>
  <si>
    <t>pswduaica2825</t>
  </si>
  <si>
    <t>Duarte Inês Lopes Mota</t>
  </si>
  <si>
    <t>2825-682</t>
  </si>
  <si>
    <t>14596302</t>
  </si>
  <si>
    <t>803494779</t>
  </si>
  <si>
    <t>588915303</t>
  </si>
  <si>
    <t>963104327</t>
  </si>
  <si>
    <t>duaica2825@gmail.com</t>
  </si>
  <si>
    <t>fraras2784</t>
  </si>
  <si>
    <t>pswfraras2784</t>
  </si>
  <si>
    <t>Francisca Diana Valente Silva</t>
  </si>
  <si>
    <t>2784-536</t>
  </si>
  <si>
    <t>79126318</t>
  </si>
  <si>
    <t>564938610</t>
  </si>
  <si>
    <t>662560850</t>
  </si>
  <si>
    <t>938667475</t>
  </si>
  <si>
    <t>fraras2784@outlook.com</t>
  </si>
  <si>
    <t>Marco Joana Santos Amaral</t>
  </si>
  <si>
    <t>2775-044</t>
  </si>
  <si>
    <t>37481992</t>
  </si>
  <si>
    <t>599909838</t>
  </si>
  <si>
    <t>811205411</t>
  </si>
  <si>
    <t>932911610</t>
  </si>
  <si>
    <t>tiaora2724</t>
  </si>
  <si>
    <t>pswtiaora2724</t>
  </si>
  <si>
    <t>Tiago Matilde Pinho Barbosa</t>
  </si>
  <si>
    <t>2724-914</t>
  </si>
  <si>
    <t>31527788</t>
  </si>
  <si>
    <t>160549843</t>
  </si>
  <si>
    <t>760081408</t>
  </si>
  <si>
    <t>961727025</t>
  </si>
  <si>
    <t>tiaora2724@sapo.pt</t>
  </si>
  <si>
    <t>fraboa1149</t>
  </si>
  <si>
    <t>pswfraboa1149</t>
  </si>
  <si>
    <t>Francisco Sofia Paiva Lopes</t>
  </si>
  <si>
    <t>1149-929</t>
  </si>
  <si>
    <t>82096017</t>
  </si>
  <si>
    <t>253583690</t>
  </si>
  <si>
    <t>254195373</t>
  </si>
  <si>
    <t>916192739</t>
  </si>
  <si>
    <t>fraboa1149@gmail.com</t>
  </si>
  <si>
    <t>anaboa1099</t>
  </si>
  <si>
    <t>pswanaboa1099</t>
  </si>
  <si>
    <t>Ana Daniela Ribeiro Machado</t>
  </si>
  <si>
    <t>1099-453</t>
  </si>
  <si>
    <t>83892096</t>
  </si>
  <si>
    <t>776838870</t>
  </si>
  <si>
    <t>634355915</t>
  </si>
  <si>
    <t>923906466</t>
  </si>
  <si>
    <t>anaboa1099@sapo.pt</t>
  </si>
  <si>
    <t>Tiago Marco Gonçalves Brito</t>
  </si>
  <si>
    <t>1549-631</t>
  </si>
  <si>
    <t>15196191</t>
  </si>
  <si>
    <t>473674266</t>
  </si>
  <si>
    <t>151423782</t>
  </si>
  <si>
    <t>963589494</t>
  </si>
  <si>
    <t>Inês André Correia Cunha</t>
  </si>
  <si>
    <t>1149-564</t>
  </si>
  <si>
    <t>66776420</t>
  </si>
  <si>
    <t>602128942</t>
  </si>
  <si>
    <t>332510232</t>
  </si>
  <si>
    <t>966818271</t>
  </si>
  <si>
    <t>ineboa1149@outlook.com</t>
  </si>
  <si>
    <t>carboa1769</t>
  </si>
  <si>
    <t>pswcarboa1769</t>
  </si>
  <si>
    <t>Carolina Ana Tavares Pacheco</t>
  </si>
  <si>
    <t>1769-433</t>
  </si>
  <si>
    <t>72952531</t>
  </si>
  <si>
    <t>674503967</t>
  </si>
  <si>
    <t>286222242</t>
  </si>
  <si>
    <t>911249295</t>
  </si>
  <si>
    <t>carboa1769@sapo.pt</t>
  </si>
  <si>
    <t>danboa1949</t>
  </si>
  <si>
    <t>pswdanboa1949</t>
  </si>
  <si>
    <t>Daniela Lurdes Lopes Cruz</t>
  </si>
  <si>
    <t>1949-685</t>
  </si>
  <si>
    <t>70522021</t>
  </si>
  <si>
    <t>422758230</t>
  </si>
  <si>
    <t>322543312</t>
  </si>
  <si>
    <t>918516524</t>
  </si>
  <si>
    <t>danboa1949@outlook.com</t>
  </si>
  <si>
    <t>carboa1067</t>
  </si>
  <si>
    <t>pswcarboa1067</t>
  </si>
  <si>
    <t>Carolina Lurdes Carvalho Ferreira</t>
  </si>
  <si>
    <t>1067-153</t>
  </si>
  <si>
    <t>80166644</t>
  </si>
  <si>
    <t>991769177</t>
  </si>
  <si>
    <t>964048807</t>
  </si>
  <si>
    <t>928479997</t>
  </si>
  <si>
    <t>carboa1067@gmail.com</t>
  </si>
  <si>
    <t>ineboa1649</t>
  </si>
  <si>
    <t>pswineboa1649</t>
  </si>
  <si>
    <t>Inês Inês Moreira Barbosa</t>
  </si>
  <si>
    <t>1649-818</t>
  </si>
  <si>
    <t>74789929</t>
  </si>
  <si>
    <t>708753378</t>
  </si>
  <si>
    <t>310207550</t>
  </si>
  <si>
    <t>967589975</t>
  </si>
  <si>
    <t>ineboa1649@outlook.com</t>
  </si>
  <si>
    <t>verbal2910</t>
  </si>
  <si>
    <t>pswverbal2910</t>
  </si>
  <si>
    <t>Vera Pedro Alves Miranda</t>
  </si>
  <si>
    <t>2910-225</t>
  </si>
  <si>
    <t>53185592</t>
  </si>
  <si>
    <t>151164518</t>
  </si>
  <si>
    <t>348217564</t>
  </si>
  <si>
    <t>934576202</t>
  </si>
  <si>
    <t>verbal2910@outlook.com</t>
  </si>
  <si>
    <t>Luís Ana Soares Anjos</t>
  </si>
  <si>
    <t>1300-953</t>
  </si>
  <si>
    <t>25342480</t>
  </si>
  <si>
    <t>770752531</t>
  </si>
  <si>
    <t>255580168</t>
  </si>
  <si>
    <t>929484323</t>
  </si>
  <si>
    <t>Tomás Vera Garcia Ferreira</t>
  </si>
  <si>
    <t>2834-922</t>
  </si>
  <si>
    <t>76562059</t>
  </si>
  <si>
    <t>255285859</t>
  </si>
  <si>
    <t>576781958</t>
  </si>
  <si>
    <t>921957705</t>
  </si>
  <si>
    <t>tomiro2834@sapo.pt</t>
  </si>
  <si>
    <t>gabbal2904</t>
  </si>
  <si>
    <t>pswgabbal2904</t>
  </si>
  <si>
    <t>Gabriel Leonor Guerreiro Antunes</t>
  </si>
  <si>
    <t>2904-627</t>
  </si>
  <si>
    <t>10770425</t>
  </si>
  <si>
    <t>561060367</t>
  </si>
  <si>
    <t>717220070</t>
  </si>
  <si>
    <t>915947328</t>
  </si>
  <si>
    <t>gabbal2904@outlook.com</t>
  </si>
  <si>
    <t>beaboa1500</t>
  </si>
  <si>
    <t>pswbeaboa1500</t>
  </si>
  <si>
    <t>Beatriz Sara Gonçalves Jesus</t>
  </si>
  <si>
    <t>1500-531</t>
  </si>
  <si>
    <t>42144185</t>
  </si>
  <si>
    <t>715395823</t>
  </si>
  <si>
    <t>732306221</t>
  </si>
  <si>
    <t>937567411</t>
  </si>
  <si>
    <t>beaboa1500@outlook.com</t>
  </si>
  <si>
    <t>fraria2424</t>
  </si>
  <si>
    <t>pswfraria2424</t>
  </si>
  <si>
    <t>Francisco Tomás Barros Pinto</t>
  </si>
  <si>
    <t>2424-967</t>
  </si>
  <si>
    <t>18762619</t>
  </si>
  <si>
    <t>645711655</t>
  </si>
  <si>
    <t>407138067</t>
  </si>
  <si>
    <t>963280705</t>
  </si>
  <si>
    <t>fraria2424@outlook.com</t>
  </si>
  <si>
    <t>bearem2004</t>
  </si>
  <si>
    <t>pswbearem2004</t>
  </si>
  <si>
    <t>Beatriz Leonor Morais Vaz</t>
  </si>
  <si>
    <t>2004-604</t>
  </si>
  <si>
    <t>38182479</t>
  </si>
  <si>
    <t>359027838</t>
  </si>
  <si>
    <t>114288819</t>
  </si>
  <si>
    <t>929944404</t>
  </si>
  <si>
    <t>bearem2004@outlook.com</t>
  </si>
  <si>
    <t>andora2654</t>
  </si>
  <si>
    <t>pswandora2654</t>
  </si>
  <si>
    <t>André André Nascimento Esteves</t>
  </si>
  <si>
    <t>2654-448</t>
  </si>
  <si>
    <t>52216879</t>
  </si>
  <si>
    <t>376224550</t>
  </si>
  <si>
    <t>898316921</t>
  </si>
  <si>
    <t>960980279</t>
  </si>
  <si>
    <t>andora2654@gmail.com</t>
  </si>
  <si>
    <t>andras2784</t>
  </si>
  <si>
    <t>pswandras2784</t>
  </si>
  <si>
    <t>André Francisco Teixeira Pacheco</t>
  </si>
  <si>
    <t>2784-676</t>
  </si>
  <si>
    <t>47164559</t>
  </si>
  <si>
    <t>116041015</t>
  </si>
  <si>
    <t>380145458</t>
  </si>
  <si>
    <t>936097684</t>
  </si>
  <si>
    <t>andras2784@gmail.com</t>
  </si>
  <si>
    <t>tomora2704</t>
  </si>
  <si>
    <t>pswtomora2704</t>
  </si>
  <si>
    <t>Tomás Luís Pinto Pinto</t>
  </si>
  <si>
    <t>2704-228</t>
  </si>
  <si>
    <t>89995903</t>
  </si>
  <si>
    <t>970360811</t>
  </si>
  <si>
    <t>889712255</t>
  </si>
  <si>
    <t>917650988</t>
  </si>
  <si>
    <t>tomora2704@outlook.com</t>
  </si>
  <si>
    <t>lurnto2334</t>
  </si>
  <si>
    <t>pswlurnto2334</t>
  </si>
  <si>
    <t>Lurdes José Vaz Gomes</t>
  </si>
  <si>
    <t>2334-933</t>
  </si>
  <si>
    <t>68296409</t>
  </si>
  <si>
    <t>693541652</t>
  </si>
  <si>
    <t>517374476</t>
  </si>
  <si>
    <t>964145554</t>
  </si>
  <si>
    <t>lurnto2334@gmail.com</t>
  </si>
  <si>
    <t>sarada2809</t>
  </si>
  <si>
    <t>pswsarada2809</t>
  </si>
  <si>
    <t>Sara Ana Lopes Anjos</t>
  </si>
  <si>
    <t>2809-894</t>
  </si>
  <si>
    <t>64375390</t>
  </si>
  <si>
    <t>162286423</t>
  </si>
  <si>
    <t>180810438</t>
  </si>
  <si>
    <t>916181820</t>
  </si>
  <si>
    <t>sarada2809@sapo.pt</t>
  </si>
  <si>
    <t>andira2659</t>
  </si>
  <si>
    <t>pswandira2659</t>
  </si>
  <si>
    <t>André Lurdes Sousa Costa</t>
  </si>
  <si>
    <t>2659-854</t>
  </si>
  <si>
    <t>86848646</t>
  </si>
  <si>
    <t>732820779</t>
  </si>
  <si>
    <t>403946902</t>
  </si>
  <si>
    <t>933088908</t>
  </si>
  <si>
    <t>andira2659@sapo.pt</t>
  </si>
  <si>
    <t>Mariana Rodrigo Alves Brito</t>
  </si>
  <si>
    <t>2659-816</t>
  </si>
  <si>
    <t>14777420</t>
  </si>
  <si>
    <t>949285271</t>
  </si>
  <si>
    <t>394959732</t>
  </si>
  <si>
    <t>916536497</t>
  </si>
  <si>
    <t>marira2659@sapo.pt</t>
  </si>
  <si>
    <t>ricria2424</t>
  </si>
  <si>
    <t>pswricria2424</t>
  </si>
  <si>
    <t>Ricardo Martim Borges Matias</t>
  </si>
  <si>
    <t>2424-262</t>
  </si>
  <si>
    <t>31444506</t>
  </si>
  <si>
    <t>123173843</t>
  </si>
  <si>
    <t>886441085</t>
  </si>
  <si>
    <t>915289496</t>
  </si>
  <si>
    <t>ricria2424@sapo.pt</t>
  </si>
  <si>
    <t>migboa1959</t>
  </si>
  <si>
    <t>pswmigboa1959</t>
  </si>
  <si>
    <t>Miguel Beatriz Amaral Melo</t>
  </si>
  <si>
    <t>1959-831</t>
  </si>
  <si>
    <t>81332627</t>
  </si>
  <si>
    <t>841979325</t>
  </si>
  <si>
    <t>635135792</t>
  </si>
  <si>
    <t>914625530</t>
  </si>
  <si>
    <t>migboa1959@outlook.com</t>
  </si>
  <si>
    <t>fraboa1400</t>
  </si>
  <si>
    <t>pswfraboa1400</t>
  </si>
  <si>
    <t>Francisca Bruno Pacheco Soares</t>
  </si>
  <si>
    <t>1400-673</t>
  </si>
  <si>
    <t>92268478</t>
  </si>
  <si>
    <t>703063861</t>
  </si>
  <si>
    <t>966739304</t>
  </si>
  <si>
    <t>968287168</t>
  </si>
  <si>
    <t>fraboa1400@sapo.pt</t>
  </si>
  <si>
    <t>gabboa1449</t>
  </si>
  <si>
    <t>pswgabboa1449</t>
  </si>
  <si>
    <t>Gabriel Afonso Araújo Rodrigues</t>
  </si>
  <si>
    <t>1449-313</t>
  </si>
  <si>
    <t>47192530</t>
  </si>
  <si>
    <t>769100553</t>
  </si>
  <si>
    <t>726799093</t>
  </si>
  <si>
    <t>939820221</t>
  </si>
  <si>
    <t>gabboa1449@gmail.com</t>
  </si>
  <si>
    <t>bruiro2834</t>
  </si>
  <si>
    <t>pswbruiro2834</t>
  </si>
  <si>
    <t>Bruno Ricardo Baptista Coelho</t>
  </si>
  <si>
    <t>2834-851</t>
  </si>
  <si>
    <t>60873204</t>
  </si>
  <si>
    <t>265764214</t>
  </si>
  <si>
    <t>717496292</t>
  </si>
  <si>
    <t>916988867</t>
  </si>
  <si>
    <t>bruiro2834@gmail.com</t>
  </si>
  <si>
    <t>Mariana João Abreu Barbosa</t>
  </si>
  <si>
    <t>1169-508</t>
  </si>
  <si>
    <t>64596374</t>
  </si>
  <si>
    <t>794548053</t>
  </si>
  <si>
    <t>679670235</t>
  </si>
  <si>
    <t>964234135</t>
  </si>
  <si>
    <t>gabada2809</t>
  </si>
  <si>
    <t>pswgabada2809</t>
  </si>
  <si>
    <t>Gabriel Francisco Fonseca Nunes</t>
  </si>
  <si>
    <t>2809-333</t>
  </si>
  <si>
    <t>46316989</t>
  </si>
  <si>
    <t>986370739</t>
  </si>
  <si>
    <t>596758409</t>
  </si>
  <si>
    <t>926488619</t>
  </si>
  <si>
    <t>gabada2809@gmail.com</t>
  </si>
  <si>
    <t>bruboa1068</t>
  </si>
  <si>
    <t>pswbruboa1068</t>
  </si>
  <si>
    <t>Bruno José Reis Paiva</t>
  </si>
  <si>
    <t>1068-903</t>
  </si>
  <si>
    <t>54412099</t>
  </si>
  <si>
    <t>336098380</t>
  </si>
  <si>
    <t>773509919</t>
  </si>
  <si>
    <t>921527749</t>
  </si>
  <si>
    <t>bruboa1068@outlook.com</t>
  </si>
  <si>
    <t>marrem2009</t>
  </si>
  <si>
    <t>pswmarrem2009</t>
  </si>
  <si>
    <t>Maria Tiago Rodrigues Magalhães</t>
  </si>
  <si>
    <t>2009-671</t>
  </si>
  <si>
    <t>12433037</t>
  </si>
  <si>
    <t>620191451</t>
  </si>
  <si>
    <t>471596632</t>
  </si>
  <si>
    <t>928478954</t>
  </si>
  <si>
    <t>marrem2009@outlook.com</t>
  </si>
  <si>
    <t>Mariana Mariana Borges Marques</t>
  </si>
  <si>
    <t>1200-817</t>
  </si>
  <si>
    <t>28290563</t>
  </si>
  <si>
    <t>322961285</t>
  </si>
  <si>
    <t>460934801</t>
  </si>
  <si>
    <t>961094604</t>
  </si>
  <si>
    <t>marboa1200@sapo.pt</t>
  </si>
  <si>
    <t>Vera João Amaral Henriques</t>
  </si>
  <si>
    <t>1949-312</t>
  </si>
  <si>
    <t>45066879</t>
  </si>
  <si>
    <t>406012614</t>
  </si>
  <si>
    <t>134901017</t>
  </si>
  <si>
    <t>930483686</t>
  </si>
  <si>
    <t>verboa1949@gmail.com</t>
  </si>
  <si>
    <t>afoada2809</t>
  </si>
  <si>
    <t>pswafoada2809</t>
  </si>
  <si>
    <t>Afonso Joana Melo Jesus</t>
  </si>
  <si>
    <t>2809-231</t>
  </si>
  <si>
    <t>77134988</t>
  </si>
  <si>
    <t>136699056</t>
  </si>
  <si>
    <t>142662162</t>
  </si>
  <si>
    <t>919288249</t>
  </si>
  <si>
    <t>afoada2809@outlook.com</t>
  </si>
  <si>
    <t>catais2754</t>
  </si>
  <si>
    <t>pswcatais2754</t>
  </si>
  <si>
    <t>Catarina Gabriel Pires Henriques</t>
  </si>
  <si>
    <t>2754-087</t>
  </si>
  <si>
    <t>87013409</t>
  </si>
  <si>
    <t>189012752</t>
  </si>
  <si>
    <t>597601384</t>
  </si>
  <si>
    <t>930474383</t>
  </si>
  <si>
    <t>catais2754@gmail.com</t>
  </si>
  <si>
    <t>marvas2350</t>
  </si>
  <si>
    <t>pswmarvas2350</t>
  </si>
  <si>
    <t>Maria Diogo Pacheco Costa</t>
  </si>
  <si>
    <t>2350-172</t>
  </si>
  <si>
    <t>32368574</t>
  </si>
  <si>
    <t>896618041</t>
  </si>
  <si>
    <t>416069363</t>
  </si>
  <si>
    <t>931792325</t>
  </si>
  <si>
    <t>marvas2350@outlook.com</t>
  </si>
  <si>
    <t>beaboa1949</t>
  </si>
  <si>
    <t>pswbeaboa1949</t>
  </si>
  <si>
    <t>Beatriz Diogo Maia Mota</t>
  </si>
  <si>
    <t>1949-914</t>
  </si>
  <si>
    <t>11582388</t>
  </si>
  <si>
    <t>651900553</t>
  </si>
  <si>
    <t>394773586</t>
  </si>
  <si>
    <t>963946603</t>
  </si>
  <si>
    <t>beaboa1949@sapo.pt</t>
  </si>
  <si>
    <t>beaada2814</t>
  </si>
  <si>
    <t>pswbeaada2814</t>
  </si>
  <si>
    <t>Beatriz Carolina Maia Ribeiro</t>
  </si>
  <si>
    <t>2814-306</t>
  </si>
  <si>
    <t>42003578</t>
  </si>
  <si>
    <t>108309490</t>
  </si>
  <si>
    <t>188076333</t>
  </si>
  <si>
    <t>922502287</t>
  </si>
  <si>
    <t>beaada2814@sapo.pt</t>
  </si>
  <si>
    <t>joaboa1199</t>
  </si>
  <si>
    <t>pswjoaboa1199</t>
  </si>
  <si>
    <t>João Daniela Vieira Monteiro</t>
  </si>
  <si>
    <t>1199-168</t>
  </si>
  <si>
    <t>81558036</t>
  </si>
  <si>
    <t>770167294</t>
  </si>
  <si>
    <t>812687196</t>
  </si>
  <si>
    <t>968850583</t>
  </si>
  <si>
    <t>joaboa1199@outlook.com</t>
  </si>
  <si>
    <t>rodora2720</t>
  </si>
  <si>
    <t>pswrodora2720</t>
  </si>
  <si>
    <t>Rodrigo Lurdes Nunes Figueiredo</t>
  </si>
  <si>
    <t>64028134</t>
  </si>
  <si>
    <t>631483347</t>
  </si>
  <si>
    <t>736010624</t>
  </si>
  <si>
    <t>962764356</t>
  </si>
  <si>
    <t>rodora2720@gmail.com</t>
  </si>
  <si>
    <t>andmar2300</t>
  </si>
  <si>
    <t>pswandmar2300</t>
  </si>
  <si>
    <t>André Diogo Garcia Maia</t>
  </si>
  <si>
    <t>2300-228</t>
  </si>
  <si>
    <t>38077000</t>
  </si>
  <si>
    <t>498097562</t>
  </si>
  <si>
    <t>842070775</t>
  </si>
  <si>
    <t>918544897</t>
  </si>
  <si>
    <t>andmar2300@sapo.pt</t>
  </si>
  <si>
    <t>fraboa1990</t>
  </si>
  <si>
    <t>pswfraboa1990</t>
  </si>
  <si>
    <t>Francisca Miguel Campos Almeida</t>
  </si>
  <si>
    <t>1990-703</t>
  </si>
  <si>
    <t>78587402</t>
  </si>
  <si>
    <t>928730837</t>
  </si>
  <si>
    <t>869494064</t>
  </si>
  <si>
    <t>925271864</t>
  </si>
  <si>
    <t>fraboa1990@sapo.pt</t>
  </si>
  <si>
    <t>fraboa1749</t>
  </si>
  <si>
    <t>pswfraboa1749</t>
  </si>
  <si>
    <t>Francisco Pedro Monteiro Teixeira</t>
  </si>
  <si>
    <t>1749-633</t>
  </si>
  <si>
    <t>26903560</t>
  </si>
  <si>
    <t>887856633</t>
  </si>
  <si>
    <t>357934667</t>
  </si>
  <si>
    <t>918748526</t>
  </si>
  <si>
    <t>fraboa1749@gmail.com</t>
  </si>
  <si>
    <t>josica2825</t>
  </si>
  <si>
    <t>pswjosica2825</t>
  </si>
  <si>
    <t>José Francisco Fonseca Teixeira</t>
  </si>
  <si>
    <t>2825-063</t>
  </si>
  <si>
    <t>15106038</t>
  </si>
  <si>
    <t>243683277</t>
  </si>
  <si>
    <t>126197354</t>
  </si>
  <si>
    <t>920564550</t>
  </si>
  <si>
    <t>josica2825@gmail.com</t>
  </si>
  <si>
    <t>Tomás Martim Morais Nascimento</t>
  </si>
  <si>
    <t>1449-549</t>
  </si>
  <si>
    <t>38520440</t>
  </si>
  <si>
    <t>268028542</t>
  </si>
  <si>
    <t>608685107</t>
  </si>
  <si>
    <t>922109990</t>
  </si>
  <si>
    <t>tomboa1449@sapo.pt</t>
  </si>
  <si>
    <t>marboa1998</t>
  </si>
  <si>
    <t>pswmarboa1998</t>
  </si>
  <si>
    <t>Marco Maria Morais Vicente</t>
  </si>
  <si>
    <t>1998-506</t>
  </si>
  <si>
    <t>82548278</t>
  </si>
  <si>
    <t>579014785</t>
  </si>
  <si>
    <t>148503876</t>
  </si>
  <si>
    <t>919883820</t>
  </si>
  <si>
    <t>marboa1998@sapo.pt</t>
  </si>
  <si>
    <t>mariro2830</t>
  </si>
  <si>
    <t>pswmariro2830</t>
  </si>
  <si>
    <t>Marco Gabriel Garcia Batista</t>
  </si>
  <si>
    <t>2830-501</t>
  </si>
  <si>
    <t>24247996</t>
  </si>
  <si>
    <t>620969272</t>
  </si>
  <si>
    <t>872559092</t>
  </si>
  <si>
    <t>928789478</t>
  </si>
  <si>
    <t>mariro2830@outlook.com</t>
  </si>
  <si>
    <t>Rodrigo Pedro Freitas Almeida</t>
  </si>
  <si>
    <t>2334-211</t>
  </si>
  <si>
    <t>30144429</t>
  </si>
  <si>
    <t>876217971</t>
  </si>
  <si>
    <t>139435797</t>
  </si>
  <si>
    <t>934445942</t>
  </si>
  <si>
    <t>gabboa1649</t>
  </si>
  <si>
    <t>pswgabboa1649</t>
  </si>
  <si>
    <t>Gabriel João Lourenço Soares</t>
  </si>
  <si>
    <t>1649-341</t>
  </si>
  <si>
    <t>82553228</t>
  </si>
  <si>
    <t>510436820</t>
  </si>
  <si>
    <t>491608450</t>
  </si>
  <si>
    <t>968362311</t>
  </si>
  <si>
    <t>gabboa1649@gmail.com</t>
  </si>
  <si>
    <t>danora2650</t>
  </si>
  <si>
    <t>pswdanora2650</t>
  </si>
  <si>
    <t>Daniela Mariana Araújo Simões</t>
  </si>
  <si>
    <t>2650-924</t>
  </si>
  <si>
    <t>14726570</t>
  </si>
  <si>
    <t>215812825</t>
  </si>
  <si>
    <t>958905017</t>
  </si>
  <si>
    <t>914540452</t>
  </si>
  <si>
    <t>danora2650@outlook.com</t>
  </si>
  <si>
    <t>Bruno Catarina Tavares Reis</t>
  </si>
  <si>
    <t>2640-587</t>
  </si>
  <si>
    <t>76396255</t>
  </si>
  <si>
    <t>768635761</t>
  </si>
  <si>
    <t>136961662</t>
  </si>
  <si>
    <t>939152914</t>
  </si>
  <si>
    <t>sofmar2300</t>
  </si>
  <si>
    <t>pswsofmar2300</t>
  </si>
  <si>
    <t>Sofia Inês Morais Carneiro</t>
  </si>
  <si>
    <t>2300-035</t>
  </si>
  <si>
    <t>54093210</t>
  </si>
  <si>
    <t>857975014</t>
  </si>
  <si>
    <t>237287578</t>
  </si>
  <si>
    <t>922334287</t>
  </si>
  <si>
    <t>sofmar2300@sapo.pt</t>
  </si>
  <si>
    <t>Martim Martim Leal Machado</t>
  </si>
  <si>
    <t>1959-682</t>
  </si>
  <si>
    <t>13612070</t>
  </si>
  <si>
    <t>482351255</t>
  </si>
  <si>
    <t>139786096</t>
  </si>
  <si>
    <t>933056386</t>
  </si>
  <si>
    <t>marboa1959@gmail.com</t>
  </si>
  <si>
    <t>fraboa1249</t>
  </si>
  <si>
    <t>pswfraboa1249</t>
  </si>
  <si>
    <t>Francisco Ricardo Assunção Cruz</t>
  </si>
  <si>
    <t>1249-927</t>
  </si>
  <si>
    <t>85401867</t>
  </si>
  <si>
    <t>386337695</t>
  </si>
  <si>
    <t>226283996</t>
  </si>
  <si>
    <t>921758053</t>
  </si>
  <si>
    <t>fraboa1249@outlook.com</t>
  </si>
  <si>
    <t>carboa1050</t>
  </si>
  <si>
    <t>pswcarboa1050</t>
  </si>
  <si>
    <t>Carolina Duarte Brito Batista</t>
  </si>
  <si>
    <t>1050-024</t>
  </si>
  <si>
    <t>21695229</t>
  </si>
  <si>
    <t>626022855</t>
  </si>
  <si>
    <t>691590096</t>
  </si>
  <si>
    <t>929118412</t>
  </si>
  <si>
    <t>carboa1050@gmail.com</t>
  </si>
  <si>
    <t>lurmar2300</t>
  </si>
  <si>
    <t>pswlurmar2300</t>
  </si>
  <si>
    <t>Lurdes Beatriz Gaspar Cruz</t>
  </si>
  <si>
    <t>2300-629</t>
  </si>
  <si>
    <t>41835796</t>
  </si>
  <si>
    <t>560728028</t>
  </si>
  <si>
    <t>906371644</t>
  </si>
  <si>
    <t>923292473</t>
  </si>
  <si>
    <t>lurmar2300@gmail.com</t>
  </si>
  <si>
    <t>Francisca Joana Mendes Assunção</t>
  </si>
  <si>
    <t>1150-690</t>
  </si>
  <si>
    <t>57770306</t>
  </si>
  <si>
    <t>134704839</t>
  </si>
  <si>
    <t>940130126</t>
  </si>
  <si>
    <t>924129660</t>
  </si>
  <si>
    <t>Mariana Afonso Amaral Maia</t>
  </si>
  <si>
    <t>2829-608</t>
  </si>
  <si>
    <t>75799241</t>
  </si>
  <si>
    <t>138395777</t>
  </si>
  <si>
    <t>752519491</t>
  </si>
  <si>
    <t>965490039</t>
  </si>
  <si>
    <t>vertra2710</t>
  </si>
  <si>
    <t>pswvertra2710</t>
  </si>
  <si>
    <t>Vera Matilde Magalhães Araújo</t>
  </si>
  <si>
    <t>2710-797</t>
  </si>
  <si>
    <t>92466696</t>
  </si>
  <si>
    <t>735251925</t>
  </si>
  <si>
    <t>868202358</t>
  </si>
  <si>
    <t>921008688</t>
  </si>
  <si>
    <t>vertra2710@outlook.com</t>
  </si>
  <si>
    <t>luiria2415</t>
  </si>
  <si>
    <t>pswluiria2415</t>
  </si>
  <si>
    <t>Luís Miguel Anjos Lourenço</t>
  </si>
  <si>
    <t>2415-543</t>
  </si>
  <si>
    <t>73487242</t>
  </si>
  <si>
    <t>863244150</t>
  </si>
  <si>
    <t>129490663</t>
  </si>
  <si>
    <t>931363668</t>
  </si>
  <si>
    <t>luiria2415@sapo.pt</t>
  </si>
  <si>
    <t>Tiago Catarina Ramos Tavares</t>
  </si>
  <si>
    <t>2724-900</t>
  </si>
  <si>
    <t>27845509</t>
  </si>
  <si>
    <t>650161031</t>
  </si>
  <si>
    <t>635314060</t>
  </si>
  <si>
    <t>911461461</t>
  </si>
  <si>
    <t>tiaora2724@gmail.com</t>
  </si>
  <si>
    <t>afofra2640</t>
  </si>
  <si>
    <t>pswafofra2640</t>
  </si>
  <si>
    <t>Afonso Ana Cunha Neto</t>
  </si>
  <si>
    <t>2640-865</t>
  </si>
  <si>
    <t>77408671</t>
  </si>
  <si>
    <t>331839745</t>
  </si>
  <si>
    <t>584608094</t>
  </si>
  <si>
    <t>919527433</t>
  </si>
  <si>
    <t>afofra2640@outlook.com</t>
  </si>
  <si>
    <t>dannto2330</t>
  </si>
  <si>
    <t>pswdannto2330</t>
  </si>
  <si>
    <t>Daniela André Garcia Gonçalves</t>
  </si>
  <si>
    <t>2330-898</t>
  </si>
  <si>
    <t>15401283</t>
  </si>
  <si>
    <t>944072870</t>
  </si>
  <si>
    <t>731660523</t>
  </si>
  <si>
    <t>969868132</t>
  </si>
  <si>
    <t>dannto2330@outlook.com</t>
  </si>
  <si>
    <t>beaira2655</t>
  </si>
  <si>
    <t>pswbeaira2655</t>
  </si>
  <si>
    <t>Beatriz Miguel Brito Alves</t>
  </si>
  <si>
    <t>2655-346</t>
  </si>
  <si>
    <t>79152012</t>
  </si>
  <si>
    <t>962832827</t>
  </si>
  <si>
    <t>152835754</t>
  </si>
  <si>
    <t>910936628</t>
  </si>
  <si>
    <t>beaira2655@sapo.pt</t>
  </si>
  <si>
    <t>Maria Francisco Miranda Freitas</t>
  </si>
  <si>
    <t>2009-728</t>
  </si>
  <si>
    <t>77737448</t>
  </si>
  <si>
    <t>736876740</t>
  </si>
  <si>
    <t>219966719</t>
  </si>
  <si>
    <t>967963484</t>
  </si>
  <si>
    <t>marrem2009@sapo.pt</t>
  </si>
  <si>
    <t>lurora2720</t>
  </si>
  <si>
    <t>pswlurora2720</t>
  </si>
  <si>
    <t>Lurdes Mariana Campos Rocha</t>
  </si>
  <si>
    <t>2720-373</t>
  </si>
  <si>
    <t>87295880</t>
  </si>
  <si>
    <t>284789307</t>
  </si>
  <si>
    <t>823543222</t>
  </si>
  <si>
    <t>915128827</t>
  </si>
  <si>
    <t>lurora2720@outlook.com</t>
  </si>
  <si>
    <t>dioira2659</t>
  </si>
  <si>
    <t>pswdioira2659</t>
  </si>
  <si>
    <t>Diogo Bruno Faria Martins</t>
  </si>
  <si>
    <t>2659-338</t>
  </si>
  <si>
    <t>47359122</t>
  </si>
  <si>
    <t>588241287</t>
  </si>
  <si>
    <t>858883588</t>
  </si>
  <si>
    <t>928093395</t>
  </si>
  <si>
    <t>dioira2659@outlook.com</t>
  </si>
  <si>
    <t>Bruno Ricardo Raposo Mendes</t>
  </si>
  <si>
    <t>1300-996</t>
  </si>
  <si>
    <t>63044475</t>
  </si>
  <si>
    <t>373847645</t>
  </si>
  <si>
    <t>979482838</t>
  </si>
  <si>
    <t>939964079</t>
  </si>
  <si>
    <t>bruboa1300@gmail.com</t>
  </si>
  <si>
    <t>fraboa1999</t>
  </si>
  <si>
    <t>pswfraboa1999</t>
  </si>
  <si>
    <t>Francisco Rodrigo Jesus Reis</t>
  </si>
  <si>
    <t>1999-410</t>
  </si>
  <si>
    <t>78482005</t>
  </si>
  <si>
    <t>250188399</t>
  </si>
  <si>
    <t>903454666</t>
  </si>
  <si>
    <t>913870790</t>
  </si>
  <si>
    <t>fraboa1999@outlook.com</t>
  </si>
  <si>
    <t>sofluz2749</t>
  </si>
  <si>
    <t>pswsofluz2749</t>
  </si>
  <si>
    <t>Sofia Beatriz Pinheiro Vicente</t>
  </si>
  <si>
    <t>2749-057</t>
  </si>
  <si>
    <t>70863311</t>
  </si>
  <si>
    <t>520574637</t>
  </si>
  <si>
    <t>820278934</t>
  </si>
  <si>
    <t>925845040</t>
  </si>
  <si>
    <t>sofluz2749@gmail.com</t>
  </si>
  <si>
    <t>sanfra2640</t>
  </si>
  <si>
    <t>pswsanfra2640</t>
  </si>
  <si>
    <t>Santiago Joana Campos Assunção</t>
  </si>
  <si>
    <t>2640-952</t>
  </si>
  <si>
    <t>13418101</t>
  </si>
  <si>
    <t>780390983</t>
  </si>
  <si>
    <t>774694371</t>
  </si>
  <si>
    <t>924301383</t>
  </si>
  <si>
    <t>sanfra2640@sapo.pt</t>
  </si>
  <si>
    <t>tiaboa1950</t>
  </si>
  <si>
    <t>pswtiaboa1950</t>
  </si>
  <si>
    <t>Tiago José Simões Pereira</t>
  </si>
  <si>
    <t>1950-109</t>
  </si>
  <si>
    <t>46832074</t>
  </si>
  <si>
    <t>517068814</t>
  </si>
  <si>
    <t>129474672</t>
  </si>
  <si>
    <t>926269580</t>
  </si>
  <si>
    <t>tiaboa1950@outlook.com</t>
  </si>
  <si>
    <t>Mariana Inês Miranda Raposo</t>
  </si>
  <si>
    <t>2825-893</t>
  </si>
  <si>
    <t>74093696</t>
  </si>
  <si>
    <t>750768789</t>
  </si>
  <si>
    <t>300490378</t>
  </si>
  <si>
    <t>914219222</t>
  </si>
  <si>
    <t>bruada2804</t>
  </si>
  <si>
    <t>pswbruada2804</t>
  </si>
  <si>
    <t>Bruno Ana Martins Carneiro</t>
  </si>
  <si>
    <t>2804-824</t>
  </si>
  <si>
    <t>88189559</t>
  </si>
  <si>
    <t>928802555</t>
  </si>
  <si>
    <t>401170147</t>
  </si>
  <si>
    <t>928802716</t>
  </si>
  <si>
    <t>bruada2804@gmail.com</t>
  </si>
  <si>
    <t>pedboa1249</t>
  </si>
  <si>
    <t>pswpedboa1249</t>
  </si>
  <si>
    <t>Pedro João Anjos Borges</t>
  </si>
  <si>
    <t>1249-920</t>
  </si>
  <si>
    <t>16540879</t>
  </si>
  <si>
    <t>694482780</t>
  </si>
  <si>
    <t>604117473</t>
  </si>
  <si>
    <t>969142926</t>
  </si>
  <si>
    <t>pedboa1249@gmail.com</t>
  </si>
  <si>
    <t>Inês Sofia Andrade Cardoso</t>
  </si>
  <si>
    <t>2810-673</t>
  </si>
  <si>
    <t>30864273</t>
  </si>
  <si>
    <t>735223878</t>
  </si>
  <si>
    <t>220095402</t>
  </si>
  <si>
    <t>916537462</t>
  </si>
  <si>
    <t>ineada2810@gmail.com</t>
  </si>
  <si>
    <t>catboa1950</t>
  </si>
  <si>
    <t>pswcatboa1950</t>
  </si>
  <si>
    <t>Catarina João Lima Batista</t>
  </si>
  <si>
    <t>1950-886</t>
  </si>
  <si>
    <t>87274841</t>
  </si>
  <si>
    <t>218888076</t>
  </si>
  <si>
    <t>550368583</t>
  </si>
  <si>
    <t>935237900</t>
  </si>
  <si>
    <t>catboa1950@gmail.com</t>
  </si>
  <si>
    <t>catras2560</t>
  </si>
  <si>
    <t>pswcatras2560</t>
  </si>
  <si>
    <t>Catarina Mariana Nogueira Castro</t>
  </si>
  <si>
    <t>2560-290</t>
  </si>
  <si>
    <t>94628407</t>
  </si>
  <si>
    <t>649735823</t>
  </si>
  <si>
    <t>483294789</t>
  </si>
  <si>
    <t>965471535</t>
  </si>
  <si>
    <t>catras2560@outlook.com</t>
  </si>
  <si>
    <t>afoboa1049</t>
  </si>
  <si>
    <t>pswafoboa1049</t>
  </si>
  <si>
    <t>Afonso Francisco Brito Macedo</t>
  </si>
  <si>
    <t>1049-086</t>
  </si>
  <si>
    <t>55580055</t>
  </si>
  <si>
    <t>999526192</t>
  </si>
  <si>
    <t>781241357</t>
  </si>
  <si>
    <t>920285032</t>
  </si>
  <si>
    <t>afoboa1049@gmail.com</t>
  </si>
  <si>
    <t>catboa1050</t>
  </si>
  <si>
    <t>pswcatboa1050</t>
  </si>
  <si>
    <t>Catarina Ana Oliveira Almeida</t>
  </si>
  <si>
    <t>1050-502</t>
  </si>
  <si>
    <t>28402659</t>
  </si>
  <si>
    <t>603277121</t>
  </si>
  <si>
    <t>816444751</t>
  </si>
  <si>
    <t>939089121</t>
  </si>
  <si>
    <t>catboa1050@sapo.pt</t>
  </si>
  <si>
    <t>sanria2415</t>
  </si>
  <si>
    <t>pswsanria2415</t>
  </si>
  <si>
    <t>Santiago Francisco Jesus Guerreiro</t>
  </si>
  <si>
    <t>2415-766</t>
  </si>
  <si>
    <t>10030705</t>
  </si>
  <si>
    <t>175130611</t>
  </si>
  <si>
    <t>439709162</t>
  </si>
  <si>
    <t>968447369</t>
  </si>
  <si>
    <t>sanria2415@outlook.com</t>
  </si>
  <si>
    <t>gabboa1068</t>
  </si>
  <si>
    <t>pswgabboa1068</t>
  </si>
  <si>
    <t>Gabriel Mariana Alves Batista</t>
  </si>
  <si>
    <t>1068-401</t>
  </si>
  <si>
    <t>25662799</t>
  </si>
  <si>
    <t>861404898</t>
  </si>
  <si>
    <t>753480671</t>
  </si>
  <si>
    <t>922347116</t>
  </si>
  <si>
    <t>gabboa1068@outlook.com</t>
  </si>
  <si>
    <t>pedras2560</t>
  </si>
  <si>
    <t>pswpedras2560</t>
  </si>
  <si>
    <t>Pedro Martim Leite Costa</t>
  </si>
  <si>
    <t>2560-032</t>
  </si>
  <si>
    <t>11043736</t>
  </si>
  <si>
    <t>638792183</t>
  </si>
  <si>
    <t>537044970</t>
  </si>
  <si>
    <t>936679793</t>
  </si>
  <si>
    <t>pedras2560@outlook.com</t>
  </si>
  <si>
    <t>diaboa1149</t>
  </si>
  <si>
    <t>pswdiaboa1149</t>
  </si>
  <si>
    <t>Diana Daniela Rodrigues Machado</t>
  </si>
  <si>
    <t>1149-882</t>
  </si>
  <si>
    <t>68689576</t>
  </si>
  <si>
    <t>309977083</t>
  </si>
  <si>
    <t>880754714</t>
  </si>
  <si>
    <t>918013222</t>
  </si>
  <si>
    <t>diaboa1149@sapo.pt</t>
  </si>
  <si>
    <t>marada2810</t>
  </si>
  <si>
    <t>pswmarada2810</t>
  </si>
  <si>
    <t>Mariana Martim Reis Carneiro</t>
  </si>
  <si>
    <t>2810-499</t>
  </si>
  <si>
    <t>66498218</t>
  </si>
  <si>
    <t>563768317</t>
  </si>
  <si>
    <t>752205875</t>
  </si>
  <si>
    <t>920248595</t>
  </si>
  <si>
    <t>marada2810@gmail.com</t>
  </si>
  <si>
    <t>carboa1949</t>
  </si>
  <si>
    <t>pswcarboa1949</t>
  </si>
  <si>
    <t>Carolina Martim Reis Lourenço</t>
  </si>
  <si>
    <t>1949-719</t>
  </si>
  <si>
    <t>19911014</t>
  </si>
  <si>
    <t>225081273</t>
  </si>
  <si>
    <t>811899239</t>
  </si>
  <si>
    <t>912691503</t>
  </si>
  <si>
    <t>carboa1949@sapo.pt</t>
  </si>
  <si>
    <t>ananto2330</t>
  </si>
  <si>
    <t>pswananto2330</t>
  </si>
  <si>
    <t>Ana Tiago Nascimento Azevedo</t>
  </si>
  <si>
    <t>2330-740</t>
  </si>
  <si>
    <t>16700050</t>
  </si>
  <si>
    <t>410114937</t>
  </si>
  <si>
    <t>612291302</t>
  </si>
  <si>
    <t>923966831</t>
  </si>
  <si>
    <t>ananto2330@gmail.com</t>
  </si>
  <si>
    <t>marboa1849</t>
  </si>
  <si>
    <t>pswmarboa1849</t>
  </si>
  <si>
    <t>Martim Ana Machado Raposo</t>
  </si>
  <si>
    <t>1849-417</t>
  </si>
  <si>
    <t>68286763</t>
  </si>
  <si>
    <t>466380166</t>
  </si>
  <si>
    <t>179861279</t>
  </si>
  <si>
    <t>918458486</t>
  </si>
  <si>
    <t>marboa1849@sapo.pt</t>
  </si>
  <si>
    <t>marboa1300</t>
  </si>
  <si>
    <t>pswmarboa1300</t>
  </si>
  <si>
    <t>Mariana Daniela Batista Nunes</t>
  </si>
  <si>
    <t>1300-076</t>
  </si>
  <si>
    <t>85669523</t>
  </si>
  <si>
    <t>389028289</t>
  </si>
  <si>
    <t>959109928</t>
  </si>
  <si>
    <t>962786004</t>
  </si>
  <si>
    <t>marboa1300@gmail.com</t>
  </si>
  <si>
    <t>danada2810</t>
  </si>
  <si>
    <t>pswdanada2810</t>
  </si>
  <si>
    <t>Daniela Sara Cruz Sousa</t>
  </si>
  <si>
    <t>2810-166</t>
  </si>
  <si>
    <t>24535120</t>
  </si>
  <si>
    <t>823146489</t>
  </si>
  <si>
    <t>716190758</t>
  </si>
  <si>
    <t>921399761</t>
  </si>
  <si>
    <t>danada2810@gmail.com</t>
  </si>
  <si>
    <t>josiro2834</t>
  </si>
  <si>
    <t>pswjosiro2834</t>
  </si>
  <si>
    <t>José Maria Brito Rocha</t>
  </si>
  <si>
    <t>2834-451</t>
  </si>
  <si>
    <t>90085975</t>
  </si>
  <si>
    <t>961759372</t>
  </si>
  <si>
    <t>243100371</t>
  </si>
  <si>
    <t>963816258</t>
  </si>
  <si>
    <t>josiro2834@gmail.com</t>
  </si>
  <si>
    <t>user_id</t>
  </si>
  <si>
    <t>speciality_id</t>
  </si>
  <si>
    <t>INSERT INTO doctor_has_speciality(user_id, speciality_id)</t>
  </si>
  <si>
    <t>Médico</t>
  </si>
  <si>
    <t>Utente</t>
  </si>
  <si>
    <t>anaboa1069.jpg</t>
  </si>
  <si>
    <t>dioboa1549.jpg</t>
  </si>
  <si>
    <t>matboa1998.jpg</t>
  </si>
  <si>
    <t>migboa1900.jpg</t>
  </si>
  <si>
    <t>sofluz2749.jpg</t>
  </si>
  <si>
    <t>INSERT INTO patient(patient_id)</t>
  </si>
  <si>
    <t>INSERT INTO user(user_id,username, password, name, sex, birthday, address, post_code, city, account, nationality, document_type, document_number, nif, patient_number, phone, email, photourl)</t>
  </si>
  <si>
    <t>INSERT INTO user(user_id, username, password, name, sex, birthday, address, post_code, city, account, nationality, document_type, document_number, nif, patient_number, phone, email, photourl)</t>
  </si>
  <si>
    <t>INSERT INTO doctor(doctor_id, license_number, speciality_id)</t>
  </si>
  <si>
    <t>INSERT INTO employee(employee_id)</t>
  </si>
  <si>
    <t>ineada2810w</t>
  </si>
  <si>
    <t>Joaquim</t>
  </si>
  <si>
    <t>Laura</t>
  </si>
  <si>
    <t>Lara</t>
  </si>
  <si>
    <t>Recepcionista</t>
  </si>
  <si>
    <t>rec001</t>
  </si>
  <si>
    <t>pswrec001</t>
  </si>
  <si>
    <t>rec001@hospital.upskill.com</t>
  </si>
  <si>
    <t>rec002</t>
  </si>
  <si>
    <t>pswrec002</t>
  </si>
  <si>
    <t>rec002@hospital.upskill.com</t>
  </si>
  <si>
    <t>rec003</t>
  </si>
  <si>
    <t>pswrec003</t>
  </si>
  <si>
    <t>rec003@hospital.upskill.com</t>
  </si>
  <si>
    <t>rec004</t>
  </si>
  <si>
    <t>pswrec004</t>
  </si>
  <si>
    <t>rec004@hospital.upskill.com</t>
  </si>
  <si>
    <t>rec005</t>
  </si>
  <si>
    <t>pswrec005</t>
  </si>
  <si>
    <t>rec005@hospital.upskill.com</t>
  </si>
  <si>
    <t>rec006</t>
  </si>
  <si>
    <t>pswrec006</t>
  </si>
  <si>
    <t>rec006@hospital.upskill.com</t>
  </si>
  <si>
    <t>rec007</t>
  </si>
  <si>
    <t>pswrec007</t>
  </si>
  <si>
    <t>rec007@hospital.upskill.com</t>
  </si>
  <si>
    <t>rec008</t>
  </si>
  <si>
    <t>pswrec008</t>
  </si>
  <si>
    <t>rec008@hospital.upskill.com</t>
  </si>
  <si>
    <t>rec009</t>
  </si>
  <si>
    <t>pswrec009</t>
  </si>
  <si>
    <t>rec009@hospital.upskill.com</t>
  </si>
  <si>
    <t>rec010</t>
  </si>
  <si>
    <t>pswrec010</t>
  </si>
  <si>
    <t>rec010@hospital.upskill.com</t>
  </si>
  <si>
    <t>Santiago Assunção Vieira</t>
  </si>
  <si>
    <t>2614-241</t>
  </si>
  <si>
    <t>76127900</t>
  </si>
  <si>
    <t>213459174</t>
  </si>
  <si>
    <t>630516313</t>
  </si>
  <si>
    <t>912802112</t>
  </si>
  <si>
    <t>José Pires Antunes</t>
  </si>
  <si>
    <t>2900-411</t>
  </si>
  <si>
    <t>41324617</t>
  </si>
  <si>
    <t>848321758</t>
  </si>
  <si>
    <t>586932508</t>
  </si>
  <si>
    <t>966229913</t>
  </si>
  <si>
    <t>Catarina Sofia Cunha Gomes</t>
  </si>
  <si>
    <t>2654-228</t>
  </si>
  <si>
    <t>47409942</t>
  </si>
  <si>
    <t>858039431</t>
  </si>
  <si>
    <t>349866136</t>
  </si>
  <si>
    <t>934738939</t>
  </si>
  <si>
    <t>Duarte José Miranda Oliveira</t>
  </si>
  <si>
    <t>1449-634</t>
  </si>
  <si>
    <t>76178103</t>
  </si>
  <si>
    <t>427188848</t>
  </si>
  <si>
    <t>995257896</t>
  </si>
  <si>
    <t>918829948</t>
  </si>
  <si>
    <t>Santiago Matilde Figueiredo Figueiredo</t>
  </si>
  <si>
    <t>1549-731</t>
  </si>
  <si>
    <t>62507076</t>
  </si>
  <si>
    <t>634350831</t>
  </si>
  <si>
    <t>684226986</t>
  </si>
  <si>
    <t>931373585</t>
  </si>
  <si>
    <t>Duarte Luís Castro Antunes</t>
  </si>
  <si>
    <t>2654-578</t>
  </si>
  <si>
    <t>91496657</t>
  </si>
  <si>
    <t>489716842</t>
  </si>
  <si>
    <t>539816581</t>
  </si>
  <si>
    <t>963125267</t>
  </si>
  <si>
    <t>Tiago Rodrigo Cunha Ramos</t>
  </si>
  <si>
    <t>1349-564</t>
  </si>
  <si>
    <t>63387806</t>
  </si>
  <si>
    <t>829988758</t>
  </si>
  <si>
    <t>815702121</t>
  </si>
  <si>
    <t>914945528</t>
  </si>
  <si>
    <t>Gabriel João Torres Ferreira</t>
  </si>
  <si>
    <t>2745-266</t>
  </si>
  <si>
    <t>93447178</t>
  </si>
  <si>
    <t>267136156</t>
  </si>
  <si>
    <t>608205890</t>
  </si>
  <si>
    <t>911291253</t>
  </si>
  <si>
    <t>Tiago Inês Pereira Henriques</t>
  </si>
  <si>
    <t>2750-876</t>
  </si>
  <si>
    <t>37567118</t>
  </si>
  <si>
    <t>587506877</t>
  </si>
  <si>
    <t>884609656</t>
  </si>
  <si>
    <t>966490826</t>
  </si>
  <si>
    <t>Marco Inês Reis Araújo</t>
  </si>
  <si>
    <t>2829-427</t>
  </si>
  <si>
    <t>50227653</t>
  </si>
  <si>
    <t>692666346</t>
  </si>
  <si>
    <t>144598948</t>
  </si>
  <si>
    <t>939877634</t>
  </si>
  <si>
    <t>INSERT INTO receptionist(receptionist_id)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</si>
</sst>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quotePrefix="1"/>
    <xf numFmtId="0" fontId="0" fillId="0" borderId="0" xfId="0" applyFill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0560-157C-48DF-8DE5-185C8E764983}">
  <sheetPr codeName="Sheet1"/>
  <dimension ref="A1:D57"/>
  <sheetViews>
    <sheetView workbookViewId="0">
      <selection activeCell="A15" sqref="A15"/>
    </sheetView>
  </sheetViews>
  <sheetFormatPr defaultRowHeight="15" x14ac:dyDescent="0.25"/>
  <cols>
    <col min="1" max="1" width="44" bestFit="1" customWidth="1"/>
  </cols>
  <sheetData>
    <row r="1" spans="1:4" x14ac:dyDescent="0.25">
      <c r="A1" s="1" t="s">
        <v>0</v>
      </c>
    </row>
    <row r="2" spans="1:4" x14ac:dyDescent="0.25">
      <c r="A2" t="s">
        <v>2</v>
      </c>
      <c r="D2" t="s">
        <v>193</v>
      </c>
    </row>
    <row r="3" spans="1:4" x14ac:dyDescent="0.25">
      <c r="A3" t="s">
        <v>3</v>
      </c>
      <c r="D3" t="str">
        <f>"VALUES ('" &amp; A2 &amp; "'),"</f>
        <v>VALUES ('Anatomia Patológica'),</v>
      </c>
    </row>
    <row r="4" spans="1:4" x14ac:dyDescent="0.25">
      <c r="A4" t="s">
        <v>4</v>
      </c>
      <c r="D4" t="str">
        <f>"('" &amp; A3 &amp; "'),"</f>
        <v>('Anestesiologia'),</v>
      </c>
    </row>
    <row r="5" spans="1:4" x14ac:dyDescent="0.25">
      <c r="A5" t="s">
        <v>5</v>
      </c>
      <c r="D5" t="str">
        <f t="shared" ref="D5:D53" si="0">"('" &amp; A4 &amp; "'),"</f>
        <v>('Angiologia e Cirurgia Vascular'),</v>
      </c>
    </row>
    <row r="6" spans="1:4" x14ac:dyDescent="0.25">
      <c r="A6" t="s">
        <v>6</v>
      </c>
      <c r="D6" t="str">
        <f t="shared" si="0"/>
        <v>('Cardiologia'),</v>
      </c>
    </row>
    <row r="7" spans="1:4" x14ac:dyDescent="0.25">
      <c r="A7" t="s">
        <v>7</v>
      </c>
      <c r="D7" t="str">
        <f t="shared" si="0"/>
        <v>('Cardiologia Pediátrica'),</v>
      </c>
    </row>
    <row r="8" spans="1:4" x14ac:dyDescent="0.25">
      <c r="A8" t="s">
        <v>8</v>
      </c>
      <c r="D8" t="str">
        <f t="shared" si="0"/>
        <v>('Cirurgia Cardíaca'),</v>
      </c>
    </row>
    <row r="9" spans="1:4" x14ac:dyDescent="0.25">
      <c r="A9" t="s">
        <v>9</v>
      </c>
      <c r="D9" t="str">
        <f t="shared" si="0"/>
        <v>('Cirurgia Cardiotorácica'),</v>
      </c>
    </row>
    <row r="10" spans="1:4" x14ac:dyDescent="0.25">
      <c r="A10" t="s">
        <v>10</v>
      </c>
      <c r="D10" t="str">
        <f t="shared" si="0"/>
        <v>('Cirurgia Geral'),</v>
      </c>
    </row>
    <row r="11" spans="1:4" x14ac:dyDescent="0.25">
      <c r="A11" t="s">
        <v>11</v>
      </c>
      <c r="D11" t="str">
        <f t="shared" si="0"/>
        <v>('Cirurgia Maxilo-Facial'),</v>
      </c>
    </row>
    <row r="12" spans="1:4" x14ac:dyDescent="0.25">
      <c r="A12" t="s">
        <v>12</v>
      </c>
      <c r="D12" t="str">
        <f t="shared" si="0"/>
        <v>('Cirurgia Pediátrica'),</v>
      </c>
    </row>
    <row r="13" spans="1:4" x14ac:dyDescent="0.25">
      <c r="A13" t="s">
        <v>13</v>
      </c>
      <c r="D13" t="str">
        <f t="shared" si="0"/>
        <v>('Cirurgia Plástica Reco. e Est.'),</v>
      </c>
    </row>
    <row r="14" spans="1:4" x14ac:dyDescent="0.25">
      <c r="A14" t="s">
        <v>1</v>
      </c>
      <c r="D14" t="str">
        <f t="shared" si="0"/>
        <v>('Cirurgia Torácica'),</v>
      </c>
    </row>
    <row r="15" spans="1:4" x14ac:dyDescent="0.25">
      <c r="A15" t="s">
        <v>14</v>
      </c>
      <c r="D15" t="str">
        <f t="shared" si="0"/>
        <v>('Dermato-Venereologia'),</v>
      </c>
    </row>
    <row r="16" spans="1:4" x14ac:dyDescent="0.25">
      <c r="A16" t="s">
        <v>15</v>
      </c>
      <c r="D16" t="str">
        <f t="shared" si="0"/>
        <v>('Doenças Infecciosas'),</v>
      </c>
    </row>
    <row r="17" spans="1:4" x14ac:dyDescent="0.25">
      <c r="A17" t="s">
        <v>16</v>
      </c>
      <c r="D17" t="str">
        <f t="shared" si="0"/>
        <v>('Endocrinologia e Nutrição'),</v>
      </c>
    </row>
    <row r="18" spans="1:4" x14ac:dyDescent="0.25">
      <c r="A18" t="s">
        <v>17</v>
      </c>
      <c r="D18" t="str">
        <f t="shared" si="0"/>
        <v>('Estomatologia'),</v>
      </c>
    </row>
    <row r="19" spans="1:4" x14ac:dyDescent="0.25">
      <c r="A19" t="s">
        <v>18</v>
      </c>
      <c r="D19" t="str">
        <f t="shared" si="0"/>
        <v>('Farmacologia Clínica'),</v>
      </c>
    </row>
    <row r="20" spans="1:4" x14ac:dyDescent="0.25">
      <c r="A20" t="s">
        <v>19</v>
      </c>
      <c r="D20" t="str">
        <f t="shared" si="0"/>
        <v>('Gastrenterologia'),</v>
      </c>
    </row>
    <row r="21" spans="1:4" x14ac:dyDescent="0.25">
      <c r="A21" t="s">
        <v>20</v>
      </c>
      <c r="D21" t="str">
        <f t="shared" si="0"/>
        <v>('Genética Médica'),</v>
      </c>
    </row>
    <row r="22" spans="1:4" x14ac:dyDescent="0.25">
      <c r="A22" t="s">
        <v>21</v>
      </c>
      <c r="D22" t="str">
        <f t="shared" si="0"/>
        <v>('Ginecologia/Obstetrícia'),</v>
      </c>
    </row>
    <row r="23" spans="1:4" x14ac:dyDescent="0.25">
      <c r="A23" t="s">
        <v>22</v>
      </c>
      <c r="D23" t="str">
        <f t="shared" si="0"/>
        <v>('Hematologia Clínica'),</v>
      </c>
    </row>
    <row r="24" spans="1:4" x14ac:dyDescent="0.25">
      <c r="A24" t="s">
        <v>23</v>
      </c>
      <c r="D24" t="str">
        <f t="shared" si="0"/>
        <v>('Imunoalergologia'),</v>
      </c>
    </row>
    <row r="25" spans="1:4" x14ac:dyDescent="0.25">
      <c r="A25" t="s">
        <v>24</v>
      </c>
      <c r="D25" t="str">
        <f t="shared" si="0"/>
        <v>('Imunohemoterapia'),</v>
      </c>
    </row>
    <row r="26" spans="1:4" x14ac:dyDescent="0.25">
      <c r="A26" t="s">
        <v>25</v>
      </c>
      <c r="D26" t="str">
        <f t="shared" si="0"/>
        <v>('Medicina Desportiva'),</v>
      </c>
    </row>
    <row r="27" spans="1:4" x14ac:dyDescent="0.25">
      <c r="A27" t="s">
        <v>26</v>
      </c>
      <c r="D27" t="str">
        <f t="shared" si="0"/>
        <v>('Medicina do Trabalho'),</v>
      </c>
    </row>
    <row r="28" spans="1:4" x14ac:dyDescent="0.25">
      <c r="A28" t="s">
        <v>27</v>
      </c>
      <c r="D28" t="str">
        <f t="shared" si="0"/>
        <v>('Especialidade Medicina Física e de Reabilitação'),</v>
      </c>
    </row>
    <row r="29" spans="1:4" x14ac:dyDescent="0.25">
      <c r="A29" t="s">
        <v>28</v>
      </c>
      <c r="D29" t="str">
        <f t="shared" si="0"/>
        <v>('Medicina Geral e Familiar'),</v>
      </c>
    </row>
    <row r="30" spans="1:4" x14ac:dyDescent="0.25">
      <c r="A30" t="s">
        <v>29</v>
      </c>
      <c r="D30" t="str">
        <f t="shared" si="0"/>
        <v>('Medicina Intensiva'),</v>
      </c>
    </row>
    <row r="31" spans="1:4" x14ac:dyDescent="0.25">
      <c r="A31" t="s">
        <v>30</v>
      </c>
      <c r="D31" t="str">
        <f t="shared" si="0"/>
        <v>('Medicina Interna'),</v>
      </c>
    </row>
    <row r="32" spans="1:4" x14ac:dyDescent="0.25">
      <c r="A32" t="s">
        <v>31</v>
      </c>
      <c r="D32" t="str">
        <f t="shared" si="0"/>
        <v>('Medicina Legal'),</v>
      </c>
    </row>
    <row r="33" spans="1:4" x14ac:dyDescent="0.25">
      <c r="A33" t="s">
        <v>32</v>
      </c>
      <c r="D33" t="str">
        <f t="shared" si="0"/>
        <v>('Medicina Nuclear'),</v>
      </c>
    </row>
    <row r="34" spans="1:4" x14ac:dyDescent="0.25">
      <c r="A34" t="s">
        <v>33</v>
      </c>
      <c r="D34" t="str">
        <f t="shared" si="0"/>
        <v>('Medicina Tropical'),</v>
      </c>
    </row>
    <row r="35" spans="1:4" x14ac:dyDescent="0.25">
      <c r="A35" t="s">
        <v>34</v>
      </c>
      <c r="D35" t="str">
        <f t="shared" si="0"/>
        <v>('Nefrologia'),</v>
      </c>
    </row>
    <row r="36" spans="1:4" x14ac:dyDescent="0.25">
      <c r="A36" t="s">
        <v>35</v>
      </c>
      <c r="D36" t="str">
        <f t="shared" si="0"/>
        <v>('Neurocirurgia'),</v>
      </c>
    </row>
    <row r="37" spans="1:4" x14ac:dyDescent="0.25">
      <c r="A37" t="s">
        <v>36</v>
      </c>
      <c r="D37" t="str">
        <f t="shared" si="0"/>
        <v>('Neurologia'),</v>
      </c>
    </row>
    <row r="38" spans="1:4" x14ac:dyDescent="0.25">
      <c r="A38" t="s">
        <v>37</v>
      </c>
      <c r="D38" t="str">
        <f t="shared" si="0"/>
        <v>('Neurorradiologia'),</v>
      </c>
    </row>
    <row r="39" spans="1:4" x14ac:dyDescent="0.25">
      <c r="A39" t="s">
        <v>38</v>
      </c>
      <c r="D39" t="str">
        <f t="shared" si="0"/>
        <v>('Oftalmologia'),</v>
      </c>
    </row>
    <row r="40" spans="1:4" x14ac:dyDescent="0.25">
      <c r="A40" t="s">
        <v>39</v>
      </c>
      <c r="D40" t="str">
        <f t="shared" si="0"/>
        <v>('Oncologia Médica'),</v>
      </c>
    </row>
    <row r="41" spans="1:4" x14ac:dyDescent="0.25">
      <c r="A41" t="s">
        <v>40</v>
      </c>
      <c r="D41" t="str">
        <f t="shared" si="0"/>
        <v>('Ortopedia'),</v>
      </c>
    </row>
    <row r="42" spans="1:4" x14ac:dyDescent="0.25">
      <c r="A42" t="s">
        <v>41</v>
      </c>
      <c r="D42" t="str">
        <f t="shared" si="0"/>
        <v>('Otorrinolaringologia'),</v>
      </c>
    </row>
    <row r="43" spans="1:4" x14ac:dyDescent="0.25">
      <c r="A43" t="s">
        <v>42</v>
      </c>
      <c r="D43" t="str">
        <f t="shared" si="0"/>
        <v>('Patologia Clínica'),</v>
      </c>
    </row>
    <row r="44" spans="1:4" x14ac:dyDescent="0.25">
      <c r="A44" t="s">
        <v>43</v>
      </c>
      <c r="D44" t="str">
        <f t="shared" si="0"/>
        <v>('Pediatria'),</v>
      </c>
    </row>
    <row r="45" spans="1:4" x14ac:dyDescent="0.25">
      <c r="A45" t="s">
        <v>44</v>
      </c>
      <c r="D45" t="str">
        <f t="shared" si="0"/>
        <v>('Pneumologia'),</v>
      </c>
    </row>
    <row r="46" spans="1:4" x14ac:dyDescent="0.25">
      <c r="A46" t="s">
        <v>45</v>
      </c>
      <c r="D46" t="str">
        <f t="shared" si="0"/>
        <v>('Psiquiatria'),</v>
      </c>
    </row>
    <row r="47" spans="1:4" x14ac:dyDescent="0.25">
      <c r="A47" t="s">
        <v>46</v>
      </c>
      <c r="D47" t="str">
        <f t="shared" si="0"/>
        <v>('Psiquiatria da Infância e da Adolescência'),</v>
      </c>
    </row>
    <row r="48" spans="1:4" x14ac:dyDescent="0.25">
      <c r="A48" t="s">
        <v>47</v>
      </c>
      <c r="D48" t="str">
        <f t="shared" si="0"/>
        <v>('Radiologia'),</v>
      </c>
    </row>
    <row r="49" spans="1:4" x14ac:dyDescent="0.25">
      <c r="A49" t="s">
        <v>48</v>
      </c>
      <c r="D49" t="str">
        <f t="shared" si="0"/>
        <v>('Radioncologia'),</v>
      </c>
    </row>
    <row r="50" spans="1:4" x14ac:dyDescent="0.25">
      <c r="A50" t="s">
        <v>49</v>
      </c>
      <c r="D50" t="str">
        <f t="shared" si="0"/>
        <v>('Reumatologia'),</v>
      </c>
    </row>
    <row r="51" spans="1:4" x14ac:dyDescent="0.25">
      <c r="A51" t="s">
        <v>50</v>
      </c>
      <c r="D51" t="str">
        <f t="shared" si="0"/>
        <v>('Saúde Pública'),</v>
      </c>
    </row>
    <row r="52" spans="1:4" x14ac:dyDescent="0.25">
      <c r="D52" t="str">
        <f>"('" &amp; A51 &amp; "');"</f>
        <v>('Urologia');</v>
      </c>
    </row>
    <row r="53" spans="1:4" x14ac:dyDescent="0.25">
      <c r="D53" t="str">
        <f t="shared" si="0"/>
        <v>(''),</v>
      </c>
    </row>
    <row r="54" spans="1:4" x14ac:dyDescent="0.25">
      <c r="D54" t="str">
        <f t="shared" ref="D54:D57" si="1">"(" &amp; A53 &amp; "),"</f>
        <v>(),</v>
      </c>
    </row>
    <row r="55" spans="1:4" x14ac:dyDescent="0.25">
      <c r="D55" t="str">
        <f t="shared" si="1"/>
        <v>(),</v>
      </c>
    </row>
    <row r="56" spans="1:4" x14ac:dyDescent="0.25">
      <c r="D56" t="str">
        <f t="shared" si="1"/>
        <v>(),</v>
      </c>
    </row>
    <row r="57" spans="1:4" x14ac:dyDescent="0.25">
      <c r="D57" t="str">
        <f t="shared" si="1"/>
        <v>(),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82E3-7388-474F-A38C-72C0896C2505}">
  <sheetPr codeName="Sheet2"/>
  <dimension ref="A1:W200"/>
  <sheetViews>
    <sheetView topLeftCell="A31" workbookViewId="0">
      <selection activeCell="M50" sqref="M50"/>
    </sheetView>
  </sheetViews>
  <sheetFormatPr defaultRowHeight="15" x14ac:dyDescent="0.25"/>
  <cols>
    <col min="1" max="1" width="10" bestFit="1" customWidth="1"/>
    <col min="13" max="13" width="11.28515625" customWidth="1"/>
    <col min="14" max="16" width="10.7109375" customWidth="1"/>
    <col min="17" max="17" width="11.42578125" customWidth="1"/>
  </cols>
  <sheetData>
    <row r="1" spans="1:23" x14ac:dyDescent="0.25">
      <c r="A1" s="1" t="s">
        <v>51</v>
      </c>
      <c r="B1" s="1" t="s">
        <v>52</v>
      </c>
      <c r="E1" s="1" t="s">
        <v>89</v>
      </c>
      <c r="I1" t="s">
        <v>194</v>
      </c>
      <c r="J1" t="s">
        <v>195</v>
      </c>
      <c r="K1" t="s">
        <v>196</v>
      </c>
      <c r="L1" t="s">
        <v>197</v>
      </c>
    </row>
    <row r="2" spans="1:23" x14ac:dyDescent="0.25">
      <c r="A2" t="s">
        <v>53</v>
      </c>
      <c r="B2" t="s">
        <v>57</v>
      </c>
      <c r="E2" t="s">
        <v>93</v>
      </c>
      <c r="I2">
        <f ca="1">RANDBETWEEN(1,39)</f>
        <v>15</v>
      </c>
      <c r="J2">
        <f ca="1">RANDBETWEEN(1,39)</f>
        <v>30</v>
      </c>
      <c r="K2">
        <f ca="1">RANDBETWEEN(1,97)</f>
        <v>41</v>
      </c>
      <c r="L2">
        <f ca="1">RANDBETWEEN(1,97)</f>
        <v>80</v>
      </c>
      <c r="M2" s="3" t="str" cm="1">
        <f t="array" aca="1" ref="M2" ca="1">INDEX($A$2:$A$40,I2,1)</f>
        <v>Feminino</v>
      </c>
      <c r="N2" s="3" t="str" cm="1">
        <f t="array" aca="1" ref="N2" ca="1">INDEX($B$2:$B$40,I2,1)</f>
        <v>Inês</v>
      </c>
      <c r="O2" s="3" t="str" cm="1">
        <f t="array" aca="1" ref="O2" ca="1">INDEX($B$2:$B$40,J2,1)</f>
        <v>Ricardo</v>
      </c>
      <c r="P2" s="3" t="str" cm="1">
        <f t="array" aca="1" ref="P2" ca="1">INDEX($E$2:$E$98,K2)</f>
        <v>Matos</v>
      </c>
      <c r="Q2" s="3" t="str" cm="1">
        <f t="array" aca="1" ref="Q2" ca="1">INDEX($E$2:$E$98,L2)</f>
        <v>Assunção</v>
      </c>
      <c r="W2">
        <f ca="1">COUNTIF(M:M,"Masculino")</f>
        <v>110</v>
      </c>
    </row>
    <row r="3" spans="1:23" x14ac:dyDescent="0.25">
      <c r="A3" t="s">
        <v>66</v>
      </c>
      <c r="B3" t="s">
        <v>73</v>
      </c>
      <c r="E3" t="s">
        <v>108</v>
      </c>
      <c r="I3">
        <f t="shared" ref="I3:J66" ca="1" si="0">RANDBETWEEN(1,39)</f>
        <v>12</v>
      </c>
      <c r="J3">
        <f t="shared" ca="1" si="0"/>
        <v>8</v>
      </c>
      <c r="K3">
        <f t="shared" ref="K3:L66" ca="1" si="1">RANDBETWEEN(1,97)</f>
        <v>12</v>
      </c>
      <c r="L3">
        <f t="shared" ca="1" si="1"/>
        <v>68</v>
      </c>
      <c r="M3" s="6" t="str" cm="1">
        <f t="array" aca="1" ref="M3" ca="1">INDEX($A$2:$A$40,I3,1)</f>
        <v>Feminino</v>
      </c>
      <c r="N3" s="6" t="str" cm="1">
        <f t="array" aca="1" ref="N3" ca="1">INDEX($B$2:$B$40,I3,1)</f>
        <v>Francisca</v>
      </c>
      <c r="O3" s="6" t="str" cm="1">
        <f t="array" aca="1" ref="O3" ca="1">INDEX($B$2:$B$40,J3,1)</f>
        <v>Daniela</v>
      </c>
      <c r="P3" s="6" t="str" cm="1">
        <f t="array" aca="1" ref="P3" ca="1">INDEX($E$2:$E$98,K3)</f>
        <v>Teixeira</v>
      </c>
      <c r="Q3" s="6" t="str" cm="1">
        <f t="array" aca="1" ref="Q3" ca="1">INDEX($E$2:$E$98,L3)</f>
        <v>Andrade</v>
      </c>
      <c r="S3" t="str">
        <f ca="1">M3</f>
        <v>Feminino</v>
      </c>
      <c r="T3" t="str">
        <f ca="1">N3</f>
        <v>Francisca</v>
      </c>
    </row>
    <row r="4" spans="1:23" x14ac:dyDescent="0.25">
      <c r="A4" t="s">
        <v>53</v>
      </c>
      <c r="B4" t="s">
        <v>81</v>
      </c>
      <c r="E4" t="s">
        <v>116</v>
      </c>
      <c r="I4">
        <f t="shared" ca="1" si="0"/>
        <v>18</v>
      </c>
      <c r="J4">
        <f t="shared" ca="1" si="0"/>
        <v>36</v>
      </c>
      <c r="K4">
        <f t="shared" ca="1" si="1"/>
        <v>83</v>
      </c>
      <c r="L4">
        <f t="shared" ca="1" si="1"/>
        <v>23</v>
      </c>
      <c r="M4" s="6" t="str" cm="1">
        <f t="array" aca="1" ref="M4" ca="1">INDEX($A$2:$A$40,I4,1)</f>
        <v>Masculino</v>
      </c>
      <c r="N4" s="6" t="str" cm="1">
        <f t="array" aca="1" ref="N4" ca="1">INDEX($B$2:$B$40,I4,1)</f>
        <v>José</v>
      </c>
      <c r="O4" s="6" t="str" cm="1">
        <f t="array" aca="1" ref="O4" ca="1">INDEX($B$2:$B$40,J4,1)</f>
        <v>Tomás</v>
      </c>
      <c r="P4" s="6" t="str" cm="1">
        <f t="array" aca="1" ref="P4" ca="1">INDEX($E$2:$E$98,K4)</f>
        <v>Valente</v>
      </c>
      <c r="Q4" s="6" t="str" cm="1">
        <f t="array" aca="1" ref="Q4" ca="1">INDEX($E$2:$E$98,L4)</f>
        <v>Gomes</v>
      </c>
      <c r="S4" t="str">
        <f t="shared" ref="S4:S67" ca="1" si="2">M4</f>
        <v>Masculino</v>
      </c>
      <c r="T4" t="str">
        <f t="shared" ref="T4:T13" ca="1" si="3">N4</f>
        <v>José</v>
      </c>
    </row>
    <row r="5" spans="1:23" x14ac:dyDescent="0.25">
      <c r="A5" t="s">
        <v>66</v>
      </c>
      <c r="B5" t="s">
        <v>70</v>
      </c>
      <c r="E5" t="s">
        <v>105</v>
      </c>
      <c r="I5">
        <f t="shared" ca="1" si="0"/>
        <v>14</v>
      </c>
      <c r="J5">
        <f t="shared" ca="1" si="0"/>
        <v>24</v>
      </c>
      <c r="K5">
        <f t="shared" ca="1" si="1"/>
        <v>62</v>
      </c>
      <c r="L5">
        <f t="shared" ca="1" si="1"/>
        <v>38</v>
      </c>
      <c r="M5" s="6" t="str" cm="1">
        <f t="array" aca="1" ref="M5" ca="1">INDEX($A$2:$A$40,I5,1)</f>
        <v>Masculino</v>
      </c>
      <c r="N5" s="6" t="str" cm="1">
        <f t="array" aca="1" ref="N5" ca="1">INDEX($B$2:$B$40,I5,1)</f>
        <v>Gabriel</v>
      </c>
      <c r="O5" s="6" t="str" cm="1">
        <f t="array" aca="1" ref="O5" ca="1">INDEX($B$2:$B$40,J5,1)</f>
        <v>Laura</v>
      </c>
      <c r="P5" s="6" t="str" cm="1">
        <f t="array" aca="1" ref="P5" ca="1">INDEX($E$2:$E$98,K5)</f>
        <v>Nogueira</v>
      </c>
      <c r="Q5" s="6" t="str" cm="1">
        <f t="array" aca="1" ref="Q5" ca="1">INDEX($E$2:$E$98,L5)</f>
        <v>Reis</v>
      </c>
      <c r="S5" t="str">
        <f t="shared" ca="1" si="2"/>
        <v>Masculino</v>
      </c>
      <c r="T5" t="str">
        <f t="shared" ca="1" si="3"/>
        <v>Gabriel</v>
      </c>
    </row>
    <row r="6" spans="1:23" x14ac:dyDescent="0.25">
      <c r="A6" t="s">
        <v>53</v>
      </c>
      <c r="B6" t="s">
        <v>79</v>
      </c>
      <c r="E6" t="s">
        <v>114</v>
      </c>
      <c r="I6">
        <f t="shared" ca="1" si="0"/>
        <v>26</v>
      </c>
      <c r="J6">
        <f t="shared" ca="1" si="0"/>
        <v>26</v>
      </c>
      <c r="K6">
        <f t="shared" ca="1" si="1"/>
        <v>80</v>
      </c>
      <c r="L6">
        <f t="shared" ca="1" si="1"/>
        <v>79</v>
      </c>
      <c r="M6" s="6" t="str" cm="1">
        <f t="array" aca="1" ref="M6" ca="1">INDEX($A$2:$A$40,I6,1)</f>
        <v>Masculino</v>
      </c>
      <c r="N6" s="6" t="str" cm="1">
        <f t="array" aca="1" ref="N6" ca="1">INDEX($B$2:$B$40,I6,1)</f>
        <v>Martim</v>
      </c>
      <c r="O6" s="6" t="str" cm="1">
        <f t="array" aca="1" ref="O6" ca="1">INDEX($B$2:$B$40,J6,1)</f>
        <v>Martim</v>
      </c>
      <c r="P6" s="6" t="str" cm="1">
        <f t="array" aca="1" ref="P6" ca="1">INDEX($E$2:$E$98,K6)</f>
        <v>Assunção</v>
      </c>
      <c r="Q6" s="6" t="str" cm="1">
        <f t="array" aca="1" ref="Q6" ca="1">INDEX($E$2:$E$98,L6)</f>
        <v>Gaspar</v>
      </c>
      <c r="S6" t="str">
        <f t="shared" ca="1" si="2"/>
        <v>Masculino</v>
      </c>
      <c r="T6" t="str">
        <f t="shared" ca="1" si="3"/>
        <v>Martim</v>
      </c>
    </row>
    <row r="7" spans="1:23" x14ac:dyDescent="0.25">
      <c r="A7" t="s">
        <v>66</v>
      </c>
      <c r="B7" t="s">
        <v>71</v>
      </c>
      <c r="E7" t="s">
        <v>106</v>
      </c>
      <c r="I7">
        <f t="shared" ca="1" si="0"/>
        <v>38</v>
      </c>
      <c r="J7">
        <f t="shared" ca="1" si="0"/>
        <v>32</v>
      </c>
      <c r="K7">
        <f t="shared" ca="1" si="1"/>
        <v>34</v>
      </c>
      <c r="L7">
        <f t="shared" ca="1" si="1"/>
        <v>12</v>
      </c>
      <c r="M7" s="6" t="str" cm="1">
        <f t="array" aca="1" ref="M7" ca="1">INDEX($A$2:$A$40,I7,1)</f>
        <v>Masculino</v>
      </c>
      <c r="N7" s="6" t="str" cm="1">
        <f t="array" aca="1" ref="N7" ca="1">INDEX($B$2:$B$40,I7,1)</f>
        <v>Joaquim</v>
      </c>
      <c r="O7" s="6" t="str" cm="1">
        <f t="array" aca="1" ref="O7" ca="1">INDEX($B$2:$B$40,J7,1)</f>
        <v>Santiago</v>
      </c>
      <c r="P7" s="6" t="str" cm="1">
        <f t="array" aca="1" ref="P7" ca="1">INDEX($E$2:$E$98,K7)</f>
        <v>Carvalho</v>
      </c>
      <c r="Q7" s="6" t="str" cm="1">
        <f t="array" aca="1" ref="Q7" ca="1">INDEX($E$2:$E$98,L7)</f>
        <v>Teixeira</v>
      </c>
      <c r="S7" t="str">
        <f t="shared" ca="1" si="2"/>
        <v>Masculino</v>
      </c>
      <c r="T7" t="str">
        <f t="shared" ca="1" si="3"/>
        <v>Joaquim</v>
      </c>
    </row>
    <row r="8" spans="1:23" x14ac:dyDescent="0.25">
      <c r="A8" t="s">
        <v>66</v>
      </c>
      <c r="B8" t="s">
        <v>85</v>
      </c>
      <c r="E8" t="s">
        <v>122</v>
      </c>
      <c r="I8">
        <f t="shared" ca="1" si="0"/>
        <v>13</v>
      </c>
      <c r="J8">
        <f t="shared" ca="1" si="0"/>
        <v>27</v>
      </c>
      <c r="K8">
        <f t="shared" ca="1" si="1"/>
        <v>25</v>
      </c>
      <c r="L8">
        <f t="shared" ca="1" si="1"/>
        <v>27</v>
      </c>
      <c r="M8" s="6" t="str" cm="1">
        <f t="array" aca="1" ref="M8" ca="1">INDEX($A$2:$A$40,I8,1)</f>
        <v>Masculino</v>
      </c>
      <c r="N8" s="6" t="str" cm="1">
        <f t="array" aca="1" ref="N8" ca="1">INDEX($B$2:$B$40,I8,1)</f>
        <v>Francisco</v>
      </c>
      <c r="O8" s="6" t="str" cm="1">
        <f t="array" aca="1" ref="O8" ca="1">INDEX($B$2:$B$40,J8,1)</f>
        <v>Matilde</v>
      </c>
      <c r="P8" s="6" t="str" cm="1">
        <f t="array" aca="1" ref="P8" ca="1">INDEX($E$2:$E$98,K8)</f>
        <v>Cruz</v>
      </c>
      <c r="Q8" s="6" t="str" cm="1">
        <f t="array" aca="1" ref="Q8" ca="1">INDEX($E$2:$E$98,L8)</f>
        <v>Marques</v>
      </c>
      <c r="S8" t="str">
        <f t="shared" ca="1" si="2"/>
        <v>Masculino</v>
      </c>
      <c r="T8" t="str">
        <f t="shared" ca="1" si="3"/>
        <v>Francisco</v>
      </c>
    </row>
    <row r="9" spans="1:23" x14ac:dyDescent="0.25">
      <c r="A9" t="s">
        <v>66</v>
      </c>
      <c r="B9" t="s">
        <v>87</v>
      </c>
      <c r="E9" t="s">
        <v>125</v>
      </c>
      <c r="I9">
        <f t="shared" ca="1" si="0"/>
        <v>15</v>
      </c>
      <c r="J9">
        <f t="shared" ca="1" si="0"/>
        <v>28</v>
      </c>
      <c r="K9">
        <f t="shared" ca="1" si="1"/>
        <v>82</v>
      </c>
      <c r="L9">
        <f t="shared" ca="1" si="1"/>
        <v>51</v>
      </c>
      <c r="M9" s="6" t="str" cm="1">
        <f t="array" aca="1" ref="M9" ca="1">INDEX($A$2:$A$40,I9,1)</f>
        <v>Feminino</v>
      </c>
      <c r="N9" s="6" t="str" cm="1">
        <f t="array" aca="1" ref="N9" ca="1">INDEX($B$2:$B$40,I9,1)</f>
        <v>Inês</v>
      </c>
      <c r="O9" s="6" t="str" cm="1">
        <f t="array" aca="1" ref="O9" ca="1">INDEX($B$2:$B$40,J9,1)</f>
        <v>Miguel</v>
      </c>
      <c r="P9" s="6" t="str" cm="1">
        <f t="array" aca="1" ref="P9" ca="1">INDEX($E$2:$E$98,K9)</f>
        <v>Moura</v>
      </c>
      <c r="Q9" s="6" t="str" cm="1">
        <f t="array" aca="1" ref="Q9" ca="1">INDEX($E$2:$E$98,L9)</f>
        <v>Freitas</v>
      </c>
      <c r="S9" t="str">
        <f t="shared" ca="1" si="2"/>
        <v>Feminino</v>
      </c>
      <c r="T9" t="str">
        <f t="shared" ca="1" si="3"/>
        <v>Inês</v>
      </c>
    </row>
    <row r="10" spans="1:23" x14ac:dyDescent="0.25">
      <c r="A10" t="s">
        <v>66</v>
      </c>
      <c r="B10" t="s">
        <v>88</v>
      </c>
      <c r="E10" t="s">
        <v>126</v>
      </c>
      <c r="I10">
        <f t="shared" ca="1" si="0"/>
        <v>5</v>
      </c>
      <c r="J10">
        <f t="shared" ca="1" si="0"/>
        <v>18</v>
      </c>
      <c r="K10">
        <f t="shared" ca="1" si="1"/>
        <v>20</v>
      </c>
      <c r="L10">
        <f t="shared" ca="1" si="1"/>
        <v>55</v>
      </c>
      <c r="M10" s="6" t="str" cm="1">
        <f t="array" aca="1" ref="M10" ca="1">INDEX($A$2:$A$40,I10,1)</f>
        <v>Masculino</v>
      </c>
      <c r="N10" s="6" t="str" cm="1">
        <f t="array" aca="1" ref="N10" ca="1">INDEX($B$2:$B$40,I10,1)</f>
        <v>Bruno</v>
      </c>
      <c r="O10" s="6" t="str" cm="1">
        <f t="array" aca="1" ref="O10" ca="1">INDEX($B$2:$B$40,J10,1)</f>
        <v>José</v>
      </c>
      <c r="P10" s="6" t="str" cm="1">
        <f t="array" aca="1" ref="P10" ca="1">INDEX($E$2:$E$98,K10)</f>
        <v>Cardoso</v>
      </c>
      <c r="Q10" s="6" t="str" cm="1">
        <f t="array" aca="1" ref="Q10" ca="1">INDEX($E$2:$E$98,L10)</f>
        <v>Guerreiro</v>
      </c>
      <c r="S10" t="str">
        <f t="shared" ca="1" si="2"/>
        <v>Masculino</v>
      </c>
      <c r="T10" t="str">
        <f t="shared" ca="1" si="3"/>
        <v>Bruno</v>
      </c>
    </row>
    <row r="11" spans="1:23" x14ac:dyDescent="0.25">
      <c r="A11" t="s">
        <v>53</v>
      </c>
      <c r="B11" t="s">
        <v>77</v>
      </c>
      <c r="E11" t="s">
        <v>112</v>
      </c>
      <c r="I11">
        <f t="shared" ca="1" si="0"/>
        <v>18</v>
      </c>
      <c r="J11">
        <f t="shared" ca="1" si="0"/>
        <v>26</v>
      </c>
      <c r="K11">
        <f t="shared" ca="1" si="1"/>
        <v>27</v>
      </c>
      <c r="L11">
        <f t="shared" ca="1" si="1"/>
        <v>89</v>
      </c>
      <c r="M11" s="6" t="str" cm="1">
        <f t="array" aca="1" ref="M11" ca="1">INDEX($A$2:$A$40,I11,1)</f>
        <v>Masculino</v>
      </c>
      <c r="N11" s="6" t="str" cm="1">
        <f t="array" aca="1" ref="N11" ca="1">INDEX($B$2:$B$40,I11,1)</f>
        <v>José</v>
      </c>
      <c r="O11" s="6" t="str" cm="1">
        <f t="array" aca="1" ref="O11" ca="1">INDEX($B$2:$B$40,J11,1)</f>
        <v>Martim</v>
      </c>
      <c r="P11" s="6" t="str" cm="1">
        <f t="array" aca="1" ref="P11" ca="1">INDEX($E$2:$E$98,K11)</f>
        <v>Marques</v>
      </c>
      <c r="Q11" s="6" t="str" cm="1">
        <f t="array" aca="1" ref="Q11" ca="1">INDEX($E$2:$E$98,L11)</f>
        <v>Amaral</v>
      </c>
      <c r="S11" t="str">
        <f t="shared" ca="1" si="2"/>
        <v>Masculino</v>
      </c>
      <c r="T11" t="str">
        <f t="shared" ca="1" si="3"/>
        <v>José</v>
      </c>
    </row>
    <row r="12" spans="1:23" x14ac:dyDescent="0.25">
      <c r="A12" t="s">
        <v>53</v>
      </c>
      <c r="B12" t="s">
        <v>61</v>
      </c>
      <c r="E12" t="s">
        <v>97</v>
      </c>
      <c r="I12">
        <f t="shared" ca="1" si="0"/>
        <v>17</v>
      </c>
      <c r="J12">
        <f t="shared" ca="1" si="0"/>
        <v>38</v>
      </c>
      <c r="K12">
        <f t="shared" ca="1" si="1"/>
        <v>27</v>
      </c>
      <c r="L12">
        <f t="shared" ca="1" si="1"/>
        <v>15</v>
      </c>
      <c r="M12" s="6" t="str" cm="1">
        <f t="array" aca="1" ref="M12" ca="1">INDEX($A$2:$A$40,I12,1)</f>
        <v>Masculino</v>
      </c>
      <c r="N12" s="6" t="str" cm="1">
        <f t="array" aca="1" ref="N12" ca="1">INDEX($B$2:$B$40,I12,1)</f>
        <v>João</v>
      </c>
      <c r="O12" s="6" t="str" cm="1">
        <f t="array" aca="1" ref="O12" ca="1">INDEX($B$2:$B$40,J12,1)</f>
        <v>Joaquim</v>
      </c>
      <c r="P12" s="6" t="str" cm="1">
        <f t="array" aca="1" ref="P12" ca="1">INDEX($E$2:$E$98,K12)</f>
        <v>Marques</v>
      </c>
      <c r="Q12" s="6" t="str" cm="1">
        <f t="array" aca="1" ref="Q12" ca="1">INDEX($E$2:$E$98,L12)</f>
        <v>Moreira</v>
      </c>
      <c r="S12" t="str">
        <f t="shared" ca="1" si="2"/>
        <v>Masculino</v>
      </c>
      <c r="T12" t="str">
        <f t="shared" ca="1" si="3"/>
        <v>João</v>
      </c>
    </row>
    <row r="13" spans="1:23" x14ac:dyDescent="0.25">
      <c r="A13" t="s">
        <v>66</v>
      </c>
      <c r="B13" t="s">
        <v>75</v>
      </c>
      <c r="E13" t="s">
        <v>110</v>
      </c>
      <c r="I13">
        <f t="shared" ca="1" si="0"/>
        <v>26</v>
      </c>
      <c r="J13">
        <f t="shared" ca="1" si="0"/>
        <v>34</v>
      </c>
      <c r="K13">
        <f t="shared" ca="1" si="1"/>
        <v>40</v>
      </c>
      <c r="L13">
        <f t="shared" ca="1" si="1"/>
        <v>21</v>
      </c>
      <c r="M13" s="6" t="str" cm="1">
        <f t="array" aca="1" ref="M13" ca="1">INDEX($A$2:$A$40,I13,1)</f>
        <v>Masculino</v>
      </c>
      <c r="N13" s="6" t="str" cm="1">
        <f t="array" aca="1" ref="N13" ca="1">INDEX($B$2:$B$40,I13,1)</f>
        <v>Martim</v>
      </c>
      <c r="O13" s="6" t="str" cm="1">
        <f t="array" aca="1" ref="O13" ca="1">INDEX($B$2:$B$40,J13,1)</f>
        <v>Sofia</v>
      </c>
      <c r="P13" s="6" t="str" cm="1">
        <f t="array" aca="1" ref="P13" ca="1">INDEX($E$2:$E$98,K13)</f>
        <v>Antunes</v>
      </c>
      <c r="Q13" s="6" t="str" cm="1">
        <f t="array" aca="1" ref="Q13" ca="1">INDEX($E$2:$E$98,L13)</f>
        <v>Raposo</v>
      </c>
      <c r="S13" t="str">
        <f t="shared" ca="1" si="2"/>
        <v>Masculino</v>
      </c>
      <c r="T13" t="str">
        <f t="shared" ca="1" si="3"/>
        <v>Martim</v>
      </c>
    </row>
    <row r="14" spans="1:23" x14ac:dyDescent="0.25">
      <c r="A14" t="s">
        <v>53</v>
      </c>
      <c r="B14" t="s">
        <v>55</v>
      </c>
      <c r="E14" t="s">
        <v>91</v>
      </c>
      <c r="I14">
        <f t="shared" ca="1" si="0"/>
        <v>32</v>
      </c>
      <c r="J14">
        <f t="shared" ca="1" si="0"/>
        <v>10</v>
      </c>
      <c r="K14">
        <f t="shared" ca="1" si="1"/>
        <v>75</v>
      </c>
      <c r="L14">
        <f t="shared" ca="1" si="1"/>
        <v>77</v>
      </c>
      <c r="M14" s="6" t="str" cm="1">
        <f t="array" aca="1" ref="M14" ca="1">INDEX($A$2:$A$40,I14,1)</f>
        <v>Masculino</v>
      </c>
      <c r="N14" s="6" t="str" cm="1">
        <f t="array" aca="1" ref="N14" ca="1">INDEX($B$2:$B$40,I14,1)</f>
        <v>Santiago</v>
      </c>
      <c r="O14" s="6" t="str" cm="1">
        <f t="array" aca="1" ref="O14" ca="1">INDEX($B$2:$B$40,J14,1)</f>
        <v>Diogo</v>
      </c>
      <c r="P14" s="6" t="str" cm="1">
        <f t="array" aca="1" ref="P14" ca="1">INDEX($E$2:$E$98,K14)</f>
        <v>Melo</v>
      </c>
      <c r="Q14" s="6" t="str" cm="1">
        <f t="array" aca="1" ref="Q14" ca="1">INDEX($E$2:$E$98,L14)</f>
        <v>Pinho</v>
      </c>
      <c r="S14" t="str">
        <f t="shared" ca="1" si="2"/>
        <v>Masculino</v>
      </c>
      <c r="T14" t="str">
        <f ca="1">N14 &amp; " " &amp;Q14</f>
        <v>Santiago Pinho</v>
      </c>
    </row>
    <row r="15" spans="1:23" x14ac:dyDescent="0.25">
      <c r="A15" t="s">
        <v>53</v>
      </c>
      <c r="B15" t="s">
        <v>63</v>
      </c>
      <c r="E15" t="s">
        <v>99</v>
      </c>
      <c r="I15">
        <f t="shared" ca="1" si="0"/>
        <v>5</v>
      </c>
      <c r="J15">
        <f t="shared" ca="1" si="0"/>
        <v>7</v>
      </c>
      <c r="K15">
        <f t="shared" ca="1" si="1"/>
        <v>66</v>
      </c>
      <c r="L15">
        <f t="shared" ca="1" si="1"/>
        <v>20</v>
      </c>
      <c r="M15" s="6" t="str" cm="1">
        <f t="array" aca="1" ref="M15" ca="1">INDEX($A$2:$A$40,I15,1)</f>
        <v>Masculino</v>
      </c>
      <c r="N15" s="6" t="str" cm="1">
        <f t="array" aca="1" ref="N15" ca="1">INDEX($B$2:$B$40,I15,1)</f>
        <v>Bruno</v>
      </c>
      <c r="O15" s="6" t="str" cm="1">
        <f t="array" aca="1" ref="O15" ca="1">INDEX($B$2:$B$40,J15,1)</f>
        <v>Catarina</v>
      </c>
      <c r="P15" s="6" t="str" cm="1">
        <f t="array" aca="1" ref="P15" ca="1">INDEX($E$2:$E$98,K15)</f>
        <v>Campos</v>
      </c>
      <c r="Q15" s="6" t="str" cm="1">
        <f t="array" aca="1" ref="Q15" ca="1">INDEX($E$2:$E$98,L15)</f>
        <v>Cardoso</v>
      </c>
      <c r="S15" t="str">
        <f t="shared" ca="1" si="2"/>
        <v>Masculino</v>
      </c>
      <c r="T15" t="str">
        <f t="shared" ref="T15:T34" ca="1" si="4">N15 &amp; " " &amp;Q15</f>
        <v>Bruno Cardoso</v>
      </c>
    </row>
    <row r="16" spans="1:23" x14ac:dyDescent="0.25">
      <c r="A16" t="s">
        <v>66</v>
      </c>
      <c r="B16" t="s">
        <v>76</v>
      </c>
      <c r="E16" t="s">
        <v>111</v>
      </c>
      <c r="I16">
        <f t="shared" ca="1" si="0"/>
        <v>26</v>
      </c>
      <c r="J16">
        <f t="shared" ca="1" si="0"/>
        <v>21</v>
      </c>
      <c r="K16">
        <f t="shared" ca="1" si="1"/>
        <v>74</v>
      </c>
      <c r="L16">
        <f t="shared" ca="1" si="1"/>
        <v>13</v>
      </c>
      <c r="M16" s="6" t="str" cm="1">
        <f t="array" aca="1" ref="M16" ca="1">INDEX($A$2:$A$40,I16,1)</f>
        <v>Masculino</v>
      </c>
      <c r="N16" s="6" t="str" cm="1">
        <f t="array" aca="1" ref="N16" ca="1">INDEX($B$2:$B$40,I16,1)</f>
        <v>Martim</v>
      </c>
      <c r="O16" s="6" t="str" cm="1">
        <f t="array" aca="1" ref="O16" ca="1">INDEX($B$2:$B$40,J16,1)</f>
        <v>Lurdes</v>
      </c>
      <c r="P16" s="6" t="str" cm="1">
        <f t="array" aca="1" ref="P16" ca="1">INDEX($E$2:$E$98,K16)</f>
        <v>Borges</v>
      </c>
      <c r="Q16" s="6" t="str" cm="1">
        <f t="array" aca="1" ref="Q16" ca="1">INDEX($E$2:$E$98,L16)</f>
        <v>Santos</v>
      </c>
      <c r="S16" t="str">
        <f t="shared" ca="1" si="2"/>
        <v>Masculino</v>
      </c>
      <c r="T16" t="str">
        <f t="shared" ca="1" si="4"/>
        <v>Martim Santos</v>
      </c>
    </row>
    <row r="17" spans="1:20" x14ac:dyDescent="0.25">
      <c r="A17" t="s">
        <v>66</v>
      </c>
      <c r="B17" t="s">
        <v>84</v>
      </c>
      <c r="E17" t="s">
        <v>121</v>
      </c>
      <c r="I17">
        <f t="shared" ca="1" si="0"/>
        <v>25</v>
      </c>
      <c r="J17">
        <f t="shared" ca="1" si="0"/>
        <v>31</v>
      </c>
      <c r="K17">
        <f t="shared" ca="1" si="1"/>
        <v>34</v>
      </c>
      <c r="L17">
        <f t="shared" ca="1" si="1"/>
        <v>91</v>
      </c>
      <c r="M17" s="6" t="str" cm="1">
        <f t="array" aca="1" ref="M17" ca="1">INDEX($A$2:$A$40,I17,1)</f>
        <v>Feminino</v>
      </c>
      <c r="N17" s="6" t="str" cm="1">
        <f t="array" aca="1" ref="N17" ca="1">INDEX($B$2:$B$40,I17,1)</f>
        <v>Mariana</v>
      </c>
      <c r="O17" s="6" t="str" cm="1">
        <f t="array" aca="1" ref="O17" ca="1">INDEX($B$2:$B$40,J17,1)</f>
        <v>Rodrigo</v>
      </c>
      <c r="P17" s="6" t="str" cm="1">
        <f t="array" aca="1" ref="P17" ca="1">INDEX($E$2:$E$98,K17)</f>
        <v>Carvalho</v>
      </c>
      <c r="Q17" s="6" t="str" cm="1">
        <f t="array" aca="1" ref="Q17" ca="1">INDEX($E$2:$E$98,L17)</f>
        <v>Leal</v>
      </c>
      <c r="S17" t="str">
        <f t="shared" ca="1" si="2"/>
        <v>Feminino</v>
      </c>
      <c r="T17" t="str">
        <f t="shared" ca="1" si="4"/>
        <v>Mariana Leal</v>
      </c>
    </row>
    <row r="18" spans="1:20" x14ac:dyDescent="0.25">
      <c r="A18" t="s">
        <v>53</v>
      </c>
      <c r="B18" t="s">
        <v>56</v>
      </c>
      <c r="E18" t="s">
        <v>92</v>
      </c>
      <c r="I18">
        <f t="shared" ca="1" si="0"/>
        <v>12</v>
      </c>
      <c r="J18">
        <f t="shared" ca="1" si="0"/>
        <v>19</v>
      </c>
      <c r="K18">
        <f t="shared" ca="1" si="1"/>
        <v>56</v>
      </c>
      <c r="L18">
        <f t="shared" ca="1" si="1"/>
        <v>85</v>
      </c>
      <c r="M18" s="6" t="str" cm="1">
        <f t="array" aca="1" ref="M18" ca="1">INDEX($A$2:$A$40,I18,1)</f>
        <v>Feminino</v>
      </c>
      <c r="N18" s="6" t="str" cm="1">
        <f t="array" aca="1" ref="N18" ca="1">INDEX($B$2:$B$40,I18,1)</f>
        <v>Francisca</v>
      </c>
      <c r="O18" s="6" t="str" cm="1">
        <f t="array" aca="1" ref="O18" ca="1">INDEX($B$2:$B$40,J18,1)</f>
        <v>Leonor</v>
      </c>
      <c r="P18" s="6" t="str" cm="1">
        <f t="array" aca="1" ref="P18" ca="1">INDEX($E$2:$E$98,K18)</f>
        <v>Batista</v>
      </c>
      <c r="Q18" s="6" t="str" cm="1">
        <f t="array" aca="1" ref="Q18" ca="1">INDEX($E$2:$E$98,L18)</f>
        <v>Garcia</v>
      </c>
      <c r="S18" t="str">
        <f t="shared" ca="1" si="2"/>
        <v>Feminino</v>
      </c>
      <c r="T18" t="str">
        <f t="shared" ca="1" si="4"/>
        <v>Francisca Garcia</v>
      </c>
    </row>
    <row r="19" spans="1:20" x14ac:dyDescent="0.25">
      <c r="A19" t="s">
        <v>53</v>
      </c>
      <c r="B19" t="s">
        <v>80</v>
      </c>
      <c r="E19" t="s">
        <v>115</v>
      </c>
      <c r="I19">
        <f t="shared" ca="1" si="0"/>
        <v>10</v>
      </c>
      <c r="J19">
        <f t="shared" ca="1" si="0"/>
        <v>32</v>
      </c>
      <c r="K19">
        <f t="shared" ca="1" si="1"/>
        <v>17</v>
      </c>
      <c r="L19">
        <f t="shared" ca="1" si="1"/>
        <v>22</v>
      </c>
      <c r="M19" s="6" t="str" cm="1">
        <f t="array" aca="1" ref="M19" ca="1">INDEX($A$2:$A$40,I19,1)</f>
        <v>Masculino</v>
      </c>
      <c r="N19" s="6" t="str" cm="1">
        <f t="array" aca="1" ref="N19" ca="1">INDEX($B$2:$B$40,I19,1)</f>
        <v>Diogo</v>
      </c>
      <c r="O19" s="6" t="str" cm="1">
        <f t="array" aca="1" ref="O19" ca="1">INDEX($B$2:$B$40,J19,1)</f>
        <v>Santiago</v>
      </c>
      <c r="P19" s="6" t="str" cm="1">
        <f t="array" aca="1" ref="P19" ca="1">INDEX($E$2:$E$98,K19)</f>
        <v>Ferreira</v>
      </c>
      <c r="Q19" s="6" t="str" cm="1">
        <f t="array" aca="1" ref="Q19" ca="1">INDEX($E$2:$E$98,L19)</f>
        <v>Gonçalves</v>
      </c>
      <c r="S19" t="str">
        <f t="shared" ca="1" si="2"/>
        <v>Masculino</v>
      </c>
      <c r="T19" t="str">
        <f t="shared" ca="1" si="4"/>
        <v>Diogo Gonçalves</v>
      </c>
    </row>
    <row r="20" spans="1:20" x14ac:dyDescent="0.25">
      <c r="A20" t="s">
        <v>66</v>
      </c>
      <c r="B20" t="s">
        <v>68</v>
      </c>
      <c r="E20" t="s">
        <v>103</v>
      </c>
      <c r="I20">
        <f t="shared" ca="1" si="0"/>
        <v>5</v>
      </c>
      <c r="J20">
        <f t="shared" ca="1" si="0"/>
        <v>3</v>
      </c>
      <c r="K20">
        <f t="shared" ca="1" si="1"/>
        <v>52</v>
      </c>
      <c r="L20">
        <f t="shared" ca="1" si="1"/>
        <v>58</v>
      </c>
      <c r="M20" s="6" t="str" cm="1">
        <f t="array" aca="1" ref="M20" ca="1">INDEX($A$2:$A$40,I20,1)</f>
        <v>Masculino</v>
      </c>
      <c r="N20" s="6" t="str" cm="1">
        <f t="array" aca="1" ref="N20" ca="1">INDEX($B$2:$B$40,I20,1)</f>
        <v>Bruno</v>
      </c>
      <c r="O20" s="6" t="str" cm="1">
        <f t="array" aca="1" ref="O20" ca="1">INDEX($B$2:$B$40,J20,1)</f>
        <v>André</v>
      </c>
      <c r="P20" s="6" t="str" cm="1">
        <f t="array" aca="1" ref="P20" ca="1">INDEX($E$2:$E$98,K20)</f>
        <v>Magalhães</v>
      </c>
      <c r="Q20" s="6" t="str" cm="1">
        <f t="array" aca="1" ref="Q20" ca="1">INDEX($E$2:$E$98,L20)</f>
        <v>Faria</v>
      </c>
      <c r="S20" t="str">
        <f t="shared" ca="1" si="2"/>
        <v>Masculino</v>
      </c>
      <c r="T20" t="str">
        <f t="shared" ca="1" si="4"/>
        <v>Bruno Faria</v>
      </c>
    </row>
    <row r="21" spans="1:20" x14ac:dyDescent="0.25">
      <c r="A21" t="s">
        <v>53</v>
      </c>
      <c r="B21" t="s">
        <v>83</v>
      </c>
      <c r="E21" t="s">
        <v>118</v>
      </c>
      <c r="I21">
        <f t="shared" ca="1" si="0"/>
        <v>36</v>
      </c>
      <c r="J21">
        <f t="shared" ca="1" si="0"/>
        <v>3</v>
      </c>
      <c r="K21">
        <f t="shared" ca="1" si="1"/>
        <v>96</v>
      </c>
      <c r="L21">
        <f t="shared" ca="1" si="1"/>
        <v>61</v>
      </c>
      <c r="M21" s="6" t="str" cm="1">
        <f t="array" aca="1" ref="M21" ca="1">INDEX($A$2:$A$40,I21,1)</f>
        <v>Masculino</v>
      </c>
      <c r="N21" s="6" t="str" cm="1">
        <f t="array" aca="1" ref="N21" ca="1">INDEX($B$2:$B$40,I21,1)</f>
        <v>Tomás</v>
      </c>
      <c r="O21" s="6" t="str" cm="1">
        <f t="array" aca="1" ref="O21" ca="1">INDEX($B$2:$B$40,J21,1)</f>
        <v>André</v>
      </c>
      <c r="P21" s="6" t="str" cm="1">
        <f t="array" aca="1" ref="P21" ca="1">INDEX($E$2:$E$98,K21)</f>
        <v>Amorim</v>
      </c>
      <c r="Q21" s="6" t="str" cm="1">
        <f t="array" aca="1" ref="Q21" ca="1">INDEX($E$2:$E$98,L21)</f>
        <v>Morais</v>
      </c>
      <c r="S21" t="str">
        <f t="shared" ca="1" si="2"/>
        <v>Masculino</v>
      </c>
      <c r="T21" t="str">
        <f t="shared" ca="1" si="4"/>
        <v>Tomás Morais</v>
      </c>
    </row>
    <row r="22" spans="1:20" x14ac:dyDescent="0.25">
      <c r="A22" t="s">
        <v>66</v>
      </c>
      <c r="B22" t="s">
        <v>192</v>
      </c>
      <c r="E22" t="s">
        <v>120</v>
      </c>
      <c r="I22">
        <f t="shared" ca="1" si="0"/>
        <v>24</v>
      </c>
      <c r="J22">
        <f t="shared" ca="1" si="0"/>
        <v>34</v>
      </c>
      <c r="K22">
        <f t="shared" ca="1" si="1"/>
        <v>56</v>
      </c>
      <c r="L22">
        <f t="shared" ca="1" si="1"/>
        <v>64</v>
      </c>
      <c r="M22" s="6" t="str" cm="1">
        <f t="array" aca="1" ref="M22" ca="1">INDEX($A$2:$A$40,I22,1)</f>
        <v>Feminino</v>
      </c>
      <c r="N22" s="6" t="str" cm="1">
        <f t="array" aca="1" ref="N22" ca="1">INDEX($B$2:$B$40,I22,1)</f>
        <v>Laura</v>
      </c>
      <c r="O22" s="6" t="str" cm="1">
        <f t="array" aca="1" ref="O22" ca="1">INDEX($B$2:$B$40,J22,1)</f>
        <v>Sofia</v>
      </c>
      <c r="P22" s="6" t="str" cm="1">
        <f t="array" aca="1" ref="P22" ca="1">INDEX($E$2:$E$98,K22)</f>
        <v>Batista</v>
      </c>
      <c r="Q22" s="6" t="str" cm="1">
        <f t="array" aca="1" ref="Q22" ca="1">INDEX($E$2:$E$98,L22)</f>
        <v>Anjos</v>
      </c>
      <c r="S22" t="str">
        <f t="shared" ca="1" si="2"/>
        <v>Feminino</v>
      </c>
      <c r="T22" t="str">
        <f t="shared" ca="1" si="4"/>
        <v>Laura Anjos</v>
      </c>
    </row>
    <row r="23" spans="1:20" x14ac:dyDescent="0.25">
      <c r="A23" t="s">
        <v>53</v>
      </c>
      <c r="B23" t="s">
        <v>65</v>
      </c>
      <c r="E23" t="s">
        <v>101</v>
      </c>
      <c r="I23">
        <f t="shared" ca="1" si="0"/>
        <v>23</v>
      </c>
      <c r="J23">
        <f t="shared" ca="1" si="0"/>
        <v>14</v>
      </c>
      <c r="K23">
        <f t="shared" ca="1" si="1"/>
        <v>62</v>
      </c>
      <c r="L23">
        <f t="shared" ca="1" si="1"/>
        <v>6</v>
      </c>
      <c r="M23" s="6" t="str" cm="1">
        <f t="array" aca="1" ref="M23" ca="1">INDEX($A$2:$A$40,I23,1)</f>
        <v>Feminino</v>
      </c>
      <c r="N23" s="6" t="str" cm="1">
        <f t="array" aca="1" ref="N23" ca="1">INDEX($B$2:$B$40,I23,1)</f>
        <v>Maria</v>
      </c>
      <c r="O23" s="6" t="str" cm="1">
        <f t="array" aca="1" ref="O23" ca="1">INDEX($B$2:$B$40,J23,1)</f>
        <v>Gabriel</v>
      </c>
      <c r="P23" s="6" t="str" cm="1">
        <f t="array" aca="1" ref="P23" ca="1">INDEX($E$2:$E$98,K23)</f>
        <v>Nogueira</v>
      </c>
      <c r="Q23" s="6" t="str" cm="1">
        <f t="array" aca="1" ref="Q23" ca="1">INDEX($E$2:$E$98,L23)</f>
        <v>Almeida</v>
      </c>
      <c r="S23" t="str">
        <f t="shared" ca="1" si="2"/>
        <v>Feminino</v>
      </c>
      <c r="T23" t="str">
        <f t="shared" ca="1" si="4"/>
        <v>Maria Almeida</v>
      </c>
    </row>
    <row r="24" spans="1:20" x14ac:dyDescent="0.25">
      <c r="A24" t="s">
        <v>66</v>
      </c>
      <c r="B24" t="s">
        <v>67</v>
      </c>
      <c r="E24" t="s">
        <v>102</v>
      </c>
      <c r="I24">
        <f t="shared" ca="1" si="0"/>
        <v>4</v>
      </c>
      <c r="J24">
        <f t="shared" ca="1" si="0"/>
        <v>14</v>
      </c>
      <c r="K24">
        <f t="shared" ca="1" si="1"/>
        <v>55</v>
      </c>
      <c r="L24">
        <f t="shared" ca="1" si="1"/>
        <v>14</v>
      </c>
      <c r="M24" s="6" t="str" cm="1">
        <f t="array" aca="1" ref="M24" ca="1">INDEX($A$2:$A$40,I24,1)</f>
        <v>Feminino</v>
      </c>
      <c r="N24" s="6" t="str" cm="1">
        <f t="array" aca="1" ref="N24" ca="1">INDEX($B$2:$B$40,I24,1)</f>
        <v>Beatriz</v>
      </c>
      <c r="O24" s="6" t="str" cm="1">
        <f t="array" aca="1" ref="O24" ca="1">INDEX($B$2:$B$40,J24,1)</f>
        <v>Gabriel</v>
      </c>
      <c r="P24" s="6" t="str" cm="1">
        <f t="array" aca="1" ref="P24" ca="1">INDEX($E$2:$E$98,K24)</f>
        <v>Guerreiro</v>
      </c>
      <c r="Q24" s="6" t="str" cm="1">
        <f t="array" aca="1" ref="Q24" ca="1">INDEX($E$2:$E$98,L24)</f>
        <v>Sousa</v>
      </c>
      <c r="S24" t="str">
        <f t="shared" ca="1" si="2"/>
        <v>Feminino</v>
      </c>
      <c r="T24" t="str">
        <f t="shared" ca="1" si="4"/>
        <v>Beatriz Sousa</v>
      </c>
    </row>
    <row r="25" spans="1:20" x14ac:dyDescent="0.25">
      <c r="A25" t="s">
        <v>66</v>
      </c>
      <c r="B25" t="s">
        <v>3740</v>
      </c>
      <c r="E25" t="s">
        <v>107</v>
      </c>
      <c r="I25">
        <f t="shared" ca="1" si="0"/>
        <v>2</v>
      </c>
      <c r="J25">
        <f t="shared" ca="1" si="0"/>
        <v>4</v>
      </c>
      <c r="K25">
        <f t="shared" ca="1" si="1"/>
        <v>87</v>
      </c>
      <c r="L25">
        <f t="shared" ca="1" si="1"/>
        <v>11</v>
      </c>
      <c r="M25" s="6" t="str" cm="1">
        <f t="array" aca="1" ref="M25" ca="1">INDEX($A$2:$A$40,I25,1)</f>
        <v>Feminino</v>
      </c>
      <c r="N25" s="6" t="str" cm="1">
        <f t="array" aca="1" ref="N25" ca="1">INDEX($B$2:$B$40,I25,1)</f>
        <v>Ana</v>
      </c>
      <c r="O25" s="6" t="str" cm="1">
        <f t="array" aca="1" ref="O25" ca="1">INDEX($B$2:$B$40,J25,1)</f>
        <v>Beatriz</v>
      </c>
      <c r="P25" s="6" t="str" cm="1">
        <f t="array" aca="1" ref="P25" ca="1">INDEX($E$2:$E$98,K25)</f>
        <v>Loureiro</v>
      </c>
      <c r="Q25" s="6" t="str" cm="1">
        <f t="array" aca="1" ref="Q25" ca="1">INDEX($E$2:$E$98,L25)</f>
        <v>Martins</v>
      </c>
      <c r="S25" t="str">
        <f t="shared" ca="1" si="2"/>
        <v>Feminino</v>
      </c>
      <c r="T25" t="str">
        <f t="shared" ca="1" si="4"/>
        <v>Ana Martins</v>
      </c>
    </row>
    <row r="26" spans="1:20" x14ac:dyDescent="0.25">
      <c r="A26" t="s">
        <v>66</v>
      </c>
      <c r="B26" t="s">
        <v>72</v>
      </c>
      <c r="E26" t="s">
        <v>123</v>
      </c>
      <c r="I26">
        <f t="shared" ca="1" si="0"/>
        <v>7</v>
      </c>
      <c r="J26">
        <f t="shared" ca="1" si="0"/>
        <v>18</v>
      </c>
      <c r="K26">
        <f t="shared" ca="1" si="1"/>
        <v>18</v>
      </c>
      <c r="L26">
        <f t="shared" ca="1" si="1"/>
        <v>83</v>
      </c>
      <c r="M26" s="6" t="str" cm="1">
        <f t="array" aca="1" ref="M26" ca="1">INDEX($A$2:$A$40,I26,1)</f>
        <v>Feminino</v>
      </c>
      <c r="N26" s="6" t="str" cm="1">
        <f t="array" aca="1" ref="N26" ca="1">INDEX($B$2:$B$40,I26,1)</f>
        <v>Catarina</v>
      </c>
      <c r="O26" s="6" t="str" cm="1">
        <f t="array" aca="1" ref="O26" ca="1">INDEX($B$2:$B$40,J26,1)</f>
        <v>José</v>
      </c>
      <c r="P26" s="6" t="str" cm="1">
        <f t="array" aca="1" ref="P26" ca="1">INDEX($E$2:$E$98,K26)</f>
        <v>Soares</v>
      </c>
      <c r="Q26" s="6" t="str" cm="1">
        <f t="array" aca="1" ref="Q26" ca="1">INDEX($E$2:$E$98,L26)</f>
        <v>Valente</v>
      </c>
      <c r="S26" t="str">
        <f t="shared" ca="1" si="2"/>
        <v>Feminino</v>
      </c>
      <c r="T26" t="str">
        <f t="shared" ca="1" si="4"/>
        <v>Catarina Valente</v>
      </c>
    </row>
    <row r="27" spans="1:20" x14ac:dyDescent="0.25">
      <c r="A27" t="s">
        <v>53</v>
      </c>
      <c r="B27" t="s">
        <v>59</v>
      </c>
      <c r="E27" t="s">
        <v>95</v>
      </c>
      <c r="I27">
        <f t="shared" ca="1" si="0"/>
        <v>17</v>
      </c>
      <c r="J27">
        <f t="shared" ca="1" si="0"/>
        <v>4</v>
      </c>
      <c r="K27">
        <f t="shared" ca="1" si="1"/>
        <v>44</v>
      </c>
      <c r="L27">
        <f t="shared" ca="1" si="1"/>
        <v>88</v>
      </c>
      <c r="M27" s="6" t="str" cm="1">
        <f t="array" aca="1" ref="M27" ca="1">INDEX($A$2:$A$40,I27,1)</f>
        <v>Masculino</v>
      </c>
      <c r="N27" s="6" t="str" cm="1">
        <f t="array" aca="1" ref="N27" ca="1">INDEX($B$2:$B$40,I27,1)</f>
        <v>João</v>
      </c>
      <c r="O27" s="6" t="str" cm="1">
        <f t="array" aca="1" ref="O27" ca="1">INDEX($B$2:$B$40,J27,1)</f>
        <v>Beatriz</v>
      </c>
      <c r="P27" s="6" t="str" cm="1">
        <f t="array" aca="1" ref="P27" ca="1">INDEX($E$2:$E$98,K27)</f>
        <v>Araújo</v>
      </c>
      <c r="Q27" s="6" t="str" cm="1">
        <f t="array" aca="1" ref="Q27" ca="1">INDEX($E$2:$E$98,L27)</f>
        <v>Neto</v>
      </c>
      <c r="S27" t="str">
        <f t="shared" ca="1" si="2"/>
        <v>Masculino</v>
      </c>
      <c r="T27" t="str">
        <f t="shared" ca="1" si="4"/>
        <v>João Neto</v>
      </c>
    </row>
    <row r="28" spans="1:20" x14ac:dyDescent="0.25">
      <c r="A28" t="s">
        <v>66</v>
      </c>
      <c r="B28" t="s">
        <v>69</v>
      </c>
      <c r="E28" t="s">
        <v>104</v>
      </c>
      <c r="I28">
        <f t="shared" ca="1" si="0"/>
        <v>10</v>
      </c>
      <c r="J28">
        <f t="shared" ca="1" si="0"/>
        <v>28</v>
      </c>
      <c r="K28">
        <f t="shared" ca="1" si="1"/>
        <v>95</v>
      </c>
      <c r="L28">
        <f t="shared" ca="1" si="1"/>
        <v>71</v>
      </c>
      <c r="M28" s="6" t="str" cm="1">
        <f t="array" aca="1" ref="M28" ca="1">INDEX($A$2:$A$40,I28,1)</f>
        <v>Masculino</v>
      </c>
      <c r="N28" s="6" t="str" cm="1">
        <f t="array" aca="1" ref="N28" ca="1">INDEX($B$2:$B$40,I28,1)</f>
        <v>Diogo</v>
      </c>
      <c r="O28" s="6" t="str" cm="1">
        <f t="array" aca="1" ref="O28" ca="1">INDEX($B$2:$B$40,J28,1)</f>
        <v>Miguel</v>
      </c>
      <c r="P28" s="6" t="str" cm="1">
        <f t="array" aca="1" ref="P28" ca="1">INDEX($E$2:$E$98,K28)</f>
        <v>Matias</v>
      </c>
      <c r="Q28" s="6" t="str" cm="1">
        <f t="array" aca="1" ref="Q28" ca="1">INDEX($E$2:$E$98,L28)</f>
        <v>Nascimento</v>
      </c>
      <c r="S28" t="str">
        <f t="shared" ca="1" si="2"/>
        <v>Masculino</v>
      </c>
      <c r="T28" t="str">
        <f t="shared" ca="1" si="4"/>
        <v>Diogo Nascimento</v>
      </c>
    </row>
    <row r="29" spans="1:20" x14ac:dyDescent="0.25">
      <c r="A29" t="s">
        <v>53</v>
      </c>
      <c r="B29" t="s">
        <v>62</v>
      </c>
      <c r="E29" t="s">
        <v>98</v>
      </c>
      <c r="I29">
        <f t="shared" ca="1" si="0"/>
        <v>32</v>
      </c>
      <c r="J29">
        <f t="shared" ca="1" si="0"/>
        <v>36</v>
      </c>
      <c r="K29">
        <f t="shared" ca="1" si="1"/>
        <v>79</v>
      </c>
      <c r="L29">
        <f t="shared" ca="1" si="1"/>
        <v>33</v>
      </c>
      <c r="M29" s="6" t="str" cm="1">
        <f t="array" aca="1" ref="M29" ca="1">INDEX($A$2:$A$40,I29,1)</f>
        <v>Masculino</v>
      </c>
      <c r="N29" s="6" t="str" cm="1">
        <f t="array" aca="1" ref="N29" ca="1">INDEX($B$2:$B$40,I29,1)</f>
        <v>Santiago</v>
      </c>
      <c r="O29" s="6" t="str" cm="1">
        <f t="array" aca="1" ref="O29" ca="1">INDEX($B$2:$B$40,J29,1)</f>
        <v>Tomás</v>
      </c>
      <c r="P29" s="6" t="str" cm="1">
        <f t="array" aca="1" ref="P29" ca="1">INDEX($E$2:$E$98,K29)</f>
        <v>Gaspar</v>
      </c>
      <c r="Q29" s="6" t="str" cm="1">
        <f t="array" aca="1" ref="Q29" ca="1">INDEX($E$2:$E$98,L29)</f>
        <v>Cunha</v>
      </c>
      <c r="S29" t="str">
        <f t="shared" ca="1" si="2"/>
        <v>Masculino</v>
      </c>
      <c r="T29" t="str">
        <f t="shared" ca="1" si="4"/>
        <v>Santiago Cunha</v>
      </c>
    </row>
    <row r="30" spans="1:20" x14ac:dyDescent="0.25">
      <c r="A30" t="s">
        <v>53</v>
      </c>
      <c r="B30" t="s">
        <v>64</v>
      </c>
      <c r="E30" t="s">
        <v>100</v>
      </c>
      <c r="I30">
        <f t="shared" ca="1" si="0"/>
        <v>12</v>
      </c>
      <c r="J30">
        <f t="shared" ca="1" si="0"/>
        <v>31</v>
      </c>
      <c r="K30">
        <f t="shared" ca="1" si="1"/>
        <v>67</v>
      </c>
      <c r="L30">
        <f t="shared" ca="1" si="1"/>
        <v>28</v>
      </c>
      <c r="M30" s="6" t="str" cm="1">
        <f t="array" aca="1" ref="M30" ca="1">INDEX($A$2:$A$40,I30,1)</f>
        <v>Feminino</v>
      </c>
      <c r="N30" s="6" t="str" cm="1">
        <f t="array" aca="1" ref="N30" ca="1">INDEX($B$2:$B$40,I30,1)</f>
        <v>Francisca</v>
      </c>
      <c r="O30" s="6" t="str" cm="1">
        <f t="array" aca="1" ref="O30" ca="1">INDEX($B$2:$B$40,J30,1)</f>
        <v>Rodrigo</v>
      </c>
      <c r="P30" s="6" t="str" cm="1">
        <f t="array" aca="1" ref="P30" ca="1">INDEX($E$2:$E$98,K30)</f>
        <v>Mota</v>
      </c>
      <c r="Q30" s="6" t="str" cm="1">
        <f t="array" aca="1" ref="Q30" ca="1">INDEX($E$2:$E$98,L30)</f>
        <v>Jesus</v>
      </c>
      <c r="S30" t="str">
        <f t="shared" ca="1" si="2"/>
        <v>Feminino</v>
      </c>
      <c r="T30" t="str">
        <f t="shared" ca="1" si="4"/>
        <v>Francisca Jesus</v>
      </c>
    </row>
    <row r="31" spans="1:20" x14ac:dyDescent="0.25">
      <c r="A31" t="s">
        <v>53</v>
      </c>
      <c r="B31" t="s">
        <v>82</v>
      </c>
      <c r="E31" t="s">
        <v>117</v>
      </c>
      <c r="I31">
        <f t="shared" ca="1" si="0"/>
        <v>6</v>
      </c>
      <c r="J31">
        <f t="shared" ca="1" si="0"/>
        <v>15</v>
      </c>
      <c r="K31">
        <f t="shared" ca="1" si="1"/>
        <v>57</v>
      </c>
      <c r="L31">
        <f t="shared" ca="1" si="1"/>
        <v>92</v>
      </c>
      <c r="M31" s="6" t="str" cm="1">
        <f t="array" aca="1" ref="M31" ca="1">INDEX($A$2:$A$40,I31,1)</f>
        <v>Feminino</v>
      </c>
      <c r="N31" s="6" t="str" cm="1">
        <f t="array" aca="1" ref="N31" ca="1">INDEX($B$2:$B$40,I31,1)</f>
        <v>Carolina</v>
      </c>
      <c r="O31" s="6" t="str" cm="1">
        <f t="array" aca="1" ref="O31" ca="1">INDEX($B$2:$B$40,J31,1)</f>
        <v>Inês</v>
      </c>
      <c r="P31" s="6" t="str" cm="1">
        <f t="array" aca="1" ref="P31" ca="1">INDEX($E$2:$E$98,K31)</f>
        <v>Pinheiro</v>
      </c>
      <c r="Q31" s="6" t="str" cm="1">
        <f t="array" aca="1" ref="Q31" ca="1">INDEX($E$2:$E$98,L31)</f>
        <v>Pacheco</v>
      </c>
      <c r="S31" t="str">
        <f t="shared" ca="1" si="2"/>
        <v>Feminino</v>
      </c>
      <c r="T31" t="str">
        <f t="shared" ca="1" si="4"/>
        <v>Carolina Pacheco</v>
      </c>
    </row>
    <row r="32" spans="1:20" x14ac:dyDescent="0.25">
      <c r="A32" t="s">
        <v>53</v>
      </c>
      <c r="B32" t="s">
        <v>58</v>
      </c>
      <c r="E32" t="s">
        <v>94</v>
      </c>
      <c r="I32">
        <f t="shared" ca="1" si="0"/>
        <v>38</v>
      </c>
      <c r="J32">
        <f t="shared" ca="1" si="0"/>
        <v>24</v>
      </c>
      <c r="K32">
        <f t="shared" ca="1" si="1"/>
        <v>72</v>
      </c>
      <c r="L32">
        <f t="shared" ca="1" si="1"/>
        <v>64</v>
      </c>
      <c r="M32" s="6" t="str" cm="1">
        <f t="array" aca="1" ref="M32" ca="1">INDEX($A$2:$A$40,I32,1)</f>
        <v>Masculino</v>
      </c>
      <c r="N32" s="6" t="str" cm="1">
        <f t="array" aca="1" ref="N32" ca="1">INDEX($B$2:$B$40,I32,1)</f>
        <v>Joaquim</v>
      </c>
      <c r="O32" s="6" t="str" cm="1">
        <f t="array" aca="1" ref="O32" ca="1">INDEX($B$2:$B$40,J32,1)</f>
        <v>Laura</v>
      </c>
      <c r="P32" s="6" t="str" cm="1">
        <f t="array" aca="1" ref="P32" ca="1">INDEX($E$2:$E$98,K32)</f>
        <v>Leite</v>
      </c>
      <c r="Q32" s="6" t="str" cm="1">
        <f t="array" aca="1" ref="Q32" ca="1">INDEX($E$2:$E$98,L32)</f>
        <v>Anjos</v>
      </c>
      <c r="S32" t="str">
        <f t="shared" ca="1" si="2"/>
        <v>Masculino</v>
      </c>
      <c r="T32" t="str">
        <f t="shared" ca="1" si="4"/>
        <v>Joaquim Anjos</v>
      </c>
    </row>
    <row r="33" spans="1:20" x14ac:dyDescent="0.25">
      <c r="A33" t="s">
        <v>53</v>
      </c>
      <c r="B33" t="s">
        <v>54</v>
      </c>
      <c r="E33" t="s">
        <v>90</v>
      </c>
      <c r="I33">
        <f t="shared" ca="1" si="0"/>
        <v>31</v>
      </c>
      <c r="J33">
        <f t="shared" ca="1" si="0"/>
        <v>29</v>
      </c>
      <c r="K33">
        <f t="shared" ca="1" si="1"/>
        <v>14</v>
      </c>
      <c r="L33">
        <f t="shared" ca="1" si="1"/>
        <v>17</v>
      </c>
      <c r="M33" s="6" t="str" cm="1">
        <f t="array" aca="1" ref="M33" ca="1">INDEX($A$2:$A$40,I33,1)</f>
        <v>Masculino</v>
      </c>
      <c r="N33" s="6" t="str" cm="1">
        <f t="array" aca="1" ref="N33" ca="1">INDEX($B$2:$B$40,I33,1)</f>
        <v>Rodrigo</v>
      </c>
      <c r="O33" s="6" t="str" cm="1">
        <f t="array" aca="1" ref="O33" ca="1">INDEX($B$2:$B$40,J33,1)</f>
        <v>Pedro</v>
      </c>
      <c r="P33" s="6" t="str" cm="1">
        <f t="array" aca="1" ref="P33" ca="1">INDEX($E$2:$E$98,K33)</f>
        <v>Sousa</v>
      </c>
      <c r="Q33" s="6" t="str" cm="1">
        <f t="array" aca="1" ref="Q33" ca="1">INDEX($E$2:$E$98,L33)</f>
        <v>Ferreira</v>
      </c>
      <c r="S33" t="str">
        <f t="shared" ca="1" si="2"/>
        <v>Masculino</v>
      </c>
      <c r="T33" t="str">
        <f t="shared" ca="1" si="4"/>
        <v>Rodrigo Ferreira</v>
      </c>
    </row>
    <row r="34" spans="1:20" x14ac:dyDescent="0.25">
      <c r="A34" t="s">
        <v>66</v>
      </c>
      <c r="B34" t="s">
        <v>86</v>
      </c>
      <c r="E34" t="s">
        <v>124</v>
      </c>
      <c r="I34">
        <f t="shared" ca="1" si="0"/>
        <v>4</v>
      </c>
      <c r="J34">
        <f t="shared" ca="1" si="0"/>
        <v>16</v>
      </c>
      <c r="K34">
        <f t="shared" ca="1" si="1"/>
        <v>54</v>
      </c>
      <c r="L34">
        <f t="shared" ca="1" si="1"/>
        <v>89</v>
      </c>
      <c r="M34" s="6" t="str" cm="1">
        <f t="array" aca="1" ref="M34" ca="1">INDEX($A$2:$A$40,I34,1)</f>
        <v>Feminino</v>
      </c>
      <c r="N34" s="6" t="str" cm="1">
        <f t="array" aca="1" ref="N34" ca="1">INDEX($B$2:$B$40,I34,1)</f>
        <v>Beatriz</v>
      </c>
      <c r="O34" s="6" t="str" cm="1">
        <f t="array" aca="1" ref="O34" ca="1">INDEX($B$2:$B$40,J34,1)</f>
        <v>Joana</v>
      </c>
      <c r="P34" s="6" t="str" cm="1">
        <f t="array" aca="1" ref="P34" ca="1">INDEX($E$2:$E$98,K34)</f>
        <v>Lima</v>
      </c>
      <c r="Q34" s="6" t="str" cm="1">
        <f t="array" aca="1" ref="Q34" ca="1">INDEX($E$2:$E$98,L34)</f>
        <v>Amaral</v>
      </c>
      <c r="S34" t="str">
        <f t="shared" ca="1" si="2"/>
        <v>Feminino</v>
      </c>
      <c r="T34" t="str">
        <f t="shared" ca="1" si="4"/>
        <v>Beatriz Amaral</v>
      </c>
    </row>
    <row r="35" spans="1:20" x14ac:dyDescent="0.25">
      <c r="A35" t="s">
        <v>66</v>
      </c>
      <c r="B35" t="s">
        <v>74</v>
      </c>
      <c r="E35" t="s">
        <v>109</v>
      </c>
      <c r="I35">
        <f t="shared" ca="1" si="0"/>
        <v>29</v>
      </c>
      <c r="J35">
        <f t="shared" ca="1" si="0"/>
        <v>17</v>
      </c>
      <c r="K35">
        <f t="shared" ca="1" si="1"/>
        <v>1</v>
      </c>
      <c r="L35">
        <f t="shared" ca="1" si="1"/>
        <v>83</v>
      </c>
      <c r="M35" s="6" t="str" cm="1">
        <f t="array" aca="1" ref="M35" ca="1">INDEX($A$2:$A$40,I35,1)</f>
        <v>Masculino</v>
      </c>
      <c r="N35" s="6" t="str" cm="1">
        <f t="array" aca="1" ref="N35" ca="1">INDEX($B$2:$B$40,I35,1)</f>
        <v>Pedro</v>
      </c>
      <c r="O35" s="6" t="str" cm="1">
        <f t="array" aca="1" ref="O35" ca="1">INDEX($B$2:$B$40,J35,1)</f>
        <v>João</v>
      </c>
      <c r="P35" s="6" t="str" cm="1">
        <f t="array" aca="1" ref="P35" ca="1">INDEX($E$2:$E$98,K35)</f>
        <v>Pereira</v>
      </c>
      <c r="Q35" s="6" t="str" cm="1">
        <f t="array" aca="1" ref="Q35" ca="1">INDEX($E$2:$E$98,L35)</f>
        <v>Valente</v>
      </c>
      <c r="S35" t="str">
        <f t="shared" ca="1" si="2"/>
        <v>Masculino</v>
      </c>
      <c r="T35" t="str">
        <f ca="1">N35 &amp; " " &amp; P35 &amp; " " &amp; Q35</f>
        <v>Pedro Pereira Valente</v>
      </c>
    </row>
    <row r="36" spans="1:20" x14ac:dyDescent="0.25">
      <c r="A36" t="s">
        <v>53</v>
      </c>
      <c r="B36" t="s">
        <v>78</v>
      </c>
      <c r="E36" t="s">
        <v>113</v>
      </c>
      <c r="I36">
        <f t="shared" ca="1" si="0"/>
        <v>4</v>
      </c>
      <c r="J36">
        <f t="shared" ca="1" si="0"/>
        <v>2</v>
      </c>
      <c r="K36">
        <f t="shared" ca="1" si="1"/>
        <v>55</v>
      </c>
      <c r="L36">
        <f t="shared" ca="1" si="1"/>
        <v>20</v>
      </c>
      <c r="M36" s="6" t="str" cm="1">
        <f t="array" aca="1" ref="M36" ca="1">INDEX($A$2:$A$40,I36,1)</f>
        <v>Feminino</v>
      </c>
      <c r="N36" s="6" t="str" cm="1">
        <f t="array" aca="1" ref="N36" ca="1">INDEX($B$2:$B$40,I36,1)</f>
        <v>Beatriz</v>
      </c>
      <c r="O36" s="6" t="str" cm="1">
        <f t="array" aca="1" ref="O36" ca="1">INDEX($B$2:$B$40,J36,1)</f>
        <v>Ana</v>
      </c>
      <c r="P36" s="6" t="str" cm="1">
        <f t="array" aca="1" ref="P36" ca="1">INDEX($E$2:$E$98,K36)</f>
        <v>Guerreiro</v>
      </c>
      <c r="Q36" s="6" t="str" cm="1">
        <f t="array" aca="1" ref="Q36" ca="1">INDEX($E$2:$E$98,L36)</f>
        <v>Cardoso</v>
      </c>
      <c r="S36" t="str">
        <f t="shared" ca="1" si="2"/>
        <v>Feminino</v>
      </c>
      <c r="T36" t="str">
        <f t="shared" ref="T36:T51" ca="1" si="5">N36 &amp; " " &amp; P36 &amp; " " &amp; Q36</f>
        <v>Beatriz Guerreiro Cardoso</v>
      </c>
    </row>
    <row r="37" spans="1:20" x14ac:dyDescent="0.25">
      <c r="A37" t="s">
        <v>53</v>
      </c>
      <c r="B37" t="s">
        <v>60</v>
      </c>
      <c r="E37" t="s">
        <v>96</v>
      </c>
      <c r="I37">
        <f t="shared" ca="1" si="0"/>
        <v>8</v>
      </c>
      <c r="J37">
        <f t="shared" ca="1" si="0"/>
        <v>37</v>
      </c>
      <c r="K37">
        <f t="shared" ca="1" si="1"/>
        <v>3</v>
      </c>
      <c r="L37">
        <f t="shared" ca="1" si="1"/>
        <v>82</v>
      </c>
      <c r="M37" s="6" t="str" cm="1">
        <f t="array" aca="1" ref="M37" ca="1">INDEX($A$2:$A$40,I37,1)</f>
        <v>Feminino</v>
      </c>
      <c r="N37" s="6" t="str" cm="1">
        <f t="array" aca="1" ref="N37" ca="1">INDEX($B$2:$B$40,I37,1)</f>
        <v>Daniela</v>
      </c>
      <c r="O37" s="6" t="str" cm="1">
        <f t="array" aca="1" ref="O37" ca="1">INDEX($B$2:$B$40,J37,1)</f>
        <v>Vera</v>
      </c>
      <c r="P37" s="6" t="str" cm="1">
        <f t="array" aca="1" ref="P37" ca="1">INDEX($E$2:$E$98,K37)</f>
        <v>Vieira</v>
      </c>
      <c r="Q37" s="6" t="str" cm="1">
        <f t="array" aca="1" ref="Q37" ca="1">INDEX($E$2:$E$98,L37)</f>
        <v>Moura</v>
      </c>
      <c r="S37" t="str">
        <f t="shared" ca="1" si="2"/>
        <v>Feminino</v>
      </c>
      <c r="T37" t="str">
        <f t="shared" ca="1" si="5"/>
        <v>Daniela Vieira Moura</v>
      </c>
    </row>
    <row r="38" spans="1:20" x14ac:dyDescent="0.25">
      <c r="A38" t="s">
        <v>66</v>
      </c>
      <c r="B38" t="s">
        <v>191</v>
      </c>
      <c r="E38" t="s">
        <v>119</v>
      </c>
      <c r="I38">
        <f t="shared" ca="1" si="0"/>
        <v>3</v>
      </c>
      <c r="J38">
        <f t="shared" ca="1" si="0"/>
        <v>31</v>
      </c>
      <c r="K38">
        <f t="shared" ca="1" si="1"/>
        <v>30</v>
      </c>
      <c r="L38">
        <f t="shared" ca="1" si="1"/>
        <v>57</v>
      </c>
      <c r="M38" s="6" t="str" cm="1">
        <f t="array" aca="1" ref="M38" ca="1">INDEX($A$2:$A$40,I38,1)</f>
        <v>Masculino</v>
      </c>
      <c r="N38" s="6" t="str" cm="1">
        <f t="array" aca="1" ref="N38" ca="1">INDEX($B$2:$B$40,I38,1)</f>
        <v>André</v>
      </c>
      <c r="O38" s="6" t="str" cm="1">
        <f t="array" aca="1" ref="O38" ca="1">INDEX($B$2:$B$40,J38,1)</f>
        <v>Rodrigo</v>
      </c>
      <c r="P38" s="6" t="str" cm="1">
        <f t="array" aca="1" ref="P38" ca="1">INDEX($E$2:$E$98,K38)</f>
        <v>Monteiro</v>
      </c>
      <c r="Q38" s="6" t="str" cm="1">
        <f t="array" aca="1" ref="Q38" ca="1">INDEX($E$2:$E$98,L38)</f>
        <v>Pinheiro</v>
      </c>
      <c r="S38" t="str">
        <f t="shared" ca="1" si="2"/>
        <v>Masculino</v>
      </c>
      <c r="T38" t="str">
        <f t="shared" ca="1" si="5"/>
        <v>André Monteiro Pinheiro</v>
      </c>
    </row>
    <row r="39" spans="1:20" x14ac:dyDescent="0.25">
      <c r="A39" t="s">
        <v>53</v>
      </c>
      <c r="B39" t="s">
        <v>3739</v>
      </c>
      <c r="E39" t="s">
        <v>127</v>
      </c>
      <c r="I39">
        <f t="shared" ca="1" si="0"/>
        <v>15</v>
      </c>
      <c r="J39">
        <f t="shared" ca="1" si="0"/>
        <v>25</v>
      </c>
      <c r="K39">
        <f t="shared" ca="1" si="1"/>
        <v>76</v>
      </c>
      <c r="L39">
        <f t="shared" ca="1" si="1"/>
        <v>93</v>
      </c>
      <c r="M39" s="6" t="str" cm="1">
        <f t="array" aca="1" ref="M39" ca="1">INDEX($A$2:$A$40,I39,1)</f>
        <v>Feminino</v>
      </c>
      <c r="N39" s="6" t="str" cm="1">
        <f t="array" aca="1" ref="N39" ca="1">INDEX($B$2:$B$40,I39,1)</f>
        <v>Inês</v>
      </c>
      <c r="O39" s="6" t="str" cm="1">
        <f t="array" aca="1" ref="O39" ca="1">INDEX($B$2:$B$40,J39,1)</f>
        <v>Mariana</v>
      </c>
      <c r="P39" s="6" t="str" cm="1">
        <f t="array" aca="1" ref="P39" ca="1">INDEX($E$2:$E$98,K39)</f>
        <v>Vaz</v>
      </c>
      <c r="Q39" s="6" t="str" cm="1">
        <f t="array" aca="1" ref="Q39" ca="1">INDEX($E$2:$E$98,L39)</f>
        <v>Macedo</v>
      </c>
      <c r="S39" t="str">
        <f t="shared" ca="1" si="2"/>
        <v>Feminino</v>
      </c>
      <c r="T39" t="str">
        <f t="shared" ca="1" si="5"/>
        <v>Inês Vaz Macedo</v>
      </c>
    </row>
    <row r="40" spans="1:20" x14ac:dyDescent="0.25">
      <c r="A40" t="s">
        <v>66</v>
      </c>
      <c r="B40" t="s">
        <v>3741</v>
      </c>
      <c r="E40" t="s">
        <v>128</v>
      </c>
      <c r="I40">
        <f t="shared" ca="1" si="0"/>
        <v>11</v>
      </c>
      <c r="J40">
        <f t="shared" ca="1" si="0"/>
        <v>18</v>
      </c>
      <c r="K40">
        <f t="shared" ca="1" si="1"/>
        <v>76</v>
      </c>
      <c r="L40">
        <f t="shared" ca="1" si="1"/>
        <v>27</v>
      </c>
      <c r="M40" s="6" t="str" cm="1">
        <f t="array" aca="1" ref="M40" ca="1">INDEX($A$2:$A$40,I40,1)</f>
        <v>Masculino</v>
      </c>
      <c r="N40" s="6" t="str" cm="1">
        <f t="array" aca="1" ref="N40" ca="1">INDEX($B$2:$B$40,I40,1)</f>
        <v>Duarte</v>
      </c>
      <c r="O40" s="6" t="str" cm="1">
        <f t="array" aca="1" ref="O40" ca="1">INDEX($B$2:$B$40,J40,1)</f>
        <v>José</v>
      </c>
      <c r="P40" s="6" t="str" cm="1">
        <f t="array" aca="1" ref="P40" ca="1">INDEX($E$2:$E$98,K40)</f>
        <v>Vaz</v>
      </c>
      <c r="Q40" s="6" t="str" cm="1">
        <f t="array" aca="1" ref="Q40" ca="1">INDEX($E$2:$E$98,L40)</f>
        <v>Marques</v>
      </c>
      <c r="S40" t="str">
        <f t="shared" ca="1" si="2"/>
        <v>Masculino</v>
      </c>
      <c r="T40" t="str">
        <f t="shared" ca="1" si="5"/>
        <v>Duarte Vaz Marques</v>
      </c>
    </row>
    <row r="41" spans="1:20" x14ac:dyDescent="0.25">
      <c r="E41" t="s">
        <v>129</v>
      </c>
      <c r="I41">
        <f t="shared" ca="1" si="0"/>
        <v>37</v>
      </c>
      <c r="J41">
        <f t="shared" ca="1" si="0"/>
        <v>18</v>
      </c>
      <c r="K41">
        <f t="shared" ca="1" si="1"/>
        <v>36</v>
      </c>
      <c r="L41">
        <f t="shared" ca="1" si="1"/>
        <v>38</v>
      </c>
      <c r="M41" s="6" t="str" cm="1">
        <f t="array" aca="1" ref="M41" ca="1">INDEX($A$2:$A$40,I41,1)</f>
        <v>Feminino</v>
      </c>
      <c r="N41" s="6" t="str" cm="1">
        <f t="array" aca="1" ref="N41" ca="1">INDEX($B$2:$B$40,I41,1)</f>
        <v>Vera</v>
      </c>
      <c r="O41" s="6" t="str" cm="1">
        <f t="array" aca="1" ref="O41" ca="1">INDEX($B$2:$B$40,J41,1)</f>
        <v>José</v>
      </c>
      <c r="P41" s="6" t="str" cm="1">
        <f t="array" aca="1" ref="P41" ca="1">INDEX($E$2:$E$98,K41)</f>
        <v>Rodrigues</v>
      </c>
      <c r="Q41" s="6" t="str" cm="1">
        <f t="array" aca="1" ref="Q41" ca="1">INDEX($E$2:$E$98,L41)</f>
        <v>Reis</v>
      </c>
      <c r="S41" t="str">
        <f t="shared" ca="1" si="2"/>
        <v>Feminino</v>
      </c>
      <c r="T41" t="str">
        <f t="shared" ca="1" si="5"/>
        <v>Vera Rodrigues Reis</v>
      </c>
    </row>
    <row r="42" spans="1:20" x14ac:dyDescent="0.25">
      <c r="E42" t="s">
        <v>130</v>
      </c>
      <c r="I42">
        <f t="shared" ca="1" si="0"/>
        <v>18</v>
      </c>
      <c r="J42">
        <f t="shared" ca="1" si="0"/>
        <v>20</v>
      </c>
      <c r="K42">
        <f t="shared" ca="1" si="1"/>
        <v>35</v>
      </c>
      <c r="L42">
        <f t="shared" ca="1" si="1"/>
        <v>92</v>
      </c>
      <c r="M42" s="6" t="str" cm="1">
        <f t="array" aca="1" ref="M42" ca="1">INDEX($A$2:$A$40,I42,1)</f>
        <v>Masculino</v>
      </c>
      <c r="N42" s="6" t="str" cm="1">
        <f t="array" aca="1" ref="N42" ca="1">INDEX($B$2:$B$40,I42,1)</f>
        <v>José</v>
      </c>
      <c r="O42" s="6" t="str" cm="1">
        <f t="array" aca="1" ref="O42" ca="1">INDEX($B$2:$B$40,J42,1)</f>
        <v>Luís</v>
      </c>
      <c r="P42" s="6" t="str" cm="1">
        <f t="array" aca="1" ref="P42" ca="1">INDEX($E$2:$E$98,K42)</f>
        <v>Mendes</v>
      </c>
      <c r="Q42" s="6" t="str" cm="1">
        <f t="array" aca="1" ref="Q42" ca="1">INDEX($E$2:$E$98,L42)</f>
        <v>Pacheco</v>
      </c>
      <c r="S42" t="str">
        <f t="shared" ca="1" si="2"/>
        <v>Masculino</v>
      </c>
      <c r="T42" t="str">
        <f t="shared" ca="1" si="5"/>
        <v>José Mendes Pacheco</v>
      </c>
    </row>
    <row r="43" spans="1:20" x14ac:dyDescent="0.25">
      <c r="E43" t="s">
        <v>131</v>
      </c>
      <c r="I43">
        <f t="shared" ca="1" si="0"/>
        <v>3</v>
      </c>
      <c r="J43">
        <f t="shared" ca="1" si="0"/>
        <v>8</v>
      </c>
      <c r="K43">
        <f t="shared" ca="1" si="1"/>
        <v>12</v>
      </c>
      <c r="L43">
        <f t="shared" ca="1" si="1"/>
        <v>5</v>
      </c>
      <c r="M43" s="6" t="str" cm="1">
        <f t="array" aca="1" ref="M43" ca="1">INDEX($A$2:$A$40,I43,1)</f>
        <v>Masculino</v>
      </c>
      <c r="N43" s="6" t="str" cm="1">
        <f t="array" aca="1" ref="N43" ca="1">INDEX($B$2:$B$40,I43,1)</f>
        <v>André</v>
      </c>
      <c r="O43" s="6" t="str" cm="1">
        <f t="array" aca="1" ref="O43" ca="1">INDEX($B$2:$B$40,J43,1)</f>
        <v>Daniela</v>
      </c>
      <c r="P43" s="6" t="str" cm="1">
        <f t="array" aca="1" ref="P43" ca="1">INDEX($E$2:$E$98,K43)</f>
        <v>Teixeira</v>
      </c>
      <c r="Q43" s="6" t="str" cm="1">
        <f t="array" aca="1" ref="Q43" ca="1">INDEX($E$2:$E$98,L43)</f>
        <v>Nunes</v>
      </c>
      <c r="S43" t="str">
        <f t="shared" ca="1" si="2"/>
        <v>Masculino</v>
      </c>
      <c r="T43" t="str">
        <f t="shared" ca="1" si="5"/>
        <v>André Teixeira Nunes</v>
      </c>
    </row>
    <row r="44" spans="1:20" x14ac:dyDescent="0.25">
      <c r="E44" t="s">
        <v>132</v>
      </c>
      <c r="I44">
        <f t="shared" ca="1" si="0"/>
        <v>7</v>
      </c>
      <c r="J44">
        <f t="shared" ca="1" si="0"/>
        <v>9</v>
      </c>
      <c r="K44">
        <f t="shared" ca="1" si="1"/>
        <v>94</v>
      </c>
      <c r="L44">
        <f t="shared" ca="1" si="1"/>
        <v>96</v>
      </c>
      <c r="M44" s="6" t="str" cm="1">
        <f t="array" aca="1" ref="M44" ca="1">INDEX($A$2:$A$40,I44,1)</f>
        <v>Feminino</v>
      </c>
      <c r="N44" s="6" t="str" cm="1">
        <f t="array" aca="1" ref="N44" ca="1">INDEX($B$2:$B$40,I44,1)</f>
        <v>Catarina</v>
      </c>
      <c r="O44" s="6" t="str" cm="1">
        <f t="array" aca="1" ref="O44" ca="1">INDEX($B$2:$B$40,J44,1)</f>
        <v>Diana</v>
      </c>
      <c r="P44" s="6" t="str" cm="1">
        <f t="array" aca="1" ref="P44" ca="1">INDEX($E$2:$E$98,K44)</f>
        <v>Paiva</v>
      </c>
      <c r="Q44" s="6" t="str" cm="1">
        <f t="array" aca="1" ref="Q44" ca="1">INDEX($E$2:$E$98,L44)</f>
        <v>Amorim</v>
      </c>
      <c r="S44" t="str">
        <f t="shared" ca="1" si="2"/>
        <v>Feminino</v>
      </c>
      <c r="T44" t="str">
        <f t="shared" ca="1" si="5"/>
        <v>Catarina Paiva Amorim</v>
      </c>
    </row>
    <row r="45" spans="1:20" x14ac:dyDescent="0.25">
      <c r="E45" t="s">
        <v>133</v>
      </c>
      <c r="I45">
        <f t="shared" ca="1" si="0"/>
        <v>23</v>
      </c>
      <c r="J45">
        <f t="shared" ca="1" si="0"/>
        <v>28</v>
      </c>
      <c r="K45">
        <f t="shared" ca="1" si="1"/>
        <v>94</v>
      </c>
      <c r="L45">
        <f t="shared" ca="1" si="1"/>
        <v>70</v>
      </c>
      <c r="M45" s="6" t="str" cm="1">
        <f t="array" aca="1" ref="M45" ca="1">INDEX($A$2:$A$40,I45,1)</f>
        <v>Feminino</v>
      </c>
      <c r="N45" s="6" t="str" cm="1">
        <f t="array" aca="1" ref="N45" ca="1">INDEX($B$2:$B$40,I45,1)</f>
        <v>Maria</v>
      </c>
      <c r="O45" s="6" t="str" cm="1">
        <f t="array" aca="1" ref="O45" ca="1">INDEX($B$2:$B$40,J45,1)</f>
        <v>Miguel</v>
      </c>
      <c r="P45" s="6" t="str" cm="1">
        <f t="array" aca="1" ref="P45" ca="1">INDEX($E$2:$E$98,K45)</f>
        <v>Paiva</v>
      </c>
      <c r="Q45" s="6" t="str" cm="1">
        <f t="array" aca="1" ref="Q45" ca="1">INDEX($E$2:$E$98,L45)</f>
        <v>Sá</v>
      </c>
      <c r="S45" t="str">
        <f t="shared" ca="1" si="2"/>
        <v>Feminino</v>
      </c>
      <c r="T45" t="str">
        <f t="shared" ca="1" si="5"/>
        <v>Maria Paiva Sá</v>
      </c>
    </row>
    <row r="46" spans="1:20" x14ac:dyDescent="0.25">
      <c r="E46" t="s">
        <v>134</v>
      </c>
      <c r="I46">
        <f t="shared" ca="1" si="0"/>
        <v>33</v>
      </c>
      <c r="J46">
        <f t="shared" ca="1" si="0"/>
        <v>10</v>
      </c>
      <c r="K46">
        <f t="shared" ca="1" si="1"/>
        <v>72</v>
      </c>
      <c r="L46">
        <f t="shared" ca="1" si="1"/>
        <v>36</v>
      </c>
      <c r="M46" s="6" t="str" cm="1">
        <f t="array" aca="1" ref="M46" ca="1">INDEX($A$2:$A$40,I46,1)</f>
        <v>Feminino</v>
      </c>
      <c r="N46" s="6" t="str" cm="1">
        <f t="array" aca="1" ref="N46" ca="1">INDEX($B$2:$B$40,I46,1)</f>
        <v>Sara</v>
      </c>
      <c r="O46" s="6" t="str" cm="1">
        <f t="array" aca="1" ref="O46" ca="1">INDEX($B$2:$B$40,J46,1)</f>
        <v>Diogo</v>
      </c>
      <c r="P46" s="6" t="str" cm="1">
        <f t="array" aca="1" ref="P46" ca="1">INDEX($E$2:$E$98,K46)</f>
        <v>Leite</v>
      </c>
      <c r="Q46" s="6" t="str" cm="1">
        <f t="array" aca="1" ref="Q46" ca="1">INDEX($E$2:$E$98,L46)</f>
        <v>Rodrigues</v>
      </c>
      <c r="S46" t="str">
        <f t="shared" ca="1" si="2"/>
        <v>Feminino</v>
      </c>
      <c r="T46" t="str">
        <f t="shared" ca="1" si="5"/>
        <v>Sara Leite Rodrigues</v>
      </c>
    </row>
    <row r="47" spans="1:20" x14ac:dyDescent="0.25">
      <c r="E47" t="s">
        <v>135</v>
      </c>
      <c r="I47">
        <f t="shared" ca="1" si="0"/>
        <v>34</v>
      </c>
      <c r="J47">
        <f t="shared" ca="1" si="0"/>
        <v>28</v>
      </c>
      <c r="K47">
        <f t="shared" ca="1" si="1"/>
        <v>26</v>
      </c>
      <c r="L47">
        <f t="shared" ca="1" si="1"/>
        <v>77</v>
      </c>
      <c r="M47" s="6" t="str" cm="1">
        <f t="array" aca="1" ref="M47" ca="1">INDEX($A$2:$A$40,I47,1)</f>
        <v>Feminino</v>
      </c>
      <c r="N47" s="6" t="str" cm="1">
        <f t="array" aca="1" ref="N47" ca="1">INDEX($B$2:$B$40,I47,1)</f>
        <v>Sofia</v>
      </c>
      <c r="O47" s="6" t="str" cm="1">
        <f t="array" aca="1" ref="O47" ca="1">INDEX($B$2:$B$40,J47,1)</f>
        <v>Miguel</v>
      </c>
      <c r="P47" s="6" t="str" cm="1">
        <f t="array" aca="1" ref="P47" ca="1">INDEX($E$2:$E$98,K47)</f>
        <v>Costa</v>
      </c>
      <c r="Q47" s="6" t="str" cm="1">
        <f t="array" aca="1" ref="Q47" ca="1">INDEX($E$2:$E$98,L47)</f>
        <v>Pinho</v>
      </c>
      <c r="S47" t="str">
        <f t="shared" ca="1" si="2"/>
        <v>Feminino</v>
      </c>
      <c r="T47" t="str">
        <f t="shared" ca="1" si="5"/>
        <v>Sofia Costa Pinho</v>
      </c>
    </row>
    <row r="48" spans="1:20" x14ac:dyDescent="0.25">
      <c r="E48" t="s">
        <v>136</v>
      </c>
      <c r="I48">
        <f t="shared" ca="1" si="0"/>
        <v>24</v>
      </c>
      <c r="J48">
        <f t="shared" ca="1" si="0"/>
        <v>14</v>
      </c>
      <c r="K48">
        <f t="shared" ca="1" si="1"/>
        <v>48</v>
      </c>
      <c r="L48">
        <f t="shared" ca="1" si="1"/>
        <v>80</v>
      </c>
      <c r="M48" s="6" t="str" cm="1">
        <f t="array" aca="1" ref="M48" ca="1">INDEX($A$2:$A$40,I48,1)</f>
        <v>Feminino</v>
      </c>
      <c r="N48" s="6" t="str" cm="1">
        <f t="array" aca="1" ref="N48" ca="1">INDEX($B$2:$B$40,I48,1)</f>
        <v>Laura</v>
      </c>
      <c r="O48" s="6" t="str" cm="1">
        <f t="array" aca="1" ref="O48" ca="1">INDEX($B$2:$B$40,J48,1)</f>
        <v>Gabriel</v>
      </c>
      <c r="P48" s="6" t="str" cm="1">
        <f t="array" aca="1" ref="P48" ca="1">INDEX($E$2:$E$98,K48)</f>
        <v>Castro</v>
      </c>
      <c r="Q48" s="6" t="str" cm="1">
        <f t="array" aca="1" ref="Q48" ca="1">INDEX($E$2:$E$98,L48)</f>
        <v>Assunção</v>
      </c>
      <c r="S48" t="str">
        <f t="shared" ca="1" si="2"/>
        <v>Feminino</v>
      </c>
      <c r="T48" t="str">
        <f t="shared" ca="1" si="5"/>
        <v>Laura Castro Assunção</v>
      </c>
    </row>
    <row r="49" spans="5:20" x14ac:dyDescent="0.25">
      <c r="E49" t="s">
        <v>137</v>
      </c>
      <c r="I49">
        <f t="shared" ca="1" si="0"/>
        <v>6</v>
      </c>
      <c r="J49">
        <f t="shared" ca="1" si="0"/>
        <v>8</v>
      </c>
      <c r="K49">
        <f t="shared" ca="1" si="1"/>
        <v>48</v>
      </c>
      <c r="L49">
        <f t="shared" ca="1" si="1"/>
        <v>52</v>
      </c>
      <c r="M49" s="6" t="str" cm="1">
        <f t="array" aca="1" ref="M49" ca="1">INDEX($A$2:$A$40,I49,1)</f>
        <v>Feminino</v>
      </c>
      <c r="N49" s="6" t="str" cm="1">
        <f t="array" aca="1" ref="N49" ca="1">INDEX($B$2:$B$40,I49,1)</f>
        <v>Carolina</v>
      </c>
      <c r="O49" s="6" t="str" cm="1">
        <f t="array" aca="1" ref="O49" ca="1">INDEX($B$2:$B$40,J49,1)</f>
        <v>Daniela</v>
      </c>
      <c r="P49" s="6" t="str" cm="1">
        <f t="array" aca="1" ref="P49" ca="1">INDEX($E$2:$E$98,K49)</f>
        <v>Castro</v>
      </c>
      <c r="Q49" s="6" t="str" cm="1">
        <f t="array" aca="1" ref="Q49" ca="1">INDEX($E$2:$E$98,L49)</f>
        <v>Magalhães</v>
      </c>
      <c r="S49" t="str">
        <f t="shared" ca="1" si="2"/>
        <v>Feminino</v>
      </c>
      <c r="T49" t="str">
        <f t="shared" ca="1" si="5"/>
        <v>Carolina Castro Magalhães</v>
      </c>
    </row>
    <row r="50" spans="5:20" x14ac:dyDescent="0.25">
      <c r="E50" t="s">
        <v>138</v>
      </c>
      <c r="I50">
        <f t="shared" ca="1" si="0"/>
        <v>39</v>
      </c>
      <c r="J50">
        <f t="shared" ca="1" si="0"/>
        <v>19</v>
      </c>
      <c r="K50">
        <f t="shared" ca="1" si="1"/>
        <v>56</v>
      </c>
      <c r="L50">
        <f t="shared" ca="1" si="1"/>
        <v>4</v>
      </c>
      <c r="M50" s="6" t="str" cm="1">
        <f t="array" aca="1" ref="M50" ca="1">INDEX($A$2:$A$40,I50,1)</f>
        <v>Feminino</v>
      </c>
      <c r="N50" s="6" t="str" cm="1">
        <f t="array" aca="1" ref="N50" ca="1">INDEX($B$2:$B$40,I50,1)</f>
        <v>Lara</v>
      </c>
      <c r="O50" s="6" t="str" cm="1">
        <f t="array" aca="1" ref="O50" ca="1">INDEX($B$2:$B$40,J50,1)</f>
        <v>Leonor</v>
      </c>
      <c r="P50" s="6" t="str" cm="1">
        <f t="array" aca="1" ref="P50" ca="1">INDEX($E$2:$E$98,K50)</f>
        <v>Batista</v>
      </c>
      <c r="Q50" s="6" t="str" cm="1">
        <f t="array" aca="1" ref="Q50" ca="1">INDEX($E$2:$E$98,L50)</f>
        <v>Alves</v>
      </c>
      <c r="S50" t="str">
        <f t="shared" ca="1" si="2"/>
        <v>Feminino</v>
      </c>
      <c r="T50" t="str">
        <f t="shared" ca="1" si="5"/>
        <v>Lara Batista Alves</v>
      </c>
    </row>
    <row r="51" spans="5:20" x14ac:dyDescent="0.25">
      <c r="E51" t="s">
        <v>139</v>
      </c>
      <c r="I51">
        <f t="shared" ca="1" si="0"/>
        <v>13</v>
      </c>
      <c r="J51">
        <f t="shared" ca="1" si="0"/>
        <v>24</v>
      </c>
      <c r="K51">
        <f t="shared" ca="1" si="1"/>
        <v>56</v>
      </c>
      <c r="L51">
        <f t="shared" ca="1" si="1"/>
        <v>91</v>
      </c>
      <c r="M51" s="6" t="str" cm="1">
        <f t="array" aca="1" ref="M51" ca="1">INDEX($A$2:$A$40,I51,1)</f>
        <v>Masculino</v>
      </c>
      <c r="N51" s="6" t="str" cm="1">
        <f t="array" aca="1" ref="N51" ca="1">INDEX($B$2:$B$40,I51,1)</f>
        <v>Francisco</v>
      </c>
      <c r="O51" s="6" t="str" cm="1">
        <f t="array" aca="1" ref="O51" ca="1">INDEX($B$2:$B$40,J51,1)</f>
        <v>Laura</v>
      </c>
      <c r="P51" s="6" t="str" cm="1">
        <f t="array" aca="1" ref="P51" ca="1">INDEX($E$2:$E$98,K51)</f>
        <v>Batista</v>
      </c>
      <c r="Q51" s="6" t="str" cm="1">
        <f t="array" aca="1" ref="Q51" ca="1">INDEX($E$2:$E$98,L51)</f>
        <v>Leal</v>
      </c>
      <c r="S51" t="str">
        <f t="shared" ca="1" si="2"/>
        <v>Masculino</v>
      </c>
      <c r="T51" t="str">
        <f t="shared" ca="1" si="5"/>
        <v>Francisco Batista Leal</v>
      </c>
    </row>
    <row r="52" spans="5:20" x14ac:dyDescent="0.25">
      <c r="E52" t="s">
        <v>140</v>
      </c>
      <c r="I52">
        <f t="shared" ca="1" si="0"/>
        <v>10</v>
      </c>
      <c r="J52">
        <f t="shared" ca="1" si="0"/>
        <v>11</v>
      </c>
      <c r="K52">
        <f t="shared" ca="1" si="1"/>
        <v>53</v>
      </c>
      <c r="L52">
        <f t="shared" ca="1" si="1"/>
        <v>54</v>
      </c>
      <c r="M52" s="6" t="str" cm="1">
        <f t="array" aca="1" ref="M52" ca="1">INDEX($A$2:$A$40,I52,1)</f>
        <v>Masculino</v>
      </c>
      <c r="N52" s="6" t="str" cm="1">
        <f t="array" aca="1" ref="N52" ca="1">INDEX($B$2:$B$40,I52,1)</f>
        <v>Diogo</v>
      </c>
      <c r="O52" s="6" t="str" cm="1">
        <f t="array" aca="1" ref="O52" ca="1">INDEX($B$2:$B$40,J52,1)</f>
        <v>Duarte</v>
      </c>
      <c r="P52" s="6" t="str" cm="1">
        <f t="array" aca="1" ref="P52" ca="1">INDEX($E$2:$E$98,K52)</f>
        <v>Henriques</v>
      </c>
      <c r="Q52" s="6" t="str" cm="1">
        <f t="array" aca="1" ref="Q52" ca="1">INDEX($E$2:$E$98,L52)</f>
        <v>Lima</v>
      </c>
      <c r="S52" t="str">
        <f t="shared" ca="1" si="2"/>
        <v>Masculino</v>
      </c>
      <c r="T52" t="str">
        <f ca="1">N52 &amp; " " &amp; O52 &amp; " " &amp; P52  &amp; " " &amp; Q52</f>
        <v>Diogo Duarte Henriques Lima</v>
      </c>
    </row>
    <row r="53" spans="5:20" x14ac:dyDescent="0.25">
      <c r="E53" t="s">
        <v>141</v>
      </c>
      <c r="I53">
        <f t="shared" ca="1" si="0"/>
        <v>18</v>
      </c>
      <c r="J53">
        <f t="shared" ca="1" si="0"/>
        <v>12</v>
      </c>
      <c r="K53">
        <f t="shared" ca="1" si="1"/>
        <v>86</v>
      </c>
      <c r="L53">
        <f t="shared" ca="1" si="1"/>
        <v>30</v>
      </c>
      <c r="M53" s="6" t="str" cm="1">
        <f t="array" aca="1" ref="M53" ca="1">INDEX($A$2:$A$40,I53,1)</f>
        <v>Masculino</v>
      </c>
      <c r="N53" s="6" t="str" cm="1">
        <f t="array" aca="1" ref="N53" ca="1">INDEX($B$2:$B$40,I53,1)</f>
        <v>José</v>
      </c>
      <c r="O53" s="6" t="str" cm="1">
        <f t="array" aca="1" ref="O53" ca="1">INDEX($B$2:$B$40,J53,1)</f>
        <v>Francisca</v>
      </c>
      <c r="P53" s="6" t="str" cm="1">
        <f t="array" aca="1" ref="P53" ca="1">INDEX($E$2:$E$98,K53)</f>
        <v>Carneiro</v>
      </c>
      <c r="Q53" s="6" t="str" cm="1">
        <f t="array" aca="1" ref="Q53" ca="1">INDEX($E$2:$E$98,L53)</f>
        <v>Monteiro</v>
      </c>
      <c r="S53" t="str">
        <f t="shared" ca="1" si="2"/>
        <v>Masculino</v>
      </c>
      <c r="T53" t="str">
        <f t="shared" ref="T53:T116" ca="1" si="6">N53 &amp; " " &amp; O53 &amp; " " &amp; P53  &amp; " " &amp; Q53</f>
        <v>José Francisca Carneiro Monteiro</v>
      </c>
    </row>
    <row r="54" spans="5:20" x14ac:dyDescent="0.25">
      <c r="E54" t="s">
        <v>142</v>
      </c>
      <c r="I54">
        <f t="shared" ca="1" si="0"/>
        <v>34</v>
      </c>
      <c r="J54">
        <f t="shared" ca="1" si="0"/>
        <v>22</v>
      </c>
      <c r="K54">
        <f t="shared" ca="1" si="1"/>
        <v>49</v>
      </c>
      <c r="L54">
        <f t="shared" ca="1" si="1"/>
        <v>26</v>
      </c>
      <c r="M54" s="6" t="str" cm="1">
        <f t="array" aca="1" ref="M54" ca="1">INDEX($A$2:$A$40,I54,1)</f>
        <v>Feminino</v>
      </c>
      <c r="N54" s="6" t="str" cm="1">
        <f t="array" aca="1" ref="N54" ca="1">INDEX($B$2:$B$40,I54,1)</f>
        <v>Sofia</v>
      </c>
      <c r="O54" s="6" t="str" cm="1">
        <f t="array" aca="1" ref="O54" ca="1">INDEX($B$2:$B$40,J54,1)</f>
        <v>Marco</v>
      </c>
      <c r="P54" s="6" t="str" cm="1">
        <f t="array" aca="1" ref="P54" ca="1">INDEX($E$2:$E$98,K54)</f>
        <v>Figueiredo</v>
      </c>
      <c r="Q54" s="6" t="str" cm="1">
        <f t="array" aca="1" ref="Q54" ca="1">INDEX($E$2:$E$98,L54)</f>
        <v>Costa</v>
      </c>
      <c r="S54" t="str">
        <f t="shared" ca="1" si="2"/>
        <v>Feminino</v>
      </c>
      <c r="T54" t="str">
        <f t="shared" ca="1" si="6"/>
        <v>Sofia Marco Figueiredo Costa</v>
      </c>
    </row>
    <row r="55" spans="5:20" x14ac:dyDescent="0.25">
      <c r="E55" t="s">
        <v>143</v>
      </c>
      <c r="I55">
        <f t="shared" ca="1" si="0"/>
        <v>12</v>
      </c>
      <c r="J55">
        <f t="shared" ca="1" si="0"/>
        <v>25</v>
      </c>
      <c r="K55">
        <f t="shared" ca="1" si="1"/>
        <v>90</v>
      </c>
      <c r="L55">
        <f t="shared" ca="1" si="1"/>
        <v>33</v>
      </c>
      <c r="M55" s="6" t="str" cm="1">
        <f t="array" aca="1" ref="M55" ca="1">INDEX($A$2:$A$40,I55,1)</f>
        <v>Feminino</v>
      </c>
      <c r="N55" s="6" t="str" cm="1">
        <f t="array" aca="1" ref="N55" ca="1">INDEX($B$2:$B$40,I55,1)</f>
        <v>Francisca</v>
      </c>
      <c r="O55" s="6" t="str" cm="1">
        <f t="array" aca="1" ref="O55" ca="1">INDEX($B$2:$B$40,J55,1)</f>
        <v>Mariana</v>
      </c>
      <c r="P55" s="6" t="str" cm="1">
        <f t="array" aca="1" ref="P55" ca="1">INDEX($E$2:$E$98,K55)</f>
        <v>Branco</v>
      </c>
      <c r="Q55" s="6" t="str" cm="1">
        <f t="array" aca="1" ref="Q55" ca="1">INDEX($E$2:$E$98,L55)</f>
        <v>Cunha</v>
      </c>
      <c r="S55" t="str">
        <f t="shared" ca="1" si="2"/>
        <v>Feminino</v>
      </c>
      <c r="T55" t="str">
        <f t="shared" ca="1" si="6"/>
        <v>Francisca Mariana Branco Cunha</v>
      </c>
    </row>
    <row r="56" spans="5:20" x14ac:dyDescent="0.25">
      <c r="E56" t="s">
        <v>144</v>
      </c>
      <c r="I56">
        <f t="shared" ca="1" si="0"/>
        <v>12</v>
      </c>
      <c r="J56">
        <f t="shared" ca="1" si="0"/>
        <v>38</v>
      </c>
      <c r="K56">
        <f t="shared" ca="1" si="1"/>
        <v>86</v>
      </c>
      <c r="L56">
        <f t="shared" ca="1" si="1"/>
        <v>70</v>
      </c>
      <c r="M56" s="6" t="str" cm="1">
        <f t="array" aca="1" ref="M56" ca="1">INDEX($A$2:$A$40,I56,1)</f>
        <v>Feminino</v>
      </c>
      <c r="N56" s="6" t="str" cm="1">
        <f t="array" aca="1" ref="N56" ca="1">INDEX($B$2:$B$40,I56,1)</f>
        <v>Francisca</v>
      </c>
      <c r="O56" s="6" t="str" cm="1">
        <f t="array" aca="1" ref="O56" ca="1">INDEX($B$2:$B$40,J56,1)</f>
        <v>Joaquim</v>
      </c>
      <c r="P56" s="6" t="str" cm="1">
        <f t="array" aca="1" ref="P56" ca="1">INDEX($E$2:$E$98,K56)</f>
        <v>Carneiro</v>
      </c>
      <c r="Q56" s="6" t="str" cm="1">
        <f t="array" aca="1" ref="Q56" ca="1">INDEX($E$2:$E$98,L56)</f>
        <v>Sá</v>
      </c>
      <c r="S56" t="str">
        <f t="shared" ca="1" si="2"/>
        <v>Feminino</v>
      </c>
      <c r="T56" t="str">
        <f t="shared" ca="1" si="6"/>
        <v>Francisca Joaquim Carneiro Sá</v>
      </c>
    </row>
    <row r="57" spans="5:20" x14ac:dyDescent="0.25">
      <c r="E57" t="s">
        <v>145</v>
      </c>
      <c r="I57">
        <f t="shared" ca="1" si="0"/>
        <v>36</v>
      </c>
      <c r="J57">
        <f t="shared" ca="1" si="0"/>
        <v>32</v>
      </c>
      <c r="K57">
        <f t="shared" ca="1" si="1"/>
        <v>8</v>
      </c>
      <c r="L57">
        <f t="shared" ca="1" si="1"/>
        <v>96</v>
      </c>
      <c r="M57" s="6" t="str" cm="1">
        <f t="array" aca="1" ref="M57" ca="1">INDEX($A$2:$A$40,I57,1)</f>
        <v>Masculino</v>
      </c>
      <c r="N57" s="6" t="str" cm="1">
        <f t="array" aca="1" ref="N57" ca="1">INDEX($B$2:$B$40,I57,1)</f>
        <v>Tomás</v>
      </c>
      <c r="O57" s="6" t="str" cm="1">
        <f t="array" aca="1" ref="O57" ca="1">INDEX($B$2:$B$40,J57,1)</f>
        <v>Santiago</v>
      </c>
      <c r="P57" s="6" t="str" cm="1">
        <f t="array" aca="1" ref="P57" ca="1">INDEX($E$2:$E$98,K57)</f>
        <v>Pires</v>
      </c>
      <c r="Q57" s="6" t="str" cm="1">
        <f t="array" aca="1" ref="Q57" ca="1">INDEX($E$2:$E$98,L57)</f>
        <v>Amorim</v>
      </c>
      <c r="S57" t="str">
        <f t="shared" ca="1" si="2"/>
        <v>Masculino</v>
      </c>
      <c r="T57" t="str">
        <f t="shared" ca="1" si="6"/>
        <v>Tomás Santiago Pires Amorim</v>
      </c>
    </row>
    <row r="58" spans="5:20" x14ac:dyDescent="0.25">
      <c r="E58" t="s">
        <v>146</v>
      </c>
      <c r="I58">
        <f t="shared" ca="1" si="0"/>
        <v>23</v>
      </c>
      <c r="J58">
        <f t="shared" ca="1" si="0"/>
        <v>1</v>
      </c>
      <c r="K58">
        <f t="shared" ca="1" si="1"/>
        <v>90</v>
      </c>
      <c r="L58">
        <f t="shared" ca="1" si="1"/>
        <v>82</v>
      </c>
      <c r="M58" s="6" t="str" cm="1">
        <f t="array" aca="1" ref="M58" ca="1">INDEX($A$2:$A$40,I58,1)</f>
        <v>Feminino</v>
      </c>
      <c r="N58" s="6" t="str" cm="1">
        <f t="array" aca="1" ref="N58" ca="1">INDEX($B$2:$B$40,I58,1)</f>
        <v>Maria</v>
      </c>
      <c r="O58" s="6" t="str" cm="1">
        <f t="array" aca="1" ref="O58" ca="1">INDEX($B$2:$B$40,J58,1)</f>
        <v>Afonso</v>
      </c>
      <c r="P58" s="6" t="str" cm="1">
        <f t="array" aca="1" ref="P58" ca="1">INDEX($E$2:$E$98,K58)</f>
        <v>Branco</v>
      </c>
      <c r="Q58" s="6" t="str" cm="1">
        <f t="array" aca="1" ref="Q58" ca="1">INDEX($E$2:$E$98,L58)</f>
        <v>Moura</v>
      </c>
      <c r="S58" t="str">
        <f t="shared" ca="1" si="2"/>
        <v>Feminino</v>
      </c>
      <c r="T58" t="str">
        <f t="shared" ca="1" si="6"/>
        <v>Maria Afonso Branco Moura</v>
      </c>
    </row>
    <row r="59" spans="5:20" x14ac:dyDescent="0.25">
      <c r="E59" t="s">
        <v>147</v>
      </c>
      <c r="I59">
        <f t="shared" ca="1" si="0"/>
        <v>34</v>
      </c>
      <c r="J59">
        <f t="shared" ca="1" si="0"/>
        <v>39</v>
      </c>
      <c r="K59">
        <f t="shared" ca="1" si="1"/>
        <v>22</v>
      </c>
      <c r="L59">
        <f t="shared" ca="1" si="1"/>
        <v>67</v>
      </c>
      <c r="M59" s="6" t="str" cm="1">
        <f t="array" aca="1" ref="M59" ca="1">INDEX($A$2:$A$40,I59,1)</f>
        <v>Feminino</v>
      </c>
      <c r="N59" s="6" t="str" cm="1">
        <f t="array" aca="1" ref="N59" ca="1">INDEX($B$2:$B$40,I59,1)</f>
        <v>Sofia</v>
      </c>
      <c r="O59" s="6" t="str" cm="1">
        <f t="array" aca="1" ref="O59" ca="1">INDEX($B$2:$B$40,J59,1)</f>
        <v>Lara</v>
      </c>
      <c r="P59" s="6" t="str" cm="1">
        <f t="array" aca="1" ref="P59" ca="1">INDEX($E$2:$E$98,K59)</f>
        <v>Gonçalves</v>
      </c>
      <c r="Q59" s="6" t="str" cm="1">
        <f t="array" aca="1" ref="Q59" ca="1">INDEX($E$2:$E$98,L59)</f>
        <v>Mota</v>
      </c>
      <c r="S59" t="str">
        <f t="shared" ca="1" si="2"/>
        <v>Feminino</v>
      </c>
      <c r="T59" t="str">
        <f t="shared" ca="1" si="6"/>
        <v>Sofia Lara Gonçalves Mota</v>
      </c>
    </row>
    <row r="60" spans="5:20" x14ac:dyDescent="0.25">
      <c r="E60" t="s">
        <v>148</v>
      </c>
      <c r="I60">
        <f t="shared" ca="1" si="0"/>
        <v>3</v>
      </c>
      <c r="J60">
        <f t="shared" ca="1" si="0"/>
        <v>4</v>
      </c>
      <c r="K60">
        <f t="shared" ca="1" si="1"/>
        <v>11</v>
      </c>
      <c r="L60">
        <f t="shared" ca="1" si="1"/>
        <v>38</v>
      </c>
      <c r="M60" s="6" t="str" cm="1">
        <f t="array" aca="1" ref="M60" ca="1">INDEX($A$2:$A$40,I60,1)</f>
        <v>Masculino</v>
      </c>
      <c r="N60" s="6" t="str" cm="1">
        <f t="array" aca="1" ref="N60" ca="1">INDEX($B$2:$B$40,I60,1)</f>
        <v>André</v>
      </c>
      <c r="O60" s="6" t="str" cm="1">
        <f t="array" aca="1" ref="O60" ca="1">INDEX($B$2:$B$40,J60,1)</f>
        <v>Beatriz</v>
      </c>
      <c r="P60" s="6" t="str" cm="1">
        <f t="array" aca="1" ref="P60" ca="1">INDEX($E$2:$E$98,K60)</f>
        <v>Martins</v>
      </c>
      <c r="Q60" s="6" t="str" cm="1">
        <f t="array" aca="1" ref="Q60" ca="1">INDEX($E$2:$E$98,L60)</f>
        <v>Reis</v>
      </c>
      <c r="S60" t="str">
        <f t="shared" ca="1" si="2"/>
        <v>Masculino</v>
      </c>
      <c r="T60" t="str">
        <f t="shared" ca="1" si="6"/>
        <v>André Beatriz Martins Reis</v>
      </c>
    </row>
    <row r="61" spans="5:20" x14ac:dyDescent="0.25">
      <c r="E61" t="s">
        <v>149</v>
      </c>
      <c r="I61">
        <f t="shared" ca="1" si="0"/>
        <v>36</v>
      </c>
      <c r="J61">
        <f t="shared" ca="1" si="0"/>
        <v>39</v>
      </c>
      <c r="K61">
        <f t="shared" ca="1" si="1"/>
        <v>28</v>
      </c>
      <c r="L61">
        <f t="shared" ca="1" si="1"/>
        <v>77</v>
      </c>
      <c r="M61" s="6" t="str" cm="1">
        <f t="array" aca="1" ref="M61" ca="1">INDEX($A$2:$A$40,I61,1)</f>
        <v>Masculino</v>
      </c>
      <c r="N61" s="6" t="str" cm="1">
        <f t="array" aca="1" ref="N61" ca="1">INDEX($B$2:$B$40,I61,1)</f>
        <v>Tomás</v>
      </c>
      <c r="O61" s="6" t="str" cm="1">
        <f t="array" aca="1" ref="O61" ca="1">INDEX($B$2:$B$40,J61,1)</f>
        <v>Lara</v>
      </c>
      <c r="P61" s="6" t="str" cm="1">
        <f t="array" aca="1" ref="P61" ca="1">INDEX($E$2:$E$98,K61)</f>
        <v>Jesus</v>
      </c>
      <c r="Q61" s="6" t="str" cm="1">
        <f t="array" aca="1" ref="Q61" ca="1">INDEX($E$2:$E$98,L61)</f>
        <v>Pinho</v>
      </c>
      <c r="S61" t="str">
        <f t="shared" ca="1" si="2"/>
        <v>Masculino</v>
      </c>
      <c r="T61" t="str">
        <f t="shared" ca="1" si="6"/>
        <v>Tomás Lara Jesus Pinho</v>
      </c>
    </row>
    <row r="62" spans="5:20" x14ac:dyDescent="0.25">
      <c r="E62" t="s">
        <v>150</v>
      </c>
      <c r="I62">
        <f t="shared" ca="1" si="0"/>
        <v>3</v>
      </c>
      <c r="J62">
        <f t="shared" ca="1" si="0"/>
        <v>39</v>
      </c>
      <c r="K62">
        <f t="shared" ca="1" si="1"/>
        <v>70</v>
      </c>
      <c r="L62">
        <f t="shared" ca="1" si="1"/>
        <v>56</v>
      </c>
      <c r="M62" s="6" t="str" cm="1">
        <f t="array" aca="1" ref="M62" ca="1">INDEX($A$2:$A$40,I62,1)</f>
        <v>Masculino</v>
      </c>
      <c r="N62" s="6" t="str" cm="1">
        <f t="array" aca="1" ref="N62" ca="1">INDEX($B$2:$B$40,I62,1)</f>
        <v>André</v>
      </c>
      <c r="O62" s="6" t="str" cm="1">
        <f t="array" aca="1" ref="O62" ca="1">INDEX($B$2:$B$40,J62,1)</f>
        <v>Lara</v>
      </c>
      <c r="P62" s="6" t="str" cm="1">
        <f t="array" aca="1" ref="P62" ca="1">INDEX($E$2:$E$98,K62)</f>
        <v>Sá</v>
      </c>
      <c r="Q62" s="6" t="str" cm="1">
        <f t="array" aca="1" ref="Q62" ca="1">INDEX($E$2:$E$98,L62)</f>
        <v>Batista</v>
      </c>
      <c r="S62" t="str">
        <f t="shared" ca="1" si="2"/>
        <v>Masculino</v>
      </c>
      <c r="T62" t="str">
        <f t="shared" ca="1" si="6"/>
        <v>André Lara Sá Batista</v>
      </c>
    </row>
    <row r="63" spans="5:20" x14ac:dyDescent="0.25">
      <c r="E63" t="s">
        <v>151</v>
      </c>
      <c r="I63">
        <f t="shared" ca="1" si="0"/>
        <v>34</v>
      </c>
      <c r="J63">
        <f t="shared" ca="1" si="0"/>
        <v>30</v>
      </c>
      <c r="K63">
        <f t="shared" ca="1" si="1"/>
        <v>59</v>
      </c>
      <c r="L63">
        <f t="shared" ca="1" si="1"/>
        <v>47</v>
      </c>
      <c r="M63" s="6" t="str" cm="1">
        <f t="array" aca="1" ref="M63" ca="1">INDEX($A$2:$A$40,I63,1)</f>
        <v>Feminino</v>
      </c>
      <c r="N63" s="6" t="str" cm="1">
        <f t="array" aca="1" ref="N63" ca="1">INDEX($B$2:$B$40,I63,1)</f>
        <v>Sofia</v>
      </c>
      <c r="O63" s="6" t="str" cm="1">
        <f t="array" aca="1" ref="O63" ca="1">INDEX($B$2:$B$40,J63,1)</f>
        <v>Ricardo</v>
      </c>
      <c r="P63" s="6" t="str" cm="1">
        <f t="array" aca="1" ref="P63" ca="1">INDEX($E$2:$E$98,K63)</f>
        <v>Miranda</v>
      </c>
      <c r="Q63" s="6" t="str" cm="1">
        <f t="array" aca="1" ref="Q63" ca="1">INDEX($E$2:$E$98,L63)</f>
        <v>Lourenço</v>
      </c>
      <c r="S63" t="str">
        <f t="shared" ca="1" si="2"/>
        <v>Feminino</v>
      </c>
      <c r="T63" t="str">
        <f t="shared" ca="1" si="6"/>
        <v>Sofia Ricardo Miranda Lourenço</v>
      </c>
    </row>
    <row r="64" spans="5:20" x14ac:dyDescent="0.25">
      <c r="E64" t="s">
        <v>152</v>
      </c>
      <c r="I64">
        <f t="shared" ca="1" si="0"/>
        <v>1</v>
      </c>
      <c r="J64">
        <f t="shared" ca="1" si="0"/>
        <v>37</v>
      </c>
      <c r="K64">
        <f t="shared" ca="1" si="1"/>
        <v>31</v>
      </c>
      <c r="L64">
        <f t="shared" ca="1" si="1"/>
        <v>40</v>
      </c>
      <c r="M64" s="6" t="str" cm="1">
        <f t="array" aca="1" ref="M64" ca="1">INDEX($A$2:$A$40,I64,1)</f>
        <v>Masculino</v>
      </c>
      <c r="N64" s="6" t="str" cm="1">
        <f t="array" aca="1" ref="N64" ca="1">INDEX($B$2:$B$40,I64,1)</f>
        <v>Afonso</v>
      </c>
      <c r="O64" s="6" t="str" cm="1">
        <f t="array" aca="1" ref="O64" ca="1">INDEX($B$2:$B$40,J64,1)</f>
        <v>Vera</v>
      </c>
      <c r="P64" s="6" t="str" cm="1">
        <f t="array" aca="1" ref="P64" ca="1">INDEX($E$2:$E$98,K64)</f>
        <v>Oliveira</v>
      </c>
      <c r="Q64" s="6" t="str" cm="1">
        <f t="array" aca="1" ref="Q64" ca="1">INDEX($E$2:$E$98,L64)</f>
        <v>Antunes</v>
      </c>
      <c r="S64" t="str">
        <f t="shared" ca="1" si="2"/>
        <v>Masculino</v>
      </c>
      <c r="T64" t="str">
        <f t="shared" ca="1" si="6"/>
        <v>Afonso Vera Oliveira Antunes</v>
      </c>
    </row>
    <row r="65" spans="5:20" x14ac:dyDescent="0.25">
      <c r="E65" t="s">
        <v>153</v>
      </c>
      <c r="I65">
        <f t="shared" ca="1" si="0"/>
        <v>22</v>
      </c>
      <c r="J65">
        <f t="shared" ca="1" si="0"/>
        <v>38</v>
      </c>
      <c r="K65">
        <f t="shared" ca="1" si="1"/>
        <v>87</v>
      </c>
      <c r="L65">
        <f t="shared" ca="1" si="1"/>
        <v>56</v>
      </c>
      <c r="M65" s="6" t="str" cm="1">
        <f t="array" aca="1" ref="M65" ca="1">INDEX($A$2:$A$40,I65,1)</f>
        <v>Masculino</v>
      </c>
      <c r="N65" s="6" t="str" cm="1">
        <f t="array" aca="1" ref="N65" ca="1">INDEX($B$2:$B$40,I65,1)</f>
        <v>Marco</v>
      </c>
      <c r="O65" s="6" t="str" cm="1">
        <f t="array" aca="1" ref="O65" ca="1">INDEX($B$2:$B$40,J65,1)</f>
        <v>Joaquim</v>
      </c>
      <c r="P65" s="6" t="str" cm="1">
        <f t="array" aca="1" ref="P65" ca="1">INDEX($E$2:$E$98,K65)</f>
        <v>Loureiro</v>
      </c>
      <c r="Q65" s="6" t="str" cm="1">
        <f t="array" aca="1" ref="Q65" ca="1">INDEX($E$2:$E$98,L65)</f>
        <v>Batista</v>
      </c>
      <c r="S65" t="str">
        <f t="shared" ca="1" si="2"/>
        <v>Masculino</v>
      </c>
      <c r="T65" t="str">
        <f t="shared" ca="1" si="6"/>
        <v>Marco Joaquim Loureiro Batista</v>
      </c>
    </row>
    <row r="66" spans="5:20" x14ac:dyDescent="0.25">
      <c r="E66" t="s">
        <v>154</v>
      </c>
      <c r="I66">
        <f t="shared" ca="1" si="0"/>
        <v>7</v>
      </c>
      <c r="J66">
        <f t="shared" ca="1" si="0"/>
        <v>10</v>
      </c>
      <c r="K66">
        <f t="shared" ca="1" si="1"/>
        <v>36</v>
      </c>
      <c r="L66">
        <f t="shared" ca="1" si="1"/>
        <v>55</v>
      </c>
      <c r="M66" s="6" t="str" cm="1">
        <f t="array" aca="1" ref="M66" ca="1">INDEX($A$2:$A$40,I66,1)</f>
        <v>Feminino</v>
      </c>
      <c r="N66" s="6" t="str" cm="1">
        <f t="array" aca="1" ref="N66" ca="1">INDEX($B$2:$B$40,I66,1)</f>
        <v>Catarina</v>
      </c>
      <c r="O66" s="6" t="str" cm="1">
        <f t="array" aca="1" ref="O66" ca="1">INDEX($B$2:$B$40,J66,1)</f>
        <v>Diogo</v>
      </c>
      <c r="P66" s="6" t="str" cm="1">
        <f t="array" aca="1" ref="P66" ca="1">INDEX($E$2:$E$98,K66)</f>
        <v>Rodrigues</v>
      </c>
      <c r="Q66" s="6" t="str" cm="1">
        <f t="array" aca="1" ref="Q66" ca="1">INDEX($E$2:$E$98,L66)</f>
        <v>Guerreiro</v>
      </c>
      <c r="S66" t="str">
        <f t="shared" ca="1" si="2"/>
        <v>Feminino</v>
      </c>
      <c r="T66" t="str">
        <f t="shared" ca="1" si="6"/>
        <v>Catarina Diogo Rodrigues Guerreiro</v>
      </c>
    </row>
    <row r="67" spans="5:20" x14ac:dyDescent="0.25">
      <c r="E67" t="s">
        <v>155</v>
      </c>
      <c r="I67">
        <f t="shared" ref="I67:J130" ca="1" si="7">RANDBETWEEN(1,39)</f>
        <v>39</v>
      </c>
      <c r="J67">
        <f t="shared" ca="1" si="7"/>
        <v>2</v>
      </c>
      <c r="K67">
        <f t="shared" ref="K67:L130" ca="1" si="8">RANDBETWEEN(1,97)</f>
        <v>75</v>
      </c>
      <c r="L67">
        <f t="shared" ca="1" si="8"/>
        <v>39</v>
      </c>
      <c r="M67" s="6" t="str" cm="1">
        <f t="array" aca="1" ref="M67" ca="1">INDEX($A$2:$A$40,I67,1)</f>
        <v>Feminino</v>
      </c>
      <c r="N67" s="6" t="str" cm="1">
        <f t="array" aca="1" ref="N67" ca="1">INDEX($B$2:$B$40,I67,1)</f>
        <v>Lara</v>
      </c>
      <c r="O67" s="6" t="str" cm="1">
        <f t="array" aca="1" ref="O67" ca="1">INDEX($B$2:$B$40,J67,1)</f>
        <v>Ana</v>
      </c>
      <c r="P67" s="6" t="str" cm="1">
        <f t="array" aca="1" ref="P67" ca="1">INDEX($E$2:$E$98,K67)</f>
        <v>Melo</v>
      </c>
      <c r="Q67" s="6" t="str" cm="1">
        <f t="array" aca="1" ref="Q67" ca="1">INDEX($E$2:$E$98,L67)</f>
        <v>Simões</v>
      </c>
      <c r="S67" t="str">
        <f t="shared" ca="1" si="2"/>
        <v>Feminino</v>
      </c>
      <c r="T67" t="str">
        <f t="shared" ca="1" si="6"/>
        <v>Lara Ana Melo Simões</v>
      </c>
    </row>
    <row r="68" spans="5:20" x14ac:dyDescent="0.25">
      <c r="E68" t="s">
        <v>156</v>
      </c>
      <c r="I68">
        <f t="shared" ca="1" si="7"/>
        <v>34</v>
      </c>
      <c r="J68">
        <f t="shared" ca="1" si="7"/>
        <v>36</v>
      </c>
      <c r="K68">
        <f t="shared" ca="1" si="8"/>
        <v>40</v>
      </c>
      <c r="L68">
        <f t="shared" ca="1" si="8"/>
        <v>5</v>
      </c>
      <c r="M68" s="6" t="str" cm="1">
        <f t="array" aca="1" ref="M68" ca="1">INDEX($A$2:$A$40,I68,1)</f>
        <v>Feminino</v>
      </c>
      <c r="N68" s="6" t="str" cm="1">
        <f t="array" aca="1" ref="N68" ca="1">INDEX($B$2:$B$40,I68,1)</f>
        <v>Sofia</v>
      </c>
      <c r="O68" s="6" t="str" cm="1">
        <f t="array" aca="1" ref="O68" ca="1">INDEX($B$2:$B$40,J68,1)</f>
        <v>Tomás</v>
      </c>
      <c r="P68" s="6" t="str" cm="1">
        <f t="array" aca="1" ref="P68" ca="1">INDEX($E$2:$E$98,K68)</f>
        <v>Antunes</v>
      </c>
      <c r="Q68" s="6" t="str" cm="1">
        <f t="array" aca="1" ref="Q68" ca="1">INDEX($E$2:$E$98,L68)</f>
        <v>Nunes</v>
      </c>
      <c r="S68" t="str">
        <f t="shared" ref="S68:S131" ca="1" si="9">M68</f>
        <v>Feminino</v>
      </c>
      <c r="T68" t="str">
        <f t="shared" ca="1" si="6"/>
        <v>Sofia Tomás Antunes Nunes</v>
      </c>
    </row>
    <row r="69" spans="5:20" x14ac:dyDescent="0.25">
      <c r="E69" t="s">
        <v>157</v>
      </c>
      <c r="I69">
        <f t="shared" ca="1" si="7"/>
        <v>26</v>
      </c>
      <c r="J69">
        <f t="shared" ca="1" si="7"/>
        <v>16</v>
      </c>
      <c r="K69">
        <f t="shared" ca="1" si="8"/>
        <v>55</v>
      </c>
      <c r="L69">
        <f t="shared" ca="1" si="8"/>
        <v>71</v>
      </c>
      <c r="M69" s="6" t="str" cm="1">
        <f t="array" aca="1" ref="M69" ca="1">INDEX($A$2:$A$40,I69,1)</f>
        <v>Masculino</v>
      </c>
      <c r="N69" s="6" t="str" cm="1">
        <f t="array" aca="1" ref="N69" ca="1">INDEX($B$2:$B$40,I69,1)</f>
        <v>Martim</v>
      </c>
      <c r="O69" s="6" t="str" cm="1">
        <f t="array" aca="1" ref="O69" ca="1">INDEX($B$2:$B$40,J69,1)</f>
        <v>Joana</v>
      </c>
      <c r="P69" s="6" t="str" cm="1">
        <f t="array" aca="1" ref="P69" ca="1">INDEX($E$2:$E$98,K69)</f>
        <v>Guerreiro</v>
      </c>
      <c r="Q69" s="6" t="str" cm="1">
        <f t="array" aca="1" ref="Q69" ca="1">INDEX($E$2:$E$98,L69)</f>
        <v>Nascimento</v>
      </c>
      <c r="S69" t="str">
        <f t="shared" ca="1" si="9"/>
        <v>Masculino</v>
      </c>
      <c r="T69" t="str">
        <f t="shared" ca="1" si="6"/>
        <v>Martim Joana Guerreiro Nascimento</v>
      </c>
    </row>
    <row r="70" spans="5:20" x14ac:dyDescent="0.25">
      <c r="E70" t="s">
        <v>158</v>
      </c>
      <c r="I70">
        <f t="shared" ca="1" si="7"/>
        <v>20</v>
      </c>
      <c r="J70">
        <f t="shared" ca="1" si="7"/>
        <v>14</v>
      </c>
      <c r="K70">
        <f t="shared" ca="1" si="8"/>
        <v>56</v>
      </c>
      <c r="L70">
        <f t="shared" ca="1" si="8"/>
        <v>79</v>
      </c>
      <c r="M70" s="6" t="str" cm="1">
        <f t="array" aca="1" ref="M70" ca="1">INDEX($A$2:$A$40,I70,1)</f>
        <v>Masculino</v>
      </c>
      <c r="N70" s="6" t="str" cm="1">
        <f t="array" aca="1" ref="N70" ca="1">INDEX($B$2:$B$40,I70,1)</f>
        <v>Luís</v>
      </c>
      <c r="O70" s="6" t="str" cm="1">
        <f t="array" aca="1" ref="O70" ca="1">INDEX($B$2:$B$40,J70,1)</f>
        <v>Gabriel</v>
      </c>
      <c r="P70" s="6" t="str" cm="1">
        <f t="array" aca="1" ref="P70" ca="1">INDEX($E$2:$E$98,K70)</f>
        <v>Batista</v>
      </c>
      <c r="Q70" s="6" t="str" cm="1">
        <f t="array" aca="1" ref="Q70" ca="1">INDEX($E$2:$E$98,L70)</f>
        <v>Gaspar</v>
      </c>
      <c r="S70" t="str">
        <f t="shared" ca="1" si="9"/>
        <v>Masculino</v>
      </c>
      <c r="T70" t="str">
        <f t="shared" ca="1" si="6"/>
        <v>Luís Gabriel Batista Gaspar</v>
      </c>
    </row>
    <row r="71" spans="5:20" x14ac:dyDescent="0.25">
      <c r="E71" t="s">
        <v>159</v>
      </c>
      <c r="I71">
        <f t="shared" ca="1" si="7"/>
        <v>13</v>
      </c>
      <c r="J71">
        <f t="shared" ca="1" si="7"/>
        <v>11</v>
      </c>
      <c r="K71">
        <f t="shared" ca="1" si="8"/>
        <v>89</v>
      </c>
      <c r="L71">
        <f t="shared" ca="1" si="8"/>
        <v>59</v>
      </c>
      <c r="M71" s="6" t="str" cm="1">
        <f t="array" aca="1" ref="M71" ca="1">INDEX($A$2:$A$40,I71,1)</f>
        <v>Masculino</v>
      </c>
      <c r="N71" s="6" t="str" cm="1">
        <f t="array" aca="1" ref="N71" ca="1">INDEX($B$2:$B$40,I71,1)</f>
        <v>Francisco</v>
      </c>
      <c r="O71" s="6" t="str" cm="1">
        <f t="array" aca="1" ref="O71" ca="1">INDEX($B$2:$B$40,J71,1)</f>
        <v>Duarte</v>
      </c>
      <c r="P71" s="6" t="str" cm="1">
        <f t="array" aca="1" ref="P71" ca="1">INDEX($E$2:$E$98,K71)</f>
        <v>Amaral</v>
      </c>
      <c r="Q71" s="6" t="str" cm="1">
        <f t="array" aca="1" ref="Q71" ca="1">INDEX($E$2:$E$98,L71)</f>
        <v>Miranda</v>
      </c>
      <c r="S71" t="str">
        <f t="shared" ca="1" si="9"/>
        <v>Masculino</v>
      </c>
      <c r="T71" t="str">
        <f t="shared" ca="1" si="6"/>
        <v>Francisco Duarte Amaral Miranda</v>
      </c>
    </row>
    <row r="72" spans="5:20" x14ac:dyDescent="0.25">
      <c r="E72" t="s">
        <v>160</v>
      </c>
      <c r="I72">
        <f t="shared" ca="1" si="7"/>
        <v>33</v>
      </c>
      <c r="J72">
        <f t="shared" ca="1" si="7"/>
        <v>10</v>
      </c>
      <c r="K72">
        <f t="shared" ca="1" si="8"/>
        <v>29</v>
      </c>
      <c r="L72">
        <f t="shared" ca="1" si="8"/>
        <v>4</v>
      </c>
      <c r="M72" s="6" t="str" cm="1">
        <f t="array" aca="1" ref="M72" ca="1">INDEX($A$2:$A$40,I72,1)</f>
        <v>Feminino</v>
      </c>
      <c r="N72" s="6" t="str" cm="1">
        <f t="array" aca="1" ref="N72" ca="1">INDEX($B$2:$B$40,I72,1)</f>
        <v>Sara</v>
      </c>
      <c r="O72" s="6" t="str" cm="1">
        <f t="array" aca="1" ref="O72" ca="1">INDEX($B$2:$B$40,J72,1)</f>
        <v>Diogo</v>
      </c>
      <c r="P72" s="6" t="str" cm="1">
        <f t="array" aca="1" ref="P72" ca="1">INDEX($E$2:$E$98,K72)</f>
        <v>Fernandes</v>
      </c>
      <c r="Q72" s="6" t="str" cm="1">
        <f t="array" aca="1" ref="Q72" ca="1">INDEX($E$2:$E$98,L72)</f>
        <v>Alves</v>
      </c>
      <c r="S72" t="str">
        <f t="shared" ca="1" si="9"/>
        <v>Feminino</v>
      </c>
      <c r="T72" t="str">
        <f t="shared" ca="1" si="6"/>
        <v>Sara Diogo Fernandes Alves</v>
      </c>
    </row>
    <row r="73" spans="5:20" x14ac:dyDescent="0.25">
      <c r="E73" t="s">
        <v>161</v>
      </c>
      <c r="I73">
        <f t="shared" ca="1" si="7"/>
        <v>39</v>
      </c>
      <c r="J73">
        <f t="shared" ca="1" si="7"/>
        <v>30</v>
      </c>
      <c r="K73">
        <f t="shared" ca="1" si="8"/>
        <v>54</v>
      </c>
      <c r="L73">
        <f t="shared" ca="1" si="8"/>
        <v>55</v>
      </c>
      <c r="M73" s="6" t="str" cm="1">
        <f t="array" aca="1" ref="M73" ca="1">INDEX($A$2:$A$40,I73,1)</f>
        <v>Feminino</v>
      </c>
      <c r="N73" s="6" t="str" cm="1">
        <f t="array" aca="1" ref="N73" ca="1">INDEX($B$2:$B$40,I73,1)</f>
        <v>Lara</v>
      </c>
      <c r="O73" s="6" t="str" cm="1">
        <f t="array" aca="1" ref="O73" ca="1">INDEX($B$2:$B$40,J73,1)</f>
        <v>Ricardo</v>
      </c>
      <c r="P73" s="6" t="str" cm="1">
        <f t="array" aca="1" ref="P73" ca="1">INDEX($E$2:$E$98,K73)</f>
        <v>Lima</v>
      </c>
      <c r="Q73" s="6" t="str" cm="1">
        <f t="array" aca="1" ref="Q73" ca="1">INDEX($E$2:$E$98,L73)</f>
        <v>Guerreiro</v>
      </c>
      <c r="S73" t="str">
        <f t="shared" ca="1" si="9"/>
        <v>Feminino</v>
      </c>
      <c r="T73" t="str">
        <f t="shared" ca="1" si="6"/>
        <v>Lara Ricardo Lima Guerreiro</v>
      </c>
    </row>
    <row r="74" spans="5:20" x14ac:dyDescent="0.25">
      <c r="E74" t="s">
        <v>162</v>
      </c>
      <c r="I74">
        <f t="shared" ca="1" si="7"/>
        <v>18</v>
      </c>
      <c r="J74">
        <f t="shared" ca="1" si="7"/>
        <v>7</v>
      </c>
      <c r="K74">
        <f t="shared" ca="1" si="8"/>
        <v>93</v>
      </c>
      <c r="L74">
        <f t="shared" ca="1" si="8"/>
        <v>31</v>
      </c>
      <c r="M74" s="6" t="str" cm="1">
        <f t="array" aca="1" ref="M74" ca="1">INDEX($A$2:$A$40,I74,1)</f>
        <v>Masculino</v>
      </c>
      <c r="N74" s="6" t="str" cm="1">
        <f t="array" aca="1" ref="N74" ca="1">INDEX($B$2:$B$40,I74,1)</f>
        <v>José</v>
      </c>
      <c r="O74" s="6" t="str" cm="1">
        <f t="array" aca="1" ref="O74" ca="1">INDEX($B$2:$B$40,J74,1)</f>
        <v>Catarina</v>
      </c>
      <c r="P74" s="6" t="str" cm="1">
        <f t="array" aca="1" ref="P74" ca="1">INDEX($E$2:$E$98,K74)</f>
        <v>Macedo</v>
      </c>
      <c r="Q74" s="6" t="str" cm="1">
        <f t="array" aca="1" ref="Q74" ca="1">INDEX($E$2:$E$98,L74)</f>
        <v>Oliveira</v>
      </c>
      <c r="S74" t="str">
        <f t="shared" ca="1" si="9"/>
        <v>Masculino</v>
      </c>
      <c r="T74" t="str">
        <f t="shared" ca="1" si="6"/>
        <v>José Catarina Macedo Oliveira</v>
      </c>
    </row>
    <row r="75" spans="5:20" x14ac:dyDescent="0.25">
      <c r="E75" t="s">
        <v>163</v>
      </c>
      <c r="I75">
        <f t="shared" ca="1" si="7"/>
        <v>28</v>
      </c>
      <c r="J75">
        <f t="shared" ca="1" si="7"/>
        <v>39</v>
      </c>
      <c r="K75">
        <f t="shared" ca="1" si="8"/>
        <v>38</v>
      </c>
      <c r="L75">
        <f t="shared" ca="1" si="8"/>
        <v>52</v>
      </c>
      <c r="M75" s="6" t="str" cm="1">
        <f t="array" aca="1" ref="M75" ca="1">INDEX($A$2:$A$40,I75,1)</f>
        <v>Masculino</v>
      </c>
      <c r="N75" s="6" t="str" cm="1">
        <f t="array" aca="1" ref="N75" ca="1">INDEX($B$2:$B$40,I75,1)</f>
        <v>Miguel</v>
      </c>
      <c r="O75" s="6" t="str" cm="1">
        <f t="array" aca="1" ref="O75" ca="1">INDEX($B$2:$B$40,J75,1)</f>
        <v>Lara</v>
      </c>
      <c r="P75" s="6" t="str" cm="1">
        <f t="array" aca="1" ref="P75" ca="1">INDEX($E$2:$E$98,K75)</f>
        <v>Reis</v>
      </c>
      <c r="Q75" s="6" t="str" cm="1">
        <f t="array" aca="1" ref="Q75" ca="1">INDEX($E$2:$E$98,L75)</f>
        <v>Magalhães</v>
      </c>
      <c r="S75" t="str">
        <f t="shared" ca="1" si="9"/>
        <v>Masculino</v>
      </c>
      <c r="T75" t="str">
        <f t="shared" ca="1" si="6"/>
        <v>Miguel Lara Reis Magalhães</v>
      </c>
    </row>
    <row r="76" spans="5:20" x14ac:dyDescent="0.25">
      <c r="E76" t="s">
        <v>164</v>
      </c>
      <c r="I76">
        <f t="shared" ca="1" si="7"/>
        <v>38</v>
      </c>
      <c r="J76">
        <f t="shared" ca="1" si="7"/>
        <v>3</v>
      </c>
      <c r="K76">
        <f t="shared" ca="1" si="8"/>
        <v>53</v>
      </c>
      <c r="L76">
        <f t="shared" ca="1" si="8"/>
        <v>24</v>
      </c>
      <c r="M76" s="6" t="str" cm="1">
        <f t="array" aca="1" ref="M76" ca="1">INDEX($A$2:$A$40,I76,1)</f>
        <v>Masculino</v>
      </c>
      <c r="N76" s="6" t="str" cm="1">
        <f t="array" aca="1" ref="N76" ca="1">INDEX($B$2:$B$40,I76,1)</f>
        <v>Joaquim</v>
      </c>
      <c r="O76" s="6" t="str" cm="1">
        <f t="array" aca="1" ref="O76" ca="1">INDEX($B$2:$B$40,J76,1)</f>
        <v>André</v>
      </c>
      <c r="P76" s="6" t="str" cm="1">
        <f t="array" aca="1" ref="P76" ca="1">INDEX($E$2:$E$98,K76)</f>
        <v>Henriques</v>
      </c>
      <c r="Q76" s="6" t="str" cm="1">
        <f t="array" aca="1" ref="Q76" ca="1">INDEX($E$2:$E$98,L76)</f>
        <v>Ribeiro</v>
      </c>
      <c r="S76" t="str">
        <f t="shared" ca="1" si="9"/>
        <v>Masculino</v>
      </c>
      <c r="T76" t="str">
        <f t="shared" ca="1" si="6"/>
        <v>Joaquim André Henriques Ribeiro</v>
      </c>
    </row>
    <row r="77" spans="5:20" x14ac:dyDescent="0.25">
      <c r="E77" t="s">
        <v>165</v>
      </c>
      <c r="I77">
        <f t="shared" ca="1" si="7"/>
        <v>14</v>
      </c>
      <c r="J77">
        <f t="shared" ca="1" si="7"/>
        <v>39</v>
      </c>
      <c r="K77">
        <f t="shared" ca="1" si="8"/>
        <v>17</v>
      </c>
      <c r="L77">
        <f t="shared" ca="1" si="8"/>
        <v>70</v>
      </c>
      <c r="M77" s="6" t="str" cm="1">
        <f t="array" aca="1" ref="M77" ca="1">INDEX($A$2:$A$40,I77,1)</f>
        <v>Masculino</v>
      </c>
      <c r="N77" s="6" t="str" cm="1">
        <f t="array" aca="1" ref="N77" ca="1">INDEX($B$2:$B$40,I77,1)</f>
        <v>Gabriel</v>
      </c>
      <c r="O77" s="6" t="str" cm="1">
        <f t="array" aca="1" ref="O77" ca="1">INDEX($B$2:$B$40,J77,1)</f>
        <v>Lara</v>
      </c>
      <c r="P77" s="6" t="str" cm="1">
        <f t="array" aca="1" ref="P77" ca="1">INDEX($E$2:$E$98,K77)</f>
        <v>Ferreira</v>
      </c>
      <c r="Q77" s="6" t="str" cm="1">
        <f t="array" aca="1" ref="Q77" ca="1">INDEX($E$2:$E$98,L77)</f>
        <v>Sá</v>
      </c>
      <c r="S77" t="str">
        <f t="shared" ca="1" si="9"/>
        <v>Masculino</v>
      </c>
      <c r="T77" t="str">
        <f t="shared" ca="1" si="6"/>
        <v>Gabriel Lara Ferreira Sá</v>
      </c>
    </row>
    <row r="78" spans="5:20" x14ac:dyDescent="0.25">
      <c r="E78" t="s">
        <v>166</v>
      </c>
      <c r="I78">
        <f t="shared" ca="1" si="7"/>
        <v>23</v>
      </c>
      <c r="J78">
        <f t="shared" ca="1" si="7"/>
        <v>27</v>
      </c>
      <c r="K78">
        <f t="shared" ca="1" si="8"/>
        <v>74</v>
      </c>
      <c r="L78">
        <f t="shared" ca="1" si="8"/>
        <v>13</v>
      </c>
      <c r="M78" s="6" t="str" cm="1">
        <f t="array" aca="1" ref="M78" ca="1">INDEX($A$2:$A$40,I78,1)</f>
        <v>Feminino</v>
      </c>
      <c r="N78" s="6" t="str" cm="1">
        <f t="array" aca="1" ref="N78" ca="1">INDEX($B$2:$B$40,I78,1)</f>
        <v>Maria</v>
      </c>
      <c r="O78" s="6" t="str" cm="1">
        <f t="array" aca="1" ref="O78" ca="1">INDEX($B$2:$B$40,J78,1)</f>
        <v>Matilde</v>
      </c>
      <c r="P78" s="6" t="str" cm="1">
        <f t="array" aca="1" ref="P78" ca="1">INDEX($E$2:$E$98,K78)</f>
        <v>Borges</v>
      </c>
      <c r="Q78" s="6" t="str" cm="1">
        <f t="array" aca="1" ref="Q78" ca="1">INDEX($E$2:$E$98,L78)</f>
        <v>Santos</v>
      </c>
      <c r="S78" t="str">
        <f t="shared" ca="1" si="9"/>
        <v>Feminino</v>
      </c>
      <c r="T78" t="str">
        <f t="shared" ca="1" si="6"/>
        <v>Maria Matilde Borges Santos</v>
      </c>
    </row>
    <row r="79" spans="5:20" x14ac:dyDescent="0.25">
      <c r="E79" t="s">
        <v>167</v>
      </c>
      <c r="I79">
        <f t="shared" ca="1" si="7"/>
        <v>3</v>
      </c>
      <c r="J79">
        <f t="shared" ca="1" si="7"/>
        <v>27</v>
      </c>
      <c r="K79">
        <f t="shared" ca="1" si="8"/>
        <v>60</v>
      </c>
      <c r="L79">
        <f t="shared" ca="1" si="8"/>
        <v>40</v>
      </c>
      <c r="M79" s="6" t="str" cm="1">
        <f t="array" aca="1" ref="M79" ca="1">INDEX($A$2:$A$40,I79,1)</f>
        <v>Masculino</v>
      </c>
      <c r="N79" s="6" t="str" cm="1">
        <f t="array" aca="1" ref="N79" ca="1">INDEX($B$2:$B$40,I79,1)</f>
        <v>André</v>
      </c>
      <c r="O79" s="6" t="str" cm="1">
        <f t="array" aca="1" ref="O79" ca="1">INDEX($B$2:$B$40,J79,1)</f>
        <v>Matilde</v>
      </c>
      <c r="P79" s="6" t="str" cm="1">
        <f t="array" aca="1" ref="P79" ca="1">INDEX($E$2:$E$98,K79)</f>
        <v>Barros</v>
      </c>
      <c r="Q79" s="6" t="str" cm="1">
        <f t="array" aca="1" ref="Q79" ca="1">INDEX($E$2:$E$98,L79)</f>
        <v>Antunes</v>
      </c>
      <c r="S79" t="str">
        <f t="shared" ca="1" si="9"/>
        <v>Masculino</v>
      </c>
      <c r="T79" t="str">
        <f t="shared" ca="1" si="6"/>
        <v>André Matilde Barros Antunes</v>
      </c>
    </row>
    <row r="80" spans="5:20" x14ac:dyDescent="0.25">
      <c r="E80" t="s">
        <v>168</v>
      </c>
      <c r="I80">
        <f t="shared" ca="1" si="7"/>
        <v>8</v>
      </c>
      <c r="J80">
        <f t="shared" ca="1" si="7"/>
        <v>8</v>
      </c>
      <c r="K80">
        <f t="shared" ca="1" si="8"/>
        <v>39</v>
      </c>
      <c r="L80">
        <f t="shared" ca="1" si="8"/>
        <v>56</v>
      </c>
      <c r="M80" s="6" t="str" cm="1">
        <f t="array" aca="1" ref="M80" ca="1">INDEX($A$2:$A$40,I80,1)</f>
        <v>Feminino</v>
      </c>
      <c r="N80" s="6" t="str" cm="1">
        <f t="array" aca="1" ref="N80" ca="1">INDEX($B$2:$B$40,I80,1)</f>
        <v>Daniela</v>
      </c>
      <c r="O80" s="6" t="str" cm="1">
        <f t="array" aca="1" ref="O80" ca="1">INDEX($B$2:$B$40,J80,1)</f>
        <v>Daniela</v>
      </c>
      <c r="P80" s="6" t="str" cm="1">
        <f t="array" aca="1" ref="P80" ca="1">INDEX($E$2:$E$98,K80)</f>
        <v>Simões</v>
      </c>
      <c r="Q80" s="6" t="str" cm="1">
        <f t="array" aca="1" ref="Q80" ca="1">INDEX($E$2:$E$98,L80)</f>
        <v>Batista</v>
      </c>
      <c r="S80" t="str">
        <f t="shared" ca="1" si="9"/>
        <v>Feminino</v>
      </c>
      <c r="T80" t="str">
        <f t="shared" ca="1" si="6"/>
        <v>Daniela Daniela Simões Batista</v>
      </c>
    </row>
    <row r="81" spans="5:20" x14ac:dyDescent="0.25">
      <c r="E81" t="s">
        <v>169</v>
      </c>
      <c r="I81">
        <f t="shared" ca="1" si="7"/>
        <v>5</v>
      </c>
      <c r="J81">
        <f t="shared" ca="1" si="7"/>
        <v>10</v>
      </c>
      <c r="K81">
        <f t="shared" ca="1" si="8"/>
        <v>92</v>
      </c>
      <c r="L81">
        <f t="shared" ca="1" si="8"/>
        <v>16</v>
      </c>
      <c r="M81" s="6" t="str" cm="1">
        <f t="array" aca="1" ref="M81" ca="1">INDEX($A$2:$A$40,I81,1)</f>
        <v>Masculino</v>
      </c>
      <c r="N81" s="6" t="str" cm="1">
        <f t="array" aca="1" ref="N81" ca="1">INDEX($B$2:$B$40,I81,1)</f>
        <v>Bruno</v>
      </c>
      <c r="O81" s="6" t="str" cm="1">
        <f t="array" aca="1" ref="O81" ca="1">INDEX($B$2:$B$40,J81,1)</f>
        <v>Diogo</v>
      </c>
      <c r="P81" s="6" t="str" cm="1">
        <f t="array" aca="1" ref="P81" ca="1">INDEX($E$2:$E$98,K81)</f>
        <v>Pacheco</v>
      </c>
      <c r="Q81" s="6" t="str" cm="1">
        <f t="array" aca="1" ref="Q81" ca="1">INDEX($E$2:$E$98,L81)</f>
        <v>Neves</v>
      </c>
      <c r="S81" t="str">
        <f t="shared" ca="1" si="9"/>
        <v>Masculino</v>
      </c>
      <c r="T81" t="str">
        <f t="shared" ca="1" si="6"/>
        <v>Bruno Diogo Pacheco Neves</v>
      </c>
    </row>
    <row r="82" spans="5:20" x14ac:dyDescent="0.25">
      <c r="E82" t="s">
        <v>170</v>
      </c>
      <c r="I82">
        <f t="shared" ca="1" si="7"/>
        <v>5</v>
      </c>
      <c r="J82">
        <f t="shared" ca="1" si="7"/>
        <v>12</v>
      </c>
      <c r="K82">
        <f t="shared" ca="1" si="8"/>
        <v>71</v>
      </c>
      <c r="L82">
        <f t="shared" ca="1" si="8"/>
        <v>89</v>
      </c>
      <c r="M82" s="6" t="str" cm="1">
        <f t="array" aca="1" ref="M82" ca="1">INDEX($A$2:$A$40,I82,1)</f>
        <v>Masculino</v>
      </c>
      <c r="N82" s="6" t="str" cm="1">
        <f t="array" aca="1" ref="N82" ca="1">INDEX($B$2:$B$40,I82,1)</f>
        <v>Bruno</v>
      </c>
      <c r="O82" s="6" t="str" cm="1">
        <f t="array" aca="1" ref="O82" ca="1">INDEX($B$2:$B$40,J82,1)</f>
        <v>Francisca</v>
      </c>
      <c r="P82" s="6" t="str" cm="1">
        <f t="array" aca="1" ref="P82" ca="1">INDEX($E$2:$E$98,K82)</f>
        <v>Nascimento</v>
      </c>
      <c r="Q82" s="6" t="str" cm="1">
        <f t="array" aca="1" ref="Q82" ca="1">INDEX($E$2:$E$98,L82)</f>
        <v>Amaral</v>
      </c>
      <c r="S82" t="str">
        <f t="shared" ca="1" si="9"/>
        <v>Masculino</v>
      </c>
      <c r="T82" t="str">
        <f t="shared" ca="1" si="6"/>
        <v>Bruno Francisca Nascimento Amaral</v>
      </c>
    </row>
    <row r="83" spans="5:20" x14ac:dyDescent="0.25">
      <c r="E83" t="s">
        <v>171</v>
      </c>
      <c r="I83">
        <f t="shared" ca="1" si="7"/>
        <v>22</v>
      </c>
      <c r="J83">
        <f t="shared" ca="1" si="7"/>
        <v>5</v>
      </c>
      <c r="K83">
        <f t="shared" ca="1" si="8"/>
        <v>18</v>
      </c>
      <c r="L83">
        <f t="shared" ca="1" si="8"/>
        <v>45</v>
      </c>
      <c r="M83" s="6" t="str" cm="1">
        <f t="array" aca="1" ref="M83" ca="1">INDEX($A$2:$A$40,I83,1)</f>
        <v>Masculino</v>
      </c>
      <c r="N83" s="6" t="str" cm="1">
        <f t="array" aca="1" ref="N83" ca="1">INDEX($B$2:$B$40,I83,1)</f>
        <v>Marco</v>
      </c>
      <c r="O83" s="6" t="str" cm="1">
        <f t="array" aca="1" ref="O83" ca="1">INDEX($B$2:$B$40,J83,1)</f>
        <v>Bruno</v>
      </c>
      <c r="P83" s="6" t="str" cm="1">
        <f t="array" aca="1" ref="P83" ca="1">INDEX($E$2:$E$98,K83)</f>
        <v>Soares</v>
      </c>
      <c r="Q83" s="6" t="str" cm="1">
        <f t="array" aca="1" ref="Q83" ca="1">INDEX($E$2:$E$98,L83)</f>
        <v>Barbosa</v>
      </c>
      <c r="S83" t="str">
        <f t="shared" ca="1" si="9"/>
        <v>Masculino</v>
      </c>
      <c r="T83" t="str">
        <f t="shared" ca="1" si="6"/>
        <v>Marco Bruno Soares Barbosa</v>
      </c>
    </row>
    <row r="84" spans="5:20" x14ac:dyDescent="0.25">
      <c r="E84" t="s">
        <v>172</v>
      </c>
      <c r="I84">
        <f t="shared" ca="1" si="7"/>
        <v>6</v>
      </c>
      <c r="J84">
        <f t="shared" ca="1" si="7"/>
        <v>1</v>
      </c>
      <c r="K84">
        <f t="shared" ca="1" si="8"/>
        <v>64</v>
      </c>
      <c r="L84">
        <f t="shared" ca="1" si="8"/>
        <v>91</v>
      </c>
      <c r="M84" s="6" t="str" cm="1">
        <f t="array" aca="1" ref="M84" ca="1">INDEX($A$2:$A$40,I84,1)</f>
        <v>Feminino</v>
      </c>
      <c r="N84" s="6" t="str" cm="1">
        <f t="array" aca="1" ref="N84" ca="1">INDEX($B$2:$B$40,I84,1)</f>
        <v>Carolina</v>
      </c>
      <c r="O84" s="6" t="str" cm="1">
        <f t="array" aca="1" ref="O84" ca="1">INDEX($B$2:$B$40,J84,1)</f>
        <v>Afonso</v>
      </c>
      <c r="P84" s="6" t="str" cm="1">
        <f t="array" aca="1" ref="P84" ca="1">INDEX($E$2:$E$98,K84)</f>
        <v>Anjos</v>
      </c>
      <c r="Q84" s="6" t="str" cm="1">
        <f t="array" aca="1" ref="Q84" ca="1">INDEX($E$2:$E$98,L84)</f>
        <v>Leal</v>
      </c>
      <c r="S84" t="str">
        <f t="shared" ca="1" si="9"/>
        <v>Feminino</v>
      </c>
      <c r="T84" t="str">
        <f t="shared" ca="1" si="6"/>
        <v>Carolina Afonso Anjos Leal</v>
      </c>
    </row>
    <row r="85" spans="5:20" x14ac:dyDescent="0.25">
      <c r="E85" t="s">
        <v>173</v>
      </c>
      <c r="I85">
        <f t="shared" ca="1" si="7"/>
        <v>32</v>
      </c>
      <c r="J85">
        <f t="shared" ca="1" si="7"/>
        <v>4</v>
      </c>
      <c r="K85">
        <f t="shared" ca="1" si="8"/>
        <v>1</v>
      </c>
      <c r="L85">
        <f t="shared" ca="1" si="8"/>
        <v>55</v>
      </c>
      <c r="M85" s="6" t="str" cm="1">
        <f t="array" aca="1" ref="M85" ca="1">INDEX($A$2:$A$40,I85,1)</f>
        <v>Masculino</v>
      </c>
      <c r="N85" s="6" t="str" cm="1">
        <f t="array" aca="1" ref="N85" ca="1">INDEX($B$2:$B$40,I85,1)</f>
        <v>Santiago</v>
      </c>
      <c r="O85" s="6" t="str" cm="1">
        <f t="array" aca="1" ref="O85" ca="1">INDEX($B$2:$B$40,J85,1)</f>
        <v>Beatriz</v>
      </c>
      <c r="P85" s="6" t="str" cm="1">
        <f t="array" aca="1" ref="P85" ca="1">INDEX($E$2:$E$98,K85)</f>
        <v>Pereira</v>
      </c>
      <c r="Q85" s="6" t="str" cm="1">
        <f t="array" aca="1" ref="Q85" ca="1">INDEX($E$2:$E$98,L85)</f>
        <v>Guerreiro</v>
      </c>
      <c r="S85" t="str">
        <f t="shared" ca="1" si="9"/>
        <v>Masculino</v>
      </c>
      <c r="T85" t="str">
        <f t="shared" ca="1" si="6"/>
        <v>Santiago Beatriz Pereira Guerreiro</v>
      </c>
    </row>
    <row r="86" spans="5:20" x14ac:dyDescent="0.25">
      <c r="E86" t="s">
        <v>174</v>
      </c>
      <c r="I86">
        <f t="shared" ca="1" si="7"/>
        <v>32</v>
      </c>
      <c r="J86">
        <f t="shared" ca="1" si="7"/>
        <v>1</v>
      </c>
      <c r="K86">
        <f t="shared" ca="1" si="8"/>
        <v>16</v>
      </c>
      <c r="L86">
        <f t="shared" ca="1" si="8"/>
        <v>30</v>
      </c>
      <c r="M86" s="6" t="str" cm="1">
        <f t="array" aca="1" ref="M86" ca="1">INDEX($A$2:$A$40,I86,1)</f>
        <v>Masculino</v>
      </c>
      <c r="N86" s="6" t="str" cm="1">
        <f t="array" aca="1" ref="N86" ca="1">INDEX($B$2:$B$40,I86,1)</f>
        <v>Santiago</v>
      </c>
      <c r="O86" s="6" t="str" cm="1">
        <f t="array" aca="1" ref="O86" ca="1">INDEX($B$2:$B$40,J86,1)</f>
        <v>Afonso</v>
      </c>
      <c r="P86" s="6" t="str" cm="1">
        <f t="array" aca="1" ref="P86" ca="1">INDEX($E$2:$E$98,K86)</f>
        <v>Neves</v>
      </c>
      <c r="Q86" s="6" t="str" cm="1">
        <f t="array" aca="1" ref="Q86" ca="1">INDEX($E$2:$E$98,L86)</f>
        <v>Monteiro</v>
      </c>
      <c r="S86" t="str">
        <f t="shared" ca="1" si="9"/>
        <v>Masculino</v>
      </c>
      <c r="T86" t="str">
        <f t="shared" ca="1" si="6"/>
        <v>Santiago Afonso Neves Monteiro</v>
      </c>
    </row>
    <row r="87" spans="5:20" x14ac:dyDescent="0.25">
      <c r="E87" t="s">
        <v>175</v>
      </c>
      <c r="I87">
        <f t="shared" ca="1" si="7"/>
        <v>39</v>
      </c>
      <c r="J87">
        <f t="shared" ca="1" si="7"/>
        <v>28</v>
      </c>
      <c r="K87">
        <f t="shared" ca="1" si="8"/>
        <v>49</v>
      </c>
      <c r="L87">
        <f t="shared" ca="1" si="8"/>
        <v>74</v>
      </c>
      <c r="M87" s="6" t="str" cm="1">
        <f t="array" aca="1" ref="M87" ca="1">INDEX($A$2:$A$40,I87,1)</f>
        <v>Feminino</v>
      </c>
      <c r="N87" s="6" t="str" cm="1">
        <f t="array" aca="1" ref="N87" ca="1">INDEX($B$2:$B$40,I87,1)</f>
        <v>Lara</v>
      </c>
      <c r="O87" s="6" t="str" cm="1">
        <f t="array" aca="1" ref="O87" ca="1">INDEX($B$2:$B$40,J87,1)</f>
        <v>Miguel</v>
      </c>
      <c r="P87" s="6" t="str" cm="1">
        <f t="array" aca="1" ref="P87" ca="1">INDEX($E$2:$E$98,K87)</f>
        <v>Figueiredo</v>
      </c>
      <c r="Q87" s="6" t="str" cm="1">
        <f t="array" aca="1" ref="Q87" ca="1">INDEX($E$2:$E$98,L87)</f>
        <v>Borges</v>
      </c>
      <c r="S87" t="str">
        <f t="shared" ca="1" si="9"/>
        <v>Feminino</v>
      </c>
      <c r="T87" t="str">
        <f t="shared" ca="1" si="6"/>
        <v>Lara Miguel Figueiredo Borges</v>
      </c>
    </row>
    <row r="88" spans="5:20" x14ac:dyDescent="0.25">
      <c r="E88" t="s">
        <v>176</v>
      </c>
      <c r="I88">
        <f t="shared" ca="1" si="7"/>
        <v>25</v>
      </c>
      <c r="J88">
        <f t="shared" ca="1" si="7"/>
        <v>5</v>
      </c>
      <c r="K88">
        <f t="shared" ca="1" si="8"/>
        <v>64</v>
      </c>
      <c r="L88">
        <f t="shared" ca="1" si="8"/>
        <v>70</v>
      </c>
      <c r="M88" s="6" t="str" cm="1">
        <f t="array" aca="1" ref="M88" ca="1">INDEX($A$2:$A$40,I88,1)</f>
        <v>Feminino</v>
      </c>
      <c r="N88" s="6" t="str" cm="1">
        <f t="array" aca="1" ref="N88" ca="1">INDEX($B$2:$B$40,I88,1)</f>
        <v>Mariana</v>
      </c>
      <c r="O88" s="6" t="str" cm="1">
        <f t="array" aca="1" ref="O88" ca="1">INDEX($B$2:$B$40,J88,1)</f>
        <v>Bruno</v>
      </c>
      <c r="P88" s="6" t="str" cm="1">
        <f t="array" aca="1" ref="P88" ca="1">INDEX($E$2:$E$98,K88)</f>
        <v>Anjos</v>
      </c>
      <c r="Q88" s="6" t="str" cm="1">
        <f t="array" aca="1" ref="Q88" ca="1">INDEX($E$2:$E$98,L88)</f>
        <v>Sá</v>
      </c>
      <c r="S88" t="str">
        <f t="shared" ca="1" si="9"/>
        <v>Feminino</v>
      </c>
      <c r="T88" t="str">
        <f t="shared" ca="1" si="6"/>
        <v>Mariana Bruno Anjos Sá</v>
      </c>
    </row>
    <row r="89" spans="5:20" x14ac:dyDescent="0.25">
      <c r="E89" t="s">
        <v>177</v>
      </c>
      <c r="I89">
        <f t="shared" ca="1" si="7"/>
        <v>37</v>
      </c>
      <c r="J89">
        <f t="shared" ca="1" si="7"/>
        <v>29</v>
      </c>
      <c r="K89">
        <f t="shared" ca="1" si="8"/>
        <v>31</v>
      </c>
      <c r="L89">
        <f t="shared" ca="1" si="8"/>
        <v>65</v>
      </c>
      <c r="M89" s="6" t="str" cm="1">
        <f t="array" aca="1" ref="M89" ca="1">INDEX($A$2:$A$40,I89,1)</f>
        <v>Feminino</v>
      </c>
      <c r="N89" s="6" t="str" cm="1">
        <f t="array" aca="1" ref="N89" ca="1">INDEX($B$2:$B$40,I89,1)</f>
        <v>Vera</v>
      </c>
      <c r="O89" s="6" t="str" cm="1">
        <f t="array" aca="1" ref="O89" ca="1">INDEX($B$2:$B$40,J89,1)</f>
        <v>Pedro</v>
      </c>
      <c r="P89" s="6" t="str" cm="1">
        <f t="array" aca="1" ref="P89" ca="1">INDEX($E$2:$E$98,K89)</f>
        <v>Oliveira</v>
      </c>
      <c r="Q89" s="6" t="str" cm="1">
        <f t="array" aca="1" ref="Q89" ca="1">INDEX($E$2:$E$98,L89)</f>
        <v>Baptista</v>
      </c>
      <c r="S89" t="str">
        <f t="shared" ca="1" si="9"/>
        <v>Feminino</v>
      </c>
      <c r="T89" t="str">
        <f t="shared" ca="1" si="6"/>
        <v>Vera Pedro Oliveira Baptista</v>
      </c>
    </row>
    <row r="90" spans="5:20" x14ac:dyDescent="0.25">
      <c r="E90" t="s">
        <v>178</v>
      </c>
      <c r="I90">
        <f t="shared" ca="1" si="7"/>
        <v>24</v>
      </c>
      <c r="J90">
        <f t="shared" ca="1" si="7"/>
        <v>36</v>
      </c>
      <c r="K90">
        <f t="shared" ca="1" si="8"/>
        <v>11</v>
      </c>
      <c r="L90">
        <f t="shared" ca="1" si="8"/>
        <v>29</v>
      </c>
      <c r="M90" s="6" t="str" cm="1">
        <f t="array" aca="1" ref="M90" ca="1">INDEX($A$2:$A$40,I90,1)</f>
        <v>Feminino</v>
      </c>
      <c r="N90" s="6" t="str" cm="1">
        <f t="array" aca="1" ref="N90" ca="1">INDEX($B$2:$B$40,I90,1)</f>
        <v>Laura</v>
      </c>
      <c r="O90" s="6" t="str" cm="1">
        <f t="array" aca="1" ref="O90" ca="1">INDEX($B$2:$B$40,J90,1)</f>
        <v>Tomás</v>
      </c>
      <c r="P90" s="6" t="str" cm="1">
        <f t="array" aca="1" ref="P90" ca="1">INDEX($E$2:$E$98,K90)</f>
        <v>Martins</v>
      </c>
      <c r="Q90" s="6" t="str" cm="1">
        <f t="array" aca="1" ref="Q90" ca="1">INDEX($E$2:$E$98,L90)</f>
        <v>Fernandes</v>
      </c>
      <c r="S90" t="str">
        <f t="shared" ca="1" si="9"/>
        <v>Feminino</v>
      </c>
      <c r="T90" t="str">
        <f t="shared" ca="1" si="6"/>
        <v>Laura Tomás Martins Fernandes</v>
      </c>
    </row>
    <row r="91" spans="5:20" x14ac:dyDescent="0.25">
      <c r="E91" t="s">
        <v>179</v>
      </c>
      <c r="I91">
        <f t="shared" ca="1" si="7"/>
        <v>13</v>
      </c>
      <c r="J91">
        <f t="shared" ca="1" si="7"/>
        <v>21</v>
      </c>
      <c r="K91">
        <f t="shared" ca="1" si="8"/>
        <v>54</v>
      </c>
      <c r="L91">
        <f t="shared" ca="1" si="8"/>
        <v>4</v>
      </c>
      <c r="M91" s="6" t="str" cm="1">
        <f t="array" aca="1" ref="M91" ca="1">INDEX($A$2:$A$40,I91,1)</f>
        <v>Masculino</v>
      </c>
      <c r="N91" s="6" t="str" cm="1">
        <f t="array" aca="1" ref="N91" ca="1">INDEX($B$2:$B$40,I91,1)</f>
        <v>Francisco</v>
      </c>
      <c r="O91" s="6" t="str" cm="1">
        <f t="array" aca="1" ref="O91" ca="1">INDEX($B$2:$B$40,J91,1)</f>
        <v>Lurdes</v>
      </c>
      <c r="P91" s="6" t="str" cm="1">
        <f t="array" aca="1" ref="P91" ca="1">INDEX($E$2:$E$98,K91)</f>
        <v>Lima</v>
      </c>
      <c r="Q91" s="6" t="str" cm="1">
        <f t="array" aca="1" ref="Q91" ca="1">INDEX($E$2:$E$98,L91)</f>
        <v>Alves</v>
      </c>
      <c r="S91" t="str">
        <f t="shared" ca="1" si="9"/>
        <v>Masculino</v>
      </c>
      <c r="T91" t="str">
        <f t="shared" ca="1" si="6"/>
        <v>Francisco Lurdes Lima Alves</v>
      </c>
    </row>
    <row r="92" spans="5:20" x14ac:dyDescent="0.25">
      <c r="E92" t="s">
        <v>180</v>
      </c>
      <c r="I92">
        <f t="shared" ca="1" si="7"/>
        <v>36</v>
      </c>
      <c r="J92">
        <f t="shared" ca="1" si="7"/>
        <v>14</v>
      </c>
      <c r="K92">
        <f t="shared" ca="1" si="8"/>
        <v>95</v>
      </c>
      <c r="L92">
        <f t="shared" ca="1" si="8"/>
        <v>70</v>
      </c>
      <c r="M92" s="6" t="str" cm="1">
        <f t="array" aca="1" ref="M92" ca="1">INDEX($A$2:$A$40,I92,1)</f>
        <v>Masculino</v>
      </c>
      <c r="N92" s="6" t="str" cm="1">
        <f t="array" aca="1" ref="N92" ca="1">INDEX($B$2:$B$40,I92,1)</f>
        <v>Tomás</v>
      </c>
      <c r="O92" s="6" t="str" cm="1">
        <f t="array" aca="1" ref="O92" ca="1">INDEX($B$2:$B$40,J92,1)</f>
        <v>Gabriel</v>
      </c>
      <c r="P92" s="6" t="str" cm="1">
        <f t="array" aca="1" ref="P92" ca="1">INDEX($E$2:$E$98,K92)</f>
        <v>Matias</v>
      </c>
      <c r="Q92" s="6" t="str" cm="1">
        <f t="array" aca="1" ref="Q92" ca="1">INDEX($E$2:$E$98,L92)</f>
        <v>Sá</v>
      </c>
      <c r="S92" t="str">
        <f t="shared" ca="1" si="9"/>
        <v>Masculino</v>
      </c>
      <c r="T92" t="str">
        <f t="shared" ca="1" si="6"/>
        <v>Tomás Gabriel Matias Sá</v>
      </c>
    </row>
    <row r="93" spans="5:20" x14ac:dyDescent="0.25">
      <c r="E93" t="s">
        <v>181</v>
      </c>
      <c r="I93">
        <f t="shared" ca="1" si="7"/>
        <v>11</v>
      </c>
      <c r="J93">
        <f t="shared" ca="1" si="7"/>
        <v>7</v>
      </c>
      <c r="K93">
        <f t="shared" ca="1" si="8"/>
        <v>41</v>
      </c>
      <c r="L93">
        <f t="shared" ca="1" si="8"/>
        <v>88</v>
      </c>
      <c r="M93" s="6" t="str" cm="1">
        <f t="array" aca="1" ref="M93" ca="1">INDEX($A$2:$A$40,I93,1)</f>
        <v>Masculino</v>
      </c>
      <c r="N93" s="6" t="str" cm="1">
        <f t="array" aca="1" ref="N93" ca="1">INDEX($B$2:$B$40,I93,1)</f>
        <v>Duarte</v>
      </c>
      <c r="O93" s="6" t="str" cm="1">
        <f t="array" aca="1" ref="O93" ca="1">INDEX($B$2:$B$40,J93,1)</f>
        <v>Catarina</v>
      </c>
      <c r="P93" s="6" t="str" cm="1">
        <f t="array" aca="1" ref="P93" ca="1">INDEX($E$2:$E$98,K93)</f>
        <v>Matos</v>
      </c>
      <c r="Q93" s="6" t="str" cm="1">
        <f t="array" aca="1" ref="Q93" ca="1">INDEX($E$2:$E$98,L93)</f>
        <v>Neto</v>
      </c>
      <c r="S93" t="str">
        <f t="shared" ca="1" si="9"/>
        <v>Masculino</v>
      </c>
      <c r="T93" t="str">
        <f t="shared" ca="1" si="6"/>
        <v>Duarte Catarina Matos Neto</v>
      </c>
    </row>
    <row r="94" spans="5:20" x14ac:dyDescent="0.25">
      <c r="E94" t="s">
        <v>182</v>
      </c>
      <c r="I94">
        <f t="shared" ca="1" si="7"/>
        <v>7</v>
      </c>
      <c r="J94">
        <f t="shared" ca="1" si="7"/>
        <v>38</v>
      </c>
      <c r="K94">
        <f t="shared" ca="1" si="8"/>
        <v>25</v>
      </c>
      <c r="L94">
        <f t="shared" ca="1" si="8"/>
        <v>26</v>
      </c>
      <c r="M94" s="6" t="str" cm="1">
        <f t="array" aca="1" ref="M94" ca="1">INDEX($A$2:$A$40,I94,1)</f>
        <v>Feminino</v>
      </c>
      <c r="N94" s="6" t="str" cm="1">
        <f t="array" aca="1" ref="N94" ca="1">INDEX($B$2:$B$40,I94,1)</f>
        <v>Catarina</v>
      </c>
      <c r="O94" s="6" t="str" cm="1">
        <f t="array" aca="1" ref="O94" ca="1">INDEX($B$2:$B$40,J94,1)</f>
        <v>Joaquim</v>
      </c>
      <c r="P94" s="6" t="str" cm="1">
        <f t="array" aca="1" ref="P94" ca="1">INDEX($E$2:$E$98,K94)</f>
        <v>Cruz</v>
      </c>
      <c r="Q94" s="6" t="str" cm="1">
        <f t="array" aca="1" ref="Q94" ca="1">INDEX($E$2:$E$98,L94)</f>
        <v>Costa</v>
      </c>
      <c r="S94" t="str">
        <f t="shared" ca="1" si="9"/>
        <v>Feminino</v>
      </c>
      <c r="T94" t="str">
        <f t="shared" ca="1" si="6"/>
        <v>Catarina Joaquim Cruz Costa</v>
      </c>
    </row>
    <row r="95" spans="5:20" x14ac:dyDescent="0.25">
      <c r="E95" t="s">
        <v>183</v>
      </c>
      <c r="I95">
        <f t="shared" ca="1" si="7"/>
        <v>33</v>
      </c>
      <c r="J95">
        <f t="shared" ca="1" si="7"/>
        <v>22</v>
      </c>
      <c r="K95">
        <f t="shared" ca="1" si="8"/>
        <v>83</v>
      </c>
      <c r="L95">
        <f t="shared" ca="1" si="8"/>
        <v>55</v>
      </c>
      <c r="M95" s="6" t="str" cm="1">
        <f t="array" aca="1" ref="M95" ca="1">INDEX($A$2:$A$40,I95,1)</f>
        <v>Feminino</v>
      </c>
      <c r="N95" s="6" t="str" cm="1">
        <f t="array" aca="1" ref="N95" ca="1">INDEX($B$2:$B$40,I95,1)</f>
        <v>Sara</v>
      </c>
      <c r="O95" s="6" t="str" cm="1">
        <f t="array" aca="1" ref="O95" ca="1">INDEX($B$2:$B$40,J95,1)</f>
        <v>Marco</v>
      </c>
      <c r="P95" s="6" t="str" cm="1">
        <f t="array" aca="1" ref="P95" ca="1">INDEX($E$2:$E$98,K95)</f>
        <v>Valente</v>
      </c>
      <c r="Q95" s="6" t="str" cm="1">
        <f t="array" aca="1" ref="Q95" ca="1">INDEX($E$2:$E$98,L95)</f>
        <v>Guerreiro</v>
      </c>
      <c r="S95" t="str">
        <f t="shared" ca="1" si="9"/>
        <v>Feminino</v>
      </c>
      <c r="T95" t="str">
        <f t="shared" ca="1" si="6"/>
        <v>Sara Marco Valente Guerreiro</v>
      </c>
    </row>
    <row r="96" spans="5:20" x14ac:dyDescent="0.25">
      <c r="E96" t="s">
        <v>184</v>
      </c>
      <c r="I96">
        <f t="shared" ca="1" si="7"/>
        <v>34</v>
      </c>
      <c r="J96">
        <f t="shared" ca="1" si="7"/>
        <v>33</v>
      </c>
      <c r="K96">
        <f t="shared" ca="1" si="8"/>
        <v>97</v>
      </c>
      <c r="L96">
        <f t="shared" ca="1" si="8"/>
        <v>13</v>
      </c>
      <c r="M96" s="6" t="str" cm="1">
        <f t="array" aca="1" ref="M96" ca="1">INDEX($A$2:$A$40,I96,1)</f>
        <v>Feminino</v>
      </c>
      <c r="N96" s="6" t="str" cm="1">
        <f t="array" aca="1" ref="N96" ca="1">INDEX($B$2:$B$40,I96,1)</f>
        <v>Sofia</v>
      </c>
      <c r="O96" s="6" t="str" cm="1">
        <f t="array" aca="1" ref="O96" ca="1">INDEX($B$2:$B$40,J96,1)</f>
        <v>Sara</v>
      </c>
      <c r="P96" s="6" t="str" cm="1">
        <f t="array" aca="1" ref="P96" ca="1">INDEX($E$2:$E$98,K96)</f>
        <v>Torres</v>
      </c>
      <c r="Q96" s="6" t="str" cm="1">
        <f t="array" aca="1" ref="Q96" ca="1">INDEX($E$2:$E$98,L96)</f>
        <v>Santos</v>
      </c>
      <c r="S96" t="str">
        <f t="shared" ca="1" si="9"/>
        <v>Feminino</v>
      </c>
      <c r="T96" t="str">
        <f t="shared" ca="1" si="6"/>
        <v>Sofia Sara Torres Santos</v>
      </c>
    </row>
    <row r="97" spans="5:20" x14ac:dyDescent="0.25">
      <c r="E97" t="s">
        <v>185</v>
      </c>
      <c r="I97">
        <f t="shared" ca="1" si="7"/>
        <v>15</v>
      </c>
      <c r="J97">
        <f t="shared" ca="1" si="7"/>
        <v>20</v>
      </c>
      <c r="K97">
        <f t="shared" ca="1" si="8"/>
        <v>97</v>
      </c>
      <c r="L97">
        <f t="shared" ca="1" si="8"/>
        <v>24</v>
      </c>
      <c r="M97" s="6" t="str" cm="1">
        <f t="array" aca="1" ref="M97" ca="1">INDEX($A$2:$A$40,I97,1)</f>
        <v>Feminino</v>
      </c>
      <c r="N97" s="6" t="str" cm="1">
        <f t="array" aca="1" ref="N97" ca="1">INDEX($B$2:$B$40,I97,1)</f>
        <v>Inês</v>
      </c>
      <c r="O97" s="6" t="str" cm="1">
        <f t="array" aca="1" ref="O97" ca="1">INDEX($B$2:$B$40,J97,1)</f>
        <v>Luís</v>
      </c>
      <c r="P97" s="6" t="str" cm="1">
        <f t="array" aca="1" ref="P97" ca="1">INDEX($E$2:$E$98,K97)</f>
        <v>Torres</v>
      </c>
      <c r="Q97" s="6" t="str" cm="1">
        <f t="array" aca="1" ref="Q97" ca="1">INDEX($E$2:$E$98,L97)</f>
        <v>Ribeiro</v>
      </c>
      <c r="S97" t="str">
        <f t="shared" ca="1" si="9"/>
        <v>Feminino</v>
      </c>
      <c r="T97" t="str">
        <f t="shared" ca="1" si="6"/>
        <v>Inês Luís Torres Ribeiro</v>
      </c>
    </row>
    <row r="98" spans="5:20" x14ac:dyDescent="0.25">
      <c r="E98" t="s">
        <v>186</v>
      </c>
      <c r="I98">
        <f t="shared" ca="1" si="7"/>
        <v>32</v>
      </c>
      <c r="J98">
        <f t="shared" ca="1" si="7"/>
        <v>32</v>
      </c>
      <c r="K98">
        <f t="shared" ca="1" si="8"/>
        <v>84</v>
      </c>
      <c r="L98">
        <f t="shared" ca="1" si="8"/>
        <v>35</v>
      </c>
      <c r="M98" s="6" t="str" cm="1">
        <f t="array" aca="1" ref="M98" ca="1">INDEX($A$2:$A$40,I98,1)</f>
        <v>Masculino</v>
      </c>
      <c r="N98" s="6" t="str" cm="1">
        <f t="array" aca="1" ref="N98" ca="1">INDEX($B$2:$B$40,I98,1)</f>
        <v>Santiago</v>
      </c>
      <c r="O98" s="6" t="str" cm="1">
        <f t="array" aca="1" ref="O98" ca="1">INDEX($B$2:$B$40,J98,1)</f>
        <v>Santiago</v>
      </c>
      <c r="P98" s="6" t="str" cm="1">
        <f t="array" aca="1" ref="P98" ca="1">INDEX($E$2:$E$98,K98)</f>
        <v>Domingues</v>
      </c>
      <c r="Q98" s="6" t="str" cm="1">
        <f t="array" aca="1" ref="Q98" ca="1">INDEX($E$2:$E$98,L98)</f>
        <v>Mendes</v>
      </c>
      <c r="S98" t="str">
        <f t="shared" ca="1" si="9"/>
        <v>Masculino</v>
      </c>
      <c r="T98" t="str">
        <f t="shared" ca="1" si="6"/>
        <v>Santiago Santiago Domingues Mendes</v>
      </c>
    </row>
    <row r="99" spans="5:20" x14ac:dyDescent="0.25">
      <c r="I99">
        <f t="shared" ca="1" si="7"/>
        <v>2</v>
      </c>
      <c r="J99">
        <f t="shared" ca="1" si="7"/>
        <v>31</v>
      </c>
      <c r="K99">
        <f t="shared" ca="1" si="8"/>
        <v>94</v>
      </c>
      <c r="L99">
        <f t="shared" ca="1" si="8"/>
        <v>12</v>
      </c>
      <c r="M99" s="6" t="str" cm="1">
        <f t="array" aca="1" ref="M99" ca="1">INDEX($A$2:$A$40,I99,1)</f>
        <v>Feminino</v>
      </c>
      <c r="N99" s="6" t="str" cm="1">
        <f t="array" aca="1" ref="N99" ca="1">INDEX($B$2:$B$40,I99,1)</f>
        <v>Ana</v>
      </c>
      <c r="O99" s="6" t="str" cm="1">
        <f t="array" aca="1" ref="O99" ca="1">INDEX($B$2:$B$40,J99,1)</f>
        <v>Rodrigo</v>
      </c>
      <c r="P99" s="6" t="str" cm="1">
        <f t="array" aca="1" ref="P99" ca="1">INDEX($E$2:$E$98,K99)</f>
        <v>Paiva</v>
      </c>
      <c r="Q99" s="6" t="str" cm="1">
        <f t="array" aca="1" ref="Q99" ca="1">INDEX($E$2:$E$98,L99)</f>
        <v>Teixeira</v>
      </c>
      <c r="S99" t="str">
        <f t="shared" ca="1" si="9"/>
        <v>Feminino</v>
      </c>
      <c r="T99" t="str">
        <f t="shared" ca="1" si="6"/>
        <v>Ana Rodrigo Paiva Teixeira</v>
      </c>
    </row>
    <row r="100" spans="5:20" x14ac:dyDescent="0.25">
      <c r="I100">
        <f t="shared" ca="1" si="7"/>
        <v>12</v>
      </c>
      <c r="J100">
        <f t="shared" ca="1" si="7"/>
        <v>9</v>
      </c>
      <c r="K100">
        <f t="shared" ca="1" si="8"/>
        <v>19</v>
      </c>
      <c r="L100">
        <f t="shared" ca="1" si="8"/>
        <v>91</v>
      </c>
      <c r="M100" s="6" t="str" cm="1">
        <f t="array" aca="1" ref="M100" ca="1">INDEX($A$2:$A$40,I100,1)</f>
        <v>Feminino</v>
      </c>
      <c r="N100" s="6" t="str" cm="1">
        <f t="array" aca="1" ref="N100" ca="1">INDEX($B$2:$B$40,I100,1)</f>
        <v>Francisca</v>
      </c>
      <c r="O100" s="6" t="str" cm="1">
        <f t="array" aca="1" ref="O100" ca="1">INDEX($B$2:$B$40,J100,1)</f>
        <v>Diana</v>
      </c>
      <c r="P100" s="6" t="str" cm="1">
        <f t="array" aca="1" ref="P100" ca="1">INDEX($E$2:$E$98,K100)</f>
        <v>Lopes</v>
      </c>
      <c r="Q100" s="6" t="str" cm="1">
        <f t="array" aca="1" ref="Q100" ca="1">INDEX($E$2:$E$98,L100)</f>
        <v>Leal</v>
      </c>
      <c r="S100" t="str">
        <f t="shared" ca="1" si="9"/>
        <v>Feminino</v>
      </c>
      <c r="T100" t="str">
        <f t="shared" ca="1" si="6"/>
        <v>Francisca Diana Lopes Leal</v>
      </c>
    </row>
    <row r="101" spans="5:20" x14ac:dyDescent="0.25">
      <c r="I101">
        <f t="shared" ca="1" si="7"/>
        <v>37</v>
      </c>
      <c r="J101">
        <f t="shared" ca="1" si="7"/>
        <v>38</v>
      </c>
      <c r="K101">
        <f t="shared" ca="1" si="8"/>
        <v>19</v>
      </c>
      <c r="L101">
        <f t="shared" ca="1" si="8"/>
        <v>8</v>
      </c>
      <c r="M101" s="6" t="str" cm="1">
        <f t="array" aca="1" ref="M101" ca="1">INDEX($A$2:$A$40,I101,1)</f>
        <v>Feminino</v>
      </c>
      <c r="N101" s="6" t="str" cm="1">
        <f t="array" aca="1" ref="N101" ca="1">INDEX($B$2:$B$40,I101,1)</f>
        <v>Vera</v>
      </c>
      <c r="O101" s="6" t="str" cm="1">
        <f t="array" aca="1" ref="O101" ca="1">INDEX($B$2:$B$40,J101,1)</f>
        <v>Joaquim</v>
      </c>
      <c r="P101" s="6" t="str" cm="1">
        <f t="array" aca="1" ref="P101" ca="1">INDEX($E$2:$E$98,K101)</f>
        <v>Lopes</v>
      </c>
      <c r="Q101" s="6" t="str" cm="1">
        <f t="array" aca="1" ref="Q101" ca="1">INDEX($E$2:$E$98,L101)</f>
        <v>Pires</v>
      </c>
      <c r="S101" t="str">
        <f t="shared" ca="1" si="9"/>
        <v>Feminino</v>
      </c>
      <c r="T101" t="str">
        <f t="shared" ca="1" si="6"/>
        <v>Vera Joaquim Lopes Pires</v>
      </c>
    </row>
    <row r="102" spans="5:20" x14ac:dyDescent="0.25">
      <c r="I102">
        <f t="shared" ca="1" si="7"/>
        <v>10</v>
      </c>
      <c r="J102">
        <f t="shared" ca="1" si="7"/>
        <v>36</v>
      </c>
      <c r="K102">
        <f t="shared" ca="1" si="8"/>
        <v>48</v>
      </c>
      <c r="L102">
        <f t="shared" ca="1" si="8"/>
        <v>64</v>
      </c>
      <c r="M102" s="6" t="str" cm="1">
        <f t="array" aca="1" ref="M102" ca="1">INDEX($A$2:$A$40,I102,1)</f>
        <v>Masculino</v>
      </c>
      <c r="N102" s="6" t="str" cm="1">
        <f t="array" aca="1" ref="N102" ca="1">INDEX($B$2:$B$40,I102,1)</f>
        <v>Diogo</v>
      </c>
      <c r="O102" s="6" t="str" cm="1">
        <f t="array" aca="1" ref="O102" ca="1">INDEX($B$2:$B$40,J102,1)</f>
        <v>Tomás</v>
      </c>
      <c r="P102" s="6" t="str" cm="1">
        <f t="array" aca="1" ref="P102" ca="1">INDEX($E$2:$E$98,K102)</f>
        <v>Castro</v>
      </c>
      <c r="Q102" s="6" t="str" cm="1">
        <f t="array" aca="1" ref="Q102" ca="1">INDEX($E$2:$E$98,L102)</f>
        <v>Anjos</v>
      </c>
      <c r="S102" t="str">
        <f t="shared" ca="1" si="9"/>
        <v>Masculino</v>
      </c>
      <c r="T102" t="str">
        <f t="shared" ca="1" si="6"/>
        <v>Diogo Tomás Castro Anjos</v>
      </c>
    </row>
    <row r="103" spans="5:20" x14ac:dyDescent="0.25">
      <c r="I103">
        <f t="shared" ca="1" si="7"/>
        <v>35</v>
      </c>
      <c r="J103">
        <f t="shared" ca="1" si="7"/>
        <v>30</v>
      </c>
      <c r="K103">
        <f t="shared" ca="1" si="8"/>
        <v>21</v>
      </c>
      <c r="L103">
        <f t="shared" ca="1" si="8"/>
        <v>79</v>
      </c>
      <c r="M103" s="6" t="str" cm="1">
        <f t="array" aca="1" ref="M103" ca="1">INDEX($A$2:$A$40,I103,1)</f>
        <v>Masculino</v>
      </c>
      <c r="N103" s="6" t="str" cm="1">
        <f t="array" aca="1" ref="N103" ca="1">INDEX($B$2:$B$40,I103,1)</f>
        <v>Tiago</v>
      </c>
      <c r="O103" s="6" t="str" cm="1">
        <f t="array" aca="1" ref="O103" ca="1">INDEX($B$2:$B$40,J103,1)</f>
        <v>Ricardo</v>
      </c>
      <c r="P103" s="6" t="str" cm="1">
        <f t="array" aca="1" ref="P103" ca="1">INDEX($E$2:$E$98,K103)</f>
        <v>Raposo</v>
      </c>
      <c r="Q103" s="6" t="str" cm="1">
        <f t="array" aca="1" ref="Q103" ca="1">INDEX($E$2:$E$98,L103)</f>
        <v>Gaspar</v>
      </c>
      <c r="S103" t="str">
        <f t="shared" ca="1" si="9"/>
        <v>Masculino</v>
      </c>
      <c r="T103" t="str">
        <f t="shared" ca="1" si="6"/>
        <v>Tiago Ricardo Raposo Gaspar</v>
      </c>
    </row>
    <row r="104" spans="5:20" x14ac:dyDescent="0.25">
      <c r="I104">
        <f t="shared" ca="1" si="7"/>
        <v>34</v>
      </c>
      <c r="J104">
        <f t="shared" ca="1" si="7"/>
        <v>10</v>
      </c>
      <c r="K104">
        <f t="shared" ca="1" si="8"/>
        <v>41</v>
      </c>
      <c r="L104">
        <f t="shared" ca="1" si="8"/>
        <v>20</v>
      </c>
      <c r="M104" s="6" t="str" cm="1">
        <f t="array" aca="1" ref="M104" ca="1">INDEX($A$2:$A$40,I104,1)</f>
        <v>Feminino</v>
      </c>
      <c r="N104" s="6" t="str" cm="1">
        <f t="array" aca="1" ref="N104" ca="1">INDEX($B$2:$B$40,I104,1)</f>
        <v>Sofia</v>
      </c>
      <c r="O104" s="6" t="str" cm="1">
        <f t="array" aca="1" ref="O104" ca="1">INDEX($B$2:$B$40,J104,1)</f>
        <v>Diogo</v>
      </c>
      <c r="P104" s="6" t="str" cm="1">
        <f t="array" aca="1" ref="P104" ca="1">INDEX($E$2:$E$98,K104)</f>
        <v>Matos</v>
      </c>
      <c r="Q104" s="6" t="str" cm="1">
        <f t="array" aca="1" ref="Q104" ca="1">INDEX($E$2:$E$98,L104)</f>
        <v>Cardoso</v>
      </c>
      <c r="S104" t="str">
        <f t="shared" ca="1" si="9"/>
        <v>Feminino</v>
      </c>
      <c r="T104" t="str">
        <f t="shared" ca="1" si="6"/>
        <v>Sofia Diogo Matos Cardoso</v>
      </c>
    </row>
    <row r="105" spans="5:20" x14ac:dyDescent="0.25">
      <c r="I105">
        <f t="shared" ca="1" si="7"/>
        <v>28</v>
      </c>
      <c r="J105">
        <f t="shared" ca="1" si="7"/>
        <v>21</v>
      </c>
      <c r="K105">
        <f t="shared" ca="1" si="8"/>
        <v>66</v>
      </c>
      <c r="L105">
        <f t="shared" ca="1" si="8"/>
        <v>64</v>
      </c>
      <c r="M105" s="6" t="str" cm="1">
        <f t="array" aca="1" ref="M105" ca="1">INDEX($A$2:$A$40,I105,1)</f>
        <v>Masculino</v>
      </c>
      <c r="N105" s="6" t="str" cm="1">
        <f t="array" aca="1" ref="N105" ca="1">INDEX($B$2:$B$40,I105,1)</f>
        <v>Miguel</v>
      </c>
      <c r="O105" s="6" t="str" cm="1">
        <f t="array" aca="1" ref="O105" ca="1">INDEX($B$2:$B$40,J105,1)</f>
        <v>Lurdes</v>
      </c>
      <c r="P105" s="6" t="str" cm="1">
        <f t="array" aca="1" ref="P105" ca="1">INDEX($E$2:$E$98,K105)</f>
        <v>Campos</v>
      </c>
      <c r="Q105" s="6" t="str" cm="1">
        <f t="array" aca="1" ref="Q105" ca="1">INDEX($E$2:$E$98,L105)</f>
        <v>Anjos</v>
      </c>
      <c r="S105" t="str">
        <f t="shared" ca="1" si="9"/>
        <v>Masculino</v>
      </c>
      <c r="T105" t="str">
        <f t="shared" ca="1" si="6"/>
        <v>Miguel Lurdes Campos Anjos</v>
      </c>
    </row>
    <row r="106" spans="5:20" x14ac:dyDescent="0.25">
      <c r="I106">
        <f t="shared" ca="1" si="7"/>
        <v>4</v>
      </c>
      <c r="J106">
        <f t="shared" ca="1" si="7"/>
        <v>16</v>
      </c>
      <c r="K106">
        <f t="shared" ca="1" si="8"/>
        <v>64</v>
      </c>
      <c r="L106">
        <f t="shared" ca="1" si="8"/>
        <v>51</v>
      </c>
      <c r="M106" s="6" t="str" cm="1">
        <f t="array" aca="1" ref="M106" ca="1">INDEX($A$2:$A$40,I106,1)</f>
        <v>Feminino</v>
      </c>
      <c r="N106" s="6" t="str" cm="1">
        <f t="array" aca="1" ref="N106" ca="1">INDEX($B$2:$B$40,I106,1)</f>
        <v>Beatriz</v>
      </c>
      <c r="O106" s="6" t="str" cm="1">
        <f t="array" aca="1" ref="O106" ca="1">INDEX($B$2:$B$40,J106,1)</f>
        <v>Joana</v>
      </c>
      <c r="P106" s="6" t="str" cm="1">
        <f t="array" aca="1" ref="P106" ca="1">INDEX($E$2:$E$98,K106)</f>
        <v>Anjos</v>
      </c>
      <c r="Q106" s="6" t="str" cm="1">
        <f t="array" aca="1" ref="Q106" ca="1">INDEX($E$2:$E$98,L106)</f>
        <v>Freitas</v>
      </c>
      <c r="S106" t="str">
        <f t="shared" ca="1" si="9"/>
        <v>Feminino</v>
      </c>
      <c r="T106" t="str">
        <f t="shared" ca="1" si="6"/>
        <v>Beatriz Joana Anjos Freitas</v>
      </c>
    </row>
    <row r="107" spans="5:20" x14ac:dyDescent="0.25">
      <c r="I107">
        <f t="shared" ca="1" si="7"/>
        <v>27</v>
      </c>
      <c r="J107">
        <f t="shared" ca="1" si="7"/>
        <v>6</v>
      </c>
      <c r="K107">
        <f t="shared" ca="1" si="8"/>
        <v>83</v>
      </c>
      <c r="L107">
        <f t="shared" ca="1" si="8"/>
        <v>62</v>
      </c>
      <c r="M107" s="6" t="str" cm="1">
        <f t="array" aca="1" ref="M107" ca="1">INDEX($A$2:$A$40,I107,1)</f>
        <v>Feminino</v>
      </c>
      <c r="N107" s="6" t="str" cm="1">
        <f t="array" aca="1" ref="N107" ca="1">INDEX($B$2:$B$40,I107,1)</f>
        <v>Matilde</v>
      </c>
      <c r="O107" s="6" t="str" cm="1">
        <f t="array" aca="1" ref="O107" ca="1">INDEX($B$2:$B$40,J107,1)</f>
        <v>Carolina</v>
      </c>
      <c r="P107" s="6" t="str" cm="1">
        <f t="array" aca="1" ref="P107" ca="1">INDEX($E$2:$E$98,K107)</f>
        <v>Valente</v>
      </c>
      <c r="Q107" s="6" t="str" cm="1">
        <f t="array" aca="1" ref="Q107" ca="1">INDEX($E$2:$E$98,L107)</f>
        <v>Nogueira</v>
      </c>
      <c r="S107" t="str">
        <f t="shared" ca="1" si="9"/>
        <v>Feminino</v>
      </c>
      <c r="T107" t="str">
        <f t="shared" ca="1" si="6"/>
        <v>Matilde Carolina Valente Nogueira</v>
      </c>
    </row>
    <row r="108" spans="5:20" x14ac:dyDescent="0.25">
      <c r="I108">
        <f t="shared" ca="1" si="7"/>
        <v>32</v>
      </c>
      <c r="J108">
        <f t="shared" ca="1" si="7"/>
        <v>22</v>
      </c>
      <c r="K108">
        <f t="shared" ca="1" si="8"/>
        <v>79</v>
      </c>
      <c r="L108">
        <f t="shared" ca="1" si="8"/>
        <v>62</v>
      </c>
      <c r="M108" s="6" t="str" cm="1">
        <f t="array" aca="1" ref="M108" ca="1">INDEX($A$2:$A$40,I108,1)</f>
        <v>Masculino</v>
      </c>
      <c r="N108" s="6" t="str" cm="1">
        <f t="array" aca="1" ref="N108" ca="1">INDEX($B$2:$B$40,I108,1)</f>
        <v>Santiago</v>
      </c>
      <c r="O108" s="6" t="str" cm="1">
        <f t="array" aca="1" ref="O108" ca="1">INDEX($B$2:$B$40,J108,1)</f>
        <v>Marco</v>
      </c>
      <c r="P108" s="6" t="str" cm="1">
        <f t="array" aca="1" ref="P108" ca="1">INDEX($E$2:$E$98,K108)</f>
        <v>Gaspar</v>
      </c>
      <c r="Q108" s="6" t="str" cm="1">
        <f t="array" aca="1" ref="Q108" ca="1">INDEX($E$2:$E$98,L108)</f>
        <v>Nogueira</v>
      </c>
      <c r="S108" t="str">
        <f t="shared" ca="1" si="9"/>
        <v>Masculino</v>
      </c>
      <c r="T108" t="str">
        <f t="shared" ca="1" si="6"/>
        <v>Santiago Marco Gaspar Nogueira</v>
      </c>
    </row>
    <row r="109" spans="5:20" x14ac:dyDescent="0.25">
      <c r="I109">
        <f t="shared" ca="1" si="7"/>
        <v>14</v>
      </c>
      <c r="J109">
        <f t="shared" ca="1" si="7"/>
        <v>35</v>
      </c>
      <c r="K109">
        <f t="shared" ca="1" si="8"/>
        <v>78</v>
      </c>
      <c r="L109">
        <f t="shared" ca="1" si="8"/>
        <v>41</v>
      </c>
      <c r="M109" s="6" t="str" cm="1">
        <f t="array" aca="1" ref="M109" ca="1">INDEX($A$2:$A$40,I109,1)</f>
        <v>Masculino</v>
      </c>
      <c r="N109" s="6" t="str" cm="1">
        <f t="array" aca="1" ref="N109" ca="1">INDEX($B$2:$B$40,I109,1)</f>
        <v>Gabriel</v>
      </c>
      <c r="O109" s="6" t="str" cm="1">
        <f t="array" aca="1" ref="O109" ca="1">INDEX($B$2:$B$40,J109,1)</f>
        <v>Tiago</v>
      </c>
      <c r="P109" s="6" t="str" cm="1">
        <f t="array" aca="1" ref="P109" ca="1">INDEX($E$2:$E$98,K109)</f>
        <v>Vicente</v>
      </c>
      <c r="Q109" s="6" t="str" cm="1">
        <f t="array" aca="1" ref="Q109" ca="1">INDEX($E$2:$E$98,L109)</f>
        <v>Matos</v>
      </c>
      <c r="S109" t="str">
        <f t="shared" ca="1" si="9"/>
        <v>Masculino</v>
      </c>
      <c r="T109" t="str">
        <f t="shared" ca="1" si="6"/>
        <v>Gabriel Tiago Vicente Matos</v>
      </c>
    </row>
    <row r="110" spans="5:20" x14ac:dyDescent="0.25">
      <c r="I110">
        <f t="shared" ca="1" si="7"/>
        <v>35</v>
      </c>
      <c r="J110">
        <f t="shared" ca="1" si="7"/>
        <v>13</v>
      </c>
      <c r="K110">
        <f t="shared" ca="1" si="8"/>
        <v>84</v>
      </c>
      <c r="L110">
        <f t="shared" ca="1" si="8"/>
        <v>84</v>
      </c>
      <c r="M110" s="6" t="str" cm="1">
        <f t="array" aca="1" ref="M110" ca="1">INDEX($A$2:$A$40,I110,1)</f>
        <v>Masculino</v>
      </c>
      <c r="N110" s="6" t="str" cm="1">
        <f t="array" aca="1" ref="N110" ca="1">INDEX($B$2:$B$40,I110,1)</f>
        <v>Tiago</v>
      </c>
      <c r="O110" s="6" t="str" cm="1">
        <f t="array" aca="1" ref="O110" ca="1">INDEX($B$2:$B$40,J110,1)</f>
        <v>Francisco</v>
      </c>
      <c r="P110" s="6" t="str" cm="1">
        <f t="array" aca="1" ref="P110" ca="1">INDEX($E$2:$E$98,K110)</f>
        <v>Domingues</v>
      </c>
      <c r="Q110" s="6" t="str" cm="1">
        <f t="array" aca="1" ref="Q110" ca="1">INDEX($E$2:$E$98,L110)</f>
        <v>Domingues</v>
      </c>
      <c r="S110" t="str">
        <f t="shared" ca="1" si="9"/>
        <v>Masculino</v>
      </c>
      <c r="T110" t="str">
        <f t="shared" ca="1" si="6"/>
        <v>Tiago Francisco Domingues Domingues</v>
      </c>
    </row>
    <row r="111" spans="5:20" x14ac:dyDescent="0.25">
      <c r="I111">
        <f t="shared" ca="1" si="7"/>
        <v>24</v>
      </c>
      <c r="J111">
        <f t="shared" ca="1" si="7"/>
        <v>19</v>
      </c>
      <c r="K111">
        <f t="shared" ca="1" si="8"/>
        <v>14</v>
      </c>
      <c r="L111">
        <f t="shared" ca="1" si="8"/>
        <v>47</v>
      </c>
      <c r="M111" s="6" t="str" cm="1">
        <f t="array" aca="1" ref="M111" ca="1">INDEX($A$2:$A$40,I111,1)</f>
        <v>Feminino</v>
      </c>
      <c r="N111" s="6" t="str" cm="1">
        <f t="array" aca="1" ref="N111" ca="1">INDEX($B$2:$B$40,I111,1)</f>
        <v>Laura</v>
      </c>
      <c r="O111" s="6" t="str" cm="1">
        <f t="array" aca="1" ref="O111" ca="1">INDEX($B$2:$B$40,J111,1)</f>
        <v>Leonor</v>
      </c>
      <c r="P111" s="6" t="str" cm="1">
        <f t="array" aca="1" ref="P111" ca="1">INDEX($E$2:$E$98,K111)</f>
        <v>Sousa</v>
      </c>
      <c r="Q111" s="6" t="str" cm="1">
        <f t="array" aca="1" ref="Q111" ca="1">INDEX($E$2:$E$98,L111)</f>
        <v>Lourenço</v>
      </c>
      <c r="S111" t="str">
        <f t="shared" ca="1" si="9"/>
        <v>Feminino</v>
      </c>
      <c r="T111" t="str">
        <f t="shared" ca="1" si="6"/>
        <v>Laura Leonor Sousa Lourenço</v>
      </c>
    </row>
    <row r="112" spans="5:20" x14ac:dyDescent="0.25">
      <c r="I112">
        <f t="shared" ca="1" si="7"/>
        <v>9</v>
      </c>
      <c r="J112">
        <f t="shared" ca="1" si="7"/>
        <v>34</v>
      </c>
      <c r="K112">
        <f t="shared" ca="1" si="8"/>
        <v>82</v>
      </c>
      <c r="L112">
        <f t="shared" ca="1" si="8"/>
        <v>7</v>
      </c>
      <c r="M112" s="6" t="str" cm="1">
        <f t="array" aca="1" ref="M112" ca="1">INDEX($A$2:$A$40,I112,1)</f>
        <v>Feminino</v>
      </c>
      <c r="N112" s="6" t="str" cm="1">
        <f t="array" aca="1" ref="N112" ca="1">INDEX($B$2:$B$40,I112,1)</f>
        <v>Diana</v>
      </c>
      <c r="O112" s="6" t="str" cm="1">
        <f t="array" aca="1" ref="O112" ca="1">INDEX($B$2:$B$40,J112,1)</f>
        <v>Sofia</v>
      </c>
      <c r="P112" s="6" t="str" cm="1">
        <f t="array" aca="1" ref="P112" ca="1">INDEX($E$2:$E$98,K112)</f>
        <v>Moura</v>
      </c>
      <c r="Q112" s="6" t="str" cm="1">
        <f t="array" aca="1" ref="Q112" ca="1">INDEX($E$2:$E$98,L112)</f>
        <v>Coelho</v>
      </c>
      <c r="S112" t="str">
        <f t="shared" ca="1" si="9"/>
        <v>Feminino</v>
      </c>
      <c r="T112" t="str">
        <f t="shared" ca="1" si="6"/>
        <v>Diana Sofia Moura Coelho</v>
      </c>
    </row>
    <row r="113" spans="9:20" x14ac:dyDescent="0.25">
      <c r="I113">
        <f t="shared" ca="1" si="7"/>
        <v>21</v>
      </c>
      <c r="J113">
        <f t="shared" ca="1" si="7"/>
        <v>15</v>
      </c>
      <c r="K113">
        <f t="shared" ca="1" si="8"/>
        <v>78</v>
      </c>
      <c r="L113">
        <f t="shared" ca="1" si="8"/>
        <v>2</v>
      </c>
      <c r="M113" s="6" t="str" cm="1">
        <f t="array" aca="1" ref="M113" ca="1">INDEX($A$2:$A$40,I113,1)</f>
        <v>Feminino</v>
      </c>
      <c r="N113" s="6" t="str" cm="1">
        <f t="array" aca="1" ref="N113" ca="1">INDEX($B$2:$B$40,I113,1)</f>
        <v>Lurdes</v>
      </c>
      <c r="O113" s="6" t="str" cm="1">
        <f t="array" aca="1" ref="O113" ca="1">INDEX($B$2:$B$40,J113,1)</f>
        <v>Inês</v>
      </c>
      <c r="P113" s="6" t="str" cm="1">
        <f t="array" aca="1" ref="P113" ca="1">INDEX($E$2:$E$98,K113)</f>
        <v>Vicente</v>
      </c>
      <c r="Q113" s="6" t="str" cm="1">
        <f t="array" aca="1" ref="Q113" ca="1">INDEX($E$2:$E$98,L113)</f>
        <v>Pinto</v>
      </c>
      <c r="S113" t="str">
        <f t="shared" ca="1" si="9"/>
        <v>Feminino</v>
      </c>
      <c r="T113" t="str">
        <f t="shared" ca="1" si="6"/>
        <v>Lurdes Inês Vicente Pinto</v>
      </c>
    </row>
    <row r="114" spans="9:20" x14ac:dyDescent="0.25">
      <c r="I114">
        <f t="shared" ca="1" si="7"/>
        <v>5</v>
      </c>
      <c r="J114">
        <f t="shared" ca="1" si="7"/>
        <v>24</v>
      </c>
      <c r="K114">
        <f t="shared" ca="1" si="8"/>
        <v>95</v>
      </c>
      <c r="L114">
        <f t="shared" ca="1" si="8"/>
        <v>47</v>
      </c>
      <c r="M114" s="6" t="str" cm="1">
        <f t="array" aca="1" ref="M114" ca="1">INDEX($A$2:$A$40,I114,1)</f>
        <v>Masculino</v>
      </c>
      <c r="N114" s="6" t="str" cm="1">
        <f t="array" aca="1" ref="N114" ca="1">INDEX($B$2:$B$40,I114,1)</f>
        <v>Bruno</v>
      </c>
      <c r="O114" s="6" t="str" cm="1">
        <f t="array" aca="1" ref="O114" ca="1">INDEX($B$2:$B$40,J114,1)</f>
        <v>Laura</v>
      </c>
      <c r="P114" s="6" t="str" cm="1">
        <f t="array" aca="1" ref="P114" ca="1">INDEX($E$2:$E$98,K114)</f>
        <v>Matias</v>
      </c>
      <c r="Q114" s="6" t="str" cm="1">
        <f t="array" aca="1" ref="Q114" ca="1">INDEX($E$2:$E$98,L114)</f>
        <v>Lourenço</v>
      </c>
      <c r="S114" t="str">
        <f t="shared" ca="1" si="9"/>
        <v>Masculino</v>
      </c>
      <c r="T114" t="str">
        <f t="shared" ca="1" si="6"/>
        <v>Bruno Laura Matias Lourenço</v>
      </c>
    </row>
    <row r="115" spans="9:20" x14ac:dyDescent="0.25">
      <c r="I115">
        <f t="shared" ca="1" si="7"/>
        <v>21</v>
      </c>
      <c r="J115">
        <f t="shared" ca="1" si="7"/>
        <v>38</v>
      </c>
      <c r="K115">
        <f t="shared" ca="1" si="8"/>
        <v>21</v>
      </c>
      <c r="L115">
        <f t="shared" ca="1" si="8"/>
        <v>74</v>
      </c>
      <c r="M115" s="6" t="str" cm="1">
        <f t="array" aca="1" ref="M115" ca="1">INDEX($A$2:$A$40,I115,1)</f>
        <v>Feminino</v>
      </c>
      <c r="N115" s="6" t="str" cm="1">
        <f t="array" aca="1" ref="N115" ca="1">INDEX($B$2:$B$40,I115,1)</f>
        <v>Lurdes</v>
      </c>
      <c r="O115" s="6" t="str" cm="1">
        <f t="array" aca="1" ref="O115" ca="1">INDEX($B$2:$B$40,J115,1)</f>
        <v>Joaquim</v>
      </c>
      <c r="P115" s="6" t="str" cm="1">
        <f t="array" aca="1" ref="P115" ca="1">INDEX($E$2:$E$98,K115)</f>
        <v>Raposo</v>
      </c>
      <c r="Q115" s="6" t="str" cm="1">
        <f t="array" aca="1" ref="Q115" ca="1">INDEX($E$2:$E$98,L115)</f>
        <v>Borges</v>
      </c>
      <c r="S115" t="str">
        <f t="shared" ca="1" si="9"/>
        <v>Feminino</v>
      </c>
      <c r="T115" t="str">
        <f t="shared" ca="1" si="6"/>
        <v>Lurdes Joaquim Raposo Borges</v>
      </c>
    </row>
    <row r="116" spans="9:20" x14ac:dyDescent="0.25">
      <c r="I116">
        <f t="shared" ca="1" si="7"/>
        <v>10</v>
      </c>
      <c r="J116">
        <f t="shared" ca="1" si="7"/>
        <v>39</v>
      </c>
      <c r="K116">
        <f t="shared" ca="1" si="8"/>
        <v>66</v>
      </c>
      <c r="L116">
        <f t="shared" ca="1" si="8"/>
        <v>50</v>
      </c>
      <c r="M116" s="6" t="str" cm="1">
        <f t="array" aca="1" ref="M116" ca="1">INDEX($A$2:$A$40,I116,1)</f>
        <v>Masculino</v>
      </c>
      <c r="N116" s="6" t="str" cm="1">
        <f t="array" aca="1" ref="N116" ca="1">INDEX($B$2:$B$40,I116,1)</f>
        <v>Diogo</v>
      </c>
      <c r="O116" s="6" t="str" cm="1">
        <f t="array" aca="1" ref="O116" ca="1">INDEX($B$2:$B$40,J116,1)</f>
        <v>Lara</v>
      </c>
      <c r="P116" s="6" t="str" cm="1">
        <f t="array" aca="1" ref="P116" ca="1">INDEX($E$2:$E$98,K116)</f>
        <v>Campos</v>
      </c>
      <c r="Q116" s="6" t="str" cm="1">
        <f t="array" aca="1" ref="Q116" ca="1">INDEX($E$2:$E$98,L116)</f>
        <v>Azevedo</v>
      </c>
      <c r="S116" t="str">
        <f t="shared" ca="1" si="9"/>
        <v>Masculino</v>
      </c>
      <c r="T116" t="str">
        <f t="shared" ca="1" si="6"/>
        <v>Diogo Lara Campos Azevedo</v>
      </c>
    </row>
    <row r="117" spans="9:20" x14ac:dyDescent="0.25">
      <c r="I117">
        <f t="shared" ca="1" si="7"/>
        <v>10</v>
      </c>
      <c r="J117">
        <f t="shared" ca="1" si="7"/>
        <v>37</v>
      </c>
      <c r="K117">
        <f t="shared" ca="1" si="8"/>
        <v>22</v>
      </c>
      <c r="L117">
        <f t="shared" ca="1" si="8"/>
        <v>73</v>
      </c>
      <c r="M117" s="6" t="str" cm="1">
        <f t="array" aca="1" ref="M117" ca="1">INDEX($A$2:$A$40,I117,1)</f>
        <v>Masculino</v>
      </c>
      <c r="N117" s="6" t="str" cm="1">
        <f t="array" aca="1" ref="N117" ca="1">INDEX($B$2:$B$40,I117,1)</f>
        <v>Diogo</v>
      </c>
      <c r="O117" s="6" t="str" cm="1">
        <f t="array" aca="1" ref="O117" ca="1">INDEX($B$2:$B$40,J117,1)</f>
        <v>Vera</v>
      </c>
      <c r="P117" s="6" t="str" cm="1">
        <f t="array" aca="1" ref="P117" ca="1">INDEX($E$2:$E$98,K117)</f>
        <v>Gonçalves</v>
      </c>
      <c r="Q117" s="6" t="str" cm="1">
        <f t="array" aca="1" ref="Q117" ca="1">INDEX($E$2:$E$98,L117)</f>
        <v>Abreu</v>
      </c>
      <c r="S117" t="str">
        <f t="shared" ca="1" si="9"/>
        <v>Masculino</v>
      </c>
      <c r="T117" t="str">
        <f t="shared" ref="T117:T180" ca="1" si="10">N117 &amp; " " &amp; O117 &amp; " " &amp; P117  &amp; " " &amp; Q117</f>
        <v>Diogo Vera Gonçalves Abreu</v>
      </c>
    </row>
    <row r="118" spans="9:20" x14ac:dyDescent="0.25">
      <c r="I118">
        <f t="shared" ca="1" si="7"/>
        <v>32</v>
      </c>
      <c r="J118">
        <f t="shared" ca="1" si="7"/>
        <v>28</v>
      </c>
      <c r="K118">
        <f t="shared" ca="1" si="8"/>
        <v>42</v>
      </c>
      <c r="L118">
        <f t="shared" ca="1" si="8"/>
        <v>26</v>
      </c>
      <c r="M118" s="6" t="str" cm="1">
        <f t="array" aca="1" ref="M118" ca="1">INDEX($A$2:$A$40,I118,1)</f>
        <v>Masculino</v>
      </c>
      <c r="N118" s="6" t="str" cm="1">
        <f t="array" aca="1" ref="N118" ca="1">INDEX($B$2:$B$40,I118,1)</f>
        <v>Santiago</v>
      </c>
      <c r="O118" s="6" t="str" cm="1">
        <f t="array" aca="1" ref="O118" ca="1">INDEX($B$2:$B$40,J118,1)</f>
        <v>Miguel</v>
      </c>
      <c r="P118" s="6" t="str" cm="1">
        <f t="array" aca="1" ref="P118" ca="1">INDEX($E$2:$E$98,K118)</f>
        <v>Fonseca</v>
      </c>
      <c r="Q118" s="6" t="str" cm="1">
        <f t="array" aca="1" ref="Q118" ca="1">INDEX($E$2:$E$98,L118)</f>
        <v>Costa</v>
      </c>
      <c r="S118" t="str">
        <f t="shared" ca="1" si="9"/>
        <v>Masculino</v>
      </c>
      <c r="T118" t="str">
        <f t="shared" ca="1" si="10"/>
        <v>Santiago Miguel Fonseca Costa</v>
      </c>
    </row>
    <row r="119" spans="9:20" x14ac:dyDescent="0.25">
      <c r="I119">
        <f t="shared" ca="1" si="7"/>
        <v>26</v>
      </c>
      <c r="J119">
        <f t="shared" ca="1" si="7"/>
        <v>9</v>
      </c>
      <c r="K119">
        <f t="shared" ca="1" si="8"/>
        <v>54</v>
      </c>
      <c r="L119">
        <f t="shared" ca="1" si="8"/>
        <v>7</v>
      </c>
      <c r="M119" s="6" t="str" cm="1">
        <f t="array" aca="1" ref="M119" ca="1">INDEX($A$2:$A$40,I119,1)</f>
        <v>Masculino</v>
      </c>
      <c r="N119" s="6" t="str" cm="1">
        <f t="array" aca="1" ref="N119" ca="1">INDEX($B$2:$B$40,I119,1)</f>
        <v>Martim</v>
      </c>
      <c r="O119" s="6" t="str" cm="1">
        <f t="array" aca="1" ref="O119" ca="1">INDEX($B$2:$B$40,J119,1)</f>
        <v>Diana</v>
      </c>
      <c r="P119" s="6" t="str" cm="1">
        <f t="array" aca="1" ref="P119" ca="1">INDEX($E$2:$E$98,K119)</f>
        <v>Lima</v>
      </c>
      <c r="Q119" s="6" t="str" cm="1">
        <f t="array" aca="1" ref="Q119" ca="1">INDEX($E$2:$E$98,L119)</f>
        <v>Coelho</v>
      </c>
      <c r="S119" t="str">
        <f t="shared" ca="1" si="9"/>
        <v>Masculino</v>
      </c>
      <c r="T119" t="str">
        <f t="shared" ca="1" si="10"/>
        <v>Martim Diana Lima Coelho</v>
      </c>
    </row>
    <row r="120" spans="9:20" x14ac:dyDescent="0.25">
      <c r="I120">
        <f t="shared" ca="1" si="7"/>
        <v>26</v>
      </c>
      <c r="J120">
        <f t="shared" ca="1" si="7"/>
        <v>17</v>
      </c>
      <c r="K120">
        <f t="shared" ca="1" si="8"/>
        <v>23</v>
      </c>
      <c r="L120">
        <f t="shared" ca="1" si="8"/>
        <v>20</v>
      </c>
      <c r="M120" s="6" t="str" cm="1">
        <f t="array" aca="1" ref="M120" ca="1">INDEX($A$2:$A$40,I120,1)</f>
        <v>Masculino</v>
      </c>
      <c r="N120" s="6" t="str" cm="1">
        <f t="array" aca="1" ref="N120" ca="1">INDEX($B$2:$B$40,I120,1)</f>
        <v>Martim</v>
      </c>
      <c r="O120" s="6" t="str" cm="1">
        <f t="array" aca="1" ref="O120" ca="1">INDEX($B$2:$B$40,J120,1)</f>
        <v>João</v>
      </c>
      <c r="P120" s="6" t="str" cm="1">
        <f t="array" aca="1" ref="P120" ca="1">INDEX($E$2:$E$98,K120)</f>
        <v>Gomes</v>
      </c>
      <c r="Q120" s="6" t="str" cm="1">
        <f t="array" aca="1" ref="Q120" ca="1">INDEX($E$2:$E$98,L120)</f>
        <v>Cardoso</v>
      </c>
      <c r="S120" t="str">
        <f t="shared" ca="1" si="9"/>
        <v>Masculino</v>
      </c>
      <c r="T120" t="str">
        <f t="shared" ca="1" si="10"/>
        <v>Martim João Gomes Cardoso</v>
      </c>
    </row>
    <row r="121" spans="9:20" x14ac:dyDescent="0.25">
      <c r="I121">
        <f t="shared" ca="1" si="7"/>
        <v>3</v>
      </c>
      <c r="J121">
        <f t="shared" ca="1" si="7"/>
        <v>28</v>
      </c>
      <c r="K121">
        <f t="shared" ca="1" si="8"/>
        <v>55</v>
      </c>
      <c r="L121">
        <f t="shared" ca="1" si="8"/>
        <v>14</v>
      </c>
      <c r="M121" s="6" t="str" cm="1">
        <f t="array" aca="1" ref="M121" ca="1">INDEX($A$2:$A$40,I121,1)</f>
        <v>Masculino</v>
      </c>
      <c r="N121" s="6" t="str" cm="1">
        <f t="array" aca="1" ref="N121" ca="1">INDEX($B$2:$B$40,I121,1)</f>
        <v>André</v>
      </c>
      <c r="O121" s="6" t="str" cm="1">
        <f t="array" aca="1" ref="O121" ca="1">INDEX($B$2:$B$40,J121,1)</f>
        <v>Miguel</v>
      </c>
      <c r="P121" s="6" t="str" cm="1">
        <f t="array" aca="1" ref="P121" ca="1">INDEX($E$2:$E$98,K121)</f>
        <v>Guerreiro</v>
      </c>
      <c r="Q121" s="6" t="str" cm="1">
        <f t="array" aca="1" ref="Q121" ca="1">INDEX($E$2:$E$98,L121)</f>
        <v>Sousa</v>
      </c>
      <c r="S121" t="str">
        <f t="shared" ca="1" si="9"/>
        <v>Masculino</v>
      </c>
      <c r="T121" t="str">
        <f t="shared" ca="1" si="10"/>
        <v>André Miguel Guerreiro Sousa</v>
      </c>
    </row>
    <row r="122" spans="9:20" x14ac:dyDescent="0.25">
      <c r="I122">
        <f t="shared" ca="1" si="7"/>
        <v>32</v>
      </c>
      <c r="J122">
        <f t="shared" ca="1" si="7"/>
        <v>32</v>
      </c>
      <c r="K122">
        <f t="shared" ca="1" si="8"/>
        <v>97</v>
      </c>
      <c r="L122">
        <f t="shared" ca="1" si="8"/>
        <v>66</v>
      </c>
      <c r="M122" s="6" t="str" cm="1">
        <f t="array" aca="1" ref="M122" ca="1">INDEX($A$2:$A$40,I122,1)</f>
        <v>Masculino</v>
      </c>
      <c r="N122" s="6" t="str" cm="1">
        <f t="array" aca="1" ref="N122" ca="1">INDEX($B$2:$B$40,I122,1)</f>
        <v>Santiago</v>
      </c>
      <c r="O122" s="6" t="str" cm="1">
        <f t="array" aca="1" ref="O122" ca="1">INDEX($B$2:$B$40,J122,1)</f>
        <v>Santiago</v>
      </c>
      <c r="P122" s="6" t="str" cm="1">
        <f t="array" aca="1" ref="P122" ca="1">INDEX($E$2:$E$98,K122)</f>
        <v>Torres</v>
      </c>
      <c r="Q122" s="6" t="str" cm="1">
        <f t="array" aca="1" ref="Q122" ca="1">INDEX($E$2:$E$98,L122)</f>
        <v>Campos</v>
      </c>
      <c r="S122" t="str">
        <f t="shared" ca="1" si="9"/>
        <v>Masculino</v>
      </c>
      <c r="T122" t="str">
        <f t="shared" ca="1" si="10"/>
        <v>Santiago Santiago Torres Campos</v>
      </c>
    </row>
    <row r="123" spans="9:20" x14ac:dyDescent="0.25">
      <c r="I123">
        <f t="shared" ca="1" si="7"/>
        <v>38</v>
      </c>
      <c r="J123">
        <f t="shared" ca="1" si="7"/>
        <v>36</v>
      </c>
      <c r="K123">
        <f t="shared" ca="1" si="8"/>
        <v>13</v>
      </c>
      <c r="L123">
        <f t="shared" ca="1" si="8"/>
        <v>4</v>
      </c>
      <c r="M123" s="6" t="str" cm="1">
        <f t="array" aca="1" ref="M123" ca="1">INDEX($A$2:$A$40,I123,1)</f>
        <v>Masculino</v>
      </c>
      <c r="N123" s="6" t="str" cm="1">
        <f t="array" aca="1" ref="N123" ca="1">INDEX($B$2:$B$40,I123,1)</f>
        <v>Joaquim</v>
      </c>
      <c r="O123" s="6" t="str" cm="1">
        <f t="array" aca="1" ref="O123" ca="1">INDEX($B$2:$B$40,J123,1)</f>
        <v>Tomás</v>
      </c>
      <c r="P123" s="6" t="str" cm="1">
        <f t="array" aca="1" ref="P123" ca="1">INDEX($E$2:$E$98,K123)</f>
        <v>Santos</v>
      </c>
      <c r="Q123" s="6" t="str" cm="1">
        <f t="array" aca="1" ref="Q123" ca="1">INDEX($E$2:$E$98,L123)</f>
        <v>Alves</v>
      </c>
      <c r="S123" t="str">
        <f t="shared" ca="1" si="9"/>
        <v>Masculino</v>
      </c>
      <c r="T123" t="str">
        <f t="shared" ca="1" si="10"/>
        <v>Joaquim Tomás Santos Alves</v>
      </c>
    </row>
    <row r="124" spans="9:20" x14ac:dyDescent="0.25">
      <c r="I124">
        <f t="shared" ca="1" si="7"/>
        <v>9</v>
      </c>
      <c r="J124">
        <f t="shared" ca="1" si="7"/>
        <v>30</v>
      </c>
      <c r="K124">
        <f t="shared" ca="1" si="8"/>
        <v>7</v>
      </c>
      <c r="L124">
        <f t="shared" ca="1" si="8"/>
        <v>56</v>
      </c>
      <c r="M124" s="6" t="str" cm="1">
        <f t="array" aca="1" ref="M124" ca="1">INDEX($A$2:$A$40,I124,1)</f>
        <v>Feminino</v>
      </c>
      <c r="N124" s="6" t="str" cm="1">
        <f t="array" aca="1" ref="N124" ca="1">INDEX($B$2:$B$40,I124,1)</f>
        <v>Diana</v>
      </c>
      <c r="O124" s="6" t="str" cm="1">
        <f t="array" aca="1" ref="O124" ca="1">INDEX($B$2:$B$40,J124,1)</f>
        <v>Ricardo</v>
      </c>
      <c r="P124" s="6" t="str" cm="1">
        <f t="array" aca="1" ref="P124" ca="1">INDEX($E$2:$E$98,K124)</f>
        <v>Coelho</v>
      </c>
      <c r="Q124" s="6" t="str" cm="1">
        <f t="array" aca="1" ref="Q124" ca="1">INDEX($E$2:$E$98,L124)</f>
        <v>Batista</v>
      </c>
      <c r="S124" t="str">
        <f t="shared" ca="1" si="9"/>
        <v>Feminino</v>
      </c>
      <c r="T124" t="str">
        <f t="shared" ca="1" si="10"/>
        <v>Diana Ricardo Coelho Batista</v>
      </c>
    </row>
    <row r="125" spans="9:20" x14ac:dyDescent="0.25">
      <c r="I125">
        <f t="shared" ca="1" si="7"/>
        <v>33</v>
      </c>
      <c r="J125">
        <f t="shared" ca="1" si="7"/>
        <v>31</v>
      </c>
      <c r="K125">
        <f t="shared" ca="1" si="8"/>
        <v>78</v>
      </c>
      <c r="L125">
        <f t="shared" ca="1" si="8"/>
        <v>87</v>
      </c>
      <c r="M125" s="6" t="str" cm="1">
        <f t="array" aca="1" ref="M125" ca="1">INDEX($A$2:$A$40,I125,1)</f>
        <v>Feminino</v>
      </c>
      <c r="N125" s="6" t="str" cm="1">
        <f t="array" aca="1" ref="N125" ca="1">INDEX($B$2:$B$40,I125,1)</f>
        <v>Sara</v>
      </c>
      <c r="O125" s="6" t="str" cm="1">
        <f t="array" aca="1" ref="O125" ca="1">INDEX($B$2:$B$40,J125,1)</f>
        <v>Rodrigo</v>
      </c>
      <c r="P125" s="6" t="str" cm="1">
        <f t="array" aca="1" ref="P125" ca="1">INDEX($E$2:$E$98,K125)</f>
        <v>Vicente</v>
      </c>
      <c r="Q125" s="6" t="str" cm="1">
        <f t="array" aca="1" ref="Q125" ca="1">INDEX($E$2:$E$98,L125)</f>
        <v>Loureiro</v>
      </c>
      <c r="S125" t="str">
        <f t="shared" ca="1" si="9"/>
        <v>Feminino</v>
      </c>
      <c r="T125" t="str">
        <f t="shared" ca="1" si="10"/>
        <v>Sara Rodrigo Vicente Loureiro</v>
      </c>
    </row>
    <row r="126" spans="9:20" x14ac:dyDescent="0.25">
      <c r="I126">
        <f t="shared" ca="1" si="7"/>
        <v>13</v>
      </c>
      <c r="J126">
        <f t="shared" ca="1" si="7"/>
        <v>37</v>
      </c>
      <c r="K126">
        <f t="shared" ca="1" si="8"/>
        <v>68</v>
      </c>
      <c r="L126">
        <f t="shared" ca="1" si="8"/>
        <v>14</v>
      </c>
      <c r="M126" s="6" t="str" cm="1">
        <f t="array" aca="1" ref="M126" ca="1">INDEX($A$2:$A$40,I126,1)</f>
        <v>Masculino</v>
      </c>
      <c r="N126" s="6" t="str" cm="1">
        <f t="array" aca="1" ref="N126" ca="1">INDEX($B$2:$B$40,I126,1)</f>
        <v>Francisco</v>
      </c>
      <c r="O126" s="6" t="str" cm="1">
        <f t="array" aca="1" ref="O126" ca="1">INDEX($B$2:$B$40,J126,1)</f>
        <v>Vera</v>
      </c>
      <c r="P126" s="6" t="str" cm="1">
        <f t="array" aca="1" ref="P126" ca="1">INDEX($E$2:$E$98,K126)</f>
        <v>Andrade</v>
      </c>
      <c r="Q126" s="6" t="str" cm="1">
        <f t="array" aca="1" ref="Q126" ca="1">INDEX($E$2:$E$98,L126)</f>
        <v>Sousa</v>
      </c>
      <c r="S126" t="str">
        <f t="shared" ca="1" si="9"/>
        <v>Masculino</v>
      </c>
      <c r="T126" t="str">
        <f t="shared" ca="1" si="10"/>
        <v>Francisco Vera Andrade Sousa</v>
      </c>
    </row>
    <row r="127" spans="9:20" x14ac:dyDescent="0.25">
      <c r="I127">
        <f t="shared" ca="1" si="7"/>
        <v>21</v>
      </c>
      <c r="J127">
        <f t="shared" ca="1" si="7"/>
        <v>28</v>
      </c>
      <c r="K127">
        <f t="shared" ca="1" si="8"/>
        <v>9</v>
      </c>
      <c r="L127">
        <f t="shared" ca="1" si="8"/>
        <v>57</v>
      </c>
      <c r="M127" s="6" t="str" cm="1">
        <f t="array" aca="1" ref="M127" ca="1">INDEX($A$2:$A$40,I127,1)</f>
        <v>Feminino</v>
      </c>
      <c r="N127" s="6" t="str" cm="1">
        <f t="array" aca="1" ref="N127" ca="1">INDEX($B$2:$B$40,I127,1)</f>
        <v>Lurdes</v>
      </c>
      <c r="O127" s="6" t="str" cm="1">
        <f t="array" aca="1" ref="O127" ca="1">INDEX($B$2:$B$40,J127,1)</f>
        <v>Miguel</v>
      </c>
      <c r="P127" s="6" t="str" cm="1">
        <f t="array" aca="1" ref="P127" ca="1">INDEX($E$2:$E$98,K127)</f>
        <v>Ramos</v>
      </c>
      <c r="Q127" s="6" t="str" cm="1">
        <f t="array" aca="1" ref="Q127" ca="1">INDEX($E$2:$E$98,L127)</f>
        <v>Pinheiro</v>
      </c>
      <c r="S127" t="str">
        <f t="shared" ca="1" si="9"/>
        <v>Feminino</v>
      </c>
      <c r="T127" t="str">
        <f t="shared" ca="1" si="10"/>
        <v>Lurdes Miguel Ramos Pinheiro</v>
      </c>
    </row>
    <row r="128" spans="9:20" x14ac:dyDescent="0.25">
      <c r="I128">
        <f t="shared" ca="1" si="7"/>
        <v>25</v>
      </c>
      <c r="J128">
        <f t="shared" ca="1" si="7"/>
        <v>19</v>
      </c>
      <c r="K128">
        <f t="shared" ca="1" si="8"/>
        <v>50</v>
      </c>
      <c r="L128">
        <f t="shared" ca="1" si="8"/>
        <v>55</v>
      </c>
      <c r="M128" s="6" t="str" cm="1">
        <f t="array" aca="1" ref="M128" ca="1">INDEX($A$2:$A$40,I128,1)</f>
        <v>Feminino</v>
      </c>
      <c r="N128" s="6" t="str" cm="1">
        <f t="array" aca="1" ref="N128" ca="1">INDEX($B$2:$B$40,I128,1)</f>
        <v>Mariana</v>
      </c>
      <c r="O128" s="6" t="str" cm="1">
        <f t="array" aca="1" ref="O128" ca="1">INDEX($B$2:$B$40,J128,1)</f>
        <v>Leonor</v>
      </c>
      <c r="P128" s="6" t="str" cm="1">
        <f t="array" aca="1" ref="P128" ca="1">INDEX($E$2:$E$98,K128)</f>
        <v>Azevedo</v>
      </c>
      <c r="Q128" s="6" t="str" cm="1">
        <f t="array" aca="1" ref="Q128" ca="1">INDEX($E$2:$E$98,L128)</f>
        <v>Guerreiro</v>
      </c>
      <c r="S128" t="str">
        <f t="shared" ca="1" si="9"/>
        <v>Feminino</v>
      </c>
      <c r="T128" t="str">
        <f t="shared" ca="1" si="10"/>
        <v>Mariana Leonor Azevedo Guerreiro</v>
      </c>
    </row>
    <row r="129" spans="9:20" x14ac:dyDescent="0.25">
      <c r="I129">
        <f t="shared" ca="1" si="7"/>
        <v>5</v>
      </c>
      <c r="J129">
        <f t="shared" ca="1" si="7"/>
        <v>37</v>
      </c>
      <c r="K129">
        <f t="shared" ca="1" si="8"/>
        <v>83</v>
      </c>
      <c r="L129">
        <f t="shared" ca="1" si="8"/>
        <v>23</v>
      </c>
      <c r="M129" s="6" t="str" cm="1">
        <f t="array" aca="1" ref="M129" ca="1">INDEX($A$2:$A$40,I129,1)</f>
        <v>Masculino</v>
      </c>
      <c r="N129" s="6" t="str" cm="1">
        <f t="array" aca="1" ref="N129" ca="1">INDEX($B$2:$B$40,I129,1)</f>
        <v>Bruno</v>
      </c>
      <c r="O129" s="6" t="str" cm="1">
        <f t="array" aca="1" ref="O129" ca="1">INDEX($B$2:$B$40,J129,1)</f>
        <v>Vera</v>
      </c>
      <c r="P129" s="6" t="str" cm="1">
        <f t="array" aca="1" ref="P129" ca="1">INDEX($E$2:$E$98,K129)</f>
        <v>Valente</v>
      </c>
      <c r="Q129" s="6" t="str" cm="1">
        <f t="array" aca="1" ref="Q129" ca="1">INDEX($E$2:$E$98,L129)</f>
        <v>Gomes</v>
      </c>
      <c r="S129" t="str">
        <f t="shared" ca="1" si="9"/>
        <v>Masculino</v>
      </c>
      <c r="T129" t="str">
        <f t="shared" ca="1" si="10"/>
        <v>Bruno Vera Valente Gomes</v>
      </c>
    </row>
    <row r="130" spans="9:20" x14ac:dyDescent="0.25">
      <c r="I130">
        <f t="shared" ca="1" si="7"/>
        <v>39</v>
      </c>
      <c r="J130">
        <f t="shared" ca="1" si="7"/>
        <v>28</v>
      </c>
      <c r="K130">
        <f t="shared" ca="1" si="8"/>
        <v>69</v>
      </c>
      <c r="L130">
        <f t="shared" ca="1" si="8"/>
        <v>90</v>
      </c>
      <c r="M130" s="6" t="str" cm="1">
        <f t="array" aca="1" ref="M130" ca="1">INDEX($A$2:$A$40,I130,1)</f>
        <v>Feminino</v>
      </c>
      <c r="N130" s="6" t="str" cm="1">
        <f t="array" aca="1" ref="N130" ca="1">INDEX($B$2:$B$40,I130,1)</f>
        <v>Lara</v>
      </c>
      <c r="O130" s="6" t="str" cm="1">
        <f t="array" aca="1" ref="O130" ca="1">INDEX($B$2:$B$40,J130,1)</f>
        <v>Miguel</v>
      </c>
      <c r="P130" s="6" t="str" cm="1">
        <f t="array" aca="1" ref="P130" ca="1">INDEX($E$2:$E$98,K130)</f>
        <v>Brito</v>
      </c>
      <c r="Q130" s="6" t="str" cm="1">
        <f t="array" aca="1" ref="Q130" ca="1">INDEX($E$2:$E$98,L130)</f>
        <v>Branco</v>
      </c>
      <c r="S130" t="str">
        <f t="shared" ca="1" si="9"/>
        <v>Feminino</v>
      </c>
      <c r="T130" t="str">
        <f t="shared" ca="1" si="10"/>
        <v>Lara Miguel Brito Branco</v>
      </c>
    </row>
    <row r="131" spans="9:20" x14ac:dyDescent="0.25">
      <c r="I131">
        <f t="shared" ref="I131:J194" ca="1" si="11">RANDBETWEEN(1,39)</f>
        <v>23</v>
      </c>
      <c r="J131">
        <f t="shared" ca="1" si="11"/>
        <v>10</v>
      </c>
      <c r="K131">
        <f t="shared" ref="K131:L194" ca="1" si="12">RANDBETWEEN(1,97)</f>
        <v>71</v>
      </c>
      <c r="L131">
        <f t="shared" ca="1" si="12"/>
        <v>9</v>
      </c>
      <c r="M131" s="6" t="str" cm="1">
        <f t="array" aca="1" ref="M131" ca="1">INDEX($A$2:$A$40,I131,1)</f>
        <v>Feminino</v>
      </c>
      <c r="N131" s="6" t="str" cm="1">
        <f t="array" aca="1" ref="N131" ca="1">INDEX($B$2:$B$40,I131,1)</f>
        <v>Maria</v>
      </c>
      <c r="O131" s="6" t="str" cm="1">
        <f t="array" aca="1" ref="O131" ca="1">INDEX($B$2:$B$40,J131,1)</f>
        <v>Diogo</v>
      </c>
      <c r="P131" s="6" t="str" cm="1">
        <f t="array" aca="1" ref="P131" ca="1">INDEX($E$2:$E$98,K131)</f>
        <v>Nascimento</v>
      </c>
      <c r="Q131" s="6" t="str" cm="1">
        <f t="array" aca="1" ref="Q131" ca="1">INDEX($E$2:$E$98,L131)</f>
        <v>Ramos</v>
      </c>
      <c r="S131" t="str">
        <f t="shared" ca="1" si="9"/>
        <v>Feminino</v>
      </c>
      <c r="T131" t="str">
        <f t="shared" ca="1" si="10"/>
        <v>Maria Diogo Nascimento Ramos</v>
      </c>
    </row>
    <row r="132" spans="9:20" x14ac:dyDescent="0.25">
      <c r="I132">
        <f t="shared" ca="1" si="11"/>
        <v>35</v>
      </c>
      <c r="J132">
        <f t="shared" ca="1" si="11"/>
        <v>18</v>
      </c>
      <c r="K132">
        <f t="shared" ca="1" si="12"/>
        <v>40</v>
      </c>
      <c r="L132">
        <f t="shared" ca="1" si="12"/>
        <v>75</v>
      </c>
      <c r="M132" s="6" t="str" cm="1">
        <f t="array" aca="1" ref="M132" ca="1">INDEX($A$2:$A$40,I132,1)</f>
        <v>Masculino</v>
      </c>
      <c r="N132" s="6" t="str" cm="1">
        <f t="array" aca="1" ref="N132" ca="1">INDEX($B$2:$B$40,I132,1)</f>
        <v>Tiago</v>
      </c>
      <c r="O132" s="6" t="str" cm="1">
        <f t="array" aca="1" ref="O132" ca="1">INDEX($B$2:$B$40,J132,1)</f>
        <v>José</v>
      </c>
      <c r="P132" s="6" t="str" cm="1">
        <f t="array" aca="1" ref="P132" ca="1">INDEX($E$2:$E$98,K132)</f>
        <v>Antunes</v>
      </c>
      <c r="Q132" s="6" t="str" cm="1">
        <f t="array" aca="1" ref="Q132" ca="1">INDEX($E$2:$E$98,L132)</f>
        <v>Melo</v>
      </c>
      <c r="S132" t="str">
        <f t="shared" ref="S132:S195" ca="1" si="13">M132</f>
        <v>Masculino</v>
      </c>
      <c r="T132" t="str">
        <f t="shared" ca="1" si="10"/>
        <v>Tiago José Antunes Melo</v>
      </c>
    </row>
    <row r="133" spans="9:20" x14ac:dyDescent="0.25">
      <c r="I133">
        <f t="shared" ca="1" si="11"/>
        <v>35</v>
      </c>
      <c r="J133">
        <f t="shared" ca="1" si="11"/>
        <v>20</v>
      </c>
      <c r="K133">
        <f t="shared" ca="1" si="12"/>
        <v>96</v>
      </c>
      <c r="L133">
        <f t="shared" ca="1" si="12"/>
        <v>78</v>
      </c>
      <c r="M133" s="6" t="str" cm="1">
        <f t="array" aca="1" ref="M133" ca="1">INDEX($A$2:$A$40,I133,1)</f>
        <v>Masculino</v>
      </c>
      <c r="N133" s="6" t="str" cm="1">
        <f t="array" aca="1" ref="N133" ca="1">INDEX($B$2:$B$40,I133,1)</f>
        <v>Tiago</v>
      </c>
      <c r="O133" s="6" t="str" cm="1">
        <f t="array" aca="1" ref="O133" ca="1">INDEX($B$2:$B$40,J133,1)</f>
        <v>Luís</v>
      </c>
      <c r="P133" s="6" t="str" cm="1">
        <f t="array" aca="1" ref="P133" ca="1">INDEX($E$2:$E$98,K133)</f>
        <v>Amorim</v>
      </c>
      <c r="Q133" s="6" t="str" cm="1">
        <f t="array" aca="1" ref="Q133" ca="1">INDEX($E$2:$E$98,L133)</f>
        <v>Vicente</v>
      </c>
      <c r="S133" t="str">
        <f t="shared" ca="1" si="13"/>
        <v>Masculino</v>
      </c>
      <c r="T133" t="str">
        <f t="shared" ca="1" si="10"/>
        <v>Tiago Luís Amorim Vicente</v>
      </c>
    </row>
    <row r="134" spans="9:20" x14ac:dyDescent="0.25">
      <c r="I134">
        <f t="shared" ca="1" si="11"/>
        <v>38</v>
      </c>
      <c r="J134">
        <f t="shared" ca="1" si="11"/>
        <v>23</v>
      </c>
      <c r="K134">
        <f t="shared" ca="1" si="12"/>
        <v>74</v>
      </c>
      <c r="L134">
        <f t="shared" ca="1" si="12"/>
        <v>63</v>
      </c>
      <c r="M134" s="6" t="str" cm="1">
        <f t="array" aca="1" ref="M134" ca="1">INDEX($A$2:$A$40,I134,1)</f>
        <v>Masculino</v>
      </c>
      <c r="N134" s="6" t="str" cm="1">
        <f t="array" aca="1" ref="N134" ca="1">INDEX($B$2:$B$40,I134,1)</f>
        <v>Joaquim</v>
      </c>
      <c r="O134" s="6" t="str" cm="1">
        <f t="array" aca="1" ref="O134" ca="1">INDEX($B$2:$B$40,J134,1)</f>
        <v>Maria</v>
      </c>
      <c r="P134" s="6" t="str" cm="1">
        <f t="array" aca="1" ref="P134" ca="1">INDEX($E$2:$E$98,K134)</f>
        <v>Borges</v>
      </c>
      <c r="Q134" s="6" t="str" cm="1">
        <f t="array" aca="1" ref="Q134" ca="1">INDEX($E$2:$E$98,L134)</f>
        <v>Esteves</v>
      </c>
      <c r="S134" t="str">
        <f t="shared" ca="1" si="13"/>
        <v>Masculino</v>
      </c>
      <c r="T134" t="str">
        <f t="shared" ca="1" si="10"/>
        <v>Joaquim Maria Borges Esteves</v>
      </c>
    </row>
    <row r="135" spans="9:20" x14ac:dyDescent="0.25">
      <c r="I135">
        <f t="shared" ca="1" si="11"/>
        <v>5</v>
      </c>
      <c r="J135">
        <f t="shared" ca="1" si="11"/>
        <v>5</v>
      </c>
      <c r="K135">
        <f t="shared" ca="1" si="12"/>
        <v>13</v>
      </c>
      <c r="L135">
        <f t="shared" ca="1" si="12"/>
        <v>11</v>
      </c>
      <c r="M135" s="6" t="str" cm="1">
        <f t="array" aca="1" ref="M135" ca="1">INDEX($A$2:$A$40,I135,1)</f>
        <v>Masculino</v>
      </c>
      <c r="N135" s="6" t="str" cm="1">
        <f t="array" aca="1" ref="N135" ca="1">INDEX($B$2:$B$40,I135,1)</f>
        <v>Bruno</v>
      </c>
      <c r="O135" s="6" t="str" cm="1">
        <f t="array" aca="1" ref="O135" ca="1">INDEX($B$2:$B$40,J135,1)</f>
        <v>Bruno</v>
      </c>
      <c r="P135" s="6" t="str" cm="1">
        <f t="array" aca="1" ref="P135" ca="1">INDEX($E$2:$E$98,K135)</f>
        <v>Santos</v>
      </c>
      <c r="Q135" s="6" t="str" cm="1">
        <f t="array" aca="1" ref="Q135" ca="1">INDEX($E$2:$E$98,L135)</f>
        <v>Martins</v>
      </c>
      <c r="S135" t="str">
        <f t="shared" ca="1" si="13"/>
        <v>Masculino</v>
      </c>
      <c r="T135" t="str">
        <f t="shared" ca="1" si="10"/>
        <v>Bruno Bruno Santos Martins</v>
      </c>
    </row>
    <row r="136" spans="9:20" x14ac:dyDescent="0.25">
      <c r="I136">
        <f t="shared" ca="1" si="11"/>
        <v>18</v>
      </c>
      <c r="J136">
        <f t="shared" ca="1" si="11"/>
        <v>2</v>
      </c>
      <c r="K136">
        <f t="shared" ca="1" si="12"/>
        <v>6</v>
      </c>
      <c r="L136">
        <f t="shared" ca="1" si="12"/>
        <v>72</v>
      </c>
      <c r="M136" s="6" t="str" cm="1">
        <f t="array" aca="1" ref="M136" ca="1">INDEX($A$2:$A$40,I136,1)</f>
        <v>Masculino</v>
      </c>
      <c r="N136" s="6" t="str" cm="1">
        <f t="array" aca="1" ref="N136" ca="1">INDEX($B$2:$B$40,I136,1)</f>
        <v>José</v>
      </c>
      <c r="O136" s="6" t="str" cm="1">
        <f t="array" aca="1" ref="O136" ca="1">INDEX($B$2:$B$40,J136,1)</f>
        <v>Ana</v>
      </c>
      <c r="P136" s="6" t="str" cm="1">
        <f t="array" aca="1" ref="P136" ca="1">INDEX($E$2:$E$98,K136)</f>
        <v>Almeida</v>
      </c>
      <c r="Q136" s="6" t="str" cm="1">
        <f t="array" aca="1" ref="Q136" ca="1">INDEX($E$2:$E$98,L136)</f>
        <v>Leite</v>
      </c>
      <c r="S136" t="str">
        <f t="shared" ca="1" si="13"/>
        <v>Masculino</v>
      </c>
      <c r="T136" t="str">
        <f t="shared" ca="1" si="10"/>
        <v>José Ana Almeida Leite</v>
      </c>
    </row>
    <row r="137" spans="9:20" x14ac:dyDescent="0.25">
      <c r="I137">
        <f t="shared" ca="1" si="11"/>
        <v>10</v>
      </c>
      <c r="J137">
        <f t="shared" ca="1" si="11"/>
        <v>26</v>
      </c>
      <c r="K137">
        <f t="shared" ca="1" si="12"/>
        <v>7</v>
      </c>
      <c r="L137">
        <f t="shared" ca="1" si="12"/>
        <v>53</v>
      </c>
      <c r="M137" s="6" t="str" cm="1">
        <f t="array" aca="1" ref="M137" ca="1">INDEX($A$2:$A$40,I137,1)</f>
        <v>Masculino</v>
      </c>
      <c r="N137" s="6" t="str" cm="1">
        <f t="array" aca="1" ref="N137" ca="1">INDEX($B$2:$B$40,I137,1)</f>
        <v>Diogo</v>
      </c>
      <c r="O137" s="6" t="str" cm="1">
        <f t="array" aca="1" ref="O137" ca="1">INDEX($B$2:$B$40,J137,1)</f>
        <v>Martim</v>
      </c>
      <c r="P137" s="6" t="str" cm="1">
        <f t="array" aca="1" ref="P137" ca="1">INDEX($E$2:$E$98,K137)</f>
        <v>Coelho</v>
      </c>
      <c r="Q137" s="6" t="str" cm="1">
        <f t="array" aca="1" ref="Q137" ca="1">INDEX($E$2:$E$98,L137)</f>
        <v>Henriques</v>
      </c>
      <c r="S137" t="str">
        <f t="shared" ca="1" si="13"/>
        <v>Masculino</v>
      </c>
      <c r="T137" t="str">
        <f t="shared" ca="1" si="10"/>
        <v>Diogo Martim Coelho Henriques</v>
      </c>
    </row>
    <row r="138" spans="9:20" x14ac:dyDescent="0.25">
      <c r="I138">
        <f t="shared" ca="1" si="11"/>
        <v>29</v>
      </c>
      <c r="J138">
        <f t="shared" ca="1" si="11"/>
        <v>34</v>
      </c>
      <c r="K138">
        <f t="shared" ca="1" si="12"/>
        <v>11</v>
      </c>
      <c r="L138">
        <f t="shared" ca="1" si="12"/>
        <v>70</v>
      </c>
      <c r="M138" s="6" t="str" cm="1">
        <f t="array" aca="1" ref="M138" ca="1">INDEX($A$2:$A$40,I138,1)</f>
        <v>Masculino</v>
      </c>
      <c r="N138" s="6" t="str" cm="1">
        <f t="array" aca="1" ref="N138" ca="1">INDEX($B$2:$B$40,I138,1)</f>
        <v>Pedro</v>
      </c>
      <c r="O138" s="6" t="str" cm="1">
        <f t="array" aca="1" ref="O138" ca="1">INDEX($B$2:$B$40,J138,1)</f>
        <v>Sofia</v>
      </c>
      <c r="P138" s="6" t="str" cm="1">
        <f t="array" aca="1" ref="P138" ca="1">INDEX($E$2:$E$98,K138)</f>
        <v>Martins</v>
      </c>
      <c r="Q138" s="6" t="str" cm="1">
        <f t="array" aca="1" ref="Q138" ca="1">INDEX($E$2:$E$98,L138)</f>
        <v>Sá</v>
      </c>
      <c r="S138" t="str">
        <f t="shared" ca="1" si="13"/>
        <v>Masculino</v>
      </c>
      <c r="T138" t="str">
        <f t="shared" ca="1" si="10"/>
        <v>Pedro Sofia Martins Sá</v>
      </c>
    </row>
    <row r="139" spans="9:20" x14ac:dyDescent="0.25">
      <c r="I139">
        <f t="shared" ca="1" si="11"/>
        <v>8</v>
      </c>
      <c r="J139">
        <f t="shared" ca="1" si="11"/>
        <v>17</v>
      </c>
      <c r="K139">
        <f t="shared" ca="1" si="12"/>
        <v>6</v>
      </c>
      <c r="L139">
        <f t="shared" ca="1" si="12"/>
        <v>56</v>
      </c>
      <c r="M139" s="6" t="str" cm="1">
        <f t="array" aca="1" ref="M139" ca="1">INDEX($A$2:$A$40,I139,1)</f>
        <v>Feminino</v>
      </c>
      <c r="N139" s="6" t="str" cm="1">
        <f t="array" aca="1" ref="N139" ca="1">INDEX($B$2:$B$40,I139,1)</f>
        <v>Daniela</v>
      </c>
      <c r="O139" s="6" t="str" cm="1">
        <f t="array" aca="1" ref="O139" ca="1">INDEX($B$2:$B$40,J139,1)</f>
        <v>João</v>
      </c>
      <c r="P139" s="6" t="str" cm="1">
        <f t="array" aca="1" ref="P139" ca="1">INDEX($E$2:$E$98,K139)</f>
        <v>Almeida</v>
      </c>
      <c r="Q139" s="6" t="str" cm="1">
        <f t="array" aca="1" ref="Q139" ca="1">INDEX($E$2:$E$98,L139)</f>
        <v>Batista</v>
      </c>
      <c r="S139" t="str">
        <f t="shared" ca="1" si="13"/>
        <v>Feminino</v>
      </c>
      <c r="T139" t="str">
        <f t="shared" ca="1" si="10"/>
        <v>Daniela João Almeida Batista</v>
      </c>
    </row>
    <row r="140" spans="9:20" x14ac:dyDescent="0.25">
      <c r="I140">
        <f t="shared" ca="1" si="11"/>
        <v>35</v>
      </c>
      <c r="J140">
        <f t="shared" ca="1" si="11"/>
        <v>36</v>
      </c>
      <c r="K140">
        <f t="shared" ca="1" si="12"/>
        <v>27</v>
      </c>
      <c r="L140">
        <f t="shared" ca="1" si="12"/>
        <v>29</v>
      </c>
      <c r="M140" s="6" t="str" cm="1">
        <f t="array" aca="1" ref="M140" ca="1">INDEX($A$2:$A$40,I140,1)</f>
        <v>Masculino</v>
      </c>
      <c r="N140" s="6" t="str" cm="1">
        <f t="array" aca="1" ref="N140" ca="1">INDEX($B$2:$B$40,I140,1)</f>
        <v>Tiago</v>
      </c>
      <c r="O140" s="6" t="str" cm="1">
        <f t="array" aca="1" ref="O140" ca="1">INDEX($B$2:$B$40,J140,1)</f>
        <v>Tomás</v>
      </c>
      <c r="P140" s="6" t="str" cm="1">
        <f t="array" aca="1" ref="P140" ca="1">INDEX($E$2:$E$98,K140)</f>
        <v>Marques</v>
      </c>
      <c r="Q140" s="6" t="str" cm="1">
        <f t="array" aca="1" ref="Q140" ca="1">INDEX($E$2:$E$98,L140)</f>
        <v>Fernandes</v>
      </c>
      <c r="S140" t="str">
        <f t="shared" ca="1" si="13"/>
        <v>Masculino</v>
      </c>
      <c r="T140" t="str">
        <f t="shared" ca="1" si="10"/>
        <v>Tiago Tomás Marques Fernandes</v>
      </c>
    </row>
    <row r="141" spans="9:20" x14ac:dyDescent="0.25">
      <c r="I141">
        <f t="shared" ca="1" si="11"/>
        <v>5</v>
      </c>
      <c r="J141">
        <f t="shared" ca="1" si="11"/>
        <v>34</v>
      </c>
      <c r="K141">
        <f t="shared" ca="1" si="12"/>
        <v>86</v>
      </c>
      <c r="L141">
        <f t="shared" ca="1" si="12"/>
        <v>54</v>
      </c>
      <c r="M141" s="6" t="str" cm="1">
        <f t="array" aca="1" ref="M141" ca="1">INDEX($A$2:$A$40,I141,1)</f>
        <v>Masculino</v>
      </c>
      <c r="N141" s="6" t="str" cm="1">
        <f t="array" aca="1" ref="N141" ca="1">INDEX($B$2:$B$40,I141,1)</f>
        <v>Bruno</v>
      </c>
      <c r="O141" s="6" t="str" cm="1">
        <f t="array" aca="1" ref="O141" ca="1">INDEX($B$2:$B$40,J141,1)</f>
        <v>Sofia</v>
      </c>
      <c r="P141" s="6" t="str" cm="1">
        <f t="array" aca="1" ref="P141" ca="1">INDEX($E$2:$E$98,K141)</f>
        <v>Carneiro</v>
      </c>
      <c r="Q141" s="6" t="str" cm="1">
        <f t="array" aca="1" ref="Q141" ca="1">INDEX($E$2:$E$98,L141)</f>
        <v>Lima</v>
      </c>
      <c r="S141" t="str">
        <f t="shared" ca="1" si="13"/>
        <v>Masculino</v>
      </c>
      <c r="T141" t="str">
        <f t="shared" ca="1" si="10"/>
        <v>Bruno Sofia Carneiro Lima</v>
      </c>
    </row>
    <row r="142" spans="9:20" x14ac:dyDescent="0.25">
      <c r="I142">
        <f t="shared" ca="1" si="11"/>
        <v>4</v>
      </c>
      <c r="J142">
        <f t="shared" ca="1" si="11"/>
        <v>10</v>
      </c>
      <c r="K142">
        <f t="shared" ca="1" si="12"/>
        <v>74</v>
      </c>
      <c r="L142">
        <f t="shared" ca="1" si="12"/>
        <v>17</v>
      </c>
      <c r="M142" s="6" t="str" cm="1">
        <f t="array" aca="1" ref="M142" ca="1">INDEX($A$2:$A$40,I142,1)</f>
        <v>Feminino</v>
      </c>
      <c r="N142" s="6" t="str" cm="1">
        <f t="array" aca="1" ref="N142" ca="1">INDEX($B$2:$B$40,I142,1)</f>
        <v>Beatriz</v>
      </c>
      <c r="O142" s="6" t="str" cm="1">
        <f t="array" aca="1" ref="O142" ca="1">INDEX($B$2:$B$40,J142,1)</f>
        <v>Diogo</v>
      </c>
      <c r="P142" s="6" t="str" cm="1">
        <f t="array" aca="1" ref="P142" ca="1">INDEX($E$2:$E$98,K142)</f>
        <v>Borges</v>
      </c>
      <c r="Q142" s="6" t="str" cm="1">
        <f t="array" aca="1" ref="Q142" ca="1">INDEX($E$2:$E$98,L142)</f>
        <v>Ferreira</v>
      </c>
      <c r="S142" t="str">
        <f t="shared" ca="1" si="13"/>
        <v>Feminino</v>
      </c>
      <c r="T142" t="str">
        <f t="shared" ca="1" si="10"/>
        <v>Beatriz Diogo Borges Ferreira</v>
      </c>
    </row>
    <row r="143" spans="9:20" x14ac:dyDescent="0.25">
      <c r="I143">
        <f t="shared" ca="1" si="11"/>
        <v>17</v>
      </c>
      <c r="J143">
        <f t="shared" ca="1" si="11"/>
        <v>1</v>
      </c>
      <c r="K143">
        <f t="shared" ca="1" si="12"/>
        <v>32</v>
      </c>
      <c r="L143">
        <f t="shared" ca="1" si="12"/>
        <v>21</v>
      </c>
      <c r="M143" s="6" t="str" cm="1">
        <f t="array" aca="1" ref="M143" ca="1">INDEX($A$2:$A$40,I143,1)</f>
        <v>Masculino</v>
      </c>
      <c r="N143" s="6" t="str" cm="1">
        <f t="array" aca="1" ref="N143" ca="1">INDEX($B$2:$B$40,I143,1)</f>
        <v>João</v>
      </c>
      <c r="O143" s="6" t="str" cm="1">
        <f t="array" aca="1" ref="O143" ca="1">INDEX($B$2:$B$40,J143,1)</f>
        <v>Afonso</v>
      </c>
      <c r="P143" s="6" t="str" cm="1">
        <f t="array" aca="1" ref="P143" ca="1">INDEX($E$2:$E$98,K143)</f>
        <v>Silva</v>
      </c>
      <c r="Q143" s="6" t="str" cm="1">
        <f t="array" aca="1" ref="Q143" ca="1">INDEX($E$2:$E$98,L143)</f>
        <v>Raposo</v>
      </c>
      <c r="S143" t="str">
        <f t="shared" ca="1" si="13"/>
        <v>Masculino</v>
      </c>
      <c r="T143" t="str">
        <f t="shared" ca="1" si="10"/>
        <v>João Afonso Silva Raposo</v>
      </c>
    </row>
    <row r="144" spans="9:20" x14ac:dyDescent="0.25">
      <c r="I144">
        <f t="shared" ca="1" si="11"/>
        <v>10</v>
      </c>
      <c r="J144">
        <f t="shared" ca="1" si="11"/>
        <v>6</v>
      </c>
      <c r="K144">
        <f t="shared" ca="1" si="12"/>
        <v>93</v>
      </c>
      <c r="L144">
        <f t="shared" ca="1" si="12"/>
        <v>75</v>
      </c>
      <c r="M144" s="6" t="str" cm="1">
        <f t="array" aca="1" ref="M144" ca="1">INDEX($A$2:$A$40,I144,1)</f>
        <v>Masculino</v>
      </c>
      <c r="N144" s="6" t="str" cm="1">
        <f t="array" aca="1" ref="N144" ca="1">INDEX($B$2:$B$40,I144,1)</f>
        <v>Diogo</v>
      </c>
      <c r="O144" s="6" t="str" cm="1">
        <f t="array" aca="1" ref="O144" ca="1">INDEX($B$2:$B$40,J144,1)</f>
        <v>Carolina</v>
      </c>
      <c r="P144" s="6" t="str" cm="1">
        <f t="array" aca="1" ref="P144" ca="1">INDEX($E$2:$E$98,K144)</f>
        <v>Macedo</v>
      </c>
      <c r="Q144" s="6" t="str" cm="1">
        <f t="array" aca="1" ref="Q144" ca="1">INDEX($E$2:$E$98,L144)</f>
        <v>Melo</v>
      </c>
      <c r="S144" t="str">
        <f t="shared" ca="1" si="13"/>
        <v>Masculino</v>
      </c>
      <c r="T144" t="str">
        <f t="shared" ca="1" si="10"/>
        <v>Diogo Carolina Macedo Melo</v>
      </c>
    </row>
    <row r="145" spans="9:20" x14ac:dyDescent="0.25">
      <c r="I145">
        <f t="shared" ca="1" si="11"/>
        <v>35</v>
      </c>
      <c r="J145">
        <f t="shared" ca="1" si="11"/>
        <v>16</v>
      </c>
      <c r="K145">
        <f t="shared" ca="1" si="12"/>
        <v>50</v>
      </c>
      <c r="L145">
        <f t="shared" ca="1" si="12"/>
        <v>39</v>
      </c>
      <c r="M145" s="6" t="str" cm="1">
        <f t="array" aca="1" ref="M145" ca="1">INDEX($A$2:$A$40,I145,1)</f>
        <v>Masculino</v>
      </c>
      <c r="N145" s="6" t="str" cm="1">
        <f t="array" aca="1" ref="N145" ca="1">INDEX($B$2:$B$40,I145,1)</f>
        <v>Tiago</v>
      </c>
      <c r="O145" s="6" t="str" cm="1">
        <f t="array" aca="1" ref="O145" ca="1">INDEX($B$2:$B$40,J145,1)</f>
        <v>Joana</v>
      </c>
      <c r="P145" s="6" t="str" cm="1">
        <f t="array" aca="1" ref="P145" ca="1">INDEX($E$2:$E$98,K145)</f>
        <v>Azevedo</v>
      </c>
      <c r="Q145" s="6" t="str" cm="1">
        <f t="array" aca="1" ref="Q145" ca="1">INDEX($E$2:$E$98,L145)</f>
        <v>Simões</v>
      </c>
      <c r="S145" t="str">
        <f t="shared" ca="1" si="13"/>
        <v>Masculino</v>
      </c>
      <c r="T145" t="str">
        <f t="shared" ca="1" si="10"/>
        <v>Tiago Joana Azevedo Simões</v>
      </c>
    </row>
    <row r="146" spans="9:20" x14ac:dyDescent="0.25">
      <c r="I146">
        <f t="shared" ca="1" si="11"/>
        <v>33</v>
      </c>
      <c r="J146">
        <f t="shared" ca="1" si="11"/>
        <v>21</v>
      </c>
      <c r="K146">
        <f t="shared" ca="1" si="12"/>
        <v>8</v>
      </c>
      <c r="L146">
        <f t="shared" ca="1" si="12"/>
        <v>87</v>
      </c>
      <c r="M146" s="6" t="str" cm="1">
        <f t="array" aca="1" ref="M146" ca="1">INDEX($A$2:$A$40,I146,1)</f>
        <v>Feminino</v>
      </c>
      <c r="N146" s="6" t="str" cm="1">
        <f t="array" aca="1" ref="N146" ca="1">INDEX($B$2:$B$40,I146,1)</f>
        <v>Sara</v>
      </c>
      <c r="O146" s="6" t="str" cm="1">
        <f t="array" aca="1" ref="O146" ca="1">INDEX($B$2:$B$40,J146,1)</f>
        <v>Lurdes</v>
      </c>
      <c r="P146" s="6" t="str" cm="1">
        <f t="array" aca="1" ref="P146" ca="1">INDEX($E$2:$E$98,K146)</f>
        <v>Pires</v>
      </c>
      <c r="Q146" s="6" t="str" cm="1">
        <f t="array" aca="1" ref="Q146" ca="1">INDEX($E$2:$E$98,L146)</f>
        <v>Loureiro</v>
      </c>
      <c r="S146" t="str">
        <f t="shared" ca="1" si="13"/>
        <v>Feminino</v>
      </c>
      <c r="T146" t="str">
        <f t="shared" ca="1" si="10"/>
        <v>Sara Lurdes Pires Loureiro</v>
      </c>
    </row>
    <row r="147" spans="9:20" x14ac:dyDescent="0.25">
      <c r="I147">
        <f t="shared" ca="1" si="11"/>
        <v>11</v>
      </c>
      <c r="J147">
        <f t="shared" ca="1" si="11"/>
        <v>3</v>
      </c>
      <c r="K147">
        <f t="shared" ca="1" si="12"/>
        <v>30</v>
      </c>
      <c r="L147">
        <f t="shared" ca="1" si="12"/>
        <v>79</v>
      </c>
      <c r="M147" s="6" t="str" cm="1">
        <f t="array" aca="1" ref="M147" ca="1">INDEX($A$2:$A$40,I147,1)</f>
        <v>Masculino</v>
      </c>
      <c r="N147" s="6" t="str" cm="1">
        <f t="array" aca="1" ref="N147" ca="1">INDEX($B$2:$B$40,I147,1)</f>
        <v>Duarte</v>
      </c>
      <c r="O147" s="6" t="str" cm="1">
        <f t="array" aca="1" ref="O147" ca="1">INDEX($B$2:$B$40,J147,1)</f>
        <v>André</v>
      </c>
      <c r="P147" s="6" t="str" cm="1">
        <f t="array" aca="1" ref="P147" ca="1">INDEX($E$2:$E$98,K147)</f>
        <v>Monteiro</v>
      </c>
      <c r="Q147" s="6" t="str" cm="1">
        <f t="array" aca="1" ref="Q147" ca="1">INDEX($E$2:$E$98,L147)</f>
        <v>Gaspar</v>
      </c>
      <c r="S147" t="str">
        <f t="shared" ca="1" si="13"/>
        <v>Masculino</v>
      </c>
      <c r="T147" t="str">
        <f t="shared" ca="1" si="10"/>
        <v>Duarte André Monteiro Gaspar</v>
      </c>
    </row>
    <row r="148" spans="9:20" x14ac:dyDescent="0.25">
      <c r="I148">
        <f t="shared" ca="1" si="11"/>
        <v>23</v>
      </c>
      <c r="J148">
        <f t="shared" ca="1" si="11"/>
        <v>3</v>
      </c>
      <c r="K148">
        <f t="shared" ca="1" si="12"/>
        <v>30</v>
      </c>
      <c r="L148">
        <f t="shared" ca="1" si="12"/>
        <v>41</v>
      </c>
      <c r="M148" s="6" t="str" cm="1">
        <f t="array" aca="1" ref="M148" ca="1">INDEX($A$2:$A$40,I148,1)</f>
        <v>Feminino</v>
      </c>
      <c r="N148" s="6" t="str" cm="1">
        <f t="array" aca="1" ref="N148" ca="1">INDEX($B$2:$B$40,I148,1)</f>
        <v>Maria</v>
      </c>
      <c r="O148" s="6" t="str" cm="1">
        <f t="array" aca="1" ref="O148" ca="1">INDEX($B$2:$B$40,J148,1)</f>
        <v>André</v>
      </c>
      <c r="P148" s="6" t="str" cm="1">
        <f t="array" aca="1" ref="P148" ca="1">INDEX($E$2:$E$98,K148)</f>
        <v>Monteiro</v>
      </c>
      <c r="Q148" s="6" t="str" cm="1">
        <f t="array" aca="1" ref="Q148" ca="1">INDEX($E$2:$E$98,L148)</f>
        <v>Matos</v>
      </c>
      <c r="S148" t="str">
        <f t="shared" ca="1" si="13"/>
        <v>Feminino</v>
      </c>
      <c r="T148" t="str">
        <f t="shared" ca="1" si="10"/>
        <v>Maria André Monteiro Matos</v>
      </c>
    </row>
    <row r="149" spans="9:20" x14ac:dyDescent="0.25">
      <c r="I149">
        <f t="shared" ca="1" si="11"/>
        <v>20</v>
      </c>
      <c r="J149">
        <f t="shared" ca="1" si="11"/>
        <v>31</v>
      </c>
      <c r="K149">
        <f t="shared" ca="1" si="12"/>
        <v>60</v>
      </c>
      <c r="L149">
        <f t="shared" ca="1" si="12"/>
        <v>88</v>
      </c>
      <c r="M149" s="6" t="str" cm="1">
        <f t="array" aca="1" ref="M149" ca="1">INDEX($A$2:$A$40,I149,1)</f>
        <v>Masculino</v>
      </c>
      <c r="N149" s="6" t="str" cm="1">
        <f t="array" aca="1" ref="N149" ca="1">INDEX($B$2:$B$40,I149,1)</f>
        <v>Luís</v>
      </c>
      <c r="O149" s="6" t="str" cm="1">
        <f t="array" aca="1" ref="O149" ca="1">INDEX($B$2:$B$40,J149,1)</f>
        <v>Rodrigo</v>
      </c>
      <c r="P149" s="6" t="str" cm="1">
        <f t="array" aca="1" ref="P149" ca="1">INDEX($E$2:$E$98,K149)</f>
        <v>Barros</v>
      </c>
      <c r="Q149" s="6" t="str" cm="1">
        <f t="array" aca="1" ref="Q149" ca="1">INDEX($E$2:$E$98,L149)</f>
        <v>Neto</v>
      </c>
      <c r="S149" t="str">
        <f t="shared" ca="1" si="13"/>
        <v>Masculino</v>
      </c>
      <c r="T149" t="str">
        <f t="shared" ca="1" si="10"/>
        <v>Luís Rodrigo Barros Neto</v>
      </c>
    </row>
    <row r="150" spans="9:20" x14ac:dyDescent="0.25">
      <c r="I150">
        <f t="shared" ca="1" si="11"/>
        <v>9</v>
      </c>
      <c r="J150">
        <f t="shared" ca="1" si="11"/>
        <v>36</v>
      </c>
      <c r="K150">
        <f t="shared" ca="1" si="12"/>
        <v>66</v>
      </c>
      <c r="L150">
        <f t="shared" ca="1" si="12"/>
        <v>12</v>
      </c>
      <c r="M150" s="6" t="str" cm="1">
        <f t="array" aca="1" ref="M150" ca="1">INDEX($A$2:$A$40,I150,1)</f>
        <v>Feminino</v>
      </c>
      <c r="N150" s="6" t="str" cm="1">
        <f t="array" aca="1" ref="N150" ca="1">INDEX($B$2:$B$40,I150,1)</f>
        <v>Diana</v>
      </c>
      <c r="O150" s="6" t="str" cm="1">
        <f t="array" aca="1" ref="O150" ca="1">INDEX($B$2:$B$40,J150,1)</f>
        <v>Tomás</v>
      </c>
      <c r="P150" s="6" t="str" cm="1">
        <f t="array" aca="1" ref="P150" ca="1">INDEX($E$2:$E$98,K150)</f>
        <v>Campos</v>
      </c>
      <c r="Q150" s="6" t="str" cm="1">
        <f t="array" aca="1" ref="Q150" ca="1">INDEX($E$2:$E$98,L150)</f>
        <v>Teixeira</v>
      </c>
      <c r="S150" t="str">
        <f t="shared" ca="1" si="13"/>
        <v>Feminino</v>
      </c>
      <c r="T150" t="str">
        <f t="shared" ca="1" si="10"/>
        <v>Diana Tomás Campos Teixeira</v>
      </c>
    </row>
    <row r="151" spans="9:20" x14ac:dyDescent="0.25">
      <c r="I151">
        <f t="shared" ca="1" si="11"/>
        <v>37</v>
      </c>
      <c r="J151">
        <f t="shared" ca="1" si="11"/>
        <v>21</v>
      </c>
      <c r="K151">
        <f t="shared" ca="1" si="12"/>
        <v>29</v>
      </c>
      <c r="L151">
        <f t="shared" ca="1" si="12"/>
        <v>6</v>
      </c>
      <c r="M151" s="6" t="str" cm="1">
        <f t="array" aca="1" ref="M151" ca="1">INDEX($A$2:$A$40,I151,1)</f>
        <v>Feminino</v>
      </c>
      <c r="N151" s="6" t="str" cm="1">
        <f t="array" aca="1" ref="N151" ca="1">INDEX($B$2:$B$40,I151,1)</f>
        <v>Vera</v>
      </c>
      <c r="O151" s="6" t="str" cm="1">
        <f t="array" aca="1" ref="O151" ca="1">INDEX($B$2:$B$40,J151,1)</f>
        <v>Lurdes</v>
      </c>
      <c r="P151" s="6" t="str" cm="1">
        <f t="array" aca="1" ref="P151" ca="1">INDEX($E$2:$E$98,K151)</f>
        <v>Fernandes</v>
      </c>
      <c r="Q151" s="6" t="str" cm="1">
        <f t="array" aca="1" ref="Q151" ca="1">INDEX($E$2:$E$98,L151)</f>
        <v>Almeida</v>
      </c>
      <c r="S151" t="str">
        <f t="shared" ca="1" si="13"/>
        <v>Feminino</v>
      </c>
      <c r="T151" t="str">
        <f t="shared" ca="1" si="10"/>
        <v>Vera Lurdes Fernandes Almeida</v>
      </c>
    </row>
    <row r="152" spans="9:20" x14ac:dyDescent="0.25">
      <c r="I152">
        <f t="shared" ca="1" si="11"/>
        <v>24</v>
      </c>
      <c r="J152">
        <f t="shared" ca="1" si="11"/>
        <v>37</v>
      </c>
      <c r="K152">
        <f t="shared" ca="1" si="12"/>
        <v>93</v>
      </c>
      <c r="L152">
        <f t="shared" ca="1" si="12"/>
        <v>68</v>
      </c>
      <c r="M152" s="6" t="str" cm="1">
        <f t="array" aca="1" ref="M152" ca="1">INDEX($A$2:$A$40,I152,1)</f>
        <v>Feminino</v>
      </c>
      <c r="N152" s="6" t="str" cm="1">
        <f t="array" aca="1" ref="N152" ca="1">INDEX($B$2:$B$40,I152,1)</f>
        <v>Laura</v>
      </c>
      <c r="O152" s="6" t="str" cm="1">
        <f t="array" aca="1" ref="O152" ca="1">INDEX($B$2:$B$40,J152,1)</f>
        <v>Vera</v>
      </c>
      <c r="P152" s="6" t="str" cm="1">
        <f t="array" aca="1" ref="P152" ca="1">INDEX($E$2:$E$98,K152)</f>
        <v>Macedo</v>
      </c>
      <c r="Q152" s="6" t="str" cm="1">
        <f t="array" aca="1" ref="Q152" ca="1">INDEX($E$2:$E$98,L152)</f>
        <v>Andrade</v>
      </c>
      <c r="S152" t="str">
        <f t="shared" ca="1" si="13"/>
        <v>Feminino</v>
      </c>
      <c r="T152" t="str">
        <f t="shared" ca="1" si="10"/>
        <v>Laura Vera Macedo Andrade</v>
      </c>
    </row>
    <row r="153" spans="9:20" x14ac:dyDescent="0.25">
      <c r="I153">
        <f t="shared" ca="1" si="11"/>
        <v>3</v>
      </c>
      <c r="J153">
        <f t="shared" ca="1" si="11"/>
        <v>30</v>
      </c>
      <c r="K153">
        <f t="shared" ca="1" si="12"/>
        <v>9</v>
      </c>
      <c r="L153">
        <f t="shared" ca="1" si="12"/>
        <v>45</v>
      </c>
      <c r="M153" s="6" t="str" cm="1">
        <f t="array" aca="1" ref="M153" ca="1">INDEX($A$2:$A$40,I153,1)</f>
        <v>Masculino</v>
      </c>
      <c r="N153" s="6" t="str" cm="1">
        <f t="array" aca="1" ref="N153" ca="1">INDEX($B$2:$B$40,I153,1)</f>
        <v>André</v>
      </c>
      <c r="O153" s="6" t="str" cm="1">
        <f t="array" aca="1" ref="O153" ca="1">INDEX($B$2:$B$40,J153,1)</f>
        <v>Ricardo</v>
      </c>
      <c r="P153" s="6" t="str" cm="1">
        <f t="array" aca="1" ref="P153" ca="1">INDEX($E$2:$E$98,K153)</f>
        <v>Ramos</v>
      </c>
      <c r="Q153" s="6" t="str" cm="1">
        <f t="array" aca="1" ref="Q153" ca="1">INDEX($E$2:$E$98,L153)</f>
        <v>Barbosa</v>
      </c>
      <c r="S153" t="str">
        <f t="shared" ca="1" si="13"/>
        <v>Masculino</v>
      </c>
      <c r="T153" t="str">
        <f t="shared" ca="1" si="10"/>
        <v>André Ricardo Ramos Barbosa</v>
      </c>
    </row>
    <row r="154" spans="9:20" x14ac:dyDescent="0.25">
      <c r="I154">
        <f t="shared" ca="1" si="11"/>
        <v>33</v>
      </c>
      <c r="J154">
        <f t="shared" ca="1" si="11"/>
        <v>17</v>
      </c>
      <c r="K154">
        <f t="shared" ca="1" si="12"/>
        <v>82</v>
      </c>
      <c r="L154">
        <f t="shared" ca="1" si="12"/>
        <v>59</v>
      </c>
      <c r="M154" s="6" t="str" cm="1">
        <f t="array" aca="1" ref="M154" ca="1">INDEX($A$2:$A$40,I154,1)</f>
        <v>Feminino</v>
      </c>
      <c r="N154" s="6" t="str" cm="1">
        <f t="array" aca="1" ref="N154" ca="1">INDEX($B$2:$B$40,I154,1)</f>
        <v>Sara</v>
      </c>
      <c r="O154" s="6" t="str" cm="1">
        <f t="array" aca="1" ref="O154" ca="1">INDEX($B$2:$B$40,J154,1)</f>
        <v>João</v>
      </c>
      <c r="P154" s="6" t="str" cm="1">
        <f t="array" aca="1" ref="P154" ca="1">INDEX($E$2:$E$98,K154)</f>
        <v>Moura</v>
      </c>
      <c r="Q154" s="6" t="str" cm="1">
        <f t="array" aca="1" ref="Q154" ca="1">INDEX($E$2:$E$98,L154)</f>
        <v>Miranda</v>
      </c>
      <c r="S154" t="str">
        <f t="shared" ca="1" si="13"/>
        <v>Feminino</v>
      </c>
      <c r="T154" t="str">
        <f t="shared" ca="1" si="10"/>
        <v>Sara João Moura Miranda</v>
      </c>
    </row>
    <row r="155" spans="9:20" x14ac:dyDescent="0.25">
      <c r="I155">
        <f t="shared" ca="1" si="11"/>
        <v>23</v>
      </c>
      <c r="J155">
        <f t="shared" ca="1" si="11"/>
        <v>13</v>
      </c>
      <c r="K155">
        <f t="shared" ca="1" si="12"/>
        <v>35</v>
      </c>
      <c r="L155">
        <f t="shared" ca="1" si="12"/>
        <v>44</v>
      </c>
      <c r="M155" s="6" t="str" cm="1">
        <f t="array" aca="1" ref="M155" ca="1">INDEX($A$2:$A$40,I155,1)</f>
        <v>Feminino</v>
      </c>
      <c r="N155" s="6" t="str" cm="1">
        <f t="array" aca="1" ref="N155" ca="1">INDEX($B$2:$B$40,I155,1)</f>
        <v>Maria</v>
      </c>
      <c r="O155" s="6" t="str" cm="1">
        <f t="array" aca="1" ref="O155" ca="1">INDEX($B$2:$B$40,J155,1)</f>
        <v>Francisco</v>
      </c>
      <c r="P155" s="6" t="str" cm="1">
        <f t="array" aca="1" ref="P155" ca="1">INDEX($E$2:$E$98,K155)</f>
        <v>Mendes</v>
      </c>
      <c r="Q155" s="6" t="str" cm="1">
        <f t="array" aca="1" ref="Q155" ca="1">INDEX($E$2:$E$98,L155)</f>
        <v>Araújo</v>
      </c>
      <c r="S155" t="str">
        <f t="shared" ca="1" si="13"/>
        <v>Feminino</v>
      </c>
      <c r="T155" t="str">
        <f t="shared" ca="1" si="10"/>
        <v>Maria Francisco Mendes Araújo</v>
      </c>
    </row>
    <row r="156" spans="9:20" x14ac:dyDescent="0.25">
      <c r="I156">
        <f t="shared" ca="1" si="11"/>
        <v>27</v>
      </c>
      <c r="J156">
        <f t="shared" ca="1" si="11"/>
        <v>18</v>
      </c>
      <c r="K156">
        <f t="shared" ca="1" si="12"/>
        <v>44</v>
      </c>
      <c r="L156">
        <f t="shared" ca="1" si="12"/>
        <v>72</v>
      </c>
      <c r="M156" s="6" t="str" cm="1">
        <f t="array" aca="1" ref="M156" ca="1">INDEX($A$2:$A$40,I156,1)</f>
        <v>Feminino</v>
      </c>
      <c r="N156" s="6" t="str" cm="1">
        <f t="array" aca="1" ref="N156" ca="1">INDEX($B$2:$B$40,I156,1)</f>
        <v>Matilde</v>
      </c>
      <c r="O156" s="6" t="str" cm="1">
        <f t="array" aca="1" ref="O156" ca="1">INDEX($B$2:$B$40,J156,1)</f>
        <v>José</v>
      </c>
      <c r="P156" s="6" t="str" cm="1">
        <f t="array" aca="1" ref="P156" ca="1">INDEX($E$2:$E$98,K156)</f>
        <v>Araújo</v>
      </c>
      <c r="Q156" s="6" t="str" cm="1">
        <f t="array" aca="1" ref="Q156" ca="1">INDEX($E$2:$E$98,L156)</f>
        <v>Leite</v>
      </c>
      <c r="S156" t="str">
        <f t="shared" ca="1" si="13"/>
        <v>Feminino</v>
      </c>
      <c r="T156" t="str">
        <f t="shared" ca="1" si="10"/>
        <v>Matilde José Araújo Leite</v>
      </c>
    </row>
    <row r="157" spans="9:20" x14ac:dyDescent="0.25">
      <c r="I157">
        <f t="shared" ca="1" si="11"/>
        <v>21</v>
      </c>
      <c r="J157">
        <f t="shared" ca="1" si="11"/>
        <v>15</v>
      </c>
      <c r="K157">
        <f t="shared" ca="1" si="12"/>
        <v>29</v>
      </c>
      <c r="L157">
        <f t="shared" ca="1" si="12"/>
        <v>44</v>
      </c>
      <c r="M157" s="6" t="str" cm="1">
        <f t="array" aca="1" ref="M157" ca="1">INDEX($A$2:$A$40,I157,1)</f>
        <v>Feminino</v>
      </c>
      <c r="N157" s="6" t="str" cm="1">
        <f t="array" aca="1" ref="N157" ca="1">INDEX($B$2:$B$40,I157,1)</f>
        <v>Lurdes</v>
      </c>
      <c r="O157" s="6" t="str" cm="1">
        <f t="array" aca="1" ref="O157" ca="1">INDEX($B$2:$B$40,J157,1)</f>
        <v>Inês</v>
      </c>
      <c r="P157" s="6" t="str" cm="1">
        <f t="array" aca="1" ref="P157" ca="1">INDEX($E$2:$E$98,K157)</f>
        <v>Fernandes</v>
      </c>
      <c r="Q157" s="6" t="str" cm="1">
        <f t="array" aca="1" ref="Q157" ca="1">INDEX($E$2:$E$98,L157)</f>
        <v>Araújo</v>
      </c>
      <c r="S157" t="str">
        <f t="shared" ca="1" si="13"/>
        <v>Feminino</v>
      </c>
      <c r="T157" t="str">
        <f t="shared" ca="1" si="10"/>
        <v>Lurdes Inês Fernandes Araújo</v>
      </c>
    </row>
    <row r="158" spans="9:20" x14ac:dyDescent="0.25">
      <c r="I158">
        <f t="shared" ca="1" si="11"/>
        <v>6</v>
      </c>
      <c r="J158">
        <f t="shared" ca="1" si="11"/>
        <v>7</v>
      </c>
      <c r="K158">
        <f t="shared" ca="1" si="12"/>
        <v>51</v>
      </c>
      <c r="L158">
        <f t="shared" ca="1" si="12"/>
        <v>95</v>
      </c>
      <c r="M158" s="6" t="str" cm="1">
        <f t="array" aca="1" ref="M158" ca="1">INDEX($A$2:$A$40,I158,1)</f>
        <v>Feminino</v>
      </c>
      <c r="N158" s="6" t="str" cm="1">
        <f t="array" aca="1" ref="N158" ca="1">INDEX($B$2:$B$40,I158,1)</f>
        <v>Carolina</v>
      </c>
      <c r="O158" s="6" t="str" cm="1">
        <f t="array" aca="1" ref="O158" ca="1">INDEX($B$2:$B$40,J158,1)</f>
        <v>Catarina</v>
      </c>
      <c r="P158" s="6" t="str" cm="1">
        <f t="array" aca="1" ref="P158" ca="1">INDEX($E$2:$E$98,K158)</f>
        <v>Freitas</v>
      </c>
      <c r="Q158" s="6" t="str" cm="1">
        <f t="array" aca="1" ref="Q158" ca="1">INDEX($E$2:$E$98,L158)</f>
        <v>Matias</v>
      </c>
      <c r="S158" t="str">
        <f t="shared" ca="1" si="13"/>
        <v>Feminino</v>
      </c>
      <c r="T158" t="str">
        <f t="shared" ca="1" si="10"/>
        <v>Carolina Catarina Freitas Matias</v>
      </c>
    </row>
    <row r="159" spans="9:20" x14ac:dyDescent="0.25">
      <c r="I159">
        <f t="shared" ca="1" si="11"/>
        <v>17</v>
      </c>
      <c r="J159">
        <f t="shared" ca="1" si="11"/>
        <v>6</v>
      </c>
      <c r="K159">
        <f t="shared" ca="1" si="12"/>
        <v>74</v>
      </c>
      <c r="L159">
        <f t="shared" ca="1" si="12"/>
        <v>59</v>
      </c>
      <c r="M159" s="6" t="str" cm="1">
        <f t="array" aca="1" ref="M159" ca="1">INDEX($A$2:$A$40,I159,1)</f>
        <v>Masculino</v>
      </c>
      <c r="N159" s="6" t="str" cm="1">
        <f t="array" aca="1" ref="N159" ca="1">INDEX($B$2:$B$40,I159,1)</f>
        <v>João</v>
      </c>
      <c r="O159" s="6" t="str" cm="1">
        <f t="array" aca="1" ref="O159" ca="1">INDEX($B$2:$B$40,J159,1)</f>
        <v>Carolina</v>
      </c>
      <c r="P159" s="6" t="str" cm="1">
        <f t="array" aca="1" ref="P159" ca="1">INDEX($E$2:$E$98,K159)</f>
        <v>Borges</v>
      </c>
      <c r="Q159" s="6" t="str" cm="1">
        <f t="array" aca="1" ref="Q159" ca="1">INDEX($E$2:$E$98,L159)</f>
        <v>Miranda</v>
      </c>
      <c r="S159" t="str">
        <f t="shared" ca="1" si="13"/>
        <v>Masculino</v>
      </c>
      <c r="T159" t="str">
        <f t="shared" ca="1" si="10"/>
        <v>João Carolina Borges Miranda</v>
      </c>
    </row>
    <row r="160" spans="9:20" x14ac:dyDescent="0.25">
      <c r="I160">
        <f t="shared" ca="1" si="11"/>
        <v>1</v>
      </c>
      <c r="J160">
        <f t="shared" ca="1" si="11"/>
        <v>21</v>
      </c>
      <c r="K160">
        <f t="shared" ca="1" si="12"/>
        <v>17</v>
      </c>
      <c r="L160">
        <f t="shared" ca="1" si="12"/>
        <v>78</v>
      </c>
      <c r="M160" s="6" t="str" cm="1">
        <f t="array" aca="1" ref="M160" ca="1">INDEX($A$2:$A$40,I160,1)</f>
        <v>Masculino</v>
      </c>
      <c r="N160" s="6" t="str" cm="1">
        <f t="array" aca="1" ref="N160" ca="1">INDEX($B$2:$B$40,I160,1)</f>
        <v>Afonso</v>
      </c>
      <c r="O160" s="6" t="str" cm="1">
        <f t="array" aca="1" ref="O160" ca="1">INDEX($B$2:$B$40,J160,1)</f>
        <v>Lurdes</v>
      </c>
      <c r="P160" s="6" t="str" cm="1">
        <f t="array" aca="1" ref="P160" ca="1">INDEX($E$2:$E$98,K160)</f>
        <v>Ferreira</v>
      </c>
      <c r="Q160" s="6" t="str" cm="1">
        <f t="array" aca="1" ref="Q160" ca="1">INDEX($E$2:$E$98,L160)</f>
        <v>Vicente</v>
      </c>
      <c r="S160" t="str">
        <f t="shared" ca="1" si="13"/>
        <v>Masculino</v>
      </c>
      <c r="T160" t="str">
        <f t="shared" ca="1" si="10"/>
        <v>Afonso Lurdes Ferreira Vicente</v>
      </c>
    </row>
    <row r="161" spans="9:20" x14ac:dyDescent="0.25">
      <c r="I161">
        <f t="shared" ca="1" si="11"/>
        <v>36</v>
      </c>
      <c r="J161">
        <f t="shared" ca="1" si="11"/>
        <v>15</v>
      </c>
      <c r="K161">
        <f t="shared" ca="1" si="12"/>
        <v>18</v>
      </c>
      <c r="L161">
        <f t="shared" ca="1" si="12"/>
        <v>34</v>
      </c>
      <c r="M161" s="6" t="str" cm="1">
        <f t="array" aca="1" ref="M161" ca="1">INDEX($A$2:$A$40,I161,1)</f>
        <v>Masculino</v>
      </c>
      <c r="N161" s="6" t="str" cm="1">
        <f t="array" aca="1" ref="N161" ca="1">INDEX($B$2:$B$40,I161,1)</f>
        <v>Tomás</v>
      </c>
      <c r="O161" s="6" t="str" cm="1">
        <f t="array" aca="1" ref="O161" ca="1">INDEX($B$2:$B$40,J161,1)</f>
        <v>Inês</v>
      </c>
      <c r="P161" s="6" t="str" cm="1">
        <f t="array" aca="1" ref="P161" ca="1">INDEX($E$2:$E$98,K161)</f>
        <v>Soares</v>
      </c>
      <c r="Q161" s="6" t="str" cm="1">
        <f t="array" aca="1" ref="Q161" ca="1">INDEX($E$2:$E$98,L161)</f>
        <v>Carvalho</v>
      </c>
      <c r="S161" t="str">
        <f t="shared" ca="1" si="13"/>
        <v>Masculino</v>
      </c>
      <c r="T161" t="str">
        <f t="shared" ca="1" si="10"/>
        <v>Tomás Inês Soares Carvalho</v>
      </c>
    </row>
    <row r="162" spans="9:20" x14ac:dyDescent="0.25">
      <c r="I162">
        <f t="shared" ca="1" si="11"/>
        <v>3</v>
      </c>
      <c r="J162">
        <f t="shared" ca="1" si="11"/>
        <v>6</v>
      </c>
      <c r="K162">
        <f t="shared" ca="1" si="12"/>
        <v>65</v>
      </c>
      <c r="L162">
        <f t="shared" ca="1" si="12"/>
        <v>1</v>
      </c>
      <c r="M162" s="6" t="str" cm="1">
        <f t="array" aca="1" ref="M162" ca="1">INDEX($A$2:$A$40,I162,1)</f>
        <v>Masculino</v>
      </c>
      <c r="N162" s="6" t="str" cm="1">
        <f t="array" aca="1" ref="N162" ca="1">INDEX($B$2:$B$40,I162,1)</f>
        <v>André</v>
      </c>
      <c r="O162" s="6" t="str" cm="1">
        <f t="array" aca="1" ref="O162" ca="1">INDEX($B$2:$B$40,J162,1)</f>
        <v>Carolina</v>
      </c>
      <c r="P162" s="6" t="str" cm="1">
        <f t="array" aca="1" ref="P162" ca="1">INDEX($E$2:$E$98,K162)</f>
        <v>Baptista</v>
      </c>
      <c r="Q162" s="6" t="str" cm="1">
        <f t="array" aca="1" ref="Q162" ca="1">INDEX($E$2:$E$98,L162)</f>
        <v>Pereira</v>
      </c>
      <c r="S162" t="str">
        <f t="shared" ca="1" si="13"/>
        <v>Masculino</v>
      </c>
      <c r="T162" t="str">
        <f t="shared" ca="1" si="10"/>
        <v>André Carolina Baptista Pereira</v>
      </c>
    </row>
    <row r="163" spans="9:20" x14ac:dyDescent="0.25">
      <c r="I163">
        <f t="shared" ca="1" si="11"/>
        <v>21</v>
      </c>
      <c r="J163">
        <f t="shared" ca="1" si="11"/>
        <v>11</v>
      </c>
      <c r="K163">
        <f t="shared" ca="1" si="12"/>
        <v>36</v>
      </c>
      <c r="L163">
        <f t="shared" ca="1" si="12"/>
        <v>34</v>
      </c>
      <c r="M163" s="6" t="str" cm="1">
        <f t="array" aca="1" ref="M163" ca="1">INDEX($A$2:$A$40,I163,1)</f>
        <v>Feminino</v>
      </c>
      <c r="N163" s="6" t="str" cm="1">
        <f t="array" aca="1" ref="N163" ca="1">INDEX($B$2:$B$40,I163,1)</f>
        <v>Lurdes</v>
      </c>
      <c r="O163" s="6" t="str" cm="1">
        <f t="array" aca="1" ref="O163" ca="1">INDEX($B$2:$B$40,J163,1)</f>
        <v>Duarte</v>
      </c>
      <c r="P163" s="6" t="str" cm="1">
        <f t="array" aca="1" ref="P163" ca="1">INDEX($E$2:$E$98,K163)</f>
        <v>Rodrigues</v>
      </c>
      <c r="Q163" s="6" t="str" cm="1">
        <f t="array" aca="1" ref="Q163" ca="1">INDEX($E$2:$E$98,L163)</f>
        <v>Carvalho</v>
      </c>
      <c r="S163" t="str">
        <f t="shared" ca="1" si="13"/>
        <v>Feminino</v>
      </c>
      <c r="T163" t="str">
        <f t="shared" ca="1" si="10"/>
        <v>Lurdes Duarte Rodrigues Carvalho</v>
      </c>
    </row>
    <row r="164" spans="9:20" x14ac:dyDescent="0.25">
      <c r="I164">
        <f t="shared" ca="1" si="11"/>
        <v>35</v>
      </c>
      <c r="J164">
        <f t="shared" ca="1" si="11"/>
        <v>12</v>
      </c>
      <c r="K164">
        <f t="shared" ca="1" si="12"/>
        <v>45</v>
      </c>
      <c r="L164">
        <f t="shared" ca="1" si="12"/>
        <v>15</v>
      </c>
      <c r="M164" s="6" t="str" cm="1">
        <f t="array" aca="1" ref="M164" ca="1">INDEX($A$2:$A$40,I164,1)</f>
        <v>Masculino</v>
      </c>
      <c r="N164" s="6" t="str" cm="1">
        <f t="array" aca="1" ref="N164" ca="1">INDEX($B$2:$B$40,I164,1)</f>
        <v>Tiago</v>
      </c>
      <c r="O164" s="6" t="str" cm="1">
        <f t="array" aca="1" ref="O164" ca="1">INDEX($B$2:$B$40,J164,1)</f>
        <v>Francisca</v>
      </c>
      <c r="P164" s="6" t="str" cm="1">
        <f t="array" aca="1" ref="P164" ca="1">INDEX($E$2:$E$98,K164)</f>
        <v>Barbosa</v>
      </c>
      <c r="Q164" s="6" t="str" cm="1">
        <f t="array" aca="1" ref="Q164" ca="1">INDEX($E$2:$E$98,L164)</f>
        <v>Moreira</v>
      </c>
      <c r="S164" t="str">
        <f t="shared" ca="1" si="13"/>
        <v>Masculino</v>
      </c>
      <c r="T164" t="str">
        <f t="shared" ca="1" si="10"/>
        <v>Tiago Francisca Barbosa Moreira</v>
      </c>
    </row>
    <row r="165" spans="9:20" x14ac:dyDescent="0.25">
      <c r="I165">
        <f t="shared" ca="1" si="11"/>
        <v>4</v>
      </c>
      <c r="J165">
        <f t="shared" ca="1" si="11"/>
        <v>32</v>
      </c>
      <c r="K165">
        <f t="shared" ca="1" si="12"/>
        <v>30</v>
      </c>
      <c r="L165">
        <f t="shared" ca="1" si="12"/>
        <v>13</v>
      </c>
      <c r="M165" s="6" t="str" cm="1">
        <f t="array" aca="1" ref="M165" ca="1">INDEX($A$2:$A$40,I165,1)</f>
        <v>Feminino</v>
      </c>
      <c r="N165" s="6" t="str" cm="1">
        <f t="array" aca="1" ref="N165" ca="1">INDEX($B$2:$B$40,I165,1)</f>
        <v>Beatriz</v>
      </c>
      <c r="O165" s="6" t="str" cm="1">
        <f t="array" aca="1" ref="O165" ca="1">INDEX($B$2:$B$40,J165,1)</f>
        <v>Santiago</v>
      </c>
      <c r="P165" s="6" t="str" cm="1">
        <f t="array" aca="1" ref="P165" ca="1">INDEX($E$2:$E$98,K165)</f>
        <v>Monteiro</v>
      </c>
      <c r="Q165" s="6" t="str" cm="1">
        <f t="array" aca="1" ref="Q165" ca="1">INDEX($E$2:$E$98,L165)</f>
        <v>Santos</v>
      </c>
      <c r="S165" t="str">
        <f t="shared" ca="1" si="13"/>
        <v>Feminino</v>
      </c>
      <c r="T165" t="str">
        <f t="shared" ca="1" si="10"/>
        <v>Beatriz Santiago Monteiro Santos</v>
      </c>
    </row>
    <row r="166" spans="9:20" x14ac:dyDescent="0.25">
      <c r="I166">
        <f t="shared" ca="1" si="11"/>
        <v>24</v>
      </c>
      <c r="J166">
        <f t="shared" ca="1" si="11"/>
        <v>18</v>
      </c>
      <c r="K166">
        <f t="shared" ca="1" si="12"/>
        <v>18</v>
      </c>
      <c r="L166">
        <f t="shared" ca="1" si="12"/>
        <v>54</v>
      </c>
      <c r="M166" s="6" t="str" cm="1">
        <f t="array" aca="1" ref="M166" ca="1">INDEX($A$2:$A$40,I166,1)</f>
        <v>Feminino</v>
      </c>
      <c r="N166" s="6" t="str" cm="1">
        <f t="array" aca="1" ref="N166" ca="1">INDEX($B$2:$B$40,I166,1)</f>
        <v>Laura</v>
      </c>
      <c r="O166" s="6" t="str" cm="1">
        <f t="array" aca="1" ref="O166" ca="1">INDEX($B$2:$B$40,J166,1)</f>
        <v>José</v>
      </c>
      <c r="P166" s="6" t="str" cm="1">
        <f t="array" aca="1" ref="P166" ca="1">INDEX($E$2:$E$98,K166)</f>
        <v>Soares</v>
      </c>
      <c r="Q166" s="6" t="str" cm="1">
        <f t="array" aca="1" ref="Q166" ca="1">INDEX($E$2:$E$98,L166)</f>
        <v>Lima</v>
      </c>
      <c r="S166" t="str">
        <f t="shared" ca="1" si="13"/>
        <v>Feminino</v>
      </c>
      <c r="T166" t="str">
        <f t="shared" ca="1" si="10"/>
        <v>Laura José Soares Lima</v>
      </c>
    </row>
    <row r="167" spans="9:20" x14ac:dyDescent="0.25">
      <c r="I167">
        <f t="shared" ca="1" si="11"/>
        <v>33</v>
      </c>
      <c r="J167">
        <f t="shared" ca="1" si="11"/>
        <v>15</v>
      </c>
      <c r="K167">
        <f t="shared" ca="1" si="12"/>
        <v>58</v>
      </c>
      <c r="L167">
        <f t="shared" ca="1" si="12"/>
        <v>16</v>
      </c>
      <c r="M167" s="6" t="str" cm="1">
        <f t="array" aca="1" ref="M167" ca="1">INDEX($A$2:$A$40,I167,1)</f>
        <v>Feminino</v>
      </c>
      <c r="N167" s="6" t="str" cm="1">
        <f t="array" aca="1" ref="N167" ca="1">INDEX($B$2:$B$40,I167,1)</f>
        <v>Sara</v>
      </c>
      <c r="O167" s="6" t="str" cm="1">
        <f t="array" aca="1" ref="O167" ca="1">INDEX($B$2:$B$40,J167,1)</f>
        <v>Inês</v>
      </c>
      <c r="P167" s="6" t="str" cm="1">
        <f t="array" aca="1" ref="P167" ca="1">INDEX($E$2:$E$98,K167)</f>
        <v>Faria</v>
      </c>
      <c r="Q167" s="6" t="str" cm="1">
        <f t="array" aca="1" ref="Q167" ca="1">INDEX($E$2:$E$98,L167)</f>
        <v>Neves</v>
      </c>
      <c r="S167" t="str">
        <f t="shared" ca="1" si="13"/>
        <v>Feminino</v>
      </c>
      <c r="T167" t="str">
        <f t="shared" ca="1" si="10"/>
        <v>Sara Inês Faria Neves</v>
      </c>
    </row>
    <row r="168" spans="9:20" x14ac:dyDescent="0.25">
      <c r="I168">
        <f t="shared" ca="1" si="11"/>
        <v>22</v>
      </c>
      <c r="J168">
        <f t="shared" ca="1" si="11"/>
        <v>20</v>
      </c>
      <c r="K168">
        <f t="shared" ca="1" si="12"/>
        <v>3</v>
      </c>
      <c r="L168">
        <f t="shared" ca="1" si="12"/>
        <v>49</v>
      </c>
      <c r="M168" s="6" t="str" cm="1">
        <f t="array" aca="1" ref="M168" ca="1">INDEX($A$2:$A$40,I168,1)</f>
        <v>Masculino</v>
      </c>
      <c r="N168" s="6" t="str" cm="1">
        <f t="array" aca="1" ref="N168" ca="1">INDEX($B$2:$B$40,I168,1)</f>
        <v>Marco</v>
      </c>
      <c r="O168" s="6" t="str" cm="1">
        <f t="array" aca="1" ref="O168" ca="1">INDEX($B$2:$B$40,J168,1)</f>
        <v>Luís</v>
      </c>
      <c r="P168" s="6" t="str" cm="1">
        <f t="array" aca="1" ref="P168" ca="1">INDEX($E$2:$E$98,K168)</f>
        <v>Vieira</v>
      </c>
      <c r="Q168" s="6" t="str" cm="1">
        <f t="array" aca="1" ref="Q168" ca="1">INDEX($E$2:$E$98,L168)</f>
        <v>Figueiredo</v>
      </c>
      <c r="S168" t="str">
        <f t="shared" ca="1" si="13"/>
        <v>Masculino</v>
      </c>
      <c r="T168" t="str">
        <f t="shared" ca="1" si="10"/>
        <v>Marco Luís Vieira Figueiredo</v>
      </c>
    </row>
    <row r="169" spans="9:20" x14ac:dyDescent="0.25">
      <c r="I169">
        <f t="shared" ca="1" si="11"/>
        <v>35</v>
      </c>
      <c r="J169">
        <f t="shared" ca="1" si="11"/>
        <v>14</v>
      </c>
      <c r="K169">
        <f t="shared" ca="1" si="12"/>
        <v>64</v>
      </c>
      <c r="L169">
        <f t="shared" ca="1" si="12"/>
        <v>12</v>
      </c>
      <c r="M169" s="6" t="str" cm="1">
        <f t="array" aca="1" ref="M169" ca="1">INDEX($A$2:$A$40,I169,1)</f>
        <v>Masculino</v>
      </c>
      <c r="N169" s="6" t="str" cm="1">
        <f t="array" aca="1" ref="N169" ca="1">INDEX($B$2:$B$40,I169,1)</f>
        <v>Tiago</v>
      </c>
      <c r="O169" s="6" t="str" cm="1">
        <f t="array" aca="1" ref="O169" ca="1">INDEX($B$2:$B$40,J169,1)</f>
        <v>Gabriel</v>
      </c>
      <c r="P169" s="6" t="str" cm="1">
        <f t="array" aca="1" ref="P169" ca="1">INDEX($E$2:$E$98,K169)</f>
        <v>Anjos</v>
      </c>
      <c r="Q169" s="6" t="str" cm="1">
        <f t="array" aca="1" ref="Q169" ca="1">INDEX($E$2:$E$98,L169)</f>
        <v>Teixeira</v>
      </c>
      <c r="S169" t="str">
        <f t="shared" ca="1" si="13"/>
        <v>Masculino</v>
      </c>
      <c r="T169" t="str">
        <f t="shared" ca="1" si="10"/>
        <v>Tiago Gabriel Anjos Teixeira</v>
      </c>
    </row>
    <row r="170" spans="9:20" x14ac:dyDescent="0.25">
      <c r="I170">
        <f t="shared" ca="1" si="11"/>
        <v>37</v>
      </c>
      <c r="J170">
        <f t="shared" ca="1" si="11"/>
        <v>7</v>
      </c>
      <c r="K170">
        <f t="shared" ca="1" si="12"/>
        <v>43</v>
      </c>
      <c r="L170">
        <f t="shared" ca="1" si="12"/>
        <v>80</v>
      </c>
      <c r="M170" s="6" t="str" cm="1">
        <f t="array" aca="1" ref="M170" ca="1">INDEX($A$2:$A$40,I170,1)</f>
        <v>Feminino</v>
      </c>
      <c r="N170" s="6" t="str" cm="1">
        <f t="array" aca="1" ref="N170" ca="1">INDEX($B$2:$B$40,I170,1)</f>
        <v>Vera</v>
      </c>
      <c r="O170" s="6" t="str" cm="1">
        <f t="array" aca="1" ref="O170" ca="1">INDEX($B$2:$B$40,J170,1)</f>
        <v>Catarina</v>
      </c>
      <c r="P170" s="6" t="str" cm="1">
        <f t="array" aca="1" ref="P170" ca="1">INDEX($E$2:$E$98,K170)</f>
        <v>Machado</v>
      </c>
      <c r="Q170" s="6" t="str" cm="1">
        <f t="array" aca="1" ref="Q170" ca="1">INDEX($E$2:$E$98,L170)</f>
        <v>Assunção</v>
      </c>
      <c r="S170" t="str">
        <f t="shared" ca="1" si="13"/>
        <v>Feminino</v>
      </c>
      <c r="T170" t="str">
        <f t="shared" ca="1" si="10"/>
        <v>Vera Catarina Machado Assunção</v>
      </c>
    </row>
    <row r="171" spans="9:20" x14ac:dyDescent="0.25">
      <c r="I171">
        <f t="shared" ca="1" si="11"/>
        <v>1</v>
      </c>
      <c r="J171">
        <f t="shared" ca="1" si="11"/>
        <v>20</v>
      </c>
      <c r="K171">
        <f t="shared" ca="1" si="12"/>
        <v>97</v>
      </c>
      <c r="L171">
        <f t="shared" ca="1" si="12"/>
        <v>60</v>
      </c>
      <c r="M171" s="6" t="str" cm="1">
        <f t="array" aca="1" ref="M171" ca="1">INDEX($A$2:$A$40,I171,1)</f>
        <v>Masculino</v>
      </c>
      <c r="N171" s="6" t="str" cm="1">
        <f t="array" aca="1" ref="N171" ca="1">INDEX($B$2:$B$40,I171,1)</f>
        <v>Afonso</v>
      </c>
      <c r="O171" s="6" t="str" cm="1">
        <f t="array" aca="1" ref="O171" ca="1">INDEX($B$2:$B$40,J171,1)</f>
        <v>Luís</v>
      </c>
      <c r="P171" s="6" t="str" cm="1">
        <f t="array" aca="1" ref="P171" ca="1">INDEX($E$2:$E$98,K171)</f>
        <v>Torres</v>
      </c>
      <c r="Q171" s="6" t="str" cm="1">
        <f t="array" aca="1" ref="Q171" ca="1">INDEX($E$2:$E$98,L171)</f>
        <v>Barros</v>
      </c>
      <c r="S171" t="str">
        <f t="shared" ca="1" si="13"/>
        <v>Masculino</v>
      </c>
      <c r="T171" t="str">
        <f t="shared" ca="1" si="10"/>
        <v>Afonso Luís Torres Barros</v>
      </c>
    </row>
    <row r="172" spans="9:20" x14ac:dyDescent="0.25">
      <c r="I172">
        <f t="shared" ca="1" si="11"/>
        <v>11</v>
      </c>
      <c r="J172">
        <f t="shared" ca="1" si="11"/>
        <v>36</v>
      </c>
      <c r="K172">
        <f t="shared" ca="1" si="12"/>
        <v>76</v>
      </c>
      <c r="L172">
        <f t="shared" ca="1" si="12"/>
        <v>10</v>
      </c>
      <c r="M172" s="6" t="str" cm="1">
        <f t="array" aca="1" ref="M172" ca="1">INDEX($A$2:$A$40,I172,1)</f>
        <v>Masculino</v>
      </c>
      <c r="N172" s="6" t="str" cm="1">
        <f t="array" aca="1" ref="N172" ca="1">INDEX($B$2:$B$40,I172,1)</f>
        <v>Duarte</v>
      </c>
      <c r="O172" s="6" t="str" cm="1">
        <f t="array" aca="1" ref="O172" ca="1">INDEX($B$2:$B$40,J172,1)</f>
        <v>Tomás</v>
      </c>
      <c r="P172" s="6" t="str" cm="1">
        <f t="array" aca="1" ref="P172" ca="1">INDEX($E$2:$E$98,K172)</f>
        <v>Vaz</v>
      </c>
      <c r="Q172" s="6" t="str" cm="1">
        <f t="array" aca="1" ref="Q172" ca="1">INDEX($E$2:$E$98,L172)</f>
        <v>Correia</v>
      </c>
      <c r="S172" t="str">
        <f t="shared" ca="1" si="13"/>
        <v>Masculino</v>
      </c>
      <c r="T172" t="str">
        <f t="shared" ca="1" si="10"/>
        <v>Duarte Tomás Vaz Correia</v>
      </c>
    </row>
    <row r="173" spans="9:20" x14ac:dyDescent="0.25">
      <c r="I173">
        <f t="shared" ca="1" si="11"/>
        <v>36</v>
      </c>
      <c r="J173">
        <f t="shared" ca="1" si="11"/>
        <v>19</v>
      </c>
      <c r="K173">
        <f t="shared" ca="1" si="12"/>
        <v>16</v>
      </c>
      <c r="L173">
        <f t="shared" ca="1" si="12"/>
        <v>34</v>
      </c>
      <c r="M173" s="6" t="str" cm="1">
        <f t="array" aca="1" ref="M173" ca="1">INDEX($A$2:$A$40,I173,1)</f>
        <v>Masculino</v>
      </c>
      <c r="N173" s="6" t="str" cm="1">
        <f t="array" aca="1" ref="N173" ca="1">INDEX($B$2:$B$40,I173,1)</f>
        <v>Tomás</v>
      </c>
      <c r="O173" s="6" t="str" cm="1">
        <f t="array" aca="1" ref="O173" ca="1">INDEX($B$2:$B$40,J173,1)</f>
        <v>Leonor</v>
      </c>
      <c r="P173" s="6" t="str" cm="1">
        <f t="array" aca="1" ref="P173" ca="1">INDEX($E$2:$E$98,K173)</f>
        <v>Neves</v>
      </c>
      <c r="Q173" s="6" t="str" cm="1">
        <f t="array" aca="1" ref="Q173" ca="1">INDEX($E$2:$E$98,L173)</f>
        <v>Carvalho</v>
      </c>
      <c r="S173" t="str">
        <f t="shared" ca="1" si="13"/>
        <v>Masculino</v>
      </c>
      <c r="T173" t="str">
        <f t="shared" ca="1" si="10"/>
        <v>Tomás Leonor Neves Carvalho</v>
      </c>
    </row>
    <row r="174" spans="9:20" x14ac:dyDescent="0.25">
      <c r="I174">
        <f t="shared" ca="1" si="11"/>
        <v>38</v>
      </c>
      <c r="J174">
        <f t="shared" ca="1" si="11"/>
        <v>1</v>
      </c>
      <c r="K174">
        <f t="shared" ca="1" si="12"/>
        <v>90</v>
      </c>
      <c r="L174">
        <f t="shared" ca="1" si="12"/>
        <v>86</v>
      </c>
      <c r="M174" s="6" t="str" cm="1">
        <f t="array" aca="1" ref="M174" ca="1">INDEX($A$2:$A$40,I174,1)</f>
        <v>Masculino</v>
      </c>
      <c r="N174" s="6" t="str" cm="1">
        <f t="array" aca="1" ref="N174" ca="1">INDEX($B$2:$B$40,I174,1)</f>
        <v>Joaquim</v>
      </c>
      <c r="O174" s="6" t="str" cm="1">
        <f t="array" aca="1" ref="O174" ca="1">INDEX($B$2:$B$40,J174,1)</f>
        <v>Afonso</v>
      </c>
      <c r="P174" s="6" t="str" cm="1">
        <f t="array" aca="1" ref="P174" ca="1">INDEX($E$2:$E$98,K174)</f>
        <v>Branco</v>
      </c>
      <c r="Q174" s="6" t="str" cm="1">
        <f t="array" aca="1" ref="Q174" ca="1">INDEX($E$2:$E$98,L174)</f>
        <v>Carneiro</v>
      </c>
      <c r="S174" t="str">
        <f t="shared" ca="1" si="13"/>
        <v>Masculino</v>
      </c>
      <c r="T174" t="str">
        <f t="shared" ca="1" si="10"/>
        <v>Joaquim Afonso Branco Carneiro</v>
      </c>
    </row>
    <row r="175" spans="9:20" x14ac:dyDescent="0.25">
      <c r="I175">
        <f t="shared" ca="1" si="11"/>
        <v>6</v>
      </c>
      <c r="J175">
        <f t="shared" ca="1" si="11"/>
        <v>39</v>
      </c>
      <c r="K175">
        <f t="shared" ca="1" si="12"/>
        <v>5</v>
      </c>
      <c r="L175">
        <f t="shared" ca="1" si="12"/>
        <v>79</v>
      </c>
      <c r="M175" s="6" t="str" cm="1">
        <f t="array" aca="1" ref="M175" ca="1">INDEX($A$2:$A$40,I175,1)</f>
        <v>Feminino</v>
      </c>
      <c r="N175" s="6" t="str" cm="1">
        <f t="array" aca="1" ref="N175" ca="1">INDEX($B$2:$B$40,I175,1)</f>
        <v>Carolina</v>
      </c>
      <c r="O175" s="6" t="str" cm="1">
        <f t="array" aca="1" ref="O175" ca="1">INDEX($B$2:$B$40,J175,1)</f>
        <v>Lara</v>
      </c>
      <c r="P175" s="6" t="str" cm="1">
        <f t="array" aca="1" ref="P175" ca="1">INDEX($E$2:$E$98,K175)</f>
        <v>Nunes</v>
      </c>
      <c r="Q175" s="6" t="str" cm="1">
        <f t="array" aca="1" ref="Q175" ca="1">INDEX($E$2:$E$98,L175)</f>
        <v>Gaspar</v>
      </c>
      <c r="S175" t="str">
        <f t="shared" ca="1" si="13"/>
        <v>Feminino</v>
      </c>
      <c r="T175" t="str">
        <f t="shared" ca="1" si="10"/>
        <v>Carolina Lara Nunes Gaspar</v>
      </c>
    </row>
    <row r="176" spans="9:20" x14ac:dyDescent="0.25">
      <c r="I176">
        <f t="shared" ca="1" si="11"/>
        <v>36</v>
      </c>
      <c r="J176">
        <f t="shared" ca="1" si="11"/>
        <v>12</v>
      </c>
      <c r="K176">
        <f t="shared" ca="1" si="12"/>
        <v>94</v>
      </c>
      <c r="L176">
        <f t="shared" ca="1" si="12"/>
        <v>41</v>
      </c>
      <c r="M176" s="6" t="str" cm="1">
        <f t="array" aca="1" ref="M176" ca="1">INDEX($A$2:$A$40,I176,1)</f>
        <v>Masculino</v>
      </c>
      <c r="N176" s="6" t="str" cm="1">
        <f t="array" aca="1" ref="N176" ca="1">INDEX($B$2:$B$40,I176,1)</f>
        <v>Tomás</v>
      </c>
      <c r="O176" s="6" t="str" cm="1">
        <f t="array" aca="1" ref="O176" ca="1">INDEX($B$2:$B$40,J176,1)</f>
        <v>Francisca</v>
      </c>
      <c r="P176" s="6" t="str" cm="1">
        <f t="array" aca="1" ref="P176" ca="1">INDEX($E$2:$E$98,K176)</f>
        <v>Paiva</v>
      </c>
      <c r="Q176" s="6" t="str" cm="1">
        <f t="array" aca="1" ref="Q176" ca="1">INDEX($E$2:$E$98,L176)</f>
        <v>Matos</v>
      </c>
      <c r="S176" t="str">
        <f t="shared" ca="1" si="13"/>
        <v>Masculino</v>
      </c>
      <c r="T176" t="str">
        <f t="shared" ca="1" si="10"/>
        <v>Tomás Francisca Paiva Matos</v>
      </c>
    </row>
    <row r="177" spans="9:20" x14ac:dyDescent="0.25">
      <c r="I177">
        <f t="shared" ca="1" si="11"/>
        <v>31</v>
      </c>
      <c r="J177">
        <f t="shared" ca="1" si="11"/>
        <v>21</v>
      </c>
      <c r="K177">
        <f t="shared" ca="1" si="12"/>
        <v>18</v>
      </c>
      <c r="L177">
        <f t="shared" ca="1" si="12"/>
        <v>12</v>
      </c>
      <c r="M177" s="6" t="str" cm="1">
        <f t="array" aca="1" ref="M177" ca="1">INDEX($A$2:$A$40,I177,1)</f>
        <v>Masculino</v>
      </c>
      <c r="N177" s="6" t="str" cm="1">
        <f t="array" aca="1" ref="N177" ca="1">INDEX($B$2:$B$40,I177,1)</f>
        <v>Rodrigo</v>
      </c>
      <c r="O177" s="6" t="str" cm="1">
        <f t="array" aca="1" ref="O177" ca="1">INDEX($B$2:$B$40,J177,1)</f>
        <v>Lurdes</v>
      </c>
      <c r="P177" s="6" t="str" cm="1">
        <f t="array" aca="1" ref="P177" ca="1">INDEX($E$2:$E$98,K177)</f>
        <v>Soares</v>
      </c>
      <c r="Q177" s="6" t="str" cm="1">
        <f t="array" aca="1" ref="Q177" ca="1">INDEX($E$2:$E$98,L177)</f>
        <v>Teixeira</v>
      </c>
      <c r="S177" t="str">
        <f t="shared" ca="1" si="13"/>
        <v>Masculino</v>
      </c>
      <c r="T177" t="str">
        <f t="shared" ca="1" si="10"/>
        <v>Rodrigo Lurdes Soares Teixeira</v>
      </c>
    </row>
    <row r="178" spans="9:20" x14ac:dyDescent="0.25">
      <c r="I178">
        <f t="shared" ca="1" si="11"/>
        <v>28</v>
      </c>
      <c r="J178">
        <f t="shared" ca="1" si="11"/>
        <v>24</v>
      </c>
      <c r="K178">
        <f t="shared" ca="1" si="12"/>
        <v>73</v>
      </c>
      <c r="L178">
        <f t="shared" ca="1" si="12"/>
        <v>69</v>
      </c>
      <c r="M178" s="6" t="str" cm="1">
        <f t="array" aca="1" ref="M178" ca="1">INDEX($A$2:$A$40,I178,1)</f>
        <v>Masculino</v>
      </c>
      <c r="N178" s="6" t="str" cm="1">
        <f t="array" aca="1" ref="N178" ca="1">INDEX($B$2:$B$40,I178,1)</f>
        <v>Miguel</v>
      </c>
      <c r="O178" s="6" t="str" cm="1">
        <f t="array" aca="1" ref="O178" ca="1">INDEX($B$2:$B$40,J178,1)</f>
        <v>Laura</v>
      </c>
      <c r="P178" s="6" t="str" cm="1">
        <f t="array" aca="1" ref="P178" ca="1">INDEX($E$2:$E$98,K178)</f>
        <v>Abreu</v>
      </c>
      <c r="Q178" s="6" t="str" cm="1">
        <f t="array" aca="1" ref="Q178" ca="1">INDEX($E$2:$E$98,L178)</f>
        <v>Brito</v>
      </c>
      <c r="S178" t="str">
        <f t="shared" ca="1" si="13"/>
        <v>Masculino</v>
      </c>
      <c r="T178" t="str">
        <f t="shared" ca="1" si="10"/>
        <v>Miguel Laura Abreu Brito</v>
      </c>
    </row>
    <row r="179" spans="9:20" x14ac:dyDescent="0.25">
      <c r="I179">
        <f t="shared" ca="1" si="11"/>
        <v>28</v>
      </c>
      <c r="J179">
        <f t="shared" ca="1" si="11"/>
        <v>18</v>
      </c>
      <c r="K179">
        <f t="shared" ca="1" si="12"/>
        <v>86</v>
      </c>
      <c r="L179">
        <f t="shared" ca="1" si="12"/>
        <v>47</v>
      </c>
      <c r="M179" s="6" t="str" cm="1">
        <f t="array" aca="1" ref="M179" ca="1">INDEX($A$2:$A$40,I179,1)</f>
        <v>Masculino</v>
      </c>
      <c r="N179" s="6" t="str" cm="1">
        <f t="array" aca="1" ref="N179" ca="1">INDEX($B$2:$B$40,I179,1)</f>
        <v>Miguel</v>
      </c>
      <c r="O179" s="6" t="str" cm="1">
        <f t="array" aca="1" ref="O179" ca="1">INDEX($B$2:$B$40,J179,1)</f>
        <v>José</v>
      </c>
      <c r="P179" s="6" t="str" cm="1">
        <f t="array" aca="1" ref="P179" ca="1">INDEX($E$2:$E$98,K179)</f>
        <v>Carneiro</v>
      </c>
      <c r="Q179" s="6" t="str" cm="1">
        <f t="array" aca="1" ref="Q179" ca="1">INDEX($E$2:$E$98,L179)</f>
        <v>Lourenço</v>
      </c>
      <c r="S179" t="str">
        <f t="shared" ca="1" si="13"/>
        <v>Masculino</v>
      </c>
      <c r="T179" t="str">
        <f t="shared" ca="1" si="10"/>
        <v>Miguel José Carneiro Lourenço</v>
      </c>
    </row>
    <row r="180" spans="9:20" x14ac:dyDescent="0.25">
      <c r="I180">
        <f t="shared" ca="1" si="11"/>
        <v>33</v>
      </c>
      <c r="J180">
        <f t="shared" ca="1" si="11"/>
        <v>10</v>
      </c>
      <c r="K180">
        <f t="shared" ca="1" si="12"/>
        <v>14</v>
      </c>
      <c r="L180">
        <f t="shared" ca="1" si="12"/>
        <v>49</v>
      </c>
      <c r="M180" s="6" t="str" cm="1">
        <f t="array" aca="1" ref="M180" ca="1">INDEX($A$2:$A$40,I180,1)</f>
        <v>Feminino</v>
      </c>
      <c r="N180" s="6" t="str" cm="1">
        <f t="array" aca="1" ref="N180" ca="1">INDEX($B$2:$B$40,I180,1)</f>
        <v>Sara</v>
      </c>
      <c r="O180" s="6" t="str" cm="1">
        <f t="array" aca="1" ref="O180" ca="1">INDEX($B$2:$B$40,J180,1)</f>
        <v>Diogo</v>
      </c>
      <c r="P180" s="6" t="str" cm="1">
        <f t="array" aca="1" ref="P180" ca="1">INDEX($E$2:$E$98,K180)</f>
        <v>Sousa</v>
      </c>
      <c r="Q180" s="6" t="str" cm="1">
        <f t="array" aca="1" ref="Q180" ca="1">INDEX($E$2:$E$98,L180)</f>
        <v>Figueiredo</v>
      </c>
      <c r="S180" t="str">
        <f t="shared" ca="1" si="13"/>
        <v>Feminino</v>
      </c>
      <c r="T180" t="str">
        <f t="shared" ca="1" si="10"/>
        <v>Sara Diogo Sousa Figueiredo</v>
      </c>
    </row>
    <row r="181" spans="9:20" x14ac:dyDescent="0.25">
      <c r="I181">
        <f t="shared" ca="1" si="11"/>
        <v>19</v>
      </c>
      <c r="J181">
        <f t="shared" ca="1" si="11"/>
        <v>2</v>
      </c>
      <c r="K181">
        <f t="shared" ca="1" si="12"/>
        <v>94</v>
      </c>
      <c r="L181">
        <f t="shared" ca="1" si="12"/>
        <v>58</v>
      </c>
      <c r="M181" s="6" t="str" cm="1">
        <f t="array" aca="1" ref="M181" ca="1">INDEX($A$2:$A$40,I181,1)</f>
        <v>Feminino</v>
      </c>
      <c r="N181" s="6" t="str" cm="1">
        <f t="array" aca="1" ref="N181" ca="1">INDEX($B$2:$B$40,I181,1)</f>
        <v>Leonor</v>
      </c>
      <c r="O181" s="6" t="str" cm="1">
        <f t="array" aca="1" ref="O181" ca="1">INDEX($B$2:$B$40,J181,1)</f>
        <v>Ana</v>
      </c>
      <c r="P181" s="6" t="str" cm="1">
        <f t="array" aca="1" ref="P181" ca="1">INDEX($E$2:$E$98,K181)</f>
        <v>Paiva</v>
      </c>
      <c r="Q181" s="6" t="str" cm="1">
        <f t="array" aca="1" ref="Q181" ca="1">INDEX($E$2:$E$98,L181)</f>
        <v>Faria</v>
      </c>
      <c r="S181" t="str">
        <f t="shared" ca="1" si="13"/>
        <v>Feminino</v>
      </c>
      <c r="T181" t="str">
        <f t="shared" ref="T181:T200" ca="1" si="14">N181 &amp; " " &amp; O181 &amp; " " &amp; P181  &amp; " " &amp; Q181</f>
        <v>Leonor Ana Paiva Faria</v>
      </c>
    </row>
    <row r="182" spans="9:20" x14ac:dyDescent="0.25">
      <c r="I182">
        <f t="shared" ca="1" si="11"/>
        <v>39</v>
      </c>
      <c r="J182">
        <f t="shared" ca="1" si="11"/>
        <v>33</v>
      </c>
      <c r="K182">
        <f t="shared" ca="1" si="12"/>
        <v>94</v>
      </c>
      <c r="L182">
        <f t="shared" ca="1" si="12"/>
        <v>12</v>
      </c>
      <c r="M182" s="6" t="str" cm="1">
        <f t="array" aca="1" ref="M182" ca="1">INDEX($A$2:$A$40,I182,1)</f>
        <v>Feminino</v>
      </c>
      <c r="N182" s="6" t="str" cm="1">
        <f t="array" aca="1" ref="N182" ca="1">INDEX($B$2:$B$40,I182,1)</f>
        <v>Lara</v>
      </c>
      <c r="O182" s="6" t="str" cm="1">
        <f t="array" aca="1" ref="O182" ca="1">INDEX($B$2:$B$40,J182,1)</f>
        <v>Sara</v>
      </c>
      <c r="P182" s="6" t="str" cm="1">
        <f t="array" aca="1" ref="P182" ca="1">INDEX($E$2:$E$98,K182)</f>
        <v>Paiva</v>
      </c>
      <c r="Q182" s="6" t="str" cm="1">
        <f t="array" aca="1" ref="Q182" ca="1">INDEX($E$2:$E$98,L182)</f>
        <v>Teixeira</v>
      </c>
      <c r="S182" t="str">
        <f t="shared" ca="1" si="13"/>
        <v>Feminino</v>
      </c>
      <c r="T182" t="str">
        <f t="shared" ca="1" si="14"/>
        <v>Lara Sara Paiva Teixeira</v>
      </c>
    </row>
    <row r="183" spans="9:20" x14ac:dyDescent="0.25">
      <c r="I183">
        <f t="shared" ca="1" si="11"/>
        <v>3</v>
      </c>
      <c r="J183">
        <f t="shared" ca="1" si="11"/>
        <v>8</v>
      </c>
      <c r="K183">
        <f t="shared" ca="1" si="12"/>
        <v>54</v>
      </c>
      <c r="L183">
        <f t="shared" ca="1" si="12"/>
        <v>73</v>
      </c>
      <c r="M183" s="6" t="str" cm="1">
        <f t="array" aca="1" ref="M183" ca="1">INDEX($A$2:$A$40,I183,1)</f>
        <v>Masculino</v>
      </c>
      <c r="N183" s="6" t="str" cm="1">
        <f t="array" aca="1" ref="N183" ca="1">INDEX($B$2:$B$40,I183,1)</f>
        <v>André</v>
      </c>
      <c r="O183" s="6" t="str" cm="1">
        <f t="array" aca="1" ref="O183" ca="1">INDEX($B$2:$B$40,J183,1)</f>
        <v>Daniela</v>
      </c>
      <c r="P183" s="6" t="str" cm="1">
        <f t="array" aca="1" ref="P183" ca="1">INDEX($E$2:$E$98,K183)</f>
        <v>Lima</v>
      </c>
      <c r="Q183" s="6" t="str" cm="1">
        <f t="array" aca="1" ref="Q183" ca="1">INDEX($E$2:$E$98,L183)</f>
        <v>Abreu</v>
      </c>
      <c r="S183" t="str">
        <f t="shared" ca="1" si="13"/>
        <v>Masculino</v>
      </c>
      <c r="T183" t="str">
        <f t="shared" ca="1" si="14"/>
        <v>André Daniela Lima Abreu</v>
      </c>
    </row>
    <row r="184" spans="9:20" x14ac:dyDescent="0.25">
      <c r="I184">
        <f t="shared" ca="1" si="11"/>
        <v>17</v>
      </c>
      <c r="J184">
        <f t="shared" ca="1" si="11"/>
        <v>38</v>
      </c>
      <c r="K184">
        <f t="shared" ca="1" si="12"/>
        <v>14</v>
      </c>
      <c r="L184">
        <f t="shared" ca="1" si="12"/>
        <v>71</v>
      </c>
      <c r="M184" s="6" t="str" cm="1">
        <f t="array" aca="1" ref="M184" ca="1">INDEX($A$2:$A$40,I184,1)</f>
        <v>Masculino</v>
      </c>
      <c r="N184" s="6" t="str" cm="1">
        <f t="array" aca="1" ref="N184" ca="1">INDEX($B$2:$B$40,I184,1)</f>
        <v>João</v>
      </c>
      <c r="O184" s="6" t="str" cm="1">
        <f t="array" aca="1" ref="O184" ca="1">INDEX($B$2:$B$40,J184,1)</f>
        <v>Joaquim</v>
      </c>
      <c r="P184" s="6" t="str" cm="1">
        <f t="array" aca="1" ref="P184" ca="1">INDEX($E$2:$E$98,K184)</f>
        <v>Sousa</v>
      </c>
      <c r="Q184" s="6" t="str" cm="1">
        <f t="array" aca="1" ref="Q184" ca="1">INDEX($E$2:$E$98,L184)</f>
        <v>Nascimento</v>
      </c>
      <c r="S184" t="str">
        <f t="shared" ca="1" si="13"/>
        <v>Masculino</v>
      </c>
      <c r="T184" t="str">
        <f t="shared" ca="1" si="14"/>
        <v>João Joaquim Sousa Nascimento</v>
      </c>
    </row>
    <row r="185" spans="9:20" x14ac:dyDescent="0.25">
      <c r="I185">
        <f t="shared" ca="1" si="11"/>
        <v>9</v>
      </c>
      <c r="J185">
        <f t="shared" ca="1" si="11"/>
        <v>28</v>
      </c>
      <c r="K185">
        <f t="shared" ca="1" si="12"/>
        <v>69</v>
      </c>
      <c r="L185">
        <f t="shared" ca="1" si="12"/>
        <v>3</v>
      </c>
      <c r="M185" s="6" t="str" cm="1">
        <f t="array" aca="1" ref="M185" ca="1">INDEX($A$2:$A$40,I185,1)</f>
        <v>Feminino</v>
      </c>
      <c r="N185" s="6" t="str" cm="1">
        <f t="array" aca="1" ref="N185" ca="1">INDEX($B$2:$B$40,I185,1)</f>
        <v>Diana</v>
      </c>
      <c r="O185" s="6" t="str" cm="1">
        <f t="array" aca="1" ref="O185" ca="1">INDEX($B$2:$B$40,J185,1)</f>
        <v>Miguel</v>
      </c>
      <c r="P185" s="6" t="str" cm="1">
        <f t="array" aca="1" ref="P185" ca="1">INDEX($E$2:$E$98,K185)</f>
        <v>Brito</v>
      </c>
      <c r="Q185" s="6" t="str" cm="1">
        <f t="array" aca="1" ref="Q185" ca="1">INDEX($E$2:$E$98,L185)</f>
        <v>Vieira</v>
      </c>
      <c r="S185" t="str">
        <f t="shared" ca="1" si="13"/>
        <v>Feminino</v>
      </c>
      <c r="T185" t="str">
        <f t="shared" ca="1" si="14"/>
        <v>Diana Miguel Brito Vieira</v>
      </c>
    </row>
    <row r="186" spans="9:20" x14ac:dyDescent="0.25">
      <c r="I186">
        <f t="shared" ca="1" si="11"/>
        <v>35</v>
      </c>
      <c r="J186">
        <f t="shared" ca="1" si="11"/>
        <v>6</v>
      </c>
      <c r="K186">
        <f t="shared" ca="1" si="12"/>
        <v>8</v>
      </c>
      <c r="L186">
        <f t="shared" ca="1" si="12"/>
        <v>64</v>
      </c>
      <c r="M186" s="6" t="str" cm="1">
        <f t="array" aca="1" ref="M186" ca="1">INDEX($A$2:$A$40,I186,1)</f>
        <v>Masculino</v>
      </c>
      <c r="N186" s="6" t="str" cm="1">
        <f t="array" aca="1" ref="N186" ca="1">INDEX($B$2:$B$40,I186,1)</f>
        <v>Tiago</v>
      </c>
      <c r="O186" s="6" t="str" cm="1">
        <f t="array" aca="1" ref="O186" ca="1">INDEX($B$2:$B$40,J186,1)</f>
        <v>Carolina</v>
      </c>
      <c r="P186" s="6" t="str" cm="1">
        <f t="array" aca="1" ref="P186" ca="1">INDEX($E$2:$E$98,K186)</f>
        <v>Pires</v>
      </c>
      <c r="Q186" s="6" t="str" cm="1">
        <f t="array" aca="1" ref="Q186" ca="1">INDEX($E$2:$E$98,L186)</f>
        <v>Anjos</v>
      </c>
      <c r="S186" t="str">
        <f t="shared" ca="1" si="13"/>
        <v>Masculino</v>
      </c>
      <c r="T186" t="str">
        <f t="shared" ca="1" si="14"/>
        <v>Tiago Carolina Pires Anjos</v>
      </c>
    </row>
    <row r="187" spans="9:20" x14ac:dyDescent="0.25">
      <c r="I187">
        <f t="shared" ca="1" si="11"/>
        <v>37</v>
      </c>
      <c r="J187">
        <f t="shared" ca="1" si="11"/>
        <v>13</v>
      </c>
      <c r="K187">
        <f t="shared" ca="1" si="12"/>
        <v>69</v>
      </c>
      <c r="L187">
        <f t="shared" ca="1" si="12"/>
        <v>9</v>
      </c>
      <c r="M187" s="6" t="str" cm="1">
        <f t="array" aca="1" ref="M187" ca="1">INDEX($A$2:$A$40,I187,1)</f>
        <v>Feminino</v>
      </c>
      <c r="N187" s="6" t="str" cm="1">
        <f t="array" aca="1" ref="N187" ca="1">INDEX($B$2:$B$40,I187,1)</f>
        <v>Vera</v>
      </c>
      <c r="O187" s="6" t="str" cm="1">
        <f t="array" aca="1" ref="O187" ca="1">INDEX($B$2:$B$40,J187,1)</f>
        <v>Francisco</v>
      </c>
      <c r="P187" s="6" t="str" cm="1">
        <f t="array" aca="1" ref="P187" ca="1">INDEX($E$2:$E$98,K187)</f>
        <v>Brito</v>
      </c>
      <c r="Q187" s="6" t="str" cm="1">
        <f t="array" aca="1" ref="Q187" ca="1">INDEX($E$2:$E$98,L187)</f>
        <v>Ramos</v>
      </c>
      <c r="S187" t="str">
        <f t="shared" ca="1" si="13"/>
        <v>Feminino</v>
      </c>
      <c r="T187" t="str">
        <f t="shared" ca="1" si="14"/>
        <v>Vera Francisco Brito Ramos</v>
      </c>
    </row>
    <row r="188" spans="9:20" x14ac:dyDescent="0.25">
      <c r="I188">
        <f t="shared" ca="1" si="11"/>
        <v>18</v>
      </c>
      <c r="J188">
        <f t="shared" ca="1" si="11"/>
        <v>22</v>
      </c>
      <c r="K188">
        <f t="shared" ca="1" si="12"/>
        <v>70</v>
      </c>
      <c r="L188">
        <f t="shared" ca="1" si="12"/>
        <v>62</v>
      </c>
      <c r="M188" s="6" t="str" cm="1">
        <f t="array" aca="1" ref="M188" ca="1">INDEX($A$2:$A$40,I188,1)</f>
        <v>Masculino</v>
      </c>
      <c r="N188" s="6" t="str" cm="1">
        <f t="array" aca="1" ref="N188" ca="1">INDEX($B$2:$B$40,I188,1)</f>
        <v>José</v>
      </c>
      <c r="O188" s="6" t="str" cm="1">
        <f t="array" aca="1" ref="O188" ca="1">INDEX($B$2:$B$40,J188,1)</f>
        <v>Marco</v>
      </c>
      <c r="P188" s="6" t="str" cm="1">
        <f t="array" aca="1" ref="P188" ca="1">INDEX($E$2:$E$98,K188)</f>
        <v>Sá</v>
      </c>
      <c r="Q188" s="6" t="str" cm="1">
        <f t="array" aca="1" ref="Q188" ca="1">INDEX($E$2:$E$98,L188)</f>
        <v>Nogueira</v>
      </c>
      <c r="S188" t="str">
        <f t="shared" ca="1" si="13"/>
        <v>Masculino</v>
      </c>
      <c r="T188" t="str">
        <f t="shared" ca="1" si="14"/>
        <v>José Marco Sá Nogueira</v>
      </c>
    </row>
    <row r="189" spans="9:20" x14ac:dyDescent="0.25">
      <c r="I189">
        <f t="shared" ca="1" si="11"/>
        <v>26</v>
      </c>
      <c r="J189">
        <f t="shared" ca="1" si="11"/>
        <v>13</v>
      </c>
      <c r="K189">
        <f t="shared" ca="1" si="12"/>
        <v>97</v>
      </c>
      <c r="L189">
        <f t="shared" ca="1" si="12"/>
        <v>45</v>
      </c>
      <c r="M189" s="6" t="str" cm="1">
        <f t="array" aca="1" ref="M189" ca="1">INDEX($A$2:$A$40,I189,1)</f>
        <v>Masculino</v>
      </c>
      <c r="N189" s="6" t="str" cm="1">
        <f t="array" aca="1" ref="N189" ca="1">INDEX($B$2:$B$40,I189,1)</f>
        <v>Martim</v>
      </c>
      <c r="O189" s="6" t="str" cm="1">
        <f t="array" aca="1" ref="O189" ca="1">INDEX($B$2:$B$40,J189,1)</f>
        <v>Francisco</v>
      </c>
      <c r="P189" s="6" t="str" cm="1">
        <f t="array" aca="1" ref="P189" ca="1">INDEX($E$2:$E$98,K189)</f>
        <v>Torres</v>
      </c>
      <c r="Q189" s="6" t="str" cm="1">
        <f t="array" aca="1" ref="Q189" ca="1">INDEX($E$2:$E$98,L189)</f>
        <v>Barbosa</v>
      </c>
      <c r="S189" t="str">
        <f t="shared" ca="1" si="13"/>
        <v>Masculino</v>
      </c>
      <c r="T189" t="str">
        <f t="shared" ca="1" si="14"/>
        <v>Martim Francisco Torres Barbosa</v>
      </c>
    </row>
    <row r="190" spans="9:20" x14ac:dyDescent="0.25">
      <c r="I190">
        <f t="shared" ca="1" si="11"/>
        <v>5</v>
      </c>
      <c r="J190">
        <f t="shared" ca="1" si="11"/>
        <v>34</v>
      </c>
      <c r="K190">
        <f t="shared" ca="1" si="12"/>
        <v>37</v>
      </c>
      <c r="L190">
        <f t="shared" ca="1" si="12"/>
        <v>23</v>
      </c>
      <c r="M190" s="6" t="str" cm="1">
        <f t="array" aca="1" ref="M190" ca="1">INDEX($A$2:$A$40,I190,1)</f>
        <v>Masculino</v>
      </c>
      <c r="N190" s="6" t="str" cm="1">
        <f t="array" aca="1" ref="N190" ca="1">INDEX($B$2:$B$40,I190,1)</f>
        <v>Bruno</v>
      </c>
      <c r="O190" s="6" t="str" cm="1">
        <f t="array" aca="1" ref="O190" ca="1">INDEX($B$2:$B$40,J190,1)</f>
        <v>Sofia</v>
      </c>
      <c r="P190" s="6" t="str" cm="1">
        <f t="array" aca="1" ref="P190" ca="1">INDEX($E$2:$E$98,K190)</f>
        <v>Rocha</v>
      </c>
      <c r="Q190" s="6" t="str" cm="1">
        <f t="array" aca="1" ref="Q190" ca="1">INDEX($E$2:$E$98,L190)</f>
        <v>Gomes</v>
      </c>
      <c r="S190" t="str">
        <f t="shared" ca="1" si="13"/>
        <v>Masculino</v>
      </c>
      <c r="T190" t="str">
        <f t="shared" ca="1" si="14"/>
        <v>Bruno Sofia Rocha Gomes</v>
      </c>
    </row>
    <row r="191" spans="9:20" x14ac:dyDescent="0.25">
      <c r="I191">
        <f t="shared" ca="1" si="11"/>
        <v>11</v>
      </c>
      <c r="J191">
        <f t="shared" ca="1" si="11"/>
        <v>7</v>
      </c>
      <c r="K191">
        <f t="shared" ca="1" si="12"/>
        <v>46</v>
      </c>
      <c r="L191">
        <f t="shared" ca="1" si="12"/>
        <v>41</v>
      </c>
      <c r="M191" s="6" t="str" cm="1">
        <f t="array" aca="1" ref="M191" ca="1">INDEX($A$2:$A$40,I191,1)</f>
        <v>Masculino</v>
      </c>
      <c r="N191" s="6" t="str" cm="1">
        <f t="array" aca="1" ref="N191" ca="1">INDEX($B$2:$B$40,I191,1)</f>
        <v>Duarte</v>
      </c>
      <c r="O191" s="6" t="str" cm="1">
        <f t="array" aca="1" ref="O191" ca="1">INDEX($B$2:$B$40,J191,1)</f>
        <v>Catarina</v>
      </c>
      <c r="P191" s="6" t="str" cm="1">
        <f t="array" aca="1" ref="P191" ca="1">INDEX($E$2:$E$98,K191)</f>
        <v>Tavares</v>
      </c>
      <c r="Q191" s="6" t="str" cm="1">
        <f t="array" aca="1" ref="Q191" ca="1">INDEX($E$2:$E$98,L191)</f>
        <v>Matos</v>
      </c>
      <c r="S191" t="str">
        <f t="shared" ca="1" si="13"/>
        <v>Masculino</v>
      </c>
      <c r="T191" t="str">
        <f t="shared" ca="1" si="14"/>
        <v>Duarte Catarina Tavares Matos</v>
      </c>
    </row>
    <row r="192" spans="9:20" x14ac:dyDescent="0.25">
      <c r="I192">
        <f t="shared" ca="1" si="11"/>
        <v>12</v>
      </c>
      <c r="J192">
        <f t="shared" ca="1" si="11"/>
        <v>10</v>
      </c>
      <c r="K192">
        <f t="shared" ca="1" si="12"/>
        <v>12</v>
      </c>
      <c r="L192">
        <f t="shared" ca="1" si="12"/>
        <v>2</v>
      </c>
      <c r="M192" s="6" t="str" cm="1">
        <f t="array" aca="1" ref="M192" ca="1">INDEX($A$2:$A$40,I192,1)</f>
        <v>Feminino</v>
      </c>
      <c r="N192" s="6" t="str" cm="1">
        <f t="array" aca="1" ref="N192" ca="1">INDEX($B$2:$B$40,I192,1)</f>
        <v>Francisca</v>
      </c>
      <c r="O192" s="6" t="str" cm="1">
        <f t="array" aca="1" ref="O192" ca="1">INDEX($B$2:$B$40,J192,1)</f>
        <v>Diogo</v>
      </c>
      <c r="P192" s="6" t="str" cm="1">
        <f t="array" aca="1" ref="P192" ca="1">INDEX($E$2:$E$98,K192)</f>
        <v>Teixeira</v>
      </c>
      <c r="Q192" s="6" t="str" cm="1">
        <f t="array" aca="1" ref="Q192" ca="1">INDEX($E$2:$E$98,L192)</f>
        <v>Pinto</v>
      </c>
      <c r="S192" t="str">
        <f t="shared" ca="1" si="13"/>
        <v>Feminino</v>
      </c>
      <c r="T192" t="str">
        <f t="shared" ca="1" si="14"/>
        <v>Francisca Diogo Teixeira Pinto</v>
      </c>
    </row>
    <row r="193" spans="9:20" x14ac:dyDescent="0.25">
      <c r="I193">
        <f t="shared" ca="1" si="11"/>
        <v>32</v>
      </c>
      <c r="J193">
        <f t="shared" ca="1" si="11"/>
        <v>26</v>
      </c>
      <c r="K193">
        <f t="shared" ca="1" si="12"/>
        <v>67</v>
      </c>
      <c r="L193">
        <f t="shared" ca="1" si="12"/>
        <v>5</v>
      </c>
      <c r="M193" s="6" t="str" cm="1">
        <f t="array" aca="1" ref="M193" ca="1">INDEX($A$2:$A$40,I193,1)</f>
        <v>Masculino</v>
      </c>
      <c r="N193" s="6" t="str" cm="1">
        <f t="array" aca="1" ref="N193" ca="1">INDEX($B$2:$B$40,I193,1)</f>
        <v>Santiago</v>
      </c>
      <c r="O193" s="6" t="str" cm="1">
        <f t="array" aca="1" ref="O193" ca="1">INDEX($B$2:$B$40,J193,1)</f>
        <v>Martim</v>
      </c>
      <c r="P193" s="6" t="str" cm="1">
        <f t="array" aca="1" ref="P193" ca="1">INDEX($E$2:$E$98,K193)</f>
        <v>Mota</v>
      </c>
      <c r="Q193" s="6" t="str" cm="1">
        <f t="array" aca="1" ref="Q193" ca="1">INDEX($E$2:$E$98,L193)</f>
        <v>Nunes</v>
      </c>
      <c r="S193" t="str">
        <f t="shared" ca="1" si="13"/>
        <v>Masculino</v>
      </c>
      <c r="T193" t="str">
        <f t="shared" ca="1" si="14"/>
        <v>Santiago Martim Mota Nunes</v>
      </c>
    </row>
    <row r="194" spans="9:20" x14ac:dyDescent="0.25">
      <c r="I194">
        <f t="shared" ca="1" si="11"/>
        <v>14</v>
      </c>
      <c r="J194">
        <f t="shared" ca="1" si="11"/>
        <v>5</v>
      </c>
      <c r="K194">
        <f t="shared" ca="1" si="12"/>
        <v>74</v>
      </c>
      <c r="L194">
        <f t="shared" ca="1" si="12"/>
        <v>46</v>
      </c>
      <c r="M194" s="6" t="str" cm="1">
        <f t="array" aca="1" ref="M194" ca="1">INDEX($A$2:$A$40,I194,1)</f>
        <v>Masculino</v>
      </c>
      <c r="N194" s="6" t="str" cm="1">
        <f t="array" aca="1" ref="N194" ca="1">INDEX($B$2:$B$40,I194,1)</f>
        <v>Gabriel</v>
      </c>
      <c r="O194" s="6" t="str" cm="1">
        <f t="array" aca="1" ref="O194" ca="1">INDEX($B$2:$B$40,J194,1)</f>
        <v>Bruno</v>
      </c>
      <c r="P194" s="6" t="str" cm="1">
        <f t="array" aca="1" ref="P194" ca="1">INDEX($E$2:$E$98,K194)</f>
        <v>Borges</v>
      </c>
      <c r="Q194" s="6" t="str" cm="1">
        <f t="array" aca="1" ref="Q194" ca="1">INDEX($E$2:$E$98,L194)</f>
        <v>Tavares</v>
      </c>
      <c r="S194" t="str">
        <f t="shared" ca="1" si="13"/>
        <v>Masculino</v>
      </c>
      <c r="T194" t="str">
        <f t="shared" ca="1" si="14"/>
        <v>Gabriel Bruno Borges Tavares</v>
      </c>
    </row>
    <row r="195" spans="9:20" x14ac:dyDescent="0.25">
      <c r="I195">
        <f t="shared" ref="I195:J200" ca="1" si="15">RANDBETWEEN(1,39)</f>
        <v>22</v>
      </c>
      <c r="J195">
        <f t="shared" ca="1" si="15"/>
        <v>6</v>
      </c>
      <c r="K195">
        <f t="shared" ref="K195:L200" ca="1" si="16">RANDBETWEEN(1,97)</f>
        <v>25</v>
      </c>
      <c r="L195">
        <f t="shared" ca="1" si="16"/>
        <v>2</v>
      </c>
      <c r="M195" s="6" t="str" cm="1">
        <f t="array" aca="1" ref="M195" ca="1">INDEX($A$2:$A$40,I195,1)</f>
        <v>Masculino</v>
      </c>
      <c r="N195" s="6" t="str" cm="1">
        <f t="array" aca="1" ref="N195" ca="1">INDEX($B$2:$B$40,I195,1)</f>
        <v>Marco</v>
      </c>
      <c r="O195" s="6" t="str" cm="1">
        <f t="array" aca="1" ref="O195" ca="1">INDEX($B$2:$B$40,J195,1)</f>
        <v>Carolina</v>
      </c>
      <c r="P195" s="6" t="str" cm="1">
        <f t="array" aca="1" ref="P195" ca="1">INDEX($E$2:$E$98,K195)</f>
        <v>Cruz</v>
      </c>
      <c r="Q195" s="6" t="str" cm="1">
        <f t="array" aca="1" ref="Q195" ca="1">INDEX($E$2:$E$98,L195)</f>
        <v>Pinto</v>
      </c>
      <c r="S195" t="str">
        <f t="shared" ca="1" si="13"/>
        <v>Masculino</v>
      </c>
      <c r="T195" t="str">
        <f t="shared" ca="1" si="14"/>
        <v>Marco Carolina Cruz Pinto</v>
      </c>
    </row>
    <row r="196" spans="9:20" x14ac:dyDescent="0.25">
      <c r="I196">
        <f t="shared" ca="1" si="15"/>
        <v>16</v>
      </c>
      <c r="J196">
        <f t="shared" ca="1" si="15"/>
        <v>23</v>
      </c>
      <c r="K196">
        <f t="shared" ca="1" si="16"/>
        <v>54</v>
      </c>
      <c r="L196">
        <f t="shared" ca="1" si="16"/>
        <v>80</v>
      </c>
      <c r="M196" s="6" t="str" cm="1">
        <f t="array" aca="1" ref="M196" ca="1">INDEX($A$2:$A$40,I196,1)</f>
        <v>Feminino</v>
      </c>
      <c r="N196" s="6" t="str" cm="1">
        <f t="array" aca="1" ref="N196" ca="1">INDEX($B$2:$B$40,I196,1)</f>
        <v>Joana</v>
      </c>
      <c r="O196" s="6" t="str" cm="1">
        <f t="array" aca="1" ref="O196" ca="1">INDEX($B$2:$B$40,J196,1)</f>
        <v>Maria</v>
      </c>
      <c r="P196" s="6" t="str" cm="1">
        <f t="array" aca="1" ref="P196" ca="1">INDEX($E$2:$E$98,K196)</f>
        <v>Lima</v>
      </c>
      <c r="Q196" s="6" t="str" cm="1">
        <f t="array" aca="1" ref="Q196" ca="1">INDEX($E$2:$E$98,L196)</f>
        <v>Assunção</v>
      </c>
      <c r="S196" t="str">
        <f t="shared" ref="S196:S200" ca="1" si="17">M196</f>
        <v>Feminino</v>
      </c>
      <c r="T196" t="str">
        <f t="shared" ca="1" si="14"/>
        <v>Joana Maria Lima Assunção</v>
      </c>
    </row>
    <row r="197" spans="9:20" x14ac:dyDescent="0.25">
      <c r="I197">
        <f t="shared" ca="1" si="15"/>
        <v>20</v>
      </c>
      <c r="J197">
        <f t="shared" ca="1" si="15"/>
        <v>7</v>
      </c>
      <c r="K197">
        <f t="shared" ca="1" si="16"/>
        <v>28</v>
      </c>
      <c r="L197">
        <f t="shared" ca="1" si="16"/>
        <v>48</v>
      </c>
      <c r="M197" s="6" t="str" cm="1">
        <f t="array" aca="1" ref="M197" ca="1">INDEX($A$2:$A$40,I197,1)</f>
        <v>Masculino</v>
      </c>
      <c r="N197" s="6" t="str" cm="1">
        <f t="array" aca="1" ref="N197" ca="1">INDEX($B$2:$B$40,I197,1)</f>
        <v>Luís</v>
      </c>
      <c r="O197" s="6" t="str" cm="1">
        <f t="array" aca="1" ref="O197" ca="1">INDEX($B$2:$B$40,J197,1)</f>
        <v>Catarina</v>
      </c>
      <c r="P197" s="6" t="str" cm="1">
        <f t="array" aca="1" ref="P197" ca="1">INDEX($E$2:$E$98,K197)</f>
        <v>Jesus</v>
      </c>
      <c r="Q197" s="6" t="str" cm="1">
        <f t="array" aca="1" ref="Q197" ca="1">INDEX($E$2:$E$98,L197)</f>
        <v>Castro</v>
      </c>
      <c r="S197" t="str">
        <f t="shared" ca="1" si="17"/>
        <v>Masculino</v>
      </c>
      <c r="T197" t="str">
        <f t="shared" ca="1" si="14"/>
        <v>Luís Catarina Jesus Castro</v>
      </c>
    </row>
    <row r="198" spans="9:20" x14ac:dyDescent="0.25">
      <c r="I198">
        <f t="shared" ca="1" si="15"/>
        <v>34</v>
      </c>
      <c r="J198">
        <f t="shared" ca="1" si="15"/>
        <v>1</v>
      </c>
      <c r="K198">
        <f t="shared" ca="1" si="16"/>
        <v>69</v>
      </c>
      <c r="L198">
        <f t="shared" ca="1" si="16"/>
        <v>80</v>
      </c>
      <c r="M198" s="6" t="str" cm="1">
        <f t="array" aca="1" ref="M198" ca="1">INDEX($A$2:$A$40,I198,1)</f>
        <v>Feminino</v>
      </c>
      <c r="N198" s="6" t="str" cm="1">
        <f t="array" aca="1" ref="N198" ca="1">INDEX($B$2:$B$40,I198,1)</f>
        <v>Sofia</v>
      </c>
      <c r="O198" s="6" t="str" cm="1">
        <f t="array" aca="1" ref="O198" ca="1">INDEX($B$2:$B$40,J198,1)</f>
        <v>Afonso</v>
      </c>
      <c r="P198" s="6" t="str" cm="1">
        <f t="array" aca="1" ref="P198" ca="1">INDEX($E$2:$E$98,K198)</f>
        <v>Brito</v>
      </c>
      <c r="Q198" s="6" t="str" cm="1">
        <f t="array" aca="1" ref="Q198" ca="1">INDEX($E$2:$E$98,L198)</f>
        <v>Assunção</v>
      </c>
      <c r="S198" t="str">
        <f t="shared" ca="1" si="17"/>
        <v>Feminino</v>
      </c>
      <c r="T198" t="str">
        <f t="shared" ca="1" si="14"/>
        <v>Sofia Afonso Brito Assunção</v>
      </c>
    </row>
    <row r="199" spans="9:20" x14ac:dyDescent="0.25">
      <c r="I199">
        <f t="shared" ca="1" si="15"/>
        <v>26</v>
      </c>
      <c r="J199">
        <f t="shared" ca="1" si="15"/>
        <v>39</v>
      </c>
      <c r="K199">
        <f t="shared" ca="1" si="16"/>
        <v>64</v>
      </c>
      <c r="L199">
        <f t="shared" ca="1" si="16"/>
        <v>69</v>
      </c>
      <c r="M199" s="6" t="str" cm="1">
        <f t="array" aca="1" ref="M199" ca="1">INDEX($A$2:$A$40,I199,1)</f>
        <v>Masculino</v>
      </c>
      <c r="N199" s="6" t="str" cm="1">
        <f t="array" aca="1" ref="N199" ca="1">INDEX($B$2:$B$40,I199,1)</f>
        <v>Martim</v>
      </c>
      <c r="O199" s="6" t="str" cm="1">
        <f t="array" aca="1" ref="O199" ca="1">INDEX($B$2:$B$40,J199,1)</f>
        <v>Lara</v>
      </c>
      <c r="P199" s="6" t="str" cm="1">
        <f t="array" aca="1" ref="P199" ca="1">INDEX($E$2:$E$98,K199)</f>
        <v>Anjos</v>
      </c>
      <c r="Q199" s="6" t="str" cm="1">
        <f t="array" aca="1" ref="Q199" ca="1">INDEX($E$2:$E$98,L199)</f>
        <v>Brito</v>
      </c>
      <c r="S199" t="str">
        <f t="shared" ca="1" si="17"/>
        <v>Masculino</v>
      </c>
      <c r="T199" t="str">
        <f t="shared" ca="1" si="14"/>
        <v>Martim Lara Anjos Brito</v>
      </c>
    </row>
    <row r="200" spans="9:20" x14ac:dyDescent="0.25">
      <c r="I200">
        <f t="shared" ca="1" si="15"/>
        <v>39</v>
      </c>
      <c r="J200">
        <f t="shared" ca="1" si="15"/>
        <v>23</v>
      </c>
      <c r="K200">
        <f t="shared" ca="1" si="16"/>
        <v>88</v>
      </c>
      <c r="L200">
        <f t="shared" ca="1" si="16"/>
        <v>79</v>
      </c>
      <c r="M200" s="6" t="str" cm="1">
        <f t="array" aca="1" ref="M200" ca="1">INDEX($A$2:$A$40,I200,1)</f>
        <v>Feminino</v>
      </c>
      <c r="N200" s="6" t="str" cm="1">
        <f t="array" aca="1" ref="N200" ca="1">INDEX($B$2:$B$40,I200,1)</f>
        <v>Lara</v>
      </c>
      <c r="O200" s="6" t="str" cm="1">
        <f t="array" aca="1" ref="O200" ca="1">INDEX($B$2:$B$40,J200,1)</f>
        <v>Maria</v>
      </c>
      <c r="P200" s="6" t="str" cm="1">
        <f t="array" aca="1" ref="P200" ca="1">INDEX($E$2:$E$98,K200)</f>
        <v>Neto</v>
      </c>
      <c r="Q200" s="6" t="str" cm="1">
        <f t="array" aca="1" ref="Q200" ca="1">INDEX($E$2:$E$98,L200)</f>
        <v>Gaspar</v>
      </c>
      <c r="S200" t="str">
        <f t="shared" ca="1" si="17"/>
        <v>Feminino</v>
      </c>
      <c r="T200" t="str">
        <f t="shared" ca="1" si="14"/>
        <v>Lara Maria Neto Gaspar</v>
      </c>
    </row>
  </sheetData>
  <autoFilter ref="A1:E1" xr:uid="{911E14F0-84F4-46B0-BF8E-B9809B885262}">
    <sortState xmlns:xlrd2="http://schemas.microsoft.com/office/spreadsheetml/2017/richdata2" ref="A2:E38">
      <sortCondition ref="B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453A-C301-4C96-BDDF-41980CD8B98C}">
  <sheetPr codeName="Sheet5"/>
  <dimension ref="A1:F104"/>
  <sheetViews>
    <sheetView topLeftCell="A13" workbookViewId="0">
      <selection activeCell="B33" sqref="B33:B39"/>
    </sheetView>
  </sheetViews>
  <sheetFormatPr defaultRowHeight="15" x14ac:dyDescent="0.25"/>
  <sheetData>
    <row r="1" spans="1:6" x14ac:dyDescent="0.25">
      <c r="A1" t="s">
        <v>198</v>
      </c>
      <c r="B1" t="s">
        <v>199</v>
      </c>
      <c r="F1" s="1" t="s">
        <v>258</v>
      </c>
    </row>
    <row r="2" spans="1:6" x14ac:dyDescent="0.25">
      <c r="A2">
        <v>2800</v>
      </c>
      <c r="B2" t="s">
        <v>209</v>
      </c>
      <c r="F2" t="s">
        <v>259</v>
      </c>
    </row>
    <row r="3" spans="1:6" x14ac:dyDescent="0.25">
      <c r="A3">
        <v>2810</v>
      </c>
      <c r="B3" t="s">
        <v>209</v>
      </c>
      <c r="F3" t="s">
        <v>226</v>
      </c>
    </row>
    <row r="4" spans="1:6" x14ac:dyDescent="0.25">
      <c r="A4">
        <v>2805</v>
      </c>
      <c r="B4" t="s">
        <v>209</v>
      </c>
      <c r="F4" t="s">
        <v>260</v>
      </c>
    </row>
    <row r="5" spans="1:6" x14ac:dyDescent="0.25">
      <c r="A5">
        <v>2809</v>
      </c>
      <c r="B5" t="s">
        <v>209</v>
      </c>
      <c r="F5" t="s">
        <v>227</v>
      </c>
    </row>
    <row r="6" spans="1:6" x14ac:dyDescent="0.25">
      <c r="A6">
        <v>2814</v>
      </c>
      <c r="B6" t="s">
        <v>209</v>
      </c>
      <c r="F6" t="s">
        <v>261</v>
      </c>
    </row>
    <row r="7" spans="1:6" x14ac:dyDescent="0.25">
      <c r="A7">
        <v>2804</v>
      </c>
      <c r="B7" t="s">
        <v>209</v>
      </c>
      <c r="F7" t="s">
        <v>228</v>
      </c>
    </row>
    <row r="8" spans="1:6" x14ac:dyDescent="0.25">
      <c r="A8">
        <v>2720</v>
      </c>
      <c r="B8" t="s">
        <v>210</v>
      </c>
      <c r="F8" t="s">
        <v>229</v>
      </c>
    </row>
    <row r="9" spans="1:6" x14ac:dyDescent="0.25">
      <c r="A9">
        <v>2650</v>
      </c>
      <c r="B9" t="s">
        <v>210</v>
      </c>
      <c r="F9" t="s">
        <v>230</v>
      </c>
    </row>
    <row r="10" spans="1:6" x14ac:dyDescent="0.25">
      <c r="A10">
        <v>2700</v>
      </c>
      <c r="B10" t="s">
        <v>210</v>
      </c>
      <c r="F10" t="s">
        <v>262</v>
      </c>
    </row>
    <row r="11" spans="1:6" x14ac:dyDescent="0.25">
      <c r="A11">
        <v>2614</v>
      </c>
      <c r="B11" t="s">
        <v>210</v>
      </c>
      <c r="F11" t="s">
        <v>231</v>
      </c>
    </row>
    <row r="12" spans="1:6" x14ac:dyDescent="0.25">
      <c r="A12">
        <v>2610</v>
      </c>
      <c r="B12" t="s">
        <v>210</v>
      </c>
      <c r="F12" t="s">
        <v>232</v>
      </c>
    </row>
    <row r="13" spans="1:6" x14ac:dyDescent="0.25">
      <c r="A13">
        <v>2724</v>
      </c>
      <c r="B13" t="s">
        <v>210</v>
      </c>
      <c r="F13" t="s">
        <v>233</v>
      </c>
    </row>
    <row r="14" spans="1:6" x14ac:dyDescent="0.25">
      <c r="A14">
        <v>2654</v>
      </c>
      <c r="B14" t="s">
        <v>210</v>
      </c>
      <c r="F14" t="s">
        <v>234</v>
      </c>
    </row>
    <row r="15" spans="1:6" x14ac:dyDescent="0.25">
      <c r="A15">
        <v>2704</v>
      </c>
      <c r="B15" t="s">
        <v>210</v>
      </c>
      <c r="F15" t="s">
        <v>235</v>
      </c>
    </row>
    <row r="16" spans="1:6" x14ac:dyDescent="0.25">
      <c r="A16">
        <v>2830</v>
      </c>
      <c r="B16" t="s">
        <v>216</v>
      </c>
      <c r="F16" t="s">
        <v>236</v>
      </c>
    </row>
    <row r="17" spans="1:6" x14ac:dyDescent="0.25">
      <c r="A17">
        <v>2834</v>
      </c>
      <c r="B17" t="s">
        <v>216</v>
      </c>
      <c r="F17" t="s">
        <v>237</v>
      </c>
    </row>
    <row r="18" spans="1:6" x14ac:dyDescent="0.25">
      <c r="A18">
        <v>2825</v>
      </c>
      <c r="B18" t="s">
        <v>217</v>
      </c>
      <c r="F18" t="s">
        <v>238</v>
      </c>
    </row>
    <row r="19" spans="1:6" x14ac:dyDescent="0.25">
      <c r="A19">
        <v>2829</v>
      </c>
      <c r="B19" t="s">
        <v>217</v>
      </c>
      <c r="F19" t="s">
        <v>239</v>
      </c>
    </row>
    <row r="20" spans="1:6" x14ac:dyDescent="0.25">
      <c r="A20">
        <v>2775</v>
      </c>
      <c r="B20" t="s">
        <v>218</v>
      </c>
      <c r="F20" t="s">
        <v>240</v>
      </c>
    </row>
    <row r="21" spans="1:6" x14ac:dyDescent="0.25">
      <c r="A21">
        <v>2779</v>
      </c>
      <c r="B21" t="s">
        <v>218</v>
      </c>
      <c r="F21" t="s">
        <v>241</v>
      </c>
    </row>
    <row r="22" spans="1:6" x14ac:dyDescent="0.25">
      <c r="A22">
        <v>2790</v>
      </c>
      <c r="B22" t="s">
        <v>219</v>
      </c>
      <c r="F22" t="s">
        <v>242</v>
      </c>
    </row>
    <row r="23" spans="1:6" x14ac:dyDescent="0.25">
      <c r="A23">
        <v>2794</v>
      </c>
      <c r="B23" t="s">
        <v>219</v>
      </c>
      <c r="F23" t="s">
        <v>243</v>
      </c>
    </row>
    <row r="24" spans="1:6" x14ac:dyDescent="0.25">
      <c r="A24">
        <v>2750</v>
      </c>
      <c r="B24" t="s">
        <v>220</v>
      </c>
      <c r="F24" t="s">
        <v>244</v>
      </c>
    </row>
    <row r="25" spans="1:6" x14ac:dyDescent="0.25">
      <c r="A25">
        <v>2754</v>
      </c>
      <c r="B25" t="s">
        <v>220</v>
      </c>
      <c r="F25" t="s">
        <v>245</v>
      </c>
    </row>
    <row r="26" spans="1:6" x14ac:dyDescent="0.25">
      <c r="A26">
        <v>3000</v>
      </c>
      <c r="B26" t="s">
        <v>200</v>
      </c>
      <c r="F26" t="s">
        <v>263</v>
      </c>
    </row>
    <row r="27" spans="1:6" x14ac:dyDescent="0.25">
      <c r="A27">
        <v>2825</v>
      </c>
      <c r="B27" t="s">
        <v>221</v>
      </c>
      <c r="F27" t="s">
        <v>246</v>
      </c>
    </row>
    <row r="28" spans="1:6" x14ac:dyDescent="0.25">
      <c r="A28">
        <v>2829</v>
      </c>
      <c r="B28" t="s">
        <v>221</v>
      </c>
      <c r="F28" t="s">
        <v>247</v>
      </c>
    </row>
    <row r="29" spans="1:6" x14ac:dyDescent="0.25">
      <c r="A29">
        <v>2330</v>
      </c>
      <c r="B29" t="s">
        <v>222</v>
      </c>
      <c r="F29" t="s">
        <v>248</v>
      </c>
    </row>
    <row r="30" spans="1:6" x14ac:dyDescent="0.25">
      <c r="A30">
        <v>2334</v>
      </c>
      <c r="B30" t="s">
        <v>222</v>
      </c>
      <c r="F30" t="s">
        <v>249</v>
      </c>
    </row>
    <row r="31" spans="1:6" x14ac:dyDescent="0.25">
      <c r="A31">
        <v>2655</v>
      </c>
      <c r="B31" t="s">
        <v>223</v>
      </c>
      <c r="F31" t="s">
        <v>250</v>
      </c>
    </row>
    <row r="32" spans="1:6" x14ac:dyDescent="0.25">
      <c r="A32">
        <v>2659</v>
      </c>
      <c r="B32" t="s">
        <v>223</v>
      </c>
      <c r="F32" t="s">
        <v>251</v>
      </c>
    </row>
    <row r="33" spans="1:6" x14ac:dyDescent="0.25">
      <c r="A33">
        <v>2420</v>
      </c>
      <c r="B33" t="s">
        <v>201</v>
      </c>
      <c r="F33" t="s">
        <v>252</v>
      </c>
    </row>
    <row r="34" spans="1:6" x14ac:dyDescent="0.25">
      <c r="A34">
        <v>2410</v>
      </c>
      <c r="B34" t="s">
        <v>201</v>
      </c>
      <c r="F34" t="s">
        <v>253</v>
      </c>
    </row>
    <row r="35" spans="1:6" x14ac:dyDescent="0.25">
      <c r="A35">
        <v>2415</v>
      </c>
      <c r="B35" t="s">
        <v>201</v>
      </c>
      <c r="F35" t="s">
        <v>254</v>
      </c>
    </row>
    <row r="36" spans="1:6" x14ac:dyDescent="0.25">
      <c r="A36">
        <v>2414</v>
      </c>
      <c r="B36" t="s">
        <v>201</v>
      </c>
      <c r="F36" t="s">
        <v>255</v>
      </c>
    </row>
    <row r="37" spans="1:6" x14ac:dyDescent="0.25">
      <c r="A37">
        <v>2419</v>
      </c>
      <c r="B37" t="s">
        <v>201</v>
      </c>
      <c r="F37" t="s">
        <v>256</v>
      </c>
    </row>
    <row r="38" spans="1:6" x14ac:dyDescent="0.25">
      <c r="A38">
        <v>2423</v>
      </c>
      <c r="B38" t="s">
        <v>201</v>
      </c>
      <c r="F38" t="s">
        <v>257</v>
      </c>
    </row>
    <row r="39" spans="1:6" x14ac:dyDescent="0.25">
      <c r="A39">
        <v>2424</v>
      </c>
      <c r="B39" t="s">
        <v>201</v>
      </c>
    </row>
    <row r="40" spans="1:6" x14ac:dyDescent="0.25">
      <c r="A40">
        <v>1700</v>
      </c>
      <c r="B40" t="s">
        <v>211</v>
      </c>
    </row>
    <row r="41" spans="1:6" x14ac:dyDescent="0.25">
      <c r="A41">
        <v>1950</v>
      </c>
      <c r="B41" t="s">
        <v>211</v>
      </c>
    </row>
    <row r="42" spans="1:6" x14ac:dyDescent="0.25">
      <c r="A42">
        <v>1900</v>
      </c>
      <c r="B42" t="s">
        <v>211</v>
      </c>
    </row>
    <row r="43" spans="1:6" x14ac:dyDescent="0.25">
      <c r="A43">
        <v>1500</v>
      </c>
      <c r="B43" t="s">
        <v>211</v>
      </c>
    </row>
    <row r="44" spans="1:6" x14ac:dyDescent="0.25">
      <c r="A44">
        <v>1150</v>
      </c>
      <c r="B44" t="s">
        <v>211</v>
      </c>
    </row>
    <row r="45" spans="1:6" x14ac:dyDescent="0.25">
      <c r="A45">
        <v>1949</v>
      </c>
      <c r="B45" t="s">
        <v>211</v>
      </c>
    </row>
    <row r="46" spans="1:6" x14ac:dyDescent="0.25">
      <c r="A46">
        <v>1100</v>
      </c>
      <c r="B46" t="s">
        <v>211</v>
      </c>
    </row>
    <row r="47" spans="1:6" x14ac:dyDescent="0.25">
      <c r="A47">
        <v>1170</v>
      </c>
      <c r="B47" t="s">
        <v>211</v>
      </c>
    </row>
    <row r="48" spans="1:6" x14ac:dyDescent="0.25">
      <c r="A48">
        <v>1200</v>
      </c>
      <c r="B48" t="s">
        <v>211</v>
      </c>
    </row>
    <row r="49" spans="1:2" x14ac:dyDescent="0.25">
      <c r="A49">
        <v>1750</v>
      </c>
      <c r="B49" t="s">
        <v>211</v>
      </c>
    </row>
    <row r="50" spans="1:2" x14ac:dyDescent="0.25">
      <c r="A50">
        <v>1250</v>
      </c>
      <c r="B50" t="s">
        <v>211</v>
      </c>
    </row>
    <row r="51" spans="1:2" x14ac:dyDescent="0.25">
      <c r="A51">
        <v>1070</v>
      </c>
      <c r="B51" t="s">
        <v>211</v>
      </c>
    </row>
    <row r="52" spans="1:2" x14ac:dyDescent="0.25">
      <c r="A52">
        <v>1269</v>
      </c>
      <c r="B52" t="s">
        <v>211</v>
      </c>
    </row>
    <row r="53" spans="1:2" x14ac:dyDescent="0.25">
      <c r="A53">
        <v>1099</v>
      </c>
      <c r="B53" t="s">
        <v>211</v>
      </c>
    </row>
    <row r="54" spans="1:2" x14ac:dyDescent="0.25">
      <c r="A54">
        <v>1350</v>
      </c>
      <c r="B54" t="s">
        <v>211</v>
      </c>
    </row>
    <row r="55" spans="1:2" x14ac:dyDescent="0.25">
      <c r="A55">
        <v>1399</v>
      </c>
      <c r="B55" t="s">
        <v>211</v>
      </c>
    </row>
    <row r="56" spans="1:2" x14ac:dyDescent="0.25">
      <c r="A56">
        <v>1800</v>
      </c>
      <c r="B56" t="s">
        <v>211</v>
      </c>
    </row>
    <row r="57" spans="1:2" x14ac:dyDescent="0.25">
      <c r="A57">
        <v>1400</v>
      </c>
      <c r="B57" t="s">
        <v>211</v>
      </c>
    </row>
    <row r="58" spans="1:2" x14ac:dyDescent="0.25">
      <c r="A58">
        <v>1300</v>
      </c>
      <c r="B58" t="s">
        <v>211</v>
      </c>
    </row>
    <row r="59" spans="1:2" x14ac:dyDescent="0.25">
      <c r="A59">
        <v>1149</v>
      </c>
      <c r="B59" t="s">
        <v>211</v>
      </c>
    </row>
    <row r="60" spans="1:2" x14ac:dyDescent="0.25">
      <c r="A60">
        <v>1600</v>
      </c>
      <c r="B60" t="s">
        <v>211</v>
      </c>
    </row>
    <row r="61" spans="1:2" x14ac:dyDescent="0.25">
      <c r="A61">
        <v>1749</v>
      </c>
      <c r="B61" t="s">
        <v>211</v>
      </c>
    </row>
    <row r="62" spans="1:2" x14ac:dyDescent="0.25">
      <c r="A62">
        <v>1000</v>
      </c>
      <c r="B62" t="s">
        <v>211</v>
      </c>
    </row>
    <row r="63" spans="1:2" x14ac:dyDescent="0.25">
      <c r="A63">
        <v>1249</v>
      </c>
      <c r="B63" t="s">
        <v>211</v>
      </c>
    </row>
    <row r="64" spans="1:2" x14ac:dyDescent="0.25">
      <c r="A64">
        <v>1849</v>
      </c>
      <c r="B64" t="s">
        <v>211</v>
      </c>
    </row>
    <row r="65" spans="1:2" x14ac:dyDescent="0.25">
      <c r="A65">
        <v>1199</v>
      </c>
      <c r="B65" t="s">
        <v>211</v>
      </c>
    </row>
    <row r="66" spans="1:2" x14ac:dyDescent="0.25">
      <c r="A66">
        <v>1050</v>
      </c>
      <c r="B66" t="s">
        <v>211</v>
      </c>
    </row>
    <row r="67" spans="1:2" x14ac:dyDescent="0.25">
      <c r="A67">
        <v>1069</v>
      </c>
      <c r="B67" t="s">
        <v>211</v>
      </c>
    </row>
    <row r="68" spans="1:2" x14ac:dyDescent="0.25">
      <c r="A68">
        <v>1649</v>
      </c>
      <c r="B68" t="s">
        <v>211</v>
      </c>
    </row>
    <row r="69" spans="1:2" x14ac:dyDescent="0.25">
      <c r="A69">
        <v>1549</v>
      </c>
      <c r="B69" t="s">
        <v>211</v>
      </c>
    </row>
    <row r="70" spans="1:2" x14ac:dyDescent="0.25">
      <c r="A70">
        <v>1169</v>
      </c>
      <c r="B70" t="s">
        <v>211</v>
      </c>
    </row>
    <row r="71" spans="1:2" x14ac:dyDescent="0.25">
      <c r="A71">
        <v>1349</v>
      </c>
      <c r="B71" t="s">
        <v>211</v>
      </c>
    </row>
    <row r="72" spans="1:2" x14ac:dyDescent="0.25">
      <c r="A72">
        <v>1959</v>
      </c>
      <c r="B72" t="s">
        <v>211</v>
      </c>
    </row>
    <row r="73" spans="1:2" x14ac:dyDescent="0.25">
      <c r="A73">
        <v>1449</v>
      </c>
      <c r="B73" t="s">
        <v>211</v>
      </c>
    </row>
    <row r="74" spans="1:2" x14ac:dyDescent="0.25">
      <c r="A74">
        <v>1769</v>
      </c>
      <c r="B74" t="s">
        <v>211</v>
      </c>
    </row>
    <row r="75" spans="1:2" x14ac:dyDescent="0.25">
      <c r="A75">
        <v>1990</v>
      </c>
      <c r="B75" t="s">
        <v>211</v>
      </c>
    </row>
    <row r="76" spans="1:2" x14ac:dyDescent="0.25">
      <c r="A76">
        <v>1049</v>
      </c>
      <c r="B76" t="s">
        <v>211</v>
      </c>
    </row>
    <row r="77" spans="1:2" x14ac:dyDescent="0.25">
      <c r="A77">
        <v>1748</v>
      </c>
      <c r="B77" t="s">
        <v>211</v>
      </c>
    </row>
    <row r="78" spans="1:2" x14ac:dyDescent="0.25">
      <c r="A78">
        <v>1998</v>
      </c>
      <c r="B78" t="s">
        <v>211</v>
      </c>
    </row>
    <row r="79" spans="1:2" x14ac:dyDescent="0.25">
      <c r="A79">
        <v>1999</v>
      </c>
      <c r="B79" t="s">
        <v>211</v>
      </c>
    </row>
    <row r="80" spans="1:2" x14ac:dyDescent="0.25">
      <c r="A80">
        <v>1098</v>
      </c>
      <c r="B80" t="s">
        <v>211</v>
      </c>
    </row>
    <row r="81" spans="1:2" x14ac:dyDescent="0.25">
      <c r="A81">
        <v>1068</v>
      </c>
      <c r="B81" t="s">
        <v>211</v>
      </c>
    </row>
    <row r="82" spans="1:2" x14ac:dyDescent="0.25">
      <c r="A82">
        <v>1067</v>
      </c>
      <c r="B82" t="s">
        <v>211</v>
      </c>
    </row>
    <row r="83" spans="1:2" x14ac:dyDescent="0.25">
      <c r="A83">
        <v>2670</v>
      </c>
      <c r="B83" t="s">
        <v>212</v>
      </c>
    </row>
    <row r="84" spans="1:2" x14ac:dyDescent="0.25">
      <c r="A84">
        <v>2674</v>
      </c>
      <c r="B84" t="s">
        <v>212</v>
      </c>
    </row>
    <row r="85" spans="1:2" x14ac:dyDescent="0.25">
      <c r="A85">
        <v>2640</v>
      </c>
      <c r="B85" t="s">
        <v>213</v>
      </c>
    </row>
    <row r="86" spans="1:2" x14ac:dyDescent="0.25">
      <c r="A86">
        <v>2644</v>
      </c>
      <c r="B86" t="s">
        <v>213</v>
      </c>
    </row>
    <row r="87" spans="1:2" x14ac:dyDescent="0.25">
      <c r="A87">
        <v>2870</v>
      </c>
      <c r="B87" t="s">
        <v>214</v>
      </c>
    </row>
    <row r="88" spans="1:2" x14ac:dyDescent="0.25">
      <c r="A88">
        <v>2780</v>
      </c>
      <c r="B88" t="s">
        <v>215</v>
      </c>
    </row>
    <row r="89" spans="1:2" x14ac:dyDescent="0.25">
      <c r="A89">
        <v>2784</v>
      </c>
      <c r="B89" t="s">
        <v>215</v>
      </c>
    </row>
    <row r="90" spans="1:2" x14ac:dyDescent="0.25">
      <c r="A90">
        <v>2745</v>
      </c>
      <c r="B90" t="s">
        <v>207</v>
      </c>
    </row>
    <row r="91" spans="1:2" x14ac:dyDescent="0.25">
      <c r="A91">
        <v>2749</v>
      </c>
      <c r="B91" t="s">
        <v>207</v>
      </c>
    </row>
    <row r="92" spans="1:2" x14ac:dyDescent="0.25">
      <c r="A92">
        <v>2005</v>
      </c>
      <c r="B92" t="s">
        <v>205</v>
      </c>
    </row>
    <row r="93" spans="1:2" x14ac:dyDescent="0.25">
      <c r="A93">
        <v>2000</v>
      </c>
      <c r="B93" t="s">
        <v>205</v>
      </c>
    </row>
    <row r="94" spans="1:2" x14ac:dyDescent="0.25">
      <c r="A94">
        <v>2004</v>
      </c>
      <c r="B94" t="s">
        <v>205</v>
      </c>
    </row>
    <row r="95" spans="1:2" x14ac:dyDescent="0.25">
      <c r="A95">
        <v>2009</v>
      </c>
      <c r="B95" t="s">
        <v>205</v>
      </c>
    </row>
    <row r="96" spans="1:2" x14ac:dyDescent="0.25">
      <c r="A96">
        <v>2900</v>
      </c>
      <c r="B96" t="s">
        <v>208</v>
      </c>
    </row>
    <row r="97" spans="1:2" x14ac:dyDescent="0.25">
      <c r="A97">
        <v>2910</v>
      </c>
      <c r="B97" t="s">
        <v>208</v>
      </c>
    </row>
    <row r="98" spans="1:2" x14ac:dyDescent="0.25">
      <c r="A98">
        <v>2914</v>
      </c>
      <c r="B98" t="s">
        <v>208</v>
      </c>
    </row>
    <row r="99" spans="1:2" x14ac:dyDescent="0.25">
      <c r="A99">
        <v>2904</v>
      </c>
      <c r="B99" t="s">
        <v>208</v>
      </c>
    </row>
    <row r="100" spans="1:2" x14ac:dyDescent="0.25">
      <c r="A100">
        <v>2710</v>
      </c>
      <c r="B100" t="s">
        <v>206</v>
      </c>
    </row>
    <row r="101" spans="1:2" x14ac:dyDescent="0.25">
      <c r="A101">
        <v>2714</v>
      </c>
      <c r="B101" t="s">
        <v>206</v>
      </c>
    </row>
    <row r="102" spans="1:2" x14ac:dyDescent="0.25">
      <c r="A102">
        <v>2300</v>
      </c>
      <c r="B102" t="s">
        <v>202</v>
      </c>
    </row>
    <row r="103" spans="1:2" x14ac:dyDescent="0.25">
      <c r="A103">
        <v>2350</v>
      </c>
      <c r="B103" t="s">
        <v>203</v>
      </c>
    </row>
    <row r="104" spans="1:2" x14ac:dyDescent="0.25">
      <c r="A104">
        <v>2560</v>
      </c>
      <c r="B104" t="s">
        <v>204</v>
      </c>
    </row>
  </sheetData>
  <autoFilter ref="A1:B104" xr:uid="{2C4E8A10-8066-412D-A086-679C9D5BE477}">
    <sortState xmlns:xlrd2="http://schemas.microsoft.com/office/spreadsheetml/2017/richdata2" ref="A2:B104">
      <sortCondition ref="B1:B104"/>
    </sortState>
  </autoFilter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71A3D-CC24-48E3-AC10-E14EE927B956}">
  <sheetPr codeName="Sheet4"/>
  <dimension ref="A1:AF233"/>
  <sheetViews>
    <sheetView workbookViewId="0">
      <selection activeCell="U1" sqref="U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</cols>
  <sheetData>
    <row r="1" spans="1:3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T1" s="4" t="s">
        <v>224</v>
      </c>
      <c r="V1" t="s">
        <v>264</v>
      </c>
      <c r="W1" t="s">
        <v>270</v>
      </c>
      <c r="X1" t="s">
        <v>271</v>
      </c>
      <c r="Y1" t="s">
        <v>188</v>
      </c>
      <c r="Z1" t="s">
        <v>190</v>
      </c>
      <c r="AA1" t="s">
        <v>189</v>
      </c>
    </row>
    <row r="2" spans="1:32" x14ac:dyDescent="0.25">
      <c r="A2">
        <v>1</v>
      </c>
      <c r="B2" t="str" cm="1">
        <f t="array" aca="1" ref="B2" ca="1">replaceChar(LOWER(LEFT(D2,3)&amp;RIGHT(I2,3))&amp;LEFT(H2,4))</f>
        <v>fraboa1200</v>
      </c>
      <c r="C2" t="str">
        <f ca="1">"psw" &amp; B2</f>
        <v>pswfraboa1200</v>
      </c>
      <c r="D2" t="str">
        <f ca="1">Nomes!T3</f>
        <v>Francisca</v>
      </c>
      <c r="E2" t="str">
        <f ca="1">Nomes!S3</f>
        <v>Feminino</v>
      </c>
      <c r="F2" s="2">
        <f ca="1">DATE(Y2,Z2,AA2)</f>
        <v>17316</v>
      </c>
      <c r="G2" t="str" cm="1">
        <f t="array" aca="1" ref="G2" ca="1">INDEX(rua_cod!$F:$F,RANDBETWEEN(2,COUNTA(rua_cod!F:F)))</f>
        <v>Rua do Arsenal</v>
      </c>
      <c r="H2" t="str" cm="1">
        <f t="array" aca="1" ref="H2" ca="1">INDEX(rua_cod!$A:$A,Users!V2) &amp; "-" &amp; TEXT(RANDBETWEEN(0,999),"000")</f>
        <v>1200-715</v>
      </c>
      <c r="I2" t="str" cm="1">
        <f t="array" aca="1" ref="I2" ca="1">INDEX(rua_cod!$B:$B,Users!V2)</f>
        <v>Lisboa</v>
      </c>
      <c r="J2" t="s">
        <v>3727</v>
      </c>
      <c r="K2" t="s">
        <v>225</v>
      </c>
      <c r="L2" t="s">
        <v>265</v>
      </c>
      <c r="M2" t="str">
        <f ca="1">TEXT(RANDBETWEEN(10000000,99999999),"00000000")</f>
        <v>31241330</v>
      </c>
      <c r="N2" t="str">
        <f ca="1">TEXT(RANDBETWEEN(100000000,999999999),"000000000")</f>
        <v>883663385</v>
      </c>
      <c r="O2" t="str">
        <f ca="1">TEXT(RANDBETWEEN(100000000,999999999),"000000000")</f>
        <v>808591188</v>
      </c>
      <c r="P2" t="str" cm="1">
        <f t="array" aca="1" ref="P2" ca="1">9 &amp; INDEX($AF$3:$AF$6,W2)&amp; TEXT(RANDBETWEEN(0,9999999),"0000000")</f>
        <v>920807676</v>
      </c>
      <c r="Q2" t="str" cm="1">
        <f t="array" aca="1" ref="Q2" ca="1">LOWER(B2) &amp; INDEX($AF$9:$AF$11,X2)</f>
        <v>fraboa1200@sapo.pt</v>
      </c>
      <c r="R2" t="str">
        <f ca="1">B2 &amp; ".jpg"</f>
        <v>fraboa1200.jpg</v>
      </c>
      <c r="T2" s="4"/>
      <c r="V2">
        <f ca="1">RANDBETWEEN(2,COUNTA(rua_cod!A:A))</f>
        <v>48</v>
      </c>
      <c r="W2">
        <f ca="1">RANDBETWEEN(1,4)</f>
        <v>2</v>
      </c>
      <c r="X2">
        <f ca="1">RANDBETWEEN(1,3)</f>
        <v>3</v>
      </c>
      <c r="Y2">
        <f ca="1">INT(NORMINV(RAND(),1976,22))</f>
        <v>1947</v>
      </c>
      <c r="Z2">
        <f ca="1">RANDBETWEEN(1,12)</f>
        <v>5</v>
      </c>
      <c r="AA2">
        <f ca="1">RANDBETWEEN(1,31)</f>
        <v>29</v>
      </c>
      <c r="AB2">
        <f ca="1">2020-Y2</f>
        <v>73</v>
      </c>
      <c r="AF2" t="s">
        <v>266</v>
      </c>
    </row>
    <row r="3" spans="1:32" x14ac:dyDescent="0.25">
      <c r="A3">
        <v>2</v>
      </c>
      <c r="B3" t="str" cm="1">
        <f t="array" aca="1" ref="B3" ca="1">replaceChar(LOWER(LEFT(D3,3)&amp;RIGHT(I3,3))&amp;LEFT(H3,4))</f>
        <v>josboa1500</v>
      </c>
      <c r="C3" t="str">
        <f t="shared" ref="C3:C66" ca="1" si="0">"psw" &amp; B3</f>
        <v>pswjosboa1500</v>
      </c>
      <c r="D3" t="str">
        <f ca="1">Nomes!T4</f>
        <v>José</v>
      </c>
      <c r="E3" t="str">
        <f ca="1">Nomes!S4</f>
        <v>Masculino</v>
      </c>
      <c r="F3" s="2">
        <v>23831</v>
      </c>
      <c r="G3" t="str" cm="1">
        <f t="array" aca="1" ref="G3" ca="1">INDEX(rua_cod!$F:$F,RANDBETWEEN(2,COUNTA(rua_cod!F:F)))</f>
        <v>Avenida Ressano Garcia</v>
      </c>
      <c r="H3" t="str" cm="1">
        <f t="array" aca="1" ref="H3" ca="1">INDEX(rua_cod!$A:$A,Users!V3) &amp; "-" &amp; TEXT(RANDBETWEEN(0,999),"000")</f>
        <v>1500-259</v>
      </c>
      <c r="I3" t="str" cm="1">
        <f t="array" aca="1" ref="I3" ca="1">INDEX(rua_cod!$B:$B,Users!V3)</f>
        <v>Lisboa</v>
      </c>
      <c r="J3" t="s">
        <v>3727</v>
      </c>
      <c r="K3" t="s">
        <v>225</v>
      </c>
      <c r="L3" t="s">
        <v>265</v>
      </c>
      <c r="M3" t="str">
        <f t="shared" ref="M3:M66" ca="1" si="1">TEXT(RANDBETWEEN(10000000,99999999),"00000000")</f>
        <v>23499568</v>
      </c>
      <c r="N3" t="str">
        <f t="shared" ref="N3:O66" ca="1" si="2">TEXT(RANDBETWEEN(100000000,999999999),"000000000")</f>
        <v>138663389</v>
      </c>
      <c r="O3" t="str">
        <f t="shared" ca="1" si="2"/>
        <v>959946942</v>
      </c>
      <c r="P3" t="str" cm="1">
        <f t="array" aca="1" ref="P3" ca="1">9 &amp; INDEX($AF$3:$AF$6,W3)&amp; TEXT(RANDBETWEEN(0,9999999),"0000000")</f>
        <v>919647039</v>
      </c>
      <c r="Q3" t="str" cm="1">
        <f t="array" aca="1" ref="Q3" ca="1">LOWER(B3) &amp; INDEX($AF$9:$AF$11,X3)</f>
        <v>josboa1500@gmail.com</v>
      </c>
      <c r="R3" t="str">
        <f t="shared" ref="R3:R66" ca="1" si="3">B3 &amp; ".jpg"</f>
        <v>josboa1500.jpg</v>
      </c>
      <c r="T3" s="4"/>
      <c r="V3">
        <f ca="1">RANDBETWEEN(2,COUNTA(rua_cod!A:A))</f>
        <v>43</v>
      </c>
      <c r="W3">
        <f t="shared" ref="W3:W66" ca="1" si="4">RANDBETWEEN(1,4)</f>
        <v>1</v>
      </c>
      <c r="X3">
        <f t="shared" ref="X3:X66" ca="1" si="5">RANDBETWEEN(1,3)</f>
        <v>2</v>
      </c>
      <c r="Y3">
        <f t="shared" ref="Y3:Y66" ca="1" si="6">INT(NORMINV(RAND(),1976,22))</f>
        <v>1975</v>
      </c>
      <c r="Z3">
        <f t="shared" ref="Z3:Z66" ca="1" si="7">RANDBETWEEN(1,12)</f>
        <v>9</v>
      </c>
      <c r="AA3">
        <f t="shared" ref="AA3:AA66" ca="1" si="8">RANDBETWEEN(1,31)</f>
        <v>11</v>
      </c>
      <c r="AB3">
        <f t="shared" ref="AB3:AB66" ca="1" si="9">2020-Y3</f>
        <v>45</v>
      </c>
      <c r="AF3">
        <v>1</v>
      </c>
    </row>
    <row r="4" spans="1:32" x14ac:dyDescent="0.25">
      <c r="A4">
        <v>3</v>
      </c>
      <c r="B4" t="str" cm="1">
        <f t="array" aca="1" ref="B4" ca="1">replaceChar(LOWER(LEFT(D4,3)&amp;RIGHT(I4,3))&amp;LEFT(H4,4))</f>
        <v>gabria2423</v>
      </c>
      <c r="C4" t="str">
        <f t="shared" ca="1" si="0"/>
        <v>pswgabria2423</v>
      </c>
      <c r="D4" t="str">
        <f ca="1">Nomes!T5</f>
        <v>Gabriel</v>
      </c>
      <c r="E4" t="str">
        <f ca="1">Nomes!S5</f>
        <v>Masculino</v>
      </c>
      <c r="F4" s="2">
        <v>26848</v>
      </c>
      <c r="G4" t="str" cm="1">
        <f t="array" aca="1" ref="G4" ca="1">INDEX(rua_cod!$F:$F,RANDBETWEEN(2,COUNTA(rua_cod!F:F)))</f>
        <v>Avenida Ressano Garcia</v>
      </c>
      <c r="H4" t="str" cm="1">
        <f t="array" aca="1" ref="H4" ca="1">INDEX(rua_cod!$A:$A,Users!V4) &amp; "-" &amp; TEXT(RANDBETWEEN(0,999),"000")</f>
        <v>2423-102</v>
      </c>
      <c r="I4" t="str" cm="1">
        <f t="array" aca="1" ref="I4" ca="1">INDEX(rua_cod!$B:$B,Users!V4)</f>
        <v>Leiria</v>
      </c>
      <c r="J4" t="s">
        <v>3727</v>
      </c>
      <c r="K4" t="s">
        <v>225</v>
      </c>
      <c r="L4" t="s">
        <v>265</v>
      </c>
      <c r="M4" t="str">
        <f t="shared" ca="1" si="1"/>
        <v>99917774</v>
      </c>
      <c r="N4" t="str">
        <f t="shared" ca="1" si="2"/>
        <v>518539127</v>
      </c>
      <c r="O4" t="str">
        <f t="shared" ca="1" si="2"/>
        <v>346107580</v>
      </c>
      <c r="P4" t="str" cm="1">
        <f t="array" aca="1" ref="P4" ca="1">9 &amp; INDEX($AF$3:$AF$6,W4)&amp; TEXT(RANDBETWEEN(0,9999999),"0000000")</f>
        <v>931894325</v>
      </c>
      <c r="Q4" t="str" cm="1">
        <f t="array" aca="1" ref="Q4" ca="1">LOWER(B4) &amp; INDEX($AF$9:$AF$11,X4)</f>
        <v>gabria2423@gmail.com</v>
      </c>
      <c r="R4" t="str">
        <f t="shared" ca="1" si="3"/>
        <v>gabria2423.jpg</v>
      </c>
      <c r="T4" s="4"/>
      <c r="V4">
        <f ca="1">RANDBETWEEN(2,COUNTA(rua_cod!A:A))</f>
        <v>38</v>
      </c>
      <c r="W4">
        <f t="shared" ca="1" si="4"/>
        <v>3</v>
      </c>
      <c r="X4">
        <f t="shared" ca="1" si="5"/>
        <v>2</v>
      </c>
      <c r="Y4">
        <f t="shared" ca="1" si="6"/>
        <v>1984</v>
      </c>
      <c r="Z4">
        <f t="shared" ca="1" si="7"/>
        <v>12</v>
      </c>
      <c r="AA4">
        <f t="shared" ca="1" si="8"/>
        <v>7</v>
      </c>
      <c r="AB4">
        <f t="shared" ca="1" si="9"/>
        <v>36</v>
      </c>
      <c r="AF4">
        <v>2</v>
      </c>
    </row>
    <row r="5" spans="1:32" x14ac:dyDescent="0.25">
      <c r="A5">
        <v>4</v>
      </c>
      <c r="B5" t="str" cm="1">
        <f t="array" aca="1" ref="B5" ca="1">replaceChar(LOWER(LEFT(D5,3)&amp;RIGHT(I5,3))&amp;LEFT(H5,4))</f>
        <v>marboa1349</v>
      </c>
      <c r="C5" t="str">
        <f t="shared" ca="1" si="0"/>
        <v>pswmarboa1349</v>
      </c>
      <c r="D5" t="str">
        <f ca="1">Nomes!T6</f>
        <v>Martim</v>
      </c>
      <c r="E5" t="str">
        <f ca="1">Nomes!S6</f>
        <v>Masculino</v>
      </c>
      <c r="F5" s="2">
        <v>34485</v>
      </c>
      <c r="G5" t="str" cm="1">
        <f t="array" aca="1" ref="G5" ca="1">INDEX(rua_cod!$F:$F,RANDBETWEEN(2,COUNTA(rua_cod!F:F)))</f>
        <v>Rua Garrett</v>
      </c>
      <c r="H5" t="str" cm="1">
        <f t="array" aca="1" ref="H5" ca="1">INDEX(rua_cod!$A:$A,Users!V5) &amp; "-" &amp; TEXT(RANDBETWEEN(0,999),"000")</f>
        <v>1349-104</v>
      </c>
      <c r="I5" t="str" cm="1">
        <f t="array" aca="1" ref="I5" ca="1">INDEX(rua_cod!$B:$B,Users!V5)</f>
        <v>Lisboa</v>
      </c>
      <c r="J5" t="s">
        <v>3727</v>
      </c>
      <c r="K5" t="s">
        <v>225</v>
      </c>
      <c r="L5" t="s">
        <v>265</v>
      </c>
      <c r="M5" t="str">
        <f t="shared" ca="1" si="1"/>
        <v>72075052</v>
      </c>
      <c r="N5" t="str">
        <f t="shared" ca="1" si="2"/>
        <v>217838213</v>
      </c>
      <c r="O5" t="str">
        <f t="shared" ca="1" si="2"/>
        <v>404442193</v>
      </c>
      <c r="P5" t="str" cm="1">
        <f t="array" aca="1" ref="P5" ca="1">9 &amp; INDEX($AF$3:$AF$6,W5)&amp; TEXT(RANDBETWEEN(0,9999999),"0000000")</f>
        <v>913553310</v>
      </c>
      <c r="Q5" t="str" cm="1">
        <f t="array" aca="1" ref="Q5" ca="1">LOWER(B5) &amp; INDEX($AF$9:$AF$11,X5)</f>
        <v>marboa1349@sapo.pt</v>
      </c>
      <c r="R5" t="str">
        <f t="shared" ca="1" si="3"/>
        <v>marboa1349.jpg</v>
      </c>
      <c r="T5" s="4"/>
      <c r="V5">
        <f ca="1">RANDBETWEEN(2,COUNTA(rua_cod!A:A))</f>
        <v>71</v>
      </c>
      <c r="W5">
        <f t="shared" ca="1" si="4"/>
        <v>1</v>
      </c>
      <c r="X5">
        <f t="shared" ca="1" si="5"/>
        <v>3</v>
      </c>
      <c r="Y5">
        <f t="shared" ca="1" si="6"/>
        <v>1960</v>
      </c>
      <c r="Z5">
        <f t="shared" ca="1" si="7"/>
        <v>10</v>
      </c>
      <c r="AA5">
        <f t="shared" ca="1" si="8"/>
        <v>29</v>
      </c>
      <c r="AB5">
        <f t="shared" ca="1" si="9"/>
        <v>60</v>
      </c>
      <c r="AF5">
        <v>3</v>
      </c>
    </row>
    <row r="6" spans="1:32" x14ac:dyDescent="0.25">
      <c r="A6">
        <v>5</v>
      </c>
      <c r="B6" t="str" cm="1">
        <f t="array" aca="1" ref="B6" ca="1">replaceChar(LOWER(LEFT(D6,3)&amp;RIGHT(I6,3))&amp;LEFT(H6,4))</f>
        <v>joaboa1748</v>
      </c>
      <c r="C6" t="str">
        <f t="shared" ca="1" si="0"/>
        <v>pswjoaboa1748</v>
      </c>
      <c r="D6" t="str">
        <f ca="1">Nomes!T7</f>
        <v>Joaquim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de São Bento</v>
      </c>
      <c r="H6" t="str" cm="1">
        <f t="array" aca="1" ref="H6" ca="1">INDEX(rua_cod!$A:$A,Users!V6) &amp; "-" &amp; TEXT(RANDBETWEEN(0,999),"000")</f>
        <v>1748-304</v>
      </c>
      <c r="I6" t="str" cm="1">
        <f t="array" aca="1" ref="I6" ca="1">INDEX(rua_cod!$B:$B,Users!V6)</f>
        <v>Lisboa</v>
      </c>
      <c r="J6" t="s">
        <v>3727</v>
      </c>
      <c r="K6" t="s">
        <v>225</v>
      </c>
      <c r="L6" t="s">
        <v>265</v>
      </c>
      <c r="M6" t="str">
        <f t="shared" ca="1" si="1"/>
        <v>78868786</v>
      </c>
      <c r="N6" t="str">
        <f t="shared" ca="1" si="2"/>
        <v>839144248</v>
      </c>
      <c r="O6" t="str">
        <f t="shared" ca="1" si="2"/>
        <v>149266597</v>
      </c>
      <c r="P6" t="str" cm="1">
        <f t="array" aca="1" ref="P6" ca="1">9 &amp; INDEX($AF$3:$AF$6,W6)&amp; TEXT(RANDBETWEEN(0,9999999),"0000000")</f>
        <v>925070472</v>
      </c>
      <c r="Q6" t="str" cm="1">
        <f t="array" aca="1" ref="Q6" ca="1">LOWER(B6) &amp; INDEX($AF$9:$AF$11,X6)</f>
        <v>joaboa1748@sapo.pt</v>
      </c>
      <c r="R6" t="str">
        <f t="shared" ca="1" si="3"/>
        <v>joaboa1748.jpg</v>
      </c>
      <c r="T6" s="4"/>
      <c r="V6">
        <f ca="1">RANDBETWEEN(2,COUNTA(rua_cod!A:A))</f>
        <v>77</v>
      </c>
      <c r="W6">
        <f t="shared" ca="1" si="4"/>
        <v>2</v>
      </c>
      <c r="X6">
        <f t="shared" ca="1" si="5"/>
        <v>3</v>
      </c>
      <c r="Y6">
        <f t="shared" ca="1" si="6"/>
        <v>2008</v>
      </c>
      <c r="Z6">
        <f t="shared" ca="1" si="7"/>
        <v>8</v>
      </c>
      <c r="AA6">
        <f t="shared" ca="1" si="8"/>
        <v>29</v>
      </c>
      <c r="AB6">
        <f t="shared" ca="1" si="9"/>
        <v>12</v>
      </c>
      <c r="AF6">
        <v>6</v>
      </c>
    </row>
    <row r="7" spans="1:32" x14ac:dyDescent="0.25">
      <c r="A7">
        <v>6</v>
      </c>
      <c r="B7" t="str" cm="1">
        <f t="array" aca="1" ref="B7" ca="1">replaceChar(LOWER(LEFT(D7,3)&amp;RIGHT(I7,3))&amp;LEFT(H7,4))</f>
        <v>fraora2650</v>
      </c>
      <c r="C7" t="str">
        <f t="shared" ca="1" si="0"/>
        <v>pswfraora2650</v>
      </c>
      <c r="D7" t="str">
        <f ca="1">Nomes!T8</f>
        <v>Francisco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Avenida Ressano Garcia</v>
      </c>
      <c r="H7" t="str" cm="1">
        <f t="array" aca="1" ref="H7" ca="1">INDEX(rua_cod!$A:$A,Users!V7) &amp; "-" &amp; TEXT(RANDBETWEEN(0,999),"000")</f>
        <v>2650-690</v>
      </c>
      <c r="I7" t="str" cm="1">
        <f t="array" aca="1" ref="I7" ca="1">INDEX(rua_cod!$B:$B,Users!V7)</f>
        <v>Amadora</v>
      </c>
      <c r="J7" t="s">
        <v>3727</v>
      </c>
      <c r="K7" t="s">
        <v>225</v>
      </c>
      <c r="L7" t="s">
        <v>265</v>
      </c>
      <c r="M7" t="str">
        <f t="shared" ca="1" si="1"/>
        <v>51830540</v>
      </c>
      <c r="N7" t="str">
        <f t="shared" ca="1" si="2"/>
        <v>996204157</v>
      </c>
      <c r="O7" t="str">
        <f t="shared" ca="1" si="2"/>
        <v>360798929</v>
      </c>
      <c r="P7" t="str" cm="1">
        <f t="array" aca="1" ref="P7" ca="1">9 &amp; INDEX($AF$3:$AF$6,W7)&amp; TEXT(RANDBETWEEN(0,9999999),"0000000")</f>
        <v>917201260</v>
      </c>
      <c r="Q7" t="str" cm="1">
        <f t="array" aca="1" ref="Q7" ca="1">LOWER(B7) &amp; INDEX($AF$9:$AF$11,X7)</f>
        <v>fraora2650@outlook.com</v>
      </c>
      <c r="R7" t="str">
        <f t="shared" ca="1" si="3"/>
        <v>fraora2650.jpg</v>
      </c>
      <c r="T7" s="4"/>
      <c r="V7">
        <f ca="1">RANDBETWEEN(2,COUNTA(rua_cod!A:A))</f>
        <v>9</v>
      </c>
      <c r="W7">
        <f t="shared" ca="1" si="4"/>
        <v>1</v>
      </c>
      <c r="X7">
        <f t="shared" ca="1" si="5"/>
        <v>1</v>
      </c>
      <c r="Y7">
        <f t="shared" ca="1" si="6"/>
        <v>1956</v>
      </c>
      <c r="Z7">
        <f t="shared" ca="1" si="7"/>
        <v>3</v>
      </c>
      <c r="AA7">
        <f t="shared" ca="1" si="8"/>
        <v>6</v>
      </c>
      <c r="AB7">
        <f t="shared" ca="1" si="9"/>
        <v>64</v>
      </c>
    </row>
    <row r="8" spans="1:32" x14ac:dyDescent="0.25">
      <c r="A8">
        <v>7</v>
      </c>
      <c r="B8" t="str" cm="1">
        <f t="array" aca="1" ref="B8" ca="1">replaceChar(LOWER(LEFT(D8,3)&amp;RIGHT(I8,3))&amp;LEFT(H8,4))</f>
        <v>ineboa1748</v>
      </c>
      <c r="C8" t="str">
        <f t="shared" ca="1" si="0"/>
        <v>pswineboa1748</v>
      </c>
      <c r="D8" t="str">
        <f ca="1">Nomes!T9</f>
        <v>Inês</v>
      </c>
      <c r="E8" t="str">
        <f ca="1">Nomes!S9</f>
        <v>Feminino</v>
      </c>
      <c r="F8" s="2">
        <v>26214</v>
      </c>
      <c r="G8" t="str" cm="1">
        <f t="array" aca="1" ref="G8" ca="1">INDEX(rua_cod!$F:$F,RANDBETWEEN(2,COUNTA(rua_cod!F:F)))</f>
        <v>Estrada das Laranjeiras</v>
      </c>
      <c r="H8" t="str" cm="1">
        <f t="array" aca="1" ref="H8" ca="1">INDEX(rua_cod!$A:$A,Users!V8) &amp; "-" &amp; TEXT(RANDBETWEEN(0,999),"000")</f>
        <v>1748-299</v>
      </c>
      <c r="I8" t="str" cm="1">
        <f t="array" aca="1" ref="I8" ca="1">INDEX(rua_cod!$B:$B,Users!V8)</f>
        <v>Lisboa</v>
      </c>
      <c r="J8" t="s">
        <v>3727</v>
      </c>
      <c r="K8" t="s">
        <v>225</v>
      </c>
      <c r="L8" t="s">
        <v>265</v>
      </c>
      <c r="M8" t="str">
        <f t="shared" ca="1" si="1"/>
        <v>23927000</v>
      </c>
      <c r="N8" t="str">
        <f t="shared" ca="1" si="2"/>
        <v>353140202</v>
      </c>
      <c r="O8" t="str">
        <f t="shared" ca="1" si="2"/>
        <v>899467758</v>
      </c>
      <c r="P8" t="str" cm="1">
        <f t="array" aca="1" ref="P8" ca="1">9 &amp; INDEX($AF$3:$AF$6,W8)&amp; TEXT(RANDBETWEEN(0,9999999),"0000000")</f>
        <v>923301951</v>
      </c>
      <c r="Q8" t="str" cm="1">
        <f t="array" aca="1" ref="Q8" ca="1">LOWER(B8) &amp; INDEX($AF$9:$AF$11,X8)</f>
        <v>ineboa1748@outlook.com</v>
      </c>
      <c r="R8" t="str">
        <f t="shared" ca="1" si="3"/>
        <v>ineboa1748.jpg</v>
      </c>
      <c r="T8" s="4"/>
      <c r="V8">
        <f ca="1">RANDBETWEEN(2,COUNTA(rua_cod!A:A))</f>
        <v>77</v>
      </c>
      <c r="W8">
        <f t="shared" ca="1" si="4"/>
        <v>2</v>
      </c>
      <c r="X8">
        <f t="shared" ca="1" si="5"/>
        <v>1</v>
      </c>
      <c r="Y8">
        <f t="shared" ca="1" si="6"/>
        <v>1995</v>
      </c>
      <c r="Z8">
        <f t="shared" ca="1" si="7"/>
        <v>7</v>
      </c>
      <c r="AA8">
        <f t="shared" ca="1" si="8"/>
        <v>26</v>
      </c>
      <c r="AB8">
        <f t="shared" ca="1" si="9"/>
        <v>25</v>
      </c>
    </row>
    <row r="9" spans="1:32" x14ac:dyDescent="0.25">
      <c r="A9">
        <v>8</v>
      </c>
      <c r="B9" t="str" cm="1">
        <f t="array" aca="1" ref="B9" ca="1">replaceChar(LOWER(LEFT(D9,3)&amp;RIGHT(I9,3))&amp;LEFT(H9,4))</f>
        <v>bruria2419</v>
      </c>
      <c r="C9" t="str">
        <f t="shared" ca="1" si="0"/>
        <v>pswbruria2419</v>
      </c>
      <c r="D9" t="str">
        <f ca="1">Nomes!T10</f>
        <v>Bruno</v>
      </c>
      <c r="E9" t="str">
        <f ca="1">Nomes!S10</f>
        <v>Masculino</v>
      </c>
      <c r="F9" s="2">
        <v>41662</v>
      </c>
      <c r="G9" t="str" cm="1">
        <f t="array" aca="1" ref="G9" ca="1">INDEX(rua_cod!$F:$F,RANDBETWEEN(2,COUNTA(rua_cod!F:F)))</f>
        <v>Rua da Prata</v>
      </c>
      <c r="H9" t="str" cm="1">
        <f t="array" aca="1" ref="H9" ca="1">INDEX(rua_cod!$A:$A,Users!V9) &amp; "-" &amp; TEXT(RANDBETWEEN(0,999),"000")</f>
        <v>2419-367</v>
      </c>
      <c r="I9" t="str" cm="1">
        <f t="array" aca="1" ref="I9" ca="1">INDEX(rua_cod!$B:$B,Users!V9)</f>
        <v>Leiria</v>
      </c>
      <c r="J9" t="s">
        <v>3727</v>
      </c>
      <c r="K9" t="s">
        <v>225</v>
      </c>
      <c r="L9" t="s">
        <v>265</v>
      </c>
      <c r="M9" t="str">
        <f t="shared" ca="1" si="1"/>
        <v>40731835</v>
      </c>
      <c r="N9" t="str">
        <f t="shared" ca="1" si="2"/>
        <v>829639295</v>
      </c>
      <c r="O9" t="str">
        <f t="shared" ca="1" si="2"/>
        <v>932398707</v>
      </c>
      <c r="P9" t="str" cm="1">
        <f t="array" aca="1" ref="P9" ca="1">9 &amp; INDEX($AF$3:$AF$6,W9)&amp; TEXT(RANDBETWEEN(0,9999999),"0000000")</f>
        <v>937757331</v>
      </c>
      <c r="Q9" t="str" cm="1">
        <f t="array" aca="1" ref="Q9" ca="1">LOWER(B9) &amp; INDEX($AF$9:$AF$11,X9)</f>
        <v>bruria2419@gmail.com</v>
      </c>
      <c r="R9" t="str">
        <f t="shared" ca="1" si="3"/>
        <v>bruria2419.jpg</v>
      </c>
      <c r="T9" s="4"/>
      <c r="V9">
        <f ca="1">RANDBETWEEN(2,COUNTA(rua_cod!A:A))</f>
        <v>37</v>
      </c>
      <c r="W9">
        <f t="shared" ca="1" si="4"/>
        <v>3</v>
      </c>
      <c r="X9">
        <f t="shared" ca="1" si="5"/>
        <v>2</v>
      </c>
      <c r="Y9">
        <f t="shared" ca="1" si="6"/>
        <v>1991</v>
      </c>
      <c r="Z9">
        <f t="shared" ca="1" si="7"/>
        <v>8</v>
      </c>
      <c r="AA9">
        <f t="shared" ca="1" si="8"/>
        <v>15</v>
      </c>
      <c r="AB9">
        <f t="shared" ca="1" si="9"/>
        <v>29</v>
      </c>
      <c r="AF9" s="5" t="s">
        <v>267</v>
      </c>
    </row>
    <row r="10" spans="1:32" x14ac:dyDescent="0.25">
      <c r="A10">
        <v>9</v>
      </c>
      <c r="B10" t="str" cm="1">
        <f t="array" aca="1" ref="B10" ca="1">replaceChar(LOWER(LEFT(D10,3)&amp;RIGHT(I10,3))&amp;LEFT(H10,4))</f>
        <v>joside2794</v>
      </c>
      <c r="C10" t="str">
        <f t="shared" ca="1" si="0"/>
        <v>pswjoside2794</v>
      </c>
      <c r="D10" t="str">
        <f ca="1">Nomes!T11</f>
        <v>José</v>
      </c>
      <c r="E10" t="str">
        <f ca="1">Nomes!S11</f>
        <v>Masculino</v>
      </c>
      <c r="F10" s="2">
        <v>28055</v>
      </c>
      <c r="G10" t="str" cm="1">
        <f t="array" aca="1" ref="G10" ca="1">INDEX(rua_cod!$F:$F,RANDBETWEEN(2,COUNTA(rua_cod!F:F)))</f>
        <v>Rua de São Bento</v>
      </c>
      <c r="H10" t="str" cm="1">
        <f t="array" aca="1" ref="H10" ca="1">INDEX(rua_cod!$A:$A,Users!V10) &amp; "-" &amp; TEXT(RANDBETWEEN(0,999),"000")</f>
        <v>2794-220</v>
      </c>
      <c r="I10" t="str" cm="1">
        <f t="array" aca="1" ref="I10" ca="1">INDEX(rua_cod!$B:$B,Users!V10)</f>
        <v>Carnaxide</v>
      </c>
      <c r="J10" t="s">
        <v>3727</v>
      </c>
      <c r="K10" t="s">
        <v>225</v>
      </c>
      <c r="L10" t="s">
        <v>265</v>
      </c>
      <c r="M10" t="str">
        <f t="shared" ca="1" si="1"/>
        <v>77467521</v>
      </c>
      <c r="N10" t="str">
        <f t="shared" ca="1" si="2"/>
        <v>918702453</v>
      </c>
      <c r="O10" t="str">
        <f t="shared" ca="1" si="2"/>
        <v>411455687</v>
      </c>
      <c r="P10" t="str" cm="1">
        <f t="array" aca="1" ref="P10" ca="1">9 &amp; INDEX($AF$3:$AF$6,W10)&amp; TEXT(RANDBETWEEN(0,9999999),"0000000")</f>
        <v>938225819</v>
      </c>
      <c r="Q10" t="str" cm="1">
        <f t="array" aca="1" ref="Q10" ca="1">LOWER(B10) &amp; INDEX($AF$9:$AF$11,X10)</f>
        <v>joside2794@outlook.com</v>
      </c>
      <c r="R10" t="str">
        <f t="shared" ca="1" si="3"/>
        <v>joside2794.jpg</v>
      </c>
      <c r="T10" s="4"/>
      <c r="V10">
        <f ca="1">RANDBETWEEN(2,COUNTA(rua_cod!A:A))</f>
        <v>23</v>
      </c>
      <c r="W10">
        <f t="shared" ca="1" si="4"/>
        <v>3</v>
      </c>
      <c r="X10">
        <f t="shared" ca="1" si="5"/>
        <v>1</v>
      </c>
      <c r="Y10">
        <f t="shared" ca="1" si="6"/>
        <v>2020</v>
      </c>
      <c r="Z10">
        <f t="shared" ca="1" si="7"/>
        <v>5</v>
      </c>
      <c r="AA10">
        <f t="shared" ca="1" si="8"/>
        <v>4</v>
      </c>
      <c r="AB10">
        <f t="shared" ca="1" si="9"/>
        <v>0</v>
      </c>
      <c r="AF10" s="5" t="s">
        <v>268</v>
      </c>
    </row>
    <row r="11" spans="1:32" x14ac:dyDescent="0.25">
      <c r="A11">
        <v>10</v>
      </c>
      <c r="B11" t="str" cm="1">
        <f t="array" aca="1" ref="B11" ca="1">replaceChar(LOWER(LEFT(D11,3)&amp;RIGHT(I11,3))&amp;LEFT(H11,4))</f>
        <v>joalos2779</v>
      </c>
      <c r="C11" t="str">
        <f t="shared" ca="1" si="0"/>
        <v>pswjoalos2779</v>
      </c>
      <c r="D11" t="str">
        <f ca="1">Nomes!T12</f>
        <v>João</v>
      </c>
      <c r="E11" t="str">
        <f ca="1">Nomes!S12</f>
        <v>Masculino</v>
      </c>
      <c r="F11" s="2">
        <v>30531</v>
      </c>
      <c r="G11" t="str" cm="1">
        <f t="array" aca="1" ref="G11" ca="1">INDEX(rua_cod!$F:$F,RANDBETWEEN(2,COUNTA(rua_cod!F:F)))</f>
        <v>Calçada do Poço dos Mouros</v>
      </c>
      <c r="H11" t="str" cm="1">
        <f t="array" aca="1" ref="H11" ca="1">INDEX(rua_cod!$A:$A,Users!V11) &amp; "-" &amp; TEXT(RANDBETWEEN(0,999),"000")</f>
        <v>2779-617</v>
      </c>
      <c r="I11" t="str" cm="1">
        <f t="array" aca="1" ref="I11" ca="1">INDEX(rua_cod!$B:$B,Users!V11)</f>
        <v>Carcavelos</v>
      </c>
      <c r="J11" t="s">
        <v>3727</v>
      </c>
      <c r="K11" t="s">
        <v>225</v>
      </c>
      <c r="L11" t="s">
        <v>265</v>
      </c>
      <c r="M11" t="str">
        <f t="shared" ca="1" si="1"/>
        <v>99454292</v>
      </c>
      <c r="N11" t="str">
        <f t="shared" ca="1" si="2"/>
        <v>429455873</v>
      </c>
      <c r="O11" t="str">
        <f t="shared" ca="1" si="2"/>
        <v>672294099</v>
      </c>
      <c r="P11" t="str" cm="1">
        <f t="array" aca="1" ref="P11" ca="1">9 &amp; INDEX($AF$3:$AF$6,W11)&amp; TEXT(RANDBETWEEN(0,9999999),"0000000")</f>
        <v>965278614</v>
      </c>
      <c r="Q11" t="str" cm="1">
        <f t="array" aca="1" ref="Q11" ca="1">LOWER(B11) &amp; INDEX($AF$9:$AF$11,X11)</f>
        <v>joalos2779@gmail.com</v>
      </c>
      <c r="R11" t="str">
        <f t="shared" ca="1" si="3"/>
        <v>joalos2779.jpg</v>
      </c>
      <c r="T11" s="4"/>
      <c r="V11">
        <f ca="1">RANDBETWEEN(2,COUNTA(rua_cod!A:A))</f>
        <v>21</v>
      </c>
      <c r="W11">
        <f t="shared" ca="1" si="4"/>
        <v>4</v>
      </c>
      <c r="X11">
        <f t="shared" ca="1" si="5"/>
        <v>2</v>
      </c>
      <c r="Y11">
        <f t="shared" ca="1" si="6"/>
        <v>1958</v>
      </c>
      <c r="Z11">
        <f t="shared" ca="1" si="7"/>
        <v>10</v>
      </c>
      <c r="AA11">
        <f t="shared" ca="1" si="8"/>
        <v>19</v>
      </c>
      <c r="AB11">
        <f t="shared" ca="1" si="9"/>
        <v>62</v>
      </c>
      <c r="AF11" s="5" t="s">
        <v>269</v>
      </c>
    </row>
    <row r="12" spans="1:32" x14ac:dyDescent="0.25">
      <c r="A12">
        <v>11</v>
      </c>
      <c r="B12" t="str" cm="1">
        <f t="array" aca="1" ref="B12" ca="1">replaceChar(LOWER(LEFT(D12,3)&amp;RIGHT(I12,3))&amp;LEFT(H12,4))</f>
        <v>marada2804</v>
      </c>
      <c r="C12" t="str">
        <f t="shared" ca="1" si="0"/>
        <v>pswmarada2804</v>
      </c>
      <c r="D12" t="str">
        <f ca="1">Nomes!T13</f>
        <v>Martim</v>
      </c>
      <c r="E12" t="str">
        <f ca="1">Nomes!S13</f>
        <v>Masculino</v>
      </c>
      <c r="F12" s="2">
        <v>10192</v>
      </c>
      <c r="G12" t="str" cm="1">
        <f t="array" aca="1" ref="G12" ca="1">INDEX(rua_cod!$F:$F,RANDBETWEEN(2,COUNTA(rua_cod!F:F)))</f>
        <v>Rua da Betesga</v>
      </c>
      <c r="H12" t="str" cm="1">
        <f t="array" aca="1" ref="H12" ca="1">INDEX(rua_cod!$A:$A,Users!V12) &amp; "-" &amp; TEXT(RANDBETWEEN(0,999),"000")</f>
        <v>2804-200</v>
      </c>
      <c r="I12" t="str" cm="1">
        <f t="array" aca="1" ref="I12" ca="1">INDEX(rua_cod!$B:$B,Users!V12)</f>
        <v>Almada</v>
      </c>
      <c r="J12" t="s">
        <v>3727</v>
      </c>
      <c r="K12" t="s">
        <v>225</v>
      </c>
      <c r="L12" t="s">
        <v>265</v>
      </c>
      <c r="M12" t="str">
        <f t="shared" ca="1" si="1"/>
        <v>82338810</v>
      </c>
      <c r="N12" t="str">
        <f t="shared" ca="1" si="2"/>
        <v>513026597</v>
      </c>
      <c r="O12" t="str">
        <f t="shared" ca="1" si="2"/>
        <v>736938667</v>
      </c>
      <c r="P12" t="str" cm="1">
        <f t="array" aca="1" ref="P12" ca="1">9 &amp; INDEX($AF$3:$AF$6,W12)&amp; TEXT(RANDBETWEEN(0,9999999),"0000000")</f>
        <v>910589789</v>
      </c>
      <c r="Q12" t="str" cm="1">
        <f t="array" aca="1" ref="Q12" ca="1">LOWER(B12) &amp; INDEX($AF$9:$AF$11,X12)</f>
        <v>marada2804@outlook.com</v>
      </c>
      <c r="R12" t="str">
        <f t="shared" ca="1" si="3"/>
        <v>marada2804.jpg</v>
      </c>
      <c r="T12" s="4"/>
      <c r="V12">
        <f ca="1">RANDBETWEEN(2,COUNTA(rua_cod!A:A))</f>
        <v>7</v>
      </c>
      <c r="W12">
        <f t="shared" ca="1" si="4"/>
        <v>1</v>
      </c>
      <c r="X12">
        <f t="shared" ca="1" si="5"/>
        <v>1</v>
      </c>
      <c r="Y12">
        <f t="shared" ca="1" si="6"/>
        <v>1941</v>
      </c>
      <c r="Z12">
        <f t="shared" ca="1" si="7"/>
        <v>3</v>
      </c>
      <c r="AA12">
        <f t="shared" ca="1" si="8"/>
        <v>17</v>
      </c>
      <c r="AB12">
        <f t="shared" ca="1" si="9"/>
        <v>79</v>
      </c>
    </row>
    <row r="13" spans="1:32" x14ac:dyDescent="0.25">
      <c r="A13">
        <v>12</v>
      </c>
      <c r="B13" t="str" cm="1">
        <f t="array" aca="1" ref="B13" ca="1">replaceChar(LOWER(LEFT(D13,3)&amp;RIGHT(I13,3))&amp;LEFT(H13,4))</f>
        <v>sanboa1500</v>
      </c>
      <c r="C13" t="str">
        <f t="shared" ca="1" si="0"/>
        <v>pswsanboa1500</v>
      </c>
      <c r="D13" t="str">
        <f ca="1">Nomes!T14</f>
        <v>Santiago Pinho</v>
      </c>
      <c r="E13" t="str">
        <f ca="1">Nomes!S14</f>
        <v>Masculino</v>
      </c>
      <c r="F13" s="2">
        <v>11987</v>
      </c>
      <c r="G13" t="str" cm="1">
        <f t="array" aca="1" ref="G13" ca="1">INDEX(rua_cod!$F:$F,RANDBETWEEN(2,COUNTA(rua_cod!F:F)))</f>
        <v>Rua da Prata</v>
      </c>
      <c r="H13" t="str" cm="1">
        <f t="array" aca="1" ref="H13" ca="1">INDEX(rua_cod!$A:$A,Users!V13) &amp; "-" &amp; TEXT(RANDBETWEEN(0,999),"000")</f>
        <v>1500-976</v>
      </c>
      <c r="I13" t="str" cm="1">
        <f t="array" aca="1" ref="I13" ca="1">INDEX(rua_cod!$B:$B,Users!V13)</f>
        <v>Lisboa</v>
      </c>
      <c r="J13" t="s">
        <v>3727</v>
      </c>
      <c r="K13" t="s">
        <v>225</v>
      </c>
      <c r="L13" t="s">
        <v>265</v>
      </c>
      <c r="M13" t="str">
        <f t="shared" ca="1" si="1"/>
        <v>95707098</v>
      </c>
      <c r="N13" t="str">
        <f t="shared" ca="1" si="2"/>
        <v>868771123</v>
      </c>
      <c r="O13" t="str">
        <f t="shared" ca="1" si="2"/>
        <v>424912708</v>
      </c>
      <c r="P13" t="str" cm="1">
        <f t="array" aca="1" ref="P13" ca="1">9 &amp; INDEX($AF$3:$AF$6,W13)&amp; TEXT(RANDBETWEEN(0,9999999),"0000000")</f>
        <v>931705139</v>
      </c>
      <c r="Q13" t="str" cm="1">
        <f t="array" aca="1" ref="Q13" ca="1">LOWER(B13) &amp; INDEX($AF$9:$AF$11,X13)</f>
        <v>sanboa1500@sapo.pt</v>
      </c>
      <c r="R13" t="str">
        <f t="shared" ca="1" si="3"/>
        <v>sanboa1500.jpg</v>
      </c>
      <c r="T13" s="4"/>
      <c r="V13">
        <f ca="1">RANDBETWEEN(2,COUNTA(rua_cod!A:A))</f>
        <v>43</v>
      </c>
      <c r="W13">
        <f t="shared" ca="1" si="4"/>
        <v>3</v>
      </c>
      <c r="X13">
        <f t="shared" ca="1" si="5"/>
        <v>3</v>
      </c>
      <c r="Y13">
        <f t="shared" ca="1" si="6"/>
        <v>1950</v>
      </c>
      <c r="Z13">
        <f t="shared" ca="1" si="7"/>
        <v>8</v>
      </c>
      <c r="AA13">
        <f t="shared" ca="1" si="8"/>
        <v>9</v>
      </c>
      <c r="AB13">
        <f t="shared" ca="1" si="9"/>
        <v>70</v>
      </c>
    </row>
    <row r="14" spans="1:32" x14ac:dyDescent="0.25">
      <c r="A14">
        <v>13</v>
      </c>
      <c r="B14" t="str" cm="1">
        <f t="array" aca="1" ref="B14" ca="1">replaceChar(LOWER(LEFT(D14,3)&amp;RIGHT(I14,3))&amp;LEFT(H14,4))</f>
        <v>bruica2829</v>
      </c>
      <c r="C14" t="str">
        <f t="shared" ca="1" si="0"/>
        <v>pswbruica2829</v>
      </c>
      <c r="D14" t="str">
        <f ca="1">Nomes!T15</f>
        <v>Bruno Cardoso</v>
      </c>
      <c r="E14" t="str">
        <f ca="1">Nomes!S15</f>
        <v>Masculino</v>
      </c>
      <c r="F14" s="2">
        <v>28287</v>
      </c>
      <c r="G14" t="str" cm="1">
        <f t="array" aca="1" ref="G14" ca="1">INDEX(rua_cod!$F:$F,RANDBETWEEN(2,COUNTA(rua_cod!F:F)))</f>
        <v>Rua de São Bento</v>
      </c>
      <c r="H14" t="str" cm="1">
        <f t="array" aca="1" ref="H14" ca="1">INDEX(rua_cod!$A:$A,Users!V14) &amp; "-" &amp; TEXT(RANDBETWEEN(0,999),"000")</f>
        <v>2829-493</v>
      </c>
      <c r="I14" t="str" cm="1">
        <f t="array" aca="1" ref="I14" ca="1">INDEX(rua_cod!$B:$B,Users!V14)</f>
        <v>Caparica</v>
      </c>
      <c r="J14" t="s">
        <v>3727</v>
      </c>
      <c r="K14" t="s">
        <v>225</v>
      </c>
      <c r="L14" t="s">
        <v>265</v>
      </c>
      <c r="M14" t="str">
        <f t="shared" ca="1" si="1"/>
        <v>25469159</v>
      </c>
      <c r="N14" t="str">
        <f t="shared" ca="1" si="2"/>
        <v>141775735</v>
      </c>
      <c r="O14" t="str">
        <f t="shared" ca="1" si="2"/>
        <v>792557132</v>
      </c>
      <c r="P14" t="str" cm="1">
        <f t="array" aca="1" ref="P14" ca="1">9 &amp; INDEX($AF$3:$AF$6,W14)&amp; TEXT(RANDBETWEEN(0,9999999),"0000000")</f>
        <v>916000268</v>
      </c>
      <c r="Q14" t="str" cm="1">
        <f t="array" aca="1" ref="Q14" ca="1">LOWER(B14) &amp; INDEX($AF$9:$AF$11,X14)</f>
        <v>bruica2829@outlook.com</v>
      </c>
      <c r="R14" t="str">
        <f t="shared" ca="1" si="3"/>
        <v>bruica2829.jpg</v>
      </c>
      <c r="T14" s="4"/>
      <c r="V14">
        <f ca="1">RANDBETWEEN(2,COUNTA(rua_cod!A:A))</f>
        <v>19</v>
      </c>
      <c r="W14">
        <f t="shared" ca="1" si="4"/>
        <v>1</v>
      </c>
      <c r="X14">
        <f t="shared" ca="1" si="5"/>
        <v>1</v>
      </c>
      <c r="Y14">
        <f t="shared" ca="1" si="6"/>
        <v>1989</v>
      </c>
      <c r="Z14">
        <f t="shared" ca="1" si="7"/>
        <v>12</v>
      </c>
      <c r="AA14">
        <f t="shared" ca="1" si="8"/>
        <v>4</v>
      </c>
      <c r="AB14">
        <f t="shared" ca="1" si="9"/>
        <v>31</v>
      </c>
    </row>
    <row r="15" spans="1:32" x14ac:dyDescent="0.25">
      <c r="A15">
        <v>14</v>
      </c>
      <c r="B15" t="str" cm="1">
        <f t="array" aca="1" ref="B15" ca="1">replaceChar(LOWER(LEFT(D15,3)&amp;RIGHT(I15,3))&amp;LEFT(H15,4))</f>
        <v>marria2414</v>
      </c>
      <c r="C15" t="str">
        <f t="shared" ca="1" si="0"/>
        <v>pswmarria2414</v>
      </c>
      <c r="D15" t="str">
        <f ca="1">Nomes!T16</f>
        <v>Martim Santos</v>
      </c>
      <c r="E15" t="str">
        <f ca="1">Nomes!S16</f>
        <v>Masculino</v>
      </c>
      <c r="F15" s="2">
        <v>26925</v>
      </c>
      <c r="G15" t="str" cm="1">
        <f t="array" aca="1" ref="G15" ca="1">INDEX(rua_cod!$F:$F,RANDBETWEEN(2,COUNTA(rua_cod!F:F)))</f>
        <v>Rua da Prata</v>
      </c>
      <c r="H15" t="str" cm="1">
        <f t="array" aca="1" ref="H15" ca="1">INDEX(rua_cod!$A:$A,Users!V15) &amp; "-" &amp; TEXT(RANDBETWEEN(0,999),"000")</f>
        <v>2414-358</v>
      </c>
      <c r="I15" t="str" cm="1">
        <f t="array" aca="1" ref="I15" ca="1">INDEX(rua_cod!$B:$B,Users!V15)</f>
        <v>Leiria</v>
      </c>
      <c r="J15" t="s">
        <v>3727</v>
      </c>
      <c r="K15" t="s">
        <v>225</v>
      </c>
      <c r="L15" t="s">
        <v>265</v>
      </c>
      <c r="M15" t="str">
        <f t="shared" ca="1" si="1"/>
        <v>27396912</v>
      </c>
      <c r="N15" t="str">
        <f t="shared" ca="1" si="2"/>
        <v>474629610</v>
      </c>
      <c r="O15" t="str">
        <f t="shared" ca="1" si="2"/>
        <v>482373296</v>
      </c>
      <c r="P15" t="str" cm="1">
        <f t="array" aca="1" ref="P15" ca="1">9 &amp; INDEX($AF$3:$AF$6,W15)&amp; TEXT(RANDBETWEEN(0,9999999),"0000000")</f>
        <v>965076366</v>
      </c>
      <c r="Q15" t="str" cm="1">
        <f t="array" aca="1" ref="Q15" ca="1">LOWER(B15) &amp; INDEX($AF$9:$AF$11,X15)</f>
        <v>marria2414@outlook.com</v>
      </c>
      <c r="R15" t="str">
        <f t="shared" ca="1" si="3"/>
        <v>marria2414.jpg</v>
      </c>
      <c r="T15" s="4"/>
      <c r="V15">
        <f ca="1">RANDBETWEEN(2,COUNTA(rua_cod!A:A))</f>
        <v>36</v>
      </c>
      <c r="W15">
        <f t="shared" ca="1" si="4"/>
        <v>4</v>
      </c>
      <c r="X15">
        <f t="shared" ca="1" si="5"/>
        <v>1</v>
      </c>
      <c r="Y15">
        <f t="shared" ca="1" si="6"/>
        <v>1972</v>
      </c>
      <c r="Z15">
        <f t="shared" ca="1" si="7"/>
        <v>4</v>
      </c>
      <c r="AA15">
        <f t="shared" ca="1" si="8"/>
        <v>29</v>
      </c>
      <c r="AB15">
        <f t="shared" ca="1" si="9"/>
        <v>48</v>
      </c>
    </row>
    <row r="16" spans="1:32" x14ac:dyDescent="0.25">
      <c r="A16">
        <v>15</v>
      </c>
      <c r="B16" t="str" cm="1">
        <f t="array" aca="1" ref="B16" ca="1">replaceChar(LOWER(LEFT(D16,3)&amp;RIGHT(I16,3))&amp;LEFT(H16,4))</f>
        <v>marada2805</v>
      </c>
      <c r="C16" t="str">
        <f t="shared" ca="1" si="0"/>
        <v>pswmarada2805</v>
      </c>
      <c r="D16" t="str">
        <f ca="1">Nomes!T17</f>
        <v>Mariana Leal</v>
      </c>
      <c r="E16" t="str">
        <f ca="1">Nomes!S17</f>
        <v>Feminino</v>
      </c>
      <c r="F16" s="2">
        <v>21109</v>
      </c>
      <c r="G16" t="str" cm="1">
        <f t="array" aca="1" ref="G16" ca="1">INDEX(rua_cod!$F:$F,RANDBETWEEN(2,COUNTA(rua_cod!F:F)))</f>
        <v>Travessa de São João da Praça</v>
      </c>
      <c r="H16" t="str" cm="1">
        <f t="array" aca="1" ref="H16" ca="1">INDEX(rua_cod!$A:$A,Users!V16) &amp; "-" &amp; TEXT(RANDBETWEEN(0,999),"000")</f>
        <v>2805-177</v>
      </c>
      <c r="I16" t="str" cm="1">
        <f t="array" aca="1" ref="I16" ca="1">INDEX(rua_cod!$B:$B,Users!V16)</f>
        <v>Almada</v>
      </c>
      <c r="J16" t="s">
        <v>3727</v>
      </c>
      <c r="K16" t="s">
        <v>225</v>
      </c>
      <c r="L16" t="s">
        <v>265</v>
      </c>
      <c r="M16" t="str">
        <f t="shared" ca="1" si="1"/>
        <v>27683323</v>
      </c>
      <c r="N16" t="str">
        <f t="shared" ca="1" si="2"/>
        <v>414208316</v>
      </c>
      <c r="O16" t="str">
        <f t="shared" ca="1" si="2"/>
        <v>720902716</v>
      </c>
      <c r="P16" t="str" cm="1">
        <f t="array" aca="1" ref="P16" ca="1">9 &amp; INDEX($AF$3:$AF$6,W16)&amp; TEXT(RANDBETWEEN(0,9999999),"0000000")</f>
        <v>915602363</v>
      </c>
      <c r="Q16" t="str" cm="1">
        <f t="array" aca="1" ref="Q16" ca="1">LOWER(B16) &amp; INDEX($AF$9:$AF$11,X16)</f>
        <v>marada2805@outlook.com</v>
      </c>
      <c r="R16" t="str">
        <f t="shared" ca="1" si="3"/>
        <v>marada2805.jpg</v>
      </c>
      <c r="T16" s="4"/>
      <c r="V16">
        <f ca="1">RANDBETWEEN(2,COUNTA(rua_cod!A:A))</f>
        <v>4</v>
      </c>
      <c r="W16">
        <f t="shared" ca="1" si="4"/>
        <v>1</v>
      </c>
      <c r="X16">
        <f t="shared" ca="1" si="5"/>
        <v>1</v>
      </c>
      <c r="Y16">
        <f t="shared" ca="1" si="6"/>
        <v>1946</v>
      </c>
      <c r="Z16">
        <f t="shared" ca="1" si="7"/>
        <v>6</v>
      </c>
      <c r="AA16">
        <f t="shared" ca="1" si="8"/>
        <v>10</v>
      </c>
      <c r="AB16">
        <f t="shared" ca="1" si="9"/>
        <v>74</v>
      </c>
    </row>
    <row r="17" spans="1:28" x14ac:dyDescent="0.25">
      <c r="A17">
        <v>16</v>
      </c>
      <c r="B17" t="str" cm="1">
        <f t="array" aca="1" ref="B17" ca="1">replaceChar(LOWER(LEFT(D17,3)&amp;RIGHT(I17,3))&amp;LEFT(H17,4))</f>
        <v>fraboa1748</v>
      </c>
      <c r="C17" t="str">
        <f t="shared" ca="1" si="0"/>
        <v>pswfraboa1748</v>
      </c>
      <c r="D17" t="str">
        <f ca="1">Nomes!T18</f>
        <v>Francisca Garcia</v>
      </c>
      <c r="E17" t="str">
        <f ca="1">Nomes!S18</f>
        <v>Feminino</v>
      </c>
      <c r="F17" s="2">
        <v>31299</v>
      </c>
      <c r="G17" t="str" cm="1">
        <f t="array" aca="1" ref="G17" ca="1">INDEX(rua_cod!$F:$F,RANDBETWEEN(2,COUNTA(rua_cod!F:F)))</f>
        <v>Rua dos Bacalhoeiros</v>
      </c>
      <c r="H17" t="str" cm="1">
        <f t="array" aca="1" ref="H17" ca="1">INDEX(rua_cod!$A:$A,Users!V17) &amp; "-" &amp; TEXT(RANDBETWEEN(0,999),"000")</f>
        <v>1748-005</v>
      </c>
      <c r="I17" t="str" cm="1">
        <f t="array" aca="1" ref="I17" ca="1">INDEX(rua_cod!$B:$B,Users!V17)</f>
        <v>Lisboa</v>
      </c>
      <c r="J17" t="s">
        <v>3727</v>
      </c>
      <c r="K17" t="s">
        <v>225</v>
      </c>
      <c r="L17" t="s">
        <v>265</v>
      </c>
      <c r="M17" t="str">
        <f t="shared" ca="1" si="1"/>
        <v>41527640</v>
      </c>
      <c r="N17" t="str">
        <f t="shared" ca="1" si="2"/>
        <v>382884992</v>
      </c>
      <c r="O17" t="str">
        <f t="shared" ca="1" si="2"/>
        <v>781000027</v>
      </c>
      <c r="P17" t="str" cm="1">
        <f t="array" aca="1" ref="P17" ca="1">9 &amp; INDEX($AF$3:$AF$6,W17)&amp; TEXT(RANDBETWEEN(0,9999999),"0000000")</f>
        <v>913464206</v>
      </c>
      <c r="Q17" t="str" cm="1">
        <f t="array" aca="1" ref="Q17" ca="1">LOWER(B17) &amp; INDEX($AF$9:$AF$11,X17)</f>
        <v>fraboa1748@gmail.com</v>
      </c>
      <c r="R17" t="str">
        <f t="shared" ca="1" si="3"/>
        <v>fraboa1748.jpg</v>
      </c>
      <c r="T17" s="4"/>
      <c r="V17">
        <f ca="1">RANDBETWEEN(2,COUNTA(rua_cod!A:A))</f>
        <v>77</v>
      </c>
      <c r="W17">
        <f t="shared" ca="1" si="4"/>
        <v>1</v>
      </c>
      <c r="X17">
        <f t="shared" ca="1" si="5"/>
        <v>2</v>
      </c>
      <c r="Y17">
        <f t="shared" ca="1" si="6"/>
        <v>1990</v>
      </c>
      <c r="Z17">
        <f t="shared" ca="1" si="7"/>
        <v>7</v>
      </c>
      <c r="AA17">
        <f t="shared" ca="1" si="8"/>
        <v>23</v>
      </c>
      <c r="AB17">
        <f t="shared" ca="1" si="9"/>
        <v>30</v>
      </c>
    </row>
    <row r="18" spans="1:28" x14ac:dyDescent="0.25">
      <c r="A18">
        <v>17</v>
      </c>
      <c r="B18" t="str" cm="1">
        <f t="array" aca="1" ref="B18" ca="1">replaceChar(LOWER(LEFT(D18,3)&amp;RIGHT(I18,3))&amp;LEFT(H18,4))</f>
        <v>dioada2804</v>
      </c>
      <c r="C18" t="str">
        <f t="shared" ca="1" si="0"/>
        <v>pswdioada2804</v>
      </c>
      <c r="D18" t="str">
        <f ca="1">Nomes!T19</f>
        <v>Diogo Gonçalves</v>
      </c>
      <c r="E18" t="str">
        <f ca="1">Nomes!S19</f>
        <v>Masculino</v>
      </c>
      <c r="F18" s="2">
        <v>22764</v>
      </c>
      <c r="G18" t="str" cm="1">
        <f t="array" aca="1" ref="G18" ca="1">INDEX(rua_cod!$F:$F,RANDBETWEEN(2,COUNTA(rua_cod!F:F)))</f>
        <v>Rua do Instituto Bacteriológico</v>
      </c>
      <c r="H18" t="str" cm="1">
        <f t="array" aca="1" ref="H18" ca="1">INDEX(rua_cod!$A:$A,Users!V18) &amp; "-" &amp; TEXT(RANDBETWEEN(0,999),"000")</f>
        <v>2804-504</v>
      </c>
      <c r="I18" t="str" cm="1">
        <f t="array" aca="1" ref="I18" ca="1">INDEX(rua_cod!$B:$B,Users!V18)</f>
        <v>Almada</v>
      </c>
      <c r="J18" t="s">
        <v>3727</v>
      </c>
      <c r="K18" t="s">
        <v>225</v>
      </c>
      <c r="L18" t="s">
        <v>265</v>
      </c>
      <c r="M18" t="str">
        <f t="shared" ca="1" si="1"/>
        <v>12863011</v>
      </c>
      <c r="N18" t="str">
        <f t="shared" ca="1" si="2"/>
        <v>701564375</v>
      </c>
      <c r="O18" t="str">
        <f t="shared" ca="1" si="2"/>
        <v>499036646</v>
      </c>
      <c r="P18" t="str" cm="1">
        <f t="array" aca="1" ref="P18" ca="1">9 &amp; INDEX($AF$3:$AF$6,W18)&amp; TEXT(RANDBETWEEN(0,9999999),"0000000")</f>
        <v>921390248</v>
      </c>
      <c r="Q18" t="str" cm="1">
        <f t="array" aca="1" ref="Q18" ca="1">LOWER(B18) &amp; INDEX($AF$9:$AF$11,X18)</f>
        <v>dioada2804@outlook.com</v>
      </c>
      <c r="R18" t="str">
        <f t="shared" ca="1" si="3"/>
        <v>dioada2804.jpg</v>
      </c>
      <c r="T18" s="4"/>
      <c r="V18">
        <f ca="1">RANDBETWEEN(2,COUNTA(rua_cod!A:A))</f>
        <v>7</v>
      </c>
      <c r="W18">
        <f t="shared" ca="1" si="4"/>
        <v>2</v>
      </c>
      <c r="X18">
        <f t="shared" ca="1" si="5"/>
        <v>1</v>
      </c>
      <c r="Y18">
        <f t="shared" ca="1" si="6"/>
        <v>1964</v>
      </c>
      <c r="Z18">
        <f t="shared" ca="1" si="7"/>
        <v>12</v>
      </c>
      <c r="AA18">
        <f t="shared" ca="1" si="8"/>
        <v>27</v>
      </c>
      <c r="AB18">
        <f t="shared" ca="1" si="9"/>
        <v>56</v>
      </c>
    </row>
    <row r="19" spans="1:28" x14ac:dyDescent="0.25">
      <c r="A19">
        <v>18</v>
      </c>
      <c r="B19" t="str" cm="1">
        <f t="array" aca="1" ref="B19" ca="1">replaceChar(LOWER(LEFT(D19,3)&amp;RIGHT(I19,3))&amp;LEFT(H19,4))</f>
        <v>bruica2825</v>
      </c>
      <c r="C19" t="str">
        <f t="shared" ca="1" si="0"/>
        <v>pswbruica2825</v>
      </c>
      <c r="D19" t="str">
        <f ca="1">Nomes!T20</f>
        <v>Bruno Faria</v>
      </c>
      <c r="E19" t="str">
        <f ca="1">Nomes!S20</f>
        <v>Masculino</v>
      </c>
      <c r="F19" s="2">
        <v>23791</v>
      </c>
      <c r="G19" t="str" cm="1">
        <f t="array" aca="1" ref="G19" ca="1">INDEX(rua_cod!$F:$F,RANDBETWEEN(2,COUNTA(rua_cod!F:F)))</f>
        <v>Rua da Junqueira</v>
      </c>
      <c r="H19" t="str" cm="1">
        <f t="array" aca="1" ref="H19" ca="1">INDEX(rua_cod!$A:$A,Users!V19) &amp; "-" &amp; TEXT(RANDBETWEEN(0,999),"000")</f>
        <v>2825-313</v>
      </c>
      <c r="I19" t="str" cm="1">
        <f t="array" aca="1" ref="I19" ca="1">INDEX(rua_cod!$B:$B,Users!V19)</f>
        <v>Costa de Caparica</v>
      </c>
      <c r="J19" t="s">
        <v>3727</v>
      </c>
      <c r="K19" t="s">
        <v>225</v>
      </c>
      <c r="L19" t="s">
        <v>265</v>
      </c>
      <c r="M19" t="str">
        <f t="shared" ca="1" si="1"/>
        <v>41124714</v>
      </c>
      <c r="N19" t="str">
        <f t="shared" ca="1" si="2"/>
        <v>623718734</v>
      </c>
      <c r="O19" t="str">
        <f t="shared" ca="1" si="2"/>
        <v>839323012</v>
      </c>
      <c r="P19" t="str" cm="1">
        <f t="array" aca="1" ref="P19" ca="1">9 &amp; INDEX($AF$3:$AF$6,W19)&amp; TEXT(RANDBETWEEN(0,9999999),"0000000")</f>
        <v>924518875</v>
      </c>
      <c r="Q19" t="str" cm="1">
        <f t="array" aca="1" ref="Q19" ca="1">LOWER(B19) &amp; INDEX($AF$9:$AF$11,X19)</f>
        <v>bruica2825@gmail.com</v>
      </c>
      <c r="R19" t="str">
        <f t="shared" ca="1" si="3"/>
        <v>bruica2825.jpg</v>
      </c>
      <c r="T19" s="4"/>
      <c r="V19">
        <f ca="1">RANDBETWEEN(2,COUNTA(rua_cod!A:A))</f>
        <v>27</v>
      </c>
      <c r="W19">
        <f t="shared" ca="1" si="4"/>
        <v>2</v>
      </c>
      <c r="X19">
        <f t="shared" ca="1" si="5"/>
        <v>2</v>
      </c>
      <c r="Y19">
        <f t="shared" ca="1" si="6"/>
        <v>2011</v>
      </c>
      <c r="Z19">
        <f t="shared" ca="1" si="7"/>
        <v>12</v>
      </c>
      <c r="AA19">
        <f t="shared" ca="1" si="8"/>
        <v>20</v>
      </c>
      <c r="AB19">
        <f t="shared" ca="1" si="9"/>
        <v>9</v>
      </c>
    </row>
    <row r="20" spans="1:28" x14ac:dyDescent="0.25">
      <c r="A20">
        <v>19</v>
      </c>
      <c r="B20" t="str" cm="1">
        <f t="array" aca="1" ref="B20" ca="1">replaceChar(LOWER(LEFT(D20,3)&amp;RIGHT(I20,3))&amp;LEFT(H20,4))</f>
        <v>tomica2825</v>
      </c>
      <c r="C20" t="str">
        <f t="shared" ca="1" si="0"/>
        <v>pswtomica2825</v>
      </c>
      <c r="D20" t="str">
        <f ca="1">Nomes!T21</f>
        <v>Tomás Morais</v>
      </c>
      <c r="E20" t="str">
        <f ca="1">Nomes!S21</f>
        <v>Masculino</v>
      </c>
      <c r="F20" s="2">
        <v>10827</v>
      </c>
      <c r="G20" t="str" cm="1">
        <f t="array" aca="1" ref="G20" ca="1">INDEX(rua_cod!$F:$F,RANDBETWEEN(2,COUNTA(rua_cod!F:F)))</f>
        <v>Estrada Militar</v>
      </c>
      <c r="H20" t="str" cm="1">
        <f t="array" aca="1" ref="H20" ca="1">INDEX(rua_cod!$A:$A,Users!V20) &amp; "-" &amp; TEXT(RANDBETWEEN(0,999),"000")</f>
        <v>2825-250</v>
      </c>
      <c r="I20" t="str" cm="1">
        <f t="array" aca="1" ref="I20" ca="1">INDEX(rua_cod!$B:$B,Users!V20)</f>
        <v>Caparica</v>
      </c>
      <c r="J20" t="s">
        <v>3727</v>
      </c>
      <c r="K20" t="s">
        <v>225</v>
      </c>
      <c r="L20" t="s">
        <v>265</v>
      </c>
      <c r="M20" t="str">
        <f t="shared" ca="1" si="1"/>
        <v>88062762</v>
      </c>
      <c r="N20" t="str">
        <f t="shared" ca="1" si="2"/>
        <v>910715119</v>
      </c>
      <c r="O20" t="str">
        <f t="shared" ca="1" si="2"/>
        <v>653139419</v>
      </c>
      <c r="P20" t="str" cm="1">
        <f t="array" aca="1" ref="P20" ca="1">9 &amp; INDEX($AF$3:$AF$6,W20)&amp; TEXT(RANDBETWEEN(0,9999999),"0000000")</f>
        <v>932466709</v>
      </c>
      <c r="Q20" t="str" cm="1">
        <f t="array" aca="1" ref="Q20" ca="1">LOWER(B20) &amp; INDEX($AF$9:$AF$11,X20)</f>
        <v>tomica2825@outlook.com</v>
      </c>
      <c r="R20" t="str">
        <f t="shared" ca="1" si="3"/>
        <v>tomica2825.jpg</v>
      </c>
      <c r="T20" s="4"/>
      <c r="V20">
        <f ca="1">RANDBETWEEN(2,COUNTA(rua_cod!A:A))</f>
        <v>18</v>
      </c>
      <c r="W20">
        <f t="shared" ca="1" si="4"/>
        <v>3</v>
      </c>
      <c r="X20">
        <f t="shared" ca="1" si="5"/>
        <v>1</v>
      </c>
      <c r="Y20">
        <f t="shared" ca="1" si="6"/>
        <v>1957</v>
      </c>
      <c r="Z20">
        <f t="shared" ca="1" si="7"/>
        <v>9</v>
      </c>
      <c r="AA20">
        <f t="shared" ca="1" si="8"/>
        <v>23</v>
      </c>
      <c r="AB20">
        <f t="shared" ca="1" si="9"/>
        <v>63</v>
      </c>
    </row>
    <row r="21" spans="1:28" x14ac:dyDescent="0.25">
      <c r="A21">
        <v>20</v>
      </c>
      <c r="B21" t="str" cm="1">
        <f t="array" aca="1" ref="B21" ca="1">replaceChar(LOWER(LEFT(D21,3)&amp;RIGHT(I21,3))&amp;LEFT(H21,4))</f>
        <v>lauboa1800</v>
      </c>
      <c r="C21" t="str">
        <f t="shared" ca="1" si="0"/>
        <v>pswlauboa1800</v>
      </c>
      <c r="D21" t="str">
        <f ca="1">Nomes!T22</f>
        <v>Laura Anjos</v>
      </c>
      <c r="E21" t="str">
        <f ca="1">Nomes!S22</f>
        <v>Feminino</v>
      </c>
      <c r="F21" s="2">
        <v>29267</v>
      </c>
      <c r="G21" t="str" cm="1">
        <f t="array" aca="1" ref="G21" ca="1">INDEX(rua_cod!$F:$F,RANDBETWEEN(2,COUNTA(rua_cod!F:F)))</f>
        <v>Rua do Carmo</v>
      </c>
      <c r="H21" t="str" cm="1">
        <f t="array" aca="1" ref="H21" ca="1">INDEX(rua_cod!$A:$A,Users!V21) &amp; "-" &amp; TEXT(RANDBETWEEN(0,999),"000")</f>
        <v>1800-508</v>
      </c>
      <c r="I21" t="str" cm="1">
        <f t="array" aca="1" ref="I21" ca="1">INDEX(rua_cod!$B:$B,Users!V21)</f>
        <v>Lisboa</v>
      </c>
      <c r="J21" t="s">
        <v>3727</v>
      </c>
      <c r="K21" t="s">
        <v>225</v>
      </c>
      <c r="L21" t="s">
        <v>265</v>
      </c>
      <c r="M21" t="str">
        <f t="shared" ca="1" si="1"/>
        <v>71743871</v>
      </c>
      <c r="N21" t="str">
        <f t="shared" ca="1" si="2"/>
        <v>945407755</v>
      </c>
      <c r="O21" t="str">
        <f t="shared" ca="1" si="2"/>
        <v>898241401</v>
      </c>
      <c r="P21" t="str" cm="1">
        <f t="array" aca="1" ref="P21" ca="1">9 &amp; INDEX($AF$3:$AF$6,W21)&amp; TEXT(RANDBETWEEN(0,9999999),"0000000")</f>
        <v>934873718</v>
      </c>
      <c r="Q21" t="str" cm="1">
        <f t="array" aca="1" ref="Q21" ca="1">LOWER(B21) &amp; INDEX($AF$9:$AF$11,X21)</f>
        <v>lauboa1800@sapo.pt</v>
      </c>
      <c r="R21" t="str">
        <f t="shared" ca="1" si="3"/>
        <v>lauboa1800.jpg</v>
      </c>
      <c r="T21" s="4"/>
      <c r="V21">
        <f ca="1">RANDBETWEEN(2,COUNTA(rua_cod!A:A))</f>
        <v>56</v>
      </c>
      <c r="W21">
        <f t="shared" ca="1" si="4"/>
        <v>3</v>
      </c>
      <c r="X21">
        <f t="shared" ca="1" si="5"/>
        <v>3</v>
      </c>
      <c r="Y21">
        <f t="shared" ca="1" si="6"/>
        <v>1954</v>
      </c>
      <c r="Z21">
        <f t="shared" ca="1" si="7"/>
        <v>1</v>
      </c>
      <c r="AA21">
        <f t="shared" ca="1" si="8"/>
        <v>29</v>
      </c>
      <c r="AB21">
        <f t="shared" ca="1" si="9"/>
        <v>66</v>
      </c>
    </row>
    <row r="22" spans="1:28" x14ac:dyDescent="0.25">
      <c r="A22">
        <v>21</v>
      </c>
      <c r="B22" t="str" cm="1">
        <f t="array" aca="1" ref="B22" ca="1">replaceChar(LOWER(LEFT(D22,3)&amp;RIGHT(I22,3))&amp;LEFT(H22,4))</f>
        <v>marboa1150</v>
      </c>
      <c r="C22" t="str">
        <f t="shared" ca="1" si="0"/>
        <v>pswmarboa1150</v>
      </c>
      <c r="D22" t="str">
        <f ca="1">Nomes!T23</f>
        <v>Maria Almeida</v>
      </c>
      <c r="E22" t="str">
        <f ca="1">Nomes!S23</f>
        <v>Feminino</v>
      </c>
      <c r="F22" s="2">
        <v>12111</v>
      </c>
      <c r="G22" t="str" cm="1">
        <f t="array" aca="1" ref="G22" ca="1">INDEX(rua_cod!$F:$F,RANDBETWEEN(2,COUNTA(rua_cod!F:F)))</f>
        <v>Calçada do Moinho de Vento</v>
      </c>
      <c r="H22" t="str" cm="1">
        <f t="array" aca="1" ref="H22" ca="1">INDEX(rua_cod!$A:$A,Users!V22) &amp; "-" &amp; TEXT(RANDBETWEEN(0,999),"000")</f>
        <v>1150-280</v>
      </c>
      <c r="I22" t="str" cm="1">
        <f t="array" aca="1" ref="I22" ca="1">INDEX(rua_cod!$B:$B,Users!V22)</f>
        <v>Lisboa</v>
      </c>
      <c r="J22" t="s">
        <v>3727</v>
      </c>
      <c r="K22" t="s">
        <v>225</v>
      </c>
      <c r="L22" t="s">
        <v>265</v>
      </c>
      <c r="M22" t="str">
        <f t="shared" ca="1" si="1"/>
        <v>68495441</v>
      </c>
      <c r="N22" t="str">
        <f t="shared" ca="1" si="2"/>
        <v>946725915</v>
      </c>
      <c r="O22" t="str">
        <f t="shared" ca="1" si="2"/>
        <v>481767150</v>
      </c>
      <c r="P22" t="str" cm="1">
        <f t="array" aca="1" ref="P22" ca="1">9 &amp; INDEX($AF$3:$AF$6,W22)&amp; TEXT(RANDBETWEEN(0,9999999),"0000000")</f>
        <v>912152764</v>
      </c>
      <c r="Q22" t="str" cm="1">
        <f t="array" aca="1" ref="Q22" ca="1">LOWER(B22) &amp; INDEX($AF$9:$AF$11,X22)</f>
        <v>marboa1150@outlook.com</v>
      </c>
      <c r="R22" t="str">
        <f t="shared" ca="1" si="3"/>
        <v>marboa1150.jpg</v>
      </c>
      <c r="T22" s="4"/>
      <c r="V22">
        <f ca="1">RANDBETWEEN(2,COUNTA(rua_cod!A:A))</f>
        <v>44</v>
      </c>
      <c r="W22">
        <f t="shared" ca="1" si="4"/>
        <v>1</v>
      </c>
      <c r="X22">
        <f t="shared" ca="1" si="5"/>
        <v>1</v>
      </c>
      <c r="Y22">
        <f t="shared" ca="1" si="6"/>
        <v>1967</v>
      </c>
      <c r="Z22">
        <f t="shared" ca="1" si="7"/>
        <v>2</v>
      </c>
      <c r="AA22">
        <f t="shared" ca="1" si="8"/>
        <v>29</v>
      </c>
      <c r="AB22">
        <f t="shared" ca="1" si="9"/>
        <v>53</v>
      </c>
    </row>
    <row r="23" spans="1:28" x14ac:dyDescent="0.25">
      <c r="A23">
        <v>22</v>
      </c>
      <c r="B23" t="str" cm="1">
        <f t="array" aca="1" ref="B23" ca="1">replaceChar(LOWER(LEFT(D23,3)&amp;RIGHT(I23,3))&amp;LEFT(H23,4))</f>
        <v>beaais2754</v>
      </c>
      <c r="C23" t="str">
        <f t="shared" ca="1" si="0"/>
        <v>pswbeaais2754</v>
      </c>
      <c r="D23" t="str">
        <f ca="1">Nomes!T24</f>
        <v>Beatriz Sousa</v>
      </c>
      <c r="E23" t="str">
        <f ca="1">Nomes!S24</f>
        <v>Feminino</v>
      </c>
      <c r="F23" s="2">
        <v>22513</v>
      </c>
      <c r="G23" t="str" cm="1">
        <f t="array" aca="1" ref="G23" ca="1">INDEX(rua_cod!$F:$F,RANDBETWEEN(2,COUNTA(rua_cod!F:F)))</f>
        <v>Calçada do Moinho de Vento</v>
      </c>
      <c r="H23" t="str" cm="1">
        <f t="array" aca="1" ref="H23" ca="1">INDEX(rua_cod!$A:$A,Users!V23) &amp; "-" &amp; TEXT(RANDBETWEEN(0,999),"000")</f>
        <v>2754-350</v>
      </c>
      <c r="I23" t="str" cm="1">
        <f t="array" aca="1" ref="I23" ca="1">INDEX(rua_cod!$B:$B,Users!V23)</f>
        <v>Cascais</v>
      </c>
      <c r="J23" t="s">
        <v>3727</v>
      </c>
      <c r="K23" t="s">
        <v>225</v>
      </c>
      <c r="L23" t="s">
        <v>265</v>
      </c>
      <c r="M23" t="str">
        <f t="shared" ca="1" si="1"/>
        <v>44687275</v>
      </c>
      <c r="N23" t="str">
        <f t="shared" ca="1" si="2"/>
        <v>398864861</v>
      </c>
      <c r="O23" t="str">
        <f t="shared" ca="1" si="2"/>
        <v>540877456</v>
      </c>
      <c r="P23" t="str" cm="1">
        <f t="array" aca="1" ref="P23" ca="1">9 &amp; INDEX($AF$3:$AF$6,W23)&amp; TEXT(RANDBETWEEN(0,9999999),"0000000")</f>
        <v>934683599</v>
      </c>
      <c r="Q23" t="str" cm="1">
        <f t="array" aca="1" ref="Q23" ca="1">LOWER(B23) &amp; INDEX($AF$9:$AF$11,X23)</f>
        <v>beaais2754@gmail.com</v>
      </c>
      <c r="R23" t="str">
        <f t="shared" ca="1" si="3"/>
        <v>beaais2754.jpg</v>
      </c>
      <c r="T23" s="4"/>
      <c r="V23">
        <f ca="1">RANDBETWEEN(2,COUNTA(rua_cod!A:A))</f>
        <v>25</v>
      </c>
      <c r="W23">
        <f t="shared" ca="1" si="4"/>
        <v>3</v>
      </c>
      <c r="X23">
        <f t="shared" ca="1" si="5"/>
        <v>2</v>
      </c>
      <c r="Y23">
        <f t="shared" ca="1" si="6"/>
        <v>1950</v>
      </c>
      <c r="Z23">
        <f t="shared" ca="1" si="7"/>
        <v>6</v>
      </c>
      <c r="AA23">
        <f t="shared" ca="1" si="8"/>
        <v>29</v>
      </c>
      <c r="AB23">
        <f t="shared" ca="1" si="9"/>
        <v>70</v>
      </c>
    </row>
    <row r="24" spans="1:28" x14ac:dyDescent="0.25">
      <c r="A24">
        <v>23</v>
      </c>
      <c r="B24" t="str" cm="1">
        <f t="array" aca="1" ref="B24" ca="1">replaceChar(LOWER(LEFT(D24,3)&amp;RIGHT(I24,3))&amp;LEFT(H24,4))</f>
        <v>anaria2420</v>
      </c>
      <c r="C24" t="str">
        <f t="shared" ca="1" si="0"/>
        <v>pswanaria2420</v>
      </c>
      <c r="D24" t="str">
        <f ca="1">Nomes!T25</f>
        <v>Ana Martins</v>
      </c>
      <c r="E24" t="str">
        <f ca="1">Nomes!S25</f>
        <v>Feminino</v>
      </c>
      <c r="F24" s="2">
        <v>22253</v>
      </c>
      <c r="G24" t="str" cm="1">
        <f t="array" aca="1" ref="G24" ca="1">INDEX(rua_cod!$F:$F,RANDBETWEEN(2,COUNTA(rua_cod!F:F)))</f>
        <v>Avenida Ressano Garcia</v>
      </c>
      <c r="H24" t="str" cm="1">
        <f t="array" aca="1" ref="H24" ca="1">INDEX(rua_cod!$A:$A,Users!V24) &amp; "-" &amp; TEXT(RANDBETWEEN(0,999),"000")</f>
        <v>2420-204</v>
      </c>
      <c r="I24" t="str" cm="1">
        <f t="array" aca="1" ref="I24" ca="1">INDEX(rua_cod!$B:$B,Users!V24)</f>
        <v>Leiria</v>
      </c>
      <c r="J24" t="s">
        <v>3727</v>
      </c>
      <c r="K24" t="s">
        <v>225</v>
      </c>
      <c r="L24" t="s">
        <v>265</v>
      </c>
      <c r="M24" t="str">
        <f t="shared" ca="1" si="1"/>
        <v>78402948</v>
      </c>
      <c r="N24" t="str">
        <f t="shared" ca="1" si="2"/>
        <v>226844840</v>
      </c>
      <c r="O24" t="str">
        <f t="shared" ca="1" si="2"/>
        <v>993773887</v>
      </c>
      <c r="P24" t="str" cm="1">
        <f t="array" aca="1" ref="P24" ca="1">9 &amp; INDEX($AF$3:$AF$6,W24)&amp; TEXT(RANDBETWEEN(0,9999999),"0000000")</f>
        <v>919247796</v>
      </c>
      <c r="Q24" t="str" cm="1">
        <f t="array" aca="1" ref="Q24" ca="1">LOWER(B24) &amp; INDEX($AF$9:$AF$11,X24)</f>
        <v>anaria2420@outlook.com</v>
      </c>
      <c r="R24" t="str">
        <f t="shared" ca="1" si="3"/>
        <v>anaria2420.jpg</v>
      </c>
      <c r="T24" s="4"/>
      <c r="V24">
        <f ca="1">RANDBETWEEN(2,COUNTA(rua_cod!A:A))</f>
        <v>33</v>
      </c>
      <c r="W24">
        <f t="shared" ca="1" si="4"/>
        <v>1</v>
      </c>
      <c r="X24">
        <f t="shared" ca="1" si="5"/>
        <v>1</v>
      </c>
      <c r="Y24">
        <f t="shared" ca="1" si="6"/>
        <v>1968</v>
      </c>
      <c r="Z24">
        <f t="shared" ca="1" si="7"/>
        <v>4</v>
      </c>
      <c r="AA24">
        <f t="shared" ca="1" si="8"/>
        <v>13</v>
      </c>
      <c r="AB24">
        <f t="shared" ca="1" si="9"/>
        <v>52</v>
      </c>
    </row>
    <row r="25" spans="1:28" x14ac:dyDescent="0.25">
      <c r="A25">
        <v>24</v>
      </c>
      <c r="B25" t="str" cm="1">
        <f t="array" aca="1" ref="B25" ca="1">replaceChar(LOWER(LEFT(D25,3)&amp;RIGHT(I25,3))&amp;LEFT(H25,4))</f>
        <v>catboa1100</v>
      </c>
      <c r="C25" t="str">
        <f t="shared" ca="1" si="0"/>
        <v>pswcatboa1100</v>
      </c>
      <c r="D25" t="str">
        <f ca="1">Nomes!T26</f>
        <v>Catarina Valente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Rua dos Heróis de Quionga</v>
      </c>
      <c r="H25" t="str" cm="1">
        <f t="array" aca="1" ref="H25" ca="1">INDEX(rua_cod!$A:$A,Users!V25) &amp; "-" &amp; TEXT(RANDBETWEEN(0,999),"000")</f>
        <v>1100-139</v>
      </c>
      <c r="I25" t="str" cm="1">
        <f t="array" aca="1" ref="I25" ca="1">INDEX(rua_cod!$B:$B,Users!V25)</f>
        <v>Lisboa</v>
      </c>
      <c r="J25" t="s">
        <v>3727</v>
      </c>
      <c r="K25" t="s">
        <v>225</v>
      </c>
      <c r="L25" t="s">
        <v>265</v>
      </c>
      <c r="M25" t="str">
        <f t="shared" ca="1" si="1"/>
        <v>59408368</v>
      </c>
      <c r="N25" t="str">
        <f t="shared" ca="1" si="2"/>
        <v>665488266</v>
      </c>
      <c r="O25" t="str">
        <f t="shared" ca="1" si="2"/>
        <v>681465760</v>
      </c>
      <c r="P25" t="str" cm="1">
        <f t="array" aca="1" ref="P25" ca="1">9 &amp; INDEX($AF$3:$AF$6,W25)&amp; TEXT(RANDBETWEEN(0,9999999),"0000000")</f>
        <v>933417940</v>
      </c>
      <c r="Q25" t="str" cm="1">
        <f t="array" aca="1" ref="Q25" ca="1">LOWER(B25) &amp; INDEX($AF$9:$AF$11,X25)</f>
        <v>catboa1100@outlook.com</v>
      </c>
      <c r="R25" t="str">
        <f t="shared" ca="1" si="3"/>
        <v>catboa1100.jpg</v>
      </c>
      <c r="T25" s="4"/>
      <c r="V25">
        <f ca="1">RANDBETWEEN(2,COUNTA(rua_cod!A:A))</f>
        <v>46</v>
      </c>
      <c r="W25">
        <f t="shared" ca="1" si="4"/>
        <v>3</v>
      </c>
      <c r="X25">
        <f t="shared" ca="1" si="5"/>
        <v>1</v>
      </c>
      <c r="Y25">
        <f t="shared" ca="1" si="6"/>
        <v>1980</v>
      </c>
      <c r="Z25">
        <f t="shared" ca="1" si="7"/>
        <v>7</v>
      </c>
      <c r="AA25">
        <f t="shared" ca="1" si="8"/>
        <v>29</v>
      </c>
      <c r="AB25">
        <f t="shared" ca="1" si="9"/>
        <v>40</v>
      </c>
    </row>
    <row r="26" spans="1:28" x14ac:dyDescent="0.25">
      <c r="A26">
        <v>25</v>
      </c>
      <c r="B26" t="str" cm="1">
        <f t="array" aca="1" ref="B26" ca="1">replaceChar(LOWER(LEFT(D26,3)&amp;RIGHT(I26,3))&amp;LEFT(H26,4))</f>
        <v>joaboa1700</v>
      </c>
      <c r="C26" t="str">
        <f t="shared" ca="1" si="0"/>
        <v>pswjoaboa1700</v>
      </c>
      <c r="D26" t="str">
        <f ca="1">Nomes!T27</f>
        <v>João Neto</v>
      </c>
      <c r="E26" t="str">
        <f ca="1">Nomes!S27</f>
        <v>Masculino</v>
      </c>
      <c r="F26" s="2">
        <v>14176</v>
      </c>
      <c r="G26" t="str" cm="1">
        <f t="array" aca="1" ref="G26" ca="1">INDEX(rua_cod!$F:$F,RANDBETWEEN(2,COUNTA(rua_cod!F:F)))</f>
        <v>Rua dos Fanqueiros</v>
      </c>
      <c r="H26" t="str" cm="1">
        <f t="array" aca="1" ref="H26" ca="1">INDEX(rua_cod!$A:$A,Users!V26) &amp; "-" &amp; TEXT(RANDBETWEEN(0,999),"000")</f>
        <v>1700-530</v>
      </c>
      <c r="I26" t="str" cm="1">
        <f t="array" aca="1" ref="I26" ca="1">INDEX(rua_cod!$B:$B,Users!V26)</f>
        <v>Lisboa</v>
      </c>
      <c r="J26" t="s">
        <v>3727</v>
      </c>
      <c r="K26" t="s">
        <v>225</v>
      </c>
      <c r="L26" t="s">
        <v>265</v>
      </c>
      <c r="M26" t="str">
        <f t="shared" ca="1" si="1"/>
        <v>59514008</v>
      </c>
      <c r="N26" t="str">
        <f t="shared" ca="1" si="2"/>
        <v>349653480</v>
      </c>
      <c r="O26" t="str">
        <f t="shared" ca="1" si="2"/>
        <v>760572184</v>
      </c>
      <c r="P26" t="str" cm="1">
        <f t="array" aca="1" ref="P26" ca="1">9 &amp; INDEX($AF$3:$AF$6,W26)&amp; TEXT(RANDBETWEEN(0,9999999),"0000000")</f>
        <v>936220110</v>
      </c>
      <c r="Q26" t="str" cm="1">
        <f t="array" aca="1" ref="Q26" ca="1">LOWER(B26) &amp; INDEX($AF$9:$AF$11,X26)</f>
        <v>joaboa1700@gmail.com</v>
      </c>
      <c r="R26" t="str">
        <f t="shared" ca="1" si="3"/>
        <v>joaboa1700.jpg</v>
      </c>
      <c r="T26" s="4"/>
      <c r="V26">
        <f ca="1">RANDBETWEEN(2,COUNTA(rua_cod!A:A))</f>
        <v>40</v>
      </c>
      <c r="W26">
        <f t="shared" ca="1" si="4"/>
        <v>3</v>
      </c>
      <c r="X26">
        <f t="shared" ca="1" si="5"/>
        <v>2</v>
      </c>
      <c r="Y26">
        <f t="shared" ca="1" si="6"/>
        <v>1973</v>
      </c>
      <c r="Z26">
        <f t="shared" ca="1" si="7"/>
        <v>10</v>
      </c>
      <c r="AA26">
        <f t="shared" ca="1" si="8"/>
        <v>10</v>
      </c>
      <c r="AB26">
        <f t="shared" ca="1" si="9"/>
        <v>47</v>
      </c>
    </row>
    <row r="27" spans="1:28" x14ac:dyDescent="0.25">
      <c r="A27">
        <v>26</v>
      </c>
      <c r="B27" t="str" cm="1">
        <f t="array" aca="1" ref="B27" ca="1">replaceChar(LOWER(LEFT(D27,3)&amp;RIGHT(I27,3))&amp;LEFT(H27,4))</f>
        <v>diobal2914</v>
      </c>
      <c r="C27" t="str">
        <f t="shared" ca="1" si="0"/>
        <v>pswdiobal2914</v>
      </c>
      <c r="D27" t="str">
        <f ca="1">Nomes!T28</f>
        <v>Diogo Nascimento</v>
      </c>
      <c r="E27" t="str">
        <f ca="1">Nomes!S28</f>
        <v>Masculino</v>
      </c>
      <c r="F27" s="2">
        <v>15060</v>
      </c>
      <c r="G27" t="str" cm="1">
        <f t="array" aca="1" ref="G27" ca="1">INDEX(rua_cod!$F:$F,RANDBETWEEN(2,COUNTA(rua_cod!F:F)))</f>
        <v>Rua General Morais Sarmento</v>
      </c>
      <c r="H27" t="str" cm="1">
        <f t="array" aca="1" ref="H27" ca="1">INDEX(rua_cod!$A:$A,Users!V27) &amp; "-" &amp; TEXT(RANDBETWEEN(0,999),"000")</f>
        <v>2914-913</v>
      </c>
      <c r="I27" t="str" cm="1">
        <f t="array" aca="1" ref="I27" ca="1">INDEX(rua_cod!$B:$B,Users!V27)</f>
        <v>Setúbal</v>
      </c>
      <c r="J27" t="s">
        <v>3727</v>
      </c>
      <c r="K27" t="s">
        <v>225</v>
      </c>
      <c r="L27" t="s">
        <v>265</v>
      </c>
      <c r="M27" t="str">
        <f t="shared" ca="1" si="1"/>
        <v>30211134</v>
      </c>
      <c r="N27" t="str">
        <f t="shared" ca="1" si="2"/>
        <v>895471694</v>
      </c>
      <c r="O27" t="str">
        <f t="shared" ca="1" si="2"/>
        <v>922486000</v>
      </c>
      <c r="P27" t="str" cm="1">
        <f t="array" aca="1" ref="P27" ca="1">9 &amp; INDEX($AF$3:$AF$6,W27)&amp; TEXT(RANDBETWEEN(0,9999999),"0000000")</f>
        <v>933797581</v>
      </c>
      <c r="Q27" t="str" cm="1">
        <f t="array" aca="1" ref="Q27" ca="1">LOWER(B27) &amp; INDEX($AF$9:$AF$11,X27)</f>
        <v>diobal2914@sapo.pt</v>
      </c>
      <c r="R27" t="str">
        <f t="shared" ca="1" si="3"/>
        <v>diobal2914.jpg</v>
      </c>
      <c r="T27" s="4"/>
      <c r="V27">
        <f ca="1">RANDBETWEEN(2,COUNTA(rua_cod!A:A))</f>
        <v>98</v>
      </c>
      <c r="W27">
        <f t="shared" ca="1" si="4"/>
        <v>3</v>
      </c>
      <c r="X27">
        <f t="shared" ca="1" si="5"/>
        <v>3</v>
      </c>
      <c r="Y27">
        <f t="shared" ca="1" si="6"/>
        <v>1961</v>
      </c>
      <c r="Z27">
        <f t="shared" ca="1" si="7"/>
        <v>6</v>
      </c>
      <c r="AA27">
        <f t="shared" ca="1" si="8"/>
        <v>28</v>
      </c>
      <c r="AB27">
        <f t="shared" ca="1" si="9"/>
        <v>59</v>
      </c>
    </row>
    <row r="28" spans="1:28" x14ac:dyDescent="0.25">
      <c r="A28">
        <v>27</v>
      </c>
      <c r="B28" t="str" cm="1">
        <f t="array" aca="1" ref="B28" ca="1">replaceChar(LOWER(LEFT(D28,3)&amp;RIGHT(I28,3))&amp;LEFT(H28,4))</f>
        <v>sanbal2900</v>
      </c>
      <c r="C28" t="str">
        <f t="shared" ca="1" si="0"/>
        <v>pswsanbal2900</v>
      </c>
      <c r="D28" t="str">
        <f ca="1">Nomes!T29</f>
        <v>Santiago Cunha</v>
      </c>
      <c r="E28" t="str">
        <f ca="1">Nomes!S29</f>
        <v>Masculino</v>
      </c>
      <c r="F28" s="2">
        <v>32317</v>
      </c>
      <c r="G28" t="str" cm="1">
        <f t="array" aca="1" ref="G28" ca="1">INDEX(rua_cod!$F:$F,RANDBETWEEN(2,COUNTA(rua_cod!F:F)))</f>
        <v>Rua Cidade de Bolama</v>
      </c>
      <c r="H28" t="str" cm="1">
        <f t="array" aca="1" ref="H28" ca="1">INDEX(rua_cod!$A:$A,Users!V28) &amp; "-" &amp; TEXT(RANDBETWEEN(0,999),"000")</f>
        <v>2900-607</v>
      </c>
      <c r="I28" t="str" cm="1">
        <f t="array" aca="1" ref="I28" ca="1">INDEX(rua_cod!$B:$B,Users!V28)</f>
        <v>Setúbal</v>
      </c>
      <c r="J28" t="s">
        <v>3727</v>
      </c>
      <c r="K28" t="s">
        <v>225</v>
      </c>
      <c r="L28" t="s">
        <v>265</v>
      </c>
      <c r="M28" t="str">
        <f t="shared" ca="1" si="1"/>
        <v>94254410</v>
      </c>
      <c r="N28" t="str">
        <f t="shared" ca="1" si="2"/>
        <v>838720762</v>
      </c>
      <c r="O28" t="str">
        <f t="shared" ca="1" si="2"/>
        <v>515848674</v>
      </c>
      <c r="P28" t="str" cm="1">
        <f t="array" aca="1" ref="P28" ca="1">9 &amp; INDEX($AF$3:$AF$6,W28)&amp; TEXT(RANDBETWEEN(0,9999999),"0000000")</f>
        <v>913421060</v>
      </c>
      <c r="Q28" t="str" cm="1">
        <f t="array" aca="1" ref="Q28" ca="1">LOWER(B28) &amp; INDEX($AF$9:$AF$11,X28)</f>
        <v>sanbal2900@outlook.com</v>
      </c>
      <c r="R28" t="str">
        <f t="shared" ca="1" si="3"/>
        <v>sanbal2900.jpg</v>
      </c>
      <c r="T28" s="4"/>
      <c r="V28">
        <f ca="1">RANDBETWEEN(2,COUNTA(rua_cod!A:A))</f>
        <v>96</v>
      </c>
      <c r="W28">
        <f t="shared" ca="1" si="4"/>
        <v>1</v>
      </c>
      <c r="X28">
        <f t="shared" ca="1" si="5"/>
        <v>1</v>
      </c>
      <c r="Y28">
        <f t="shared" ca="1" si="6"/>
        <v>1996</v>
      </c>
      <c r="Z28">
        <f t="shared" ca="1" si="7"/>
        <v>11</v>
      </c>
      <c r="AA28">
        <f t="shared" ca="1" si="8"/>
        <v>19</v>
      </c>
      <c r="AB28">
        <f t="shared" ca="1" si="9"/>
        <v>24</v>
      </c>
    </row>
    <row r="29" spans="1:28" x14ac:dyDescent="0.25">
      <c r="A29">
        <v>28</v>
      </c>
      <c r="B29" t="str" cm="1">
        <f t="array" aca="1" ref="B29" ca="1">replaceChar(LOWER(LEFT(D29,3)&amp;RIGHT(I29,3))&amp;LEFT(H29,4))</f>
        <v>fraboa1170</v>
      </c>
      <c r="C29" t="str">
        <f t="shared" ca="1" si="0"/>
        <v>pswfraboa1170</v>
      </c>
      <c r="D29" t="str">
        <f ca="1">Nomes!T30</f>
        <v>Francisca Jesus</v>
      </c>
      <c r="E29" t="str">
        <f ca="1">Nomes!S30</f>
        <v>Feminino</v>
      </c>
      <c r="F29" s="2">
        <v>31298</v>
      </c>
      <c r="G29" t="str" cm="1">
        <f t="array" aca="1" ref="G29" ca="1">INDEX(rua_cod!$F:$F,RANDBETWEEN(2,COUNTA(rua_cod!F:F)))</f>
        <v>Rua da Madalena</v>
      </c>
      <c r="H29" t="str" cm="1">
        <f t="array" aca="1" ref="H29" ca="1">INDEX(rua_cod!$A:$A,Users!V29) &amp; "-" &amp; TEXT(RANDBETWEEN(0,999),"000")</f>
        <v>1170-566</v>
      </c>
      <c r="I29" t="str" cm="1">
        <f t="array" aca="1" ref="I29" ca="1">INDEX(rua_cod!$B:$B,Users!V29)</f>
        <v>Lisboa</v>
      </c>
      <c r="J29" t="s">
        <v>3727</v>
      </c>
      <c r="K29" t="s">
        <v>225</v>
      </c>
      <c r="L29" t="s">
        <v>265</v>
      </c>
      <c r="M29" t="str">
        <f t="shared" ca="1" si="1"/>
        <v>98799795</v>
      </c>
      <c r="N29" t="str">
        <f t="shared" ca="1" si="2"/>
        <v>347805499</v>
      </c>
      <c r="O29" t="str">
        <f t="shared" ca="1" si="2"/>
        <v>414675909</v>
      </c>
      <c r="P29" t="str" cm="1">
        <f t="array" aca="1" ref="P29" ca="1">9 &amp; INDEX($AF$3:$AF$6,W29)&amp; TEXT(RANDBETWEEN(0,9999999),"0000000")</f>
        <v>965410774</v>
      </c>
      <c r="Q29" t="str" cm="1">
        <f t="array" aca="1" ref="Q29" ca="1">LOWER(B29) &amp; INDEX($AF$9:$AF$11,X29)</f>
        <v>fraboa1170@outlook.com</v>
      </c>
      <c r="R29" t="str">
        <f t="shared" ca="1" si="3"/>
        <v>fraboa1170.jpg</v>
      </c>
      <c r="T29" s="4"/>
      <c r="V29">
        <f ca="1">RANDBETWEEN(2,COUNTA(rua_cod!A:A))</f>
        <v>47</v>
      </c>
      <c r="W29">
        <f t="shared" ca="1" si="4"/>
        <v>4</v>
      </c>
      <c r="X29">
        <f t="shared" ca="1" si="5"/>
        <v>1</v>
      </c>
      <c r="Y29">
        <f t="shared" ca="1" si="6"/>
        <v>1955</v>
      </c>
      <c r="Z29">
        <f t="shared" ca="1" si="7"/>
        <v>2</v>
      </c>
      <c r="AA29">
        <f t="shared" ca="1" si="8"/>
        <v>15</v>
      </c>
      <c r="AB29">
        <f t="shared" ca="1" si="9"/>
        <v>65</v>
      </c>
    </row>
    <row r="30" spans="1:28" x14ac:dyDescent="0.25">
      <c r="A30">
        <v>29</v>
      </c>
      <c r="B30" t="str" cm="1">
        <f t="array" aca="1" ref="B30" ca="1">replaceChar(LOWER(LEFT(D30,3)&amp;RIGHT(I30,3))&amp;LEFT(H30,4))</f>
        <v>carboa1990</v>
      </c>
      <c r="C30" t="str">
        <f t="shared" ca="1" si="0"/>
        <v>pswcarboa1990</v>
      </c>
      <c r="D30" t="str">
        <f ca="1">Nomes!T31</f>
        <v>Carolina Pacheco</v>
      </c>
      <c r="E30" t="str">
        <f ca="1">Nomes!S31</f>
        <v>Feminino</v>
      </c>
      <c r="F30" s="2">
        <v>20622</v>
      </c>
      <c r="G30" t="str" cm="1">
        <f t="array" aca="1" ref="G30" ca="1">INDEX(rua_cod!$F:$F,RANDBETWEEN(2,COUNTA(rua_cod!F:F)))</f>
        <v>Calçada do Moinho de Vento</v>
      </c>
      <c r="H30" t="str" cm="1">
        <f t="array" aca="1" ref="H30" ca="1">INDEX(rua_cod!$A:$A,Users!V30) &amp; "-" &amp; TEXT(RANDBETWEEN(0,999),"000")</f>
        <v>1990-948</v>
      </c>
      <c r="I30" t="str" cm="1">
        <f t="array" aca="1" ref="I30" ca="1">INDEX(rua_cod!$B:$B,Users!V30)</f>
        <v>Lisboa</v>
      </c>
      <c r="J30" t="s">
        <v>3727</v>
      </c>
      <c r="K30" t="s">
        <v>225</v>
      </c>
      <c r="L30" t="s">
        <v>265</v>
      </c>
      <c r="M30" t="str">
        <f t="shared" ca="1" si="1"/>
        <v>39406039</v>
      </c>
      <c r="N30" t="str">
        <f t="shared" ca="1" si="2"/>
        <v>614270785</v>
      </c>
      <c r="O30" t="str">
        <f t="shared" ca="1" si="2"/>
        <v>172549843</v>
      </c>
      <c r="P30" t="str" cm="1">
        <f t="array" aca="1" ref="P30" ca="1">9 &amp; INDEX($AF$3:$AF$6,W30)&amp; TEXT(RANDBETWEEN(0,9999999),"0000000")</f>
        <v>928205119</v>
      </c>
      <c r="Q30" t="str" cm="1">
        <f t="array" aca="1" ref="Q30" ca="1">LOWER(B30) &amp; INDEX($AF$9:$AF$11,X30)</f>
        <v>carboa1990@outlook.com</v>
      </c>
      <c r="R30" t="str">
        <f t="shared" ca="1" si="3"/>
        <v>carboa1990.jpg</v>
      </c>
      <c r="T30" s="4"/>
      <c r="V30">
        <f ca="1">RANDBETWEEN(2,COUNTA(rua_cod!A:A))</f>
        <v>75</v>
      </c>
      <c r="W30">
        <f t="shared" ca="1" si="4"/>
        <v>2</v>
      </c>
      <c r="X30">
        <f t="shared" ca="1" si="5"/>
        <v>1</v>
      </c>
      <c r="Y30">
        <f t="shared" ca="1" si="6"/>
        <v>1952</v>
      </c>
      <c r="Z30">
        <f t="shared" ca="1" si="7"/>
        <v>3</v>
      </c>
      <c r="AA30">
        <f t="shared" ca="1" si="8"/>
        <v>18</v>
      </c>
      <c r="AB30">
        <f t="shared" ca="1" si="9"/>
        <v>68</v>
      </c>
    </row>
    <row r="31" spans="1:28" x14ac:dyDescent="0.25">
      <c r="A31">
        <v>30</v>
      </c>
      <c r="B31" t="str" cm="1">
        <f t="array" aca="1" ref="B31" ca="1">replaceChar(LOWER(LEFT(D31,3)&amp;RIGHT(I31,3))&amp;LEFT(H31,4))</f>
        <v>joaboa1749</v>
      </c>
      <c r="C31" t="str">
        <f t="shared" ca="1" si="0"/>
        <v>pswjoaboa1749</v>
      </c>
      <c r="D31" t="str">
        <f ca="1">Nomes!T32</f>
        <v>Joaquim Anjos</v>
      </c>
      <c r="E31" t="str">
        <f ca="1">Nomes!S32</f>
        <v>Masculino</v>
      </c>
      <c r="F31" s="2">
        <v>15242</v>
      </c>
      <c r="G31" t="str" cm="1">
        <f t="array" aca="1" ref="G31" ca="1">INDEX(rua_cod!$F:$F,RANDBETWEEN(2,COUNTA(rua_cod!F:F)))</f>
        <v>Rua do Instituto Bacteriológico</v>
      </c>
      <c r="H31" t="str" cm="1">
        <f t="array" aca="1" ref="H31" ca="1">INDEX(rua_cod!$A:$A,Users!V31) &amp; "-" &amp; TEXT(RANDBETWEEN(0,999),"000")</f>
        <v>1749-356</v>
      </c>
      <c r="I31" t="str" cm="1">
        <f t="array" aca="1" ref="I31" ca="1">INDEX(rua_cod!$B:$B,Users!V31)</f>
        <v>Lisboa</v>
      </c>
      <c r="J31" t="s">
        <v>3727</v>
      </c>
      <c r="K31" t="s">
        <v>225</v>
      </c>
      <c r="L31" t="s">
        <v>265</v>
      </c>
      <c r="M31" t="str">
        <f t="shared" ca="1" si="1"/>
        <v>38089722</v>
      </c>
      <c r="N31" t="str">
        <f t="shared" ca="1" si="2"/>
        <v>653052333</v>
      </c>
      <c r="O31" t="str">
        <f t="shared" ca="1" si="2"/>
        <v>857608170</v>
      </c>
      <c r="P31" t="str" cm="1">
        <f t="array" aca="1" ref="P31" ca="1">9 &amp; INDEX($AF$3:$AF$6,W31)&amp; TEXT(RANDBETWEEN(0,9999999),"0000000")</f>
        <v>916240015</v>
      </c>
      <c r="Q31" t="str" cm="1">
        <f t="array" aca="1" ref="Q31" ca="1">LOWER(B31) &amp; INDEX($AF$9:$AF$11,X31)</f>
        <v>joaboa1749@outlook.com</v>
      </c>
      <c r="R31" t="str">
        <f t="shared" ca="1" si="3"/>
        <v>joaboa1749.jpg</v>
      </c>
      <c r="T31" s="4"/>
      <c r="V31">
        <f ca="1">RANDBETWEEN(2,COUNTA(rua_cod!A:A))</f>
        <v>61</v>
      </c>
      <c r="W31">
        <f t="shared" ca="1" si="4"/>
        <v>1</v>
      </c>
      <c r="X31">
        <f t="shared" ca="1" si="5"/>
        <v>1</v>
      </c>
      <c r="Y31">
        <f t="shared" ca="1" si="6"/>
        <v>1987</v>
      </c>
      <c r="Z31">
        <f t="shared" ca="1" si="7"/>
        <v>1</v>
      </c>
      <c r="AA31">
        <f t="shared" ca="1" si="8"/>
        <v>14</v>
      </c>
      <c r="AB31">
        <f t="shared" ca="1" si="9"/>
        <v>33</v>
      </c>
    </row>
    <row r="32" spans="1:28" x14ac:dyDescent="0.25">
      <c r="A32">
        <v>31</v>
      </c>
      <c r="B32" t="str" cm="1">
        <f t="array" aca="1" ref="B32" ca="1">replaceChar(LOWER(LEFT(D32,3)&amp;RIGHT(I32,3))&amp;LEFT(H32,4))</f>
        <v>rodboa1449</v>
      </c>
      <c r="C32" t="str">
        <f t="shared" ca="1" si="0"/>
        <v>pswrodboa1449</v>
      </c>
      <c r="D32" t="str">
        <f ca="1">Nomes!T33</f>
        <v>Rodrigo Ferreira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Rua Garrett</v>
      </c>
      <c r="H32" t="str" cm="1">
        <f t="array" aca="1" ref="H32" ca="1">INDEX(rua_cod!$A:$A,Users!V32) &amp; "-" &amp; TEXT(RANDBETWEEN(0,999),"000")</f>
        <v>1449-952</v>
      </c>
      <c r="I32" t="str" cm="1">
        <f t="array" aca="1" ref="I32" ca="1">INDEX(rua_cod!$B:$B,Users!V32)</f>
        <v>Lisboa</v>
      </c>
      <c r="J32" t="s">
        <v>3727</v>
      </c>
      <c r="K32" t="s">
        <v>225</v>
      </c>
      <c r="L32" t="s">
        <v>265</v>
      </c>
      <c r="M32" t="str">
        <f t="shared" ca="1" si="1"/>
        <v>35379453</v>
      </c>
      <c r="N32" t="str">
        <f t="shared" ca="1" si="2"/>
        <v>483776962</v>
      </c>
      <c r="O32" t="str">
        <f t="shared" ca="1" si="2"/>
        <v>243497056</v>
      </c>
      <c r="P32" t="str" cm="1">
        <f t="array" aca="1" ref="P32" ca="1">9 &amp; INDEX($AF$3:$AF$6,W32)&amp; TEXT(RANDBETWEEN(0,9999999),"0000000")</f>
        <v>961231433</v>
      </c>
      <c r="Q32" t="str" cm="1">
        <f t="array" aca="1" ref="Q32" ca="1">LOWER(B32) &amp; INDEX($AF$9:$AF$11,X32)</f>
        <v>rodboa1449@sapo.pt</v>
      </c>
      <c r="R32" t="str">
        <f t="shared" ca="1" si="3"/>
        <v>rodboa1449.jpg</v>
      </c>
      <c r="T32" s="4"/>
      <c r="V32">
        <f ca="1">RANDBETWEEN(2,COUNTA(rua_cod!A:A))</f>
        <v>73</v>
      </c>
      <c r="W32">
        <f t="shared" ca="1" si="4"/>
        <v>4</v>
      </c>
      <c r="X32">
        <f t="shared" ca="1" si="5"/>
        <v>3</v>
      </c>
      <c r="Y32">
        <f t="shared" ca="1" si="6"/>
        <v>1951</v>
      </c>
      <c r="Z32">
        <f t="shared" ca="1" si="7"/>
        <v>9</v>
      </c>
      <c r="AA32">
        <f t="shared" ca="1" si="8"/>
        <v>1</v>
      </c>
      <c r="AB32">
        <f t="shared" ca="1" si="9"/>
        <v>69</v>
      </c>
    </row>
    <row r="33" spans="1:28" x14ac:dyDescent="0.25">
      <c r="A33">
        <v>32</v>
      </c>
      <c r="B33" t="str" cm="1">
        <f t="array" aca="1" ref="B33" ca="1">replaceChar(LOWER(LEFT(D33,3)&amp;RIGHT(I33,3))&amp;LEFT(H33,4))</f>
        <v>beaboa1950</v>
      </c>
      <c r="C33" t="str">
        <f t="shared" ca="1" si="0"/>
        <v>pswbeaboa1950</v>
      </c>
      <c r="D33" t="str">
        <f ca="1">Nomes!T34</f>
        <v>Beatriz Amaral</v>
      </c>
      <c r="E33" t="str">
        <f ca="1">Nomes!S34</f>
        <v>Feminino</v>
      </c>
      <c r="F33" s="2">
        <v>22147</v>
      </c>
      <c r="G33" t="str" cm="1">
        <f t="array" aca="1" ref="G33" ca="1">INDEX(rua_cod!$F:$F,RANDBETWEEN(2,COUNTA(rua_cod!F:F)))</f>
        <v>Rua da Alfândega</v>
      </c>
      <c r="H33" t="str" cm="1">
        <f t="array" aca="1" ref="H33" ca="1">INDEX(rua_cod!$A:$A,Users!V33) &amp; "-" &amp; TEXT(RANDBETWEEN(0,999),"000")</f>
        <v>1950-153</v>
      </c>
      <c r="I33" t="str" cm="1">
        <f t="array" aca="1" ref="I33" ca="1">INDEX(rua_cod!$B:$B,Users!V33)</f>
        <v>Lisboa</v>
      </c>
      <c r="J33" t="s">
        <v>3727</v>
      </c>
      <c r="K33" t="s">
        <v>225</v>
      </c>
      <c r="L33" t="s">
        <v>265</v>
      </c>
      <c r="M33" t="str">
        <f t="shared" ca="1" si="1"/>
        <v>44740599</v>
      </c>
      <c r="N33" t="str">
        <f t="shared" ca="1" si="2"/>
        <v>466758657</v>
      </c>
      <c r="O33" t="str">
        <f t="shared" ca="1" si="2"/>
        <v>436680974</v>
      </c>
      <c r="P33" t="str" cm="1">
        <f t="array" aca="1" ref="P33" ca="1">9 &amp; INDEX($AF$3:$AF$6,W33)&amp; TEXT(RANDBETWEEN(0,9999999),"0000000")</f>
        <v>910515607</v>
      </c>
      <c r="Q33" t="str" cm="1">
        <f t="array" aca="1" ref="Q33" ca="1">LOWER(B33) &amp; INDEX($AF$9:$AF$11,X33)</f>
        <v>beaboa1950@gmail.com</v>
      </c>
      <c r="R33" t="str">
        <f t="shared" ca="1" si="3"/>
        <v>beaboa1950.jpg</v>
      </c>
      <c r="T33" s="4"/>
      <c r="V33">
        <f ca="1">RANDBETWEEN(2,COUNTA(rua_cod!A:A))</f>
        <v>41</v>
      </c>
      <c r="W33">
        <f t="shared" ca="1" si="4"/>
        <v>1</v>
      </c>
      <c r="X33">
        <f t="shared" ca="1" si="5"/>
        <v>2</v>
      </c>
      <c r="Y33">
        <f t="shared" ca="1" si="6"/>
        <v>1979</v>
      </c>
      <c r="Z33">
        <f t="shared" ca="1" si="7"/>
        <v>8</v>
      </c>
      <c r="AA33">
        <f t="shared" ca="1" si="8"/>
        <v>11</v>
      </c>
      <c r="AB33">
        <f t="shared" ca="1" si="9"/>
        <v>41</v>
      </c>
    </row>
    <row r="34" spans="1:28" x14ac:dyDescent="0.25">
      <c r="A34">
        <v>33</v>
      </c>
      <c r="B34" t="str" cm="1">
        <f t="array" aca="1" ref="B34" ca="1">replaceChar(LOWER(LEFT(D34,3)&amp;RIGHT(I34,3))&amp;LEFT(H34,4))</f>
        <v>pedboa1069</v>
      </c>
      <c r="C34" t="str">
        <f t="shared" ca="1" si="0"/>
        <v>pswpedboa1069</v>
      </c>
      <c r="D34" t="str">
        <f ca="1">Nomes!T35</f>
        <v>Pedro Pereira Valente</v>
      </c>
      <c r="E34" t="str">
        <f ca="1">Nomes!S35</f>
        <v>Masculino</v>
      </c>
      <c r="F34" s="2">
        <v>26345</v>
      </c>
      <c r="G34" t="str" cm="1">
        <f t="array" aca="1" ref="G34" ca="1">INDEX(rua_cod!$F:$F,RANDBETWEEN(2,COUNTA(rua_cod!F:F)))</f>
        <v>Rua do Comércio</v>
      </c>
      <c r="H34" t="str" cm="1">
        <f t="array" aca="1" ref="H34" ca="1">INDEX(rua_cod!$A:$A,Users!V34) &amp; "-" &amp; TEXT(RANDBETWEEN(0,999),"000")</f>
        <v>1069-063</v>
      </c>
      <c r="I34" t="str" cm="1">
        <f t="array" aca="1" ref="I34" ca="1">INDEX(rua_cod!$B:$B,Users!V34)</f>
        <v>Lisboa</v>
      </c>
      <c r="J34" t="s">
        <v>3727</v>
      </c>
      <c r="K34" t="s">
        <v>225</v>
      </c>
      <c r="L34" t="s">
        <v>265</v>
      </c>
      <c r="M34" t="str">
        <f t="shared" ca="1" si="1"/>
        <v>61231626</v>
      </c>
      <c r="N34" t="str">
        <f t="shared" ca="1" si="2"/>
        <v>784568041</v>
      </c>
      <c r="O34" t="str">
        <f t="shared" ca="1" si="2"/>
        <v>960801880</v>
      </c>
      <c r="P34" t="str" cm="1">
        <f t="array" aca="1" ref="P34" ca="1">9 &amp; INDEX($AF$3:$AF$6,W34)&amp; TEXT(RANDBETWEEN(0,9999999),"0000000")</f>
        <v>934753508</v>
      </c>
      <c r="Q34" t="str" cm="1">
        <f t="array" aca="1" ref="Q34" ca="1">LOWER(B34) &amp; INDEX($AF$9:$AF$11,X34)</f>
        <v>pedboa1069@gmail.com</v>
      </c>
      <c r="R34" t="str">
        <f t="shared" ca="1" si="3"/>
        <v>pedboa1069.jpg</v>
      </c>
      <c r="T34" s="4"/>
      <c r="V34">
        <f ca="1">RANDBETWEEN(2,COUNTA(rua_cod!A:A))</f>
        <v>67</v>
      </c>
      <c r="W34">
        <f t="shared" ca="1" si="4"/>
        <v>3</v>
      </c>
      <c r="X34">
        <f t="shared" ca="1" si="5"/>
        <v>2</v>
      </c>
      <c r="Y34">
        <f t="shared" ca="1" si="6"/>
        <v>1983</v>
      </c>
      <c r="Z34">
        <f t="shared" ca="1" si="7"/>
        <v>9</v>
      </c>
      <c r="AA34">
        <f t="shared" ca="1" si="8"/>
        <v>30</v>
      </c>
      <c r="AB34">
        <f t="shared" ca="1" si="9"/>
        <v>37</v>
      </c>
    </row>
    <row r="35" spans="1:28" x14ac:dyDescent="0.25">
      <c r="A35">
        <v>34</v>
      </c>
      <c r="B35" t="str" cm="1">
        <f t="array" aca="1" ref="B35" ca="1">replaceChar(LOWER(LEFT(D35,3)&amp;RIGHT(I35,3))&amp;LEFT(H35,4))</f>
        <v>beafra2644</v>
      </c>
      <c r="C35" t="str">
        <f t="shared" ca="1" si="0"/>
        <v>pswbeafra2644</v>
      </c>
      <c r="D35" t="str">
        <f ca="1">Nomes!T36</f>
        <v>Beatriz Guerreiro Cardoso</v>
      </c>
      <c r="E35" t="str">
        <f ca="1">Nomes!S36</f>
        <v>Feminino</v>
      </c>
      <c r="F35" s="2">
        <v>24701</v>
      </c>
      <c r="G35" t="str" cm="1">
        <f t="array" aca="1" ref="G35" ca="1">INDEX(rua_cod!$F:$F,RANDBETWEEN(2,COUNTA(rua_cod!F:F)))</f>
        <v>Calçada de Carriche</v>
      </c>
      <c r="H35" t="str" cm="1">
        <f t="array" aca="1" ref="H35" ca="1">INDEX(rua_cod!$A:$A,Users!V35) &amp; "-" &amp; TEXT(RANDBETWEEN(0,999),"000")</f>
        <v>2644-248</v>
      </c>
      <c r="I35" t="str" cm="1">
        <f t="array" aca="1" ref="I35" ca="1">INDEX(rua_cod!$B:$B,Users!V35)</f>
        <v>Mafra</v>
      </c>
      <c r="J35" t="s">
        <v>3727</v>
      </c>
      <c r="K35" t="s">
        <v>225</v>
      </c>
      <c r="L35" t="s">
        <v>265</v>
      </c>
      <c r="M35" t="str">
        <f t="shared" ca="1" si="1"/>
        <v>27527531</v>
      </c>
      <c r="N35" t="str">
        <f t="shared" ca="1" si="2"/>
        <v>266194438</v>
      </c>
      <c r="O35" t="str">
        <f t="shared" ca="1" si="2"/>
        <v>946545519</v>
      </c>
      <c r="P35" t="str" cm="1">
        <f t="array" aca="1" ref="P35" ca="1">9 &amp; INDEX($AF$3:$AF$6,W35)&amp; TEXT(RANDBETWEEN(0,9999999),"0000000")</f>
        <v>935947975</v>
      </c>
      <c r="Q35" t="str" cm="1">
        <f t="array" aca="1" ref="Q35" ca="1">LOWER(B35) &amp; INDEX($AF$9:$AF$11,X35)</f>
        <v>beafra2644@gmail.com</v>
      </c>
      <c r="R35" t="str">
        <f t="shared" ca="1" si="3"/>
        <v>beafra2644.jpg</v>
      </c>
      <c r="T35" s="4"/>
      <c r="V35">
        <f ca="1">RANDBETWEEN(2,COUNTA(rua_cod!A:A))</f>
        <v>86</v>
      </c>
      <c r="W35">
        <f t="shared" ca="1" si="4"/>
        <v>3</v>
      </c>
      <c r="X35">
        <f t="shared" ca="1" si="5"/>
        <v>2</v>
      </c>
      <c r="Y35">
        <f t="shared" ca="1" si="6"/>
        <v>1958</v>
      </c>
      <c r="Z35">
        <f t="shared" ca="1" si="7"/>
        <v>6</v>
      </c>
      <c r="AA35">
        <f t="shared" ca="1" si="8"/>
        <v>19</v>
      </c>
      <c r="AB35">
        <f t="shared" ca="1" si="9"/>
        <v>62</v>
      </c>
    </row>
    <row r="36" spans="1:28" x14ac:dyDescent="0.25">
      <c r="A36">
        <v>35</v>
      </c>
      <c r="B36" t="str" cm="1">
        <f t="array" aca="1" ref="B36" ca="1">replaceChar(LOWER(LEFT(D36,3)&amp;RIGHT(I36,3))&amp;LEFT(H36,4))</f>
        <v>danora2610</v>
      </c>
      <c r="C36" t="str">
        <f t="shared" ca="1" si="0"/>
        <v>pswdanora2610</v>
      </c>
      <c r="D36" t="str">
        <f ca="1">Nomes!T37</f>
        <v>Daniela Vieira Moura</v>
      </c>
      <c r="E36" t="str">
        <f ca="1">Nomes!S37</f>
        <v>Feminino</v>
      </c>
      <c r="F36" s="2">
        <v>36840</v>
      </c>
      <c r="G36" t="str" cm="1">
        <f t="array" aca="1" ref="G36" ca="1">INDEX(rua_cod!$F:$F,RANDBETWEEN(2,COUNTA(rua_cod!F:F)))</f>
        <v>Rua Ferreira Lapa</v>
      </c>
      <c r="H36" t="str" cm="1">
        <f t="array" aca="1" ref="H36" ca="1">INDEX(rua_cod!$A:$A,Users!V36) &amp; "-" &amp; TEXT(RANDBETWEEN(0,999),"000")</f>
        <v>2610-463</v>
      </c>
      <c r="I36" t="str" cm="1">
        <f t="array" aca="1" ref="I36" ca="1">INDEX(rua_cod!$B:$B,Users!V36)</f>
        <v>Amadora</v>
      </c>
      <c r="J36" t="s">
        <v>3727</v>
      </c>
      <c r="K36" t="s">
        <v>225</v>
      </c>
      <c r="L36" t="s">
        <v>265</v>
      </c>
      <c r="M36" t="str">
        <f t="shared" ca="1" si="1"/>
        <v>47674975</v>
      </c>
      <c r="N36" t="str">
        <f t="shared" ca="1" si="2"/>
        <v>791367206</v>
      </c>
      <c r="O36" t="str">
        <f t="shared" ca="1" si="2"/>
        <v>265953012</v>
      </c>
      <c r="P36" t="str" cm="1">
        <f t="array" aca="1" ref="P36" ca="1">9 &amp; INDEX($AF$3:$AF$6,W36)&amp; TEXT(RANDBETWEEN(0,9999999),"0000000")</f>
        <v>965956491</v>
      </c>
      <c r="Q36" t="str" cm="1">
        <f t="array" aca="1" ref="Q36" ca="1">LOWER(B36) &amp; INDEX($AF$9:$AF$11,X36)</f>
        <v>danora2610@gmail.com</v>
      </c>
      <c r="R36" t="str">
        <f t="shared" ca="1" si="3"/>
        <v>danora2610.jpg</v>
      </c>
      <c r="T36" s="4"/>
      <c r="V36">
        <f ca="1">RANDBETWEEN(2,COUNTA(rua_cod!A:A))</f>
        <v>12</v>
      </c>
      <c r="W36">
        <f t="shared" ca="1" si="4"/>
        <v>4</v>
      </c>
      <c r="X36">
        <f t="shared" ca="1" si="5"/>
        <v>2</v>
      </c>
      <c r="Y36">
        <f t="shared" ca="1" si="6"/>
        <v>1965</v>
      </c>
      <c r="Z36">
        <f t="shared" ca="1" si="7"/>
        <v>1</v>
      </c>
      <c r="AA36">
        <f t="shared" ca="1" si="8"/>
        <v>24</v>
      </c>
      <c r="AB36">
        <f t="shared" ca="1" si="9"/>
        <v>55</v>
      </c>
    </row>
    <row r="37" spans="1:28" x14ac:dyDescent="0.25">
      <c r="A37">
        <v>36</v>
      </c>
      <c r="B37" t="str" cm="1">
        <f t="array" aca="1" ref="B37" ca="1">replaceChar(LOWER(LEFT(D37,3)&amp;RIGHT(I37,3))&amp;LEFT(H37,4))</f>
        <v>andboa1849</v>
      </c>
      <c r="C37" t="str">
        <f t="shared" ca="1" si="0"/>
        <v>pswandboa1849</v>
      </c>
      <c r="D37" t="str">
        <f ca="1">Nomes!T38</f>
        <v>André Monteiro Pinheiro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Rua do Salitre</v>
      </c>
      <c r="H37" t="str" cm="1">
        <f t="array" aca="1" ref="H37" ca="1">INDEX(rua_cod!$A:$A,Users!V37) &amp; "-" &amp; TEXT(RANDBETWEEN(0,999),"000")</f>
        <v>1849-834</v>
      </c>
      <c r="I37" t="str" cm="1">
        <f t="array" aca="1" ref="I37" ca="1">INDEX(rua_cod!$B:$B,Users!V37)</f>
        <v>Lisboa</v>
      </c>
      <c r="J37" t="s">
        <v>3727</v>
      </c>
      <c r="K37" t="s">
        <v>225</v>
      </c>
      <c r="L37" t="s">
        <v>265</v>
      </c>
      <c r="M37" t="str">
        <f t="shared" ca="1" si="1"/>
        <v>22604626</v>
      </c>
      <c r="N37" t="str">
        <f t="shared" ca="1" si="2"/>
        <v>812517096</v>
      </c>
      <c r="O37" t="str">
        <f t="shared" ca="1" si="2"/>
        <v>844587145</v>
      </c>
      <c r="P37" t="str" cm="1">
        <f t="array" aca="1" ref="P37" ca="1">9 &amp; INDEX($AF$3:$AF$6,W37)&amp; TEXT(RANDBETWEEN(0,9999999),"0000000")</f>
        <v>916554695</v>
      </c>
      <c r="Q37" t="str" cm="1">
        <f t="array" aca="1" ref="Q37" ca="1">LOWER(B37) &amp; INDEX($AF$9:$AF$11,X37)</f>
        <v>andboa1849@sapo.pt</v>
      </c>
      <c r="R37" t="str">
        <f t="shared" ca="1" si="3"/>
        <v>andboa1849.jpg</v>
      </c>
      <c r="T37" s="4"/>
      <c r="V37">
        <f ca="1">RANDBETWEEN(2,COUNTA(rua_cod!A:A))</f>
        <v>64</v>
      </c>
      <c r="W37">
        <f t="shared" ca="1" si="4"/>
        <v>1</v>
      </c>
      <c r="X37">
        <f t="shared" ca="1" si="5"/>
        <v>3</v>
      </c>
      <c r="Y37">
        <f t="shared" ca="1" si="6"/>
        <v>1989</v>
      </c>
      <c r="Z37">
        <f t="shared" ca="1" si="7"/>
        <v>7</v>
      </c>
      <c r="AA37">
        <f t="shared" ca="1" si="8"/>
        <v>20</v>
      </c>
      <c r="AB37">
        <f t="shared" ca="1" si="9"/>
        <v>31</v>
      </c>
    </row>
    <row r="38" spans="1:28" x14ac:dyDescent="0.25">
      <c r="A38">
        <v>37</v>
      </c>
      <c r="B38" t="str" cm="1">
        <f t="array" aca="1" ref="B38" ca="1">replaceChar(LOWER(LEFT(D38,3)&amp;RIGHT(I38,3))&amp;LEFT(H38,4))</f>
        <v>ineboa1999</v>
      </c>
      <c r="C38" t="str">
        <f t="shared" ca="1" si="0"/>
        <v>pswineboa1999</v>
      </c>
      <c r="D38" t="str">
        <f ca="1">Nomes!T39</f>
        <v>Inês Vaz Macedo</v>
      </c>
      <c r="E38" t="str">
        <f ca="1">Nomes!S39</f>
        <v>Feminino</v>
      </c>
      <c r="F38" s="2">
        <v>43838</v>
      </c>
      <c r="G38" t="str" cm="1">
        <f t="array" aca="1" ref="G38" ca="1">INDEX(rua_cod!$F:$F,RANDBETWEEN(2,COUNTA(rua_cod!F:F)))</f>
        <v>Rua do Salitre</v>
      </c>
      <c r="H38" t="str" cm="1">
        <f t="array" aca="1" ref="H38" ca="1">INDEX(rua_cod!$A:$A,Users!V38) &amp; "-" &amp; TEXT(RANDBETWEEN(0,999),"000")</f>
        <v>1999-658</v>
      </c>
      <c r="I38" t="str" cm="1">
        <f t="array" aca="1" ref="I38" ca="1">INDEX(rua_cod!$B:$B,Users!V38)</f>
        <v>Lisboa</v>
      </c>
      <c r="J38" t="s">
        <v>3727</v>
      </c>
      <c r="K38" t="s">
        <v>225</v>
      </c>
      <c r="L38" t="s">
        <v>265</v>
      </c>
      <c r="M38" t="str">
        <f t="shared" ca="1" si="1"/>
        <v>20837481</v>
      </c>
      <c r="N38" t="str">
        <f t="shared" ca="1" si="2"/>
        <v>262466983</v>
      </c>
      <c r="O38" t="str">
        <f t="shared" ca="1" si="2"/>
        <v>680627810</v>
      </c>
      <c r="P38" t="str" cm="1">
        <f t="array" aca="1" ref="P38" ca="1">9 &amp; INDEX($AF$3:$AF$6,W38)&amp; TEXT(RANDBETWEEN(0,9999999),"0000000")</f>
        <v>935938920</v>
      </c>
      <c r="Q38" t="str" cm="1">
        <f t="array" aca="1" ref="Q38" ca="1">LOWER(B38) &amp; INDEX($AF$9:$AF$11,X38)</f>
        <v>ineboa1999@gmail.com</v>
      </c>
      <c r="R38" t="str">
        <f t="shared" ca="1" si="3"/>
        <v>ineboa1999.jpg</v>
      </c>
      <c r="T38" s="4"/>
      <c r="V38">
        <f ca="1">RANDBETWEEN(2,COUNTA(rua_cod!A:A))</f>
        <v>79</v>
      </c>
      <c r="W38">
        <f t="shared" ca="1" si="4"/>
        <v>3</v>
      </c>
      <c r="X38">
        <f t="shared" ca="1" si="5"/>
        <v>2</v>
      </c>
      <c r="Y38">
        <f t="shared" ca="1" si="6"/>
        <v>1950</v>
      </c>
      <c r="Z38">
        <f t="shared" ca="1" si="7"/>
        <v>9</v>
      </c>
      <c r="AA38">
        <f t="shared" ca="1" si="8"/>
        <v>9</v>
      </c>
      <c r="AB38">
        <f t="shared" ca="1" si="9"/>
        <v>70</v>
      </c>
    </row>
    <row r="39" spans="1:28" x14ac:dyDescent="0.25">
      <c r="A39">
        <v>38</v>
      </c>
      <c r="B39" t="str" cm="1">
        <f t="array" aca="1" ref="B39" ca="1">replaceChar(LOWER(LEFT(D39,3)&amp;RIGHT(I39,3))&amp;LEFT(H39,4))</f>
        <v>duaras2560</v>
      </c>
      <c r="C39" t="str">
        <f t="shared" ca="1" si="0"/>
        <v>pswduaras2560</v>
      </c>
      <c r="D39" t="str">
        <f ca="1">Nomes!T40</f>
        <v>Duarte Vaz Marques</v>
      </c>
      <c r="E39" t="str">
        <f ca="1">Nomes!S40</f>
        <v>Masculino</v>
      </c>
      <c r="F39" s="2">
        <v>13937</v>
      </c>
      <c r="G39" t="str" cm="1">
        <f t="array" aca="1" ref="G39" ca="1">INDEX(rua_cod!$F:$F,RANDBETWEEN(2,COUNTA(rua_cod!F:F)))</f>
        <v>Rua de São Mamede</v>
      </c>
      <c r="H39" t="str" cm="1">
        <f t="array" aca="1" ref="H39" ca="1">INDEX(rua_cod!$A:$A,Users!V39) &amp; "-" &amp; TEXT(RANDBETWEEN(0,999),"000")</f>
        <v>2560-240</v>
      </c>
      <c r="I39" t="str" cm="1">
        <f t="array" aca="1" ref="I39" ca="1">INDEX(rua_cod!$B:$B,Users!V39)</f>
        <v>Torres Vedras</v>
      </c>
      <c r="J39" t="s">
        <v>3727</v>
      </c>
      <c r="K39" t="s">
        <v>225</v>
      </c>
      <c r="L39" t="s">
        <v>265</v>
      </c>
      <c r="M39" t="str">
        <f t="shared" ca="1" si="1"/>
        <v>73553318</v>
      </c>
      <c r="N39" t="str">
        <f t="shared" ca="1" si="2"/>
        <v>910392137</v>
      </c>
      <c r="O39" t="str">
        <f t="shared" ca="1" si="2"/>
        <v>871171431</v>
      </c>
      <c r="P39" t="str" cm="1">
        <f t="array" aca="1" ref="P39" ca="1">9 &amp; INDEX($AF$3:$AF$6,W39)&amp; TEXT(RANDBETWEEN(0,9999999),"0000000")</f>
        <v>960205207</v>
      </c>
      <c r="Q39" t="str" cm="1">
        <f t="array" aca="1" ref="Q39" ca="1">LOWER(B39) &amp; INDEX($AF$9:$AF$11,X39)</f>
        <v>duaras2560@sapo.pt</v>
      </c>
      <c r="R39" t="str">
        <f t="shared" ca="1" si="3"/>
        <v>duaras2560.jpg</v>
      </c>
      <c r="T39" s="4"/>
      <c r="V39">
        <f ca="1">RANDBETWEEN(2,COUNTA(rua_cod!A:A))</f>
        <v>104</v>
      </c>
      <c r="W39">
        <f t="shared" ca="1" si="4"/>
        <v>4</v>
      </c>
      <c r="X39">
        <f t="shared" ca="1" si="5"/>
        <v>3</v>
      </c>
      <c r="Y39">
        <f t="shared" ca="1" si="6"/>
        <v>1973</v>
      </c>
      <c r="Z39">
        <f t="shared" ca="1" si="7"/>
        <v>12</v>
      </c>
      <c r="AA39">
        <f t="shared" ca="1" si="8"/>
        <v>12</v>
      </c>
      <c r="AB39">
        <f t="shared" ca="1" si="9"/>
        <v>47</v>
      </c>
    </row>
    <row r="40" spans="1:28" x14ac:dyDescent="0.25">
      <c r="A40">
        <v>39</v>
      </c>
      <c r="B40" t="str" cm="1">
        <f t="array" aca="1" ref="B40" ca="1">replaceChar(LOWER(LEFT(D40,3)&amp;RIGHT(I40,3))&amp;LEFT(H40,4))</f>
        <v>verboa1449</v>
      </c>
      <c r="C40" t="str">
        <f t="shared" ca="1" si="0"/>
        <v>pswverboa1449</v>
      </c>
      <c r="D40" t="str">
        <f ca="1">Nomes!T41</f>
        <v>Vera Rodrigues Reis</v>
      </c>
      <c r="E40" t="str">
        <f ca="1">Nomes!S41</f>
        <v>Feminino</v>
      </c>
      <c r="F40" s="2">
        <v>32387</v>
      </c>
      <c r="G40" t="str" cm="1">
        <f t="array" aca="1" ref="G40" ca="1">INDEX(rua_cod!$F:$F,RANDBETWEEN(2,COUNTA(rua_cod!F:F)))</f>
        <v>Rua Ferreira Lapa</v>
      </c>
      <c r="H40" t="str" cm="1">
        <f t="array" aca="1" ref="H40" ca="1">INDEX(rua_cod!$A:$A,Users!V40) &amp; "-" &amp; TEXT(RANDBETWEEN(0,999),"000")</f>
        <v>1449-999</v>
      </c>
      <c r="I40" t="str" cm="1">
        <f t="array" aca="1" ref="I40" ca="1">INDEX(rua_cod!$B:$B,Users!V40)</f>
        <v>Lisboa</v>
      </c>
      <c r="J40" t="s">
        <v>3727</v>
      </c>
      <c r="K40" t="s">
        <v>225</v>
      </c>
      <c r="L40" t="s">
        <v>265</v>
      </c>
      <c r="M40" t="str">
        <f t="shared" ca="1" si="1"/>
        <v>43628325</v>
      </c>
      <c r="N40" t="str">
        <f t="shared" ca="1" si="2"/>
        <v>291371654</v>
      </c>
      <c r="O40" t="str">
        <f t="shared" ca="1" si="2"/>
        <v>763127519</v>
      </c>
      <c r="P40" t="str" cm="1">
        <f t="array" aca="1" ref="P40" ca="1">9 &amp; INDEX($AF$3:$AF$6,W40)&amp; TEXT(RANDBETWEEN(0,9999999),"0000000")</f>
        <v>966782480</v>
      </c>
      <c r="Q40" t="str" cm="1">
        <f t="array" aca="1" ref="Q40" ca="1">LOWER(B40) &amp; INDEX($AF$9:$AF$11,X40)</f>
        <v>verboa1449@gmail.com</v>
      </c>
      <c r="R40" t="str">
        <f t="shared" ca="1" si="3"/>
        <v>verboa1449.jpg</v>
      </c>
      <c r="T40" s="4"/>
      <c r="V40">
        <f ca="1">RANDBETWEEN(2,COUNTA(rua_cod!A:A))</f>
        <v>73</v>
      </c>
      <c r="W40">
        <f t="shared" ca="1" si="4"/>
        <v>4</v>
      </c>
      <c r="X40">
        <f t="shared" ca="1" si="5"/>
        <v>2</v>
      </c>
      <c r="Y40">
        <f t="shared" ca="1" si="6"/>
        <v>1983</v>
      </c>
      <c r="Z40">
        <f t="shared" ca="1" si="7"/>
        <v>5</v>
      </c>
      <c r="AA40">
        <f t="shared" ca="1" si="8"/>
        <v>29</v>
      </c>
      <c r="AB40">
        <f t="shared" ca="1" si="9"/>
        <v>37</v>
      </c>
    </row>
    <row r="41" spans="1:28" x14ac:dyDescent="0.25">
      <c r="A41">
        <v>40</v>
      </c>
      <c r="B41" t="str" cm="1">
        <f t="array" aca="1" ref="B41" ca="1">replaceChar(LOWER(LEFT(D41,3)&amp;RIGHT(I41,3))&amp;LEFT(H41,4))</f>
        <v>josora2724</v>
      </c>
      <c r="C41" t="str">
        <f t="shared" ca="1" si="0"/>
        <v>pswjosora2724</v>
      </c>
      <c r="D41" t="str">
        <f ca="1">Nomes!T42</f>
        <v>José Mendes Pacheco</v>
      </c>
      <c r="E41" t="str">
        <f ca="1">Nomes!S42</f>
        <v>Masculino</v>
      </c>
      <c r="F41" s="2">
        <v>10615</v>
      </c>
      <c r="G41" t="str" cm="1">
        <f t="array" aca="1" ref="G41" ca="1">INDEX(rua_cod!$F:$F,RANDBETWEEN(2,COUNTA(rua_cod!F:F)))</f>
        <v>Rua da Oliveira ao Carmo</v>
      </c>
      <c r="H41" t="str" cm="1">
        <f t="array" aca="1" ref="H41" ca="1">INDEX(rua_cod!$A:$A,Users!V41) &amp; "-" &amp; TEXT(RANDBETWEEN(0,999),"000")</f>
        <v>2724-681</v>
      </c>
      <c r="I41" t="str" cm="1">
        <f t="array" aca="1" ref="I41" ca="1">INDEX(rua_cod!$B:$B,Users!V41)</f>
        <v>Amadora</v>
      </c>
      <c r="J41" t="s">
        <v>3727</v>
      </c>
      <c r="K41" t="s">
        <v>225</v>
      </c>
      <c r="L41" t="s">
        <v>265</v>
      </c>
      <c r="M41" t="str">
        <f t="shared" ca="1" si="1"/>
        <v>73312605</v>
      </c>
      <c r="N41" t="str">
        <f t="shared" ca="1" si="2"/>
        <v>578923190</v>
      </c>
      <c r="O41" t="str">
        <f t="shared" ca="1" si="2"/>
        <v>365603884</v>
      </c>
      <c r="P41" t="str" cm="1">
        <f t="array" aca="1" ref="P41" ca="1">9 &amp; INDEX($AF$3:$AF$6,W41)&amp; TEXT(RANDBETWEEN(0,9999999),"0000000")</f>
        <v>924394437</v>
      </c>
      <c r="Q41" t="str" cm="1">
        <f t="array" aca="1" ref="Q41" ca="1">LOWER(B41) &amp; INDEX($AF$9:$AF$11,X41)</f>
        <v>josora2724@sapo.pt</v>
      </c>
      <c r="R41" t="str">
        <f t="shared" ca="1" si="3"/>
        <v>josora2724.jpg</v>
      </c>
      <c r="T41" s="4"/>
      <c r="V41">
        <f ca="1">RANDBETWEEN(2,COUNTA(rua_cod!A:A))</f>
        <v>13</v>
      </c>
      <c r="W41">
        <f t="shared" ca="1" si="4"/>
        <v>2</v>
      </c>
      <c r="X41">
        <f t="shared" ca="1" si="5"/>
        <v>3</v>
      </c>
      <c r="Y41">
        <f t="shared" ca="1" si="6"/>
        <v>1962</v>
      </c>
      <c r="Z41">
        <f t="shared" ca="1" si="7"/>
        <v>1</v>
      </c>
      <c r="AA41">
        <f t="shared" ca="1" si="8"/>
        <v>27</v>
      </c>
      <c r="AB41">
        <f t="shared" ca="1" si="9"/>
        <v>58</v>
      </c>
    </row>
    <row r="42" spans="1:28" x14ac:dyDescent="0.25">
      <c r="A42">
        <v>41</v>
      </c>
      <c r="B42" t="str" cm="1">
        <f t="array" aca="1" ref="B42" ca="1">replaceChar(LOWER(LEFT(D42,3)&amp;RIGHT(I42,3))&amp;LEFT(H42,4))</f>
        <v>andora2654</v>
      </c>
      <c r="C42" t="str">
        <f t="shared" ca="1" si="0"/>
        <v>pswandora2654</v>
      </c>
      <c r="D42" t="str">
        <f ca="1">Nomes!T43</f>
        <v>André Teixeira Nunes</v>
      </c>
      <c r="E42" t="str">
        <f ca="1">Nomes!S43</f>
        <v>Masculino</v>
      </c>
      <c r="F42" s="2">
        <v>28753</v>
      </c>
      <c r="G42" t="str" cm="1">
        <f t="array" aca="1" ref="G42" ca="1">INDEX(rua_cod!$F:$F,RANDBETWEEN(2,COUNTA(rua_cod!F:F)))</f>
        <v>Rua da Oliveira ao Carmo</v>
      </c>
      <c r="H42" t="str" cm="1">
        <f t="array" aca="1" ref="H42" ca="1">INDEX(rua_cod!$A:$A,Users!V42) &amp; "-" &amp; TEXT(RANDBETWEEN(0,999),"000")</f>
        <v>2654-488</v>
      </c>
      <c r="I42" t="str" cm="1">
        <f t="array" aca="1" ref="I42" ca="1">INDEX(rua_cod!$B:$B,Users!V42)</f>
        <v>Amadora</v>
      </c>
      <c r="J42" t="s">
        <v>3727</v>
      </c>
      <c r="K42" t="s">
        <v>225</v>
      </c>
      <c r="L42" t="s">
        <v>265</v>
      </c>
      <c r="M42" t="str">
        <f t="shared" ca="1" si="1"/>
        <v>91333318</v>
      </c>
      <c r="N42" t="str">
        <f t="shared" ca="1" si="2"/>
        <v>494809700</v>
      </c>
      <c r="O42" t="str">
        <f t="shared" ca="1" si="2"/>
        <v>565795561</v>
      </c>
      <c r="P42" t="str" cm="1">
        <f t="array" aca="1" ref="P42" ca="1">9 &amp; INDEX($AF$3:$AF$6,W42)&amp; TEXT(RANDBETWEEN(0,9999999),"0000000")</f>
        <v>967765219</v>
      </c>
      <c r="Q42" t="str" cm="1">
        <f t="array" aca="1" ref="Q42" ca="1">LOWER(B42) &amp; INDEX($AF$9:$AF$11,X42)</f>
        <v>andora2654@gmail.com</v>
      </c>
      <c r="R42" t="str">
        <f t="shared" ca="1" si="3"/>
        <v>andora2654.jpg</v>
      </c>
      <c r="T42" s="4"/>
      <c r="V42">
        <f ca="1">RANDBETWEEN(2,COUNTA(rua_cod!A:A))</f>
        <v>14</v>
      </c>
      <c r="W42">
        <f t="shared" ca="1" si="4"/>
        <v>4</v>
      </c>
      <c r="X42">
        <f t="shared" ca="1" si="5"/>
        <v>2</v>
      </c>
      <c r="Y42">
        <f t="shared" ca="1" si="6"/>
        <v>1978</v>
      </c>
      <c r="Z42">
        <f t="shared" ca="1" si="7"/>
        <v>8</v>
      </c>
      <c r="AA42">
        <f t="shared" ca="1" si="8"/>
        <v>24</v>
      </c>
      <c r="AB42">
        <f t="shared" ca="1" si="9"/>
        <v>42</v>
      </c>
    </row>
    <row r="43" spans="1:28" x14ac:dyDescent="0.25">
      <c r="A43">
        <v>42</v>
      </c>
      <c r="B43" t="str" cm="1">
        <f t="array" aca="1" ref="B43" ca="1">replaceChar(LOWER(LEFT(D43,3)&amp;RIGHT(I43,3))&amp;LEFT(H43,4))</f>
        <v>catira2655</v>
      </c>
      <c r="C43" t="str">
        <f t="shared" ca="1" si="0"/>
        <v>pswcatira2655</v>
      </c>
      <c r="D43" t="str">
        <f ca="1">Nomes!T44</f>
        <v>Catarina Paiva Amorim</v>
      </c>
      <c r="E43" t="str">
        <f ca="1">Nomes!S44</f>
        <v>Feminino</v>
      </c>
      <c r="F43" s="2">
        <v>20196</v>
      </c>
      <c r="G43" t="str" cm="1">
        <f t="array" aca="1" ref="G43" ca="1">INDEX(rua_cod!$F:$F,RANDBETWEEN(2,COUNTA(rua_cod!F:F)))</f>
        <v>Rua General Morais Sarmento</v>
      </c>
      <c r="H43" t="str" cm="1">
        <f t="array" aca="1" ref="H43" ca="1">INDEX(rua_cod!$A:$A,Users!V43) &amp; "-" &amp; TEXT(RANDBETWEEN(0,999),"000")</f>
        <v>2655-974</v>
      </c>
      <c r="I43" t="str" cm="1">
        <f t="array" aca="1" ref="I43" ca="1">INDEX(rua_cod!$B:$B,Users!V43)</f>
        <v>Ericeira</v>
      </c>
      <c r="J43" t="s">
        <v>3727</v>
      </c>
      <c r="K43" t="s">
        <v>225</v>
      </c>
      <c r="L43" t="s">
        <v>265</v>
      </c>
      <c r="M43" t="str">
        <f t="shared" ca="1" si="1"/>
        <v>91156375</v>
      </c>
      <c r="N43" t="str">
        <f t="shared" ca="1" si="2"/>
        <v>607730985</v>
      </c>
      <c r="O43" t="str">
        <f t="shared" ca="1" si="2"/>
        <v>824902816</v>
      </c>
      <c r="P43" t="str" cm="1">
        <f t="array" aca="1" ref="P43" ca="1">9 &amp; INDEX($AF$3:$AF$6,W43)&amp; TEXT(RANDBETWEEN(0,9999999),"0000000")</f>
        <v>926787953</v>
      </c>
      <c r="Q43" t="str" cm="1">
        <f t="array" aca="1" ref="Q43" ca="1">LOWER(B43) &amp; INDEX($AF$9:$AF$11,X43)</f>
        <v>catira2655@outlook.com</v>
      </c>
      <c r="R43" t="str">
        <f t="shared" ca="1" si="3"/>
        <v>catira2655.jpg</v>
      </c>
      <c r="T43" s="4"/>
      <c r="V43">
        <f ca="1">RANDBETWEEN(2,COUNTA(rua_cod!A:A))</f>
        <v>31</v>
      </c>
      <c r="W43">
        <f t="shared" ca="1" si="4"/>
        <v>2</v>
      </c>
      <c r="X43">
        <f t="shared" ca="1" si="5"/>
        <v>1</v>
      </c>
      <c r="Y43">
        <f t="shared" ca="1" si="6"/>
        <v>1987</v>
      </c>
      <c r="Z43">
        <f t="shared" ca="1" si="7"/>
        <v>7</v>
      </c>
      <c r="AA43">
        <f t="shared" ca="1" si="8"/>
        <v>17</v>
      </c>
      <c r="AB43">
        <f t="shared" ca="1" si="9"/>
        <v>33</v>
      </c>
    </row>
    <row r="44" spans="1:28" x14ac:dyDescent="0.25">
      <c r="A44">
        <v>43</v>
      </c>
      <c r="B44" t="str" cm="1">
        <f t="array" aca="1" ref="B44" ca="1">replaceChar(LOWER(LEFT(D44,3)&amp;RIGHT(I44,3))&amp;LEFT(H44,4))</f>
        <v>marboa1199</v>
      </c>
      <c r="C44" t="str">
        <f t="shared" ca="1" si="0"/>
        <v>pswmarboa1199</v>
      </c>
      <c r="D44" t="str">
        <f ca="1">Nomes!T45</f>
        <v>Maria Paiva Sá</v>
      </c>
      <c r="E44" t="str">
        <f ca="1">Nomes!S45</f>
        <v>Feminino</v>
      </c>
      <c r="F44" s="2">
        <v>28461</v>
      </c>
      <c r="G44" t="str" cm="1">
        <f t="array" aca="1" ref="G44" ca="1">INDEX(rua_cod!$F:$F,RANDBETWEEN(2,COUNTA(rua_cod!F:F)))</f>
        <v>Rua de São Bento</v>
      </c>
      <c r="H44" t="str" cm="1">
        <f t="array" aca="1" ref="H44" ca="1">INDEX(rua_cod!$A:$A,Users!V44) &amp; "-" &amp; TEXT(RANDBETWEEN(0,999),"000")</f>
        <v>1199-202</v>
      </c>
      <c r="I44" t="str" cm="1">
        <f t="array" aca="1" ref="I44" ca="1">INDEX(rua_cod!$B:$B,Users!V44)</f>
        <v>Lisboa</v>
      </c>
      <c r="J44" t="s">
        <v>3727</v>
      </c>
      <c r="K44" t="s">
        <v>225</v>
      </c>
      <c r="L44" t="s">
        <v>265</v>
      </c>
      <c r="M44" t="str">
        <f t="shared" ca="1" si="1"/>
        <v>58192067</v>
      </c>
      <c r="N44" t="str">
        <f t="shared" ca="1" si="2"/>
        <v>565743095</v>
      </c>
      <c r="O44" t="str">
        <f t="shared" ca="1" si="2"/>
        <v>245312876</v>
      </c>
      <c r="P44" t="str" cm="1">
        <f t="array" aca="1" ref="P44" ca="1">9 &amp; INDEX($AF$3:$AF$6,W44)&amp; TEXT(RANDBETWEEN(0,9999999),"0000000")</f>
        <v>910325709</v>
      </c>
      <c r="Q44" t="str" cm="1">
        <f t="array" aca="1" ref="Q44" ca="1">LOWER(B44) &amp; INDEX($AF$9:$AF$11,X44)</f>
        <v>marboa1199@gmail.com</v>
      </c>
      <c r="R44" t="str">
        <f t="shared" ca="1" si="3"/>
        <v>marboa1199.jpg</v>
      </c>
      <c r="T44" s="4"/>
      <c r="V44">
        <f ca="1">RANDBETWEEN(2,COUNTA(rua_cod!A:A))</f>
        <v>65</v>
      </c>
      <c r="W44">
        <f t="shared" ca="1" si="4"/>
        <v>1</v>
      </c>
      <c r="X44">
        <f t="shared" ca="1" si="5"/>
        <v>2</v>
      </c>
      <c r="Y44">
        <f t="shared" ca="1" si="6"/>
        <v>1983</v>
      </c>
      <c r="Z44">
        <f t="shared" ca="1" si="7"/>
        <v>7</v>
      </c>
      <c r="AA44">
        <f t="shared" ca="1" si="8"/>
        <v>15</v>
      </c>
      <c r="AB44">
        <f t="shared" ca="1" si="9"/>
        <v>37</v>
      </c>
    </row>
    <row r="45" spans="1:28" x14ac:dyDescent="0.25">
      <c r="A45">
        <v>44</v>
      </c>
      <c r="B45" t="str" cm="1">
        <f t="array" aca="1" ref="B45" ca="1">replaceChar(LOWER(LEFT(D45,3)&amp;RIGHT(I45,3))&amp;LEFT(H45,4))</f>
        <v>sarlos2779</v>
      </c>
      <c r="C45" t="str">
        <f t="shared" ca="1" si="0"/>
        <v>pswsarlos2779</v>
      </c>
      <c r="D45" t="str">
        <f ca="1">Nomes!T46</f>
        <v>Sara Leite Rodrigues</v>
      </c>
      <c r="E45" t="str">
        <f ca="1">Nomes!S46</f>
        <v>Feminino</v>
      </c>
      <c r="F45" s="2">
        <v>36293</v>
      </c>
      <c r="G45" t="str" cm="1">
        <f t="array" aca="1" ref="G45" ca="1">INDEX(rua_cod!$F:$F,RANDBETWEEN(2,COUNTA(rua_cod!F:F)))</f>
        <v>Rua da Junqueira</v>
      </c>
      <c r="H45" t="str" cm="1">
        <f t="array" aca="1" ref="H45" ca="1">INDEX(rua_cod!$A:$A,Users!V45) &amp; "-" &amp; TEXT(RANDBETWEEN(0,999),"000")</f>
        <v>2779-648</v>
      </c>
      <c r="I45" t="str" cm="1">
        <f t="array" aca="1" ref="I45" ca="1">INDEX(rua_cod!$B:$B,Users!V45)</f>
        <v>Carcavelos</v>
      </c>
      <c r="J45" t="s">
        <v>3727</v>
      </c>
      <c r="K45" t="s">
        <v>225</v>
      </c>
      <c r="L45" t="s">
        <v>265</v>
      </c>
      <c r="M45" t="str">
        <f t="shared" ca="1" si="1"/>
        <v>26547886</v>
      </c>
      <c r="N45" t="str">
        <f t="shared" ca="1" si="2"/>
        <v>228258097</v>
      </c>
      <c r="O45" t="str">
        <f t="shared" ca="1" si="2"/>
        <v>863269382</v>
      </c>
      <c r="P45" t="str" cm="1">
        <f t="array" aca="1" ref="P45" ca="1">9 &amp; INDEX($AF$3:$AF$6,W45)&amp; TEXT(RANDBETWEEN(0,9999999),"0000000")</f>
        <v>937495930</v>
      </c>
      <c r="Q45" t="str" cm="1">
        <f t="array" aca="1" ref="Q45" ca="1">LOWER(B45) &amp; INDEX($AF$9:$AF$11,X45)</f>
        <v>sarlos2779@gmail.com</v>
      </c>
      <c r="R45" t="str">
        <f t="shared" ca="1" si="3"/>
        <v>sarlos2779.jpg</v>
      </c>
      <c r="T45" s="4"/>
      <c r="V45">
        <f ca="1">RANDBETWEEN(2,COUNTA(rua_cod!A:A))</f>
        <v>21</v>
      </c>
      <c r="W45">
        <f t="shared" ca="1" si="4"/>
        <v>3</v>
      </c>
      <c r="X45">
        <f t="shared" ca="1" si="5"/>
        <v>2</v>
      </c>
      <c r="Y45">
        <f t="shared" ca="1" si="6"/>
        <v>1977</v>
      </c>
      <c r="Z45">
        <f t="shared" ca="1" si="7"/>
        <v>12</v>
      </c>
      <c r="AA45">
        <f t="shared" ca="1" si="8"/>
        <v>26</v>
      </c>
      <c r="AB45">
        <f t="shared" ca="1" si="9"/>
        <v>43</v>
      </c>
    </row>
    <row r="46" spans="1:28" x14ac:dyDescent="0.25">
      <c r="A46">
        <v>45</v>
      </c>
      <c r="B46" t="str" cm="1">
        <f t="array" aca="1" ref="B46" ca="1">replaceChar(LOWER(LEFT(D46,3)&amp;RIGHT(I46,3))&amp;LEFT(H46,4))</f>
        <v>sofboa1100</v>
      </c>
      <c r="C46" t="str">
        <f t="shared" ca="1" si="0"/>
        <v>pswsofboa1100</v>
      </c>
      <c r="D46" t="str">
        <f ca="1">Nomes!T47</f>
        <v>Sofia Costa Pinho</v>
      </c>
      <c r="E46" t="str">
        <f ca="1">Nomes!S47</f>
        <v>Feminino</v>
      </c>
      <c r="F46" s="2">
        <v>14532</v>
      </c>
      <c r="G46" t="str" cm="1">
        <f t="array" aca="1" ref="G46" ca="1">INDEX(rua_cod!$F:$F,RANDBETWEEN(2,COUNTA(rua_cod!F:F)))</f>
        <v>Rua da Oliveira ao Carmo</v>
      </c>
      <c r="H46" t="str" cm="1">
        <f t="array" aca="1" ref="H46" ca="1">INDEX(rua_cod!$A:$A,Users!V46) &amp; "-" &amp; TEXT(RANDBETWEEN(0,999),"000")</f>
        <v>1100-512</v>
      </c>
      <c r="I46" t="str" cm="1">
        <f t="array" aca="1" ref="I46" ca="1">INDEX(rua_cod!$B:$B,Users!V46)</f>
        <v>Lisboa</v>
      </c>
      <c r="J46" t="s">
        <v>3727</v>
      </c>
      <c r="K46" t="s">
        <v>225</v>
      </c>
      <c r="L46" t="s">
        <v>265</v>
      </c>
      <c r="M46" t="str">
        <f t="shared" ca="1" si="1"/>
        <v>26182148</v>
      </c>
      <c r="N46" t="str">
        <f t="shared" ca="1" si="2"/>
        <v>741169171</v>
      </c>
      <c r="O46" t="str">
        <f t="shared" ca="1" si="2"/>
        <v>499743942</v>
      </c>
      <c r="P46" t="str" cm="1">
        <f t="array" aca="1" ref="P46" ca="1">9 &amp; INDEX($AF$3:$AF$6,W46)&amp; TEXT(RANDBETWEEN(0,9999999),"0000000")</f>
        <v>928271740</v>
      </c>
      <c r="Q46" t="str" cm="1">
        <f t="array" aca="1" ref="Q46" ca="1">LOWER(B46) &amp; INDEX($AF$9:$AF$11,X46)</f>
        <v>sofboa1100@sapo.pt</v>
      </c>
      <c r="R46" t="str">
        <f t="shared" ca="1" si="3"/>
        <v>sofboa1100.jpg</v>
      </c>
      <c r="T46" s="4"/>
      <c r="V46">
        <f ca="1">RANDBETWEEN(2,COUNTA(rua_cod!A:A))</f>
        <v>46</v>
      </c>
      <c r="W46">
        <f t="shared" ca="1" si="4"/>
        <v>2</v>
      </c>
      <c r="X46">
        <f t="shared" ca="1" si="5"/>
        <v>3</v>
      </c>
      <c r="Y46">
        <f t="shared" ca="1" si="6"/>
        <v>1980</v>
      </c>
      <c r="Z46">
        <f t="shared" ca="1" si="7"/>
        <v>4</v>
      </c>
      <c r="AA46">
        <f t="shared" ca="1" si="8"/>
        <v>24</v>
      </c>
      <c r="AB46">
        <f t="shared" ca="1" si="9"/>
        <v>40</v>
      </c>
    </row>
    <row r="47" spans="1:28" x14ac:dyDescent="0.25">
      <c r="A47">
        <v>46</v>
      </c>
      <c r="B47" t="str" cm="1">
        <f t="array" aca="1" ref="B47" ca="1">replaceChar(LOWER(LEFT(D47,3)&amp;RIGHT(I47,3))&amp;LEFT(H47,4))</f>
        <v>lauboa1549</v>
      </c>
      <c r="C47" t="str">
        <f t="shared" ca="1" si="0"/>
        <v>pswlauboa1549</v>
      </c>
      <c r="D47" t="str">
        <f ca="1">Nomes!T48</f>
        <v>Laura Castro Assunção</v>
      </c>
      <c r="E47" t="str">
        <f ca="1">Nomes!S48</f>
        <v>Feminino</v>
      </c>
      <c r="F47" s="2">
        <v>41931</v>
      </c>
      <c r="G47" t="str" cm="1">
        <f t="array" aca="1" ref="G47" ca="1">INDEX(rua_cod!$F:$F,RANDBETWEEN(2,COUNTA(rua_cod!F:F)))</f>
        <v>Calçada do Moinho de Vento</v>
      </c>
      <c r="H47" t="str" cm="1">
        <f t="array" aca="1" ref="H47" ca="1">INDEX(rua_cod!$A:$A,Users!V47) &amp; "-" &amp; TEXT(RANDBETWEEN(0,999),"000")</f>
        <v>1549-156</v>
      </c>
      <c r="I47" t="str" cm="1">
        <f t="array" aca="1" ref="I47" ca="1">INDEX(rua_cod!$B:$B,Users!V47)</f>
        <v>Lisboa</v>
      </c>
      <c r="J47" t="s">
        <v>3727</v>
      </c>
      <c r="K47" t="s">
        <v>225</v>
      </c>
      <c r="L47" t="s">
        <v>265</v>
      </c>
      <c r="M47" t="str">
        <f t="shared" ca="1" si="1"/>
        <v>49752446</v>
      </c>
      <c r="N47" t="str">
        <f t="shared" ca="1" si="2"/>
        <v>338378349</v>
      </c>
      <c r="O47" t="str">
        <f t="shared" ca="1" si="2"/>
        <v>606751503</v>
      </c>
      <c r="P47" t="str" cm="1">
        <f t="array" aca="1" ref="P47" ca="1">9 &amp; INDEX($AF$3:$AF$6,W47)&amp; TEXT(RANDBETWEEN(0,9999999),"0000000")</f>
        <v>925141525</v>
      </c>
      <c r="Q47" t="str" cm="1">
        <f t="array" aca="1" ref="Q47" ca="1">LOWER(B47) &amp; INDEX($AF$9:$AF$11,X47)</f>
        <v>lauboa1549@gmail.com</v>
      </c>
      <c r="R47" t="str">
        <f t="shared" ca="1" si="3"/>
        <v>lauboa1549.jpg</v>
      </c>
      <c r="T47" s="4"/>
      <c r="V47">
        <f ca="1">RANDBETWEEN(2,COUNTA(rua_cod!A:A))</f>
        <v>69</v>
      </c>
      <c r="W47">
        <f t="shared" ca="1" si="4"/>
        <v>2</v>
      </c>
      <c r="X47">
        <f t="shared" ca="1" si="5"/>
        <v>2</v>
      </c>
      <c r="Y47">
        <f t="shared" ca="1" si="6"/>
        <v>1993</v>
      </c>
      <c r="Z47">
        <f t="shared" ca="1" si="7"/>
        <v>6</v>
      </c>
      <c r="AA47">
        <f t="shared" ca="1" si="8"/>
        <v>22</v>
      </c>
      <c r="AB47">
        <f t="shared" ca="1" si="9"/>
        <v>27</v>
      </c>
    </row>
    <row r="48" spans="1:28" x14ac:dyDescent="0.25">
      <c r="A48">
        <v>47</v>
      </c>
      <c r="B48" t="str" cm="1">
        <f t="array" aca="1" ref="B48" ca="1">replaceChar(LOWER(LEFT(D48,3)&amp;RIGHT(I48,3))&amp;LEFT(H48,4))</f>
        <v>carrem2004</v>
      </c>
      <c r="C48" t="str">
        <f t="shared" ca="1" si="0"/>
        <v>pswcarrem2004</v>
      </c>
      <c r="D48" t="str">
        <f ca="1">Nomes!T49</f>
        <v>Carolina Castro Magalhães</v>
      </c>
      <c r="E48" t="str">
        <f ca="1">Nomes!S49</f>
        <v>Feminino</v>
      </c>
      <c r="F48" s="2">
        <v>42843</v>
      </c>
      <c r="G48" t="str" cm="1">
        <f t="array" aca="1" ref="G48" ca="1">INDEX(rua_cod!$F:$F,RANDBETWEEN(2,COUNTA(rua_cod!F:F)))</f>
        <v>Rua da Madalena</v>
      </c>
      <c r="H48" t="str" cm="1">
        <f t="array" aca="1" ref="H48" ca="1">INDEX(rua_cod!$A:$A,Users!V48) &amp; "-" &amp; TEXT(RANDBETWEEN(0,999),"000")</f>
        <v>2004-567</v>
      </c>
      <c r="I48" t="str" cm="1">
        <f t="array" aca="1" ref="I48" ca="1">INDEX(rua_cod!$B:$B,Users!V48)</f>
        <v>Santarém</v>
      </c>
      <c r="J48" t="s">
        <v>3727</v>
      </c>
      <c r="K48" t="s">
        <v>225</v>
      </c>
      <c r="L48" t="s">
        <v>265</v>
      </c>
      <c r="M48" t="str">
        <f t="shared" ca="1" si="1"/>
        <v>63807188</v>
      </c>
      <c r="N48" t="str">
        <f t="shared" ca="1" si="2"/>
        <v>942058976</v>
      </c>
      <c r="O48" t="str">
        <f t="shared" ca="1" si="2"/>
        <v>237049324</v>
      </c>
      <c r="P48" t="str" cm="1">
        <f t="array" aca="1" ref="P48" ca="1">9 &amp; INDEX($AF$3:$AF$6,W48)&amp; TEXT(RANDBETWEEN(0,9999999),"0000000")</f>
        <v>962363484</v>
      </c>
      <c r="Q48" t="str" cm="1">
        <f t="array" aca="1" ref="Q48" ca="1">LOWER(B48) &amp; INDEX($AF$9:$AF$11,X48)</f>
        <v>carrem2004@outlook.com</v>
      </c>
      <c r="R48" t="str">
        <f t="shared" ca="1" si="3"/>
        <v>carrem2004.jpg</v>
      </c>
      <c r="T48" s="4"/>
      <c r="V48">
        <f ca="1">RANDBETWEEN(2,COUNTA(rua_cod!A:A))</f>
        <v>94</v>
      </c>
      <c r="W48">
        <f t="shared" ca="1" si="4"/>
        <v>4</v>
      </c>
      <c r="X48">
        <f t="shared" ca="1" si="5"/>
        <v>1</v>
      </c>
      <c r="Y48">
        <f t="shared" ca="1" si="6"/>
        <v>1979</v>
      </c>
      <c r="Z48">
        <f t="shared" ca="1" si="7"/>
        <v>8</v>
      </c>
      <c r="AA48">
        <f t="shared" ca="1" si="8"/>
        <v>29</v>
      </c>
      <c r="AB48">
        <f t="shared" ca="1" si="9"/>
        <v>41</v>
      </c>
    </row>
    <row r="49" spans="1:28" x14ac:dyDescent="0.25">
      <c r="A49">
        <v>48</v>
      </c>
      <c r="B49" t="str" cm="1">
        <f t="array" aca="1" ref="B49" ca="1">replaceChar(LOWER(LEFT(D49,3)&amp;RIGHT(I49,3))&amp;LEFT(H49,4))</f>
        <v>larada2814</v>
      </c>
      <c r="C49" t="str">
        <f t="shared" ca="1" si="0"/>
        <v>pswlarada2814</v>
      </c>
      <c r="D49" t="str">
        <f ca="1">Nomes!T50</f>
        <v>Lara Batista Alves</v>
      </c>
      <c r="E49" t="str">
        <f ca="1">Nomes!S50</f>
        <v>Feminino</v>
      </c>
      <c r="F49" s="2">
        <v>25752</v>
      </c>
      <c r="G49" t="str" cm="1">
        <f t="array" aca="1" ref="G49" ca="1">INDEX(rua_cod!$F:$F,RANDBETWEEN(2,COUNTA(rua_cod!F:F)))</f>
        <v>Rua de São Bento</v>
      </c>
      <c r="H49" t="str" cm="1">
        <f t="array" aca="1" ref="H49" ca="1">INDEX(rua_cod!$A:$A,Users!V49) &amp; "-" &amp; TEXT(RANDBETWEEN(0,999),"000")</f>
        <v>2814-373</v>
      </c>
      <c r="I49" t="str" cm="1">
        <f t="array" aca="1" ref="I49" ca="1">INDEX(rua_cod!$B:$B,Users!V49)</f>
        <v>Almada</v>
      </c>
      <c r="J49" t="s">
        <v>3727</v>
      </c>
      <c r="K49" t="s">
        <v>225</v>
      </c>
      <c r="L49" t="s">
        <v>265</v>
      </c>
      <c r="M49" t="str">
        <f t="shared" ca="1" si="1"/>
        <v>18796095</v>
      </c>
      <c r="N49" t="str">
        <f t="shared" ca="1" si="2"/>
        <v>557846490</v>
      </c>
      <c r="O49" t="str">
        <f t="shared" ca="1" si="2"/>
        <v>435486792</v>
      </c>
      <c r="P49" t="str" cm="1">
        <f t="array" aca="1" ref="P49" ca="1">9 &amp; INDEX($AF$3:$AF$6,W49)&amp; TEXT(RANDBETWEEN(0,9999999),"0000000")</f>
        <v>963063925</v>
      </c>
      <c r="Q49" t="str" cm="1">
        <f t="array" aca="1" ref="Q49" ca="1">LOWER(B49) &amp; INDEX($AF$9:$AF$11,X49)</f>
        <v>larada2814@outlook.com</v>
      </c>
      <c r="R49" t="str">
        <f t="shared" ca="1" si="3"/>
        <v>larada2814.jpg</v>
      </c>
      <c r="T49" s="4"/>
      <c r="V49">
        <f ca="1">RANDBETWEEN(2,COUNTA(rua_cod!A:A))</f>
        <v>6</v>
      </c>
      <c r="W49">
        <f t="shared" ca="1" si="4"/>
        <v>4</v>
      </c>
      <c r="X49">
        <f t="shared" ca="1" si="5"/>
        <v>1</v>
      </c>
      <c r="Y49">
        <f t="shared" ca="1" si="6"/>
        <v>2008</v>
      </c>
      <c r="Z49">
        <f t="shared" ca="1" si="7"/>
        <v>2</v>
      </c>
      <c r="AA49">
        <f t="shared" ca="1" si="8"/>
        <v>4</v>
      </c>
      <c r="AB49">
        <f t="shared" ca="1" si="9"/>
        <v>12</v>
      </c>
    </row>
    <row r="50" spans="1:28" x14ac:dyDescent="0.25">
      <c r="A50">
        <v>49</v>
      </c>
      <c r="B50" t="str" cm="1">
        <f t="array" aca="1" ref="B50" ca="1">replaceChar(LOWER(LEFT(D50,3)&amp;RIGHT(I50,3))&amp;LEFT(H50,4))</f>
        <v>franto2330</v>
      </c>
      <c r="C50" t="str">
        <f t="shared" ca="1" si="0"/>
        <v>pswfranto2330</v>
      </c>
      <c r="D50" t="str">
        <f ca="1">Nomes!T51</f>
        <v>Francisco Batista Leal</v>
      </c>
      <c r="E50" t="str">
        <f ca="1">Nomes!S51</f>
        <v>Masculino</v>
      </c>
      <c r="F50" s="2">
        <v>23798</v>
      </c>
      <c r="G50" t="str" cm="1">
        <f t="array" aca="1" ref="G50" ca="1">INDEX(rua_cod!$F:$F,RANDBETWEEN(2,COUNTA(rua_cod!F:F)))</f>
        <v>Rua da Betesga</v>
      </c>
      <c r="H50" t="str" cm="1">
        <f t="array" aca="1" ref="H50" ca="1">INDEX(rua_cod!$A:$A,Users!V50) &amp; "-" &amp; TEXT(RANDBETWEEN(0,999),"000")</f>
        <v>2330-407</v>
      </c>
      <c r="I50" t="str" cm="1">
        <f t="array" aca="1" ref="I50" ca="1">INDEX(rua_cod!$B:$B,Users!V50)</f>
        <v>Entroncamento</v>
      </c>
      <c r="J50" t="s">
        <v>3727</v>
      </c>
      <c r="K50" t="s">
        <v>225</v>
      </c>
      <c r="L50" t="s">
        <v>265</v>
      </c>
      <c r="M50" t="str">
        <f t="shared" ca="1" si="1"/>
        <v>96670037</v>
      </c>
      <c r="N50" t="str">
        <f t="shared" ca="1" si="2"/>
        <v>967234856</v>
      </c>
      <c r="O50" t="str">
        <f t="shared" ca="1" si="2"/>
        <v>102009600</v>
      </c>
      <c r="P50" t="str" cm="1">
        <f t="array" aca="1" ref="P50" ca="1">9 &amp; INDEX($AF$3:$AF$6,W50)&amp; TEXT(RANDBETWEEN(0,9999999),"0000000")</f>
        <v>925328473</v>
      </c>
      <c r="Q50" t="str" cm="1">
        <f t="array" aca="1" ref="Q50" ca="1">LOWER(B50) &amp; INDEX($AF$9:$AF$11,X50)</f>
        <v>franto2330@sapo.pt</v>
      </c>
      <c r="R50" t="str">
        <f t="shared" ca="1" si="3"/>
        <v>franto2330.jpg</v>
      </c>
      <c r="T50" s="4"/>
      <c r="V50">
        <f ca="1">RANDBETWEEN(2,COUNTA(rua_cod!A:A))</f>
        <v>29</v>
      </c>
      <c r="W50">
        <f t="shared" ca="1" si="4"/>
        <v>2</v>
      </c>
      <c r="X50">
        <f t="shared" ca="1" si="5"/>
        <v>3</v>
      </c>
      <c r="Y50">
        <f t="shared" ca="1" si="6"/>
        <v>1984</v>
      </c>
      <c r="Z50">
        <f t="shared" ca="1" si="7"/>
        <v>2</v>
      </c>
      <c r="AA50">
        <f t="shared" ca="1" si="8"/>
        <v>25</v>
      </c>
      <c r="AB50">
        <f t="shared" ca="1" si="9"/>
        <v>36</v>
      </c>
    </row>
    <row r="51" spans="1:28" x14ac:dyDescent="0.25">
      <c r="A51">
        <v>50</v>
      </c>
      <c r="B51" t="str" cm="1">
        <f t="array" aca="1" ref="B51" ca="1">replaceChar(LOWER(LEFT(D51,3)&amp;RIGHT(I51,3))&amp;LEFT(H51,4))</f>
        <v>dioide2790</v>
      </c>
      <c r="C51" t="str">
        <f t="shared" ca="1" si="0"/>
        <v>pswdioide2790</v>
      </c>
      <c r="D51" t="str">
        <f ca="1">Nomes!T52</f>
        <v>Diogo Duarte Henriques Lima</v>
      </c>
      <c r="E51" t="str">
        <f ca="1">Nomes!S52</f>
        <v>Masculino</v>
      </c>
      <c r="F51" s="2">
        <v>10175</v>
      </c>
      <c r="G51" t="str" cm="1">
        <f t="array" aca="1" ref="G51" ca="1">INDEX(rua_cod!$F:$F,RANDBETWEEN(2,COUNTA(rua_cod!F:F)))</f>
        <v>Calçada Marquês de Abrantes</v>
      </c>
      <c r="H51" t="str" cm="1">
        <f t="array" aca="1" ref="H51" ca="1">INDEX(rua_cod!$A:$A,Users!V51) &amp; "-" &amp; TEXT(RANDBETWEEN(0,999),"000")</f>
        <v>2790-335</v>
      </c>
      <c r="I51" t="str" cm="1">
        <f t="array" aca="1" ref="I51" ca="1">INDEX(rua_cod!$B:$B,Users!V51)</f>
        <v>Carnaxide</v>
      </c>
      <c r="J51" t="s">
        <v>3727</v>
      </c>
      <c r="K51" t="s">
        <v>225</v>
      </c>
      <c r="L51" t="s">
        <v>265</v>
      </c>
      <c r="M51" t="str">
        <f t="shared" ca="1" si="1"/>
        <v>40544853</v>
      </c>
      <c r="N51" t="str">
        <f t="shared" ca="1" si="2"/>
        <v>797125632</v>
      </c>
      <c r="O51" t="str">
        <f t="shared" ca="1" si="2"/>
        <v>568925060</v>
      </c>
      <c r="P51" t="str" cm="1">
        <f t="array" aca="1" ref="P51" ca="1">9 &amp; INDEX($AF$3:$AF$6,W51)&amp; TEXT(RANDBETWEEN(0,9999999),"0000000")</f>
        <v>924428157</v>
      </c>
      <c r="Q51" t="str" cm="1">
        <f t="array" aca="1" ref="Q51" ca="1">LOWER(B51) &amp; INDEX($AF$9:$AF$11,X51)</f>
        <v>dioide2790@outlook.com</v>
      </c>
      <c r="R51" t="str">
        <f t="shared" ca="1" si="3"/>
        <v>dioide2790.jpg</v>
      </c>
      <c r="T51" s="4"/>
      <c r="V51">
        <f ca="1">RANDBETWEEN(2,COUNTA(rua_cod!A:A))</f>
        <v>22</v>
      </c>
      <c r="W51">
        <f t="shared" ca="1" si="4"/>
        <v>2</v>
      </c>
      <c r="X51">
        <f t="shared" ca="1" si="5"/>
        <v>1</v>
      </c>
      <c r="Y51">
        <f t="shared" ca="1" si="6"/>
        <v>1980</v>
      </c>
      <c r="Z51">
        <f t="shared" ca="1" si="7"/>
        <v>3</v>
      </c>
      <c r="AA51">
        <f t="shared" ca="1" si="8"/>
        <v>22</v>
      </c>
      <c r="AB51">
        <f t="shared" ca="1" si="9"/>
        <v>40</v>
      </c>
    </row>
    <row r="52" spans="1:28" x14ac:dyDescent="0.25">
      <c r="A52">
        <v>51</v>
      </c>
      <c r="B52" t="str" cm="1">
        <f t="array" aca="1" ref="B52" ca="1">replaceChar(LOWER(LEFT(D52,3)&amp;RIGHT(I52,3))&amp;LEFT(H52,4))</f>
        <v>josboa1999</v>
      </c>
      <c r="C52" t="str">
        <f t="shared" ca="1" si="0"/>
        <v>pswjosboa1999</v>
      </c>
      <c r="D52" t="str">
        <f ca="1">Nomes!T53</f>
        <v>José Francisca Carneiro Monteiro</v>
      </c>
      <c r="E52" t="str">
        <f ca="1">Nomes!S53</f>
        <v>Masculino</v>
      </c>
      <c r="F52" s="2">
        <v>16409</v>
      </c>
      <c r="G52" t="str" cm="1">
        <f t="array" aca="1" ref="G52" ca="1">INDEX(rua_cod!$F:$F,RANDBETWEEN(2,COUNTA(rua_cod!F:F)))</f>
        <v>Rua dos Heróis de Quionga</v>
      </c>
      <c r="H52" t="str" cm="1">
        <f t="array" aca="1" ref="H52" ca="1">INDEX(rua_cod!$A:$A,Users!V52) &amp; "-" &amp; TEXT(RANDBETWEEN(0,999),"000")</f>
        <v>1999-203</v>
      </c>
      <c r="I52" t="str" cm="1">
        <f t="array" aca="1" ref="I52" ca="1">INDEX(rua_cod!$B:$B,Users!V52)</f>
        <v>Lisboa</v>
      </c>
      <c r="J52" t="s">
        <v>3727</v>
      </c>
      <c r="K52" t="s">
        <v>225</v>
      </c>
      <c r="L52" t="s">
        <v>265</v>
      </c>
      <c r="M52" t="str">
        <f t="shared" ca="1" si="1"/>
        <v>96569744</v>
      </c>
      <c r="N52" t="str">
        <f t="shared" ca="1" si="2"/>
        <v>766807197</v>
      </c>
      <c r="O52" t="str">
        <f t="shared" ca="1" si="2"/>
        <v>249223101</v>
      </c>
      <c r="P52" t="str" cm="1">
        <f t="array" aca="1" ref="P52" ca="1">9 &amp; INDEX($AF$3:$AF$6,W52)&amp; TEXT(RANDBETWEEN(0,9999999),"0000000")</f>
        <v>927534086</v>
      </c>
      <c r="Q52" t="str" cm="1">
        <f t="array" aca="1" ref="Q52" ca="1">LOWER(B52) &amp; INDEX($AF$9:$AF$11,X52)</f>
        <v>josboa1999@outlook.com</v>
      </c>
      <c r="R52" t="str">
        <f t="shared" ca="1" si="3"/>
        <v>josboa1999.jpg</v>
      </c>
      <c r="T52" s="4"/>
      <c r="V52">
        <f ca="1">RANDBETWEEN(2,COUNTA(rua_cod!A:A))</f>
        <v>79</v>
      </c>
      <c r="W52">
        <f t="shared" ca="1" si="4"/>
        <v>2</v>
      </c>
      <c r="X52">
        <f t="shared" ca="1" si="5"/>
        <v>1</v>
      </c>
      <c r="Y52">
        <f t="shared" ca="1" si="6"/>
        <v>1951</v>
      </c>
      <c r="Z52">
        <f t="shared" ca="1" si="7"/>
        <v>10</v>
      </c>
      <c r="AA52">
        <f t="shared" ca="1" si="8"/>
        <v>17</v>
      </c>
      <c r="AB52">
        <f t="shared" ca="1" si="9"/>
        <v>69</v>
      </c>
    </row>
    <row r="53" spans="1:28" x14ac:dyDescent="0.25">
      <c r="A53">
        <v>52</v>
      </c>
      <c r="B53" t="str" cm="1">
        <f t="array" aca="1" ref="B53" ca="1">replaceChar(LOWER(LEFT(D53,3)&amp;RIGHT(I53,3))&amp;LEFT(H53,4))</f>
        <v>sofria2415</v>
      </c>
      <c r="C53" t="str">
        <f t="shared" ca="1" si="0"/>
        <v>pswsofria2415</v>
      </c>
      <c r="D53" t="str">
        <f ca="1">Nomes!T54</f>
        <v>Sofia Marco Figueiredo Costa</v>
      </c>
      <c r="E53" t="str">
        <f ca="1">Nomes!S54</f>
        <v>Feminino</v>
      </c>
      <c r="F53" s="2">
        <v>44012</v>
      </c>
      <c r="G53" t="str" cm="1">
        <f t="array" aca="1" ref="G53" ca="1">INDEX(rua_cod!$F:$F,RANDBETWEEN(2,COUNTA(rua_cod!F:F)))</f>
        <v>Rua Ferreira Lapa</v>
      </c>
      <c r="H53" t="str" cm="1">
        <f t="array" aca="1" ref="H53" ca="1">INDEX(rua_cod!$A:$A,Users!V53) &amp; "-" &amp; TEXT(RANDBETWEEN(0,999),"000")</f>
        <v>2415-765</v>
      </c>
      <c r="I53" t="str" cm="1">
        <f t="array" aca="1" ref="I53" ca="1">INDEX(rua_cod!$B:$B,Users!V53)</f>
        <v>Leiria</v>
      </c>
      <c r="J53" t="s">
        <v>3727</v>
      </c>
      <c r="K53" t="s">
        <v>225</v>
      </c>
      <c r="L53" t="s">
        <v>265</v>
      </c>
      <c r="M53" t="str">
        <f t="shared" ca="1" si="1"/>
        <v>30485300</v>
      </c>
      <c r="N53" t="str">
        <f t="shared" ca="1" si="2"/>
        <v>870631779</v>
      </c>
      <c r="O53" t="str">
        <f t="shared" ca="1" si="2"/>
        <v>650830288</v>
      </c>
      <c r="P53" t="str" cm="1">
        <f t="array" aca="1" ref="P53" ca="1">9 &amp; INDEX($AF$3:$AF$6,W53)&amp; TEXT(RANDBETWEEN(0,9999999),"0000000")</f>
        <v>915114656</v>
      </c>
      <c r="Q53" t="str" cm="1">
        <f t="array" aca="1" ref="Q53" ca="1">LOWER(B53) &amp; INDEX($AF$9:$AF$11,X53)</f>
        <v>sofria2415@sapo.pt</v>
      </c>
      <c r="R53" t="str">
        <f t="shared" ca="1" si="3"/>
        <v>sofria2415.jpg</v>
      </c>
      <c r="T53" s="4"/>
      <c r="V53">
        <f ca="1">RANDBETWEEN(2,COUNTA(rua_cod!A:A))</f>
        <v>35</v>
      </c>
      <c r="W53">
        <f t="shared" ca="1" si="4"/>
        <v>1</v>
      </c>
      <c r="X53">
        <f t="shared" ca="1" si="5"/>
        <v>3</v>
      </c>
      <c r="Y53">
        <f t="shared" ca="1" si="6"/>
        <v>1950</v>
      </c>
      <c r="Z53">
        <f t="shared" ca="1" si="7"/>
        <v>8</v>
      </c>
      <c r="AA53">
        <f t="shared" ca="1" si="8"/>
        <v>7</v>
      </c>
      <c r="AB53">
        <f t="shared" ca="1" si="9"/>
        <v>70</v>
      </c>
    </row>
    <row r="54" spans="1:28" x14ac:dyDescent="0.25">
      <c r="A54">
        <v>53</v>
      </c>
      <c r="B54" t="str" cm="1">
        <f t="array" aca="1" ref="B54" ca="1">replaceChar(LOWER(LEFT(D54,3)&amp;RIGHT(I54,3))&amp;LEFT(H54,4))</f>
        <v>fraijo2870</v>
      </c>
      <c r="C54" t="str">
        <f t="shared" ca="1" si="0"/>
        <v>pswfraijo2870</v>
      </c>
      <c r="D54" t="str">
        <f ca="1">Nomes!T55</f>
        <v>Francisca Mariana Branco Cunha</v>
      </c>
      <c r="E54" t="str">
        <f ca="1">Nomes!S55</f>
        <v>Feminino</v>
      </c>
      <c r="F54" s="2">
        <v>21337</v>
      </c>
      <c r="G54" t="str" cm="1">
        <f t="array" aca="1" ref="G54" ca="1">INDEX(rua_cod!$F:$F,RANDBETWEEN(2,COUNTA(rua_cod!F:F)))</f>
        <v>Avenida Ressano Garcia</v>
      </c>
      <c r="H54" t="str" cm="1">
        <f t="array" aca="1" ref="H54" ca="1">INDEX(rua_cod!$A:$A,Users!V54) &amp; "-" &amp; TEXT(RANDBETWEEN(0,999),"000")</f>
        <v>2870-879</v>
      </c>
      <c r="I54" t="str" cm="1">
        <f t="array" aca="1" ref="I54" ca="1">INDEX(rua_cod!$B:$B,Users!V54)</f>
        <v>Montijo</v>
      </c>
      <c r="J54" t="s">
        <v>3727</v>
      </c>
      <c r="K54" t="s">
        <v>225</v>
      </c>
      <c r="L54" t="s">
        <v>265</v>
      </c>
      <c r="M54" t="str">
        <f t="shared" ca="1" si="1"/>
        <v>18125656</v>
      </c>
      <c r="N54" t="str">
        <f t="shared" ca="1" si="2"/>
        <v>763197673</v>
      </c>
      <c r="O54" t="str">
        <f t="shared" ca="1" si="2"/>
        <v>729381058</v>
      </c>
      <c r="P54" t="str" cm="1">
        <f t="array" aca="1" ref="P54" ca="1">9 &amp; INDEX($AF$3:$AF$6,W54)&amp; TEXT(RANDBETWEEN(0,9999999),"0000000")</f>
        <v>920680085</v>
      </c>
      <c r="Q54" t="str" cm="1">
        <f t="array" aca="1" ref="Q54" ca="1">LOWER(B54) &amp; INDEX($AF$9:$AF$11,X54)</f>
        <v>fraijo2870@outlook.com</v>
      </c>
      <c r="R54" t="str">
        <f t="shared" ca="1" si="3"/>
        <v>fraijo2870.jpg</v>
      </c>
      <c r="T54" s="4"/>
      <c r="V54">
        <f ca="1">RANDBETWEEN(2,COUNTA(rua_cod!A:A))</f>
        <v>87</v>
      </c>
      <c r="W54">
        <f t="shared" ca="1" si="4"/>
        <v>2</v>
      </c>
      <c r="X54">
        <f t="shared" ca="1" si="5"/>
        <v>1</v>
      </c>
      <c r="Y54">
        <f t="shared" ca="1" si="6"/>
        <v>1954</v>
      </c>
      <c r="Z54">
        <f t="shared" ca="1" si="7"/>
        <v>5</v>
      </c>
      <c r="AA54">
        <f t="shared" ca="1" si="8"/>
        <v>26</v>
      </c>
      <c r="AB54">
        <f t="shared" ca="1" si="9"/>
        <v>66</v>
      </c>
    </row>
    <row r="55" spans="1:28" x14ac:dyDescent="0.25">
      <c r="A55">
        <v>54</v>
      </c>
      <c r="B55" t="str" cm="1">
        <f t="array" aca="1" ref="B55" ca="1">replaceChar(LOWER(LEFT(D55,3)&amp;RIGHT(I55,3))&amp;LEFT(H55,4))</f>
        <v>fraada2809</v>
      </c>
      <c r="C55" t="str">
        <f t="shared" ca="1" si="0"/>
        <v>pswfraada2809</v>
      </c>
      <c r="D55" t="str">
        <f ca="1">Nomes!T56</f>
        <v>Francisca Joaquim Carneiro Sá</v>
      </c>
      <c r="E55" t="str">
        <f ca="1">Nomes!S56</f>
        <v>Feminino</v>
      </c>
      <c r="F55" s="2">
        <v>35631</v>
      </c>
      <c r="G55" t="str" cm="1">
        <f t="array" aca="1" ref="G55" ca="1">INDEX(rua_cod!$F:$F,RANDBETWEEN(2,COUNTA(rua_cod!F:F)))</f>
        <v>Rua dos Bacalhoeiros</v>
      </c>
      <c r="H55" t="str" cm="1">
        <f t="array" aca="1" ref="H55" ca="1">INDEX(rua_cod!$A:$A,Users!V55) &amp; "-" &amp; TEXT(RANDBETWEEN(0,999),"000")</f>
        <v>2809-667</v>
      </c>
      <c r="I55" t="str" cm="1">
        <f t="array" aca="1" ref="I55" ca="1">INDEX(rua_cod!$B:$B,Users!V55)</f>
        <v>Almada</v>
      </c>
      <c r="J55" t="s">
        <v>3727</v>
      </c>
      <c r="K55" t="s">
        <v>225</v>
      </c>
      <c r="L55" t="s">
        <v>265</v>
      </c>
      <c r="M55" t="str">
        <f t="shared" ca="1" si="1"/>
        <v>96867367</v>
      </c>
      <c r="N55" t="str">
        <f t="shared" ca="1" si="2"/>
        <v>612355475</v>
      </c>
      <c r="O55" t="str">
        <f t="shared" ca="1" si="2"/>
        <v>528914939</v>
      </c>
      <c r="P55" t="str" cm="1">
        <f t="array" aca="1" ref="P55" ca="1">9 &amp; INDEX($AF$3:$AF$6,W55)&amp; TEXT(RANDBETWEEN(0,9999999),"0000000")</f>
        <v>936286517</v>
      </c>
      <c r="Q55" t="str" cm="1">
        <f t="array" aca="1" ref="Q55" ca="1">LOWER(B55) &amp; INDEX($AF$9:$AF$11,X55)</f>
        <v>fraada2809@outlook.com</v>
      </c>
      <c r="R55" t="str">
        <f t="shared" ca="1" si="3"/>
        <v>fraada2809.jpg</v>
      </c>
      <c r="T55" s="4"/>
      <c r="V55">
        <f ca="1">RANDBETWEEN(2,COUNTA(rua_cod!A:A))</f>
        <v>5</v>
      </c>
      <c r="W55">
        <f t="shared" ca="1" si="4"/>
        <v>3</v>
      </c>
      <c r="X55">
        <f t="shared" ca="1" si="5"/>
        <v>1</v>
      </c>
      <c r="Y55">
        <f t="shared" ca="1" si="6"/>
        <v>1993</v>
      </c>
      <c r="Z55">
        <f t="shared" ca="1" si="7"/>
        <v>9</v>
      </c>
      <c r="AA55">
        <f t="shared" ca="1" si="8"/>
        <v>12</v>
      </c>
      <c r="AB55">
        <f t="shared" ca="1" si="9"/>
        <v>27</v>
      </c>
    </row>
    <row r="56" spans="1:28" x14ac:dyDescent="0.25">
      <c r="A56">
        <v>55</v>
      </c>
      <c r="B56" t="str" cm="1">
        <f t="array" aca="1" ref="B56" ca="1">replaceChar(LOWER(LEFT(D56,3)&amp;RIGHT(I56,3))&amp;LEFT(H56,4))</f>
        <v>tomboa1199</v>
      </c>
      <c r="C56" t="str">
        <f t="shared" ca="1" si="0"/>
        <v>pswtomboa1199</v>
      </c>
      <c r="D56" t="str">
        <f ca="1">Nomes!T57</f>
        <v>Tomás Santiago Pires Amorim</v>
      </c>
      <c r="E56" t="str">
        <f ca="1">Nomes!S57</f>
        <v>Masculino</v>
      </c>
      <c r="F56" s="2">
        <v>14541</v>
      </c>
      <c r="G56" t="str" cm="1">
        <f t="array" aca="1" ref="G56" ca="1">INDEX(rua_cod!$F:$F,RANDBETWEEN(2,COUNTA(rua_cod!F:F)))</f>
        <v>Rua dos Heróis de Quionga</v>
      </c>
      <c r="H56" t="str" cm="1">
        <f t="array" aca="1" ref="H56" ca="1">INDEX(rua_cod!$A:$A,Users!V56) &amp; "-" &amp; TEXT(RANDBETWEEN(0,999),"000")</f>
        <v>1199-390</v>
      </c>
      <c r="I56" t="str" cm="1">
        <f t="array" aca="1" ref="I56" ca="1">INDEX(rua_cod!$B:$B,Users!V56)</f>
        <v>Lisboa</v>
      </c>
      <c r="J56" t="s">
        <v>3727</v>
      </c>
      <c r="K56" t="s">
        <v>225</v>
      </c>
      <c r="L56" t="s">
        <v>265</v>
      </c>
      <c r="M56" t="str">
        <f t="shared" ca="1" si="1"/>
        <v>91145170</v>
      </c>
      <c r="N56" t="str">
        <f t="shared" ca="1" si="2"/>
        <v>246162487</v>
      </c>
      <c r="O56" t="str">
        <f t="shared" ca="1" si="2"/>
        <v>528722130</v>
      </c>
      <c r="P56" t="str" cm="1">
        <f t="array" aca="1" ref="P56" ca="1">9 &amp; INDEX($AF$3:$AF$6,W56)&amp; TEXT(RANDBETWEEN(0,9999999),"0000000")</f>
        <v>932706043</v>
      </c>
      <c r="Q56" t="str" cm="1">
        <f t="array" aca="1" ref="Q56" ca="1">LOWER(B56) &amp; INDEX($AF$9:$AF$11,X56)</f>
        <v>tomboa1199@outlook.com</v>
      </c>
      <c r="R56" t="str">
        <f t="shared" ca="1" si="3"/>
        <v>tomboa1199.jpg</v>
      </c>
      <c r="T56" s="4"/>
      <c r="V56">
        <f ca="1">RANDBETWEEN(2,COUNTA(rua_cod!A:A))</f>
        <v>65</v>
      </c>
      <c r="W56">
        <f t="shared" ca="1" si="4"/>
        <v>3</v>
      </c>
      <c r="X56">
        <f t="shared" ca="1" si="5"/>
        <v>1</v>
      </c>
      <c r="Y56">
        <f t="shared" ca="1" si="6"/>
        <v>2001</v>
      </c>
      <c r="Z56">
        <f t="shared" ca="1" si="7"/>
        <v>3</v>
      </c>
      <c r="AA56">
        <f t="shared" ca="1" si="8"/>
        <v>24</v>
      </c>
      <c r="AB56">
        <f t="shared" ca="1" si="9"/>
        <v>19</v>
      </c>
    </row>
    <row r="57" spans="1:28" x14ac:dyDescent="0.25">
      <c r="A57">
        <v>56</v>
      </c>
      <c r="B57" t="str" cm="1">
        <f t="array" aca="1" ref="B57" ca="1">replaceChar(LOWER(LEFT(D57,3)&amp;RIGHT(I57,3))&amp;LEFT(H57,4))</f>
        <v>marais2750</v>
      </c>
      <c r="C57" t="str">
        <f t="shared" ca="1" si="0"/>
        <v>pswmarais2750</v>
      </c>
      <c r="D57" t="str">
        <f ca="1">Nomes!T58</f>
        <v>Maria Afonso Branco Moura</v>
      </c>
      <c r="E57" t="str">
        <f ca="1">Nomes!S58</f>
        <v>Feminino</v>
      </c>
      <c r="F57" s="2">
        <v>10289</v>
      </c>
      <c r="G57" t="str" cm="1">
        <f t="array" aca="1" ref="G57" ca="1">INDEX(rua_cod!$F:$F,RANDBETWEEN(2,COUNTA(rua_cod!F:F)))</f>
        <v>Calçada do Moinho de Vento</v>
      </c>
      <c r="H57" t="str" cm="1">
        <f t="array" aca="1" ref="H57" ca="1">INDEX(rua_cod!$A:$A,Users!V57) &amp; "-" &amp; TEXT(RANDBETWEEN(0,999),"000")</f>
        <v>2750-517</v>
      </c>
      <c r="I57" t="str" cm="1">
        <f t="array" aca="1" ref="I57" ca="1">INDEX(rua_cod!$B:$B,Users!V57)</f>
        <v>Cascais</v>
      </c>
      <c r="J57" t="s">
        <v>3727</v>
      </c>
      <c r="K57" t="s">
        <v>225</v>
      </c>
      <c r="L57" t="s">
        <v>265</v>
      </c>
      <c r="M57" t="str">
        <f t="shared" ca="1" si="1"/>
        <v>25616666</v>
      </c>
      <c r="N57" t="str">
        <f t="shared" ca="1" si="2"/>
        <v>360496427</v>
      </c>
      <c r="O57" t="str">
        <f t="shared" ca="1" si="2"/>
        <v>584087352</v>
      </c>
      <c r="P57" t="str" cm="1">
        <f t="array" aca="1" ref="P57" ca="1">9 &amp; INDEX($AF$3:$AF$6,W57)&amp; TEXT(RANDBETWEEN(0,9999999),"0000000")</f>
        <v>928005132</v>
      </c>
      <c r="Q57" t="str" cm="1">
        <f t="array" aca="1" ref="Q57" ca="1">LOWER(B57) &amp; INDEX($AF$9:$AF$11,X57)</f>
        <v>marais2750@gmail.com</v>
      </c>
      <c r="R57" t="str">
        <f t="shared" ca="1" si="3"/>
        <v>marais2750.jpg</v>
      </c>
      <c r="T57" s="4"/>
      <c r="V57">
        <f ca="1">RANDBETWEEN(2,COUNTA(rua_cod!A:A))</f>
        <v>24</v>
      </c>
      <c r="W57">
        <f t="shared" ca="1" si="4"/>
        <v>2</v>
      </c>
      <c r="X57">
        <f t="shared" ca="1" si="5"/>
        <v>2</v>
      </c>
      <c r="Y57">
        <f t="shared" ca="1" si="6"/>
        <v>1959</v>
      </c>
      <c r="Z57">
        <f t="shared" ca="1" si="7"/>
        <v>2</v>
      </c>
      <c r="AA57">
        <f t="shared" ca="1" si="8"/>
        <v>29</v>
      </c>
      <c r="AB57">
        <f t="shared" ca="1" si="9"/>
        <v>61</v>
      </c>
    </row>
    <row r="58" spans="1:28" x14ac:dyDescent="0.25">
      <c r="A58">
        <v>57</v>
      </c>
      <c r="B58" t="str" cm="1">
        <f t="array" aca="1" ref="B58" ca="1">replaceChar(LOWER(LEFT(D58,3)&amp;RIGHT(I58,3))&amp;LEFT(H58,4))</f>
        <v>sofboa1098</v>
      </c>
      <c r="C58" t="str">
        <f t="shared" ca="1" si="0"/>
        <v>pswsofboa1098</v>
      </c>
      <c r="D58" t="str">
        <f ca="1">Nomes!T59</f>
        <v>Sofia Lara Gonçalves Mota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Estrada da Circunvalação de Lisboa</v>
      </c>
      <c r="H58" t="str" cm="1">
        <f t="array" aca="1" ref="H58" ca="1">INDEX(rua_cod!$A:$A,Users!V58) &amp; "-" &amp; TEXT(RANDBETWEEN(0,999),"000")</f>
        <v>1098-037</v>
      </c>
      <c r="I58" t="str" cm="1">
        <f t="array" aca="1" ref="I58" ca="1">INDEX(rua_cod!$B:$B,Users!V58)</f>
        <v>Lisboa</v>
      </c>
      <c r="J58" t="s">
        <v>3727</v>
      </c>
      <c r="K58" t="s">
        <v>225</v>
      </c>
      <c r="L58" t="s">
        <v>265</v>
      </c>
      <c r="M58" t="str">
        <f t="shared" ca="1" si="1"/>
        <v>14212263</v>
      </c>
      <c r="N58" t="str">
        <f t="shared" ca="1" si="2"/>
        <v>142426483</v>
      </c>
      <c r="O58" t="str">
        <f t="shared" ca="1" si="2"/>
        <v>541739246</v>
      </c>
      <c r="P58" t="str" cm="1">
        <f t="array" aca="1" ref="P58" ca="1">9 &amp; INDEX($AF$3:$AF$6,W58)&amp; TEXT(RANDBETWEEN(0,9999999),"0000000")</f>
        <v>913947620</v>
      </c>
      <c r="Q58" t="str" cm="1">
        <f t="array" aca="1" ref="Q58" ca="1">LOWER(B58) &amp; INDEX($AF$9:$AF$11,X58)</f>
        <v>sofboa1098@gmail.com</v>
      </c>
      <c r="R58" t="str">
        <f t="shared" ca="1" si="3"/>
        <v>sofboa1098.jpg</v>
      </c>
      <c r="T58" s="4"/>
      <c r="V58">
        <f ca="1">RANDBETWEEN(2,COUNTA(rua_cod!A:A))</f>
        <v>80</v>
      </c>
      <c r="W58">
        <f t="shared" ca="1" si="4"/>
        <v>1</v>
      </c>
      <c r="X58">
        <f t="shared" ca="1" si="5"/>
        <v>2</v>
      </c>
      <c r="Y58">
        <f t="shared" ca="1" si="6"/>
        <v>2007</v>
      </c>
      <c r="Z58">
        <f t="shared" ca="1" si="7"/>
        <v>10</v>
      </c>
      <c r="AA58">
        <f t="shared" ca="1" si="8"/>
        <v>19</v>
      </c>
      <c r="AB58">
        <f t="shared" ca="1" si="9"/>
        <v>13</v>
      </c>
    </row>
    <row r="59" spans="1:28" x14ac:dyDescent="0.25">
      <c r="A59">
        <v>58</v>
      </c>
      <c r="B59" t="str" cm="1">
        <f t="array" aca="1" ref="B59" ca="1">replaceChar(LOWER(LEFT(D59,3)&amp;RIGHT(I59,3))&amp;LEFT(H59,4))</f>
        <v>andrem2000</v>
      </c>
      <c r="C59" t="str">
        <f t="shared" ca="1" si="0"/>
        <v>pswandrem2000</v>
      </c>
      <c r="D59" t="str">
        <f ca="1">Nomes!T60</f>
        <v>André Beatriz Martins Reis</v>
      </c>
      <c r="E59" t="str">
        <f ca="1">Nomes!S60</f>
        <v>Masculino</v>
      </c>
      <c r="F59" s="2">
        <v>37531</v>
      </c>
      <c r="G59" t="str" cm="1">
        <f t="array" aca="1" ref="G59" ca="1">INDEX(rua_cod!$F:$F,RANDBETWEEN(2,COUNTA(rua_cod!F:F)))</f>
        <v>Rua dos Heróis de Quionga</v>
      </c>
      <c r="H59" t="str" cm="1">
        <f t="array" aca="1" ref="H59" ca="1">INDEX(rua_cod!$A:$A,Users!V59) &amp; "-" &amp; TEXT(RANDBETWEEN(0,999),"000")</f>
        <v>2000-350</v>
      </c>
      <c r="I59" t="str" cm="1">
        <f t="array" aca="1" ref="I59" ca="1">INDEX(rua_cod!$B:$B,Users!V59)</f>
        <v>Santarém</v>
      </c>
      <c r="J59" t="s">
        <v>3727</v>
      </c>
      <c r="K59" t="s">
        <v>225</v>
      </c>
      <c r="L59" t="s">
        <v>265</v>
      </c>
      <c r="M59" t="str">
        <f t="shared" ca="1" si="1"/>
        <v>81765568</v>
      </c>
      <c r="N59" t="str">
        <f t="shared" ca="1" si="2"/>
        <v>501459252</v>
      </c>
      <c r="O59" t="str">
        <f t="shared" ca="1" si="2"/>
        <v>564866329</v>
      </c>
      <c r="P59" t="str" cm="1">
        <f t="array" aca="1" ref="P59" ca="1">9 &amp; INDEX($AF$3:$AF$6,W59)&amp; TEXT(RANDBETWEEN(0,9999999),"0000000")</f>
        <v>925538286</v>
      </c>
      <c r="Q59" t="str" cm="1">
        <f t="array" aca="1" ref="Q59" ca="1">LOWER(B59) &amp; INDEX($AF$9:$AF$11,X59)</f>
        <v>andrem2000@outlook.com</v>
      </c>
      <c r="R59" t="str">
        <f t="shared" ca="1" si="3"/>
        <v>andrem2000.jpg</v>
      </c>
      <c r="T59" s="4"/>
      <c r="V59">
        <f ca="1">RANDBETWEEN(2,COUNTA(rua_cod!A:A))</f>
        <v>93</v>
      </c>
      <c r="W59">
        <f t="shared" ca="1" si="4"/>
        <v>2</v>
      </c>
      <c r="X59">
        <f t="shared" ca="1" si="5"/>
        <v>1</v>
      </c>
      <c r="Y59">
        <f t="shared" ca="1" si="6"/>
        <v>1994</v>
      </c>
      <c r="Z59">
        <f t="shared" ca="1" si="7"/>
        <v>7</v>
      </c>
      <c r="AA59">
        <f t="shared" ca="1" si="8"/>
        <v>11</v>
      </c>
      <c r="AB59">
        <f t="shared" ca="1" si="9"/>
        <v>26</v>
      </c>
    </row>
    <row r="60" spans="1:28" x14ac:dyDescent="0.25">
      <c r="A60">
        <v>59</v>
      </c>
      <c r="B60" t="str" cm="1">
        <f t="array" aca="1" ref="B60" ca="1">replaceChar(LOWER(LEFT(D60,3)&amp;RIGHT(I60,3))&amp;LEFT(H60,4))</f>
        <v>tomluz2745</v>
      </c>
      <c r="C60" t="str">
        <f t="shared" ca="1" si="0"/>
        <v>pswtomluz2745</v>
      </c>
      <c r="D60" t="str">
        <f ca="1">Nomes!T61</f>
        <v>Tomás Lara Jesus Pinho</v>
      </c>
      <c r="E60" t="str">
        <f ca="1">Nomes!S61</f>
        <v>Masculino</v>
      </c>
      <c r="F60" s="2">
        <v>43428</v>
      </c>
      <c r="G60" t="str" cm="1">
        <f t="array" aca="1" ref="G60" ca="1">INDEX(rua_cod!$F:$F,RANDBETWEEN(2,COUNTA(rua_cod!F:F)))</f>
        <v>Rua do Sacramento à Lapa</v>
      </c>
      <c r="H60" t="str" cm="1">
        <f t="array" aca="1" ref="H60" ca="1">INDEX(rua_cod!$A:$A,Users!V60) &amp; "-" &amp; TEXT(RANDBETWEEN(0,999),"000")</f>
        <v>2745-116</v>
      </c>
      <c r="I60" t="str" cm="1">
        <f t="array" aca="1" ref="I60" ca="1">INDEX(rua_cod!$B:$B,Users!V60)</f>
        <v>Queluz</v>
      </c>
      <c r="J60" t="s">
        <v>3727</v>
      </c>
      <c r="K60" t="s">
        <v>225</v>
      </c>
      <c r="L60" t="s">
        <v>265</v>
      </c>
      <c r="M60" t="str">
        <f t="shared" ca="1" si="1"/>
        <v>44552565</v>
      </c>
      <c r="N60" t="str">
        <f t="shared" ca="1" si="2"/>
        <v>876640001</v>
      </c>
      <c r="O60" t="str">
        <f t="shared" ca="1" si="2"/>
        <v>962303488</v>
      </c>
      <c r="P60" t="str" cm="1">
        <f t="array" aca="1" ref="P60" ca="1">9 &amp; INDEX($AF$3:$AF$6,W60)&amp; TEXT(RANDBETWEEN(0,9999999),"0000000")</f>
        <v>915213876</v>
      </c>
      <c r="Q60" t="str" cm="1">
        <f t="array" aca="1" ref="Q60" ca="1">LOWER(B60) &amp; INDEX($AF$9:$AF$11,X60)</f>
        <v>tomluz2745@outlook.com</v>
      </c>
      <c r="R60" t="str">
        <f t="shared" ca="1" si="3"/>
        <v>tomluz2745.jpg</v>
      </c>
      <c r="T60" s="4"/>
      <c r="V60">
        <f ca="1">RANDBETWEEN(2,COUNTA(rua_cod!A:A))</f>
        <v>90</v>
      </c>
      <c r="W60">
        <f t="shared" ca="1" si="4"/>
        <v>1</v>
      </c>
      <c r="X60">
        <f t="shared" ca="1" si="5"/>
        <v>1</v>
      </c>
      <c r="Y60">
        <f t="shared" ca="1" si="6"/>
        <v>1993</v>
      </c>
      <c r="Z60">
        <f t="shared" ca="1" si="7"/>
        <v>3</v>
      </c>
      <c r="AA60">
        <f t="shared" ca="1" si="8"/>
        <v>17</v>
      </c>
      <c r="AB60">
        <f t="shared" ca="1" si="9"/>
        <v>27</v>
      </c>
    </row>
    <row r="61" spans="1:28" x14ac:dyDescent="0.25">
      <c r="A61">
        <v>60</v>
      </c>
      <c r="B61" t="str" cm="1">
        <f t="array" aca="1" ref="B61" ca="1">replaceChar(LOWER(LEFT(D61,3)&amp;RIGHT(I61,3))&amp;LEFT(H61,4))</f>
        <v>andboa1998</v>
      </c>
      <c r="C61" t="str">
        <f t="shared" ca="1" si="0"/>
        <v>pswandboa1998</v>
      </c>
      <c r="D61" t="str">
        <f ca="1">Nomes!T62</f>
        <v>André Lara Sá Batista</v>
      </c>
      <c r="E61" t="str">
        <f ca="1">Nomes!S62</f>
        <v>Masculino</v>
      </c>
      <c r="F61" s="2">
        <v>27744</v>
      </c>
      <c r="G61" t="str" cm="1">
        <f t="array" aca="1" ref="G61" ca="1">INDEX(rua_cod!$F:$F,RANDBETWEEN(2,COUNTA(rua_cod!F:F)))</f>
        <v>Rua Júlio César Machado</v>
      </c>
      <c r="H61" t="str" cm="1">
        <f t="array" aca="1" ref="H61" ca="1">INDEX(rua_cod!$A:$A,Users!V61) &amp; "-" &amp; TEXT(RANDBETWEEN(0,999),"000")</f>
        <v>1998-919</v>
      </c>
      <c r="I61" t="str" cm="1">
        <f t="array" aca="1" ref="I61" ca="1">INDEX(rua_cod!$B:$B,Users!V61)</f>
        <v>Lisboa</v>
      </c>
      <c r="J61" t="s">
        <v>3727</v>
      </c>
      <c r="K61" t="s">
        <v>225</v>
      </c>
      <c r="L61" t="s">
        <v>265</v>
      </c>
      <c r="M61" t="str">
        <f t="shared" ca="1" si="1"/>
        <v>71623866</v>
      </c>
      <c r="N61" t="str">
        <f t="shared" ca="1" si="2"/>
        <v>456440405</v>
      </c>
      <c r="O61" t="str">
        <f t="shared" ca="1" si="2"/>
        <v>892414247</v>
      </c>
      <c r="P61" t="str" cm="1">
        <f t="array" aca="1" ref="P61" ca="1">9 &amp; INDEX($AF$3:$AF$6,W61)&amp; TEXT(RANDBETWEEN(0,9999999),"0000000")</f>
        <v>925343961</v>
      </c>
      <c r="Q61" t="str" cm="1">
        <f t="array" aca="1" ref="Q61" ca="1">LOWER(B61) &amp; INDEX($AF$9:$AF$11,X61)</f>
        <v>andboa1998@outlook.com</v>
      </c>
      <c r="R61" t="str">
        <f t="shared" ca="1" si="3"/>
        <v>andboa1998.jpg</v>
      </c>
      <c r="T61" s="4"/>
      <c r="V61">
        <f ca="1">RANDBETWEEN(2,COUNTA(rua_cod!A:A))</f>
        <v>78</v>
      </c>
      <c r="W61">
        <f t="shared" ca="1" si="4"/>
        <v>2</v>
      </c>
      <c r="X61">
        <f t="shared" ca="1" si="5"/>
        <v>1</v>
      </c>
      <c r="Y61">
        <f t="shared" ca="1" si="6"/>
        <v>1990</v>
      </c>
      <c r="Z61">
        <f t="shared" ca="1" si="7"/>
        <v>12</v>
      </c>
      <c r="AA61">
        <f t="shared" ca="1" si="8"/>
        <v>12</v>
      </c>
      <c r="AB61">
        <f t="shared" ca="1" si="9"/>
        <v>30</v>
      </c>
    </row>
    <row r="62" spans="1:28" x14ac:dyDescent="0.25">
      <c r="A62">
        <v>61</v>
      </c>
      <c r="B62" t="str" cm="1">
        <f t="array" aca="1" ref="B62" ca="1">replaceChar(LOWER(LEFT(D62,3)&amp;RIGHT(I62,3))&amp;LEFT(H62,4))</f>
        <v>sofais2750</v>
      </c>
      <c r="C62" t="str">
        <f t="shared" ca="1" si="0"/>
        <v>pswsofais2750</v>
      </c>
      <c r="D62" t="str">
        <f ca="1">Nomes!T63</f>
        <v>Sofia Ricardo Miranda Lourenço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Rua dos Bacalhoeiros</v>
      </c>
      <c r="H62" t="str" cm="1">
        <f t="array" aca="1" ref="H62" ca="1">INDEX(rua_cod!$A:$A,Users!V62) &amp; "-" &amp; TEXT(RANDBETWEEN(0,999),"000")</f>
        <v>2750-203</v>
      </c>
      <c r="I62" t="str" cm="1">
        <f t="array" aca="1" ref="I62" ca="1">INDEX(rua_cod!$B:$B,Users!V62)</f>
        <v>Cascais</v>
      </c>
      <c r="J62" t="s">
        <v>3727</v>
      </c>
      <c r="K62" t="s">
        <v>225</v>
      </c>
      <c r="L62" t="s">
        <v>265</v>
      </c>
      <c r="M62" t="str">
        <f t="shared" ca="1" si="1"/>
        <v>82490349</v>
      </c>
      <c r="N62" t="str">
        <f t="shared" ca="1" si="2"/>
        <v>664312334</v>
      </c>
      <c r="O62" t="str">
        <f t="shared" ca="1" si="2"/>
        <v>175666958</v>
      </c>
      <c r="P62" t="str" cm="1">
        <f t="array" aca="1" ref="P62" ca="1">9 &amp; INDEX($AF$3:$AF$6,W62)&amp; TEXT(RANDBETWEEN(0,9999999),"0000000")</f>
        <v>910180180</v>
      </c>
      <c r="Q62" t="str" cm="1">
        <f t="array" aca="1" ref="Q62" ca="1">LOWER(B62) &amp; INDEX($AF$9:$AF$11,X62)</f>
        <v>sofais2750@outlook.com</v>
      </c>
      <c r="R62" t="str">
        <f t="shared" ca="1" si="3"/>
        <v>sofais2750.jpg</v>
      </c>
      <c r="T62" s="4"/>
      <c r="V62">
        <f ca="1">RANDBETWEEN(2,COUNTA(rua_cod!A:A))</f>
        <v>24</v>
      </c>
      <c r="W62">
        <f t="shared" ca="1" si="4"/>
        <v>1</v>
      </c>
      <c r="X62">
        <f t="shared" ca="1" si="5"/>
        <v>1</v>
      </c>
      <c r="Y62">
        <f t="shared" ca="1" si="6"/>
        <v>1977</v>
      </c>
      <c r="Z62">
        <f t="shared" ca="1" si="7"/>
        <v>3</v>
      </c>
      <c r="AA62">
        <f t="shared" ca="1" si="8"/>
        <v>30</v>
      </c>
      <c r="AB62">
        <f t="shared" ca="1" si="9"/>
        <v>43</v>
      </c>
    </row>
    <row r="63" spans="1:28" x14ac:dyDescent="0.25">
      <c r="A63">
        <v>62</v>
      </c>
      <c r="B63" t="str" cm="1">
        <f t="array" aca="1" ref="B63" ca="1">replaceChar(LOWER(LEFT(D63,3)&amp;RIGHT(I63,3))&amp;LEFT(H63,4))</f>
        <v>afoide2794</v>
      </c>
      <c r="C63" t="str">
        <f t="shared" ca="1" si="0"/>
        <v>pswafoide2794</v>
      </c>
      <c r="D63" t="str">
        <f ca="1">Nomes!T64</f>
        <v>Afonso Vera Oliveira Antunes</v>
      </c>
      <c r="E63" t="str">
        <f ca="1">Nomes!S64</f>
        <v>Masculino</v>
      </c>
      <c r="F63" s="2">
        <v>30630</v>
      </c>
      <c r="G63" t="str" cm="1">
        <f t="array" aca="1" ref="G63" ca="1">INDEX(rua_cod!$F:$F,RANDBETWEEN(2,COUNTA(rua_cod!F:F)))</f>
        <v>Rua de São Mamede</v>
      </c>
      <c r="H63" t="str" cm="1">
        <f t="array" aca="1" ref="H63" ca="1">INDEX(rua_cod!$A:$A,Users!V63) &amp; "-" &amp; TEXT(RANDBETWEEN(0,999),"000")</f>
        <v>2794-432</v>
      </c>
      <c r="I63" t="str" cm="1">
        <f t="array" aca="1" ref="I63" ca="1">INDEX(rua_cod!$B:$B,Users!V63)</f>
        <v>Carnaxide</v>
      </c>
      <c r="J63" t="s">
        <v>3727</v>
      </c>
      <c r="K63" t="s">
        <v>225</v>
      </c>
      <c r="L63" t="s">
        <v>265</v>
      </c>
      <c r="M63" t="str">
        <f t="shared" ca="1" si="1"/>
        <v>44564992</v>
      </c>
      <c r="N63" t="str">
        <f t="shared" ca="1" si="2"/>
        <v>536737779</v>
      </c>
      <c r="O63" t="str">
        <f t="shared" ca="1" si="2"/>
        <v>249037656</v>
      </c>
      <c r="P63" t="str" cm="1">
        <f t="array" aca="1" ref="P63" ca="1">9 &amp; INDEX($AF$3:$AF$6,W63)&amp; TEXT(RANDBETWEEN(0,9999999),"0000000")</f>
        <v>913485179</v>
      </c>
      <c r="Q63" t="str" cm="1">
        <f t="array" aca="1" ref="Q63" ca="1">LOWER(B63) &amp; INDEX($AF$9:$AF$11,X63)</f>
        <v>afoide2794@sapo.pt</v>
      </c>
      <c r="R63" t="str">
        <f t="shared" ca="1" si="3"/>
        <v>afoide2794.jpg</v>
      </c>
      <c r="T63" s="4"/>
      <c r="V63">
        <f ca="1">RANDBETWEEN(2,COUNTA(rua_cod!A:A))</f>
        <v>23</v>
      </c>
      <c r="W63">
        <f t="shared" ca="1" si="4"/>
        <v>1</v>
      </c>
      <c r="X63">
        <f t="shared" ca="1" si="5"/>
        <v>3</v>
      </c>
      <c r="Y63">
        <f t="shared" ca="1" si="6"/>
        <v>2015</v>
      </c>
      <c r="Z63">
        <f t="shared" ca="1" si="7"/>
        <v>3</v>
      </c>
      <c r="AA63">
        <f t="shared" ca="1" si="8"/>
        <v>5</v>
      </c>
      <c r="AB63">
        <f t="shared" ca="1" si="9"/>
        <v>5</v>
      </c>
    </row>
    <row r="64" spans="1:28" x14ac:dyDescent="0.25">
      <c r="A64">
        <v>63</v>
      </c>
      <c r="B64" t="str" cm="1">
        <f t="array" aca="1" ref="B64" ca="1">replaceChar(LOWER(LEFT(D64,3)&amp;RIGHT(I64,3))&amp;LEFT(H64,4))</f>
        <v>marbal2910</v>
      </c>
      <c r="C64" t="str">
        <f t="shared" ca="1" si="0"/>
        <v>pswmarbal2910</v>
      </c>
      <c r="D64" t="str">
        <f ca="1">Nomes!T65</f>
        <v>Marco Joaquim Loureiro Batista</v>
      </c>
      <c r="E64" t="str">
        <f ca="1">Nomes!S65</f>
        <v>Masculino</v>
      </c>
      <c r="F64" s="2">
        <v>12753</v>
      </c>
      <c r="G64" t="str" cm="1">
        <f t="array" aca="1" ref="G64" ca="1">INDEX(rua_cod!$F:$F,RANDBETWEEN(2,COUNTA(rua_cod!F:F)))</f>
        <v>Rua de São Mamede</v>
      </c>
      <c r="H64" t="str" cm="1">
        <f t="array" aca="1" ref="H64" ca="1">INDEX(rua_cod!$A:$A,Users!V64) &amp; "-" &amp; TEXT(RANDBETWEEN(0,999),"000")</f>
        <v>2910-700</v>
      </c>
      <c r="I64" t="str" cm="1">
        <f t="array" aca="1" ref="I64" ca="1">INDEX(rua_cod!$B:$B,Users!V64)</f>
        <v>Setúbal</v>
      </c>
      <c r="J64" t="s">
        <v>3727</v>
      </c>
      <c r="K64" t="s">
        <v>225</v>
      </c>
      <c r="L64" t="s">
        <v>265</v>
      </c>
      <c r="M64" t="str">
        <f t="shared" ca="1" si="1"/>
        <v>68566050</v>
      </c>
      <c r="N64" t="str">
        <f t="shared" ca="1" si="2"/>
        <v>878254404</v>
      </c>
      <c r="O64" t="str">
        <f t="shared" ca="1" si="2"/>
        <v>840655716</v>
      </c>
      <c r="P64" t="str" cm="1">
        <f t="array" aca="1" ref="P64" ca="1">9 &amp; INDEX($AF$3:$AF$6,W64)&amp; TEXT(RANDBETWEEN(0,9999999),"0000000")</f>
        <v>935812185</v>
      </c>
      <c r="Q64" t="str" cm="1">
        <f t="array" aca="1" ref="Q64" ca="1">LOWER(B64) &amp; INDEX($AF$9:$AF$11,X64)</f>
        <v>marbal2910@outlook.com</v>
      </c>
      <c r="R64" t="str">
        <f t="shared" ca="1" si="3"/>
        <v>marbal2910.jpg</v>
      </c>
      <c r="T64" s="4"/>
      <c r="V64">
        <f ca="1">RANDBETWEEN(2,COUNTA(rua_cod!A:A))</f>
        <v>97</v>
      </c>
      <c r="W64">
        <f t="shared" ca="1" si="4"/>
        <v>3</v>
      </c>
      <c r="X64">
        <f t="shared" ca="1" si="5"/>
        <v>1</v>
      </c>
      <c r="Y64">
        <f t="shared" ca="1" si="6"/>
        <v>1988</v>
      </c>
      <c r="Z64">
        <f t="shared" ca="1" si="7"/>
        <v>12</v>
      </c>
      <c r="AA64">
        <f t="shared" ca="1" si="8"/>
        <v>3</v>
      </c>
      <c r="AB64">
        <f t="shared" ca="1" si="9"/>
        <v>32</v>
      </c>
    </row>
    <row r="65" spans="1:28" x14ac:dyDescent="0.25">
      <c r="A65">
        <v>64</v>
      </c>
      <c r="B65" t="str" cm="1">
        <f t="array" aca="1" ref="B65" ca="1">replaceChar(LOWER(LEFT(D65,3)&amp;RIGHT(I65,3))&amp;LEFT(H65,4))</f>
        <v>catria2420</v>
      </c>
      <c r="C65" t="str">
        <f t="shared" ca="1" si="0"/>
        <v>pswcatria2420</v>
      </c>
      <c r="D65" t="str">
        <f ca="1">Nomes!T66</f>
        <v>Catarina Diogo Rodrigues Guerreiro</v>
      </c>
      <c r="E65" t="str">
        <f ca="1">Nomes!S66</f>
        <v>Feminino</v>
      </c>
      <c r="F65" s="2">
        <v>13063</v>
      </c>
      <c r="G65" t="str" cm="1">
        <f t="array" aca="1" ref="G65" ca="1">INDEX(rua_cod!$F:$F,RANDBETWEEN(2,COUNTA(rua_cod!F:F)))</f>
        <v>Rua Augusta</v>
      </c>
      <c r="H65" t="str" cm="1">
        <f t="array" aca="1" ref="H65" ca="1">INDEX(rua_cod!$A:$A,Users!V65) &amp; "-" &amp; TEXT(RANDBETWEEN(0,999),"000")</f>
        <v>2420-295</v>
      </c>
      <c r="I65" t="str" cm="1">
        <f t="array" aca="1" ref="I65" ca="1">INDEX(rua_cod!$B:$B,Users!V65)</f>
        <v>Leiria</v>
      </c>
      <c r="J65" t="s">
        <v>3727</v>
      </c>
      <c r="K65" t="s">
        <v>225</v>
      </c>
      <c r="L65" t="s">
        <v>265</v>
      </c>
      <c r="M65" t="str">
        <f t="shared" ca="1" si="1"/>
        <v>86458510</v>
      </c>
      <c r="N65" t="str">
        <f t="shared" ca="1" si="2"/>
        <v>441664038</v>
      </c>
      <c r="O65" t="str">
        <f t="shared" ca="1" si="2"/>
        <v>845191610</v>
      </c>
      <c r="P65" t="str" cm="1">
        <f t="array" aca="1" ref="P65" ca="1">9 &amp; INDEX($AF$3:$AF$6,W65)&amp; TEXT(RANDBETWEEN(0,9999999),"0000000")</f>
        <v>966266547</v>
      </c>
      <c r="Q65" t="str" cm="1">
        <f t="array" aca="1" ref="Q65" ca="1">LOWER(B65) &amp; INDEX($AF$9:$AF$11,X65)</f>
        <v>catria2420@gmail.com</v>
      </c>
      <c r="R65" t="str">
        <f t="shared" ca="1" si="3"/>
        <v>catria2420.jpg</v>
      </c>
      <c r="T65" s="4"/>
      <c r="V65">
        <f ca="1">RANDBETWEEN(2,COUNTA(rua_cod!A:A))</f>
        <v>33</v>
      </c>
      <c r="W65">
        <f t="shared" ca="1" si="4"/>
        <v>4</v>
      </c>
      <c r="X65">
        <f t="shared" ca="1" si="5"/>
        <v>2</v>
      </c>
      <c r="Y65">
        <f t="shared" ca="1" si="6"/>
        <v>1972</v>
      </c>
      <c r="Z65">
        <f t="shared" ca="1" si="7"/>
        <v>2</v>
      </c>
      <c r="AA65">
        <f t="shared" ca="1" si="8"/>
        <v>9</v>
      </c>
      <c r="AB65">
        <f t="shared" ca="1" si="9"/>
        <v>48</v>
      </c>
    </row>
    <row r="66" spans="1:28" x14ac:dyDescent="0.25">
      <c r="A66">
        <v>65</v>
      </c>
      <c r="B66" t="str" cm="1">
        <f t="array" aca="1" ref="B66" ca="1">replaceChar(LOWER(LEFT(D66,3)&amp;RIGHT(I66,3))&amp;LEFT(H66,4))</f>
        <v>larboa1990</v>
      </c>
      <c r="C66" t="str">
        <f t="shared" ca="1" si="0"/>
        <v>pswlarboa1990</v>
      </c>
      <c r="D66" t="str">
        <f ca="1">Nomes!T67</f>
        <v>Lara Ana Melo Simões</v>
      </c>
      <c r="E66" t="str">
        <f ca="1">Nomes!S67</f>
        <v>Feminino</v>
      </c>
      <c r="F66" s="2">
        <v>37114</v>
      </c>
      <c r="G66" t="str" cm="1">
        <f t="array" aca="1" ref="G66" ca="1">INDEX(rua_cod!$F:$F,RANDBETWEEN(2,COUNTA(rua_cod!F:F)))</f>
        <v>Estrada das Laranjeiras</v>
      </c>
      <c r="H66" t="str" cm="1">
        <f t="array" aca="1" ref="H66" ca="1">INDEX(rua_cod!$A:$A,Users!V66) &amp; "-" &amp; TEXT(RANDBETWEEN(0,999),"000")</f>
        <v>1990-282</v>
      </c>
      <c r="I66" t="str" cm="1">
        <f t="array" aca="1" ref="I66" ca="1">INDEX(rua_cod!$B:$B,Users!V66)</f>
        <v>Lisboa</v>
      </c>
      <c r="J66" t="s">
        <v>3727</v>
      </c>
      <c r="K66" t="s">
        <v>225</v>
      </c>
      <c r="L66" t="s">
        <v>265</v>
      </c>
      <c r="M66" t="str">
        <f t="shared" ca="1" si="1"/>
        <v>67470773</v>
      </c>
      <c r="N66" t="str">
        <f t="shared" ca="1" si="2"/>
        <v>182530208</v>
      </c>
      <c r="O66" t="str">
        <f t="shared" ca="1" si="2"/>
        <v>846367125</v>
      </c>
      <c r="P66" t="str" cm="1">
        <f t="array" aca="1" ref="P66" ca="1">9 &amp; INDEX($AF$3:$AF$6,W66)&amp; TEXT(RANDBETWEEN(0,9999999),"0000000")</f>
        <v>962731477</v>
      </c>
      <c r="Q66" t="str" cm="1">
        <f t="array" aca="1" ref="Q66" ca="1">LOWER(B66) &amp; INDEX($AF$9:$AF$11,X66)</f>
        <v>larboa1990@outlook.com</v>
      </c>
      <c r="R66" t="str">
        <f t="shared" ca="1" si="3"/>
        <v>larboa1990.jpg</v>
      </c>
      <c r="T66" s="4"/>
      <c r="V66">
        <f ca="1">RANDBETWEEN(2,COUNTA(rua_cod!A:A))</f>
        <v>75</v>
      </c>
      <c r="W66">
        <f t="shared" ca="1" si="4"/>
        <v>4</v>
      </c>
      <c r="X66">
        <f t="shared" ca="1" si="5"/>
        <v>1</v>
      </c>
      <c r="Y66">
        <f t="shared" ca="1" si="6"/>
        <v>1976</v>
      </c>
      <c r="Z66">
        <f t="shared" ca="1" si="7"/>
        <v>6</v>
      </c>
      <c r="AA66">
        <f t="shared" ca="1" si="8"/>
        <v>20</v>
      </c>
      <c r="AB66">
        <f t="shared" ca="1" si="9"/>
        <v>44</v>
      </c>
    </row>
    <row r="67" spans="1:28" x14ac:dyDescent="0.25">
      <c r="A67">
        <v>66</v>
      </c>
      <c r="B67" t="str" cm="1">
        <f t="array" aca="1" ref="B67" ca="1">replaceChar(LOWER(LEFT(D67,3)&amp;RIGHT(I67,3))&amp;LEFT(H67,4))</f>
        <v>sofboa1949</v>
      </c>
      <c r="C67" t="str">
        <f t="shared" ref="C67:C130" ca="1" si="10">"psw" &amp; B67</f>
        <v>pswsofboa1949</v>
      </c>
      <c r="D67" t="str">
        <f ca="1">Nomes!T68</f>
        <v>Sofia Tomás Antunes Nunes</v>
      </c>
      <c r="E67" t="str">
        <f ca="1">Nomes!S68</f>
        <v>Feminino</v>
      </c>
      <c r="F67" s="2">
        <v>19832</v>
      </c>
      <c r="G67" t="str" cm="1">
        <f t="array" aca="1" ref="G67" ca="1">INDEX(rua_cod!$F:$F,RANDBETWEEN(2,COUNTA(rua_cod!F:F)))</f>
        <v>Rua do Guarda-Mor</v>
      </c>
      <c r="H67" t="str" cm="1">
        <f t="array" aca="1" ref="H67" ca="1">INDEX(rua_cod!$A:$A,Users!V67) &amp; "-" &amp; TEXT(RANDBETWEEN(0,999),"000")</f>
        <v>1949-593</v>
      </c>
      <c r="I67" t="str" cm="1">
        <f t="array" aca="1" ref="I67" ca="1">INDEX(rua_cod!$B:$B,Users!V67)</f>
        <v>Lisboa</v>
      </c>
      <c r="J67" t="s">
        <v>3727</v>
      </c>
      <c r="K67" t="s">
        <v>225</v>
      </c>
      <c r="L67" t="s">
        <v>265</v>
      </c>
      <c r="M67" t="str">
        <f t="shared" ref="M67:M130" ca="1" si="11">TEXT(RANDBETWEEN(10000000,99999999),"00000000")</f>
        <v>23352587</v>
      </c>
      <c r="N67" t="str">
        <f t="shared" ref="N67:O130" ca="1" si="12">TEXT(RANDBETWEEN(100000000,999999999),"000000000")</f>
        <v>361079551</v>
      </c>
      <c r="O67" t="str">
        <f t="shared" ca="1" si="12"/>
        <v>139477058</v>
      </c>
      <c r="P67" t="str" cm="1">
        <f t="array" aca="1" ref="P67" ca="1">9 &amp; INDEX($AF$3:$AF$6,W67)&amp; TEXT(RANDBETWEEN(0,9999999),"0000000")</f>
        <v>938744312</v>
      </c>
      <c r="Q67" t="str" cm="1">
        <f t="array" aca="1" ref="Q67" ca="1">LOWER(B67) &amp; INDEX($AF$9:$AF$11,X67)</f>
        <v>sofboa1949@sapo.pt</v>
      </c>
      <c r="R67" t="str">
        <f t="shared" ref="R67:R130" ca="1" si="13">B67 &amp; ".jpg"</f>
        <v>sofboa1949.jpg</v>
      </c>
      <c r="T67" s="4"/>
      <c r="V67">
        <f ca="1">RANDBETWEEN(2,COUNTA(rua_cod!A:A))</f>
        <v>45</v>
      </c>
      <c r="W67">
        <f t="shared" ref="W67:W130" ca="1" si="14">RANDBETWEEN(1,4)</f>
        <v>3</v>
      </c>
      <c r="X67">
        <f t="shared" ref="X67:X130" ca="1" si="15">RANDBETWEEN(1,3)</f>
        <v>3</v>
      </c>
      <c r="Y67">
        <f t="shared" ref="Y67:Y130" ca="1" si="16">INT(NORMINV(RAND(),1976,22))</f>
        <v>1981</v>
      </c>
      <c r="Z67">
        <f t="shared" ref="Z67:Z130" ca="1" si="17">RANDBETWEEN(1,12)</f>
        <v>9</v>
      </c>
      <c r="AA67">
        <f t="shared" ref="AA67:AA130" ca="1" si="18">RANDBETWEEN(1,31)</f>
        <v>1</v>
      </c>
      <c r="AB67">
        <f t="shared" ref="AB67:AB130" ca="1" si="19">2020-Y67</f>
        <v>39</v>
      </c>
    </row>
    <row r="68" spans="1:28" x14ac:dyDescent="0.25">
      <c r="A68">
        <v>67</v>
      </c>
      <c r="B68" t="str" cm="1">
        <f t="array" aca="1" ref="B68" ca="1">replaceChar(LOWER(LEFT(D68,3)&amp;RIGHT(I68,3))&amp;LEFT(H68,4))</f>
        <v>marria2424</v>
      </c>
      <c r="C68" t="str">
        <f t="shared" ca="1" si="10"/>
        <v>pswmarria2424</v>
      </c>
      <c r="D68" t="str">
        <f ca="1">Nomes!T69</f>
        <v>Martim Joana Guerreiro Nascimento</v>
      </c>
      <c r="E68" t="str">
        <f ca="1">Nomes!S69</f>
        <v>Masculino</v>
      </c>
      <c r="F68" s="2">
        <v>11481</v>
      </c>
      <c r="G68" t="str" cm="1">
        <f t="array" aca="1" ref="G68" ca="1">INDEX(rua_cod!$F:$F,RANDBETWEEN(2,COUNTA(rua_cod!F:F)))</f>
        <v>Rua Nova do Almada</v>
      </c>
      <c r="H68" t="str" cm="1">
        <f t="array" aca="1" ref="H68" ca="1">INDEX(rua_cod!$A:$A,Users!V68) &amp; "-" &amp; TEXT(RANDBETWEEN(0,999),"000")</f>
        <v>2424-676</v>
      </c>
      <c r="I68" t="str" cm="1">
        <f t="array" aca="1" ref="I68" ca="1">INDEX(rua_cod!$B:$B,Users!V68)</f>
        <v>Leiria</v>
      </c>
      <c r="J68" t="s">
        <v>3727</v>
      </c>
      <c r="K68" t="s">
        <v>225</v>
      </c>
      <c r="L68" t="s">
        <v>265</v>
      </c>
      <c r="M68" t="str">
        <f t="shared" ca="1" si="11"/>
        <v>67985290</v>
      </c>
      <c r="N68" t="str">
        <f t="shared" ca="1" si="12"/>
        <v>851329264</v>
      </c>
      <c r="O68" t="str">
        <f t="shared" ca="1" si="12"/>
        <v>527368693</v>
      </c>
      <c r="P68" t="str" cm="1">
        <f t="array" aca="1" ref="P68" ca="1">9 &amp; INDEX($AF$3:$AF$6,W68)&amp; TEXT(RANDBETWEEN(0,9999999),"0000000")</f>
        <v>928284596</v>
      </c>
      <c r="Q68" t="str" cm="1">
        <f t="array" aca="1" ref="Q68" ca="1">LOWER(B68) &amp; INDEX($AF$9:$AF$11,X68)</f>
        <v>marria2424@sapo.pt</v>
      </c>
      <c r="R68" t="str">
        <f t="shared" ca="1" si="13"/>
        <v>marria2424.jpg</v>
      </c>
      <c r="T68" s="4"/>
      <c r="V68">
        <f ca="1">RANDBETWEEN(2,COUNTA(rua_cod!A:A))</f>
        <v>39</v>
      </c>
      <c r="W68">
        <f t="shared" ca="1" si="14"/>
        <v>2</v>
      </c>
      <c r="X68">
        <f t="shared" ca="1" si="15"/>
        <v>3</v>
      </c>
      <c r="Y68">
        <f t="shared" ca="1" si="16"/>
        <v>1967</v>
      </c>
      <c r="Z68">
        <f t="shared" ca="1" si="17"/>
        <v>2</v>
      </c>
      <c r="AA68">
        <f t="shared" ca="1" si="18"/>
        <v>4</v>
      </c>
      <c r="AB68">
        <f t="shared" ca="1" si="19"/>
        <v>53</v>
      </c>
    </row>
    <row r="69" spans="1:28" x14ac:dyDescent="0.25">
      <c r="A69">
        <v>68</v>
      </c>
      <c r="B69" t="str" cm="1">
        <f t="array" aca="1" ref="B69" ca="1">replaceChar(LOWER(LEFT(D69,3)&amp;RIGHT(I69,3))&amp;LEFT(H69,4))</f>
        <v>luiora2724</v>
      </c>
      <c r="C69" t="str">
        <f t="shared" ca="1" si="10"/>
        <v>pswluiora2724</v>
      </c>
      <c r="D69" t="str">
        <f ca="1">Nomes!T70</f>
        <v>Luís Gabriel Batista Gaspar</v>
      </c>
      <c r="E69" t="str">
        <f ca="1">Nomes!S70</f>
        <v>Masculino</v>
      </c>
      <c r="F69" s="2">
        <v>19996</v>
      </c>
      <c r="G69" t="str" cm="1">
        <f t="array" aca="1" ref="G69" ca="1">INDEX(rua_cod!$F:$F,RANDBETWEEN(2,COUNTA(rua_cod!F:F)))</f>
        <v>Rua Roberto Duarte Silva</v>
      </c>
      <c r="H69" t="str" cm="1">
        <f t="array" aca="1" ref="H69" ca="1">INDEX(rua_cod!$A:$A,Users!V69) &amp; "-" &amp; TEXT(RANDBETWEEN(0,999),"000")</f>
        <v>2724-948</v>
      </c>
      <c r="I69" t="str" cm="1">
        <f t="array" aca="1" ref="I69" ca="1">INDEX(rua_cod!$B:$B,Users!V69)</f>
        <v>Amadora</v>
      </c>
      <c r="J69" t="s">
        <v>3727</v>
      </c>
      <c r="K69" t="s">
        <v>225</v>
      </c>
      <c r="L69" t="s">
        <v>265</v>
      </c>
      <c r="M69" t="str">
        <f t="shared" ca="1" si="11"/>
        <v>60067303</v>
      </c>
      <c r="N69" t="str">
        <f t="shared" ca="1" si="12"/>
        <v>346995364</v>
      </c>
      <c r="O69" t="str">
        <f t="shared" ca="1" si="12"/>
        <v>329456924</v>
      </c>
      <c r="P69" t="str" cm="1">
        <f t="array" aca="1" ref="P69" ca="1">9 &amp; INDEX($AF$3:$AF$6,W69)&amp; TEXT(RANDBETWEEN(0,9999999),"0000000")</f>
        <v>923307057</v>
      </c>
      <c r="Q69" t="str" cm="1">
        <f t="array" aca="1" ref="Q69" ca="1">LOWER(B69) &amp; INDEX($AF$9:$AF$11,X69)</f>
        <v>luiora2724@sapo.pt</v>
      </c>
      <c r="R69" t="str">
        <f t="shared" ca="1" si="13"/>
        <v>luiora2724.jpg</v>
      </c>
      <c r="T69" s="4"/>
      <c r="V69">
        <f ca="1">RANDBETWEEN(2,COUNTA(rua_cod!A:A))</f>
        <v>13</v>
      </c>
      <c r="W69">
        <f t="shared" ca="1" si="14"/>
        <v>2</v>
      </c>
      <c r="X69">
        <f t="shared" ca="1" si="15"/>
        <v>3</v>
      </c>
      <c r="Y69">
        <f t="shared" ca="1" si="16"/>
        <v>1956</v>
      </c>
      <c r="Z69">
        <f t="shared" ca="1" si="17"/>
        <v>4</v>
      </c>
      <c r="AA69">
        <f t="shared" ca="1" si="18"/>
        <v>27</v>
      </c>
      <c r="AB69">
        <f t="shared" ca="1" si="19"/>
        <v>64</v>
      </c>
    </row>
    <row r="70" spans="1:28" x14ac:dyDescent="0.25">
      <c r="A70">
        <v>69</v>
      </c>
      <c r="B70" t="str" cm="1">
        <f t="array" aca="1" ref="B70" ca="1">replaceChar(LOWER(LEFT(D70,3)&amp;RIGHT(I70,3))&amp;LEFT(H70,4))</f>
        <v>fraora2614</v>
      </c>
      <c r="C70" t="str">
        <f t="shared" ca="1" si="10"/>
        <v>pswfraora2614</v>
      </c>
      <c r="D70" t="str">
        <f ca="1">Nomes!T71</f>
        <v>Francisco Duarte Amaral Miranda</v>
      </c>
      <c r="E70" t="str">
        <f ca="1">Nomes!S71</f>
        <v>Masculino</v>
      </c>
      <c r="F70" s="2">
        <v>9739</v>
      </c>
      <c r="G70" t="str" cm="1">
        <f t="array" aca="1" ref="G70" ca="1">INDEX(rua_cod!$F:$F,RANDBETWEEN(2,COUNTA(rua_cod!F:F)))</f>
        <v>Rua da Prata</v>
      </c>
      <c r="H70" t="str" cm="1">
        <f t="array" aca="1" ref="H70" ca="1">INDEX(rua_cod!$A:$A,Users!V70) &amp; "-" &amp; TEXT(RANDBETWEEN(0,999),"000")</f>
        <v>2614-662</v>
      </c>
      <c r="I70" t="str" cm="1">
        <f t="array" aca="1" ref="I70" ca="1">INDEX(rua_cod!$B:$B,Users!V70)</f>
        <v>Amadora</v>
      </c>
      <c r="J70" t="s">
        <v>3727</v>
      </c>
      <c r="K70" t="s">
        <v>225</v>
      </c>
      <c r="L70" t="s">
        <v>265</v>
      </c>
      <c r="M70" t="str">
        <f t="shared" ca="1" si="11"/>
        <v>87328345</v>
      </c>
      <c r="N70" t="str">
        <f t="shared" ca="1" si="12"/>
        <v>682831659</v>
      </c>
      <c r="O70" t="str">
        <f t="shared" ca="1" si="12"/>
        <v>612856235</v>
      </c>
      <c r="P70" t="str" cm="1">
        <f t="array" aca="1" ref="P70" ca="1">9 &amp; INDEX($AF$3:$AF$6,W70)&amp; TEXT(RANDBETWEEN(0,9999999),"0000000")</f>
        <v>935772317</v>
      </c>
      <c r="Q70" t="str" cm="1">
        <f t="array" aca="1" ref="Q70" ca="1">LOWER(B70) &amp; INDEX($AF$9:$AF$11,X70)</f>
        <v>fraora2614@sapo.pt</v>
      </c>
      <c r="R70" t="str">
        <f t="shared" ca="1" si="13"/>
        <v>fraora2614.jpg</v>
      </c>
      <c r="T70" s="4"/>
      <c r="V70">
        <f ca="1">RANDBETWEEN(2,COUNTA(rua_cod!A:A))</f>
        <v>11</v>
      </c>
      <c r="W70">
        <f t="shared" ca="1" si="14"/>
        <v>3</v>
      </c>
      <c r="X70">
        <f t="shared" ca="1" si="15"/>
        <v>3</v>
      </c>
      <c r="Y70">
        <f t="shared" ca="1" si="16"/>
        <v>1968</v>
      </c>
      <c r="Z70">
        <f t="shared" ca="1" si="17"/>
        <v>8</v>
      </c>
      <c r="AA70">
        <f t="shared" ca="1" si="18"/>
        <v>8</v>
      </c>
      <c r="AB70">
        <f t="shared" ca="1" si="19"/>
        <v>52</v>
      </c>
    </row>
    <row r="71" spans="1:28" x14ac:dyDescent="0.25">
      <c r="A71">
        <v>70</v>
      </c>
      <c r="B71" t="str" cm="1">
        <f t="array" aca="1" ref="B71" ca="1">replaceChar(LOWER(LEFT(D71,3)&amp;RIGHT(I71,3))&amp;LEFT(H71,4))</f>
        <v>sarica2829</v>
      </c>
      <c r="C71" t="str">
        <f t="shared" ca="1" si="10"/>
        <v>pswsarica2829</v>
      </c>
      <c r="D71" t="str">
        <f ca="1">Nomes!T72</f>
        <v>Sara Diogo Fernandes Alves</v>
      </c>
      <c r="E71" t="str">
        <f ca="1">Nomes!S72</f>
        <v>Feminino</v>
      </c>
      <c r="F71" s="2">
        <v>19419</v>
      </c>
      <c r="G71" t="str" cm="1">
        <f t="array" aca="1" ref="G71" ca="1">INDEX(rua_cod!$F:$F,RANDBETWEEN(2,COUNTA(rua_cod!F:F)))</f>
        <v>Rua Roberto Duarte Silva</v>
      </c>
      <c r="H71" t="str" cm="1">
        <f t="array" aca="1" ref="H71" ca="1">INDEX(rua_cod!$A:$A,Users!V71) &amp; "-" &amp; TEXT(RANDBETWEEN(0,999),"000")</f>
        <v>2829-300</v>
      </c>
      <c r="I71" t="str" cm="1">
        <f t="array" aca="1" ref="I71" ca="1">INDEX(rua_cod!$B:$B,Users!V71)</f>
        <v>Caparica</v>
      </c>
      <c r="J71" t="s">
        <v>3727</v>
      </c>
      <c r="K71" t="s">
        <v>225</v>
      </c>
      <c r="L71" t="s">
        <v>265</v>
      </c>
      <c r="M71" t="str">
        <f t="shared" ca="1" si="11"/>
        <v>82815665</v>
      </c>
      <c r="N71" t="str">
        <f t="shared" ca="1" si="12"/>
        <v>179451222</v>
      </c>
      <c r="O71" t="str">
        <f t="shared" ca="1" si="12"/>
        <v>951770830</v>
      </c>
      <c r="P71" t="str" cm="1">
        <f t="array" aca="1" ref="P71" ca="1">9 &amp; INDEX($AF$3:$AF$6,W71)&amp; TEXT(RANDBETWEEN(0,9999999),"0000000")</f>
        <v>919013172</v>
      </c>
      <c r="Q71" t="str" cm="1">
        <f t="array" aca="1" ref="Q71" ca="1">LOWER(B71) &amp; INDEX($AF$9:$AF$11,X71)</f>
        <v>sarica2829@outlook.com</v>
      </c>
      <c r="R71" t="str">
        <f t="shared" ca="1" si="13"/>
        <v>sarica2829.jpg</v>
      </c>
      <c r="T71" s="4"/>
      <c r="V71">
        <f ca="1">RANDBETWEEN(2,COUNTA(rua_cod!A:A))</f>
        <v>19</v>
      </c>
      <c r="W71">
        <f t="shared" ca="1" si="14"/>
        <v>1</v>
      </c>
      <c r="X71">
        <f t="shared" ca="1" si="15"/>
        <v>1</v>
      </c>
      <c r="Y71">
        <f t="shared" ca="1" si="16"/>
        <v>1947</v>
      </c>
      <c r="Z71">
        <f t="shared" ca="1" si="17"/>
        <v>7</v>
      </c>
      <c r="AA71">
        <f t="shared" ca="1" si="18"/>
        <v>21</v>
      </c>
      <c r="AB71">
        <f t="shared" ca="1" si="19"/>
        <v>73</v>
      </c>
    </row>
    <row r="72" spans="1:28" x14ac:dyDescent="0.25">
      <c r="A72">
        <v>71</v>
      </c>
      <c r="B72" t="str" cm="1">
        <f t="array" aca="1" ref="B72" ca="1">replaceChar(LOWER(LEFT(D72,3)&amp;RIGHT(I72,3))&amp;LEFT(H72,4))</f>
        <v>larais2754</v>
      </c>
      <c r="C72" t="str">
        <f t="shared" ca="1" si="10"/>
        <v>pswlarais2754</v>
      </c>
      <c r="D72" t="str">
        <f ca="1">Nomes!T73</f>
        <v>Lara Ricardo Lima Guerreiro</v>
      </c>
      <c r="E72" t="str">
        <f ca="1">Nomes!S73</f>
        <v>Feminino</v>
      </c>
      <c r="F72" s="2">
        <v>36001</v>
      </c>
      <c r="G72" t="str" cm="1">
        <f t="array" aca="1" ref="G72" ca="1">INDEX(rua_cod!$F:$F,RANDBETWEEN(2,COUNTA(rua_cod!F:F)))</f>
        <v>Rua General Morais Sarmento</v>
      </c>
      <c r="H72" t="str" cm="1">
        <f t="array" aca="1" ref="H72" ca="1">INDEX(rua_cod!$A:$A,Users!V72) &amp; "-" &amp; TEXT(RANDBETWEEN(0,999),"000")</f>
        <v>2754-060</v>
      </c>
      <c r="I72" t="str" cm="1">
        <f t="array" aca="1" ref="I72" ca="1">INDEX(rua_cod!$B:$B,Users!V72)</f>
        <v>Cascais</v>
      </c>
      <c r="J72" t="s">
        <v>3727</v>
      </c>
      <c r="K72" t="s">
        <v>225</v>
      </c>
      <c r="L72" t="s">
        <v>265</v>
      </c>
      <c r="M72" t="str">
        <f t="shared" ca="1" si="11"/>
        <v>37078099</v>
      </c>
      <c r="N72" t="str">
        <f t="shared" ca="1" si="12"/>
        <v>333318217</v>
      </c>
      <c r="O72" t="str">
        <f t="shared" ca="1" si="12"/>
        <v>798080333</v>
      </c>
      <c r="P72" t="str" cm="1">
        <f t="array" aca="1" ref="P72" ca="1">9 &amp; INDEX($AF$3:$AF$6,W72)&amp; TEXT(RANDBETWEEN(0,9999999),"0000000")</f>
        <v>915063785</v>
      </c>
      <c r="Q72" t="str" cm="1">
        <f t="array" aca="1" ref="Q72" ca="1">LOWER(B72) &amp; INDEX($AF$9:$AF$11,X72)</f>
        <v>larais2754@gmail.com</v>
      </c>
      <c r="R72" t="str">
        <f t="shared" ca="1" si="13"/>
        <v>larais2754.jpg</v>
      </c>
      <c r="T72" s="4"/>
      <c r="V72">
        <f ca="1">RANDBETWEEN(2,COUNTA(rua_cod!A:A))</f>
        <v>25</v>
      </c>
      <c r="W72">
        <f t="shared" ca="1" si="14"/>
        <v>1</v>
      </c>
      <c r="X72">
        <f t="shared" ca="1" si="15"/>
        <v>2</v>
      </c>
      <c r="Y72">
        <f t="shared" ca="1" si="16"/>
        <v>1968</v>
      </c>
      <c r="Z72">
        <f t="shared" ca="1" si="17"/>
        <v>1</v>
      </c>
      <c r="AA72">
        <f t="shared" ca="1" si="18"/>
        <v>11</v>
      </c>
      <c r="AB72">
        <f t="shared" ca="1" si="19"/>
        <v>52</v>
      </c>
    </row>
    <row r="73" spans="1:28" x14ac:dyDescent="0.25">
      <c r="A73">
        <v>72</v>
      </c>
      <c r="B73" t="str" cm="1">
        <f t="array" aca="1" ref="B73" ca="1">replaceChar(LOWER(LEFT(D73,3)&amp;RIGHT(I73,3))&amp;LEFT(H73,4))</f>
        <v>josfra2640</v>
      </c>
      <c r="C73" t="str">
        <f t="shared" ca="1" si="10"/>
        <v>pswjosfra2640</v>
      </c>
      <c r="D73" t="str">
        <f ca="1">Nomes!T74</f>
        <v>José Catarina Macedo Oliveira</v>
      </c>
      <c r="E73" t="str">
        <f ca="1">Nomes!S74</f>
        <v>Masculino</v>
      </c>
      <c r="F73" s="2">
        <v>42853</v>
      </c>
      <c r="G73" t="str" cm="1">
        <f t="array" aca="1" ref="G73" ca="1">INDEX(rua_cod!$F:$F,RANDBETWEEN(2,COUNTA(rua_cod!F:F)))</f>
        <v>Rua de São Mamede</v>
      </c>
      <c r="H73" t="str" cm="1">
        <f t="array" aca="1" ref="H73" ca="1">INDEX(rua_cod!$A:$A,Users!V73) &amp; "-" &amp; TEXT(RANDBETWEEN(0,999),"000")</f>
        <v>2640-126</v>
      </c>
      <c r="I73" t="str" cm="1">
        <f t="array" aca="1" ref="I73" ca="1">INDEX(rua_cod!$B:$B,Users!V73)</f>
        <v>Mafra</v>
      </c>
      <c r="J73" t="s">
        <v>3727</v>
      </c>
      <c r="K73" t="s">
        <v>225</v>
      </c>
      <c r="L73" t="s">
        <v>265</v>
      </c>
      <c r="M73" t="str">
        <f t="shared" ca="1" si="11"/>
        <v>67131127</v>
      </c>
      <c r="N73" t="str">
        <f t="shared" ca="1" si="12"/>
        <v>906265374</v>
      </c>
      <c r="O73" t="str">
        <f t="shared" ca="1" si="12"/>
        <v>491105562</v>
      </c>
      <c r="P73" t="str" cm="1">
        <f t="array" aca="1" ref="P73" ca="1">9 &amp; INDEX($AF$3:$AF$6,W73)&amp; TEXT(RANDBETWEEN(0,9999999),"0000000")</f>
        <v>960121491</v>
      </c>
      <c r="Q73" t="str" cm="1">
        <f t="array" aca="1" ref="Q73" ca="1">LOWER(B73) &amp; INDEX($AF$9:$AF$11,X73)</f>
        <v>josfra2640@gmail.com</v>
      </c>
      <c r="R73" t="str">
        <f t="shared" ca="1" si="13"/>
        <v>josfra2640.jpg</v>
      </c>
      <c r="T73" s="4"/>
      <c r="V73">
        <f ca="1">RANDBETWEEN(2,COUNTA(rua_cod!A:A))</f>
        <v>85</v>
      </c>
      <c r="W73">
        <f t="shared" ca="1" si="14"/>
        <v>4</v>
      </c>
      <c r="X73">
        <f t="shared" ca="1" si="15"/>
        <v>2</v>
      </c>
      <c r="Y73">
        <f t="shared" ca="1" si="16"/>
        <v>1991</v>
      </c>
      <c r="Z73">
        <f t="shared" ca="1" si="17"/>
        <v>2</v>
      </c>
      <c r="AA73">
        <f t="shared" ca="1" si="18"/>
        <v>25</v>
      </c>
      <c r="AB73">
        <f t="shared" ca="1" si="19"/>
        <v>29</v>
      </c>
    </row>
    <row r="74" spans="1:28" x14ac:dyDescent="0.25">
      <c r="A74">
        <v>73</v>
      </c>
      <c r="B74" t="str" cm="1">
        <f t="array" aca="1" ref="B74" ca="1">replaceChar(LOWER(LEFT(D74,3)&amp;RIGHT(I74,3))&amp;LEFT(H74,4))</f>
        <v>migmar2300</v>
      </c>
      <c r="C74" t="str">
        <f t="shared" ca="1" si="10"/>
        <v>pswmigmar2300</v>
      </c>
      <c r="D74" t="str">
        <f ca="1">Nomes!T75</f>
        <v>Miguel Lara Reis Magalhães</v>
      </c>
      <c r="E74" t="str">
        <f ca="1">Nomes!S75</f>
        <v>Masculino</v>
      </c>
      <c r="F74" s="2">
        <v>38941</v>
      </c>
      <c r="G74" t="str" cm="1">
        <f t="array" aca="1" ref="G74" ca="1">INDEX(rua_cod!$F:$F,RANDBETWEEN(2,COUNTA(rua_cod!F:F)))</f>
        <v>Rua do Sacramento à Lapa</v>
      </c>
      <c r="H74" t="str" cm="1">
        <f t="array" aca="1" ref="H74" ca="1">INDEX(rua_cod!$A:$A,Users!V74) &amp; "-" &amp; TEXT(RANDBETWEEN(0,999),"000")</f>
        <v>2300-002</v>
      </c>
      <c r="I74" t="str" cm="1">
        <f t="array" aca="1" ref="I74" ca="1">INDEX(rua_cod!$B:$B,Users!V74)</f>
        <v>Tomar</v>
      </c>
      <c r="J74" t="s">
        <v>3727</v>
      </c>
      <c r="K74" t="s">
        <v>225</v>
      </c>
      <c r="L74" t="s">
        <v>265</v>
      </c>
      <c r="M74" t="str">
        <f t="shared" ca="1" si="11"/>
        <v>54421676</v>
      </c>
      <c r="N74" t="str">
        <f t="shared" ca="1" si="12"/>
        <v>897488039</v>
      </c>
      <c r="O74" t="str">
        <f t="shared" ca="1" si="12"/>
        <v>379429370</v>
      </c>
      <c r="P74" t="str" cm="1">
        <f t="array" aca="1" ref="P74" ca="1">9 &amp; INDEX($AF$3:$AF$6,W74)&amp; TEXT(RANDBETWEEN(0,9999999),"0000000")</f>
        <v>915702016</v>
      </c>
      <c r="Q74" t="str" cm="1">
        <f t="array" aca="1" ref="Q74" ca="1">LOWER(B74) &amp; INDEX($AF$9:$AF$11,X74)</f>
        <v>migmar2300@gmail.com</v>
      </c>
      <c r="R74" t="str">
        <f t="shared" ca="1" si="13"/>
        <v>migmar2300.jpg</v>
      </c>
      <c r="T74" s="4"/>
      <c r="V74">
        <f ca="1">RANDBETWEEN(2,COUNTA(rua_cod!A:A))</f>
        <v>102</v>
      </c>
      <c r="W74">
        <f t="shared" ca="1" si="14"/>
        <v>1</v>
      </c>
      <c r="X74">
        <f t="shared" ca="1" si="15"/>
        <v>2</v>
      </c>
      <c r="Y74">
        <f t="shared" ca="1" si="16"/>
        <v>1974</v>
      </c>
      <c r="Z74">
        <f t="shared" ca="1" si="17"/>
        <v>8</v>
      </c>
      <c r="AA74">
        <f t="shared" ca="1" si="18"/>
        <v>4</v>
      </c>
      <c r="AB74">
        <f t="shared" ca="1" si="19"/>
        <v>46</v>
      </c>
    </row>
    <row r="75" spans="1:28" x14ac:dyDescent="0.25">
      <c r="A75">
        <v>74</v>
      </c>
      <c r="B75" t="str" cm="1">
        <f t="array" aca="1" ref="B75" ca="1">replaceChar(LOWER(LEFT(D75,3)&amp;RIGHT(I75,3))&amp;LEFT(H75,4))</f>
        <v>joaboa1069</v>
      </c>
      <c r="C75" t="str">
        <f t="shared" ca="1" si="10"/>
        <v>pswjoaboa1069</v>
      </c>
      <c r="D75" t="str">
        <f ca="1">Nomes!T76</f>
        <v>Joaquim André Henriques Ribeiro</v>
      </c>
      <c r="E75" t="str">
        <f ca="1">Nomes!S76</f>
        <v>Masculino</v>
      </c>
      <c r="F75" s="2">
        <v>19821</v>
      </c>
      <c r="G75" t="str" cm="1">
        <f t="array" aca="1" ref="G75" ca="1">INDEX(rua_cod!$F:$F,RANDBETWEEN(2,COUNTA(rua_cod!F:F)))</f>
        <v>Rua do Carmo</v>
      </c>
      <c r="H75" t="str" cm="1">
        <f t="array" aca="1" ref="H75" ca="1">INDEX(rua_cod!$A:$A,Users!V75) &amp; "-" &amp; TEXT(RANDBETWEEN(0,999),"000")</f>
        <v>1069-479</v>
      </c>
      <c r="I75" t="str" cm="1">
        <f t="array" aca="1" ref="I75" ca="1">INDEX(rua_cod!$B:$B,Users!V75)</f>
        <v>Lisboa</v>
      </c>
      <c r="J75" t="s">
        <v>3727</v>
      </c>
      <c r="K75" t="s">
        <v>225</v>
      </c>
      <c r="L75" t="s">
        <v>265</v>
      </c>
      <c r="M75" t="str">
        <f t="shared" ca="1" si="11"/>
        <v>48824034</v>
      </c>
      <c r="N75" t="str">
        <f t="shared" ca="1" si="12"/>
        <v>248848301</v>
      </c>
      <c r="O75" t="str">
        <f t="shared" ca="1" si="12"/>
        <v>651219020</v>
      </c>
      <c r="P75" t="str" cm="1">
        <f t="array" aca="1" ref="P75" ca="1">9 &amp; INDEX($AF$3:$AF$6,W75)&amp; TEXT(RANDBETWEEN(0,9999999),"0000000")</f>
        <v>913419687</v>
      </c>
      <c r="Q75" t="str" cm="1">
        <f t="array" aca="1" ref="Q75" ca="1">LOWER(B75) &amp; INDEX($AF$9:$AF$11,X75)</f>
        <v>joaboa1069@outlook.com</v>
      </c>
      <c r="R75" t="str">
        <f t="shared" ca="1" si="13"/>
        <v>joaboa1069.jpg</v>
      </c>
      <c r="T75" s="4"/>
      <c r="V75">
        <f ca="1">RANDBETWEEN(2,COUNTA(rua_cod!A:A))</f>
        <v>67</v>
      </c>
      <c r="W75">
        <f t="shared" ca="1" si="14"/>
        <v>1</v>
      </c>
      <c r="X75">
        <f t="shared" ca="1" si="15"/>
        <v>1</v>
      </c>
      <c r="Y75">
        <f t="shared" ca="1" si="16"/>
        <v>1974</v>
      </c>
      <c r="Z75">
        <f t="shared" ca="1" si="17"/>
        <v>2</v>
      </c>
      <c r="AA75">
        <f t="shared" ca="1" si="18"/>
        <v>3</v>
      </c>
      <c r="AB75">
        <f t="shared" ca="1" si="19"/>
        <v>46</v>
      </c>
    </row>
    <row r="76" spans="1:28" x14ac:dyDescent="0.25">
      <c r="A76">
        <v>75</v>
      </c>
      <c r="B76" t="str" cm="1">
        <f t="array" aca="1" ref="B76" ca="1">replaceChar(LOWER(LEFT(D76,3)&amp;RIGHT(I76,3))&amp;LEFT(H76,4))</f>
        <v>gabmar2300</v>
      </c>
      <c r="C76" t="str">
        <f t="shared" ca="1" si="10"/>
        <v>pswgabmar2300</v>
      </c>
      <c r="D76" t="str">
        <f ca="1">Nomes!T77</f>
        <v>Gabriel Lara Ferreira Sá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Rua de São Julião</v>
      </c>
      <c r="H76" t="str" cm="1">
        <f t="array" aca="1" ref="H76" ca="1">INDEX(rua_cod!$A:$A,Users!V76) &amp; "-" &amp; TEXT(RANDBETWEEN(0,999),"000")</f>
        <v>2300-918</v>
      </c>
      <c r="I76" t="str" cm="1">
        <f t="array" aca="1" ref="I76" ca="1">INDEX(rua_cod!$B:$B,Users!V76)</f>
        <v>Tomar</v>
      </c>
      <c r="J76" t="s">
        <v>3727</v>
      </c>
      <c r="K76" t="s">
        <v>225</v>
      </c>
      <c r="L76" t="s">
        <v>265</v>
      </c>
      <c r="M76" t="str">
        <f t="shared" ca="1" si="11"/>
        <v>66769999</v>
      </c>
      <c r="N76" t="str">
        <f t="shared" ca="1" si="12"/>
        <v>247059457</v>
      </c>
      <c r="O76" t="str">
        <f t="shared" ca="1" si="12"/>
        <v>870047998</v>
      </c>
      <c r="P76" t="str" cm="1">
        <f t="array" aca="1" ref="P76" ca="1">9 &amp; INDEX($AF$3:$AF$6,W76)&amp; TEXT(RANDBETWEEN(0,9999999),"0000000")</f>
        <v>934600601</v>
      </c>
      <c r="Q76" t="str" cm="1">
        <f t="array" aca="1" ref="Q76" ca="1">LOWER(B76) &amp; INDEX($AF$9:$AF$11,X76)</f>
        <v>gabmar2300@gmail.com</v>
      </c>
      <c r="R76" t="str">
        <f t="shared" ca="1" si="13"/>
        <v>gabmar2300.jpg</v>
      </c>
      <c r="T76" s="4"/>
      <c r="V76">
        <f ca="1">RANDBETWEEN(2,COUNTA(rua_cod!A:A))</f>
        <v>102</v>
      </c>
      <c r="W76">
        <f t="shared" ca="1" si="14"/>
        <v>3</v>
      </c>
      <c r="X76">
        <f t="shared" ca="1" si="15"/>
        <v>2</v>
      </c>
      <c r="Y76">
        <f t="shared" ca="1" si="16"/>
        <v>1939</v>
      </c>
      <c r="Z76">
        <f t="shared" ca="1" si="17"/>
        <v>2</v>
      </c>
      <c r="AA76">
        <f t="shared" ca="1" si="18"/>
        <v>18</v>
      </c>
      <c r="AB76">
        <f t="shared" ca="1" si="19"/>
        <v>81</v>
      </c>
    </row>
    <row r="77" spans="1:28" x14ac:dyDescent="0.25">
      <c r="A77">
        <v>76</v>
      </c>
      <c r="B77" t="str" cm="1">
        <f t="array" aca="1" ref="B77" ca="1">replaceChar(LOWER(LEFT(D77,3)&amp;RIGHT(I77,3))&amp;LEFT(H77,4))</f>
        <v>marnto2330</v>
      </c>
      <c r="C77" t="str">
        <f t="shared" ca="1" si="10"/>
        <v>pswmarnto2330</v>
      </c>
      <c r="D77" t="str">
        <f ca="1">Nomes!T78</f>
        <v>Maria Matilde Borges Santos</v>
      </c>
      <c r="E77" t="str">
        <f ca="1">Nomes!S78</f>
        <v>Feminino</v>
      </c>
      <c r="F77" s="2">
        <v>24620</v>
      </c>
      <c r="G77" t="str" cm="1">
        <f t="array" aca="1" ref="G77" ca="1">INDEX(rua_cod!$F:$F,RANDBETWEEN(2,COUNTA(rua_cod!F:F)))</f>
        <v>Rua do Comércio</v>
      </c>
      <c r="H77" t="str" cm="1">
        <f t="array" aca="1" ref="H77" ca="1">INDEX(rua_cod!$A:$A,Users!V77) &amp; "-" &amp; TEXT(RANDBETWEEN(0,999),"000")</f>
        <v>2330-511</v>
      </c>
      <c r="I77" t="str" cm="1">
        <f t="array" aca="1" ref="I77" ca="1">INDEX(rua_cod!$B:$B,Users!V77)</f>
        <v>Entroncamento</v>
      </c>
      <c r="J77" t="s">
        <v>3727</v>
      </c>
      <c r="K77" t="s">
        <v>225</v>
      </c>
      <c r="L77" t="s">
        <v>265</v>
      </c>
      <c r="M77" t="str">
        <f t="shared" ca="1" si="11"/>
        <v>76119090</v>
      </c>
      <c r="N77" t="str">
        <f t="shared" ca="1" si="12"/>
        <v>785493344</v>
      </c>
      <c r="O77" t="str">
        <f t="shared" ca="1" si="12"/>
        <v>161021633</v>
      </c>
      <c r="P77" t="str" cm="1">
        <f t="array" aca="1" ref="P77" ca="1">9 &amp; INDEX($AF$3:$AF$6,W77)&amp; TEXT(RANDBETWEEN(0,9999999),"0000000")</f>
        <v>936575042</v>
      </c>
      <c r="Q77" t="str" cm="1">
        <f t="array" aca="1" ref="Q77" ca="1">LOWER(B77) &amp; INDEX($AF$9:$AF$11,X77)</f>
        <v>marnto2330@gmail.com</v>
      </c>
      <c r="R77" t="str">
        <f t="shared" ca="1" si="13"/>
        <v>marnto2330.jpg</v>
      </c>
      <c r="T77" s="4"/>
      <c r="V77">
        <f ca="1">RANDBETWEEN(2,COUNTA(rua_cod!A:A))</f>
        <v>29</v>
      </c>
      <c r="W77">
        <f t="shared" ca="1" si="14"/>
        <v>3</v>
      </c>
      <c r="X77">
        <f t="shared" ca="1" si="15"/>
        <v>2</v>
      </c>
      <c r="Y77">
        <f t="shared" ca="1" si="16"/>
        <v>2012</v>
      </c>
      <c r="Z77">
        <f t="shared" ca="1" si="17"/>
        <v>2</v>
      </c>
      <c r="AA77">
        <f t="shared" ca="1" si="18"/>
        <v>8</v>
      </c>
      <c r="AB77">
        <f t="shared" ca="1" si="19"/>
        <v>8</v>
      </c>
    </row>
    <row r="78" spans="1:28" x14ac:dyDescent="0.25">
      <c r="A78">
        <v>77</v>
      </c>
      <c r="B78" t="str" cm="1">
        <f t="array" aca="1" ref="B78" ca="1">replaceChar(LOWER(LEFT(D78,3)&amp;RIGHT(I78,3))&amp;LEFT(H78,4))</f>
        <v>andora2610</v>
      </c>
      <c r="C78" t="str">
        <f t="shared" ca="1" si="10"/>
        <v>pswandora2610</v>
      </c>
      <c r="D78" t="str">
        <f ca="1">Nomes!T79</f>
        <v>André Matilde Barros Antunes</v>
      </c>
      <c r="E78" t="str">
        <f ca="1">Nomes!S79</f>
        <v>Masculino</v>
      </c>
      <c r="F78" s="2">
        <v>24983</v>
      </c>
      <c r="G78" t="str" cm="1">
        <f t="array" aca="1" ref="G78" ca="1">INDEX(rua_cod!$F:$F,RANDBETWEEN(2,COUNTA(rua_cod!F:F)))</f>
        <v>Calçada do Poço dos Mouros</v>
      </c>
      <c r="H78" t="str" cm="1">
        <f t="array" aca="1" ref="H78" ca="1">INDEX(rua_cod!$A:$A,Users!V78) &amp; "-" &amp; TEXT(RANDBETWEEN(0,999),"000")</f>
        <v>2610-378</v>
      </c>
      <c r="I78" t="str" cm="1">
        <f t="array" aca="1" ref="I78" ca="1">INDEX(rua_cod!$B:$B,Users!V78)</f>
        <v>Amadora</v>
      </c>
      <c r="J78" t="s">
        <v>3727</v>
      </c>
      <c r="K78" t="s">
        <v>225</v>
      </c>
      <c r="L78" t="s">
        <v>265</v>
      </c>
      <c r="M78" t="str">
        <f t="shared" ca="1" si="11"/>
        <v>99096627</v>
      </c>
      <c r="N78" t="str">
        <f t="shared" ca="1" si="12"/>
        <v>571273934</v>
      </c>
      <c r="O78" t="str">
        <f t="shared" ca="1" si="12"/>
        <v>566765614</v>
      </c>
      <c r="P78" t="str" cm="1">
        <f t="array" aca="1" ref="P78" ca="1">9 &amp; INDEX($AF$3:$AF$6,W78)&amp; TEXT(RANDBETWEEN(0,9999999),"0000000")</f>
        <v>968609445</v>
      </c>
      <c r="Q78" t="str" cm="1">
        <f t="array" aca="1" ref="Q78" ca="1">LOWER(B78) &amp; INDEX($AF$9:$AF$11,X78)</f>
        <v>andora2610@gmail.com</v>
      </c>
      <c r="R78" t="str">
        <f t="shared" ca="1" si="13"/>
        <v>andora2610.jpg</v>
      </c>
      <c r="T78" s="4"/>
      <c r="V78">
        <f ca="1">RANDBETWEEN(2,COUNTA(rua_cod!A:A))</f>
        <v>12</v>
      </c>
      <c r="W78">
        <f t="shared" ca="1" si="14"/>
        <v>4</v>
      </c>
      <c r="X78">
        <f t="shared" ca="1" si="15"/>
        <v>2</v>
      </c>
      <c r="Y78">
        <f t="shared" ca="1" si="16"/>
        <v>1956</v>
      </c>
      <c r="Z78">
        <f t="shared" ca="1" si="17"/>
        <v>11</v>
      </c>
      <c r="AA78">
        <f t="shared" ca="1" si="18"/>
        <v>3</v>
      </c>
      <c r="AB78">
        <f t="shared" ca="1" si="19"/>
        <v>64</v>
      </c>
    </row>
    <row r="79" spans="1:28" x14ac:dyDescent="0.25">
      <c r="A79">
        <v>78</v>
      </c>
      <c r="B79" t="str" cm="1">
        <f t="array" aca="1" ref="B79" ca="1">replaceChar(LOWER(LEFT(D79,3)&amp;RIGHT(I79,3))&amp;LEFT(H79,4))</f>
        <v>danbal2900</v>
      </c>
      <c r="C79" t="str">
        <f t="shared" ca="1" si="10"/>
        <v>pswdanbal2900</v>
      </c>
      <c r="D79" t="str">
        <f ca="1">Nomes!T80</f>
        <v>Daniela Daniela Simões Batista</v>
      </c>
      <c r="E79" t="str">
        <f ca="1">Nomes!S80</f>
        <v>Feminino</v>
      </c>
      <c r="F79" s="2">
        <v>28641</v>
      </c>
      <c r="G79" t="str" cm="1">
        <f t="array" aca="1" ref="G79" ca="1">INDEX(rua_cod!$F:$F,RANDBETWEEN(2,COUNTA(rua_cod!F:F)))</f>
        <v>Rua do Salitre</v>
      </c>
      <c r="H79" t="str" cm="1">
        <f t="array" aca="1" ref="H79" ca="1">INDEX(rua_cod!$A:$A,Users!V79) &amp; "-" &amp; TEXT(RANDBETWEEN(0,999),"000")</f>
        <v>2900-376</v>
      </c>
      <c r="I79" t="str" cm="1">
        <f t="array" aca="1" ref="I79" ca="1">INDEX(rua_cod!$B:$B,Users!V79)</f>
        <v>Setúbal</v>
      </c>
      <c r="J79" t="s">
        <v>3727</v>
      </c>
      <c r="K79" t="s">
        <v>225</v>
      </c>
      <c r="L79" t="s">
        <v>265</v>
      </c>
      <c r="M79" t="str">
        <f t="shared" ca="1" si="11"/>
        <v>16089937</v>
      </c>
      <c r="N79" t="str">
        <f t="shared" ca="1" si="12"/>
        <v>681038512</v>
      </c>
      <c r="O79" t="str">
        <f t="shared" ca="1" si="12"/>
        <v>337063974</v>
      </c>
      <c r="P79" t="str" cm="1">
        <f t="array" aca="1" ref="P79" ca="1">9 &amp; INDEX($AF$3:$AF$6,W79)&amp; TEXT(RANDBETWEEN(0,9999999),"0000000")</f>
        <v>924442456</v>
      </c>
      <c r="Q79" t="str" cm="1">
        <f t="array" aca="1" ref="Q79" ca="1">LOWER(B79) &amp; INDEX($AF$9:$AF$11,X79)</f>
        <v>danbal2900@sapo.pt</v>
      </c>
      <c r="R79" t="str">
        <f t="shared" ca="1" si="13"/>
        <v>danbal2900.jpg</v>
      </c>
      <c r="T79" s="4"/>
      <c r="V79">
        <f ca="1">RANDBETWEEN(2,COUNTA(rua_cod!A:A))</f>
        <v>96</v>
      </c>
      <c r="W79">
        <f t="shared" ca="1" si="14"/>
        <v>2</v>
      </c>
      <c r="X79">
        <f t="shared" ca="1" si="15"/>
        <v>3</v>
      </c>
      <c r="Y79">
        <f t="shared" ca="1" si="16"/>
        <v>1971</v>
      </c>
      <c r="Z79">
        <f t="shared" ca="1" si="17"/>
        <v>5</v>
      </c>
      <c r="AA79">
        <f t="shared" ca="1" si="18"/>
        <v>10</v>
      </c>
      <c r="AB79">
        <f t="shared" ca="1" si="19"/>
        <v>49</v>
      </c>
    </row>
    <row r="80" spans="1:28" x14ac:dyDescent="0.25">
      <c r="A80">
        <v>79</v>
      </c>
      <c r="B80" t="str" cm="1">
        <f t="array" aca="1" ref="B80" ca="1">replaceChar(LOWER(LEFT(D80,3)&amp;RIGHT(I80,3))&amp;LEFT(H80,4))</f>
        <v>bruria2423</v>
      </c>
      <c r="C80" t="str">
        <f t="shared" ca="1" si="10"/>
        <v>pswbruria2423</v>
      </c>
      <c r="D80" t="str">
        <f ca="1">Nomes!T81</f>
        <v>Bruno Diogo Pacheco Neves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Rua do Sol a Santana</v>
      </c>
      <c r="H80" t="str" cm="1">
        <f t="array" aca="1" ref="H80" ca="1">INDEX(rua_cod!$A:$A,Users!V80) &amp; "-" &amp; TEXT(RANDBETWEEN(0,999),"000")</f>
        <v>2423-991</v>
      </c>
      <c r="I80" t="str" cm="1">
        <f t="array" aca="1" ref="I80" ca="1">INDEX(rua_cod!$B:$B,Users!V80)</f>
        <v>Leiria</v>
      </c>
      <c r="J80" t="s">
        <v>3727</v>
      </c>
      <c r="K80" t="s">
        <v>225</v>
      </c>
      <c r="L80" t="s">
        <v>265</v>
      </c>
      <c r="M80" t="str">
        <f t="shared" ca="1" si="11"/>
        <v>94710340</v>
      </c>
      <c r="N80" t="str">
        <f t="shared" ca="1" si="12"/>
        <v>839440038</v>
      </c>
      <c r="O80" t="str">
        <f t="shared" ca="1" si="12"/>
        <v>803561027</v>
      </c>
      <c r="P80" t="str" cm="1">
        <f t="array" aca="1" ref="P80" ca="1">9 &amp; INDEX($AF$3:$AF$6,W80)&amp; TEXT(RANDBETWEEN(0,9999999),"0000000")</f>
        <v>920349133</v>
      </c>
      <c r="Q80" t="str" cm="1">
        <f t="array" aca="1" ref="Q80" ca="1">LOWER(B80) &amp; INDEX($AF$9:$AF$11,X80)</f>
        <v>bruria2423@sapo.pt</v>
      </c>
      <c r="R80" t="str">
        <f t="shared" ca="1" si="13"/>
        <v>bruria2423.jpg</v>
      </c>
      <c r="T80" s="4"/>
      <c r="V80">
        <f ca="1">RANDBETWEEN(2,COUNTA(rua_cod!A:A))</f>
        <v>38</v>
      </c>
      <c r="W80">
        <f t="shared" ca="1" si="14"/>
        <v>2</v>
      </c>
      <c r="X80">
        <f t="shared" ca="1" si="15"/>
        <v>3</v>
      </c>
      <c r="Y80">
        <f t="shared" ca="1" si="16"/>
        <v>1944</v>
      </c>
      <c r="Z80">
        <f t="shared" ca="1" si="17"/>
        <v>11</v>
      </c>
      <c r="AA80">
        <f t="shared" ca="1" si="18"/>
        <v>30</v>
      </c>
      <c r="AB80">
        <f t="shared" ca="1" si="19"/>
        <v>76</v>
      </c>
    </row>
    <row r="81" spans="1:28" x14ac:dyDescent="0.25">
      <c r="A81">
        <v>80</v>
      </c>
      <c r="B81" t="str" cm="1">
        <f t="array" aca="1" ref="B81" ca="1">replaceChar(LOWER(LEFT(D81,3)&amp;RIGHT(I81,3))&amp;LEFT(H81,4))</f>
        <v>brubra3000</v>
      </c>
      <c r="C81" t="str">
        <f t="shared" ca="1" si="10"/>
        <v>pswbrubra3000</v>
      </c>
      <c r="D81" t="str">
        <f ca="1">Nomes!T82</f>
        <v>Bruno Francisca Nascimento Amaral</v>
      </c>
      <c r="E81" t="str">
        <f ca="1">Nomes!S82</f>
        <v>Masculino</v>
      </c>
      <c r="F81" s="2">
        <v>22527</v>
      </c>
      <c r="G81" t="str" cm="1">
        <f t="array" aca="1" ref="G81" ca="1">INDEX(rua_cod!$F:$F,RANDBETWEEN(2,COUNTA(rua_cod!F:F)))</f>
        <v>Rua General Morais Sarmento</v>
      </c>
      <c r="H81" t="str" cm="1">
        <f t="array" aca="1" ref="H81" ca="1">INDEX(rua_cod!$A:$A,Users!V81) &amp; "-" &amp; TEXT(RANDBETWEEN(0,999),"000")</f>
        <v>3000-978</v>
      </c>
      <c r="I81" t="str" cm="1">
        <f t="array" aca="1" ref="I81" ca="1">INDEX(rua_cod!$B:$B,Users!V81)</f>
        <v>Coimbra</v>
      </c>
      <c r="J81" t="s">
        <v>3727</v>
      </c>
      <c r="K81" t="s">
        <v>225</v>
      </c>
      <c r="L81" t="s">
        <v>265</v>
      </c>
      <c r="M81" t="str">
        <f t="shared" ca="1" si="11"/>
        <v>22987755</v>
      </c>
      <c r="N81" t="str">
        <f t="shared" ca="1" si="12"/>
        <v>856216586</v>
      </c>
      <c r="O81" t="str">
        <f t="shared" ca="1" si="12"/>
        <v>287831986</v>
      </c>
      <c r="P81" t="str" cm="1">
        <f t="array" aca="1" ref="P81" ca="1">9 &amp; INDEX($AF$3:$AF$6,W81)&amp; TEXT(RANDBETWEEN(0,9999999),"0000000")</f>
        <v>963701206</v>
      </c>
      <c r="Q81" t="str" cm="1">
        <f t="array" aca="1" ref="Q81" ca="1">LOWER(B81) &amp; INDEX($AF$9:$AF$11,X81)</f>
        <v>brubra3000@outlook.com</v>
      </c>
      <c r="R81" t="str">
        <f t="shared" ca="1" si="13"/>
        <v>brubra3000.jpg</v>
      </c>
      <c r="T81" s="4"/>
      <c r="V81">
        <f ca="1">RANDBETWEEN(2,COUNTA(rua_cod!A:A))</f>
        <v>26</v>
      </c>
      <c r="W81">
        <f t="shared" ca="1" si="14"/>
        <v>4</v>
      </c>
      <c r="X81">
        <f t="shared" ca="1" si="15"/>
        <v>1</v>
      </c>
      <c r="Y81">
        <f t="shared" ca="1" si="16"/>
        <v>1940</v>
      </c>
      <c r="Z81">
        <f t="shared" ca="1" si="17"/>
        <v>8</v>
      </c>
      <c r="AA81">
        <f t="shared" ca="1" si="18"/>
        <v>8</v>
      </c>
      <c r="AB81">
        <f t="shared" ca="1" si="19"/>
        <v>80</v>
      </c>
    </row>
    <row r="82" spans="1:28" x14ac:dyDescent="0.25">
      <c r="A82">
        <v>81</v>
      </c>
      <c r="B82" t="str" cm="1">
        <f t="array" aca="1" ref="B82" ca="1">replaceChar(LOWER(LEFT(D82,3)&amp;RIGHT(I82,3))&amp;LEFT(H82,4))</f>
        <v>marora2700</v>
      </c>
      <c r="C82" t="str">
        <f t="shared" ca="1" si="10"/>
        <v>pswmarora2700</v>
      </c>
      <c r="D82" t="str">
        <f ca="1">Nomes!T83</f>
        <v>Marco Bruno Soares Barbosa</v>
      </c>
      <c r="E82" t="str">
        <f ca="1">Nomes!S83</f>
        <v>Masculino</v>
      </c>
      <c r="F82" s="2">
        <v>12686</v>
      </c>
      <c r="G82" t="str" cm="1">
        <f t="array" aca="1" ref="G82" ca="1">INDEX(rua_cod!$F:$F,RANDBETWEEN(2,COUNTA(rua_cod!F:F)))</f>
        <v>Rua do Sacramento à Lapa</v>
      </c>
      <c r="H82" t="str" cm="1">
        <f t="array" aca="1" ref="H82" ca="1">INDEX(rua_cod!$A:$A,Users!V82) &amp; "-" &amp; TEXT(RANDBETWEEN(0,999),"000")</f>
        <v>2700-899</v>
      </c>
      <c r="I82" t="str" cm="1">
        <f t="array" aca="1" ref="I82" ca="1">INDEX(rua_cod!$B:$B,Users!V82)</f>
        <v>Amadora</v>
      </c>
      <c r="J82" t="s">
        <v>3727</v>
      </c>
      <c r="K82" t="s">
        <v>225</v>
      </c>
      <c r="L82" t="s">
        <v>265</v>
      </c>
      <c r="M82" t="str">
        <f t="shared" ca="1" si="11"/>
        <v>59922119</v>
      </c>
      <c r="N82" t="str">
        <f t="shared" ca="1" si="12"/>
        <v>690616210</v>
      </c>
      <c r="O82" t="str">
        <f t="shared" ca="1" si="12"/>
        <v>934502919</v>
      </c>
      <c r="P82" t="str" cm="1">
        <f t="array" aca="1" ref="P82" ca="1">9 &amp; INDEX($AF$3:$AF$6,W82)&amp; TEXT(RANDBETWEEN(0,9999999),"0000000")</f>
        <v>915281984</v>
      </c>
      <c r="Q82" t="str" cm="1">
        <f t="array" aca="1" ref="Q82" ca="1">LOWER(B82) &amp; INDEX($AF$9:$AF$11,X82)</f>
        <v>marora2700@gmail.com</v>
      </c>
      <c r="R82" t="str">
        <f t="shared" ca="1" si="13"/>
        <v>marora2700.jpg</v>
      </c>
      <c r="T82" s="4"/>
      <c r="V82">
        <f ca="1">RANDBETWEEN(2,COUNTA(rua_cod!A:A))</f>
        <v>10</v>
      </c>
      <c r="W82">
        <f t="shared" ca="1" si="14"/>
        <v>1</v>
      </c>
      <c r="X82">
        <f t="shared" ca="1" si="15"/>
        <v>2</v>
      </c>
      <c r="Y82">
        <f t="shared" ca="1" si="16"/>
        <v>1936</v>
      </c>
      <c r="Z82">
        <f t="shared" ca="1" si="17"/>
        <v>5</v>
      </c>
      <c r="AA82">
        <f t="shared" ca="1" si="18"/>
        <v>12</v>
      </c>
      <c r="AB82">
        <f t="shared" ca="1" si="19"/>
        <v>84</v>
      </c>
    </row>
    <row r="83" spans="1:28" x14ac:dyDescent="0.25">
      <c r="A83">
        <v>82</v>
      </c>
      <c r="B83" t="str" cm="1">
        <f t="array" aca="1" ref="B83" ca="1">replaceChar(LOWER(LEFT(D83,3)&amp;RIGHT(I83,3))&amp;LEFT(H83,4))</f>
        <v>carboa1000</v>
      </c>
      <c r="C83" t="str">
        <f t="shared" ca="1" si="10"/>
        <v>pswcarboa1000</v>
      </c>
      <c r="D83" t="str">
        <f ca="1">Nomes!T84</f>
        <v>Carolina Afonso Anjos Leal</v>
      </c>
      <c r="E83" t="str">
        <f ca="1">Nomes!S84</f>
        <v>Feminino</v>
      </c>
      <c r="F83" s="2">
        <v>36263</v>
      </c>
      <c r="G83" t="str" cm="1">
        <f t="array" aca="1" ref="G83" ca="1">INDEX(rua_cod!$F:$F,RANDBETWEEN(2,COUNTA(rua_cod!F:F)))</f>
        <v>Estrada Militar</v>
      </c>
      <c r="H83" t="str" cm="1">
        <f t="array" aca="1" ref="H83" ca="1">INDEX(rua_cod!$A:$A,Users!V83) &amp; "-" &amp; TEXT(RANDBETWEEN(0,999),"000")</f>
        <v>1000-139</v>
      </c>
      <c r="I83" t="str" cm="1">
        <f t="array" aca="1" ref="I83" ca="1">INDEX(rua_cod!$B:$B,Users!V83)</f>
        <v>Lisboa</v>
      </c>
      <c r="J83" t="s">
        <v>3727</v>
      </c>
      <c r="K83" t="s">
        <v>225</v>
      </c>
      <c r="L83" t="s">
        <v>265</v>
      </c>
      <c r="M83" t="str">
        <f t="shared" ca="1" si="11"/>
        <v>75803723</v>
      </c>
      <c r="N83" t="str">
        <f t="shared" ca="1" si="12"/>
        <v>485352008</v>
      </c>
      <c r="O83" t="str">
        <f t="shared" ca="1" si="12"/>
        <v>701196534</v>
      </c>
      <c r="P83" t="str" cm="1">
        <f t="array" aca="1" ref="P83" ca="1">9 &amp; INDEX($AF$3:$AF$6,W83)&amp; TEXT(RANDBETWEEN(0,9999999),"0000000")</f>
        <v>914130250</v>
      </c>
      <c r="Q83" t="str" cm="1">
        <f t="array" aca="1" ref="Q83" ca="1">LOWER(B83) &amp; INDEX($AF$9:$AF$11,X83)</f>
        <v>carboa1000@gmail.com</v>
      </c>
      <c r="R83" t="str">
        <f t="shared" ca="1" si="13"/>
        <v>carboa1000.jpg</v>
      </c>
      <c r="T83" s="4"/>
      <c r="V83">
        <f ca="1">RANDBETWEEN(2,COUNTA(rua_cod!A:A))</f>
        <v>62</v>
      </c>
      <c r="W83">
        <f t="shared" ca="1" si="14"/>
        <v>1</v>
      </c>
      <c r="X83">
        <f t="shared" ca="1" si="15"/>
        <v>2</v>
      </c>
      <c r="Y83">
        <f t="shared" ca="1" si="16"/>
        <v>1956</v>
      </c>
      <c r="Z83">
        <f t="shared" ca="1" si="17"/>
        <v>6</v>
      </c>
      <c r="AA83">
        <f t="shared" ca="1" si="18"/>
        <v>27</v>
      </c>
      <c r="AB83">
        <f t="shared" ca="1" si="19"/>
        <v>64</v>
      </c>
    </row>
    <row r="84" spans="1:28" x14ac:dyDescent="0.25">
      <c r="A84">
        <v>83</v>
      </c>
      <c r="B84" t="str" cm="1">
        <f t="array" aca="1" ref="B84" ca="1">replaceChar(LOWER(LEFT(D84,3)&amp;RIGHT(I84,3))&amp;LEFT(H84,4))</f>
        <v>sanboa1600</v>
      </c>
      <c r="C84" t="str">
        <f t="shared" ca="1" si="10"/>
        <v>pswsanboa1600</v>
      </c>
      <c r="D84" t="str">
        <f ca="1">Nomes!T85</f>
        <v>Santiago Beatriz Pereira Guerreiro</v>
      </c>
      <c r="E84" t="str">
        <f ca="1">Nomes!S85</f>
        <v>Masculino</v>
      </c>
      <c r="F84" s="2">
        <v>13617</v>
      </c>
      <c r="G84" t="str" cm="1">
        <f t="array" aca="1" ref="G84" ca="1">INDEX(rua_cod!$F:$F,RANDBETWEEN(2,COUNTA(rua_cod!F:F)))</f>
        <v>Rua do Instituto Bacteriológico</v>
      </c>
      <c r="H84" t="str" cm="1">
        <f t="array" aca="1" ref="H84" ca="1">INDEX(rua_cod!$A:$A,Users!V84) &amp; "-" &amp; TEXT(RANDBETWEEN(0,999),"000")</f>
        <v>1600-135</v>
      </c>
      <c r="I84" t="str" cm="1">
        <f t="array" aca="1" ref="I84" ca="1">INDEX(rua_cod!$B:$B,Users!V84)</f>
        <v>Lisboa</v>
      </c>
      <c r="J84" t="s">
        <v>3727</v>
      </c>
      <c r="K84" t="s">
        <v>225</v>
      </c>
      <c r="L84" t="s">
        <v>265</v>
      </c>
      <c r="M84" t="str">
        <f t="shared" ca="1" si="11"/>
        <v>58413506</v>
      </c>
      <c r="N84" t="str">
        <f t="shared" ca="1" si="12"/>
        <v>147179722</v>
      </c>
      <c r="O84" t="str">
        <f t="shared" ca="1" si="12"/>
        <v>177443172</v>
      </c>
      <c r="P84" t="str" cm="1">
        <f t="array" aca="1" ref="P84" ca="1">9 &amp; INDEX($AF$3:$AF$6,W84)&amp; TEXT(RANDBETWEEN(0,9999999),"0000000")</f>
        <v>915534945</v>
      </c>
      <c r="Q84" t="str" cm="1">
        <f t="array" aca="1" ref="Q84" ca="1">LOWER(B84) &amp; INDEX($AF$9:$AF$11,X84)</f>
        <v>sanboa1600@gmail.com</v>
      </c>
      <c r="R84" t="str">
        <f t="shared" ca="1" si="13"/>
        <v>sanboa1600.jpg</v>
      </c>
      <c r="T84" s="4"/>
      <c r="V84">
        <f ca="1">RANDBETWEEN(2,COUNTA(rua_cod!A:A))</f>
        <v>60</v>
      </c>
      <c r="W84">
        <f t="shared" ca="1" si="14"/>
        <v>1</v>
      </c>
      <c r="X84">
        <f t="shared" ca="1" si="15"/>
        <v>2</v>
      </c>
      <c r="Y84">
        <f t="shared" ca="1" si="16"/>
        <v>1977</v>
      </c>
      <c r="Z84">
        <f t="shared" ca="1" si="17"/>
        <v>8</v>
      </c>
      <c r="AA84">
        <f t="shared" ca="1" si="18"/>
        <v>23</v>
      </c>
      <c r="AB84">
        <f t="shared" ca="1" si="19"/>
        <v>43</v>
      </c>
    </row>
    <row r="85" spans="1:28" x14ac:dyDescent="0.25">
      <c r="A85">
        <v>84</v>
      </c>
      <c r="B85" t="str" cm="1">
        <f t="array" aca="1" ref="B85" ca="1">replaceChar(LOWER(LEFT(D85,3)&amp;RIGHT(I85,3))&amp;LEFT(H85,4))</f>
        <v>sanboa1199</v>
      </c>
      <c r="C85" t="str">
        <f t="shared" ca="1" si="10"/>
        <v>pswsanboa1199</v>
      </c>
      <c r="D85" t="str">
        <f ca="1">Nomes!T86</f>
        <v>Santiago Afonso Neves Monteiro</v>
      </c>
      <c r="E85" t="str">
        <f ca="1">Nomes!S86</f>
        <v>Masculino</v>
      </c>
      <c r="F85" s="2">
        <v>41552</v>
      </c>
      <c r="G85" t="str" cm="1">
        <f t="array" aca="1" ref="G85" ca="1">INDEX(rua_cod!$F:$F,RANDBETWEEN(2,COUNTA(rua_cod!F:F)))</f>
        <v>Rua dos Heróis de Quionga</v>
      </c>
      <c r="H85" t="str" cm="1">
        <f t="array" aca="1" ref="H85" ca="1">INDEX(rua_cod!$A:$A,Users!V85) &amp; "-" &amp; TEXT(RANDBETWEEN(0,999),"000")</f>
        <v>1199-209</v>
      </c>
      <c r="I85" t="str" cm="1">
        <f t="array" aca="1" ref="I85" ca="1">INDEX(rua_cod!$B:$B,Users!V85)</f>
        <v>Lisboa</v>
      </c>
      <c r="J85" t="s">
        <v>3727</v>
      </c>
      <c r="K85" t="s">
        <v>225</v>
      </c>
      <c r="L85" t="s">
        <v>265</v>
      </c>
      <c r="M85" t="str">
        <f t="shared" ca="1" si="11"/>
        <v>41906763</v>
      </c>
      <c r="N85" t="str">
        <f t="shared" ca="1" si="12"/>
        <v>653090404</v>
      </c>
      <c r="O85" t="str">
        <f t="shared" ca="1" si="12"/>
        <v>244166709</v>
      </c>
      <c r="P85" t="str" cm="1">
        <f t="array" aca="1" ref="P85" ca="1">9 &amp; INDEX($AF$3:$AF$6,W85)&amp; TEXT(RANDBETWEEN(0,9999999),"0000000")</f>
        <v>931376112</v>
      </c>
      <c r="Q85" t="str" cm="1">
        <f t="array" aca="1" ref="Q85" ca="1">LOWER(B85) &amp; INDEX($AF$9:$AF$11,X85)</f>
        <v>sanboa1199@gmail.com</v>
      </c>
      <c r="R85" t="str">
        <f t="shared" ca="1" si="13"/>
        <v>sanboa1199.jpg</v>
      </c>
      <c r="T85" s="4"/>
      <c r="V85">
        <f ca="1">RANDBETWEEN(2,COUNTA(rua_cod!A:A))</f>
        <v>65</v>
      </c>
      <c r="W85">
        <f t="shared" ca="1" si="14"/>
        <v>3</v>
      </c>
      <c r="X85">
        <f t="shared" ca="1" si="15"/>
        <v>2</v>
      </c>
      <c r="Y85">
        <f t="shared" ca="1" si="16"/>
        <v>1989</v>
      </c>
      <c r="Z85">
        <f t="shared" ca="1" si="17"/>
        <v>2</v>
      </c>
      <c r="AA85">
        <f t="shared" ca="1" si="18"/>
        <v>12</v>
      </c>
      <c r="AB85">
        <f t="shared" ca="1" si="19"/>
        <v>31</v>
      </c>
    </row>
    <row r="86" spans="1:28" x14ac:dyDescent="0.25">
      <c r="A86">
        <v>85</v>
      </c>
      <c r="B86" t="str" cm="1">
        <f t="array" aca="1" ref="B86" ca="1">replaceChar(LOWER(LEFT(D86,3)&amp;RIGHT(I86,3))&amp;LEFT(H86,4))</f>
        <v>larboa1269</v>
      </c>
      <c r="C86" t="str">
        <f t="shared" ca="1" si="10"/>
        <v>pswlarboa1269</v>
      </c>
      <c r="D86" t="str">
        <f ca="1">Nomes!T87</f>
        <v>Lara Miguel Figueiredo Borges</v>
      </c>
      <c r="E86" t="str">
        <f ca="1">Nomes!S87</f>
        <v>Feminino</v>
      </c>
      <c r="F86" s="2">
        <v>27773</v>
      </c>
      <c r="G86" t="str" cm="1">
        <f t="array" aca="1" ref="G86" ca="1">INDEX(rua_cod!$F:$F,RANDBETWEEN(2,COUNTA(rua_cod!F:F)))</f>
        <v>Rua Ferreira Lapa</v>
      </c>
      <c r="H86" t="str" cm="1">
        <f t="array" aca="1" ref="H86" ca="1">INDEX(rua_cod!$A:$A,Users!V86) &amp; "-" &amp; TEXT(RANDBETWEEN(0,999),"000")</f>
        <v>1269-992</v>
      </c>
      <c r="I86" t="str" cm="1">
        <f t="array" aca="1" ref="I86" ca="1">INDEX(rua_cod!$B:$B,Users!V86)</f>
        <v>Lisboa</v>
      </c>
      <c r="J86" t="s">
        <v>3727</v>
      </c>
      <c r="K86" t="s">
        <v>225</v>
      </c>
      <c r="L86" t="s">
        <v>265</v>
      </c>
      <c r="M86" t="str">
        <f t="shared" ca="1" si="11"/>
        <v>75574260</v>
      </c>
      <c r="N86" t="str">
        <f t="shared" ca="1" si="12"/>
        <v>894951225</v>
      </c>
      <c r="O86" t="str">
        <f t="shared" ca="1" si="12"/>
        <v>338366277</v>
      </c>
      <c r="P86" t="str" cm="1">
        <f t="array" aca="1" ref="P86" ca="1">9 &amp; INDEX($AF$3:$AF$6,W86)&amp; TEXT(RANDBETWEEN(0,9999999),"0000000")</f>
        <v>929468621</v>
      </c>
      <c r="Q86" t="str" cm="1">
        <f t="array" aca="1" ref="Q86" ca="1">LOWER(B86) &amp; INDEX($AF$9:$AF$11,X86)</f>
        <v>larboa1269@sapo.pt</v>
      </c>
      <c r="R86" t="str">
        <f t="shared" ca="1" si="13"/>
        <v>larboa1269.jpg</v>
      </c>
      <c r="T86" s="4"/>
      <c r="V86">
        <f ca="1">RANDBETWEEN(2,COUNTA(rua_cod!A:A))</f>
        <v>52</v>
      </c>
      <c r="W86">
        <f t="shared" ca="1" si="14"/>
        <v>2</v>
      </c>
      <c r="X86">
        <f t="shared" ca="1" si="15"/>
        <v>3</v>
      </c>
      <c r="Y86">
        <f t="shared" ca="1" si="16"/>
        <v>1978</v>
      </c>
      <c r="Z86">
        <f t="shared" ca="1" si="17"/>
        <v>12</v>
      </c>
      <c r="AA86">
        <f t="shared" ca="1" si="18"/>
        <v>19</v>
      </c>
      <c r="AB86">
        <f t="shared" ca="1" si="19"/>
        <v>42</v>
      </c>
    </row>
    <row r="87" spans="1:28" x14ac:dyDescent="0.25">
      <c r="A87">
        <v>86</v>
      </c>
      <c r="B87" t="str" cm="1">
        <f t="array" aca="1" ref="B87" ca="1">replaceChar(LOWER(LEFT(D87,3)&amp;RIGHT(I87,3))&amp;LEFT(H87,4))</f>
        <v>marnto2330</v>
      </c>
      <c r="C87" t="str">
        <f t="shared" ca="1" si="10"/>
        <v>pswmarnto2330</v>
      </c>
      <c r="D87" t="str">
        <f ca="1">Nomes!T88</f>
        <v>Mariana Bruno Anjos Sá</v>
      </c>
      <c r="E87" t="str">
        <f ca="1">Nomes!S88</f>
        <v>Feminino</v>
      </c>
      <c r="F87" s="2">
        <v>27273</v>
      </c>
      <c r="G87" t="str" cm="1">
        <f t="array" aca="1" ref="G87" ca="1">INDEX(rua_cod!$F:$F,RANDBETWEEN(2,COUNTA(rua_cod!F:F)))</f>
        <v>Rua da Junqueira</v>
      </c>
      <c r="H87" t="str" cm="1">
        <f t="array" aca="1" ref="H87" ca="1">INDEX(rua_cod!$A:$A,Users!V87) &amp; "-" &amp; TEXT(RANDBETWEEN(0,999),"000")</f>
        <v>2330-659</v>
      </c>
      <c r="I87" t="str" cm="1">
        <f t="array" aca="1" ref="I87" ca="1">INDEX(rua_cod!$B:$B,Users!V87)</f>
        <v>Entroncamento</v>
      </c>
      <c r="J87" t="s">
        <v>3727</v>
      </c>
      <c r="K87" t="s">
        <v>225</v>
      </c>
      <c r="L87" t="s">
        <v>265</v>
      </c>
      <c r="M87" t="str">
        <f t="shared" ca="1" si="11"/>
        <v>26481606</v>
      </c>
      <c r="N87" t="str">
        <f t="shared" ca="1" si="12"/>
        <v>324305586</v>
      </c>
      <c r="O87" t="str">
        <f t="shared" ca="1" si="12"/>
        <v>825889574</v>
      </c>
      <c r="P87" t="str" cm="1">
        <f t="array" aca="1" ref="P87" ca="1">9 &amp; INDEX($AF$3:$AF$6,W87)&amp; TEXT(RANDBETWEEN(0,9999999),"0000000")</f>
        <v>969551088</v>
      </c>
      <c r="Q87" t="str" cm="1">
        <f t="array" aca="1" ref="Q87" ca="1">LOWER(B87) &amp; INDEX($AF$9:$AF$11,X87)</f>
        <v>marnto2330@outlook.com</v>
      </c>
      <c r="R87" t="str">
        <f t="shared" ca="1" si="13"/>
        <v>marnto2330.jpg</v>
      </c>
      <c r="T87" s="4"/>
      <c r="V87">
        <f ca="1">RANDBETWEEN(2,COUNTA(rua_cod!A:A))</f>
        <v>29</v>
      </c>
      <c r="W87">
        <f t="shared" ca="1" si="14"/>
        <v>4</v>
      </c>
      <c r="X87">
        <f t="shared" ca="1" si="15"/>
        <v>1</v>
      </c>
      <c r="Y87">
        <f t="shared" ca="1" si="16"/>
        <v>1962</v>
      </c>
      <c r="Z87">
        <f t="shared" ca="1" si="17"/>
        <v>5</v>
      </c>
      <c r="AA87">
        <f t="shared" ca="1" si="18"/>
        <v>20</v>
      </c>
      <c r="AB87">
        <f t="shared" ca="1" si="19"/>
        <v>58</v>
      </c>
    </row>
    <row r="88" spans="1:28" x14ac:dyDescent="0.25">
      <c r="A88">
        <v>87</v>
      </c>
      <c r="B88" t="str" cm="1">
        <f t="array" aca="1" ref="B88" ca="1">replaceChar(LOWER(LEFT(D88,3)&amp;RIGHT(I88,3))&amp;LEFT(H88,4))</f>
        <v>verboa1900</v>
      </c>
      <c r="C88" t="str">
        <f t="shared" ca="1" si="10"/>
        <v>pswverboa1900</v>
      </c>
      <c r="D88" t="str">
        <f ca="1">Nomes!T89</f>
        <v>Vera Pedro Oliveira Baptista</v>
      </c>
      <c r="E88" t="str">
        <f ca="1">Nomes!S89</f>
        <v>Feminino</v>
      </c>
      <c r="F88" s="2">
        <v>33962</v>
      </c>
      <c r="G88" t="str" cm="1">
        <f t="array" aca="1" ref="G88" ca="1">INDEX(rua_cod!$F:$F,RANDBETWEEN(2,COUNTA(rua_cod!F:F)))</f>
        <v>Rua da Alfândega</v>
      </c>
      <c r="H88" t="str" cm="1">
        <f t="array" aca="1" ref="H88" ca="1">INDEX(rua_cod!$A:$A,Users!V88) &amp; "-" &amp; TEXT(RANDBETWEEN(0,999),"000")</f>
        <v>1900-942</v>
      </c>
      <c r="I88" t="str" cm="1">
        <f t="array" aca="1" ref="I88" ca="1">INDEX(rua_cod!$B:$B,Users!V88)</f>
        <v>Lisboa</v>
      </c>
      <c r="J88" t="s">
        <v>3727</v>
      </c>
      <c r="K88" t="s">
        <v>225</v>
      </c>
      <c r="L88" t="s">
        <v>265</v>
      </c>
      <c r="M88" t="str">
        <f t="shared" ca="1" si="11"/>
        <v>93953759</v>
      </c>
      <c r="N88" t="str">
        <f t="shared" ca="1" si="12"/>
        <v>385429855</v>
      </c>
      <c r="O88" t="str">
        <f t="shared" ca="1" si="12"/>
        <v>412616791</v>
      </c>
      <c r="P88" t="str" cm="1">
        <f t="array" aca="1" ref="P88" ca="1">9 &amp; INDEX($AF$3:$AF$6,W88)&amp; TEXT(RANDBETWEEN(0,9999999),"0000000")</f>
        <v>967970813</v>
      </c>
      <c r="Q88" t="str" cm="1">
        <f t="array" aca="1" ref="Q88" ca="1">LOWER(B88) &amp; INDEX($AF$9:$AF$11,X88)</f>
        <v>verboa1900@gmail.com</v>
      </c>
      <c r="R88" t="str">
        <f t="shared" ca="1" si="13"/>
        <v>verboa1900.jpg</v>
      </c>
      <c r="T88" s="4"/>
      <c r="V88">
        <f ca="1">RANDBETWEEN(2,COUNTA(rua_cod!A:A))</f>
        <v>42</v>
      </c>
      <c r="W88">
        <f t="shared" ca="1" si="14"/>
        <v>4</v>
      </c>
      <c r="X88">
        <f t="shared" ca="1" si="15"/>
        <v>2</v>
      </c>
      <c r="Y88">
        <f t="shared" ca="1" si="16"/>
        <v>1979</v>
      </c>
      <c r="Z88">
        <f t="shared" ca="1" si="17"/>
        <v>6</v>
      </c>
      <c r="AA88">
        <f t="shared" ca="1" si="18"/>
        <v>23</v>
      </c>
      <c r="AB88">
        <f t="shared" ca="1" si="19"/>
        <v>41</v>
      </c>
    </row>
    <row r="89" spans="1:28" x14ac:dyDescent="0.25">
      <c r="A89">
        <v>88</v>
      </c>
      <c r="B89" t="str" cm="1">
        <f t="array" aca="1" ref="B89" ca="1">replaceChar(LOWER(LEFT(D89,3)&amp;RIGHT(I89,3))&amp;LEFT(H89,4))</f>
        <v>lauora2720</v>
      </c>
      <c r="C89" t="str">
        <f t="shared" ca="1" si="10"/>
        <v>pswlauora2720</v>
      </c>
      <c r="D89" t="str">
        <f ca="1">Nomes!T90</f>
        <v>Laura Tomás Martins Fernandes</v>
      </c>
      <c r="E89" t="str">
        <f ca="1">Nomes!S90</f>
        <v>Feminino</v>
      </c>
      <c r="F89" s="2">
        <v>16313</v>
      </c>
      <c r="G89" t="str" cm="1">
        <f t="array" aca="1" ref="G89" ca="1">INDEX(rua_cod!$F:$F,RANDBETWEEN(2,COUNTA(rua_cod!F:F)))</f>
        <v>Calçada do Poço dos Mouros</v>
      </c>
      <c r="H89" t="str" cm="1">
        <f t="array" aca="1" ref="H89" ca="1">INDEX(rua_cod!$A:$A,Users!V89) &amp; "-" &amp; TEXT(RANDBETWEEN(0,999),"000")</f>
        <v>2720-957</v>
      </c>
      <c r="I89" t="str" cm="1">
        <f t="array" aca="1" ref="I89" ca="1">INDEX(rua_cod!$B:$B,Users!V89)</f>
        <v>Amadora</v>
      </c>
      <c r="J89" t="s">
        <v>3727</v>
      </c>
      <c r="K89" t="s">
        <v>225</v>
      </c>
      <c r="L89" t="s">
        <v>265</v>
      </c>
      <c r="M89" t="str">
        <f t="shared" ca="1" si="11"/>
        <v>30578044</v>
      </c>
      <c r="N89" t="str">
        <f t="shared" ca="1" si="12"/>
        <v>106386312</v>
      </c>
      <c r="O89" t="str">
        <f t="shared" ca="1" si="12"/>
        <v>787425037</v>
      </c>
      <c r="P89" t="str" cm="1">
        <f t="array" aca="1" ref="P89" ca="1">9 &amp; INDEX($AF$3:$AF$6,W89)&amp; TEXT(RANDBETWEEN(0,9999999),"0000000")</f>
        <v>935072543</v>
      </c>
      <c r="Q89" t="str" cm="1">
        <f t="array" aca="1" ref="Q89" ca="1">LOWER(B89) &amp; INDEX($AF$9:$AF$11,X89)</f>
        <v>lauora2720@outlook.com</v>
      </c>
      <c r="R89" t="str">
        <f t="shared" ca="1" si="13"/>
        <v>lauora2720.jpg</v>
      </c>
      <c r="T89" s="4"/>
      <c r="V89">
        <f ca="1">RANDBETWEEN(2,COUNTA(rua_cod!A:A))</f>
        <v>8</v>
      </c>
      <c r="W89">
        <f t="shared" ca="1" si="14"/>
        <v>3</v>
      </c>
      <c r="X89">
        <f t="shared" ca="1" si="15"/>
        <v>1</v>
      </c>
      <c r="Y89">
        <f t="shared" ca="1" si="16"/>
        <v>1996</v>
      </c>
      <c r="Z89">
        <f t="shared" ca="1" si="17"/>
        <v>8</v>
      </c>
      <c r="AA89">
        <f t="shared" ca="1" si="18"/>
        <v>8</v>
      </c>
      <c r="AB89">
        <f t="shared" ca="1" si="19"/>
        <v>24</v>
      </c>
    </row>
    <row r="90" spans="1:28" x14ac:dyDescent="0.25">
      <c r="A90">
        <v>89</v>
      </c>
      <c r="B90" t="str" cm="1">
        <f t="array" aca="1" ref="B90" ca="1">replaceChar(LOWER(LEFT(D90,3)&amp;RIGHT(I90,3))&amp;LEFT(H90,4))</f>
        <v>fraboa1098</v>
      </c>
      <c r="C90" t="str">
        <f t="shared" ca="1" si="10"/>
        <v>pswfraboa1098</v>
      </c>
      <c r="D90" t="str">
        <f ca="1">Nomes!T91</f>
        <v>Francisco Lurdes Lima Alves</v>
      </c>
      <c r="E90" t="str">
        <f ca="1">Nomes!S91</f>
        <v>Masculino</v>
      </c>
      <c r="F90" s="2">
        <v>40133</v>
      </c>
      <c r="G90" t="str" cm="1">
        <f t="array" aca="1" ref="G90" ca="1">INDEX(rua_cod!$F:$F,RANDBETWEEN(2,COUNTA(rua_cod!F:F)))</f>
        <v>Rua da Alfândega</v>
      </c>
      <c r="H90" t="str" cm="1">
        <f t="array" aca="1" ref="H90" ca="1">INDEX(rua_cod!$A:$A,Users!V90) &amp; "-" &amp; TEXT(RANDBETWEEN(0,999),"000")</f>
        <v>1098-997</v>
      </c>
      <c r="I90" t="str" cm="1">
        <f t="array" aca="1" ref="I90" ca="1">INDEX(rua_cod!$B:$B,Users!V90)</f>
        <v>Lisboa</v>
      </c>
      <c r="J90" t="s">
        <v>3727</v>
      </c>
      <c r="K90" t="s">
        <v>225</v>
      </c>
      <c r="L90" t="s">
        <v>265</v>
      </c>
      <c r="M90" t="str">
        <f t="shared" ca="1" si="11"/>
        <v>75236588</v>
      </c>
      <c r="N90" t="str">
        <f t="shared" ca="1" si="12"/>
        <v>539880426</v>
      </c>
      <c r="O90" t="str">
        <f t="shared" ca="1" si="12"/>
        <v>264455469</v>
      </c>
      <c r="P90" t="str" cm="1">
        <f t="array" aca="1" ref="P90" ca="1">9 &amp; INDEX($AF$3:$AF$6,W90)&amp; TEXT(RANDBETWEEN(0,9999999),"0000000")</f>
        <v>918225915</v>
      </c>
      <c r="Q90" t="str" cm="1">
        <f t="array" aca="1" ref="Q90" ca="1">LOWER(B90) &amp; INDEX($AF$9:$AF$11,X90)</f>
        <v>fraboa1098@gmail.com</v>
      </c>
      <c r="R90" t="str">
        <f t="shared" ca="1" si="13"/>
        <v>fraboa1098.jpg</v>
      </c>
      <c r="T90" s="4"/>
      <c r="V90">
        <f ca="1">RANDBETWEEN(2,COUNTA(rua_cod!A:A))</f>
        <v>80</v>
      </c>
      <c r="W90">
        <f t="shared" ca="1" si="14"/>
        <v>1</v>
      </c>
      <c r="X90">
        <f t="shared" ca="1" si="15"/>
        <v>2</v>
      </c>
      <c r="Y90">
        <f t="shared" ca="1" si="16"/>
        <v>1974</v>
      </c>
      <c r="Z90">
        <f t="shared" ca="1" si="17"/>
        <v>5</v>
      </c>
      <c r="AA90">
        <f t="shared" ca="1" si="18"/>
        <v>12</v>
      </c>
      <c r="AB90">
        <f t="shared" ca="1" si="19"/>
        <v>46</v>
      </c>
    </row>
    <row r="91" spans="1:28" x14ac:dyDescent="0.25">
      <c r="A91">
        <v>90</v>
      </c>
      <c r="B91" t="str" cm="1">
        <f t="array" aca="1" ref="B91" ca="1">replaceChar(LOWER(LEFT(D91,3)&amp;RIGHT(I91,3))&amp;LEFT(H91,4))</f>
        <v>tomboa1269</v>
      </c>
      <c r="C91" t="str">
        <f t="shared" ca="1" si="10"/>
        <v>pswtomboa1269</v>
      </c>
      <c r="D91" t="str">
        <f ca="1">Nomes!T92</f>
        <v>Tomás Gabriel Matias Sá</v>
      </c>
      <c r="E91" t="str">
        <f ca="1">Nomes!S92</f>
        <v>Masculino</v>
      </c>
      <c r="F91" s="2">
        <v>16302</v>
      </c>
      <c r="G91" t="str" cm="1">
        <f t="array" aca="1" ref="G91" ca="1">INDEX(rua_cod!$F:$F,RANDBETWEEN(2,COUNTA(rua_cod!F:F)))</f>
        <v>Estrada da Circunvalação de Lisboa</v>
      </c>
      <c r="H91" t="str" cm="1">
        <f t="array" aca="1" ref="H91" ca="1">INDEX(rua_cod!$A:$A,Users!V91) &amp; "-" &amp; TEXT(RANDBETWEEN(0,999),"000")</f>
        <v>1269-993</v>
      </c>
      <c r="I91" t="str" cm="1">
        <f t="array" aca="1" ref="I91" ca="1">INDEX(rua_cod!$B:$B,Users!V91)</f>
        <v>Lisboa</v>
      </c>
      <c r="J91" t="s">
        <v>3727</v>
      </c>
      <c r="K91" t="s">
        <v>225</v>
      </c>
      <c r="L91" t="s">
        <v>265</v>
      </c>
      <c r="M91" t="str">
        <f t="shared" ca="1" si="11"/>
        <v>61567284</v>
      </c>
      <c r="N91" t="str">
        <f t="shared" ca="1" si="12"/>
        <v>447542379</v>
      </c>
      <c r="O91" t="str">
        <f t="shared" ca="1" si="12"/>
        <v>855637682</v>
      </c>
      <c r="P91" t="str" cm="1">
        <f t="array" aca="1" ref="P91" ca="1">9 &amp; INDEX($AF$3:$AF$6,W91)&amp; TEXT(RANDBETWEEN(0,9999999),"0000000")</f>
        <v>922584195</v>
      </c>
      <c r="Q91" t="str" cm="1">
        <f t="array" aca="1" ref="Q91" ca="1">LOWER(B91) &amp; INDEX($AF$9:$AF$11,X91)</f>
        <v>tomboa1269@sapo.pt</v>
      </c>
      <c r="R91" t="str">
        <f t="shared" ca="1" si="13"/>
        <v>tomboa1269.jpg</v>
      </c>
      <c r="T91" s="4"/>
      <c r="V91">
        <f ca="1">RANDBETWEEN(2,COUNTA(rua_cod!A:A))</f>
        <v>52</v>
      </c>
      <c r="W91">
        <f t="shared" ca="1" si="14"/>
        <v>2</v>
      </c>
      <c r="X91">
        <f t="shared" ca="1" si="15"/>
        <v>3</v>
      </c>
      <c r="Y91">
        <f t="shared" ca="1" si="16"/>
        <v>1974</v>
      </c>
      <c r="Z91">
        <f t="shared" ca="1" si="17"/>
        <v>4</v>
      </c>
      <c r="AA91">
        <f t="shared" ca="1" si="18"/>
        <v>7</v>
      </c>
      <c r="AB91">
        <f t="shared" ca="1" si="19"/>
        <v>46</v>
      </c>
    </row>
    <row r="92" spans="1:28" x14ac:dyDescent="0.25">
      <c r="A92">
        <v>91</v>
      </c>
      <c r="B92" t="str" cm="1">
        <f t="array" aca="1" ref="B92" ca="1">replaceChar(LOWER(LEFT(D92,3)&amp;RIGHT(I92,3))&amp;LEFT(H92,4))</f>
        <v>duaboa1949</v>
      </c>
      <c r="C92" t="str">
        <f t="shared" ca="1" si="10"/>
        <v>pswduaboa1949</v>
      </c>
      <c r="D92" t="str">
        <f ca="1">Nomes!T93</f>
        <v>Duarte Catarina Matos Neto</v>
      </c>
      <c r="E92" t="str">
        <f ca="1">Nomes!S93</f>
        <v>Masculino</v>
      </c>
      <c r="F92" s="2">
        <v>15230</v>
      </c>
      <c r="G92" t="str" cm="1">
        <f t="array" aca="1" ref="G92" ca="1">INDEX(rua_cod!$F:$F,RANDBETWEEN(2,COUNTA(rua_cod!F:F)))</f>
        <v>Rua de São Mamede</v>
      </c>
      <c r="H92" t="str" cm="1">
        <f t="array" aca="1" ref="H92" ca="1">INDEX(rua_cod!$A:$A,Users!V92) &amp; "-" &amp; TEXT(RANDBETWEEN(0,999),"000")</f>
        <v>1949-655</v>
      </c>
      <c r="I92" t="str" cm="1">
        <f t="array" aca="1" ref="I92" ca="1">INDEX(rua_cod!$B:$B,Users!V92)</f>
        <v>Lisboa</v>
      </c>
      <c r="J92" t="s">
        <v>3727</v>
      </c>
      <c r="K92" t="s">
        <v>225</v>
      </c>
      <c r="L92" t="s">
        <v>265</v>
      </c>
      <c r="M92" t="str">
        <f t="shared" ca="1" si="11"/>
        <v>26846309</v>
      </c>
      <c r="N92" t="str">
        <f t="shared" ca="1" si="12"/>
        <v>637157218</v>
      </c>
      <c r="O92" t="str">
        <f t="shared" ca="1" si="12"/>
        <v>221653052</v>
      </c>
      <c r="P92" t="str" cm="1">
        <f t="array" aca="1" ref="P92" ca="1">9 &amp; INDEX($AF$3:$AF$6,W92)&amp; TEXT(RANDBETWEEN(0,9999999),"0000000")</f>
        <v>960192484</v>
      </c>
      <c r="Q92" t="str" cm="1">
        <f t="array" aca="1" ref="Q92" ca="1">LOWER(B92) &amp; INDEX($AF$9:$AF$11,X92)</f>
        <v>duaboa1949@gmail.com</v>
      </c>
      <c r="R92" t="str">
        <f t="shared" ca="1" si="13"/>
        <v>duaboa1949.jpg</v>
      </c>
      <c r="T92" s="4"/>
      <c r="V92">
        <f ca="1">RANDBETWEEN(2,COUNTA(rua_cod!A:A))</f>
        <v>45</v>
      </c>
      <c r="W92">
        <f t="shared" ca="1" si="14"/>
        <v>4</v>
      </c>
      <c r="X92">
        <f t="shared" ca="1" si="15"/>
        <v>2</v>
      </c>
      <c r="Y92">
        <f t="shared" ca="1" si="16"/>
        <v>1997</v>
      </c>
      <c r="Z92">
        <f t="shared" ca="1" si="17"/>
        <v>10</v>
      </c>
      <c r="AA92">
        <f t="shared" ca="1" si="18"/>
        <v>2</v>
      </c>
      <c r="AB92">
        <f t="shared" ca="1" si="19"/>
        <v>23</v>
      </c>
    </row>
    <row r="93" spans="1:28" x14ac:dyDescent="0.25">
      <c r="A93">
        <v>92</v>
      </c>
      <c r="B93" t="str" cm="1">
        <f t="array" aca="1" ref="B93" ca="1">replaceChar(LOWER(LEFT(D93,3)&amp;RIGHT(I93,3))&amp;LEFT(H93,4))</f>
        <v>cattra2710</v>
      </c>
      <c r="C93" t="str">
        <f t="shared" ca="1" si="10"/>
        <v>pswcattra2710</v>
      </c>
      <c r="D93" t="str">
        <f ca="1">Nomes!T94</f>
        <v>Catarina Joaquim Cruz Costa</v>
      </c>
      <c r="E93" t="str">
        <f ca="1">Nomes!S94</f>
        <v>Feminino</v>
      </c>
      <c r="F93" s="2">
        <v>33682</v>
      </c>
      <c r="G93" t="str" cm="1">
        <f t="array" aca="1" ref="G93" ca="1">INDEX(rua_cod!$F:$F,RANDBETWEEN(2,COUNTA(rua_cod!F:F)))</f>
        <v>Rua da Madalena</v>
      </c>
      <c r="H93" t="str" cm="1">
        <f t="array" aca="1" ref="H93" ca="1">INDEX(rua_cod!$A:$A,Users!V93) &amp; "-" &amp; TEXT(RANDBETWEEN(0,999),"000")</f>
        <v>2710-609</v>
      </c>
      <c r="I93" t="str" cm="1">
        <f t="array" aca="1" ref="I93" ca="1">INDEX(rua_cod!$B:$B,Users!V93)</f>
        <v>Sintra</v>
      </c>
      <c r="J93" t="s">
        <v>3727</v>
      </c>
      <c r="K93" t="s">
        <v>225</v>
      </c>
      <c r="L93" t="s">
        <v>265</v>
      </c>
      <c r="M93" t="str">
        <f t="shared" ca="1" si="11"/>
        <v>49826142</v>
      </c>
      <c r="N93" t="str">
        <f t="shared" ca="1" si="12"/>
        <v>221503514</v>
      </c>
      <c r="O93" t="str">
        <f t="shared" ca="1" si="12"/>
        <v>727956350</v>
      </c>
      <c r="P93" t="str" cm="1">
        <f t="array" aca="1" ref="P93" ca="1">9 &amp; INDEX($AF$3:$AF$6,W93)&amp; TEXT(RANDBETWEEN(0,9999999),"0000000")</f>
        <v>919074928</v>
      </c>
      <c r="Q93" t="str" cm="1">
        <f t="array" aca="1" ref="Q93" ca="1">LOWER(B93) &amp; INDEX($AF$9:$AF$11,X93)</f>
        <v>cattra2710@outlook.com</v>
      </c>
      <c r="R93" t="str">
        <f t="shared" ca="1" si="13"/>
        <v>cattra2710.jpg</v>
      </c>
      <c r="T93" s="4"/>
      <c r="V93">
        <f ca="1">RANDBETWEEN(2,COUNTA(rua_cod!A:A))</f>
        <v>100</v>
      </c>
      <c r="W93">
        <f t="shared" ca="1" si="14"/>
        <v>1</v>
      </c>
      <c r="X93">
        <f t="shared" ca="1" si="15"/>
        <v>1</v>
      </c>
      <c r="Y93">
        <f t="shared" ca="1" si="16"/>
        <v>1965</v>
      </c>
      <c r="Z93">
        <f t="shared" ca="1" si="17"/>
        <v>8</v>
      </c>
      <c r="AA93">
        <f t="shared" ca="1" si="18"/>
        <v>26</v>
      </c>
      <c r="AB93">
        <f t="shared" ca="1" si="19"/>
        <v>55</v>
      </c>
    </row>
    <row r="94" spans="1:28" x14ac:dyDescent="0.25">
      <c r="A94">
        <v>93</v>
      </c>
      <c r="B94" t="str" cm="1">
        <f t="array" aca="1" ref="B94" ca="1">replaceChar(LOWER(LEFT(D94,3)&amp;RIGHT(I94,3))&amp;LEFT(H94,4))</f>
        <v>sarada2800</v>
      </c>
      <c r="C94" t="str">
        <f t="shared" ca="1" si="10"/>
        <v>pswsarada2800</v>
      </c>
      <c r="D94" t="str">
        <f ca="1">Nomes!T95</f>
        <v>Sara Marco Valente Guerreiro</v>
      </c>
      <c r="E94" t="str">
        <f ca="1">Nomes!S95</f>
        <v>Feminino</v>
      </c>
      <c r="F94" s="2">
        <v>19081</v>
      </c>
      <c r="G94" t="str" cm="1">
        <f t="array" aca="1" ref="G94" ca="1">INDEX(rua_cod!$F:$F,RANDBETWEEN(2,COUNTA(rua_cod!F:F)))</f>
        <v>Calçada do Poço dos Mouros</v>
      </c>
      <c r="H94" t="str" cm="1">
        <f t="array" aca="1" ref="H94" ca="1">INDEX(rua_cod!$A:$A,Users!V94) &amp; "-" &amp; TEXT(RANDBETWEEN(0,999),"000")</f>
        <v>2800-845</v>
      </c>
      <c r="I94" t="str" cm="1">
        <f t="array" aca="1" ref="I94" ca="1">INDEX(rua_cod!$B:$B,Users!V94)</f>
        <v>Almada</v>
      </c>
      <c r="J94" t="s">
        <v>3727</v>
      </c>
      <c r="K94" t="s">
        <v>225</v>
      </c>
      <c r="L94" t="s">
        <v>265</v>
      </c>
      <c r="M94" t="str">
        <f t="shared" ca="1" si="11"/>
        <v>22842945</v>
      </c>
      <c r="N94" t="str">
        <f t="shared" ca="1" si="12"/>
        <v>660430122</v>
      </c>
      <c r="O94" t="str">
        <f t="shared" ca="1" si="12"/>
        <v>353964870</v>
      </c>
      <c r="P94" t="str" cm="1">
        <f t="array" aca="1" ref="P94" ca="1">9 &amp; INDEX($AF$3:$AF$6,W94)&amp; TEXT(RANDBETWEEN(0,9999999),"0000000")</f>
        <v>960361771</v>
      </c>
      <c r="Q94" t="str" cm="1">
        <f t="array" aca="1" ref="Q94" ca="1">LOWER(B94) &amp; INDEX($AF$9:$AF$11,X94)</f>
        <v>sarada2800@sapo.pt</v>
      </c>
      <c r="R94" t="str">
        <f t="shared" ca="1" si="13"/>
        <v>sarada2800.jpg</v>
      </c>
      <c r="T94" s="4"/>
      <c r="V94">
        <f ca="1">RANDBETWEEN(2,COUNTA(rua_cod!A:A))</f>
        <v>2</v>
      </c>
      <c r="W94">
        <f t="shared" ca="1" si="14"/>
        <v>4</v>
      </c>
      <c r="X94">
        <f t="shared" ca="1" si="15"/>
        <v>3</v>
      </c>
      <c r="Y94">
        <f t="shared" ca="1" si="16"/>
        <v>2003</v>
      </c>
      <c r="Z94">
        <f t="shared" ca="1" si="17"/>
        <v>6</v>
      </c>
      <c r="AA94">
        <f t="shared" ca="1" si="18"/>
        <v>5</v>
      </c>
      <c r="AB94">
        <f t="shared" ca="1" si="19"/>
        <v>17</v>
      </c>
    </row>
    <row r="95" spans="1:28" x14ac:dyDescent="0.25">
      <c r="A95">
        <v>94</v>
      </c>
      <c r="B95" t="str" cm="1">
        <f t="array" aca="1" ref="B95" ca="1">replaceChar(LOWER(LEFT(D95,3)&amp;RIGHT(I95,3))&amp;LEFT(H95,4))</f>
        <v>sofora2720</v>
      </c>
      <c r="C95" t="str">
        <f t="shared" ca="1" si="10"/>
        <v>pswsofora2720</v>
      </c>
      <c r="D95" t="str">
        <f ca="1">Nomes!T96</f>
        <v>Sofia Sara Torres Santos</v>
      </c>
      <c r="E95" t="str">
        <f ca="1">Nomes!S96</f>
        <v>Feminino</v>
      </c>
      <c r="F95" s="2">
        <v>28822</v>
      </c>
      <c r="G95" t="str" cm="1">
        <f t="array" aca="1" ref="G95" ca="1">INDEX(rua_cod!$F:$F,RANDBETWEEN(2,COUNTA(rua_cod!F:F)))</f>
        <v>Calçada Marquês de Abrantes</v>
      </c>
      <c r="H95" t="str" cm="1">
        <f t="array" aca="1" ref="H95" ca="1">INDEX(rua_cod!$A:$A,Users!V95) &amp; "-" &amp; TEXT(RANDBETWEEN(0,999),"000")</f>
        <v>2720-474</v>
      </c>
      <c r="I95" t="str" cm="1">
        <f t="array" aca="1" ref="I95" ca="1">INDEX(rua_cod!$B:$B,Users!V95)</f>
        <v>Amadora</v>
      </c>
      <c r="J95" t="s">
        <v>3727</v>
      </c>
      <c r="K95" t="s">
        <v>225</v>
      </c>
      <c r="L95" t="s">
        <v>265</v>
      </c>
      <c r="M95" t="str">
        <f t="shared" ca="1" si="11"/>
        <v>87303395</v>
      </c>
      <c r="N95" t="str">
        <f t="shared" ca="1" si="12"/>
        <v>715765933</v>
      </c>
      <c r="O95" t="str">
        <f t="shared" ca="1" si="12"/>
        <v>609765272</v>
      </c>
      <c r="P95" t="str" cm="1">
        <f t="array" aca="1" ref="P95" ca="1">9 &amp; INDEX($AF$3:$AF$6,W95)&amp; TEXT(RANDBETWEEN(0,9999999),"0000000")</f>
        <v>928332406</v>
      </c>
      <c r="Q95" t="str" cm="1">
        <f t="array" aca="1" ref="Q95" ca="1">LOWER(B95) &amp; INDEX($AF$9:$AF$11,X95)</f>
        <v>sofora2720@gmail.com</v>
      </c>
      <c r="R95" t="str">
        <f t="shared" ca="1" si="13"/>
        <v>sofora2720.jpg</v>
      </c>
      <c r="T95" s="4"/>
      <c r="V95">
        <f ca="1">RANDBETWEEN(2,COUNTA(rua_cod!A:A))</f>
        <v>8</v>
      </c>
      <c r="W95">
        <f t="shared" ca="1" si="14"/>
        <v>2</v>
      </c>
      <c r="X95">
        <f t="shared" ca="1" si="15"/>
        <v>2</v>
      </c>
      <c r="Y95">
        <f t="shared" ca="1" si="16"/>
        <v>2003</v>
      </c>
      <c r="Z95">
        <f t="shared" ca="1" si="17"/>
        <v>3</v>
      </c>
      <c r="AA95">
        <f t="shared" ca="1" si="18"/>
        <v>26</v>
      </c>
      <c r="AB95">
        <f t="shared" ca="1" si="19"/>
        <v>17</v>
      </c>
    </row>
    <row r="96" spans="1:28" x14ac:dyDescent="0.25">
      <c r="A96">
        <v>95</v>
      </c>
      <c r="B96" t="str" cm="1">
        <f t="array" aca="1" ref="B96" ca="1">replaceChar(LOWER(LEFT(D96,3)&amp;RIGHT(I96,3))&amp;LEFT(H96,4))</f>
        <v>inerem2000</v>
      </c>
      <c r="C96" t="str">
        <f t="shared" ca="1" si="10"/>
        <v>pswinerem2000</v>
      </c>
      <c r="D96" t="str">
        <f ca="1">Nomes!T97</f>
        <v>Inês Luís Torres Ribeiro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Rua do Carmo</v>
      </c>
      <c r="H96" t="str" cm="1">
        <f t="array" aca="1" ref="H96" ca="1">INDEX(rua_cod!$A:$A,Users!V96) &amp; "-" &amp; TEXT(RANDBETWEEN(0,999),"000")</f>
        <v>2000-807</v>
      </c>
      <c r="I96" t="str" cm="1">
        <f t="array" aca="1" ref="I96" ca="1">INDEX(rua_cod!$B:$B,Users!V96)</f>
        <v>Santarém</v>
      </c>
      <c r="J96" t="s">
        <v>3727</v>
      </c>
      <c r="K96" t="s">
        <v>225</v>
      </c>
      <c r="L96" t="s">
        <v>265</v>
      </c>
      <c r="M96" t="str">
        <f t="shared" ca="1" si="11"/>
        <v>53357763</v>
      </c>
      <c r="N96" t="str">
        <f t="shared" ca="1" si="12"/>
        <v>140575599</v>
      </c>
      <c r="O96" t="str">
        <f t="shared" ca="1" si="12"/>
        <v>487581130</v>
      </c>
      <c r="P96" t="str" cm="1">
        <f t="array" aca="1" ref="P96" ca="1">9 &amp; INDEX($AF$3:$AF$6,W96)&amp; TEXT(RANDBETWEEN(0,9999999),"0000000")</f>
        <v>931127733</v>
      </c>
      <c r="Q96" t="str" cm="1">
        <f t="array" aca="1" ref="Q96" ca="1">LOWER(B96) &amp; INDEX($AF$9:$AF$11,X96)</f>
        <v>inerem2000@sapo.pt</v>
      </c>
      <c r="R96" t="str">
        <f t="shared" ca="1" si="13"/>
        <v>inerem2000.jpg</v>
      </c>
      <c r="T96" s="4"/>
      <c r="V96">
        <f ca="1">RANDBETWEEN(2,COUNTA(rua_cod!A:A))</f>
        <v>93</v>
      </c>
      <c r="W96">
        <f t="shared" ca="1" si="14"/>
        <v>3</v>
      </c>
      <c r="X96">
        <f t="shared" ca="1" si="15"/>
        <v>3</v>
      </c>
      <c r="Y96">
        <f t="shared" ca="1" si="16"/>
        <v>1975</v>
      </c>
      <c r="Z96">
        <f t="shared" ca="1" si="17"/>
        <v>12</v>
      </c>
      <c r="AA96">
        <f t="shared" ca="1" si="18"/>
        <v>29</v>
      </c>
      <c r="AB96">
        <f t="shared" ca="1" si="19"/>
        <v>45</v>
      </c>
    </row>
    <row r="97" spans="1:28" x14ac:dyDescent="0.25">
      <c r="A97">
        <v>96</v>
      </c>
      <c r="B97" t="str" cm="1">
        <f t="array" aca="1" ref="B97" ca="1">replaceChar(LOWER(LEFT(D97,3)&amp;RIGHT(I97,3))&amp;LEFT(H97,4))</f>
        <v>sanria2419</v>
      </c>
      <c r="C97" t="str">
        <f t="shared" ca="1" si="10"/>
        <v>pswsanria2419</v>
      </c>
      <c r="D97" t="str">
        <f ca="1">Nomes!T98</f>
        <v>Santiago Santiago Domingues Mendes</v>
      </c>
      <c r="E97" t="str">
        <f ca="1">Nomes!S98</f>
        <v>Masculino</v>
      </c>
      <c r="F97" s="2">
        <v>18576</v>
      </c>
      <c r="G97" t="str" cm="1">
        <f t="array" aca="1" ref="G97" ca="1">INDEX(rua_cod!$F:$F,RANDBETWEEN(2,COUNTA(rua_cod!F:F)))</f>
        <v>Rua da Junqueira</v>
      </c>
      <c r="H97" t="str" cm="1">
        <f t="array" aca="1" ref="H97" ca="1">INDEX(rua_cod!$A:$A,Users!V97) &amp; "-" &amp; TEXT(RANDBETWEEN(0,999),"000")</f>
        <v>2419-838</v>
      </c>
      <c r="I97" t="str" cm="1">
        <f t="array" aca="1" ref="I97" ca="1">INDEX(rua_cod!$B:$B,Users!V97)</f>
        <v>Leiria</v>
      </c>
      <c r="J97" t="s">
        <v>3727</v>
      </c>
      <c r="K97" t="s">
        <v>225</v>
      </c>
      <c r="L97" t="s">
        <v>265</v>
      </c>
      <c r="M97" t="str">
        <f t="shared" ca="1" si="11"/>
        <v>87245303</v>
      </c>
      <c r="N97" t="str">
        <f t="shared" ca="1" si="12"/>
        <v>985074587</v>
      </c>
      <c r="O97" t="str">
        <f t="shared" ca="1" si="12"/>
        <v>787029075</v>
      </c>
      <c r="P97" t="str" cm="1">
        <f t="array" aca="1" ref="P97" ca="1">9 &amp; INDEX($AF$3:$AF$6,W97)&amp; TEXT(RANDBETWEEN(0,9999999),"0000000")</f>
        <v>910209576</v>
      </c>
      <c r="Q97" t="str" cm="1">
        <f t="array" aca="1" ref="Q97" ca="1">LOWER(B97) &amp; INDEX($AF$9:$AF$11,X97)</f>
        <v>sanria2419@sapo.pt</v>
      </c>
      <c r="R97" t="str">
        <f t="shared" ca="1" si="13"/>
        <v>sanria2419.jpg</v>
      </c>
      <c r="T97" s="4"/>
      <c r="V97">
        <f ca="1">RANDBETWEEN(2,COUNTA(rua_cod!A:A))</f>
        <v>37</v>
      </c>
      <c r="W97">
        <f t="shared" ca="1" si="14"/>
        <v>1</v>
      </c>
      <c r="X97">
        <f t="shared" ca="1" si="15"/>
        <v>3</v>
      </c>
      <c r="Y97">
        <f t="shared" ca="1" si="16"/>
        <v>2003</v>
      </c>
      <c r="Z97">
        <f t="shared" ca="1" si="17"/>
        <v>5</v>
      </c>
      <c r="AA97">
        <f t="shared" ca="1" si="18"/>
        <v>3</v>
      </c>
      <c r="AB97">
        <f t="shared" ca="1" si="19"/>
        <v>17</v>
      </c>
    </row>
    <row r="98" spans="1:28" x14ac:dyDescent="0.25">
      <c r="A98">
        <v>97</v>
      </c>
      <c r="B98" t="str" cm="1">
        <f t="array" aca="1" ref="B98" ca="1">replaceChar(LOWER(LEFT(D98,3)&amp;RIGHT(I98,3))&amp;LEFT(H98,4))</f>
        <v>anatra2714</v>
      </c>
      <c r="C98" t="str">
        <f t="shared" ca="1" si="10"/>
        <v>pswanatra2714</v>
      </c>
      <c r="D98" t="str">
        <f ca="1">Nomes!T99</f>
        <v>Ana Rodrigo Paiva Teixeira</v>
      </c>
      <c r="E98" t="str">
        <f ca="1">Nomes!S99</f>
        <v>Feminino</v>
      </c>
      <c r="F98" s="2">
        <v>36577</v>
      </c>
      <c r="G98" t="str" cm="1">
        <f t="array" aca="1" ref="G98" ca="1">INDEX(rua_cod!$F:$F,RANDBETWEEN(2,COUNTA(rua_cod!F:F)))</f>
        <v>Rua Garrett</v>
      </c>
      <c r="H98" t="str" cm="1">
        <f t="array" aca="1" ref="H98" ca="1">INDEX(rua_cod!$A:$A,Users!V98) &amp; "-" &amp; TEXT(RANDBETWEEN(0,999),"000")</f>
        <v>2714-270</v>
      </c>
      <c r="I98" t="str" cm="1">
        <f t="array" aca="1" ref="I98" ca="1">INDEX(rua_cod!$B:$B,Users!V98)</f>
        <v>Sintra</v>
      </c>
      <c r="J98" t="s">
        <v>3727</v>
      </c>
      <c r="K98" t="s">
        <v>225</v>
      </c>
      <c r="L98" t="s">
        <v>265</v>
      </c>
      <c r="M98" t="str">
        <f t="shared" ca="1" si="11"/>
        <v>55090906</v>
      </c>
      <c r="N98" t="str">
        <f t="shared" ca="1" si="12"/>
        <v>351242055</v>
      </c>
      <c r="O98" t="str">
        <f t="shared" ca="1" si="12"/>
        <v>848835290</v>
      </c>
      <c r="P98" t="str" cm="1">
        <f t="array" aca="1" ref="P98" ca="1">9 &amp; INDEX($AF$3:$AF$6,W98)&amp; TEXT(RANDBETWEEN(0,9999999),"0000000")</f>
        <v>938351517</v>
      </c>
      <c r="Q98" t="str" cm="1">
        <f t="array" aca="1" ref="Q98" ca="1">LOWER(B98) &amp; INDEX($AF$9:$AF$11,X98)</f>
        <v>anatra2714@gmail.com</v>
      </c>
      <c r="R98" t="str">
        <f t="shared" ca="1" si="13"/>
        <v>anatra2714.jpg</v>
      </c>
      <c r="T98" s="4"/>
      <c r="V98">
        <f ca="1">RANDBETWEEN(2,COUNTA(rua_cod!A:A))</f>
        <v>101</v>
      </c>
      <c r="W98">
        <f t="shared" ca="1" si="14"/>
        <v>3</v>
      </c>
      <c r="X98">
        <f t="shared" ca="1" si="15"/>
        <v>2</v>
      </c>
      <c r="Y98">
        <f t="shared" ca="1" si="16"/>
        <v>1985</v>
      </c>
      <c r="Z98">
        <f t="shared" ca="1" si="17"/>
        <v>1</v>
      </c>
      <c r="AA98">
        <f t="shared" ca="1" si="18"/>
        <v>21</v>
      </c>
      <c r="AB98">
        <f t="shared" ca="1" si="19"/>
        <v>35</v>
      </c>
    </row>
    <row r="99" spans="1:28" x14ac:dyDescent="0.25">
      <c r="A99">
        <v>98</v>
      </c>
      <c r="B99" t="str" cm="1">
        <f t="array" aca="1" ref="B99" ca="1">replaceChar(LOWER(LEFT(D99,3)&amp;RIGHT(I99,3))&amp;LEFT(H99,4))</f>
        <v>frarem2009</v>
      </c>
      <c r="C99" t="str">
        <f t="shared" ca="1" si="10"/>
        <v>pswfrarem2009</v>
      </c>
      <c r="D99" t="str">
        <f ca="1">Nomes!T100</f>
        <v>Francisca Diana Lopes Leal</v>
      </c>
      <c r="E99" t="str">
        <f ca="1">Nomes!S100</f>
        <v>Feminino</v>
      </c>
      <c r="F99" s="2">
        <v>18365</v>
      </c>
      <c r="G99" t="str" cm="1">
        <f t="array" aca="1" ref="G99" ca="1">INDEX(rua_cod!$F:$F,RANDBETWEEN(2,COUNTA(rua_cod!F:F)))</f>
        <v>Rua Nova do Almada</v>
      </c>
      <c r="H99" t="str" cm="1">
        <f t="array" aca="1" ref="H99" ca="1">INDEX(rua_cod!$A:$A,Users!V99) &amp; "-" &amp; TEXT(RANDBETWEEN(0,999),"000")</f>
        <v>2009-155</v>
      </c>
      <c r="I99" t="str" cm="1">
        <f t="array" aca="1" ref="I99" ca="1">INDEX(rua_cod!$B:$B,Users!V99)</f>
        <v>Santarém</v>
      </c>
      <c r="J99" t="s">
        <v>3727</v>
      </c>
      <c r="K99" t="s">
        <v>225</v>
      </c>
      <c r="L99" t="s">
        <v>265</v>
      </c>
      <c r="M99" t="str">
        <f t="shared" ca="1" si="11"/>
        <v>77488003</v>
      </c>
      <c r="N99" t="str">
        <f t="shared" ca="1" si="12"/>
        <v>679192414</v>
      </c>
      <c r="O99" t="str">
        <f t="shared" ca="1" si="12"/>
        <v>151296497</v>
      </c>
      <c r="P99" t="str" cm="1">
        <f t="array" aca="1" ref="P99" ca="1">9 &amp; INDEX($AF$3:$AF$6,W99)&amp; TEXT(RANDBETWEEN(0,9999999),"0000000")</f>
        <v>963675363</v>
      </c>
      <c r="Q99" t="str" cm="1">
        <f t="array" aca="1" ref="Q99" ca="1">LOWER(B99) &amp; INDEX($AF$9:$AF$11,X99)</f>
        <v>frarem2009@gmail.com</v>
      </c>
      <c r="R99" t="str">
        <f t="shared" ca="1" si="13"/>
        <v>frarem2009.jpg</v>
      </c>
      <c r="T99" s="4"/>
      <c r="V99">
        <f ca="1">RANDBETWEEN(2,COUNTA(rua_cod!A:A))</f>
        <v>95</v>
      </c>
      <c r="W99">
        <f t="shared" ca="1" si="14"/>
        <v>4</v>
      </c>
      <c r="X99">
        <f t="shared" ca="1" si="15"/>
        <v>2</v>
      </c>
      <c r="Y99">
        <f t="shared" ca="1" si="16"/>
        <v>1976</v>
      </c>
      <c r="Z99">
        <f t="shared" ca="1" si="17"/>
        <v>10</v>
      </c>
      <c r="AA99">
        <f t="shared" ca="1" si="18"/>
        <v>31</v>
      </c>
      <c r="AB99">
        <f t="shared" ca="1" si="19"/>
        <v>44</v>
      </c>
    </row>
    <row r="100" spans="1:28" x14ac:dyDescent="0.25">
      <c r="A100">
        <v>99</v>
      </c>
      <c r="B100" t="str" cm="1">
        <f t="array" aca="1" ref="B100" ca="1">replaceChar(LOWER(LEFT(D100,3)&amp;RIGHT(I100,3))&amp;LEFT(H100,4))</f>
        <v>verora2614</v>
      </c>
      <c r="C100" t="str">
        <f t="shared" ca="1" si="10"/>
        <v>pswverora2614</v>
      </c>
      <c r="D100" t="str">
        <f ca="1">Nomes!T101</f>
        <v>Vera Joaquim Lopes Pires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Rua da Alfândega</v>
      </c>
      <c r="H100" t="str" cm="1">
        <f t="array" aca="1" ref="H100" ca="1">INDEX(rua_cod!$A:$A,Users!V100) &amp; "-" &amp; TEXT(RANDBETWEEN(0,999),"000")</f>
        <v>2614-443</v>
      </c>
      <c r="I100" t="str" cm="1">
        <f t="array" aca="1" ref="I100" ca="1">INDEX(rua_cod!$B:$B,Users!V100)</f>
        <v>Amadora</v>
      </c>
      <c r="J100" t="s">
        <v>3727</v>
      </c>
      <c r="K100" t="s">
        <v>225</v>
      </c>
      <c r="L100" t="s">
        <v>265</v>
      </c>
      <c r="M100" t="str">
        <f t="shared" ca="1" si="11"/>
        <v>34091457</v>
      </c>
      <c r="N100" t="str">
        <f t="shared" ca="1" si="12"/>
        <v>477930074</v>
      </c>
      <c r="O100" t="str">
        <f t="shared" ca="1" si="12"/>
        <v>884292723</v>
      </c>
      <c r="P100" t="str" cm="1">
        <f t="array" aca="1" ref="P100" ca="1">9 &amp; INDEX($AF$3:$AF$6,W100)&amp; TEXT(RANDBETWEEN(0,9999999),"0000000")</f>
        <v>932141287</v>
      </c>
      <c r="Q100" t="str" cm="1">
        <f t="array" aca="1" ref="Q100" ca="1">LOWER(B100) &amp; INDEX($AF$9:$AF$11,X100)</f>
        <v>verora2614@sapo.pt</v>
      </c>
      <c r="R100" t="str">
        <f t="shared" ca="1" si="13"/>
        <v>verora2614.jpg</v>
      </c>
      <c r="T100" s="4"/>
      <c r="V100">
        <f ca="1">RANDBETWEEN(2,COUNTA(rua_cod!A:A))</f>
        <v>11</v>
      </c>
      <c r="W100">
        <f t="shared" ca="1" si="14"/>
        <v>3</v>
      </c>
      <c r="X100">
        <f t="shared" ca="1" si="15"/>
        <v>3</v>
      </c>
      <c r="Y100">
        <f t="shared" ca="1" si="16"/>
        <v>1998</v>
      </c>
      <c r="Z100">
        <f t="shared" ca="1" si="17"/>
        <v>6</v>
      </c>
      <c r="AA100">
        <f t="shared" ca="1" si="18"/>
        <v>30</v>
      </c>
      <c r="AB100">
        <f t="shared" ca="1" si="19"/>
        <v>22</v>
      </c>
    </row>
    <row r="101" spans="1:28" x14ac:dyDescent="0.25">
      <c r="A101">
        <v>100</v>
      </c>
      <c r="B101" t="str" cm="1">
        <f t="array" aca="1" ref="B101" ca="1">replaceChar(LOWER(LEFT(D101,3)&amp;RIGHT(I101,3))&amp;LEFT(H101,4))</f>
        <v>dioais2754</v>
      </c>
      <c r="C101" t="str">
        <f t="shared" ca="1" si="10"/>
        <v>pswdioais2754</v>
      </c>
      <c r="D101" t="str">
        <f ca="1">Nomes!T102</f>
        <v>Diogo Tomás Castro Anjos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Rua General Morais Sarmento</v>
      </c>
      <c r="H101" t="str" cm="1">
        <f t="array" aca="1" ref="H101" ca="1">INDEX(rua_cod!$A:$A,Users!V101) &amp; "-" &amp; TEXT(RANDBETWEEN(0,999),"000")</f>
        <v>2754-475</v>
      </c>
      <c r="I101" t="str" cm="1">
        <f t="array" aca="1" ref="I101" ca="1">INDEX(rua_cod!$B:$B,Users!V101)</f>
        <v>Cascais</v>
      </c>
      <c r="J101" t="s">
        <v>3727</v>
      </c>
      <c r="K101" t="s">
        <v>225</v>
      </c>
      <c r="L101" t="s">
        <v>265</v>
      </c>
      <c r="M101" t="str">
        <f t="shared" ca="1" si="11"/>
        <v>17343603</v>
      </c>
      <c r="N101" t="str">
        <f t="shared" ca="1" si="12"/>
        <v>674026695</v>
      </c>
      <c r="O101" t="str">
        <f t="shared" ca="1" si="12"/>
        <v>655920489</v>
      </c>
      <c r="P101" t="str" cm="1">
        <f t="array" aca="1" ref="P101" ca="1">9 &amp; INDEX($AF$3:$AF$6,W101)&amp; TEXT(RANDBETWEEN(0,9999999),"0000000")</f>
        <v>965905261</v>
      </c>
      <c r="Q101" t="str" cm="1">
        <f t="array" aca="1" ref="Q101" ca="1">LOWER(B101) &amp; INDEX($AF$9:$AF$11,X101)</f>
        <v>dioais2754@outlook.com</v>
      </c>
      <c r="R101" t="str">
        <f t="shared" ca="1" si="13"/>
        <v>dioais2754.jpg</v>
      </c>
      <c r="T101" s="4"/>
      <c r="V101">
        <f ca="1">RANDBETWEEN(2,COUNTA(rua_cod!A:A))</f>
        <v>25</v>
      </c>
      <c r="W101">
        <f t="shared" ca="1" si="14"/>
        <v>4</v>
      </c>
      <c r="X101">
        <f t="shared" ca="1" si="15"/>
        <v>1</v>
      </c>
      <c r="Y101">
        <f t="shared" ca="1" si="16"/>
        <v>1973</v>
      </c>
      <c r="Z101">
        <f t="shared" ca="1" si="17"/>
        <v>5</v>
      </c>
      <c r="AA101">
        <f t="shared" ca="1" si="18"/>
        <v>13</v>
      </c>
      <c r="AB101">
        <f t="shared" ca="1" si="19"/>
        <v>47</v>
      </c>
    </row>
    <row r="102" spans="1:28" x14ac:dyDescent="0.25">
      <c r="A102">
        <v>101</v>
      </c>
      <c r="B102" t="str" cm="1">
        <f t="array" aca="1" ref="B102" ca="1">replaceChar(LOWER(LEFT(D102,3)&amp;RIGHT(I102,3))&amp;LEFT(H102,4))</f>
        <v>tiaboa1067</v>
      </c>
      <c r="C102" t="str">
        <f t="shared" ca="1" si="10"/>
        <v>pswtiaboa1067</v>
      </c>
      <c r="D102" t="str">
        <f ca="1">Nomes!T103</f>
        <v>Tiago Ricardo Raposo Gaspar</v>
      </c>
      <c r="E102" t="str">
        <f ca="1">Nomes!S103</f>
        <v>Masculino</v>
      </c>
      <c r="F102" s="2">
        <v>23523</v>
      </c>
      <c r="G102" t="str" cm="1">
        <f t="array" aca="1" ref="G102" ca="1">INDEX(rua_cod!$F:$F,RANDBETWEEN(2,COUNTA(rua_cod!F:F)))</f>
        <v>Rua do Arsenal</v>
      </c>
      <c r="H102" t="str" cm="1">
        <f t="array" aca="1" ref="H102" ca="1">INDEX(rua_cod!$A:$A,Users!V102) &amp; "-" &amp; TEXT(RANDBETWEEN(0,999),"000")</f>
        <v>1067-018</v>
      </c>
      <c r="I102" t="str" cm="1">
        <f t="array" aca="1" ref="I102" ca="1">INDEX(rua_cod!$B:$B,Users!V102)</f>
        <v>Lisboa</v>
      </c>
      <c r="J102" t="s">
        <v>3727</v>
      </c>
      <c r="K102" t="s">
        <v>225</v>
      </c>
      <c r="L102" t="s">
        <v>265</v>
      </c>
      <c r="M102" t="str">
        <f t="shared" ca="1" si="11"/>
        <v>61762094</v>
      </c>
      <c r="N102" t="str">
        <f t="shared" ca="1" si="12"/>
        <v>843320978</v>
      </c>
      <c r="O102" t="str">
        <f t="shared" ca="1" si="12"/>
        <v>270152593</v>
      </c>
      <c r="P102" t="str" cm="1">
        <f t="array" aca="1" ref="P102" ca="1">9 &amp; INDEX($AF$3:$AF$6,W102)&amp; TEXT(RANDBETWEEN(0,9999999),"0000000")</f>
        <v>931786385</v>
      </c>
      <c r="Q102" t="str" cm="1">
        <f t="array" aca="1" ref="Q102" ca="1">LOWER(B102) &amp; INDEX($AF$9:$AF$11,X102)</f>
        <v>tiaboa1067@sapo.pt</v>
      </c>
      <c r="R102" t="str">
        <f t="shared" ca="1" si="13"/>
        <v>tiaboa1067.jpg</v>
      </c>
      <c r="T102" s="4"/>
      <c r="V102">
        <f ca="1">RANDBETWEEN(2,COUNTA(rua_cod!A:A))</f>
        <v>82</v>
      </c>
      <c r="W102">
        <f t="shared" ca="1" si="14"/>
        <v>3</v>
      </c>
      <c r="X102">
        <f t="shared" ca="1" si="15"/>
        <v>3</v>
      </c>
      <c r="Y102">
        <f t="shared" ca="1" si="16"/>
        <v>1977</v>
      </c>
      <c r="Z102">
        <f t="shared" ca="1" si="17"/>
        <v>10</v>
      </c>
      <c r="AA102">
        <f t="shared" ca="1" si="18"/>
        <v>27</v>
      </c>
      <c r="AB102">
        <f t="shared" ca="1" si="19"/>
        <v>43</v>
      </c>
    </row>
    <row r="103" spans="1:28" x14ac:dyDescent="0.25">
      <c r="A103">
        <v>102</v>
      </c>
      <c r="B103" t="str" cm="1">
        <f t="array" aca="1" ref="B103" ca="1">replaceChar(LOWER(LEFT(D103,3)&amp;RIGHT(I103,3))&amp;LEFT(H103,4))</f>
        <v>sofboa1098</v>
      </c>
      <c r="C103" t="str">
        <f t="shared" ca="1" si="10"/>
        <v>pswsofboa1098</v>
      </c>
      <c r="D103" t="str">
        <f ca="1">Nomes!T104</f>
        <v>Sofia Diogo Matos Cardoso</v>
      </c>
      <c r="E103" t="str">
        <f ca="1">Nomes!S104</f>
        <v>Feminino</v>
      </c>
      <c r="F103" s="2">
        <v>43571</v>
      </c>
      <c r="G103" t="str" cm="1">
        <f t="array" aca="1" ref="G103" ca="1">INDEX(rua_cod!$F:$F,RANDBETWEEN(2,COUNTA(rua_cod!F:F)))</f>
        <v>Rua de São Julião</v>
      </c>
      <c r="H103" t="str" cm="1">
        <f t="array" aca="1" ref="H103" ca="1">INDEX(rua_cod!$A:$A,Users!V103) &amp; "-" &amp; TEXT(RANDBETWEEN(0,999),"000")</f>
        <v>1098-481</v>
      </c>
      <c r="I103" t="str" cm="1">
        <f t="array" aca="1" ref="I103" ca="1">INDEX(rua_cod!$B:$B,Users!V103)</f>
        <v>Lisboa</v>
      </c>
      <c r="J103" t="s">
        <v>3727</v>
      </c>
      <c r="K103" t="s">
        <v>225</v>
      </c>
      <c r="L103" t="s">
        <v>265</v>
      </c>
      <c r="M103" t="str">
        <f t="shared" ca="1" si="11"/>
        <v>39221929</v>
      </c>
      <c r="N103" t="str">
        <f t="shared" ca="1" si="12"/>
        <v>615009768</v>
      </c>
      <c r="O103" t="str">
        <f t="shared" ca="1" si="12"/>
        <v>183510644</v>
      </c>
      <c r="P103" t="str" cm="1">
        <f t="array" aca="1" ref="P103" ca="1">9 &amp; INDEX($AF$3:$AF$6,W103)&amp; TEXT(RANDBETWEEN(0,9999999),"0000000")</f>
        <v>911799989</v>
      </c>
      <c r="Q103" t="str" cm="1">
        <f t="array" aca="1" ref="Q103" ca="1">LOWER(B103) &amp; INDEX($AF$9:$AF$11,X103)</f>
        <v>sofboa1098@gmail.com</v>
      </c>
      <c r="R103" t="str">
        <f t="shared" ca="1" si="13"/>
        <v>sofboa1098.jpg</v>
      </c>
      <c r="T103" s="4"/>
      <c r="V103">
        <f ca="1">RANDBETWEEN(2,COUNTA(rua_cod!A:A))</f>
        <v>80</v>
      </c>
      <c r="W103">
        <f t="shared" ca="1" si="14"/>
        <v>1</v>
      </c>
      <c r="X103">
        <f t="shared" ca="1" si="15"/>
        <v>2</v>
      </c>
      <c r="Y103">
        <f t="shared" ca="1" si="16"/>
        <v>1977</v>
      </c>
      <c r="Z103">
        <f t="shared" ca="1" si="17"/>
        <v>5</v>
      </c>
      <c r="AA103">
        <f t="shared" ca="1" si="18"/>
        <v>22</v>
      </c>
      <c r="AB103">
        <f t="shared" ca="1" si="19"/>
        <v>43</v>
      </c>
    </row>
    <row r="104" spans="1:28" x14ac:dyDescent="0.25">
      <c r="A104">
        <v>103</v>
      </c>
      <c r="B104" t="str" cm="1">
        <f t="array" aca="1" ref="B104" ca="1">replaceChar(LOWER(LEFT(D104,3)&amp;RIGHT(I104,3))&amp;LEFT(H104,4))</f>
        <v>migria2414</v>
      </c>
      <c r="C104" t="str">
        <f t="shared" ca="1" si="10"/>
        <v>pswmigria2414</v>
      </c>
      <c r="D104" t="str">
        <f ca="1">Nomes!T105</f>
        <v>Miguel Lurdes Campos Anjos</v>
      </c>
      <c r="E104" t="str">
        <f ca="1">Nomes!S105</f>
        <v>Masculino</v>
      </c>
      <c r="F104" s="2">
        <v>35936</v>
      </c>
      <c r="G104" t="str" cm="1">
        <f t="array" aca="1" ref="G104" ca="1">INDEX(rua_cod!$F:$F,RANDBETWEEN(2,COUNTA(rua_cod!F:F)))</f>
        <v>Rua dos Bacalhoeiros</v>
      </c>
      <c r="H104" t="str" cm="1">
        <f t="array" aca="1" ref="H104" ca="1">INDEX(rua_cod!$A:$A,Users!V104) &amp; "-" &amp; TEXT(RANDBETWEEN(0,999),"000")</f>
        <v>2414-644</v>
      </c>
      <c r="I104" t="str" cm="1">
        <f t="array" aca="1" ref="I104" ca="1">INDEX(rua_cod!$B:$B,Users!V104)</f>
        <v>Leiria</v>
      </c>
      <c r="J104" t="s">
        <v>3727</v>
      </c>
      <c r="K104" t="s">
        <v>225</v>
      </c>
      <c r="L104" t="s">
        <v>265</v>
      </c>
      <c r="M104" t="str">
        <f t="shared" ca="1" si="11"/>
        <v>62300094</v>
      </c>
      <c r="N104" t="str">
        <f t="shared" ca="1" si="12"/>
        <v>119491221</v>
      </c>
      <c r="O104" t="str">
        <f t="shared" ca="1" si="12"/>
        <v>765683625</v>
      </c>
      <c r="P104" t="str" cm="1">
        <f t="array" aca="1" ref="P104" ca="1">9 &amp; INDEX($AF$3:$AF$6,W104)&amp; TEXT(RANDBETWEEN(0,9999999),"0000000")</f>
        <v>969499598</v>
      </c>
      <c r="Q104" t="str" cm="1">
        <f t="array" aca="1" ref="Q104" ca="1">LOWER(B104) &amp; INDEX($AF$9:$AF$11,X104)</f>
        <v>migria2414@sapo.pt</v>
      </c>
      <c r="R104" t="str">
        <f t="shared" ca="1" si="13"/>
        <v>migria2414.jpg</v>
      </c>
      <c r="T104" s="4"/>
      <c r="V104">
        <f ca="1">RANDBETWEEN(2,COUNTA(rua_cod!A:A))</f>
        <v>36</v>
      </c>
      <c r="W104">
        <f t="shared" ca="1" si="14"/>
        <v>4</v>
      </c>
      <c r="X104">
        <f t="shared" ca="1" si="15"/>
        <v>3</v>
      </c>
      <c r="Y104">
        <f t="shared" ca="1" si="16"/>
        <v>1957</v>
      </c>
      <c r="Z104">
        <f t="shared" ca="1" si="17"/>
        <v>11</v>
      </c>
      <c r="AA104">
        <f t="shared" ca="1" si="18"/>
        <v>29</v>
      </c>
      <c r="AB104">
        <f t="shared" ca="1" si="19"/>
        <v>63</v>
      </c>
    </row>
    <row r="105" spans="1:28" x14ac:dyDescent="0.25">
      <c r="A105">
        <v>104</v>
      </c>
      <c r="B105" t="str" cm="1">
        <f t="array" aca="1" ref="B105" ca="1">replaceChar(LOWER(LEFT(D105,3)&amp;RIGHT(I105,3))&amp;LEFT(H105,4))</f>
        <v>bealos2779</v>
      </c>
      <c r="C105" t="str">
        <f t="shared" ca="1" si="10"/>
        <v>pswbealos2779</v>
      </c>
      <c r="D105" t="str">
        <f ca="1">Nomes!T106</f>
        <v>Beatriz Joana Anjos Freitas</v>
      </c>
      <c r="E105" t="str">
        <f ca="1">Nomes!S106</f>
        <v>Feminino</v>
      </c>
      <c r="F105" s="2">
        <v>33299</v>
      </c>
      <c r="G105" t="str" cm="1">
        <f t="array" aca="1" ref="G105" ca="1">INDEX(rua_cod!$F:$F,RANDBETWEEN(2,COUNTA(rua_cod!F:F)))</f>
        <v>Estrada da Circunvalação de Lisboa</v>
      </c>
      <c r="H105" t="str" cm="1">
        <f t="array" aca="1" ref="H105" ca="1">INDEX(rua_cod!$A:$A,Users!V105) &amp; "-" &amp; TEXT(RANDBETWEEN(0,999),"000")</f>
        <v>2779-300</v>
      </c>
      <c r="I105" t="str" cm="1">
        <f t="array" aca="1" ref="I105" ca="1">INDEX(rua_cod!$B:$B,Users!V105)</f>
        <v>Carcavelos</v>
      </c>
      <c r="J105" t="s">
        <v>3727</v>
      </c>
      <c r="K105" t="s">
        <v>225</v>
      </c>
      <c r="L105" t="s">
        <v>265</v>
      </c>
      <c r="M105" t="str">
        <f t="shared" ca="1" si="11"/>
        <v>25595964</v>
      </c>
      <c r="N105" t="str">
        <f t="shared" ca="1" si="12"/>
        <v>219306676</v>
      </c>
      <c r="O105" t="str">
        <f t="shared" ca="1" si="12"/>
        <v>952774545</v>
      </c>
      <c r="P105" t="str" cm="1">
        <f t="array" aca="1" ref="P105" ca="1">9 &amp; INDEX($AF$3:$AF$6,W105)&amp; TEXT(RANDBETWEEN(0,9999999),"0000000")</f>
        <v>922215013</v>
      </c>
      <c r="Q105" t="str" cm="1">
        <f t="array" aca="1" ref="Q105" ca="1">LOWER(B105) &amp; INDEX($AF$9:$AF$11,X105)</f>
        <v>bealos2779@sapo.pt</v>
      </c>
      <c r="R105" t="str">
        <f t="shared" ca="1" si="13"/>
        <v>bealos2779.jpg</v>
      </c>
      <c r="T105" s="4"/>
      <c r="V105">
        <f ca="1">RANDBETWEEN(2,COUNTA(rua_cod!A:A))</f>
        <v>21</v>
      </c>
      <c r="W105">
        <f t="shared" ca="1" si="14"/>
        <v>2</v>
      </c>
      <c r="X105">
        <f t="shared" ca="1" si="15"/>
        <v>3</v>
      </c>
      <c r="Y105">
        <f t="shared" ca="1" si="16"/>
        <v>1961</v>
      </c>
      <c r="Z105">
        <f t="shared" ca="1" si="17"/>
        <v>8</v>
      </c>
      <c r="AA105">
        <f t="shared" ca="1" si="18"/>
        <v>23</v>
      </c>
      <c r="AB105">
        <f t="shared" ca="1" si="19"/>
        <v>59</v>
      </c>
    </row>
    <row r="106" spans="1:28" x14ac:dyDescent="0.25">
      <c r="A106">
        <v>105</v>
      </c>
      <c r="B106" t="str" cm="1">
        <f t="array" aca="1" ref="B106" ca="1">replaceChar(LOWER(LEFT(D106,3)&amp;RIGHT(I106,3))&amp;LEFT(H106,4))</f>
        <v>matboa1998</v>
      </c>
      <c r="C106" t="str">
        <f t="shared" ca="1" si="10"/>
        <v>pswmatboa1998</v>
      </c>
      <c r="D106" t="str">
        <f ca="1">Nomes!T107</f>
        <v>Matilde Carolina Valente Nogueira</v>
      </c>
      <c r="E106" t="str">
        <f ca="1">Nomes!S107</f>
        <v>Feminino</v>
      </c>
      <c r="F106" s="2">
        <v>12890</v>
      </c>
      <c r="G106" t="str" cm="1">
        <f t="array" aca="1" ref="G106" ca="1">INDEX(rua_cod!$F:$F,RANDBETWEEN(2,COUNTA(rua_cod!F:F)))</f>
        <v>Rua dos Bacalhoeiros</v>
      </c>
      <c r="H106" t="str" cm="1">
        <f t="array" aca="1" ref="H106" ca="1">INDEX(rua_cod!$A:$A,Users!V106) &amp; "-" &amp; TEXT(RANDBETWEEN(0,999),"000")</f>
        <v>1998-451</v>
      </c>
      <c r="I106" t="str" cm="1">
        <f t="array" aca="1" ref="I106" ca="1">INDEX(rua_cod!$B:$B,Users!V106)</f>
        <v>Lisboa</v>
      </c>
      <c r="J106" t="s">
        <v>3727</v>
      </c>
      <c r="K106" t="s">
        <v>225</v>
      </c>
      <c r="L106" t="s">
        <v>265</v>
      </c>
      <c r="M106" t="str">
        <f t="shared" ca="1" si="11"/>
        <v>78834542</v>
      </c>
      <c r="N106" t="str">
        <f t="shared" ca="1" si="12"/>
        <v>348725182</v>
      </c>
      <c r="O106" t="str">
        <f t="shared" ca="1" si="12"/>
        <v>600867223</v>
      </c>
      <c r="P106" t="str" cm="1">
        <f t="array" aca="1" ref="P106" ca="1">9 &amp; INDEX($AF$3:$AF$6,W106)&amp; TEXT(RANDBETWEEN(0,9999999),"0000000")</f>
        <v>922899286</v>
      </c>
      <c r="Q106" t="str" cm="1">
        <f t="array" aca="1" ref="Q106" ca="1">LOWER(B106) &amp; INDEX($AF$9:$AF$11,X106)</f>
        <v>matboa1998@gmail.com</v>
      </c>
      <c r="R106" t="str">
        <f t="shared" ca="1" si="13"/>
        <v>matboa1998.jpg</v>
      </c>
      <c r="T106" s="4"/>
      <c r="V106">
        <f ca="1">RANDBETWEEN(2,COUNTA(rua_cod!A:A))</f>
        <v>78</v>
      </c>
      <c r="W106">
        <f t="shared" ca="1" si="14"/>
        <v>2</v>
      </c>
      <c r="X106">
        <f t="shared" ca="1" si="15"/>
        <v>2</v>
      </c>
      <c r="Y106">
        <f t="shared" ca="1" si="16"/>
        <v>1965</v>
      </c>
      <c r="Z106">
        <f t="shared" ca="1" si="17"/>
        <v>3</v>
      </c>
      <c r="AA106">
        <f t="shared" ca="1" si="18"/>
        <v>18</v>
      </c>
      <c r="AB106">
        <f t="shared" ca="1" si="19"/>
        <v>55</v>
      </c>
    </row>
    <row r="107" spans="1:28" x14ac:dyDescent="0.25">
      <c r="A107">
        <v>106</v>
      </c>
      <c r="B107" t="str" cm="1">
        <f t="array" aca="1" ref="B107" ca="1">replaceChar(LOWER(LEFT(D107,3)&amp;RIGHT(I107,3))&amp;LEFT(H107,4))</f>
        <v>sanlos2779</v>
      </c>
      <c r="C107" t="str">
        <f t="shared" ca="1" si="10"/>
        <v>pswsanlos2779</v>
      </c>
      <c r="D107" t="str">
        <f ca="1">Nomes!T108</f>
        <v>Santiago Marco Gaspar Nogueira</v>
      </c>
      <c r="E107" t="str">
        <f ca="1">Nomes!S108</f>
        <v>Masculino</v>
      </c>
      <c r="F107" s="2">
        <v>39911</v>
      </c>
      <c r="G107" t="str" cm="1">
        <f t="array" aca="1" ref="G107" ca="1">INDEX(rua_cod!$F:$F,RANDBETWEEN(2,COUNTA(rua_cod!F:F)))</f>
        <v>Rua da Alfândega</v>
      </c>
      <c r="H107" t="str" cm="1">
        <f t="array" aca="1" ref="H107" ca="1">INDEX(rua_cod!$A:$A,Users!V107) &amp; "-" &amp; TEXT(RANDBETWEEN(0,999),"000")</f>
        <v>2779-735</v>
      </c>
      <c r="I107" t="str" cm="1">
        <f t="array" aca="1" ref="I107" ca="1">INDEX(rua_cod!$B:$B,Users!V107)</f>
        <v>Carcavelos</v>
      </c>
      <c r="J107" t="s">
        <v>3727</v>
      </c>
      <c r="K107" t="s">
        <v>225</v>
      </c>
      <c r="L107" t="s">
        <v>265</v>
      </c>
      <c r="M107" t="str">
        <f t="shared" ca="1" si="11"/>
        <v>81066359</v>
      </c>
      <c r="N107" t="str">
        <f t="shared" ca="1" si="12"/>
        <v>629576868</v>
      </c>
      <c r="O107" t="str">
        <f t="shared" ca="1" si="12"/>
        <v>792986978</v>
      </c>
      <c r="P107" t="str" cm="1">
        <f t="array" aca="1" ref="P107" ca="1">9 &amp; INDEX($AF$3:$AF$6,W107)&amp; TEXT(RANDBETWEEN(0,9999999),"0000000")</f>
        <v>924901625</v>
      </c>
      <c r="Q107" t="str" cm="1">
        <f t="array" aca="1" ref="Q107" ca="1">LOWER(B107) &amp; INDEX($AF$9:$AF$11,X107)</f>
        <v>sanlos2779@outlook.com</v>
      </c>
      <c r="R107" t="str">
        <f t="shared" ca="1" si="13"/>
        <v>sanlos2779.jpg</v>
      </c>
      <c r="T107" s="4"/>
      <c r="V107">
        <f ca="1">RANDBETWEEN(2,COUNTA(rua_cod!A:A))</f>
        <v>21</v>
      </c>
      <c r="W107">
        <f t="shared" ca="1" si="14"/>
        <v>2</v>
      </c>
      <c r="X107">
        <f t="shared" ca="1" si="15"/>
        <v>1</v>
      </c>
      <c r="Y107">
        <f t="shared" ca="1" si="16"/>
        <v>1992</v>
      </c>
      <c r="Z107">
        <f t="shared" ca="1" si="17"/>
        <v>8</v>
      </c>
      <c r="AA107">
        <f t="shared" ca="1" si="18"/>
        <v>23</v>
      </c>
      <c r="AB107">
        <f t="shared" ca="1" si="19"/>
        <v>28</v>
      </c>
    </row>
    <row r="108" spans="1:28" x14ac:dyDescent="0.25">
      <c r="A108">
        <v>107</v>
      </c>
      <c r="B108" t="str" cm="1">
        <f t="array" aca="1" ref="B108" ca="1">replaceChar(LOWER(LEFT(D108,3)&amp;RIGHT(I108,3))&amp;LEFT(H108,4))</f>
        <v>gabrem2005</v>
      </c>
      <c r="C108" t="str">
        <f t="shared" ca="1" si="10"/>
        <v>pswgabrem2005</v>
      </c>
      <c r="D108" t="str">
        <f ca="1">Nomes!T109</f>
        <v>Gabriel Tiago Vicente Matos</v>
      </c>
      <c r="E108" t="str">
        <f ca="1">Nomes!S109</f>
        <v>Masculino</v>
      </c>
      <c r="F108" s="2">
        <v>24416</v>
      </c>
      <c r="G108" t="str" cm="1">
        <f t="array" aca="1" ref="G108" ca="1">INDEX(rua_cod!$F:$F,RANDBETWEEN(2,COUNTA(rua_cod!F:F)))</f>
        <v>Rua General Morais Sarmento</v>
      </c>
      <c r="H108" t="str" cm="1">
        <f t="array" aca="1" ref="H108" ca="1">INDEX(rua_cod!$A:$A,Users!V108) &amp; "-" &amp; TEXT(RANDBETWEEN(0,999),"000")</f>
        <v>2005-854</v>
      </c>
      <c r="I108" t="str" cm="1">
        <f t="array" aca="1" ref="I108" ca="1">INDEX(rua_cod!$B:$B,Users!V108)</f>
        <v>Santarém</v>
      </c>
      <c r="J108" t="s">
        <v>3727</v>
      </c>
      <c r="K108" t="s">
        <v>225</v>
      </c>
      <c r="L108" t="s">
        <v>265</v>
      </c>
      <c r="M108" t="str">
        <f t="shared" ca="1" si="11"/>
        <v>38585280</v>
      </c>
      <c r="N108" t="str">
        <f t="shared" ca="1" si="12"/>
        <v>106134464</v>
      </c>
      <c r="O108" t="str">
        <f t="shared" ca="1" si="12"/>
        <v>659126999</v>
      </c>
      <c r="P108" t="str" cm="1">
        <f t="array" aca="1" ref="P108" ca="1">9 &amp; INDEX($AF$3:$AF$6,W108)&amp; TEXT(RANDBETWEEN(0,9999999),"0000000")</f>
        <v>910340406</v>
      </c>
      <c r="Q108" t="str" cm="1">
        <f t="array" aca="1" ref="Q108" ca="1">LOWER(B108) &amp; INDEX($AF$9:$AF$11,X108)</f>
        <v>gabrem2005@sapo.pt</v>
      </c>
      <c r="R108" t="str">
        <f t="shared" ca="1" si="13"/>
        <v>gabrem2005.jpg</v>
      </c>
      <c r="T108" s="4"/>
      <c r="V108">
        <f ca="1">RANDBETWEEN(2,COUNTA(rua_cod!A:A))</f>
        <v>92</v>
      </c>
      <c r="W108">
        <f t="shared" ca="1" si="14"/>
        <v>1</v>
      </c>
      <c r="X108">
        <f t="shared" ca="1" si="15"/>
        <v>3</v>
      </c>
      <c r="Y108">
        <f t="shared" ca="1" si="16"/>
        <v>1993</v>
      </c>
      <c r="Z108">
        <f t="shared" ca="1" si="17"/>
        <v>12</v>
      </c>
      <c r="AA108">
        <f t="shared" ca="1" si="18"/>
        <v>29</v>
      </c>
      <c r="AB108">
        <f t="shared" ca="1" si="19"/>
        <v>27</v>
      </c>
    </row>
    <row r="109" spans="1:28" x14ac:dyDescent="0.25">
      <c r="A109">
        <v>108</v>
      </c>
      <c r="B109" t="str" cm="1">
        <f t="array" aca="1" ref="B109" ca="1">replaceChar(LOWER(LEFT(D109,3)&amp;RIGHT(I109,3))&amp;LEFT(H109,4))</f>
        <v>tiaboa1269</v>
      </c>
      <c r="C109" t="str">
        <f t="shared" ca="1" si="10"/>
        <v>pswtiaboa1269</v>
      </c>
      <c r="D109" t="str">
        <f ca="1">Nomes!T110</f>
        <v>Tiago Francisco Domingues Domingues</v>
      </c>
      <c r="E109" t="str">
        <f ca="1">Nomes!S110</f>
        <v>Masculino</v>
      </c>
      <c r="F109" s="2">
        <v>33423</v>
      </c>
      <c r="G109" t="str" cm="1">
        <f t="array" aca="1" ref="G109" ca="1">INDEX(rua_cod!$F:$F,RANDBETWEEN(2,COUNTA(rua_cod!F:F)))</f>
        <v>Calçada Marquês de Abrantes</v>
      </c>
      <c r="H109" t="str" cm="1">
        <f t="array" aca="1" ref="H109" ca="1">INDEX(rua_cod!$A:$A,Users!V109) &amp; "-" &amp; TEXT(RANDBETWEEN(0,999),"000")</f>
        <v>1269-115</v>
      </c>
      <c r="I109" t="str" cm="1">
        <f t="array" aca="1" ref="I109" ca="1">INDEX(rua_cod!$B:$B,Users!V109)</f>
        <v>Lisboa</v>
      </c>
      <c r="J109" t="s">
        <v>3727</v>
      </c>
      <c r="K109" t="s">
        <v>225</v>
      </c>
      <c r="L109" t="s">
        <v>265</v>
      </c>
      <c r="M109" t="str">
        <f t="shared" ca="1" si="11"/>
        <v>91034797</v>
      </c>
      <c r="N109" t="str">
        <f t="shared" ca="1" si="12"/>
        <v>315199184</v>
      </c>
      <c r="O109" t="str">
        <f t="shared" ca="1" si="12"/>
        <v>374383397</v>
      </c>
      <c r="P109" t="str" cm="1">
        <f t="array" aca="1" ref="P109" ca="1">9 &amp; INDEX($AF$3:$AF$6,W109)&amp; TEXT(RANDBETWEEN(0,9999999),"0000000")</f>
        <v>965943040</v>
      </c>
      <c r="Q109" t="str" cm="1">
        <f t="array" aca="1" ref="Q109" ca="1">LOWER(B109) &amp; INDEX($AF$9:$AF$11,X109)</f>
        <v>tiaboa1269@gmail.com</v>
      </c>
      <c r="R109" t="str">
        <f t="shared" ca="1" si="13"/>
        <v>tiaboa1269.jpg</v>
      </c>
      <c r="T109" s="4"/>
      <c r="V109">
        <f ca="1">RANDBETWEEN(2,COUNTA(rua_cod!A:A))</f>
        <v>52</v>
      </c>
      <c r="W109">
        <f t="shared" ca="1" si="14"/>
        <v>4</v>
      </c>
      <c r="X109">
        <f t="shared" ca="1" si="15"/>
        <v>2</v>
      </c>
      <c r="Y109">
        <f t="shared" ca="1" si="16"/>
        <v>1942</v>
      </c>
      <c r="Z109">
        <f t="shared" ca="1" si="17"/>
        <v>5</v>
      </c>
      <c r="AA109">
        <f t="shared" ca="1" si="18"/>
        <v>15</v>
      </c>
      <c r="AB109">
        <f t="shared" ca="1" si="19"/>
        <v>78</v>
      </c>
    </row>
    <row r="110" spans="1:28" x14ac:dyDescent="0.25">
      <c r="A110">
        <v>109</v>
      </c>
      <c r="B110" t="str" cm="1">
        <f t="array" aca="1" ref="B110" ca="1">replaceChar(LOWER(LEFT(D110,3)&amp;RIGHT(I110,3))&amp;LEFT(H110,4))</f>
        <v>lauide2794</v>
      </c>
      <c r="C110" t="str">
        <f t="shared" ca="1" si="10"/>
        <v>pswlauide2794</v>
      </c>
      <c r="D110" t="str">
        <f ca="1">Nomes!T111</f>
        <v>Laura Leonor Sousa Lourenço</v>
      </c>
      <c r="E110" t="str">
        <f ca="1">Nomes!S111</f>
        <v>Feminino</v>
      </c>
      <c r="F110" s="2">
        <v>9013</v>
      </c>
      <c r="G110" t="str" cm="1">
        <f t="array" aca="1" ref="G110" ca="1">INDEX(rua_cod!$F:$F,RANDBETWEEN(2,COUNTA(rua_cod!F:F)))</f>
        <v>Rua Nova do Almada</v>
      </c>
      <c r="H110" t="str" cm="1">
        <f t="array" aca="1" ref="H110" ca="1">INDEX(rua_cod!$A:$A,Users!V110) &amp; "-" &amp; TEXT(RANDBETWEEN(0,999),"000")</f>
        <v>2794-704</v>
      </c>
      <c r="I110" t="str" cm="1">
        <f t="array" aca="1" ref="I110" ca="1">INDEX(rua_cod!$B:$B,Users!V110)</f>
        <v>Carnaxide</v>
      </c>
      <c r="J110" t="s">
        <v>3727</v>
      </c>
      <c r="K110" t="s">
        <v>225</v>
      </c>
      <c r="L110" t="s">
        <v>265</v>
      </c>
      <c r="M110" t="str">
        <f t="shared" ca="1" si="11"/>
        <v>82346584</v>
      </c>
      <c r="N110" t="str">
        <f t="shared" ca="1" si="12"/>
        <v>253778098</v>
      </c>
      <c r="O110" t="str">
        <f t="shared" ca="1" si="12"/>
        <v>706078185</v>
      </c>
      <c r="P110" t="str" cm="1">
        <f t="array" aca="1" ref="P110" ca="1">9 &amp; INDEX($AF$3:$AF$6,W110)&amp; TEXT(RANDBETWEEN(0,9999999),"0000000")</f>
        <v>966641588</v>
      </c>
      <c r="Q110" t="str" cm="1">
        <f t="array" aca="1" ref="Q110" ca="1">LOWER(B110) &amp; INDEX($AF$9:$AF$11,X110)</f>
        <v>lauide2794@sapo.pt</v>
      </c>
      <c r="R110" t="str">
        <f t="shared" ca="1" si="13"/>
        <v>lauide2794.jpg</v>
      </c>
      <c r="T110" s="4"/>
      <c r="V110">
        <f ca="1">RANDBETWEEN(2,COUNTA(rua_cod!A:A))</f>
        <v>23</v>
      </c>
      <c r="W110">
        <f t="shared" ca="1" si="14"/>
        <v>4</v>
      </c>
      <c r="X110">
        <f t="shared" ca="1" si="15"/>
        <v>3</v>
      </c>
      <c r="Y110">
        <f t="shared" ca="1" si="16"/>
        <v>1954</v>
      </c>
      <c r="Z110">
        <f t="shared" ca="1" si="17"/>
        <v>6</v>
      </c>
      <c r="AA110">
        <f t="shared" ca="1" si="18"/>
        <v>20</v>
      </c>
      <c r="AB110">
        <f t="shared" ca="1" si="19"/>
        <v>66</v>
      </c>
    </row>
    <row r="111" spans="1:28" x14ac:dyDescent="0.25">
      <c r="A111">
        <v>110</v>
      </c>
      <c r="B111" t="str" cm="1">
        <f t="array" aca="1" ref="B111" ca="1">replaceChar(LOWER(LEFT(D111,3)&amp;RIGHT(I111,3))&amp;LEFT(H111,4))</f>
        <v>diaboa1149</v>
      </c>
      <c r="C111" t="str">
        <f t="shared" ca="1" si="10"/>
        <v>pswdiaboa1149</v>
      </c>
      <c r="D111" t="str">
        <f ca="1">Nomes!T112</f>
        <v>Diana Sofia Moura Coelho</v>
      </c>
      <c r="E111" t="str">
        <f ca="1">Nomes!S112</f>
        <v>Feminino</v>
      </c>
      <c r="F111" s="2">
        <v>34653</v>
      </c>
      <c r="G111" t="str" cm="1">
        <f t="array" aca="1" ref="G111" ca="1">INDEX(rua_cod!$F:$F,RANDBETWEEN(2,COUNTA(rua_cod!F:F)))</f>
        <v>Rua dos Bacalhoeiros</v>
      </c>
      <c r="H111" t="str" cm="1">
        <f t="array" aca="1" ref="H111" ca="1">INDEX(rua_cod!$A:$A,Users!V111) &amp; "-" &amp; TEXT(RANDBETWEEN(0,999),"000")</f>
        <v>1149-864</v>
      </c>
      <c r="I111" t="str" cm="1">
        <f t="array" aca="1" ref="I111" ca="1">INDEX(rua_cod!$B:$B,Users!V111)</f>
        <v>Lisboa</v>
      </c>
      <c r="J111" t="s">
        <v>3727</v>
      </c>
      <c r="K111" t="s">
        <v>225</v>
      </c>
      <c r="L111" t="s">
        <v>265</v>
      </c>
      <c r="M111" t="str">
        <f t="shared" ca="1" si="11"/>
        <v>89436604</v>
      </c>
      <c r="N111" t="str">
        <f t="shared" ca="1" si="12"/>
        <v>974887860</v>
      </c>
      <c r="O111" t="str">
        <f t="shared" ca="1" si="12"/>
        <v>388540311</v>
      </c>
      <c r="P111" t="str" cm="1">
        <f t="array" aca="1" ref="P111" ca="1">9 &amp; INDEX($AF$3:$AF$6,W111)&amp; TEXT(RANDBETWEEN(0,9999999),"0000000")</f>
        <v>929176101</v>
      </c>
      <c r="Q111" t="str" cm="1">
        <f t="array" aca="1" ref="Q111" ca="1">LOWER(B111) &amp; INDEX($AF$9:$AF$11,X111)</f>
        <v>diaboa1149@outlook.com</v>
      </c>
      <c r="R111" t="str">
        <f t="shared" ca="1" si="13"/>
        <v>diaboa1149.jpg</v>
      </c>
      <c r="T111" s="4"/>
      <c r="V111">
        <f ca="1">RANDBETWEEN(2,COUNTA(rua_cod!A:A))</f>
        <v>59</v>
      </c>
      <c r="W111">
        <f t="shared" ca="1" si="14"/>
        <v>2</v>
      </c>
      <c r="X111">
        <f t="shared" ca="1" si="15"/>
        <v>1</v>
      </c>
      <c r="Y111">
        <f t="shared" ca="1" si="16"/>
        <v>1973</v>
      </c>
      <c r="Z111">
        <f t="shared" ca="1" si="17"/>
        <v>1</v>
      </c>
      <c r="AA111">
        <f t="shared" ca="1" si="18"/>
        <v>17</v>
      </c>
      <c r="AB111">
        <f t="shared" ca="1" si="19"/>
        <v>47</v>
      </c>
    </row>
    <row r="112" spans="1:28" x14ac:dyDescent="0.25">
      <c r="A112">
        <v>111</v>
      </c>
      <c r="B112" t="str" cm="1">
        <f t="array" aca="1" ref="B112" ca="1">replaceChar(LOWER(LEFT(D112,3)&amp;RIGHT(I112,3))&amp;LEFT(H112,4))</f>
        <v>lurboa1100</v>
      </c>
      <c r="C112" t="str">
        <f t="shared" ca="1" si="10"/>
        <v>pswlurboa1100</v>
      </c>
      <c r="D112" t="str">
        <f ca="1">Nomes!T113</f>
        <v>Lurdes Inês Vicente Pinto</v>
      </c>
      <c r="E112" t="str">
        <f ca="1">Nomes!S113</f>
        <v>Feminino</v>
      </c>
      <c r="F112" s="2">
        <v>11305</v>
      </c>
      <c r="G112" t="str" cm="1">
        <f t="array" aca="1" ref="G112" ca="1">INDEX(rua_cod!$F:$F,RANDBETWEEN(2,COUNTA(rua_cod!F:F)))</f>
        <v>Calçada de Carriche</v>
      </c>
      <c r="H112" t="str" cm="1">
        <f t="array" aca="1" ref="H112" ca="1">INDEX(rua_cod!$A:$A,Users!V112) &amp; "-" &amp; TEXT(RANDBETWEEN(0,999),"000")</f>
        <v>1100-543</v>
      </c>
      <c r="I112" t="str" cm="1">
        <f t="array" aca="1" ref="I112" ca="1">INDEX(rua_cod!$B:$B,Users!V112)</f>
        <v>Lisboa</v>
      </c>
      <c r="J112" t="s">
        <v>3727</v>
      </c>
      <c r="K112" t="s">
        <v>225</v>
      </c>
      <c r="L112" t="s">
        <v>265</v>
      </c>
      <c r="M112" t="str">
        <f t="shared" ca="1" si="11"/>
        <v>41388089</v>
      </c>
      <c r="N112" t="str">
        <f t="shared" ca="1" si="12"/>
        <v>872974251</v>
      </c>
      <c r="O112" t="str">
        <f t="shared" ca="1" si="12"/>
        <v>857532368</v>
      </c>
      <c r="P112" t="str" cm="1">
        <f t="array" aca="1" ref="P112" ca="1">9 &amp; INDEX($AF$3:$AF$6,W112)&amp; TEXT(RANDBETWEEN(0,9999999),"0000000")</f>
        <v>968735977</v>
      </c>
      <c r="Q112" t="str" cm="1">
        <f t="array" aca="1" ref="Q112" ca="1">LOWER(B112) &amp; INDEX($AF$9:$AF$11,X112)</f>
        <v>lurboa1100@outlook.com</v>
      </c>
      <c r="R112" t="str">
        <f t="shared" ca="1" si="13"/>
        <v>lurboa1100.jpg</v>
      </c>
      <c r="T112" s="4"/>
      <c r="V112">
        <f ca="1">RANDBETWEEN(2,COUNTA(rua_cod!A:A))</f>
        <v>46</v>
      </c>
      <c r="W112">
        <f t="shared" ca="1" si="14"/>
        <v>4</v>
      </c>
      <c r="X112">
        <f t="shared" ca="1" si="15"/>
        <v>1</v>
      </c>
      <c r="Y112">
        <f t="shared" ca="1" si="16"/>
        <v>1965</v>
      </c>
      <c r="Z112">
        <f t="shared" ca="1" si="17"/>
        <v>12</v>
      </c>
      <c r="AA112">
        <f t="shared" ca="1" si="18"/>
        <v>9</v>
      </c>
      <c r="AB112">
        <f t="shared" ca="1" si="19"/>
        <v>55</v>
      </c>
    </row>
    <row r="113" spans="1:28" x14ac:dyDescent="0.25">
      <c r="A113">
        <v>112</v>
      </c>
      <c r="B113" t="str" cm="1">
        <f t="array" aca="1" ref="B113" ca="1">replaceChar(LOWER(LEFT(D113,3)&amp;RIGHT(I113,3))&amp;LEFT(H113,4))</f>
        <v>bruboa1269</v>
      </c>
      <c r="C113" t="str">
        <f t="shared" ca="1" si="10"/>
        <v>pswbruboa1269</v>
      </c>
      <c r="D113" t="str">
        <f ca="1">Nomes!T114</f>
        <v>Bruno Laura Matias Lourenço</v>
      </c>
      <c r="E113" t="str">
        <f ca="1">Nomes!S114</f>
        <v>Masculino</v>
      </c>
      <c r="F113" s="2">
        <v>13043</v>
      </c>
      <c r="G113" t="str" cm="1">
        <f t="array" aca="1" ref="G113" ca="1">INDEX(rua_cod!$F:$F,RANDBETWEEN(2,COUNTA(rua_cod!F:F)))</f>
        <v>Rua do Arsenal</v>
      </c>
      <c r="H113" t="str" cm="1">
        <f t="array" aca="1" ref="H113" ca="1">INDEX(rua_cod!$A:$A,Users!V113) &amp; "-" &amp; TEXT(RANDBETWEEN(0,999),"000")</f>
        <v>1269-552</v>
      </c>
      <c r="I113" t="str" cm="1">
        <f t="array" aca="1" ref="I113" ca="1">INDEX(rua_cod!$B:$B,Users!V113)</f>
        <v>Lisboa</v>
      </c>
      <c r="J113" t="s">
        <v>3727</v>
      </c>
      <c r="K113" t="s">
        <v>225</v>
      </c>
      <c r="L113" t="s">
        <v>265</v>
      </c>
      <c r="M113" t="str">
        <f t="shared" ca="1" si="11"/>
        <v>57273654</v>
      </c>
      <c r="N113" t="str">
        <f t="shared" ca="1" si="12"/>
        <v>560311506</v>
      </c>
      <c r="O113" t="str">
        <f t="shared" ca="1" si="12"/>
        <v>959926535</v>
      </c>
      <c r="P113" t="str" cm="1">
        <f t="array" aca="1" ref="P113" ca="1">9 &amp; INDEX($AF$3:$AF$6,W113)&amp; TEXT(RANDBETWEEN(0,9999999),"0000000")</f>
        <v>936587377</v>
      </c>
      <c r="Q113" t="str" cm="1">
        <f t="array" aca="1" ref="Q113" ca="1">LOWER(B113) &amp; INDEX($AF$9:$AF$11,X113)</f>
        <v>bruboa1269@sapo.pt</v>
      </c>
      <c r="R113" t="str">
        <f t="shared" ca="1" si="13"/>
        <v>bruboa1269.jpg</v>
      </c>
      <c r="T113" s="4"/>
      <c r="V113">
        <f ca="1">RANDBETWEEN(2,COUNTA(rua_cod!A:A))</f>
        <v>52</v>
      </c>
      <c r="W113">
        <f t="shared" ca="1" si="14"/>
        <v>3</v>
      </c>
      <c r="X113">
        <f t="shared" ca="1" si="15"/>
        <v>3</v>
      </c>
      <c r="Y113">
        <f t="shared" ca="1" si="16"/>
        <v>1968</v>
      </c>
      <c r="Z113">
        <f t="shared" ca="1" si="17"/>
        <v>10</v>
      </c>
      <c r="AA113">
        <f t="shared" ca="1" si="18"/>
        <v>15</v>
      </c>
      <c r="AB113">
        <f t="shared" ca="1" si="19"/>
        <v>52</v>
      </c>
    </row>
    <row r="114" spans="1:28" x14ac:dyDescent="0.25">
      <c r="A114">
        <v>113</v>
      </c>
      <c r="B114" t="str" cm="1">
        <f t="array" aca="1" ref="B114" ca="1">replaceChar(LOWER(LEFT(D114,3)&amp;RIGHT(I114,3))&amp;LEFT(H114,4))</f>
        <v>lurrem2004</v>
      </c>
      <c r="C114" t="str">
        <f t="shared" ca="1" si="10"/>
        <v>pswlurrem2004</v>
      </c>
      <c r="D114" t="str">
        <f ca="1">Nomes!T115</f>
        <v>Lurdes Joaquim Raposo Borges</v>
      </c>
      <c r="E114" t="str">
        <f ca="1">Nomes!S115</f>
        <v>Feminino</v>
      </c>
      <c r="F114" s="2">
        <v>43678</v>
      </c>
      <c r="G114" t="str" cm="1">
        <f t="array" aca="1" ref="G114" ca="1">INDEX(rua_cod!$F:$F,RANDBETWEEN(2,COUNTA(rua_cod!F:F)))</f>
        <v>Rua Augusta</v>
      </c>
      <c r="H114" t="str" cm="1">
        <f t="array" aca="1" ref="H114" ca="1">INDEX(rua_cod!$A:$A,Users!V114) &amp; "-" &amp; TEXT(RANDBETWEEN(0,999),"000")</f>
        <v>2004-591</v>
      </c>
      <c r="I114" t="str" cm="1">
        <f t="array" aca="1" ref="I114" ca="1">INDEX(rua_cod!$B:$B,Users!V114)</f>
        <v>Santarém</v>
      </c>
      <c r="J114" t="s">
        <v>3727</v>
      </c>
      <c r="K114" t="s">
        <v>225</v>
      </c>
      <c r="L114" t="s">
        <v>265</v>
      </c>
      <c r="M114" t="str">
        <f t="shared" ca="1" si="11"/>
        <v>68636595</v>
      </c>
      <c r="N114" t="str">
        <f t="shared" ca="1" si="12"/>
        <v>311776004</v>
      </c>
      <c r="O114" t="str">
        <f t="shared" ca="1" si="12"/>
        <v>575328240</v>
      </c>
      <c r="P114" t="str" cm="1">
        <f t="array" aca="1" ref="P114" ca="1">9 &amp; INDEX($AF$3:$AF$6,W114)&amp; TEXT(RANDBETWEEN(0,9999999),"0000000")</f>
        <v>924504546</v>
      </c>
      <c r="Q114" t="str" cm="1">
        <f t="array" aca="1" ref="Q114" ca="1">LOWER(B114) &amp; INDEX($AF$9:$AF$11,X114)</f>
        <v>lurrem2004@sapo.pt</v>
      </c>
      <c r="R114" t="str">
        <f t="shared" ca="1" si="13"/>
        <v>lurrem2004.jpg</v>
      </c>
      <c r="T114" s="4"/>
      <c r="V114">
        <f ca="1">RANDBETWEEN(2,COUNTA(rua_cod!A:A))</f>
        <v>94</v>
      </c>
      <c r="W114">
        <f t="shared" ca="1" si="14"/>
        <v>2</v>
      </c>
      <c r="X114">
        <f t="shared" ca="1" si="15"/>
        <v>3</v>
      </c>
      <c r="Y114">
        <f t="shared" ca="1" si="16"/>
        <v>1979</v>
      </c>
      <c r="Z114">
        <f t="shared" ca="1" si="17"/>
        <v>8</v>
      </c>
      <c r="AA114">
        <f t="shared" ca="1" si="18"/>
        <v>23</v>
      </c>
      <c r="AB114">
        <f t="shared" ca="1" si="19"/>
        <v>41</v>
      </c>
    </row>
    <row r="115" spans="1:28" x14ac:dyDescent="0.25">
      <c r="A115">
        <v>114</v>
      </c>
      <c r="B115" t="str" cm="1">
        <f t="array" aca="1" ref="B115" ca="1">replaceChar(LOWER(LEFT(D115,3)&amp;RIGHT(I115,3))&amp;LEFT(H115,4))</f>
        <v>dioica2825</v>
      </c>
      <c r="C115" t="str">
        <f t="shared" ca="1" si="10"/>
        <v>pswdioica2825</v>
      </c>
      <c r="D115" t="str">
        <f ca="1">Nomes!T116</f>
        <v>Diogo Lara Campos Azevedo</v>
      </c>
      <c r="E115" t="str">
        <f ca="1">Nomes!S116</f>
        <v>Masculino</v>
      </c>
      <c r="F115" s="2">
        <v>16742</v>
      </c>
      <c r="G115" t="str" cm="1">
        <f t="array" aca="1" ref="G115" ca="1">INDEX(rua_cod!$F:$F,RANDBETWEEN(2,COUNTA(rua_cod!F:F)))</f>
        <v>Rua dos Bacalhoeiros</v>
      </c>
      <c r="H115" t="str" cm="1">
        <f t="array" aca="1" ref="H115" ca="1">INDEX(rua_cod!$A:$A,Users!V115) &amp; "-" &amp; TEXT(RANDBETWEEN(0,999),"000")</f>
        <v>2825-800</v>
      </c>
      <c r="I115" t="str" cm="1">
        <f t="array" aca="1" ref="I115" ca="1">INDEX(rua_cod!$B:$B,Users!V115)</f>
        <v>Caparica</v>
      </c>
      <c r="J115" t="s">
        <v>3727</v>
      </c>
      <c r="K115" t="s">
        <v>225</v>
      </c>
      <c r="L115" t="s">
        <v>265</v>
      </c>
      <c r="M115" t="str">
        <f t="shared" ca="1" si="11"/>
        <v>73119818</v>
      </c>
      <c r="N115" t="str">
        <f t="shared" ca="1" si="12"/>
        <v>133803492</v>
      </c>
      <c r="O115" t="str">
        <f t="shared" ca="1" si="12"/>
        <v>961907777</v>
      </c>
      <c r="P115" t="str" cm="1">
        <f t="array" aca="1" ref="P115" ca="1">9 &amp; INDEX($AF$3:$AF$6,W115)&amp; TEXT(RANDBETWEEN(0,9999999),"0000000")</f>
        <v>929675096</v>
      </c>
      <c r="Q115" t="str" cm="1">
        <f t="array" aca="1" ref="Q115" ca="1">LOWER(B115) &amp; INDEX($AF$9:$AF$11,X115)</f>
        <v>dioica2825@gmail.com</v>
      </c>
      <c r="R115" t="str">
        <f t="shared" ca="1" si="13"/>
        <v>dioica2825.jpg</v>
      </c>
      <c r="T115" s="4"/>
      <c r="V115">
        <f ca="1">RANDBETWEEN(2,COUNTA(rua_cod!A:A))</f>
        <v>18</v>
      </c>
      <c r="W115">
        <f t="shared" ca="1" si="14"/>
        <v>2</v>
      </c>
      <c r="X115">
        <f t="shared" ca="1" si="15"/>
        <v>2</v>
      </c>
      <c r="Y115">
        <f t="shared" ca="1" si="16"/>
        <v>1994</v>
      </c>
      <c r="Z115">
        <f t="shared" ca="1" si="17"/>
        <v>3</v>
      </c>
      <c r="AA115">
        <f t="shared" ca="1" si="18"/>
        <v>15</v>
      </c>
      <c r="AB115">
        <f t="shared" ca="1" si="19"/>
        <v>26</v>
      </c>
    </row>
    <row r="116" spans="1:28" x14ac:dyDescent="0.25">
      <c r="A116">
        <v>115</v>
      </c>
      <c r="B116" t="str" cm="1">
        <f t="array" aca="1" ref="B116" ca="1">replaceChar(LOWER(LEFT(D116,3)&amp;RIGHT(I116,3))&amp;LEFT(H116,4))</f>
        <v>dioboa1748</v>
      </c>
      <c r="C116" t="str">
        <f t="shared" ca="1" si="10"/>
        <v>pswdioboa1748</v>
      </c>
      <c r="D116" t="str">
        <f ca="1">Nomes!T117</f>
        <v>Diogo Vera Gonçalves Abreu</v>
      </c>
      <c r="E116" t="str">
        <f ca="1">Nomes!S117</f>
        <v>Masculino</v>
      </c>
      <c r="F116" s="2">
        <v>31845</v>
      </c>
      <c r="G116" t="str" cm="1">
        <f t="array" aca="1" ref="G116" ca="1">INDEX(rua_cod!$F:$F,RANDBETWEEN(2,COUNTA(rua_cod!F:F)))</f>
        <v>Rua Garrett</v>
      </c>
      <c r="H116" t="str" cm="1">
        <f t="array" aca="1" ref="H116" ca="1">INDEX(rua_cod!$A:$A,Users!V116) &amp; "-" &amp; TEXT(RANDBETWEEN(0,999),"000")</f>
        <v>1748-863</v>
      </c>
      <c r="I116" t="str" cm="1">
        <f t="array" aca="1" ref="I116" ca="1">INDEX(rua_cod!$B:$B,Users!V116)</f>
        <v>Lisboa</v>
      </c>
      <c r="J116" t="s">
        <v>3727</v>
      </c>
      <c r="K116" t="s">
        <v>225</v>
      </c>
      <c r="L116" t="s">
        <v>265</v>
      </c>
      <c r="M116" t="str">
        <f t="shared" ca="1" si="11"/>
        <v>11990654</v>
      </c>
      <c r="N116" t="str">
        <f t="shared" ca="1" si="12"/>
        <v>342549790</v>
      </c>
      <c r="O116" t="str">
        <f t="shared" ca="1" si="12"/>
        <v>708837001</v>
      </c>
      <c r="P116" t="str" cm="1">
        <f t="array" aca="1" ref="P116" ca="1">9 &amp; INDEX($AF$3:$AF$6,W116)&amp; TEXT(RANDBETWEEN(0,9999999),"0000000")</f>
        <v>930603095</v>
      </c>
      <c r="Q116" t="str" cm="1">
        <f t="array" aca="1" ref="Q116" ca="1">LOWER(B116) &amp; INDEX($AF$9:$AF$11,X116)</f>
        <v>dioboa1748@sapo.pt</v>
      </c>
      <c r="R116" t="str">
        <f t="shared" ca="1" si="13"/>
        <v>dioboa1748.jpg</v>
      </c>
      <c r="T116" s="4"/>
      <c r="V116">
        <f ca="1">RANDBETWEEN(2,COUNTA(rua_cod!A:A))</f>
        <v>77</v>
      </c>
      <c r="W116">
        <f t="shared" ca="1" si="14"/>
        <v>3</v>
      </c>
      <c r="X116">
        <f t="shared" ca="1" si="15"/>
        <v>3</v>
      </c>
      <c r="Y116">
        <f t="shared" ca="1" si="16"/>
        <v>1965</v>
      </c>
      <c r="Z116">
        <f t="shared" ca="1" si="17"/>
        <v>12</v>
      </c>
      <c r="AA116">
        <f t="shared" ca="1" si="18"/>
        <v>9</v>
      </c>
      <c r="AB116">
        <f t="shared" ca="1" si="19"/>
        <v>55</v>
      </c>
    </row>
    <row r="117" spans="1:28" x14ac:dyDescent="0.25">
      <c r="A117">
        <v>116</v>
      </c>
      <c r="B117" t="str" cm="1">
        <f t="array" aca="1" ref="B117" ca="1">replaceChar(LOWER(LEFT(D117,3)&amp;RIGHT(I117,3))&amp;LEFT(H117,4))</f>
        <v>sanbal2910</v>
      </c>
      <c r="C117" t="str">
        <f t="shared" ca="1" si="10"/>
        <v>pswsanbal2910</v>
      </c>
      <c r="D117" t="str">
        <f ca="1">Nomes!T118</f>
        <v>Santiago Miguel Fonseca Costa</v>
      </c>
      <c r="E117" t="str">
        <f ca="1">Nomes!S118</f>
        <v>Masculino</v>
      </c>
      <c r="F117" s="2">
        <v>13451</v>
      </c>
      <c r="G117" t="str" cm="1">
        <f t="array" aca="1" ref="G117" ca="1">INDEX(rua_cod!$F:$F,RANDBETWEEN(2,COUNTA(rua_cod!F:F)))</f>
        <v>Rua Roberto Duarte Silva</v>
      </c>
      <c r="H117" t="str" cm="1">
        <f t="array" aca="1" ref="H117" ca="1">INDEX(rua_cod!$A:$A,Users!V117) &amp; "-" &amp; TEXT(RANDBETWEEN(0,999),"000")</f>
        <v>2910-050</v>
      </c>
      <c r="I117" t="str" cm="1">
        <f t="array" aca="1" ref="I117" ca="1">INDEX(rua_cod!$B:$B,Users!V117)</f>
        <v>Setúbal</v>
      </c>
      <c r="J117" t="s">
        <v>3727</v>
      </c>
      <c r="K117" t="s">
        <v>225</v>
      </c>
      <c r="L117" t="s">
        <v>265</v>
      </c>
      <c r="M117" t="str">
        <f t="shared" ca="1" si="11"/>
        <v>22841553</v>
      </c>
      <c r="N117" t="str">
        <f t="shared" ca="1" si="12"/>
        <v>913947923</v>
      </c>
      <c r="O117" t="str">
        <f t="shared" ca="1" si="12"/>
        <v>498662235</v>
      </c>
      <c r="P117" t="str" cm="1">
        <f t="array" aca="1" ref="P117" ca="1">9 &amp; INDEX($AF$3:$AF$6,W117)&amp; TEXT(RANDBETWEEN(0,9999999),"0000000")</f>
        <v>917697749</v>
      </c>
      <c r="Q117" t="str" cm="1">
        <f t="array" aca="1" ref="Q117" ca="1">LOWER(B117) &amp; INDEX($AF$9:$AF$11,X117)</f>
        <v>sanbal2910@sapo.pt</v>
      </c>
      <c r="R117" t="str">
        <f t="shared" ca="1" si="13"/>
        <v>sanbal2910.jpg</v>
      </c>
      <c r="T117" s="4"/>
      <c r="V117">
        <f ca="1">RANDBETWEEN(2,COUNTA(rua_cod!A:A))</f>
        <v>97</v>
      </c>
      <c r="W117">
        <f t="shared" ca="1" si="14"/>
        <v>1</v>
      </c>
      <c r="X117">
        <f t="shared" ca="1" si="15"/>
        <v>3</v>
      </c>
      <c r="Y117">
        <f t="shared" ca="1" si="16"/>
        <v>1993</v>
      </c>
      <c r="Z117">
        <f t="shared" ca="1" si="17"/>
        <v>8</v>
      </c>
      <c r="AA117">
        <f t="shared" ca="1" si="18"/>
        <v>23</v>
      </c>
      <c r="AB117">
        <f t="shared" ca="1" si="19"/>
        <v>27</v>
      </c>
    </row>
    <row r="118" spans="1:28" x14ac:dyDescent="0.25">
      <c r="A118">
        <v>117</v>
      </c>
      <c r="B118" t="str" cm="1">
        <f t="array" aca="1" ref="B118" ca="1">replaceChar(LOWER(LEFT(D118,3)&amp;RIGHT(I118,3))&amp;LEFT(H118,4))</f>
        <v>marboa1000</v>
      </c>
      <c r="C118" t="str">
        <f t="shared" ca="1" si="10"/>
        <v>pswmarboa1000</v>
      </c>
      <c r="D118" t="str">
        <f ca="1">Nomes!T119</f>
        <v>Martim Diana Lima Coelho</v>
      </c>
      <c r="E118" t="str">
        <f ca="1">Nomes!S119</f>
        <v>Masculino</v>
      </c>
      <c r="F118" s="2">
        <v>13647</v>
      </c>
      <c r="G118" t="str" cm="1">
        <f t="array" aca="1" ref="G118" ca="1">INDEX(rua_cod!$F:$F,RANDBETWEEN(2,COUNTA(rua_cod!F:F)))</f>
        <v>Rua do Comércio</v>
      </c>
      <c r="H118" t="str" cm="1">
        <f t="array" aca="1" ref="H118" ca="1">INDEX(rua_cod!$A:$A,Users!V118) &amp; "-" &amp; TEXT(RANDBETWEEN(0,999),"000")</f>
        <v>1000-107</v>
      </c>
      <c r="I118" t="str" cm="1">
        <f t="array" aca="1" ref="I118" ca="1">INDEX(rua_cod!$B:$B,Users!V118)</f>
        <v>Lisboa</v>
      </c>
      <c r="J118" t="s">
        <v>3727</v>
      </c>
      <c r="K118" t="s">
        <v>225</v>
      </c>
      <c r="L118" t="s">
        <v>265</v>
      </c>
      <c r="M118" t="str">
        <f t="shared" ca="1" si="11"/>
        <v>12137370</v>
      </c>
      <c r="N118" t="str">
        <f t="shared" ca="1" si="12"/>
        <v>958267900</v>
      </c>
      <c r="O118" t="str">
        <f t="shared" ca="1" si="12"/>
        <v>640555143</v>
      </c>
      <c r="P118" t="str" cm="1">
        <f t="array" aca="1" ref="P118" ca="1">9 &amp; INDEX($AF$3:$AF$6,W118)&amp; TEXT(RANDBETWEEN(0,9999999),"0000000")</f>
        <v>962193687</v>
      </c>
      <c r="Q118" t="str" cm="1">
        <f t="array" aca="1" ref="Q118" ca="1">LOWER(B118) &amp; INDEX($AF$9:$AF$11,X118)</f>
        <v>marboa1000@outlook.com</v>
      </c>
      <c r="R118" t="str">
        <f t="shared" ca="1" si="13"/>
        <v>marboa1000.jpg</v>
      </c>
      <c r="T118" s="4"/>
      <c r="V118">
        <f ca="1">RANDBETWEEN(2,COUNTA(rua_cod!A:A))</f>
        <v>62</v>
      </c>
      <c r="W118">
        <f t="shared" ca="1" si="14"/>
        <v>4</v>
      </c>
      <c r="X118">
        <f t="shared" ca="1" si="15"/>
        <v>1</v>
      </c>
      <c r="Y118">
        <f t="shared" ca="1" si="16"/>
        <v>1985</v>
      </c>
      <c r="Z118">
        <f t="shared" ca="1" si="17"/>
        <v>12</v>
      </c>
      <c r="AA118">
        <f t="shared" ca="1" si="18"/>
        <v>15</v>
      </c>
      <c r="AB118">
        <f t="shared" ca="1" si="19"/>
        <v>35</v>
      </c>
    </row>
    <row r="119" spans="1:28" x14ac:dyDescent="0.25">
      <c r="A119">
        <v>118</v>
      </c>
      <c r="B119" t="str" cm="1">
        <f t="array" aca="1" ref="B119" ca="1">replaceChar(LOWER(LEFT(D119,3)&amp;RIGHT(I119,3))&amp;LEFT(H119,4))</f>
        <v>marras2780</v>
      </c>
      <c r="C119" t="str">
        <f t="shared" ca="1" si="10"/>
        <v>pswmarras2780</v>
      </c>
      <c r="D119" t="str">
        <f ca="1">Nomes!T120</f>
        <v>Martim João Gomes Cardoso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Estrada da Circunvalação de Lisboa</v>
      </c>
      <c r="H119" t="str" cm="1">
        <f t="array" aca="1" ref="H119" ca="1">INDEX(rua_cod!$A:$A,Users!V119) &amp; "-" &amp; TEXT(RANDBETWEEN(0,999),"000")</f>
        <v>2780-244</v>
      </c>
      <c r="I119" t="str" cm="1">
        <f t="array" aca="1" ref="I119" ca="1">INDEX(rua_cod!$B:$B,Users!V119)</f>
        <v>Oeiras</v>
      </c>
      <c r="J119" t="s">
        <v>3727</v>
      </c>
      <c r="K119" t="s">
        <v>225</v>
      </c>
      <c r="L119" t="s">
        <v>265</v>
      </c>
      <c r="M119" t="str">
        <f t="shared" ca="1" si="11"/>
        <v>57618506</v>
      </c>
      <c r="N119" t="str">
        <f t="shared" ca="1" si="12"/>
        <v>410676411</v>
      </c>
      <c r="O119" t="str">
        <f t="shared" ca="1" si="12"/>
        <v>279552673</v>
      </c>
      <c r="P119" t="str" cm="1">
        <f t="array" aca="1" ref="P119" ca="1">9 &amp; INDEX($AF$3:$AF$6,W119)&amp; TEXT(RANDBETWEEN(0,9999999),"0000000")</f>
        <v>912633690</v>
      </c>
      <c r="Q119" t="str" cm="1">
        <f t="array" aca="1" ref="Q119" ca="1">LOWER(B119) &amp; INDEX($AF$9:$AF$11,X119)</f>
        <v>marras2780@gmail.com</v>
      </c>
      <c r="R119" t="str">
        <f t="shared" ca="1" si="13"/>
        <v>marras2780.jpg</v>
      </c>
      <c r="T119" s="4"/>
      <c r="V119">
        <f ca="1">RANDBETWEEN(2,COUNTA(rua_cod!A:A))</f>
        <v>88</v>
      </c>
      <c r="W119">
        <f t="shared" ca="1" si="14"/>
        <v>1</v>
      </c>
      <c r="X119">
        <f t="shared" ca="1" si="15"/>
        <v>2</v>
      </c>
      <c r="Y119">
        <f t="shared" ca="1" si="16"/>
        <v>1970</v>
      </c>
      <c r="Z119">
        <f t="shared" ca="1" si="17"/>
        <v>12</v>
      </c>
      <c r="AA119">
        <f t="shared" ca="1" si="18"/>
        <v>14</v>
      </c>
      <c r="AB119">
        <f t="shared" ca="1" si="19"/>
        <v>50</v>
      </c>
    </row>
    <row r="120" spans="1:28" x14ac:dyDescent="0.25">
      <c r="A120">
        <v>119</v>
      </c>
      <c r="B120" t="str" cm="1">
        <f t="array" aca="1" ref="B120" ca="1">replaceChar(LOWER(LEFT(D120,3)&amp;RIGHT(I120,3))&amp;LEFT(H120,4))</f>
        <v>andboa1999</v>
      </c>
      <c r="C120" t="str">
        <f t="shared" ca="1" si="10"/>
        <v>pswandboa1999</v>
      </c>
      <c r="D120" t="str">
        <f ca="1">Nomes!T121</f>
        <v>André Miguel Guerreiro Sousa</v>
      </c>
      <c r="E120" t="str">
        <f ca="1">Nomes!S121</f>
        <v>Masculino</v>
      </c>
      <c r="F120" s="2">
        <v>18446</v>
      </c>
      <c r="G120" t="str" cm="1">
        <f t="array" aca="1" ref="G120" ca="1">INDEX(rua_cod!$F:$F,RANDBETWEEN(2,COUNTA(rua_cod!F:F)))</f>
        <v>Travessa de São João da Praça</v>
      </c>
      <c r="H120" t="str" cm="1">
        <f t="array" aca="1" ref="H120" ca="1">INDEX(rua_cod!$A:$A,Users!V120) &amp; "-" &amp; TEXT(RANDBETWEEN(0,999),"000")</f>
        <v>1999-000</v>
      </c>
      <c r="I120" t="str" cm="1">
        <f t="array" aca="1" ref="I120" ca="1">INDEX(rua_cod!$B:$B,Users!V120)</f>
        <v>Lisboa</v>
      </c>
      <c r="J120" t="s">
        <v>3727</v>
      </c>
      <c r="K120" t="s">
        <v>225</v>
      </c>
      <c r="L120" t="s">
        <v>265</v>
      </c>
      <c r="M120" t="str">
        <f t="shared" ca="1" si="11"/>
        <v>57173573</v>
      </c>
      <c r="N120" t="str">
        <f t="shared" ca="1" si="12"/>
        <v>399219533</v>
      </c>
      <c r="O120" t="str">
        <f t="shared" ca="1" si="12"/>
        <v>949026715</v>
      </c>
      <c r="P120" t="str" cm="1">
        <f t="array" aca="1" ref="P120" ca="1">9 &amp; INDEX($AF$3:$AF$6,W120)&amp; TEXT(RANDBETWEEN(0,9999999),"0000000")</f>
        <v>966057171</v>
      </c>
      <c r="Q120" t="str" cm="1">
        <f t="array" aca="1" ref="Q120" ca="1">LOWER(B120) &amp; INDEX($AF$9:$AF$11,X120)</f>
        <v>andboa1999@gmail.com</v>
      </c>
      <c r="R120" t="str">
        <f t="shared" ca="1" si="13"/>
        <v>andboa1999.jpg</v>
      </c>
      <c r="T120" s="4"/>
      <c r="V120">
        <f ca="1">RANDBETWEEN(2,COUNTA(rua_cod!A:A))</f>
        <v>79</v>
      </c>
      <c r="W120">
        <f t="shared" ca="1" si="14"/>
        <v>4</v>
      </c>
      <c r="X120">
        <f t="shared" ca="1" si="15"/>
        <v>2</v>
      </c>
      <c r="Y120">
        <f t="shared" ca="1" si="16"/>
        <v>1974</v>
      </c>
      <c r="Z120">
        <f t="shared" ca="1" si="17"/>
        <v>7</v>
      </c>
      <c r="AA120">
        <f t="shared" ca="1" si="18"/>
        <v>12</v>
      </c>
      <c r="AB120">
        <f t="shared" ca="1" si="19"/>
        <v>46</v>
      </c>
    </row>
    <row r="121" spans="1:28" x14ac:dyDescent="0.25">
      <c r="A121">
        <v>120</v>
      </c>
      <c r="B121" t="str" cm="1">
        <f t="array" aca="1" ref="B121" ca="1">replaceChar(LOWER(LEFT(D121,3)&amp;RIGHT(I121,3))&amp;LEFT(H121,4))</f>
        <v>sanboa1068</v>
      </c>
      <c r="C121" t="str">
        <f t="shared" ca="1" si="10"/>
        <v>pswsanboa1068</v>
      </c>
      <c r="D121" t="str">
        <f ca="1">Nomes!T122</f>
        <v>Santiago Santiago Torres Campos</v>
      </c>
      <c r="E121" t="str">
        <f ca="1">Nomes!S122</f>
        <v>Masculino</v>
      </c>
      <c r="F121" s="2">
        <v>28450</v>
      </c>
      <c r="G121" t="str" cm="1">
        <f t="array" aca="1" ref="G121" ca="1">INDEX(rua_cod!$F:$F,RANDBETWEEN(2,COUNTA(rua_cod!F:F)))</f>
        <v>Rua do Comércio</v>
      </c>
      <c r="H121" t="str" cm="1">
        <f t="array" aca="1" ref="H121" ca="1">INDEX(rua_cod!$A:$A,Users!V121) &amp; "-" &amp; TEXT(RANDBETWEEN(0,999),"000")</f>
        <v>1068-403</v>
      </c>
      <c r="I121" t="str" cm="1">
        <f t="array" aca="1" ref="I121" ca="1">INDEX(rua_cod!$B:$B,Users!V121)</f>
        <v>Lisboa</v>
      </c>
      <c r="J121" t="s">
        <v>3727</v>
      </c>
      <c r="K121" t="s">
        <v>225</v>
      </c>
      <c r="L121" t="s">
        <v>265</v>
      </c>
      <c r="M121" t="str">
        <f t="shared" ca="1" si="11"/>
        <v>48059312</v>
      </c>
      <c r="N121" t="str">
        <f t="shared" ca="1" si="12"/>
        <v>647126091</v>
      </c>
      <c r="O121" t="str">
        <f t="shared" ca="1" si="12"/>
        <v>778671972</v>
      </c>
      <c r="P121" t="str" cm="1">
        <f t="array" aca="1" ref="P121" ca="1">9 &amp; INDEX($AF$3:$AF$6,W121)&amp; TEXT(RANDBETWEEN(0,9999999),"0000000")</f>
        <v>926292837</v>
      </c>
      <c r="Q121" t="str" cm="1">
        <f t="array" aca="1" ref="Q121" ca="1">LOWER(B121) &amp; INDEX($AF$9:$AF$11,X121)</f>
        <v>sanboa1068@outlook.com</v>
      </c>
      <c r="R121" t="str">
        <f t="shared" ca="1" si="13"/>
        <v>sanboa1068.jpg</v>
      </c>
      <c r="T121" s="4"/>
      <c r="V121">
        <f ca="1">RANDBETWEEN(2,COUNTA(rua_cod!A:A))</f>
        <v>81</v>
      </c>
      <c r="W121">
        <f t="shared" ca="1" si="14"/>
        <v>2</v>
      </c>
      <c r="X121">
        <f t="shared" ca="1" si="15"/>
        <v>1</v>
      </c>
      <c r="Y121">
        <f t="shared" ca="1" si="16"/>
        <v>1958</v>
      </c>
      <c r="Z121">
        <f t="shared" ca="1" si="17"/>
        <v>3</v>
      </c>
      <c r="AA121">
        <f t="shared" ca="1" si="18"/>
        <v>2</v>
      </c>
      <c r="AB121">
        <f t="shared" ca="1" si="19"/>
        <v>62</v>
      </c>
    </row>
    <row r="122" spans="1:28" x14ac:dyDescent="0.25">
      <c r="A122">
        <v>121</v>
      </c>
      <c r="B122" t="str" cm="1">
        <f t="array" aca="1" ref="B122" ca="1">replaceChar(LOWER(LEFT(D122,3)&amp;RIGHT(I122,3))&amp;LEFT(H122,4))</f>
        <v>joaboa1849</v>
      </c>
      <c r="C122" t="str">
        <f t="shared" ca="1" si="10"/>
        <v>pswjoaboa1849</v>
      </c>
      <c r="D122" t="str">
        <f ca="1">Nomes!T123</f>
        <v>Joaquim Tomás Santos Alves</v>
      </c>
      <c r="E122" t="str">
        <f ca="1">Nomes!S123</f>
        <v>Masculino</v>
      </c>
      <c r="F122" s="2">
        <v>42428</v>
      </c>
      <c r="G122" t="str" cm="1">
        <f t="array" aca="1" ref="G122" ca="1">INDEX(rua_cod!$F:$F,RANDBETWEEN(2,COUNTA(rua_cod!F:F)))</f>
        <v>Calçada de Carriche</v>
      </c>
      <c r="H122" t="str" cm="1">
        <f t="array" aca="1" ref="H122" ca="1">INDEX(rua_cod!$A:$A,Users!V122) &amp; "-" &amp; TEXT(RANDBETWEEN(0,999),"000")</f>
        <v>1849-510</v>
      </c>
      <c r="I122" t="str" cm="1">
        <f t="array" aca="1" ref="I122" ca="1">INDEX(rua_cod!$B:$B,Users!V122)</f>
        <v>Lisboa</v>
      </c>
      <c r="J122" t="s">
        <v>3727</v>
      </c>
      <c r="K122" t="s">
        <v>225</v>
      </c>
      <c r="L122" t="s">
        <v>265</v>
      </c>
      <c r="M122" t="str">
        <f t="shared" ca="1" si="11"/>
        <v>94742168</v>
      </c>
      <c r="N122" t="str">
        <f t="shared" ca="1" si="12"/>
        <v>464938031</v>
      </c>
      <c r="O122" t="str">
        <f t="shared" ca="1" si="12"/>
        <v>462384978</v>
      </c>
      <c r="P122" t="str" cm="1">
        <f t="array" aca="1" ref="P122" ca="1">9 &amp; INDEX($AF$3:$AF$6,W122)&amp; TEXT(RANDBETWEEN(0,9999999),"0000000")</f>
        <v>924732646</v>
      </c>
      <c r="Q122" t="str" cm="1">
        <f t="array" aca="1" ref="Q122" ca="1">LOWER(B122) &amp; INDEX($AF$9:$AF$11,X122)</f>
        <v>joaboa1849@outlook.com</v>
      </c>
      <c r="R122" t="str">
        <f t="shared" ca="1" si="13"/>
        <v>joaboa1849.jpg</v>
      </c>
      <c r="T122" s="4"/>
      <c r="V122">
        <f ca="1">RANDBETWEEN(2,COUNTA(rua_cod!A:A))</f>
        <v>64</v>
      </c>
      <c r="W122">
        <f t="shared" ca="1" si="14"/>
        <v>2</v>
      </c>
      <c r="X122">
        <f t="shared" ca="1" si="15"/>
        <v>1</v>
      </c>
      <c r="Y122">
        <f t="shared" ca="1" si="16"/>
        <v>2002</v>
      </c>
      <c r="Z122">
        <f t="shared" ca="1" si="17"/>
        <v>11</v>
      </c>
      <c r="AA122">
        <f t="shared" ca="1" si="18"/>
        <v>15</v>
      </c>
      <c r="AB122">
        <f t="shared" ca="1" si="19"/>
        <v>18</v>
      </c>
    </row>
    <row r="123" spans="1:28" x14ac:dyDescent="0.25">
      <c r="A123">
        <v>122</v>
      </c>
      <c r="B123" t="str" cm="1">
        <f t="array" aca="1" ref="B123" ca="1">replaceChar(LOWER(LEFT(D123,3)&amp;RIGHT(I123,3))&amp;LEFT(H123,4))</f>
        <v>diaada2809</v>
      </c>
      <c r="C123" t="str">
        <f t="shared" ca="1" si="10"/>
        <v>pswdiaada2809</v>
      </c>
      <c r="D123" t="str">
        <f ca="1">Nomes!T124</f>
        <v>Diana Ricardo Coelho Batista</v>
      </c>
      <c r="E123" t="str">
        <f ca="1">Nomes!S124</f>
        <v>Feminino</v>
      </c>
      <c r="F123" s="2">
        <v>43463</v>
      </c>
      <c r="G123" t="str" cm="1">
        <f t="array" aca="1" ref="G123" ca="1">INDEX(rua_cod!$F:$F,RANDBETWEEN(2,COUNTA(rua_cod!F:F)))</f>
        <v>Rua do Comércio</v>
      </c>
      <c r="H123" t="str" cm="1">
        <f t="array" aca="1" ref="H123" ca="1">INDEX(rua_cod!$A:$A,Users!V123) &amp; "-" &amp; TEXT(RANDBETWEEN(0,999),"000")</f>
        <v>2809-243</v>
      </c>
      <c r="I123" t="str" cm="1">
        <f t="array" aca="1" ref="I123" ca="1">INDEX(rua_cod!$B:$B,Users!V123)</f>
        <v>Almada</v>
      </c>
      <c r="J123" t="s">
        <v>3727</v>
      </c>
      <c r="K123" t="s">
        <v>225</v>
      </c>
      <c r="L123" t="s">
        <v>265</v>
      </c>
      <c r="M123" t="str">
        <f t="shared" ca="1" si="11"/>
        <v>72740116</v>
      </c>
      <c r="N123" t="str">
        <f t="shared" ca="1" si="12"/>
        <v>800719875</v>
      </c>
      <c r="O123" t="str">
        <f t="shared" ca="1" si="12"/>
        <v>837376357</v>
      </c>
      <c r="P123" t="str" cm="1">
        <f t="array" aca="1" ref="P123" ca="1">9 &amp; INDEX($AF$3:$AF$6,W123)&amp; TEXT(RANDBETWEEN(0,9999999),"0000000")</f>
        <v>961354019</v>
      </c>
      <c r="Q123" t="str" cm="1">
        <f t="array" aca="1" ref="Q123" ca="1">LOWER(B123) &amp; INDEX($AF$9:$AF$11,X123)</f>
        <v>diaada2809@outlook.com</v>
      </c>
      <c r="R123" t="str">
        <f t="shared" ca="1" si="13"/>
        <v>diaada2809.jpg</v>
      </c>
      <c r="T123" s="4"/>
      <c r="V123">
        <f ca="1">RANDBETWEEN(2,COUNTA(rua_cod!A:A))</f>
        <v>5</v>
      </c>
      <c r="W123">
        <f t="shared" ca="1" si="14"/>
        <v>4</v>
      </c>
      <c r="X123">
        <f t="shared" ca="1" si="15"/>
        <v>1</v>
      </c>
      <c r="Y123">
        <f t="shared" ca="1" si="16"/>
        <v>1994</v>
      </c>
      <c r="Z123">
        <f t="shared" ca="1" si="17"/>
        <v>6</v>
      </c>
      <c r="AA123">
        <f t="shared" ca="1" si="18"/>
        <v>13</v>
      </c>
      <c r="AB123">
        <f t="shared" ca="1" si="19"/>
        <v>26</v>
      </c>
    </row>
    <row r="124" spans="1:28" x14ac:dyDescent="0.25">
      <c r="A124">
        <v>123</v>
      </c>
      <c r="B124" t="str" cm="1">
        <f t="array" aca="1" ref="B124" ca="1">replaceChar(LOWER(LEFT(D124,3)&amp;RIGHT(I124,3))&amp;LEFT(H124,4))</f>
        <v>sarboa1169</v>
      </c>
      <c r="C124" t="str">
        <f t="shared" ca="1" si="10"/>
        <v>pswsarboa1169</v>
      </c>
      <c r="D124" t="str">
        <f ca="1">Nomes!T125</f>
        <v>Sara Rodrigo Vicente Loureiro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Rua Júlio César Machado</v>
      </c>
      <c r="H124" t="str" cm="1">
        <f t="array" aca="1" ref="H124" ca="1">INDEX(rua_cod!$A:$A,Users!V124) &amp; "-" &amp; TEXT(RANDBETWEEN(0,999),"000")</f>
        <v>1169-158</v>
      </c>
      <c r="I124" t="str" cm="1">
        <f t="array" aca="1" ref="I124" ca="1">INDEX(rua_cod!$B:$B,Users!V124)</f>
        <v>Lisboa</v>
      </c>
      <c r="J124" t="s">
        <v>3727</v>
      </c>
      <c r="K124" t="s">
        <v>225</v>
      </c>
      <c r="L124" t="s">
        <v>265</v>
      </c>
      <c r="M124" t="str">
        <f t="shared" ca="1" si="11"/>
        <v>12983566</v>
      </c>
      <c r="N124" t="str">
        <f t="shared" ca="1" si="12"/>
        <v>920295151</v>
      </c>
      <c r="O124" t="str">
        <f t="shared" ca="1" si="12"/>
        <v>308155992</v>
      </c>
      <c r="P124" t="str" cm="1">
        <f t="array" aca="1" ref="P124" ca="1">9 &amp; INDEX($AF$3:$AF$6,W124)&amp; TEXT(RANDBETWEEN(0,9999999),"0000000")</f>
        <v>929013407</v>
      </c>
      <c r="Q124" t="str" cm="1">
        <f t="array" aca="1" ref="Q124" ca="1">LOWER(B124) &amp; INDEX($AF$9:$AF$11,X124)</f>
        <v>sarboa1169@outlook.com</v>
      </c>
      <c r="R124" t="str">
        <f t="shared" ca="1" si="13"/>
        <v>sarboa1169.jpg</v>
      </c>
      <c r="T124" s="4"/>
      <c r="V124">
        <f ca="1">RANDBETWEEN(2,COUNTA(rua_cod!A:A))</f>
        <v>70</v>
      </c>
      <c r="W124">
        <f t="shared" ca="1" si="14"/>
        <v>2</v>
      </c>
      <c r="X124">
        <f t="shared" ca="1" si="15"/>
        <v>1</v>
      </c>
      <c r="Y124">
        <f t="shared" ca="1" si="16"/>
        <v>1956</v>
      </c>
      <c r="Z124">
        <f t="shared" ca="1" si="17"/>
        <v>3</v>
      </c>
      <c r="AA124">
        <f t="shared" ca="1" si="18"/>
        <v>3</v>
      </c>
      <c r="AB124">
        <f t="shared" ca="1" si="19"/>
        <v>64</v>
      </c>
    </row>
    <row r="125" spans="1:28" x14ac:dyDescent="0.25">
      <c r="A125">
        <v>124</v>
      </c>
      <c r="B125" t="str" cm="1">
        <f t="array" aca="1" ref="B125" ca="1">replaceChar(LOWER(LEFT(D125,3)&amp;RIGHT(I125,3))&amp;LEFT(H125,4))</f>
        <v>fraboa1099</v>
      </c>
      <c r="C125" t="str">
        <f t="shared" ca="1" si="10"/>
        <v>pswfraboa1099</v>
      </c>
      <c r="D125" t="str">
        <f ca="1">Nomes!T126</f>
        <v>Francisco Vera Andrade Sousa</v>
      </c>
      <c r="E125" t="str">
        <f ca="1">Nomes!S126</f>
        <v>Masculino</v>
      </c>
      <c r="F125" s="2">
        <v>13497</v>
      </c>
      <c r="G125" t="str" cm="1">
        <f t="array" aca="1" ref="G125" ca="1">INDEX(rua_cod!$F:$F,RANDBETWEEN(2,COUNTA(rua_cod!F:F)))</f>
        <v>Estrada da Circunvalação de Lisboa</v>
      </c>
      <c r="H125" t="str" cm="1">
        <f t="array" aca="1" ref="H125" ca="1">INDEX(rua_cod!$A:$A,Users!V125) &amp; "-" &amp; TEXT(RANDBETWEEN(0,999),"000")</f>
        <v>1099-293</v>
      </c>
      <c r="I125" t="str" cm="1">
        <f t="array" aca="1" ref="I125" ca="1">INDEX(rua_cod!$B:$B,Users!V125)</f>
        <v>Lisboa</v>
      </c>
      <c r="J125" t="s">
        <v>3727</v>
      </c>
      <c r="K125" t="s">
        <v>225</v>
      </c>
      <c r="L125" t="s">
        <v>265</v>
      </c>
      <c r="M125" t="str">
        <f t="shared" ca="1" si="11"/>
        <v>67735597</v>
      </c>
      <c r="N125" t="str">
        <f t="shared" ca="1" si="12"/>
        <v>235983593</v>
      </c>
      <c r="O125" t="str">
        <f t="shared" ca="1" si="12"/>
        <v>477412785</v>
      </c>
      <c r="P125" t="str" cm="1">
        <f t="array" aca="1" ref="P125" ca="1">9 &amp; INDEX($AF$3:$AF$6,W125)&amp; TEXT(RANDBETWEEN(0,9999999),"0000000")</f>
        <v>919133854</v>
      </c>
      <c r="Q125" t="str" cm="1">
        <f t="array" aca="1" ref="Q125" ca="1">LOWER(B125) &amp; INDEX($AF$9:$AF$11,X125)</f>
        <v>fraboa1099@outlook.com</v>
      </c>
      <c r="R125" t="str">
        <f t="shared" ca="1" si="13"/>
        <v>fraboa1099.jpg</v>
      </c>
      <c r="T125" s="4"/>
      <c r="V125">
        <f ca="1">RANDBETWEEN(2,COUNTA(rua_cod!A:A))</f>
        <v>53</v>
      </c>
      <c r="W125">
        <f t="shared" ca="1" si="14"/>
        <v>1</v>
      </c>
      <c r="X125">
        <f t="shared" ca="1" si="15"/>
        <v>1</v>
      </c>
      <c r="Y125">
        <f t="shared" ca="1" si="16"/>
        <v>1976</v>
      </c>
      <c r="Z125">
        <f t="shared" ca="1" si="17"/>
        <v>10</v>
      </c>
      <c r="AA125">
        <f t="shared" ca="1" si="18"/>
        <v>10</v>
      </c>
      <c r="AB125">
        <f t="shared" ca="1" si="19"/>
        <v>44</v>
      </c>
    </row>
    <row r="126" spans="1:28" x14ac:dyDescent="0.25">
      <c r="A126">
        <v>125</v>
      </c>
      <c r="B126" t="str" cm="1">
        <f t="array" aca="1" ref="B126" ca="1">replaceChar(LOWER(LEFT(D126,3)&amp;RIGHT(I126,3))&amp;LEFT(H126,4))</f>
        <v>lurres2674</v>
      </c>
      <c r="C126" t="str">
        <f t="shared" ca="1" si="10"/>
        <v>pswlurres2674</v>
      </c>
      <c r="D126" t="str">
        <f ca="1">Nomes!T127</f>
        <v>Lurdes Miguel Ramos Pinheiro</v>
      </c>
      <c r="E126" t="str">
        <f ca="1">Nomes!S127</f>
        <v>Feminino</v>
      </c>
      <c r="F126" s="2">
        <v>25240</v>
      </c>
      <c r="G126" t="str" cm="1">
        <f t="array" aca="1" ref="G126" ca="1">INDEX(rua_cod!$F:$F,RANDBETWEEN(2,COUNTA(rua_cod!F:F)))</f>
        <v>Estrada das Laranjeiras</v>
      </c>
      <c r="H126" t="str" cm="1">
        <f t="array" aca="1" ref="H126" ca="1">INDEX(rua_cod!$A:$A,Users!V126) &amp; "-" &amp; TEXT(RANDBETWEEN(0,999),"000")</f>
        <v>2674-415</v>
      </c>
      <c r="I126" t="str" cm="1">
        <f t="array" aca="1" ref="I126" ca="1">INDEX(rua_cod!$B:$B,Users!V126)</f>
        <v>Loures</v>
      </c>
      <c r="J126" t="s">
        <v>3727</v>
      </c>
      <c r="K126" t="s">
        <v>225</v>
      </c>
      <c r="L126" t="s">
        <v>265</v>
      </c>
      <c r="M126" t="str">
        <f t="shared" ca="1" si="11"/>
        <v>72436039</v>
      </c>
      <c r="N126" t="str">
        <f t="shared" ca="1" si="12"/>
        <v>384224464</v>
      </c>
      <c r="O126" t="str">
        <f t="shared" ca="1" si="12"/>
        <v>951305513</v>
      </c>
      <c r="P126" t="str" cm="1">
        <f t="array" aca="1" ref="P126" ca="1">9 &amp; INDEX($AF$3:$AF$6,W126)&amp; TEXT(RANDBETWEEN(0,9999999),"0000000")</f>
        <v>965302319</v>
      </c>
      <c r="Q126" t="str" cm="1">
        <f t="array" aca="1" ref="Q126" ca="1">LOWER(B126) &amp; INDEX($AF$9:$AF$11,X126)</f>
        <v>lurres2674@sapo.pt</v>
      </c>
      <c r="R126" t="str">
        <f t="shared" ca="1" si="13"/>
        <v>lurres2674.jpg</v>
      </c>
      <c r="T126" s="4"/>
      <c r="V126">
        <f ca="1">RANDBETWEEN(2,COUNTA(rua_cod!A:A))</f>
        <v>84</v>
      </c>
      <c r="W126">
        <f t="shared" ca="1" si="14"/>
        <v>4</v>
      </c>
      <c r="X126">
        <f t="shared" ca="1" si="15"/>
        <v>3</v>
      </c>
      <c r="Y126">
        <f t="shared" ca="1" si="16"/>
        <v>1986</v>
      </c>
      <c r="Z126">
        <f t="shared" ca="1" si="17"/>
        <v>2</v>
      </c>
      <c r="AA126">
        <f t="shared" ca="1" si="18"/>
        <v>19</v>
      </c>
      <c r="AB126">
        <f t="shared" ca="1" si="19"/>
        <v>34</v>
      </c>
    </row>
    <row r="127" spans="1:28" x14ac:dyDescent="0.25">
      <c r="A127">
        <v>126</v>
      </c>
      <c r="B127" t="str" cm="1">
        <f t="array" aca="1" ref="B127" ca="1">replaceChar(LOWER(LEFT(D127,3)&amp;RIGHT(I127,3))&amp;LEFT(H127,4))</f>
        <v>marria2414</v>
      </c>
      <c r="C127" t="str">
        <f t="shared" ca="1" si="10"/>
        <v>pswmarria2414</v>
      </c>
      <c r="D127" t="str">
        <f ca="1">Nomes!T128</f>
        <v>Mariana Leonor Azevedo Guerreiro</v>
      </c>
      <c r="E127" t="str">
        <f ca="1">Nomes!S128</f>
        <v>Feminino</v>
      </c>
      <c r="F127" s="2">
        <v>16827</v>
      </c>
      <c r="G127" t="str" cm="1">
        <f t="array" aca="1" ref="G127" ca="1">INDEX(rua_cod!$F:$F,RANDBETWEEN(2,COUNTA(rua_cod!F:F)))</f>
        <v>Calçada Marquês de Abrantes</v>
      </c>
      <c r="H127" t="str" cm="1">
        <f t="array" aca="1" ref="H127" ca="1">INDEX(rua_cod!$A:$A,Users!V127) &amp; "-" &amp; TEXT(RANDBETWEEN(0,999),"000")</f>
        <v>2414-479</v>
      </c>
      <c r="I127" t="str" cm="1">
        <f t="array" aca="1" ref="I127" ca="1">INDEX(rua_cod!$B:$B,Users!V127)</f>
        <v>Leiria</v>
      </c>
      <c r="J127" t="s">
        <v>3727</v>
      </c>
      <c r="K127" t="s">
        <v>225</v>
      </c>
      <c r="L127" t="s">
        <v>265</v>
      </c>
      <c r="M127" t="str">
        <f t="shared" ca="1" si="11"/>
        <v>49610431</v>
      </c>
      <c r="N127" t="str">
        <f t="shared" ca="1" si="12"/>
        <v>327705394</v>
      </c>
      <c r="O127" t="str">
        <f t="shared" ca="1" si="12"/>
        <v>688851468</v>
      </c>
      <c r="P127" t="str" cm="1">
        <f t="array" aca="1" ref="P127" ca="1">9 &amp; INDEX($AF$3:$AF$6,W127)&amp; TEXT(RANDBETWEEN(0,9999999),"0000000")</f>
        <v>916838312</v>
      </c>
      <c r="Q127" t="str" cm="1">
        <f t="array" aca="1" ref="Q127" ca="1">LOWER(B127) &amp; INDEX($AF$9:$AF$11,X127)</f>
        <v>marria2414@gmail.com</v>
      </c>
      <c r="R127" t="str">
        <f t="shared" ca="1" si="13"/>
        <v>marria2414.jpg</v>
      </c>
      <c r="T127" s="4"/>
      <c r="V127">
        <f ca="1">RANDBETWEEN(2,COUNTA(rua_cod!A:A))</f>
        <v>36</v>
      </c>
      <c r="W127">
        <f t="shared" ca="1" si="14"/>
        <v>1</v>
      </c>
      <c r="X127">
        <f t="shared" ca="1" si="15"/>
        <v>2</v>
      </c>
      <c r="Y127">
        <f t="shared" ca="1" si="16"/>
        <v>1988</v>
      </c>
      <c r="Z127">
        <f t="shared" ca="1" si="17"/>
        <v>2</v>
      </c>
      <c r="AA127">
        <f t="shared" ca="1" si="18"/>
        <v>2</v>
      </c>
      <c r="AB127">
        <f t="shared" ca="1" si="19"/>
        <v>32</v>
      </c>
    </row>
    <row r="128" spans="1:28" x14ac:dyDescent="0.25">
      <c r="A128">
        <v>127</v>
      </c>
      <c r="B128" t="str" cm="1">
        <f t="array" aca="1" ref="B128" ca="1">replaceChar(LOWER(LEFT(D128,3)&amp;RIGHT(I128,3))&amp;LEFT(H128,4))</f>
        <v>brurem2000</v>
      </c>
      <c r="C128" t="str">
        <f t="shared" ca="1" si="10"/>
        <v>pswbrurem2000</v>
      </c>
      <c r="D128" t="str">
        <f ca="1">Nomes!T129</f>
        <v>Bruno Vera Valente Gomes</v>
      </c>
      <c r="E128" t="str">
        <f ca="1">Nomes!S129</f>
        <v>Masculino</v>
      </c>
      <c r="F128" s="2">
        <v>14246</v>
      </c>
      <c r="G128" t="str" cm="1">
        <f t="array" aca="1" ref="G128" ca="1">INDEX(rua_cod!$F:$F,RANDBETWEEN(2,COUNTA(rua_cod!F:F)))</f>
        <v>Rua de São Bento</v>
      </c>
      <c r="H128" t="str" cm="1">
        <f t="array" aca="1" ref="H128" ca="1">INDEX(rua_cod!$A:$A,Users!V128) &amp; "-" &amp; TEXT(RANDBETWEEN(0,999),"000")</f>
        <v>2000-660</v>
      </c>
      <c r="I128" t="str" cm="1">
        <f t="array" aca="1" ref="I128" ca="1">INDEX(rua_cod!$B:$B,Users!V128)</f>
        <v>Santarém</v>
      </c>
      <c r="J128" t="s">
        <v>3727</v>
      </c>
      <c r="K128" t="s">
        <v>225</v>
      </c>
      <c r="L128" t="s">
        <v>265</v>
      </c>
      <c r="M128" t="str">
        <f t="shared" ca="1" si="11"/>
        <v>89636696</v>
      </c>
      <c r="N128" t="str">
        <f t="shared" ca="1" si="12"/>
        <v>649090403</v>
      </c>
      <c r="O128" t="str">
        <f t="shared" ca="1" si="12"/>
        <v>305370797</v>
      </c>
      <c r="P128" t="str" cm="1">
        <f t="array" aca="1" ref="P128" ca="1">9 &amp; INDEX($AF$3:$AF$6,W128)&amp; TEXT(RANDBETWEEN(0,9999999),"0000000")</f>
        <v>936429573</v>
      </c>
      <c r="Q128" t="str" cm="1">
        <f t="array" aca="1" ref="Q128" ca="1">LOWER(B128) &amp; INDEX($AF$9:$AF$11,X128)</f>
        <v>brurem2000@sapo.pt</v>
      </c>
      <c r="R128" t="str">
        <f t="shared" ca="1" si="13"/>
        <v>brurem2000.jpg</v>
      </c>
      <c r="T128" s="4"/>
      <c r="V128">
        <f ca="1">RANDBETWEEN(2,COUNTA(rua_cod!A:A))</f>
        <v>93</v>
      </c>
      <c r="W128">
        <f t="shared" ca="1" si="14"/>
        <v>3</v>
      </c>
      <c r="X128">
        <f t="shared" ca="1" si="15"/>
        <v>3</v>
      </c>
      <c r="Y128">
        <f t="shared" ca="1" si="16"/>
        <v>1970</v>
      </c>
      <c r="Z128">
        <f t="shared" ca="1" si="17"/>
        <v>3</v>
      </c>
      <c r="AA128">
        <f t="shared" ca="1" si="18"/>
        <v>14</v>
      </c>
      <c r="AB128">
        <f t="shared" ca="1" si="19"/>
        <v>50</v>
      </c>
    </row>
    <row r="129" spans="1:28" x14ac:dyDescent="0.25">
      <c r="A129">
        <v>128</v>
      </c>
      <c r="B129" t="str" cm="1">
        <f t="array" aca="1" ref="B129" ca="1">replaceChar(LOWER(LEFT(D129,3)&amp;RIGHT(I129,3))&amp;LEFT(H129,4))</f>
        <v>larboa1399</v>
      </c>
      <c r="C129" t="str">
        <f t="shared" ca="1" si="10"/>
        <v>pswlarboa1399</v>
      </c>
      <c r="D129" t="str">
        <f ca="1">Nomes!T130</f>
        <v>Lara Miguel Brito Branco</v>
      </c>
      <c r="E129" t="str">
        <f ca="1">Nomes!S130</f>
        <v>Feminino</v>
      </c>
      <c r="F129" s="2">
        <v>43342</v>
      </c>
      <c r="G129" t="str" cm="1">
        <f t="array" aca="1" ref="G129" ca="1">INDEX(rua_cod!$F:$F,RANDBETWEEN(2,COUNTA(rua_cod!F:F)))</f>
        <v>Rua de São Bento</v>
      </c>
      <c r="H129" t="str" cm="1">
        <f t="array" aca="1" ref="H129" ca="1">INDEX(rua_cod!$A:$A,Users!V129) &amp; "-" &amp; TEXT(RANDBETWEEN(0,999),"000")</f>
        <v>1399-897</v>
      </c>
      <c r="I129" t="str" cm="1">
        <f t="array" aca="1" ref="I129" ca="1">INDEX(rua_cod!$B:$B,Users!V129)</f>
        <v>Lisboa</v>
      </c>
      <c r="J129" t="s">
        <v>3727</v>
      </c>
      <c r="K129" t="s">
        <v>225</v>
      </c>
      <c r="L129" t="s">
        <v>265</v>
      </c>
      <c r="M129" t="str">
        <f t="shared" ca="1" si="11"/>
        <v>95868376</v>
      </c>
      <c r="N129" t="str">
        <f t="shared" ca="1" si="12"/>
        <v>661341621</v>
      </c>
      <c r="O129" t="str">
        <f t="shared" ca="1" si="12"/>
        <v>935331437</v>
      </c>
      <c r="P129" t="str" cm="1">
        <f t="array" aca="1" ref="P129" ca="1">9 &amp; INDEX($AF$3:$AF$6,W129)&amp; TEXT(RANDBETWEEN(0,9999999),"0000000")</f>
        <v>928407409</v>
      </c>
      <c r="Q129" t="str" cm="1">
        <f t="array" aca="1" ref="Q129" ca="1">LOWER(B129) &amp; INDEX($AF$9:$AF$11,X129)</f>
        <v>larboa1399@sapo.pt</v>
      </c>
      <c r="R129" t="str">
        <f t="shared" ca="1" si="13"/>
        <v>larboa1399.jpg</v>
      </c>
      <c r="T129" s="4"/>
      <c r="V129">
        <f ca="1">RANDBETWEEN(2,COUNTA(rua_cod!A:A))</f>
        <v>55</v>
      </c>
      <c r="W129">
        <f t="shared" ca="1" si="14"/>
        <v>2</v>
      </c>
      <c r="X129">
        <f t="shared" ca="1" si="15"/>
        <v>3</v>
      </c>
      <c r="Y129">
        <f t="shared" ca="1" si="16"/>
        <v>1978</v>
      </c>
      <c r="Z129">
        <f t="shared" ca="1" si="17"/>
        <v>2</v>
      </c>
      <c r="AA129">
        <f t="shared" ca="1" si="18"/>
        <v>4</v>
      </c>
      <c r="AB129">
        <f t="shared" ca="1" si="19"/>
        <v>42</v>
      </c>
    </row>
    <row r="130" spans="1:28" x14ac:dyDescent="0.25">
      <c r="A130">
        <v>129</v>
      </c>
      <c r="B130" t="str" cm="1">
        <f t="array" aca="1" ref="B130" ca="1">replaceChar(LOWER(LEFT(D130,3)&amp;RIGHT(I130,3))&amp;LEFT(H130,4))</f>
        <v>marboa1549</v>
      </c>
      <c r="C130" t="str">
        <f t="shared" ca="1" si="10"/>
        <v>pswmarboa1549</v>
      </c>
      <c r="D130" t="str">
        <f ca="1">Nomes!T131</f>
        <v>Maria Diogo Nascimento Ramos</v>
      </c>
      <c r="E130" t="str">
        <f ca="1">Nomes!S131</f>
        <v>Feminino</v>
      </c>
      <c r="F130" s="2">
        <v>37343</v>
      </c>
      <c r="G130" t="str" cm="1">
        <f t="array" aca="1" ref="G130" ca="1">INDEX(rua_cod!$F:$F,RANDBETWEEN(2,COUNTA(rua_cod!F:F)))</f>
        <v>Calçada Marquês de Abrantes</v>
      </c>
      <c r="H130" t="str" cm="1">
        <f t="array" aca="1" ref="H130" ca="1">INDEX(rua_cod!$A:$A,Users!V130) &amp; "-" &amp; TEXT(RANDBETWEEN(0,999),"000")</f>
        <v>1549-586</v>
      </c>
      <c r="I130" t="str" cm="1">
        <f t="array" aca="1" ref="I130" ca="1">INDEX(rua_cod!$B:$B,Users!V130)</f>
        <v>Lisboa</v>
      </c>
      <c r="J130" t="s">
        <v>3727</v>
      </c>
      <c r="K130" t="s">
        <v>225</v>
      </c>
      <c r="L130" t="s">
        <v>265</v>
      </c>
      <c r="M130" t="str">
        <f t="shared" ca="1" si="11"/>
        <v>10236053</v>
      </c>
      <c r="N130" t="str">
        <f t="shared" ca="1" si="12"/>
        <v>514601944</v>
      </c>
      <c r="O130" t="str">
        <f t="shared" ca="1" si="12"/>
        <v>794819480</v>
      </c>
      <c r="P130" t="str" cm="1">
        <f t="array" aca="1" ref="P130" ca="1">9 &amp; INDEX($AF$3:$AF$6,W130)&amp; TEXT(RANDBETWEEN(0,9999999),"0000000")</f>
        <v>911183576</v>
      </c>
      <c r="Q130" t="str" cm="1">
        <f t="array" aca="1" ref="Q130" ca="1">LOWER(B130) &amp; INDEX($AF$9:$AF$11,X130)</f>
        <v>marboa1549@sapo.pt</v>
      </c>
      <c r="R130" t="str">
        <f t="shared" ca="1" si="13"/>
        <v>marboa1549.jpg</v>
      </c>
      <c r="T130" s="4"/>
      <c r="V130">
        <f ca="1">RANDBETWEEN(2,COUNTA(rua_cod!A:A))</f>
        <v>69</v>
      </c>
      <c r="W130">
        <f t="shared" ca="1" si="14"/>
        <v>1</v>
      </c>
      <c r="X130">
        <f t="shared" ca="1" si="15"/>
        <v>3</v>
      </c>
      <c r="Y130">
        <f t="shared" ca="1" si="16"/>
        <v>1993</v>
      </c>
      <c r="Z130">
        <f t="shared" ca="1" si="17"/>
        <v>9</v>
      </c>
      <c r="AA130">
        <f t="shared" ca="1" si="18"/>
        <v>25</v>
      </c>
      <c r="AB130">
        <f t="shared" ca="1" si="19"/>
        <v>27</v>
      </c>
    </row>
    <row r="131" spans="1:28" x14ac:dyDescent="0.25">
      <c r="A131">
        <v>130</v>
      </c>
      <c r="B131" t="str" cm="1">
        <f t="array" aca="1" ref="B131" ca="1">replaceChar(LOWER(LEFT(D131,3)&amp;RIGHT(I131,3))&amp;LEFT(H131,4))</f>
        <v>tiaboa1999</v>
      </c>
      <c r="C131" t="str">
        <f t="shared" ref="C131:C194" ca="1" si="20">"psw" &amp; B131</f>
        <v>pswtiaboa1999</v>
      </c>
      <c r="D131" t="str">
        <f ca="1">Nomes!T132</f>
        <v>Tiago José Antunes Melo</v>
      </c>
      <c r="E131" t="str">
        <f ca="1">Nomes!S132</f>
        <v>Masculino</v>
      </c>
      <c r="F131" s="2">
        <v>35503</v>
      </c>
      <c r="G131" t="str" cm="1">
        <f t="array" aca="1" ref="G131" ca="1">INDEX(rua_cod!$F:$F,RANDBETWEEN(2,COUNTA(rua_cod!F:F)))</f>
        <v>Estrada Militar</v>
      </c>
      <c r="H131" t="str" cm="1">
        <f t="array" aca="1" ref="H131" ca="1">INDEX(rua_cod!$A:$A,Users!V131) &amp; "-" &amp; TEXT(RANDBETWEEN(0,999),"000")</f>
        <v>1999-609</v>
      </c>
      <c r="I131" t="str" cm="1">
        <f t="array" aca="1" ref="I131" ca="1">INDEX(rua_cod!$B:$B,Users!V131)</f>
        <v>Lisboa</v>
      </c>
      <c r="J131" t="s">
        <v>3727</v>
      </c>
      <c r="K131" t="s">
        <v>225</v>
      </c>
      <c r="L131" t="s">
        <v>265</v>
      </c>
      <c r="M131" t="str">
        <f t="shared" ref="M131:M194" ca="1" si="21">TEXT(RANDBETWEEN(10000000,99999999),"00000000")</f>
        <v>96848572</v>
      </c>
      <c r="N131" t="str">
        <f t="shared" ref="N131:O194" ca="1" si="22">TEXT(RANDBETWEEN(100000000,999999999),"000000000")</f>
        <v>558350264</v>
      </c>
      <c r="O131" t="str">
        <f t="shared" ca="1" si="22"/>
        <v>698973973</v>
      </c>
      <c r="P131" t="str" cm="1">
        <f t="array" aca="1" ref="P131" ca="1">9 &amp; INDEX($AF$3:$AF$6,W131)&amp; TEXT(RANDBETWEEN(0,9999999),"0000000")</f>
        <v>931936481</v>
      </c>
      <c r="Q131" t="str" cm="1">
        <f t="array" aca="1" ref="Q131" ca="1">LOWER(B131) &amp; INDEX($AF$9:$AF$11,X131)</f>
        <v>tiaboa1999@sapo.pt</v>
      </c>
      <c r="R131" t="str">
        <f t="shared" ref="R131:R194" ca="1" si="23">B131 &amp; ".jpg"</f>
        <v>tiaboa1999.jpg</v>
      </c>
      <c r="T131" s="4"/>
      <c r="V131">
        <f ca="1">RANDBETWEEN(2,COUNTA(rua_cod!A:A))</f>
        <v>79</v>
      </c>
      <c r="W131">
        <f t="shared" ref="W131:W194" ca="1" si="24">RANDBETWEEN(1,4)</f>
        <v>3</v>
      </c>
      <c r="X131">
        <f t="shared" ref="X131:X194" ca="1" si="25">RANDBETWEEN(1,3)</f>
        <v>3</v>
      </c>
      <c r="Y131">
        <f t="shared" ref="Y131:Y194" ca="1" si="26">INT(NORMINV(RAND(),1976,22))</f>
        <v>1953</v>
      </c>
      <c r="Z131">
        <f t="shared" ref="Z131:Z194" ca="1" si="27">RANDBETWEEN(1,12)</f>
        <v>4</v>
      </c>
      <c r="AA131">
        <f t="shared" ref="AA131:AA194" ca="1" si="28">RANDBETWEEN(1,31)</f>
        <v>18</v>
      </c>
      <c r="AB131">
        <f t="shared" ref="AB131:AB194" ca="1" si="29">2020-Y131</f>
        <v>67</v>
      </c>
    </row>
    <row r="132" spans="1:28" x14ac:dyDescent="0.25">
      <c r="A132">
        <v>131</v>
      </c>
      <c r="B132" t="str" cm="1">
        <f t="array" aca="1" ref="B132" ca="1">replaceChar(LOWER(LEFT(D132,3)&amp;RIGHT(I132,3))&amp;LEFT(H132,4))</f>
        <v>tiaada2805</v>
      </c>
      <c r="C132" t="str">
        <f t="shared" ca="1" si="20"/>
        <v>pswtiaada2805</v>
      </c>
      <c r="D132" t="str">
        <f ca="1">Nomes!T133</f>
        <v>Tiago Luís Amorim Vicente</v>
      </c>
      <c r="E132" t="str">
        <f ca="1">Nomes!S133</f>
        <v>Masculino</v>
      </c>
      <c r="F132" s="2">
        <v>10487</v>
      </c>
      <c r="G132" t="str" cm="1">
        <f t="array" aca="1" ref="G132" ca="1">INDEX(rua_cod!$F:$F,RANDBETWEEN(2,COUNTA(rua_cod!F:F)))</f>
        <v>Estrada das Laranjeiras</v>
      </c>
      <c r="H132" t="str" cm="1">
        <f t="array" aca="1" ref="H132" ca="1">INDEX(rua_cod!$A:$A,Users!V132) &amp; "-" &amp; TEXT(RANDBETWEEN(0,999),"000")</f>
        <v>2805-791</v>
      </c>
      <c r="I132" t="str" cm="1">
        <f t="array" aca="1" ref="I132" ca="1">INDEX(rua_cod!$B:$B,Users!V132)</f>
        <v>Almada</v>
      </c>
      <c r="J132" t="s">
        <v>3727</v>
      </c>
      <c r="K132" t="s">
        <v>225</v>
      </c>
      <c r="L132" t="s">
        <v>265</v>
      </c>
      <c r="M132" t="str">
        <f t="shared" ca="1" si="21"/>
        <v>23126647</v>
      </c>
      <c r="N132" t="str">
        <f t="shared" ca="1" si="22"/>
        <v>279936076</v>
      </c>
      <c r="O132" t="str">
        <f t="shared" ca="1" si="22"/>
        <v>557550330</v>
      </c>
      <c r="P132" t="str" cm="1">
        <f t="array" aca="1" ref="P132" ca="1">9 &amp; INDEX($AF$3:$AF$6,W132)&amp; TEXT(RANDBETWEEN(0,9999999),"0000000")</f>
        <v>925632662</v>
      </c>
      <c r="Q132" t="str" cm="1">
        <f t="array" aca="1" ref="Q132" ca="1">LOWER(B132) &amp; INDEX($AF$9:$AF$11,X132)</f>
        <v>tiaada2805@gmail.com</v>
      </c>
      <c r="R132" t="str">
        <f t="shared" ca="1" si="23"/>
        <v>tiaada2805.jpg</v>
      </c>
      <c r="T132" s="4"/>
      <c r="V132">
        <f ca="1">RANDBETWEEN(2,COUNTA(rua_cod!A:A))</f>
        <v>4</v>
      </c>
      <c r="W132">
        <f t="shared" ca="1" si="24"/>
        <v>2</v>
      </c>
      <c r="X132">
        <f t="shared" ca="1" si="25"/>
        <v>2</v>
      </c>
      <c r="Y132">
        <f t="shared" ca="1" si="26"/>
        <v>1987</v>
      </c>
      <c r="Z132">
        <f t="shared" ca="1" si="27"/>
        <v>3</v>
      </c>
      <c r="AA132">
        <f t="shared" ca="1" si="28"/>
        <v>18</v>
      </c>
      <c r="AB132">
        <f t="shared" ca="1" si="29"/>
        <v>33</v>
      </c>
    </row>
    <row r="133" spans="1:28" x14ac:dyDescent="0.25">
      <c r="A133">
        <v>132</v>
      </c>
      <c r="B133" t="str" cm="1">
        <f t="array" aca="1" ref="B133" ca="1">replaceChar(LOWER(LEFT(D133,3)&amp;RIGHT(I133,3))&amp;LEFT(H133,4))</f>
        <v>joaboa1750</v>
      </c>
      <c r="C133" t="str">
        <f t="shared" ca="1" si="20"/>
        <v>pswjoaboa1750</v>
      </c>
      <c r="D133" t="str">
        <f ca="1">Nomes!T134</f>
        <v>Joaquim Maria Borges Esteves</v>
      </c>
      <c r="E133" t="str">
        <f ca="1">Nomes!S134</f>
        <v>Masculino</v>
      </c>
      <c r="F133" s="2">
        <v>20453</v>
      </c>
      <c r="G133" t="str" cm="1">
        <f t="array" aca="1" ref="G133" ca="1">INDEX(rua_cod!$F:$F,RANDBETWEEN(2,COUNTA(rua_cod!F:F)))</f>
        <v>Rua de São Bento</v>
      </c>
      <c r="H133" t="str" cm="1">
        <f t="array" aca="1" ref="H133" ca="1">INDEX(rua_cod!$A:$A,Users!V133) &amp; "-" &amp; TEXT(RANDBETWEEN(0,999),"000")</f>
        <v>1750-582</v>
      </c>
      <c r="I133" t="str" cm="1">
        <f t="array" aca="1" ref="I133" ca="1">INDEX(rua_cod!$B:$B,Users!V133)</f>
        <v>Lisboa</v>
      </c>
      <c r="J133" t="s">
        <v>3727</v>
      </c>
      <c r="K133" t="s">
        <v>225</v>
      </c>
      <c r="L133" t="s">
        <v>265</v>
      </c>
      <c r="M133" t="str">
        <f t="shared" ca="1" si="21"/>
        <v>30927748</v>
      </c>
      <c r="N133" t="str">
        <f t="shared" ca="1" si="22"/>
        <v>760187240</v>
      </c>
      <c r="O133" t="str">
        <f t="shared" ca="1" si="22"/>
        <v>754042590</v>
      </c>
      <c r="P133" t="str" cm="1">
        <f t="array" aca="1" ref="P133" ca="1">9 &amp; INDEX($AF$3:$AF$6,W133)&amp; TEXT(RANDBETWEEN(0,9999999),"0000000")</f>
        <v>929311257</v>
      </c>
      <c r="Q133" t="str" cm="1">
        <f t="array" aca="1" ref="Q133" ca="1">LOWER(B133) &amp; INDEX($AF$9:$AF$11,X133)</f>
        <v>joaboa1750@sapo.pt</v>
      </c>
      <c r="R133" t="str">
        <f t="shared" ca="1" si="23"/>
        <v>joaboa1750.jpg</v>
      </c>
      <c r="T133" s="4"/>
      <c r="V133">
        <f ca="1">RANDBETWEEN(2,COUNTA(rua_cod!A:A))</f>
        <v>49</v>
      </c>
      <c r="W133">
        <f t="shared" ca="1" si="24"/>
        <v>2</v>
      </c>
      <c r="X133">
        <f t="shared" ca="1" si="25"/>
        <v>3</v>
      </c>
      <c r="Y133">
        <f t="shared" ca="1" si="26"/>
        <v>1969</v>
      </c>
      <c r="Z133">
        <f t="shared" ca="1" si="27"/>
        <v>9</v>
      </c>
      <c r="AA133">
        <f t="shared" ca="1" si="28"/>
        <v>16</v>
      </c>
      <c r="AB133">
        <f t="shared" ca="1" si="29"/>
        <v>51</v>
      </c>
    </row>
    <row r="134" spans="1:28" x14ac:dyDescent="0.25">
      <c r="A134">
        <v>133</v>
      </c>
      <c r="B134" t="str" cm="1">
        <f t="array" aca="1" ref="B134" ca="1">replaceChar(LOWER(LEFT(D134,3)&amp;RIGHT(I134,3))&amp;LEFT(H134,4))</f>
        <v>bruras2560</v>
      </c>
      <c r="C134" t="str">
        <f t="shared" ca="1" si="20"/>
        <v>pswbruras2560</v>
      </c>
      <c r="D134" t="str">
        <f ca="1">Nomes!T135</f>
        <v>Bruno Bruno Santos Martins</v>
      </c>
      <c r="E134" t="str">
        <f ca="1">Nomes!S135</f>
        <v>Masculino</v>
      </c>
      <c r="F134" s="2">
        <v>43922</v>
      </c>
      <c r="G134" t="str" cm="1">
        <f t="array" aca="1" ref="G134" ca="1">INDEX(rua_cod!$F:$F,RANDBETWEEN(2,COUNTA(rua_cod!F:F)))</f>
        <v>Rua da Betesga</v>
      </c>
      <c r="H134" t="str" cm="1">
        <f t="array" aca="1" ref="H134" ca="1">INDEX(rua_cod!$A:$A,Users!V134) &amp; "-" &amp; TEXT(RANDBETWEEN(0,999),"000")</f>
        <v>2560-061</v>
      </c>
      <c r="I134" t="str" cm="1">
        <f t="array" aca="1" ref="I134" ca="1">INDEX(rua_cod!$B:$B,Users!V134)</f>
        <v>Torres Vedras</v>
      </c>
      <c r="J134" t="s">
        <v>3727</v>
      </c>
      <c r="K134" t="s">
        <v>225</v>
      </c>
      <c r="L134" t="s">
        <v>265</v>
      </c>
      <c r="M134" t="str">
        <f t="shared" ca="1" si="21"/>
        <v>50659030</v>
      </c>
      <c r="N134" t="str">
        <f t="shared" ca="1" si="22"/>
        <v>449128877</v>
      </c>
      <c r="O134" t="str">
        <f t="shared" ca="1" si="22"/>
        <v>502912583</v>
      </c>
      <c r="P134" t="str" cm="1">
        <f t="array" aca="1" ref="P134" ca="1">9 &amp; INDEX($AF$3:$AF$6,W134)&amp; TEXT(RANDBETWEEN(0,9999999),"0000000")</f>
        <v>923059251</v>
      </c>
      <c r="Q134" t="str" cm="1">
        <f t="array" aca="1" ref="Q134" ca="1">LOWER(B134) &amp; INDEX($AF$9:$AF$11,X134)</f>
        <v>bruras2560@outlook.com</v>
      </c>
      <c r="R134" t="str">
        <f t="shared" ca="1" si="23"/>
        <v>bruras2560.jpg</v>
      </c>
      <c r="T134" s="4"/>
      <c r="V134">
        <f ca="1">RANDBETWEEN(2,COUNTA(rua_cod!A:A))</f>
        <v>104</v>
      </c>
      <c r="W134">
        <f t="shared" ca="1" si="24"/>
        <v>2</v>
      </c>
      <c r="X134">
        <f t="shared" ca="1" si="25"/>
        <v>1</v>
      </c>
      <c r="Y134">
        <f t="shared" ca="1" si="26"/>
        <v>1985</v>
      </c>
      <c r="Z134">
        <f t="shared" ca="1" si="27"/>
        <v>7</v>
      </c>
      <c r="AA134">
        <f t="shared" ca="1" si="28"/>
        <v>29</v>
      </c>
      <c r="AB134">
        <f t="shared" ca="1" si="29"/>
        <v>35</v>
      </c>
    </row>
    <row r="135" spans="1:28" x14ac:dyDescent="0.25">
      <c r="A135">
        <v>134</v>
      </c>
      <c r="B135" t="str" cm="1">
        <f t="array" aca="1" ref="B135" ca="1">replaceChar(LOWER(LEFT(D135,3)&amp;RIGHT(I135,3))&amp;LEFT(H135,4))</f>
        <v>josboa1099</v>
      </c>
      <c r="C135" t="str">
        <f t="shared" ca="1" si="20"/>
        <v>pswjosboa1099</v>
      </c>
      <c r="D135" t="str">
        <f ca="1">Nomes!T136</f>
        <v>José Ana Almeida Leite</v>
      </c>
      <c r="E135" t="str">
        <f ca="1">Nomes!S136</f>
        <v>Masculino</v>
      </c>
      <c r="F135" s="2">
        <v>25320</v>
      </c>
      <c r="G135" t="str" cm="1">
        <f t="array" aca="1" ref="G135" ca="1">INDEX(rua_cod!$F:$F,RANDBETWEEN(2,COUNTA(rua_cod!F:F)))</f>
        <v>Calçada do Moinho de Vento</v>
      </c>
      <c r="H135" t="str" cm="1">
        <f t="array" aca="1" ref="H135" ca="1">INDEX(rua_cod!$A:$A,Users!V135) &amp; "-" &amp; TEXT(RANDBETWEEN(0,999),"000")</f>
        <v>1099-683</v>
      </c>
      <c r="I135" t="str" cm="1">
        <f t="array" aca="1" ref="I135" ca="1">INDEX(rua_cod!$B:$B,Users!V135)</f>
        <v>Lisboa</v>
      </c>
      <c r="J135" t="s">
        <v>3727</v>
      </c>
      <c r="K135" t="s">
        <v>225</v>
      </c>
      <c r="L135" t="s">
        <v>265</v>
      </c>
      <c r="M135" t="str">
        <f t="shared" ca="1" si="21"/>
        <v>98607697</v>
      </c>
      <c r="N135" t="str">
        <f t="shared" ca="1" si="22"/>
        <v>428112522</v>
      </c>
      <c r="O135" t="str">
        <f t="shared" ca="1" si="22"/>
        <v>192373896</v>
      </c>
      <c r="P135" t="str" cm="1">
        <f t="array" aca="1" ref="P135" ca="1">9 &amp; INDEX($AF$3:$AF$6,W135)&amp; TEXT(RANDBETWEEN(0,9999999),"0000000")</f>
        <v>936948469</v>
      </c>
      <c r="Q135" t="str" cm="1">
        <f t="array" aca="1" ref="Q135" ca="1">LOWER(B135) &amp; INDEX($AF$9:$AF$11,X135)</f>
        <v>josboa1099@sapo.pt</v>
      </c>
      <c r="R135" t="str">
        <f t="shared" ca="1" si="23"/>
        <v>josboa1099.jpg</v>
      </c>
      <c r="T135" s="4"/>
      <c r="V135">
        <f ca="1">RANDBETWEEN(2,COUNTA(rua_cod!A:A))</f>
        <v>53</v>
      </c>
      <c r="W135">
        <f t="shared" ca="1" si="24"/>
        <v>3</v>
      </c>
      <c r="X135">
        <f t="shared" ca="1" si="25"/>
        <v>3</v>
      </c>
      <c r="Y135">
        <f t="shared" ca="1" si="26"/>
        <v>1941</v>
      </c>
      <c r="Z135">
        <f t="shared" ca="1" si="27"/>
        <v>1</v>
      </c>
      <c r="AA135">
        <f t="shared" ca="1" si="28"/>
        <v>14</v>
      </c>
      <c r="AB135">
        <f t="shared" ca="1" si="29"/>
        <v>79</v>
      </c>
    </row>
    <row r="136" spans="1:28" x14ac:dyDescent="0.25">
      <c r="A136">
        <v>135</v>
      </c>
      <c r="B136" t="str" cm="1">
        <f t="array" aca="1" ref="B136" ca="1">replaceChar(LOWER(LEFT(D136,3)&amp;RIGHT(I136,3))&amp;LEFT(H136,4))</f>
        <v>dioada2810</v>
      </c>
      <c r="C136" t="str">
        <f t="shared" ca="1" si="20"/>
        <v>pswdioada2810</v>
      </c>
      <c r="D136" t="str">
        <f ca="1">Nomes!T137</f>
        <v>Diogo Martim Coelho Henriques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Rua Júlio César Machado</v>
      </c>
      <c r="H136" t="str" cm="1">
        <f t="array" aca="1" ref="H136" ca="1">INDEX(rua_cod!$A:$A,Users!V136) &amp; "-" &amp; TEXT(RANDBETWEEN(0,999),"000")</f>
        <v>2810-833</v>
      </c>
      <c r="I136" t="str" cm="1">
        <f t="array" aca="1" ref="I136" ca="1">INDEX(rua_cod!$B:$B,Users!V136)</f>
        <v>Almada</v>
      </c>
      <c r="J136" t="s">
        <v>3727</v>
      </c>
      <c r="K136" t="s">
        <v>225</v>
      </c>
      <c r="L136" t="s">
        <v>265</v>
      </c>
      <c r="M136" t="str">
        <f t="shared" ca="1" si="21"/>
        <v>51535555</v>
      </c>
      <c r="N136" t="str">
        <f t="shared" ca="1" si="22"/>
        <v>842829236</v>
      </c>
      <c r="O136" t="str">
        <f t="shared" ca="1" si="22"/>
        <v>502350813</v>
      </c>
      <c r="P136" t="str" cm="1">
        <f t="array" aca="1" ref="P136" ca="1">9 &amp; INDEX($AF$3:$AF$6,W136)&amp; TEXT(RANDBETWEEN(0,9999999),"0000000")</f>
        <v>921290326</v>
      </c>
      <c r="Q136" t="str" cm="1">
        <f t="array" aca="1" ref="Q136" ca="1">LOWER(B136) &amp; INDEX($AF$9:$AF$11,X136)</f>
        <v>dioada2810@outlook.com</v>
      </c>
      <c r="R136" t="str">
        <f t="shared" ca="1" si="23"/>
        <v>dioada2810.jpg</v>
      </c>
      <c r="T136" s="4"/>
      <c r="V136">
        <f ca="1">RANDBETWEEN(2,COUNTA(rua_cod!A:A))</f>
        <v>3</v>
      </c>
      <c r="W136">
        <f t="shared" ca="1" si="24"/>
        <v>2</v>
      </c>
      <c r="X136">
        <f t="shared" ca="1" si="25"/>
        <v>1</v>
      </c>
      <c r="Y136">
        <f t="shared" ca="1" si="26"/>
        <v>1991</v>
      </c>
      <c r="Z136">
        <f t="shared" ca="1" si="27"/>
        <v>4</v>
      </c>
      <c r="AA136">
        <f t="shared" ca="1" si="28"/>
        <v>6</v>
      </c>
      <c r="AB136">
        <f t="shared" ca="1" si="29"/>
        <v>29</v>
      </c>
    </row>
    <row r="137" spans="1:28" x14ac:dyDescent="0.25">
      <c r="A137">
        <v>136</v>
      </c>
      <c r="B137" t="str" cm="1">
        <f t="array" aca="1" ref="B137" ca="1">replaceChar(LOWER(LEFT(D137,3)&amp;RIGHT(I137,3))&amp;LEFT(H137,4))</f>
        <v>pedijo2870</v>
      </c>
      <c r="C137" t="str">
        <f t="shared" ca="1" si="20"/>
        <v>pswpedijo2870</v>
      </c>
      <c r="D137" t="str">
        <f ca="1">Nomes!T138</f>
        <v>Pedro Sofia Martins Sá</v>
      </c>
      <c r="E137" t="str">
        <f ca="1">Nomes!S138</f>
        <v>Masculino</v>
      </c>
      <c r="F137" s="2">
        <v>34756</v>
      </c>
      <c r="G137" t="str" cm="1">
        <f t="array" aca="1" ref="G137" ca="1">INDEX(rua_cod!$F:$F,RANDBETWEEN(2,COUNTA(rua_cod!F:F)))</f>
        <v>Rua da Madalena</v>
      </c>
      <c r="H137" t="str" cm="1">
        <f t="array" aca="1" ref="H137" ca="1">INDEX(rua_cod!$A:$A,Users!V137) &amp; "-" &amp; TEXT(RANDBETWEEN(0,999),"000")</f>
        <v>2870-248</v>
      </c>
      <c r="I137" t="str" cm="1">
        <f t="array" aca="1" ref="I137" ca="1">INDEX(rua_cod!$B:$B,Users!V137)</f>
        <v>Montijo</v>
      </c>
      <c r="J137" t="s">
        <v>3727</v>
      </c>
      <c r="K137" t="s">
        <v>225</v>
      </c>
      <c r="L137" t="s">
        <v>265</v>
      </c>
      <c r="M137" t="str">
        <f t="shared" ca="1" si="21"/>
        <v>93896170</v>
      </c>
      <c r="N137" t="str">
        <f t="shared" ca="1" si="22"/>
        <v>452273576</v>
      </c>
      <c r="O137" t="str">
        <f t="shared" ca="1" si="22"/>
        <v>943678453</v>
      </c>
      <c r="P137" t="str" cm="1">
        <f t="array" aca="1" ref="P137" ca="1">9 &amp; INDEX($AF$3:$AF$6,W137)&amp; TEXT(RANDBETWEEN(0,9999999),"0000000")</f>
        <v>964951575</v>
      </c>
      <c r="Q137" t="str" cm="1">
        <f t="array" aca="1" ref="Q137" ca="1">LOWER(B137) &amp; INDEX($AF$9:$AF$11,X137)</f>
        <v>pedijo2870@sapo.pt</v>
      </c>
      <c r="R137" t="str">
        <f t="shared" ca="1" si="23"/>
        <v>pedijo2870.jpg</v>
      </c>
      <c r="T137" s="4"/>
      <c r="V137">
        <f ca="1">RANDBETWEEN(2,COUNTA(rua_cod!A:A))</f>
        <v>87</v>
      </c>
      <c r="W137">
        <f t="shared" ca="1" si="24"/>
        <v>4</v>
      </c>
      <c r="X137">
        <f t="shared" ca="1" si="25"/>
        <v>3</v>
      </c>
      <c r="Y137">
        <f t="shared" ca="1" si="26"/>
        <v>1944</v>
      </c>
      <c r="Z137">
        <f t="shared" ca="1" si="27"/>
        <v>2</v>
      </c>
      <c r="AA137">
        <f t="shared" ca="1" si="28"/>
        <v>28</v>
      </c>
      <c r="AB137">
        <f t="shared" ca="1" si="29"/>
        <v>76</v>
      </c>
    </row>
    <row r="138" spans="1:28" x14ac:dyDescent="0.25">
      <c r="A138">
        <v>137</v>
      </c>
      <c r="B138" t="str" cm="1">
        <f t="array" aca="1" ref="B138" ca="1">replaceChar(LOWER(LEFT(D138,3)&amp;RIGHT(I138,3))&amp;LEFT(H138,4))</f>
        <v>danboa1100</v>
      </c>
      <c r="C138" t="str">
        <f t="shared" ca="1" si="20"/>
        <v>pswdanboa1100</v>
      </c>
      <c r="D138" t="str">
        <f ca="1">Nomes!T139</f>
        <v>Daniela João Almeida Batista</v>
      </c>
      <c r="E138" t="str">
        <f ca="1">Nomes!S139</f>
        <v>Feminino</v>
      </c>
      <c r="F138" s="2">
        <v>14392</v>
      </c>
      <c r="G138" t="str" cm="1">
        <f t="array" aca="1" ref="G138" ca="1">INDEX(rua_cod!$F:$F,RANDBETWEEN(2,COUNTA(rua_cod!F:F)))</f>
        <v>Calçada do Moinho de Vento</v>
      </c>
      <c r="H138" t="str" cm="1">
        <f t="array" aca="1" ref="H138" ca="1">INDEX(rua_cod!$A:$A,Users!V138) &amp; "-" &amp; TEXT(RANDBETWEEN(0,999),"000")</f>
        <v>1100-366</v>
      </c>
      <c r="I138" t="str" cm="1">
        <f t="array" aca="1" ref="I138" ca="1">INDEX(rua_cod!$B:$B,Users!V138)</f>
        <v>Lisboa</v>
      </c>
      <c r="J138" t="s">
        <v>3727</v>
      </c>
      <c r="K138" t="s">
        <v>225</v>
      </c>
      <c r="L138" t="s">
        <v>265</v>
      </c>
      <c r="M138" t="str">
        <f t="shared" ca="1" si="21"/>
        <v>89043778</v>
      </c>
      <c r="N138" t="str">
        <f t="shared" ca="1" si="22"/>
        <v>519846158</v>
      </c>
      <c r="O138" t="str">
        <f t="shared" ca="1" si="22"/>
        <v>391682643</v>
      </c>
      <c r="P138" t="str" cm="1">
        <f t="array" aca="1" ref="P138" ca="1">9 &amp; INDEX($AF$3:$AF$6,W138)&amp; TEXT(RANDBETWEEN(0,9999999),"0000000")</f>
        <v>919070764</v>
      </c>
      <c r="Q138" t="str" cm="1">
        <f t="array" aca="1" ref="Q138" ca="1">LOWER(B138) &amp; INDEX($AF$9:$AF$11,X138)</f>
        <v>danboa1100@gmail.com</v>
      </c>
      <c r="R138" t="str">
        <f t="shared" ca="1" si="23"/>
        <v>danboa1100.jpg</v>
      </c>
      <c r="T138" s="4"/>
      <c r="V138">
        <f ca="1">RANDBETWEEN(2,COUNTA(rua_cod!A:A))</f>
        <v>46</v>
      </c>
      <c r="W138">
        <f t="shared" ca="1" si="24"/>
        <v>1</v>
      </c>
      <c r="X138">
        <f t="shared" ca="1" si="25"/>
        <v>2</v>
      </c>
      <c r="Y138">
        <f t="shared" ca="1" si="26"/>
        <v>1957</v>
      </c>
      <c r="Z138">
        <f t="shared" ca="1" si="27"/>
        <v>2</v>
      </c>
      <c r="AA138">
        <f t="shared" ca="1" si="28"/>
        <v>26</v>
      </c>
      <c r="AB138">
        <f t="shared" ca="1" si="29"/>
        <v>63</v>
      </c>
    </row>
    <row r="139" spans="1:28" x14ac:dyDescent="0.25">
      <c r="A139">
        <v>138</v>
      </c>
      <c r="B139" t="str" cm="1">
        <f t="array" aca="1" ref="B139" ca="1">replaceChar(LOWER(LEFT(D139,3)&amp;RIGHT(I139,3))&amp;LEFT(H139,4))</f>
        <v>tiaboa1959</v>
      </c>
      <c r="C139" t="str">
        <f t="shared" ca="1" si="20"/>
        <v>pswtiaboa1959</v>
      </c>
      <c r="D139" t="str">
        <f ca="1">Nomes!T140</f>
        <v>Tiago Tomás Marques Fernandes</v>
      </c>
      <c r="E139" t="str">
        <f ca="1">Nomes!S140</f>
        <v>Masculino</v>
      </c>
      <c r="F139" s="2">
        <v>17070</v>
      </c>
      <c r="G139" t="str" cm="1">
        <f t="array" aca="1" ref="G139" ca="1">INDEX(rua_cod!$F:$F,RANDBETWEEN(2,COUNTA(rua_cod!F:F)))</f>
        <v>Rua do Sacramento à Lapa</v>
      </c>
      <c r="H139" t="str" cm="1">
        <f t="array" aca="1" ref="H139" ca="1">INDEX(rua_cod!$A:$A,Users!V139) &amp; "-" &amp; TEXT(RANDBETWEEN(0,999),"000")</f>
        <v>1959-786</v>
      </c>
      <c r="I139" t="str" cm="1">
        <f t="array" aca="1" ref="I139" ca="1">INDEX(rua_cod!$B:$B,Users!V139)</f>
        <v>Lisboa</v>
      </c>
      <c r="J139" t="s">
        <v>3727</v>
      </c>
      <c r="K139" t="s">
        <v>225</v>
      </c>
      <c r="L139" t="s">
        <v>265</v>
      </c>
      <c r="M139" t="str">
        <f t="shared" ca="1" si="21"/>
        <v>16318923</v>
      </c>
      <c r="N139" t="str">
        <f t="shared" ca="1" si="22"/>
        <v>174275156</v>
      </c>
      <c r="O139" t="str">
        <f t="shared" ca="1" si="22"/>
        <v>898700577</v>
      </c>
      <c r="P139" t="str" cm="1">
        <f t="array" aca="1" ref="P139" ca="1">9 &amp; INDEX($AF$3:$AF$6,W139)&amp; TEXT(RANDBETWEEN(0,9999999),"0000000")</f>
        <v>921033678</v>
      </c>
      <c r="Q139" t="str" cm="1">
        <f t="array" aca="1" ref="Q139" ca="1">LOWER(B139) &amp; INDEX($AF$9:$AF$11,X139)</f>
        <v>tiaboa1959@sapo.pt</v>
      </c>
      <c r="R139" t="str">
        <f t="shared" ca="1" si="23"/>
        <v>tiaboa1959.jpg</v>
      </c>
      <c r="T139" s="4"/>
      <c r="V139">
        <f ca="1">RANDBETWEEN(2,COUNTA(rua_cod!A:A))</f>
        <v>72</v>
      </c>
      <c r="W139">
        <f t="shared" ca="1" si="24"/>
        <v>2</v>
      </c>
      <c r="X139">
        <f t="shared" ca="1" si="25"/>
        <v>3</v>
      </c>
      <c r="Y139">
        <f t="shared" ca="1" si="26"/>
        <v>1976</v>
      </c>
      <c r="Z139">
        <f t="shared" ca="1" si="27"/>
        <v>11</v>
      </c>
      <c r="AA139">
        <f t="shared" ca="1" si="28"/>
        <v>31</v>
      </c>
      <c r="AB139">
        <f t="shared" ca="1" si="29"/>
        <v>44</v>
      </c>
    </row>
    <row r="140" spans="1:28" x14ac:dyDescent="0.25">
      <c r="A140">
        <v>139</v>
      </c>
      <c r="B140" t="str" cm="1">
        <f t="array" aca="1" ref="B140" ca="1">replaceChar(LOWER(LEFT(D140,3)&amp;RIGHT(I140,3))&amp;LEFT(H140,4))</f>
        <v>brumar2300</v>
      </c>
      <c r="C140" t="str">
        <f t="shared" ca="1" si="20"/>
        <v>pswbrumar2300</v>
      </c>
      <c r="D140" t="str">
        <f ca="1">Nomes!T141</f>
        <v>Bruno Sofia Carneiro Lima</v>
      </c>
      <c r="E140" t="str">
        <f ca="1">Nomes!S141</f>
        <v>Masculino</v>
      </c>
      <c r="F140" s="2">
        <v>18282</v>
      </c>
      <c r="G140" t="str" cm="1">
        <f t="array" aca="1" ref="G140" ca="1">INDEX(rua_cod!$F:$F,RANDBETWEEN(2,COUNTA(rua_cod!F:F)))</f>
        <v>Rua da Madalena</v>
      </c>
      <c r="H140" t="str" cm="1">
        <f t="array" aca="1" ref="H140" ca="1">INDEX(rua_cod!$A:$A,Users!V140) &amp; "-" &amp; TEXT(RANDBETWEEN(0,999),"000")</f>
        <v>2300-841</v>
      </c>
      <c r="I140" t="str" cm="1">
        <f t="array" aca="1" ref="I140" ca="1">INDEX(rua_cod!$B:$B,Users!V140)</f>
        <v>Tomar</v>
      </c>
      <c r="J140" t="s">
        <v>3727</v>
      </c>
      <c r="K140" t="s">
        <v>225</v>
      </c>
      <c r="L140" t="s">
        <v>265</v>
      </c>
      <c r="M140" t="str">
        <f t="shared" ca="1" si="21"/>
        <v>21704998</v>
      </c>
      <c r="N140" t="str">
        <f t="shared" ca="1" si="22"/>
        <v>905509623</v>
      </c>
      <c r="O140" t="str">
        <f t="shared" ca="1" si="22"/>
        <v>318869153</v>
      </c>
      <c r="P140" t="str" cm="1">
        <f t="array" aca="1" ref="P140" ca="1">9 &amp; INDEX($AF$3:$AF$6,W140)&amp; TEXT(RANDBETWEEN(0,9999999),"0000000")</f>
        <v>967272002</v>
      </c>
      <c r="Q140" t="str" cm="1">
        <f t="array" aca="1" ref="Q140" ca="1">LOWER(B140) &amp; INDEX($AF$9:$AF$11,X140)</f>
        <v>brumar2300@outlook.com</v>
      </c>
      <c r="R140" t="str">
        <f t="shared" ca="1" si="23"/>
        <v>brumar2300.jpg</v>
      </c>
      <c r="T140" s="4"/>
      <c r="V140">
        <f ca="1">RANDBETWEEN(2,COUNTA(rua_cod!A:A))</f>
        <v>102</v>
      </c>
      <c r="W140">
        <f t="shared" ca="1" si="24"/>
        <v>4</v>
      </c>
      <c r="X140">
        <f t="shared" ca="1" si="25"/>
        <v>1</v>
      </c>
      <c r="Y140">
        <f t="shared" ca="1" si="26"/>
        <v>1936</v>
      </c>
      <c r="Z140">
        <f t="shared" ca="1" si="27"/>
        <v>11</v>
      </c>
      <c r="AA140">
        <f t="shared" ca="1" si="28"/>
        <v>3</v>
      </c>
      <c r="AB140">
        <f t="shared" ca="1" si="29"/>
        <v>84</v>
      </c>
    </row>
    <row r="141" spans="1:28" x14ac:dyDescent="0.25">
      <c r="A141">
        <v>140</v>
      </c>
      <c r="B141" t="str" cm="1">
        <f t="array" aca="1" ref="B141" ca="1">replaceChar(LOWER(LEFT(D141,3)&amp;RIGHT(I141,3))&amp;LEFT(H141,4))</f>
        <v>beaora2724</v>
      </c>
      <c r="C141" t="str">
        <f t="shared" ca="1" si="20"/>
        <v>pswbeaora2724</v>
      </c>
      <c r="D141" t="str">
        <f ca="1">Nomes!T142</f>
        <v>Beatriz Diogo Borges Ferreira</v>
      </c>
      <c r="E141" t="str">
        <f ca="1">Nomes!S142</f>
        <v>Feminino</v>
      </c>
      <c r="F141" s="2">
        <v>9562</v>
      </c>
      <c r="G141" t="str" cm="1">
        <f t="array" aca="1" ref="G141" ca="1">INDEX(rua_cod!$F:$F,RANDBETWEEN(2,COUNTA(rua_cod!F:F)))</f>
        <v>Estrada da Circunvalação de Lisboa</v>
      </c>
      <c r="H141" t="str" cm="1">
        <f t="array" aca="1" ref="H141" ca="1">INDEX(rua_cod!$A:$A,Users!V141) &amp; "-" &amp; TEXT(RANDBETWEEN(0,999),"000")</f>
        <v>2724-582</v>
      </c>
      <c r="I141" t="str" cm="1">
        <f t="array" aca="1" ref="I141" ca="1">INDEX(rua_cod!$B:$B,Users!V141)</f>
        <v>Amadora</v>
      </c>
      <c r="J141" t="s">
        <v>3727</v>
      </c>
      <c r="K141" t="s">
        <v>225</v>
      </c>
      <c r="L141" t="s">
        <v>265</v>
      </c>
      <c r="M141" t="str">
        <f t="shared" ca="1" si="21"/>
        <v>62280998</v>
      </c>
      <c r="N141" t="str">
        <f t="shared" ca="1" si="22"/>
        <v>427293566</v>
      </c>
      <c r="O141" t="str">
        <f t="shared" ca="1" si="22"/>
        <v>618519015</v>
      </c>
      <c r="P141" t="str" cm="1">
        <f t="array" aca="1" ref="P141" ca="1">9 &amp; INDEX($AF$3:$AF$6,W141)&amp; TEXT(RANDBETWEEN(0,9999999),"0000000")</f>
        <v>967925881</v>
      </c>
      <c r="Q141" t="str" cm="1">
        <f t="array" aca="1" ref="Q141" ca="1">LOWER(B141) &amp; INDEX($AF$9:$AF$11,X141)</f>
        <v>beaora2724@outlook.com</v>
      </c>
      <c r="R141" t="str">
        <f t="shared" ca="1" si="23"/>
        <v>beaora2724.jpg</v>
      </c>
      <c r="T141" s="4"/>
      <c r="V141">
        <f ca="1">RANDBETWEEN(2,COUNTA(rua_cod!A:A))</f>
        <v>13</v>
      </c>
      <c r="W141">
        <f t="shared" ca="1" si="24"/>
        <v>4</v>
      </c>
      <c r="X141">
        <f t="shared" ca="1" si="25"/>
        <v>1</v>
      </c>
      <c r="Y141">
        <f t="shared" ca="1" si="26"/>
        <v>1949</v>
      </c>
      <c r="Z141">
        <f t="shared" ca="1" si="27"/>
        <v>10</v>
      </c>
      <c r="AA141">
        <f t="shared" ca="1" si="28"/>
        <v>15</v>
      </c>
      <c r="AB141">
        <f t="shared" ca="1" si="29"/>
        <v>71</v>
      </c>
    </row>
    <row r="142" spans="1:28" x14ac:dyDescent="0.25">
      <c r="A142">
        <v>141</v>
      </c>
      <c r="B142" t="str" cm="1">
        <f t="array" aca="1" ref="B142" ca="1">replaceChar(LOWER(LEFT(D142,3)&amp;RIGHT(I142,3))&amp;LEFT(H142,4))</f>
        <v>joaora2650</v>
      </c>
      <c r="C142" t="str">
        <f t="shared" ca="1" si="20"/>
        <v>pswjoaora2650</v>
      </c>
      <c r="D142" t="str">
        <f ca="1">Nomes!T143</f>
        <v>João Afonso Silva Raposo</v>
      </c>
      <c r="E142" t="str">
        <f ca="1">Nomes!S143</f>
        <v>Masculino</v>
      </c>
      <c r="F142" s="2">
        <v>10733</v>
      </c>
      <c r="G142" t="str" cm="1">
        <f t="array" aca="1" ref="G142" ca="1">INDEX(rua_cod!$F:$F,RANDBETWEEN(2,COUNTA(rua_cod!F:F)))</f>
        <v>Rua Nova do Almada</v>
      </c>
      <c r="H142" t="str" cm="1">
        <f t="array" aca="1" ref="H142" ca="1">INDEX(rua_cod!$A:$A,Users!V142) &amp; "-" &amp; TEXT(RANDBETWEEN(0,999),"000")</f>
        <v>2650-705</v>
      </c>
      <c r="I142" t="str" cm="1">
        <f t="array" aca="1" ref="I142" ca="1">INDEX(rua_cod!$B:$B,Users!V142)</f>
        <v>Amadora</v>
      </c>
      <c r="J142" t="s">
        <v>3727</v>
      </c>
      <c r="K142" t="s">
        <v>225</v>
      </c>
      <c r="L142" t="s">
        <v>265</v>
      </c>
      <c r="M142" t="str">
        <f t="shared" ca="1" si="21"/>
        <v>67087790</v>
      </c>
      <c r="N142" t="str">
        <f t="shared" ca="1" si="22"/>
        <v>579415393</v>
      </c>
      <c r="O142" t="str">
        <f t="shared" ca="1" si="22"/>
        <v>185884940</v>
      </c>
      <c r="P142" t="str" cm="1">
        <f t="array" aca="1" ref="P142" ca="1">9 &amp; INDEX($AF$3:$AF$6,W142)&amp; TEXT(RANDBETWEEN(0,9999999),"0000000")</f>
        <v>914293799</v>
      </c>
      <c r="Q142" t="str" cm="1">
        <f t="array" aca="1" ref="Q142" ca="1">LOWER(B142) &amp; INDEX($AF$9:$AF$11,X142)</f>
        <v>joaora2650@sapo.pt</v>
      </c>
      <c r="R142" t="str">
        <f t="shared" ca="1" si="23"/>
        <v>joaora2650.jpg</v>
      </c>
      <c r="T142" s="4"/>
      <c r="V142">
        <f ca="1">RANDBETWEEN(2,COUNTA(rua_cod!A:A))</f>
        <v>9</v>
      </c>
      <c r="W142">
        <f t="shared" ca="1" si="24"/>
        <v>1</v>
      </c>
      <c r="X142">
        <f t="shared" ca="1" si="25"/>
        <v>3</v>
      </c>
      <c r="Y142">
        <f t="shared" ca="1" si="26"/>
        <v>1941</v>
      </c>
      <c r="Z142">
        <f t="shared" ca="1" si="27"/>
        <v>7</v>
      </c>
      <c r="AA142">
        <f t="shared" ca="1" si="28"/>
        <v>28</v>
      </c>
      <c r="AB142">
        <f t="shared" ca="1" si="29"/>
        <v>79</v>
      </c>
    </row>
    <row r="143" spans="1:28" x14ac:dyDescent="0.25">
      <c r="A143">
        <v>142</v>
      </c>
      <c r="B143" t="str" cm="1">
        <f t="array" aca="1" ref="B143" ca="1">replaceChar(LOWER(LEFT(D143,3)&amp;RIGHT(I143,3))&amp;LEFT(H143,4))</f>
        <v>dioboa1949</v>
      </c>
      <c r="C143" t="str">
        <f t="shared" ca="1" si="20"/>
        <v>pswdioboa1949</v>
      </c>
      <c r="D143" t="str">
        <f ca="1">Nomes!T144</f>
        <v>Diogo Carolina Macedo Melo</v>
      </c>
      <c r="E143" t="str">
        <f ca="1">Nomes!S144</f>
        <v>Masculino</v>
      </c>
      <c r="F143" s="2">
        <v>43003</v>
      </c>
      <c r="G143" t="str" cm="1">
        <f t="array" aca="1" ref="G143" ca="1">INDEX(rua_cod!$F:$F,RANDBETWEEN(2,COUNTA(rua_cod!F:F)))</f>
        <v>Rua do Sacramento à Lapa</v>
      </c>
      <c r="H143" t="str" cm="1">
        <f t="array" aca="1" ref="H143" ca="1">INDEX(rua_cod!$A:$A,Users!V143) &amp; "-" &amp; TEXT(RANDBETWEEN(0,999),"000")</f>
        <v>1949-790</v>
      </c>
      <c r="I143" t="str" cm="1">
        <f t="array" aca="1" ref="I143" ca="1">INDEX(rua_cod!$B:$B,Users!V143)</f>
        <v>Lisboa</v>
      </c>
      <c r="J143" t="s">
        <v>3727</v>
      </c>
      <c r="K143" t="s">
        <v>225</v>
      </c>
      <c r="L143" t="s">
        <v>265</v>
      </c>
      <c r="M143" t="str">
        <f t="shared" ca="1" si="21"/>
        <v>17277687</v>
      </c>
      <c r="N143" t="str">
        <f t="shared" ca="1" si="22"/>
        <v>517100682</v>
      </c>
      <c r="O143" t="str">
        <f t="shared" ca="1" si="22"/>
        <v>703857540</v>
      </c>
      <c r="P143" t="str" cm="1">
        <f t="array" aca="1" ref="P143" ca="1">9 &amp; INDEX($AF$3:$AF$6,W143)&amp; TEXT(RANDBETWEEN(0,9999999),"0000000")</f>
        <v>932706268</v>
      </c>
      <c r="Q143" t="str" cm="1">
        <f t="array" aca="1" ref="Q143" ca="1">LOWER(B143) &amp; INDEX($AF$9:$AF$11,X143)</f>
        <v>dioboa1949@sapo.pt</v>
      </c>
      <c r="R143" t="str">
        <f t="shared" ca="1" si="23"/>
        <v>dioboa1949.jpg</v>
      </c>
      <c r="T143" s="4"/>
      <c r="V143">
        <f ca="1">RANDBETWEEN(2,COUNTA(rua_cod!A:A))</f>
        <v>45</v>
      </c>
      <c r="W143">
        <f t="shared" ca="1" si="24"/>
        <v>3</v>
      </c>
      <c r="X143">
        <f t="shared" ca="1" si="25"/>
        <v>3</v>
      </c>
      <c r="Y143">
        <f t="shared" ca="1" si="26"/>
        <v>1934</v>
      </c>
      <c r="Z143">
        <f t="shared" ca="1" si="27"/>
        <v>6</v>
      </c>
      <c r="AA143">
        <f t="shared" ca="1" si="28"/>
        <v>26</v>
      </c>
      <c r="AB143">
        <f t="shared" ca="1" si="29"/>
        <v>86</v>
      </c>
    </row>
    <row r="144" spans="1:28" x14ac:dyDescent="0.25">
      <c r="A144">
        <v>143</v>
      </c>
      <c r="B144" t="str" cm="1">
        <f t="array" aca="1" ref="B144" ca="1">replaceChar(LOWER(LEFT(D144,3)&amp;RIGHT(I144,3))&amp;LEFT(H144,4))</f>
        <v>tiarem2009</v>
      </c>
      <c r="C144" t="str">
        <f t="shared" ca="1" si="20"/>
        <v>pswtiarem2009</v>
      </c>
      <c r="D144" t="str">
        <f ca="1">Nomes!T145</f>
        <v>Tiago Joana Azevedo Simões</v>
      </c>
      <c r="E144" t="str">
        <f ca="1">Nomes!S145</f>
        <v>Masculino</v>
      </c>
      <c r="F144" s="2">
        <v>29468</v>
      </c>
      <c r="G144" t="str" cm="1">
        <f t="array" aca="1" ref="G144" ca="1">INDEX(rua_cod!$F:$F,RANDBETWEEN(2,COUNTA(rua_cod!F:F)))</f>
        <v>Rua General Morais Sarmento</v>
      </c>
      <c r="H144" t="str" cm="1">
        <f t="array" aca="1" ref="H144" ca="1">INDEX(rua_cod!$A:$A,Users!V144) &amp; "-" &amp; TEXT(RANDBETWEEN(0,999),"000")</f>
        <v>2009-029</v>
      </c>
      <c r="I144" t="str" cm="1">
        <f t="array" aca="1" ref="I144" ca="1">INDEX(rua_cod!$B:$B,Users!V144)</f>
        <v>Santarém</v>
      </c>
      <c r="J144" t="s">
        <v>3727</v>
      </c>
      <c r="K144" t="s">
        <v>225</v>
      </c>
      <c r="L144" t="s">
        <v>265</v>
      </c>
      <c r="M144" t="str">
        <f t="shared" ca="1" si="21"/>
        <v>51737747</v>
      </c>
      <c r="N144" t="str">
        <f t="shared" ca="1" si="22"/>
        <v>699672178</v>
      </c>
      <c r="O144" t="str">
        <f t="shared" ca="1" si="22"/>
        <v>934686844</v>
      </c>
      <c r="P144" t="str" cm="1">
        <f t="array" aca="1" ref="P144" ca="1">9 &amp; INDEX($AF$3:$AF$6,W144)&amp; TEXT(RANDBETWEEN(0,9999999),"0000000")</f>
        <v>934435642</v>
      </c>
      <c r="Q144" t="str" cm="1">
        <f t="array" aca="1" ref="Q144" ca="1">LOWER(B144) &amp; INDEX($AF$9:$AF$11,X144)</f>
        <v>tiarem2009@outlook.com</v>
      </c>
      <c r="R144" t="str">
        <f t="shared" ca="1" si="23"/>
        <v>tiarem2009.jpg</v>
      </c>
      <c r="T144" s="4"/>
      <c r="V144">
        <f ca="1">RANDBETWEEN(2,COUNTA(rua_cod!A:A))</f>
        <v>95</v>
      </c>
      <c r="W144">
        <f t="shared" ca="1" si="24"/>
        <v>3</v>
      </c>
      <c r="X144">
        <f t="shared" ca="1" si="25"/>
        <v>1</v>
      </c>
      <c r="Y144">
        <f t="shared" ca="1" si="26"/>
        <v>1892</v>
      </c>
      <c r="Z144">
        <f t="shared" ca="1" si="27"/>
        <v>8</v>
      </c>
      <c r="AA144">
        <f t="shared" ca="1" si="28"/>
        <v>12</v>
      </c>
      <c r="AB144">
        <f t="shared" ca="1" si="29"/>
        <v>128</v>
      </c>
    </row>
    <row r="145" spans="1:28" x14ac:dyDescent="0.25">
      <c r="A145">
        <v>144</v>
      </c>
      <c r="B145" t="str" cm="1">
        <f t="array" aca="1" ref="B145" ca="1">replaceChar(LOWER(LEFT(D145,3)&amp;RIGHT(I145,3))&amp;LEFT(H145,4))</f>
        <v>sarres2670</v>
      </c>
      <c r="C145" t="str">
        <f t="shared" ca="1" si="20"/>
        <v>pswsarres2670</v>
      </c>
      <c r="D145" t="str">
        <f ca="1">Nomes!T146</f>
        <v>Sara Lurdes Pires Loureiro</v>
      </c>
      <c r="E145" t="str">
        <f ca="1">Nomes!S146</f>
        <v>Feminino</v>
      </c>
      <c r="F145" s="2">
        <v>26648</v>
      </c>
      <c r="G145" t="str" cm="1">
        <f t="array" aca="1" ref="G145" ca="1">INDEX(rua_cod!$F:$F,RANDBETWEEN(2,COUNTA(rua_cod!F:F)))</f>
        <v>Rua Nova do Almada</v>
      </c>
      <c r="H145" t="str" cm="1">
        <f t="array" aca="1" ref="H145" ca="1">INDEX(rua_cod!$A:$A,Users!V145) &amp; "-" &amp; TEXT(RANDBETWEEN(0,999),"000")</f>
        <v>2670-420</v>
      </c>
      <c r="I145" t="str" cm="1">
        <f t="array" aca="1" ref="I145" ca="1">INDEX(rua_cod!$B:$B,Users!V145)</f>
        <v>Loures</v>
      </c>
      <c r="J145" t="s">
        <v>3727</v>
      </c>
      <c r="K145" t="s">
        <v>225</v>
      </c>
      <c r="L145" t="s">
        <v>265</v>
      </c>
      <c r="M145" t="str">
        <f t="shared" ca="1" si="21"/>
        <v>71216095</v>
      </c>
      <c r="N145" t="str">
        <f t="shared" ca="1" si="22"/>
        <v>705504520</v>
      </c>
      <c r="O145" t="str">
        <f t="shared" ca="1" si="22"/>
        <v>432143161</v>
      </c>
      <c r="P145" t="str" cm="1">
        <f t="array" aca="1" ref="P145" ca="1">9 &amp; INDEX($AF$3:$AF$6,W145)&amp; TEXT(RANDBETWEEN(0,9999999),"0000000")</f>
        <v>935143052</v>
      </c>
      <c r="Q145" t="str" cm="1">
        <f t="array" aca="1" ref="Q145" ca="1">LOWER(B145) &amp; INDEX($AF$9:$AF$11,X145)</f>
        <v>sarres2670@gmail.com</v>
      </c>
      <c r="R145" t="str">
        <f t="shared" ca="1" si="23"/>
        <v>sarres2670.jpg</v>
      </c>
      <c r="T145" s="4"/>
      <c r="V145">
        <f ca="1">RANDBETWEEN(2,COUNTA(rua_cod!A:A))</f>
        <v>83</v>
      </c>
      <c r="W145">
        <f t="shared" ca="1" si="24"/>
        <v>3</v>
      </c>
      <c r="X145">
        <f t="shared" ca="1" si="25"/>
        <v>2</v>
      </c>
      <c r="Y145">
        <f t="shared" ca="1" si="26"/>
        <v>1939</v>
      </c>
      <c r="Z145">
        <f t="shared" ca="1" si="27"/>
        <v>6</v>
      </c>
      <c r="AA145">
        <f t="shared" ca="1" si="28"/>
        <v>11</v>
      </c>
      <c r="AB145">
        <f t="shared" ca="1" si="29"/>
        <v>81</v>
      </c>
    </row>
    <row r="146" spans="1:28" x14ac:dyDescent="0.25">
      <c r="A146">
        <v>145</v>
      </c>
      <c r="B146" t="str" cm="1">
        <f t="array" aca="1" ref="B146" ca="1">replaceChar(LOWER(LEFT(D146,3)&amp;RIGHT(I146,3))&amp;LEFT(H146,4))</f>
        <v>duafra2644</v>
      </c>
      <c r="C146" t="str">
        <f t="shared" ca="1" si="20"/>
        <v>pswduafra2644</v>
      </c>
      <c r="D146" t="str">
        <f ca="1">Nomes!T147</f>
        <v>Duarte André Monteiro Gaspar</v>
      </c>
      <c r="E146" t="str">
        <f ca="1">Nomes!S147</f>
        <v>Masculino</v>
      </c>
      <c r="F146" s="2">
        <v>12366</v>
      </c>
      <c r="G146" t="str" cm="1">
        <f t="array" aca="1" ref="G146" ca="1">INDEX(rua_cod!$F:$F,RANDBETWEEN(2,COUNTA(rua_cod!F:F)))</f>
        <v>Rua do Sol a Santana</v>
      </c>
      <c r="H146" t="str" cm="1">
        <f t="array" aca="1" ref="H146" ca="1">INDEX(rua_cod!$A:$A,Users!V146) &amp; "-" &amp; TEXT(RANDBETWEEN(0,999),"000")</f>
        <v>2644-426</v>
      </c>
      <c r="I146" t="str" cm="1">
        <f t="array" aca="1" ref="I146" ca="1">INDEX(rua_cod!$B:$B,Users!V146)</f>
        <v>Mafra</v>
      </c>
      <c r="J146" t="s">
        <v>3727</v>
      </c>
      <c r="K146" t="s">
        <v>225</v>
      </c>
      <c r="L146" t="s">
        <v>265</v>
      </c>
      <c r="M146" t="str">
        <f t="shared" ca="1" si="21"/>
        <v>97470023</v>
      </c>
      <c r="N146" t="str">
        <f t="shared" ca="1" si="22"/>
        <v>182251640</v>
      </c>
      <c r="O146" t="str">
        <f t="shared" ca="1" si="22"/>
        <v>743252770</v>
      </c>
      <c r="P146" t="str" cm="1">
        <f t="array" aca="1" ref="P146" ca="1">9 &amp; INDEX($AF$3:$AF$6,W146)&amp; TEXT(RANDBETWEEN(0,9999999),"0000000")</f>
        <v>912005202</v>
      </c>
      <c r="Q146" t="str" cm="1">
        <f t="array" aca="1" ref="Q146" ca="1">LOWER(B146) &amp; INDEX($AF$9:$AF$11,X146)</f>
        <v>duafra2644@gmail.com</v>
      </c>
      <c r="R146" t="str">
        <f t="shared" ca="1" si="23"/>
        <v>duafra2644.jpg</v>
      </c>
      <c r="T146" s="4"/>
      <c r="V146">
        <f ca="1">RANDBETWEEN(2,COUNTA(rua_cod!A:A))</f>
        <v>86</v>
      </c>
      <c r="W146">
        <f t="shared" ca="1" si="24"/>
        <v>1</v>
      </c>
      <c r="X146">
        <f t="shared" ca="1" si="25"/>
        <v>2</v>
      </c>
      <c r="Y146">
        <f t="shared" ca="1" si="26"/>
        <v>1945</v>
      </c>
      <c r="Z146">
        <f t="shared" ca="1" si="27"/>
        <v>12</v>
      </c>
      <c r="AA146">
        <f t="shared" ca="1" si="28"/>
        <v>13</v>
      </c>
      <c r="AB146">
        <f t="shared" ca="1" si="29"/>
        <v>75</v>
      </c>
    </row>
    <row r="147" spans="1:28" x14ac:dyDescent="0.25">
      <c r="A147">
        <v>146</v>
      </c>
      <c r="B147" t="str" cm="1">
        <f t="array" aca="1" ref="B147" ca="1">replaceChar(LOWER(LEFT(D147,3)&amp;RIGHT(I147,3))&amp;LEFT(H147,4))</f>
        <v>marboa1050</v>
      </c>
      <c r="C147" t="str">
        <f t="shared" ca="1" si="20"/>
        <v>pswmarboa1050</v>
      </c>
      <c r="D147" t="str">
        <f ca="1">Nomes!T148</f>
        <v>Maria André Monteiro Matos</v>
      </c>
      <c r="E147" t="str">
        <f ca="1">Nomes!S148</f>
        <v>Feminino</v>
      </c>
      <c r="F147" s="2">
        <v>15788</v>
      </c>
      <c r="G147" t="str" cm="1">
        <f t="array" aca="1" ref="G147" ca="1">INDEX(rua_cod!$F:$F,RANDBETWEEN(2,COUNTA(rua_cod!F:F)))</f>
        <v>Calçada do Poço dos Mouros</v>
      </c>
      <c r="H147" t="str" cm="1">
        <f t="array" aca="1" ref="H147" ca="1">INDEX(rua_cod!$A:$A,Users!V147) &amp; "-" &amp; TEXT(RANDBETWEEN(0,999),"000")</f>
        <v>1050-906</v>
      </c>
      <c r="I147" t="str" cm="1">
        <f t="array" aca="1" ref="I147" ca="1">INDEX(rua_cod!$B:$B,Users!V147)</f>
        <v>Lisboa</v>
      </c>
      <c r="J147" t="s">
        <v>3727</v>
      </c>
      <c r="K147" t="s">
        <v>225</v>
      </c>
      <c r="L147" t="s">
        <v>265</v>
      </c>
      <c r="M147" t="str">
        <f t="shared" ca="1" si="21"/>
        <v>49181738</v>
      </c>
      <c r="N147" t="str">
        <f t="shared" ca="1" si="22"/>
        <v>356639761</v>
      </c>
      <c r="O147" t="str">
        <f t="shared" ca="1" si="22"/>
        <v>356917004</v>
      </c>
      <c r="P147" t="str" cm="1">
        <f t="array" aca="1" ref="P147" ca="1">9 &amp; INDEX($AF$3:$AF$6,W147)&amp; TEXT(RANDBETWEEN(0,9999999),"0000000")</f>
        <v>964051392</v>
      </c>
      <c r="Q147" t="str" cm="1">
        <f t="array" aca="1" ref="Q147" ca="1">LOWER(B147) &amp; INDEX($AF$9:$AF$11,X147)</f>
        <v>marboa1050@sapo.pt</v>
      </c>
      <c r="R147" t="str">
        <f t="shared" ca="1" si="23"/>
        <v>marboa1050.jpg</v>
      </c>
      <c r="T147" s="4"/>
      <c r="V147">
        <f ca="1">RANDBETWEEN(2,COUNTA(rua_cod!A:A))</f>
        <v>66</v>
      </c>
      <c r="W147">
        <f t="shared" ca="1" si="24"/>
        <v>4</v>
      </c>
      <c r="X147">
        <f t="shared" ca="1" si="25"/>
        <v>3</v>
      </c>
      <c r="Y147">
        <f t="shared" ca="1" si="26"/>
        <v>2000</v>
      </c>
      <c r="Z147">
        <f t="shared" ca="1" si="27"/>
        <v>6</v>
      </c>
      <c r="AA147">
        <f t="shared" ca="1" si="28"/>
        <v>14</v>
      </c>
      <c r="AB147">
        <f t="shared" ca="1" si="29"/>
        <v>20</v>
      </c>
    </row>
    <row r="148" spans="1:28" x14ac:dyDescent="0.25">
      <c r="A148">
        <v>147</v>
      </c>
      <c r="B148" t="str" cm="1">
        <f t="array" aca="1" ref="B148" ca="1">replaceChar(LOWER(LEFT(D148,3)&amp;RIGHT(I148,3))&amp;LEFT(H148,4))</f>
        <v>luiboa1769</v>
      </c>
      <c r="C148" t="str">
        <f t="shared" ca="1" si="20"/>
        <v>pswluiboa1769</v>
      </c>
      <c r="D148" t="str">
        <f ca="1">Nomes!T149</f>
        <v>Luís Rodrigo Barros Neto</v>
      </c>
      <c r="E148" t="str">
        <f ca="1">Nomes!S149</f>
        <v>Masculino</v>
      </c>
      <c r="F148" s="2">
        <v>37028</v>
      </c>
      <c r="G148" t="str" cm="1">
        <f t="array" aca="1" ref="G148" ca="1">INDEX(rua_cod!$F:$F,RANDBETWEEN(2,COUNTA(rua_cod!F:F)))</f>
        <v>Rua Cidade de Bolama</v>
      </c>
      <c r="H148" t="str" cm="1">
        <f t="array" aca="1" ref="H148" ca="1">INDEX(rua_cod!$A:$A,Users!V148) &amp; "-" &amp; TEXT(RANDBETWEEN(0,999),"000")</f>
        <v>1769-091</v>
      </c>
      <c r="I148" t="str" cm="1">
        <f t="array" aca="1" ref="I148" ca="1">INDEX(rua_cod!$B:$B,Users!V148)</f>
        <v>Lisboa</v>
      </c>
      <c r="J148" t="s">
        <v>3727</v>
      </c>
      <c r="K148" t="s">
        <v>225</v>
      </c>
      <c r="L148" t="s">
        <v>265</v>
      </c>
      <c r="M148" t="str">
        <f t="shared" ca="1" si="21"/>
        <v>21943603</v>
      </c>
      <c r="N148" t="str">
        <f t="shared" ca="1" si="22"/>
        <v>318437143</v>
      </c>
      <c r="O148" t="str">
        <f t="shared" ca="1" si="22"/>
        <v>673453685</v>
      </c>
      <c r="P148" t="str" cm="1">
        <f t="array" aca="1" ref="P148" ca="1">9 &amp; INDEX($AF$3:$AF$6,W148)&amp; TEXT(RANDBETWEEN(0,9999999),"0000000")</f>
        <v>930038419</v>
      </c>
      <c r="Q148" t="str" cm="1">
        <f t="array" aca="1" ref="Q148" ca="1">LOWER(B148) &amp; INDEX($AF$9:$AF$11,X148)</f>
        <v>luiboa1769@gmail.com</v>
      </c>
      <c r="R148" t="str">
        <f t="shared" ca="1" si="23"/>
        <v>luiboa1769.jpg</v>
      </c>
      <c r="T148" s="4"/>
      <c r="V148">
        <f ca="1">RANDBETWEEN(2,COUNTA(rua_cod!A:A))</f>
        <v>74</v>
      </c>
      <c r="W148">
        <f t="shared" ca="1" si="24"/>
        <v>3</v>
      </c>
      <c r="X148">
        <f t="shared" ca="1" si="25"/>
        <v>2</v>
      </c>
      <c r="Y148">
        <f t="shared" ca="1" si="26"/>
        <v>1958</v>
      </c>
      <c r="Z148">
        <f t="shared" ca="1" si="27"/>
        <v>4</v>
      </c>
      <c r="AA148">
        <f t="shared" ca="1" si="28"/>
        <v>21</v>
      </c>
      <c r="AB148">
        <f t="shared" ca="1" si="29"/>
        <v>62</v>
      </c>
    </row>
    <row r="149" spans="1:28" x14ac:dyDescent="0.25">
      <c r="A149">
        <v>148</v>
      </c>
      <c r="B149" t="str" cm="1">
        <f t="array" aca="1" ref="B149" ca="1">replaceChar(LOWER(LEFT(D149,3)&amp;RIGHT(I149,3))&amp;LEFT(H149,4))</f>
        <v>diaboa1349</v>
      </c>
      <c r="C149" t="str">
        <f t="shared" ca="1" si="20"/>
        <v>pswdiaboa1349</v>
      </c>
      <c r="D149" t="str">
        <f ca="1">Nomes!T150</f>
        <v>Diana Tomás Campos Teixeira</v>
      </c>
      <c r="E149" t="str">
        <f ca="1">Nomes!S150</f>
        <v>Feminino</v>
      </c>
      <c r="F149" s="2">
        <v>36735</v>
      </c>
      <c r="G149" t="str" cm="1">
        <f t="array" aca="1" ref="G149" ca="1">INDEX(rua_cod!$F:$F,RANDBETWEEN(2,COUNTA(rua_cod!F:F)))</f>
        <v>Rua da Alfândega</v>
      </c>
      <c r="H149" t="str" cm="1">
        <f t="array" aca="1" ref="H149" ca="1">INDEX(rua_cod!$A:$A,Users!V149) &amp; "-" &amp; TEXT(RANDBETWEEN(0,999),"000")</f>
        <v>1349-943</v>
      </c>
      <c r="I149" t="str" cm="1">
        <f t="array" aca="1" ref="I149" ca="1">INDEX(rua_cod!$B:$B,Users!V149)</f>
        <v>Lisboa</v>
      </c>
      <c r="J149" t="s">
        <v>3727</v>
      </c>
      <c r="K149" t="s">
        <v>225</v>
      </c>
      <c r="L149" t="s">
        <v>265</v>
      </c>
      <c r="M149" t="str">
        <f t="shared" ca="1" si="21"/>
        <v>70816146</v>
      </c>
      <c r="N149" t="str">
        <f t="shared" ca="1" si="22"/>
        <v>435116090</v>
      </c>
      <c r="O149" t="str">
        <f t="shared" ca="1" si="22"/>
        <v>664157360</v>
      </c>
      <c r="P149" t="str" cm="1">
        <f t="array" aca="1" ref="P149" ca="1">9 &amp; INDEX($AF$3:$AF$6,W149)&amp; TEXT(RANDBETWEEN(0,9999999),"0000000")</f>
        <v>917002494</v>
      </c>
      <c r="Q149" t="str" cm="1">
        <f t="array" aca="1" ref="Q149" ca="1">LOWER(B149) &amp; INDEX($AF$9:$AF$11,X149)</f>
        <v>diaboa1349@gmail.com</v>
      </c>
      <c r="R149" t="str">
        <f t="shared" ca="1" si="23"/>
        <v>diaboa1349.jpg</v>
      </c>
      <c r="T149" s="4"/>
      <c r="V149">
        <f ca="1">RANDBETWEEN(2,COUNTA(rua_cod!A:A))</f>
        <v>71</v>
      </c>
      <c r="W149">
        <f t="shared" ca="1" si="24"/>
        <v>1</v>
      </c>
      <c r="X149">
        <f t="shared" ca="1" si="25"/>
        <v>2</v>
      </c>
      <c r="Y149">
        <f t="shared" ca="1" si="26"/>
        <v>1969</v>
      </c>
      <c r="Z149">
        <f t="shared" ca="1" si="27"/>
        <v>4</v>
      </c>
      <c r="AA149">
        <f t="shared" ca="1" si="28"/>
        <v>2</v>
      </c>
      <c r="AB149">
        <f t="shared" ca="1" si="29"/>
        <v>51</v>
      </c>
    </row>
    <row r="150" spans="1:28" x14ac:dyDescent="0.25">
      <c r="A150">
        <v>149</v>
      </c>
      <c r="B150" t="str" cm="1">
        <f t="array" aca="1" ref="B150" ca="1">replaceChar(LOWER(LEFT(D150,3)&amp;RIGHT(I150,3))&amp;LEFT(H150,4))</f>
        <v>verria2414</v>
      </c>
      <c r="C150" t="str">
        <f t="shared" ca="1" si="20"/>
        <v>pswverria2414</v>
      </c>
      <c r="D150" t="str">
        <f ca="1">Nomes!T151</f>
        <v>Vera Lurdes Fernandes Almeida</v>
      </c>
      <c r="E150" t="str">
        <f ca="1">Nomes!S151</f>
        <v>Feminino</v>
      </c>
      <c r="F150" s="2">
        <v>29002</v>
      </c>
      <c r="G150" t="str" cm="1">
        <f t="array" aca="1" ref="G150" ca="1">INDEX(rua_cod!$F:$F,RANDBETWEEN(2,COUNTA(rua_cod!F:F)))</f>
        <v>Rua do Arsenal</v>
      </c>
      <c r="H150" t="str" cm="1">
        <f t="array" aca="1" ref="H150" ca="1">INDEX(rua_cod!$A:$A,Users!V150) &amp; "-" &amp; TEXT(RANDBETWEEN(0,999),"000")</f>
        <v>2414-050</v>
      </c>
      <c r="I150" t="str" cm="1">
        <f t="array" aca="1" ref="I150" ca="1">INDEX(rua_cod!$B:$B,Users!V150)</f>
        <v>Leiria</v>
      </c>
      <c r="J150" t="s">
        <v>3727</v>
      </c>
      <c r="K150" t="s">
        <v>225</v>
      </c>
      <c r="L150" t="s">
        <v>265</v>
      </c>
      <c r="M150" t="str">
        <f t="shared" ca="1" si="21"/>
        <v>74999354</v>
      </c>
      <c r="N150" t="str">
        <f t="shared" ca="1" si="22"/>
        <v>472088261</v>
      </c>
      <c r="O150" t="str">
        <f t="shared" ca="1" si="22"/>
        <v>315771293</v>
      </c>
      <c r="P150" t="str" cm="1">
        <f t="array" aca="1" ref="P150" ca="1">9 &amp; INDEX($AF$3:$AF$6,W150)&amp; TEXT(RANDBETWEEN(0,9999999),"0000000")</f>
        <v>933856598</v>
      </c>
      <c r="Q150" t="str" cm="1">
        <f t="array" aca="1" ref="Q150" ca="1">LOWER(B150) &amp; INDEX($AF$9:$AF$11,X150)</f>
        <v>verria2414@gmail.com</v>
      </c>
      <c r="R150" t="str">
        <f t="shared" ca="1" si="23"/>
        <v>verria2414.jpg</v>
      </c>
      <c r="T150" s="4"/>
      <c r="V150">
        <f ca="1">RANDBETWEEN(2,COUNTA(rua_cod!A:A))</f>
        <v>36</v>
      </c>
      <c r="W150">
        <f t="shared" ca="1" si="24"/>
        <v>3</v>
      </c>
      <c r="X150">
        <f t="shared" ca="1" si="25"/>
        <v>2</v>
      </c>
      <c r="Y150">
        <f t="shared" ca="1" si="26"/>
        <v>1999</v>
      </c>
      <c r="Z150">
        <f t="shared" ca="1" si="27"/>
        <v>12</v>
      </c>
      <c r="AA150">
        <f t="shared" ca="1" si="28"/>
        <v>22</v>
      </c>
      <c r="AB150">
        <f t="shared" ca="1" si="29"/>
        <v>21</v>
      </c>
    </row>
    <row r="151" spans="1:28" x14ac:dyDescent="0.25">
      <c r="A151">
        <v>150</v>
      </c>
      <c r="B151" t="str" cm="1">
        <f t="array" aca="1" ref="B151" ca="1">replaceChar(LOWER(LEFT(D151,3)&amp;RIGHT(I151,3))&amp;LEFT(H151,4))</f>
        <v>lauora2654</v>
      </c>
      <c r="C151" t="str">
        <f t="shared" ca="1" si="20"/>
        <v>pswlauora2654</v>
      </c>
      <c r="D151" t="str">
        <f ca="1">Nomes!T152</f>
        <v>Laura Vera Macedo Andrade</v>
      </c>
      <c r="E151" t="str">
        <f ca="1">Nomes!S152</f>
        <v>Feminino</v>
      </c>
      <c r="F151" s="2">
        <v>41285</v>
      </c>
      <c r="G151" t="str" cm="1">
        <f t="array" aca="1" ref="G151" ca="1">INDEX(rua_cod!$F:$F,RANDBETWEEN(2,COUNTA(rua_cod!F:F)))</f>
        <v>Rua da Prata</v>
      </c>
      <c r="H151" t="str" cm="1">
        <f t="array" aca="1" ref="H151" ca="1">INDEX(rua_cod!$A:$A,Users!V151) &amp; "-" &amp; TEXT(RANDBETWEEN(0,999),"000")</f>
        <v>2654-210</v>
      </c>
      <c r="I151" t="str" cm="1">
        <f t="array" aca="1" ref="I151" ca="1">INDEX(rua_cod!$B:$B,Users!V151)</f>
        <v>Amadora</v>
      </c>
      <c r="J151" t="s">
        <v>3727</v>
      </c>
      <c r="K151" t="s">
        <v>225</v>
      </c>
      <c r="L151" t="s">
        <v>265</v>
      </c>
      <c r="M151" t="str">
        <f t="shared" ca="1" si="21"/>
        <v>30123050</v>
      </c>
      <c r="N151" t="str">
        <f t="shared" ca="1" si="22"/>
        <v>219702271</v>
      </c>
      <c r="O151" t="str">
        <f t="shared" ca="1" si="22"/>
        <v>371137712</v>
      </c>
      <c r="P151" t="str" cm="1">
        <f t="array" aca="1" ref="P151" ca="1">9 &amp; INDEX($AF$3:$AF$6,W151)&amp; TEXT(RANDBETWEEN(0,9999999),"0000000")</f>
        <v>963524126</v>
      </c>
      <c r="Q151" t="str" cm="1">
        <f t="array" aca="1" ref="Q151" ca="1">LOWER(B151) &amp; INDEX($AF$9:$AF$11,X151)</f>
        <v>lauora2654@gmail.com</v>
      </c>
      <c r="R151" t="str">
        <f t="shared" ca="1" si="23"/>
        <v>lauora2654.jpg</v>
      </c>
      <c r="T151" s="4"/>
      <c r="V151">
        <f ca="1">RANDBETWEEN(2,COUNTA(rua_cod!A:A))</f>
        <v>14</v>
      </c>
      <c r="W151">
        <f t="shared" ca="1" si="24"/>
        <v>4</v>
      </c>
      <c r="X151">
        <f t="shared" ca="1" si="25"/>
        <v>2</v>
      </c>
      <c r="Y151">
        <f t="shared" ca="1" si="26"/>
        <v>2020</v>
      </c>
      <c r="Z151">
        <f t="shared" ca="1" si="27"/>
        <v>1</v>
      </c>
      <c r="AA151">
        <f t="shared" ca="1" si="28"/>
        <v>1</v>
      </c>
      <c r="AB151">
        <f t="shared" ca="1" si="29"/>
        <v>0</v>
      </c>
    </row>
    <row r="152" spans="1:28" x14ac:dyDescent="0.25">
      <c r="A152">
        <v>151</v>
      </c>
      <c r="B152" t="str" cm="1">
        <f t="array" aca="1" ref="B152" ca="1">replaceChar(LOWER(LEFT(D152,3)&amp;RIGHT(I152,3))&amp;LEFT(H152,4))</f>
        <v>andora2700</v>
      </c>
      <c r="C152" t="str">
        <f t="shared" ca="1" si="20"/>
        <v>pswandora2700</v>
      </c>
      <c r="D152" t="str">
        <f ca="1">Nomes!T153</f>
        <v>André Ricardo Ramos Barbosa</v>
      </c>
      <c r="E152" t="str">
        <f ca="1">Nomes!S153</f>
        <v>Masculino</v>
      </c>
      <c r="F152" s="2">
        <v>27590</v>
      </c>
      <c r="G152" t="str" cm="1">
        <f t="array" aca="1" ref="G152" ca="1">INDEX(rua_cod!$F:$F,RANDBETWEEN(2,COUNTA(rua_cod!F:F)))</f>
        <v>Calçada Marquês de Abrantes</v>
      </c>
      <c r="H152" t="str" cm="1">
        <f t="array" aca="1" ref="H152" ca="1">INDEX(rua_cod!$A:$A,Users!V152) &amp; "-" &amp; TEXT(RANDBETWEEN(0,999),"000")</f>
        <v>2700-238</v>
      </c>
      <c r="I152" t="str" cm="1">
        <f t="array" aca="1" ref="I152" ca="1">INDEX(rua_cod!$B:$B,Users!V152)</f>
        <v>Amadora</v>
      </c>
      <c r="J152" t="s">
        <v>3727</v>
      </c>
      <c r="K152" t="s">
        <v>225</v>
      </c>
      <c r="L152" t="s">
        <v>265</v>
      </c>
      <c r="M152" t="str">
        <f t="shared" ca="1" si="21"/>
        <v>25663942</v>
      </c>
      <c r="N152" t="str">
        <f t="shared" ca="1" si="22"/>
        <v>104165384</v>
      </c>
      <c r="O152" t="str">
        <f t="shared" ca="1" si="22"/>
        <v>152529001</v>
      </c>
      <c r="P152" t="str" cm="1">
        <f t="array" aca="1" ref="P152" ca="1">9 &amp; INDEX($AF$3:$AF$6,W152)&amp; TEXT(RANDBETWEEN(0,9999999),"0000000")</f>
        <v>931717205</v>
      </c>
      <c r="Q152" t="str" cm="1">
        <f t="array" aca="1" ref="Q152" ca="1">LOWER(B152) &amp; INDEX($AF$9:$AF$11,X152)</f>
        <v>andora2700@sapo.pt</v>
      </c>
      <c r="R152" t="str">
        <f t="shared" ca="1" si="23"/>
        <v>andora2700.jpg</v>
      </c>
      <c r="T152" s="4"/>
      <c r="V152">
        <f ca="1">RANDBETWEEN(2,COUNTA(rua_cod!A:A))</f>
        <v>10</v>
      </c>
      <c r="W152">
        <f t="shared" ca="1" si="24"/>
        <v>3</v>
      </c>
      <c r="X152">
        <f t="shared" ca="1" si="25"/>
        <v>3</v>
      </c>
      <c r="Y152">
        <f t="shared" ca="1" si="26"/>
        <v>2006</v>
      </c>
      <c r="Z152">
        <f t="shared" ca="1" si="27"/>
        <v>3</v>
      </c>
      <c r="AA152">
        <f t="shared" ca="1" si="28"/>
        <v>23</v>
      </c>
      <c r="AB152">
        <f t="shared" ca="1" si="29"/>
        <v>14</v>
      </c>
    </row>
    <row r="153" spans="1:28" x14ac:dyDescent="0.25">
      <c r="A153">
        <v>152</v>
      </c>
      <c r="B153" t="str" cm="1">
        <f t="array" aca="1" ref="B153" ca="1">replaceChar(LOWER(LEFT(D153,3)&amp;RIGHT(I153,3))&amp;LEFT(H153,4))</f>
        <v>sarboa1950</v>
      </c>
      <c r="C153" t="str">
        <f t="shared" ca="1" si="20"/>
        <v>pswsarboa1950</v>
      </c>
      <c r="D153" t="str">
        <f ca="1">Nomes!T154</f>
        <v>Sara João Moura Miranda</v>
      </c>
      <c r="E153" t="str">
        <f ca="1">Nomes!S154</f>
        <v>Feminino</v>
      </c>
      <c r="F153" s="2">
        <v>30972</v>
      </c>
      <c r="G153" t="str" cm="1">
        <f t="array" aca="1" ref="G153" ca="1">INDEX(rua_cod!$F:$F,RANDBETWEEN(2,COUNTA(rua_cod!F:F)))</f>
        <v>Rua do Comércio</v>
      </c>
      <c r="H153" t="str" cm="1">
        <f t="array" aca="1" ref="H153" ca="1">INDEX(rua_cod!$A:$A,Users!V153) &amp; "-" &amp; TEXT(RANDBETWEEN(0,999),"000")</f>
        <v>1950-516</v>
      </c>
      <c r="I153" t="str" cm="1">
        <f t="array" aca="1" ref="I153" ca="1">INDEX(rua_cod!$B:$B,Users!V153)</f>
        <v>Lisboa</v>
      </c>
      <c r="J153" t="s">
        <v>3727</v>
      </c>
      <c r="K153" t="s">
        <v>225</v>
      </c>
      <c r="L153" t="s">
        <v>265</v>
      </c>
      <c r="M153" t="str">
        <f t="shared" ca="1" si="21"/>
        <v>52284352</v>
      </c>
      <c r="N153" t="str">
        <f t="shared" ca="1" si="22"/>
        <v>989341146</v>
      </c>
      <c r="O153" t="str">
        <f t="shared" ca="1" si="22"/>
        <v>939924018</v>
      </c>
      <c r="P153" t="str" cm="1">
        <f t="array" aca="1" ref="P153" ca="1">9 &amp; INDEX($AF$3:$AF$6,W153)&amp; TEXT(RANDBETWEEN(0,9999999),"0000000")</f>
        <v>961910501</v>
      </c>
      <c r="Q153" t="str" cm="1">
        <f t="array" aca="1" ref="Q153" ca="1">LOWER(B153) &amp; INDEX($AF$9:$AF$11,X153)</f>
        <v>sarboa1950@outlook.com</v>
      </c>
      <c r="R153" t="str">
        <f t="shared" ca="1" si="23"/>
        <v>sarboa1950.jpg</v>
      </c>
      <c r="T153" s="4"/>
      <c r="V153">
        <f ca="1">RANDBETWEEN(2,COUNTA(rua_cod!A:A))</f>
        <v>41</v>
      </c>
      <c r="W153">
        <f t="shared" ca="1" si="24"/>
        <v>4</v>
      </c>
      <c r="X153">
        <f t="shared" ca="1" si="25"/>
        <v>1</v>
      </c>
      <c r="Y153">
        <f t="shared" ca="1" si="26"/>
        <v>1978</v>
      </c>
      <c r="Z153">
        <f t="shared" ca="1" si="27"/>
        <v>6</v>
      </c>
      <c r="AA153">
        <f t="shared" ca="1" si="28"/>
        <v>6</v>
      </c>
      <c r="AB153">
        <f t="shared" ca="1" si="29"/>
        <v>42</v>
      </c>
    </row>
    <row r="154" spans="1:28" x14ac:dyDescent="0.25">
      <c r="A154">
        <v>153</v>
      </c>
      <c r="B154" t="str" cm="1">
        <f t="array" aca="1" ref="B154" ca="1">replaceChar(LOWER(LEFT(D154,3)&amp;RIGHT(I154,3))&amp;LEFT(H154,4))</f>
        <v>marboa1449</v>
      </c>
      <c r="C154" t="str">
        <f t="shared" ca="1" si="20"/>
        <v>pswmarboa1449</v>
      </c>
      <c r="D154" t="str">
        <f ca="1">Nomes!T155</f>
        <v>Maria Francisco Mendes Araújo</v>
      </c>
      <c r="E154" t="str">
        <f ca="1">Nomes!S155</f>
        <v>Feminino</v>
      </c>
      <c r="F154" s="2">
        <v>9540</v>
      </c>
      <c r="G154" t="str" cm="1">
        <f t="array" aca="1" ref="G154" ca="1">INDEX(rua_cod!$F:$F,RANDBETWEEN(2,COUNTA(rua_cod!F:F)))</f>
        <v>Rua do Carmo</v>
      </c>
      <c r="H154" t="str" cm="1">
        <f t="array" aca="1" ref="H154" ca="1">INDEX(rua_cod!$A:$A,Users!V154) &amp; "-" &amp; TEXT(RANDBETWEEN(0,999),"000")</f>
        <v>1449-990</v>
      </c>
      <c r="I154" t="str" cm="1">
        <f t="array" aca="1" ref="I154" ca="1">INDEX(rua_cod!$B:$B,Users!V154)</f>
        <v>Lisboa</v>
      </c>
      <c r="J154" t="s">
        <v>3727</v>
      </c>
      <c r="K154" t="s">
        <v>225</v>
      </c>
      <c r="L154" t="s">
        <v>265</v>
      </c>
      <c r="M154" t="str">
        <f t="shared" ca="1" si="21"/>
        <v>91074793</v>
      </c>
      <c r="N154" t="str">
        <f t="shared" ca="1" si="22"/>
        <v>646645587</v>
      </c>
      <c r="O154" t="str">
        <f t="shared" ca="1" si="22"/>
        <v>568971753</v>
      </c>
      <c r="P154" t="str" cm="1">
        <f t="array" aca="1" ref="P154" ca="1">9 &amp; INDEX($AF$3:$AF$6,W154)&amp; TEXT(RANDBETWEEN(0,9999999),"0000000")</f>
        <v>922647582</v>
      </c>
      <c r="Q154" t="str" cm="1">
        <f t="array" aca="1" ref="Q154" ca="1">LOWER(B154) &amp; INDEX($AF$9:$AF$11,X154)</f>
        <v>marboa1449@gmail.com</v>
      </c>
      <c r="R154" t="str">
        <f t="shared" ca="1" si="23"/>
        <v>marboa1449.jpg</v>
      </c>
      <c r="T154" s="4"/>
      <c r="V154">
        <f ca="1">RANDBETWEEN(2,COUNTA(rua_cod!A:A))</f>
        <v>73</v>
      </c>
      <c r="W154">
        <f t="shared" ca="1" si="24"/>
        <v>2</v>
      </c>
      <c r="X154">
        <f t="shared" ca="1" si="25"/>
        <v>2</v>
      </c>
      <c r="Y154">
        <f t="shared" ca="1" si="26"/>
        <v>1968</v>
      </c>
      <c r="Z154">
        <f t="shared" ca="1" si="27"/>
        <v>10</v>
      </c>
      <c r="AA154">
        <f t="shared" ca="1" si="28"/>
        <v>4</v>
      </c>
      <c r="AB154">
        <f t="shared" ca="1" si="29"/>
        <v>52</v>
      </c>
    </row>
    <row r="155" spans="1:28" x14ac:dyDescent="0.25">
      <c r="A155">
        <v>154</v>
      </c>
      <c r="B155" t="str" cm="1">
        <f t="array" aca="1" ref="B155" ca="1">replaceChar(LOWER(LEFT(D155,3)&amp;RIGHT(I155,3))&amp;LEFT(H155,4))</f>
        <v>matboa1900</v>
      </c>
      <c r="C155" t="str">
        <f t="shared" ca="1" si="20"/>
        <v>pswmatboa1900</v>
      </c>
      <c r="D155" t="str">
        <f ca="1">Nomes!T156</f>
        <v>Matilde José Araújo Leite</v>
      </c>
      <c r="E155" t="str">
        <f ca="1">Nomes!S156</f>
        <v>Feminino</v>
      </c>
      <c r="F155" s="2">
        <v>9785</v>
      </c>
      <c r="G155" t="str" cm="1">
        <f t="array" aca="1" ref="G155" ca="1">INDEX(rua_cod!$F:$F,RANDBETWEEN(2,COUNTA(rua_cod!F:F)))</f>
        <v>Rua General Morais Sarmento</v>
      </c>
      <c r="H155" t="str" cm="1">
        <f t="array" aca="1" ref="H155" ca="1">INDEX(rua_cod!$A:$A,Users!V155) &amp; "-" &amp; TEXT(RANDBETWEEN(0,999),"000")</f>
        <v>1900-552</v>
      </c>
      <c r="I155" t="str" cm="1">
        <f t="array" aca="1" ref="I155" ca="1">INDEX(rua_cod!$B:$B,Users!V155)</f>
        <v>Lisboa</v>
      </c>
      <c r="J155" t="s">
        <v>3727</v>
      </c>
      <c r="K155" t="s">
        <v>225</v>
      </c>
      <c r="L155" t="s">
        <v>265</v>
      </c>
      <c r="M155" t="str">
        <f t="shared" ca="1" si="21"/>
        <v>25682742</v>
      </c>
      <c r="N155" t="str">
        <f t="shared" ca="1" si="22"/>
        <v>297462680</v>
      </c>
      <c r="O155" t="str">
        <f t="shared" ca="1" si="22"/>
        <v>125888246</v>
      </c>
      <c r="P155" t="str" cm="1">
        <f t="array" aca="1" ref="P155" ca="1">9 &amp; INDEX($AF$3:$AF$6,W155)&amp; TEXT(RANDBETWEEN(0,9999999),"0000000")</f>
        <v>963681574</v>
      </c>
      <c r="Q155" t="str" cm="1">
        <f t="array" aca="1" ref="Q155" ca="1">LOWER(B155) &amp; INDEX($AF$9:$AF$11,X155)</f>
        <v>matboa1900@gmail.com</v>
      </c>
      <c r="R155" t="str">
        <f t="shared" ca="1" si="23"/>
        <v>matboa1900.jpg</v>
      </c>
      <c r="T155" s="4"/>
      <c r="V155">
        <f ca="1">RANDBETWEEN(2,COUNTA(rua_cod!A:A))</f>
        <v>42</v>
      </c>
      <c r="W155">
        <f t="shared" ca="1" si="24"/>
        <v>4</v>
      </c>
      <c r="X155">
        <f t="shared" ca="1" si="25"/>
        <v>2</v>
      </c>
      <c r="Y155">
        <f t="shared" ca="1" si="26"/>
        <v>1987</v>
      </c>
      <c r="Z155">
        <f t="shared" ca="1" si="27"/>
        <v>7</v>
      </c>
      <c r="AA155">
        <f t="shared" ca="1" si="28"/>
        <v>20</v>
      </c>
      <c r="AB155">
        <f t="shared" ca="1" si="29"/>
        <v>33</v>
      </c>
    </row>
    <row r="156" spans="1:28" x14ac:dyDescent="0.25">
      <c r="A156">
        <v>155</v>
      </c>
      <c r="B156" t="str" cm="1">
        <f t="array" aca="1" ref="B156" ca="1">replaceChar(LOWER(LEFT(D156,3)&amp;RIGHT(I156,3))&amp;LEFT(H156,4))</f>
        <v>lurnto2330</v>
      </c>
      <c r="C156" t="str">
        <f t="shared" ca="1" si="20"/>
        <v>pswlurnto2330</v>
      </c>
      <c r="D156" t="str">
        <f ca="1">Nomes!T157</f>
        <v>Lurdes Inês Fernandes Araújo</v>
      </c>
      <c r="E156" t="str">
        <f ca="1">Nomes!S157</f>
        <v>Feminino</v>
      </c>
      <c r="F156" s="2">
        <v>26847</v>
      </c>
      <c r="G156" t="str" cm="1">
        <f t="array" aca="1" ref="G156" ca="1">INDEX(rua_cod!$F:$F,RANDBETWEEN(2,COUNTA(rua_cod!F:F)))</f>
        <v>Calçada de Carriche</v>
      </c>
      <c r="H156" t="str" cm="1">
        <f t="array" aca="1" ref="H156" ca="1">INDEX(rua_cod!$A:$A,Users!V156) &amp; "-" &amp; TEXT(RANDBETWEEN(0,999),"000")</f>
        <v>2330-456</v>
      </c>
      <c r="I156" t="str" cm="1">
        <f t="array" aca="1" ref="I156" ca="1">INDEX(rua_cod!$B:$B,Users!V156)</f>
        <v>Entroncamento</v>
      </c>
      <c r="J156" t="s">
        <v>3727</v>
      </c>
      <c r="K156" t="s">
        <v>225</v>
      </c>
      <c r="L156" t="s">
        <v>265</v>
      </c>
      <c r="M156" t="str">
        <f t="shared" ca="1" si="21"/>
        <v>74339436</v>
      </c>
      <c r="N156" t="str">
        <f t="shared" ca="1" si="22"/>
        <v>186946827</v>
      </c>
      <c r="O156" t="str">
        <f t="shared" ca="1" si="22"/>
        <v>790661857</v>
      </c>
      <c r="P156" t="str" cm="1">
        <f t="array" aca="1" ref="P156" ca="1">9 &amp; INDEX($AF$3:$AF$6,W156)&amp; TEXT(RANDBETWEEN(0,9999999),"0000000")</f>
        <v>966650424</v>
      </c>
      <c r="Q156" t="str" cm="1">
        <f t="array" aca="1" ref="Q156" ca="1">LOWER(B156) &amp; INDEX($AF$9:$AF$11,X156)</f>
        <v>lurnto2330@gmail.com</v>
      </c>
      <c r="R156" t="str">
        <f t="shared" ca="1" si="23"/>
        <v>lurnto2330.jpg</v>
      </c>
      <c r="T156" s="4"/>
      <c r="V156">
        <f ca="1">RANDBETWEEN(2,COUNTA(rua_cod!A:A))</f>
        <v>29</v>
      </c>
      <c r="W156">
        <f t="shared" ca="1" si="24"/>
        <v>4</v>
      </c>
      <c r="X156">
        <f t="shared" ca="1" si="25"/>
        <v>2</v>
      </c>
      <c r="Y156">
        <f t="shared" ca="1" si="26"/>
        <v>1939</v>
      </c>
      <c r="Z156">
        <f t="shared" ca="1" si="27"/>
        <v>7</v>
      </c>
      <c r="AA156">
        <f t="shared" ca="1" si="28"/>
        <v>5</v>
      </c>
      <c r="AB156">
        <f t="shared" ca="1" si="29"/>
        <v>81</v>
      </c>
    </row>
    <row r="157" spans="1:28" x14ac:dyDescent="0.25">
      <c r="A157">
        <v>156</v>
      </c>
      <c r="B157" t="str" cm="1">
        <f t="array" aca="1" ref="B157" ca="1">replaceChar(LOWER(LEFT(D157,3)&amp;RIGHT(I157,3))&amp;LEFT(H157,4))</f>
        <v>carboa1199</v>
      </c>
      <c r="C157" t="str">
        <f t="shared" ca="1" si="20"/>
        <v>pswcarboa1199</v>
      </c>
      <c r="D157" t="str">
        <f ca="1">Nomes!T158</f>
        <v>Carolina Catarina Freitas Matias</v>
      </c>
      <c r="E157" t="str">
        <f ca="1">Nomes!S158</f>
        <v>Feminino</v>
      </c>
      <c r="F157" s="2">
        <v>44029</v>
      </c>
      <c r="G157" t="str" cm="1">
        <f t="array" aca="1" ref="G157" ca="1">INDEX(rua_cod!$F:$F,RANDBETWEEN(2,COUNTA(rua_cod!F:F)))</f>
        <v>Rua do Carmo</v>
      </c>
      <c r="H157" t="str" cm="1">
        <f t="array" aca="1" ref="H157" ca="1">INDEX(rua_cod!$A:$A,Users!V157) &amp; "-" &amp; TEXT(RANDBETWEEN(0,999),"000")</f>
        <v>1199-118</v>
      </c>
      <c r="I157" t="str" cm="1">
        <f t="array" aca="1" ref="I157" ca="1">INDEX(rua_cod!$B:$B,Users!V157)</f>
        <v>Lisboa</v>
      </c>
      <c r="J157" t="s">
        <v>3727</v>
      </c>
      <c r="K157" t="s">
        <v>225</v>
      </c>
      <c r="L157" t="s">
        <v>265</v>
      </c>
      <c r="M157" t="str">
        <f t="shared" ca="1" si="21"/>
        <v>27546478</v>
      </c>
      <c r="N157" t="str">
        <f t="shared" ca="1" si="22"/>
        <v>661361645</v>
      </c>
      <c r="O157" t="str">
        <f t="shared" ca="1" si="22"/>
        <v>413110160</v>
      </c>
      <c r="P157" t="str" cm="1">
        <f t="array" aca="1" ref="P157" ca="1">9 &amp; INDEX($AF$3:$AF$6,W157)&amp; TEXT(RANDBETWEEN(0,9999999),"0000000")</f>
        <v>962767444</v>
      </c>
      <c r="Q157" t="str" cm="1">
        <f t="array" aca="1" ref="Q157" ca="1">LOWER(B157) &amp; INDEX($AF$9:$AF$11,X157)</f>
        <v>carboa1199@gmail.com</v>
      </c>
      <c r="R157" t="str">
        <f t="shared" ca="1" si="23"/>
        <v>carboa1199.jpg</v>
      </c>
      <c r="T157" s="4"/>
      <c r="V157">
        <f ca="1">RANDBETWEEN(2,COUNTA(rua_cod!A:A))</f>
        <v>65</v>
      </c>
      <c r="W157">
        <f t="shared" ca="1" si="24"/>
        <v>4</v>
      </c>
      <c r="X157">
        <f t="shared" ca="1" si="25"/>
        <v>2</v>
      </c>
      <c r="Y157">
        <f t="shared" ca="1" si="26"/>
        <v>2002</v>
      </c>
      <c r="Z157">
        <f t="shared" ca="1" si="27"/>
        <v>9</v>
      </c>
      <c r="AA157">
        <f t="shared" ca="1" si="28"/>
        <v>5</v>
      </c>
      <c r="AB157">
        <f t="shared" ca="1" si="29"/>
        <v>18</v>
      </c>
    </row>
    <row r="158" spans="1:28" x14ac:dyDescent="0.25">
      <c r="A158">
        <v>157</v>
      </c>
      <c r="B158" t="str" cm="1">
        <f t="array" aca="1" ref="B158" ca="1">replaceChar(LOWER(LEFT(D158,3)&amp;RIGHT(I158,3))&amp;LEFT(H158,4))</f>
        <v>joalos2779</v>
      </c>
      <c r="C158" t="str">
        <f t="shared" ca="1" si="20"/>
        <v>pswjoalos2779</v>
      </c>
      <c r="D158" t="str">
        <f ca="1">Nomes!T159</f>
        <v>João Carolina Borges Miranda</v>
      </c>
      <c r="E158" t="str">
        <f ca="1">Nomes!S159</f>
        <v>Masculino</v>
      </c>
      <c r="F158" s="2">
        <v>11043</v>
      </c>
      <c r="G158" t="str" cm="1">
        <f t="array" aca="1" ref="G158" ca="1">INDEX(rua_cod!$F:$F,RANDBETWEEN(2,COUNTA(rua_cod!F:F)))</f>
        <v>Calçada Marquês de Abrantes</v>
      </c>
      <c r="H158" t="str" cm="1">
        <f t="array" aca="1" ref="H158" ca="1">INDEX(rua_cod!$A:$A,Users!V158) &amp; "-" &amp; TEXT(RANDBETWEEN(0,999),"000")</f>
        <v>2779-270</v>
      </c>
      <c r="I158" t="str" cm="1">
        <f t="array" aca="1" ref="I158" ca="1">INDEX(rua_cod!$B:$B,Users!V158)</f>
        <v>Carcavelos</v>
      </c>
      <c r="J158" t="s">
        <v>3727</v>
      </c>
      <c r="K158" t="s">
        <v>225</v>
      </c>
      <c r="L158" t="s">
        <v>265</v>
      </c>
      <c r="M158" t="str">
        <f t="shared" ca="1" si="21"/>
        <v>54131136</v>
      </c>
      <c r="N158" t="str">
        <f t="shared" ca="1" si="22"/>
        <v>828897823</v>
      </c>
      <c r="O158" t="str">
        <f t="shared" ca="1" si="22"/>
        <v>289696381</v>
      </c>
      <c r="P158" t="str" cm="1">
        <f t="array" aca="1" ref="P158" ca="1">9 &amp; INDEX($AF$3:$AF$6,W158)&amp; TEXT(RANDBETWEEN(0,9999999),"0000000")</f>
        <v>924678564</v>
      </c>
      <c r="Q158" t="str" cm="1">
        <f t="array" aca="1" ref="Q158" ca="1">LOWER(B158) &amp; INDEX($AF$9:$AF$11,X158)</f>
        <v>joalos2779@gmail.com</v>
      </c>
      <c r="R158" t="str">
        <f t="shared" ca="1" si="23"/>
        <v>joalos2779.jpg</v>
      </c>
      <c r="T158" s="4"/>
      <c r="V158">
        <f ca="1">RANDBETWEEN(2,COUNTA(rua_cod!A:A))</f>
        <v>21</v>
      </c>
      <c r="W158">
        <f t="shared" ca="1" si="24"/>
        <v>2</v>
      </c>
      <c r="X158">
        <f t="shared" ca="1" si="25"/>
        <v>2</v>
      </c>
      <c r="Y158">
        <f t="shared" ca="1" si="26"/>
        <v>1973</v>
      </c>
      <c r="Z158">
        <f t="shared" ca="1" si="27"/>
        <v>2</v>
      </c>
      <c r="AA158">
        <f t="shared" ca="1" si="28"/>
        <v>17</v>
      </c>
      <c r="AB158">
        <f t="shared" ca="1" si="29"/>
        <v>47</v>
      </c>
    </row>
    <row r="159" spans="1:28" x14ac:dyDescent="0.25">
      <c r="A159">
        <v>158</v>
      </c>
      <c r="B159" t="str" cm="1">
        <f t="array" aca="1" ref="B159" ca="1">replaceChar(LOWER(LEFT(D159,3)&amp;RIGHT(I159,3))&amp;LEFT(H159,4))</f>
        <v>afolos2775</v>
      </c>
      <c r="C159" t="str">
        <f t="shared" ca="1" si="20"/>
        <v>pswafolos2775</v>
      </c>
      <c r="D159" t="str">
        <f ca="1">Nomes!T160</f>
        <v>Afonso Lurdes Ferreira Vicente</v>
      </c>
      <c r="E159" t="str">
        <f ca="1">Nomes!S160</f>
        <v>Masculino</v>
      </c>
      <c r="F159" s="2">
        <v>28184</v>
      </c>
      <c r="G159" t="str" cm="1">
        <f t="array" aca="1" ref="G159" ca="1">INDEX(rua_cod!$F:$F,RANDBETWEEN(2,COUNTA(rua_cod!F:F)))</f>
        <v>Rua Ferreira Lapa</v>
      </c>
      <c r="H159" t="str" cm="1">
        <f t="array" aca="1" ref="H159" ca="1">INDEX(rua_cod!$A:$A,Users!V159) &amp; "-" &amp; TEXT(RANDBETWEEN(0,999),"000")</f>
        <v>2775-453</v>
      </c>
      <c r="I159" t="str" cm="1">
        <f t="array" aca="1" ref="I159" ca="1">INDEX(rua_cod!$B:$B,Users!V159)</f>
        <v>Carcavelos</v>
      </c>
      <c r="J159" t="s">
        <v>3727</v>
      </c>
      <c r="K159" t="s">
        <v>225</v>
      </c>
      <c r="L159" t="s">
        <v>265</v>
      </c>
      <c r="M159" t="str">
        <f t="shared" ca="1" si="21"/>
        <v>43176902</v>
      </c>
      <c r="N159" t="str">
        <f t="shared" ca="1" si="22"/>
        <v>163965904</v>
      </c>
      <c r="O159" t="str">
        <f t="shared" ca="1" si="22"/>
        <v>124340867</v>
      </c>
      <c r="P159" t="str" cm="1">
        <f t="array" aca="1" ref="P159" ca="1">9 &amp; INDEX($AF$3:$AF$6,W159)&amp; TEXT(RANDBETWEEN(0,9999999),"0000000")</f>
        <v>961933342</v>
      </c>
      <c r="Q159" t="str" cm="1">
        <f t="array" aca="1" ref="Q159" ca="1">LOWER(B159) &amp; INDEX($AF$9:$AF$11,X159)</f>
        <v>afolos2775@gmail.com</v>
      </c>
      <c r="R159" t="str">
        <f t="shared" ca="1" si="23"/>
        <v>afolos2775.jpg</v>
      </c>
      <c r="T159" s="4"/>
      <c r="V159">
        <f ca="1">RANDBETWEEN(2,COUNTA(rua_cod!A:A))</f>
        <v>20</v>
      </c>
      <c r="W159">
        <f t="shared" ca="1" si="24"/>
        <v>4</v>
      </c>
      <c r="X159">
        <f t="shared" ca="1" si="25"/>
        <v>2</v>
      </c>
      <c r="Y159">
        <f t="shared" ca="1" si="26"/>
        <v>1971</v>
      </c>
      <c r="Z159">
        <f t="shared" ca="1" si="27"/>
        <v>7</v>
      </c>
      <c r="AA159">
        <f t="shared" ca="1" si="28"/>
        <v>22</v>
      </c>
      <c r="AB159">
        <f t="shared" ca="1" si="29"/>
        <v>49</v>
      </c>
    </row>
    <row r="160" spans="1:28" x14ac:dyDescent="0.25">
      <c r="A160">
        <v>159</v>
      </c>
      <c r="B160" t="str" cm="1">
        <f t="array" aca="1" ref="B160" ca="1">replaceChar(LOWER(LEFT(D160,3)&amp;RIGHT(I160,3))&amp;LEFT(H160,4))</f>
        <v>tomrem2005</v>
      </c>
      <c r="C160" t="str">
        <f t="shared" ca="1" si="20"/>
        <v>pswtomrem2005</v>
      </c>
      <c r="D160" t="str">
        <f ca="1">Nomes!T161</f>
        <v>Tomás Inês Soares Carvalho</v>
      </c>
      <c r="E160" t="str">
        <f ca="1">Nomes!S161</f>
        <v>Masculino</v>
      </c>
      <c r="F160" s="2">
        <v>20148</v>
      </c>
      <c r="G160" t="str" cm="1">
        <f t="array" aca="1" ref="G160" ca="1">INDEX(rua_cod!$F:$F,RANDBETWEEN(2,COUNTA(rua_cod!F:F)))</f>
        <v>Rua de São Mamede</v>
      </c>
      <c r="H160" t="str" cm="1">
        <f t="array" aca="1" ref="H160" ca="1">INDEX(rua_cod!$A:$A,Users!V160) &amp; "-" &amp; TEXT(RANDBETWEEN(0,999),"000")</f>
        <v>2005-874</v>
      </c>
      <c r="I160" t="str" cm="1">
        <f t="array" aca="1" ref="I160" ca="1">INDEX(rua_cod!$B:$B,Users!V160)</f>
        <v>Santarém</v>
      </c>
      <c r="J160" t="s">
        <v>3727</v>
      </c>
      <c r="K160" t="s">
        <v>225</v>
      </c>
      <c r="L160" t="s">
        <v>265</v>
      </c>
      <c r="M160" t="str">
        <f t="shared" ca="1" si="21"/>
        <v>36905297</v>
      </c>
      <c r="N160" t="str">
        <f t="shared" ca="1" si="22"/>
        <v>317732179</v>
      </c>
      <c r="O160" t="str">
        <f t="shared" ca="1" si="22"/>
        <v>236054408</v>
      </c>
      <c r="P160" t="str" cm="1">
        <f t="array" aca="1" ref="P160" ca="1">9 &amp; INDEX($AF$3:$AF$6,W160)&amp; TEXT(RANDBETWEEN(0,9999999),"0000000")</f>
        <v>918687587</v>
      </c>
      <c r="Q160" t="str" cm="1">
        <f t="array" aca="1" ref="Q160" ca="1">LOWER(B160) &amp; INDEX($AF$9:$AF$11,X160)</f>
        <v>tomrem2005@sapo.pt</v>
      </c>
      <c r="R160" t="str">
        <f t="shared" ca="1" si="23"/>
        <v>tomrem2005.jpg</v>
      </c>
      <c r="T160" s="4"/>
      <c r="V160">
        <f ca="1">RANDBETWEEN(2,COUNTA(rua_cod!A:A))</f>
        <v>92</v>
      </c>
      <c r="W160">
        <f t="shared" ca="1" si="24"/>
        <v>1</v>
      </c>
      <c r="X160">
        <f t="shared" ca="1" si="25"/>
        <v>3</v>
      </c>
      <c r="Y160">
        <f t="shared" ca="1" si="26"/>
        <v>1971</v>
      </c>
      <c r="Z160">
        <f t="shared" ca="1" si="27"/>
        <v>11</v>
      </c>
      <c r="AA160">
        <f t="shared" ca="1" si="28"/>
        <v>6</v>
      </c>
      <c r="AB160">
        <f t="shared" ca="1" si="29"/>
        <v>49</v>
      </c>
    </row>
    <row r="161" spans="1:28" x14ac:dyDescent="0.25">
      <c r="A161">
        <v>160</v>
      </c>
      <c r="B161" t="str" cm="1">
        <f t="array" aca="1" ref="B161" ca="1">replaceChar(LOWER(LEFT(D161,3)&amp;RIGHT(I161,3))&amp;LEFT(H161,4))</f>
        <v>andvas2350</v>
      </c>
      <c r="C161" t="str">
        <f t="shared" ca="1" si="20"/>
        <v>pswandvas2350</v>
      </c>
      <c r="D161" t="str">
        <f ca="1">Nomes!T162</f>
        <v>André Carolina Baptista Pereira</v>
      </c>
      <c r="E161" t="str">
        <f ca="1">Nomes!S162</f>
        <v>Masculino</v>
      </c>
      <c r="F161" s="2">
        <v>40822</v>
      </c>
      <c r="G161" t="str" cm="1">
        <f t="array" aca="1" ref="G161" ca="1">INDEX(rua_cod!$F:$F,RANDBETWEEN(2,COUNTA(rua_cod!F:F)))</f>
        <v>Calçada do Poço dos Mouros</v>
      </c>
      <c r="H161" t="str" cm="1">
        <f t="array" aca="1" ref="H161" ca="1">INDEX(rua_cod!$A:$A,Users!V161) &amp; "-" &amp; TEXT(RANDBETWEEN(0,999),"000")</f>
        <v>2350-537</v>
      </c>
      <c r="I161" t="str" cm="1">
        <f t="array" aca="1" ref="I161" ca="1">INDEX(rua_cod!$B:$B,Users!V161)</f>
        <v>Torres Novas</v>
      </c>
      <c r="J161" t="s">
        <v>3727</v>
      </c>
      <c r="K161" t="s">
        <v>225</v>
      </c>
      <c r="L161" t="s">
        <v>265</v>
      </c>
      <c r="M161" t="str">
        <f t="shared" ca="1" si="21"/>
        <v>92087974</v>
      </c>
      <c r="N161" t="str">
        <f t="shared" ca="1" si="22"/>
        <v>253950610</v>
      </c>
      <c r="O161" t="str">
        <f t="shared" ca="1" si="22"/>
        <v>114210120</v>
      </c>
      <c r="P161" t="str" cm="1">
        <f t="array" aca="1" ref="P161" ca="1">9 &amp; INDEX($AF$3:$AF$6,W161)&amp; TEXT(RANDBETWEEN(0,9999999),"0000000")</f>
        <v>918246976</v>
      </c>
      <c r="Q161" t="str" cm="1">
        <f t="array" aca="1" ref="Q161" ca="1">LOWER(B161) &amp; INDEX($AF$9:$AF$11,X161)</f>
        <v>andvas2350@outlook.com</v>
      </c>
      <c r="R161" t="str">
        <f t="shared" ca="1" si="23"/>
        <v>andvas2350.jpg</v>
      </c>
      <c r="T161" s="4"/>
      <c r="V161">
        <f ca="1">RANDBETWEEN(2,COUNTA(rua_cod!A:A))</f>
        <v>103</v>
      </c>
      <c r="W161">
        <f t="shared" ca="1" si="24"/>
        <v>1</v>
      </c>
      <c r="X161">
        <f t="shared" ca="1" si="25"/>
        <v>1</v>
      </c>
      <c r="Y161">
        <f t="shared" ca="1" si="26"/>
        <v>1957</v>
      </c>
      <c r="Z161">
        <f t="shared" ca="1" si="27"/>
        <v>6</v>
      </c>
      <c r="AA161">
        <f t="shared" ca="1" si="28"/>
        <v>9</v>
      </c>
      <c r="AB161">
        <f t="shared" ca="1" si="29"/>
        <v>63</v>
      </c>
    </row>
    <row r="162" spans="1:28" x14ac:dyDescent="0.25">
      <c r="A162">
        <v>161</v>
      </c>
      <c r="B162" t="str" cm="1">
        <f t="array" aca="1" ref="B162" ca="1">replaceChar(LOWER(LEFT(D162,3)&amp;RIGHT(I162,3))&amp;LEFT(H162,4))</f>
        <v>lurboa1150</v>
      </c>
      <c r="C162" t="str">
        <f t="shared" ca="1" si="20"/>
        <v>pswlurboa1150</v>
      </c>
      <c r="D162" t="str">
        <f ca="1">Nomes!T163</f>
        <v>Lurdes Duarte Rodrigues Carvalho</v>
      </c>
      <c r="E162" t="str">
        <f ca="1">Nomes!S163</f>
        <v>Feminino</v>
      </c>
      <c r="F162" s="2">
        <v>24061</v>
      </c>
      <c r="G162" t="str" cm="1">
        <f t="array" aca="1" ref="G162" ca="1">INDEX(rua_cod!$F:$F,RANDBETWEEN(2,COUNTA(rua_cod!F:F)))</f>
        <v>Rua do Carmo</v>
      </c>
      <c r="H162" t="str" cm="1">
        <f t="array" aca="1" ref="H162" ca="1">INDEX(rua_cod!$A:$A,Users!V162) &amp; "-" &amp; TEXT(RANDBETWEEN(0,999),"000")</f>
        <v>1150-460</v>
      </c>
      <c r="I162" t="str" cm="1">
        <f t="array" aca="1" ref="I162" ca="1">INDEX(rua_cod!$B:$B,Users!V162)</f>
        <v>Lisboa</v>
      </c>
      <c r="J162" t="s">
        <v>3727</v>
      </c>
      <c r="K162" t="s">
        <v>225</v>
      </c>
      <c r="L162" t="s">
        <v>265</v>
      </c>
      <c r="M162" t="str">
        <f t="shared" ca="1" si="21"/>
        <v>80437379</v>
      </c>
      <c r="N162" t="str">
        <f t="shared" ca="1" si="22"/>
        <v>146133821</v>
      </c>
      <c r="O162" t="str">
        <f t="shared" ca="1" si="22"/>
        <v>120330168</v>
      </c>
      <c r="P162" t="str" cm="1">
        <f t="array" aca="1" ref="P162" ca="1">9 &amp; INDEX($AF$3:$AF$6,W162)&amp; TEXT(RANDBETWEEN(0,9999999),"0000000")</f>
        <v>913107747</v>
      </c>
      <c r="Q162" t="str" cm="1">
        <f t="array" aca="1" ref="Q162" ca="1">LOWER(B162) &amp; INDEX($AF$9:$AF$11,X162)</f>
        <v>lurboa1150@gmail.com</v>
      </c>
      <c r="R162" t="str">
        <f t="shared" ca="1" si="23"/>
        <v>lurboa1150.jpg</v>
      </c>
      <c r="T162" s="4"/>
      <c r="V162">
        <f ca="1">RANDBETWEEN(2,COUNTA(rua_cod!A:A))</f>
        <v>44</v>
      </c>
      <c r="W162">
        <f t="shared" ca="1" si="24"/>
        <v>1</v>
      </c>
      <c r="X162">
        <f t="shared" ca="1" si="25"/>
        <v>2</v>
      </c>
      <c r="Y162">
        <f t="shared" ca="1" si="26"/>
        <v>1965</v>
      </c>
      <c r="Z162">
        <f t="shared" ca="1" si="27"/>
        <v>9</v>
      </c>
      <c r="AA162">
        <f t="shared" ca="1" si="28"/>
        <v>31</v>
      </c>
      <c r="AB162">
        <f t="shared" ca="1" si="29"/>
        <v>55</v>
      </c>
    </row>
    <row r="163" spans="1:28" x14ac:dyDescent="0.25">
      <c r="A163">
        <v>162</v>
      </c>
      <c r="B163" t="str" cm="1">
        <f t="array" aca="1" ref="B163" ca="1">replaceChar(LOWER(LEFT(D163,3)&amp;RIGHT(I163,3))&amp;LEFT(H163,4))</f>
        <v>tiares2670</v>
      </c>
      <c r="C163" t="str">
        <f t="shared" ca="1" si="20"/>
        <v>pswtiares2670</v>
      </c>
      <c r="D163" t="str">
        <f ca="1">Nomes!T164</f>
        <v>Tiago Francisca Barbosa Moreira</v>
      </c>
      <c r="E163" t="str">
        <f ca="1">Nomes!S164</f>
        <v>Masculino</v>
      </c>
      <c r="F163" s="2">
        <v>29777</v>
      </c>
      <c r="G163" t="str" cm="1">
        <f t="array" aca="1" ref="G163" ca="1">INDEX(rua_cod!$F:$F,RANDBETWEEN(2,COUNTA(rua_cod!F:F)))</f>
        <v>Rua Ferreira Lapa</v>
      </c>
      <c r="H163" t="str" cm="1">
        <f t="array" aca="1" ref="H163" ca="1">INDEX(rua_cod!$A:$A,Users!V163) &amp; "-" &amp; TEXT(RANDBETWEEN(0,999),"000")</f>
        <v>2670-797</v>
      </c>
      <c r="I163" t="str" cm="1">
        <f t="array" aca="1" ref="I163" ca="1">INDEX(rua_cod!$B:$B,Users!V163)</f>
        <v>Loures</v>
      </c>
      <c r="J163" t="s">
        <v>3727</v>
      </c>
      <c r="K163" t="s">
        <v>225</v>
      </c>
      <c r="L163" t="s">
        <v>265</v>
      </c>
      <c r="M163" t="str">
        <f t="shared" ca="1" si="21"/>
        <v>24077664</v>
      </c>
      <c r="N163" t="str">
        <f t="shared" ca="1" si="22"/>
        <v>655324045</v>
      </c>
      <c r="O163" t="str">
        <f t="shared" ca="1" si="22"/>
        <v>924599561</v>
      </c>
      <c r="P163" t="str" cm="1">
        <f t="array" aca="1" ref="P163" ca="1">9 &amp; INDEX($AF$3:$AF$6,W163)&amp; TEXT(RANDBETWEEN(0,9999999),"0000000")</f>
        <v>927077006</v>
      </c>
      <c r="Q163" t="str" cm="1">
        <f t="array" aca="1" ref="Q163" ca="1">LOWER(B163) &amp; INDEX($AF$9:$AF$11,X163)</f>
        <v>tiares2670@gmail.com</v>
      </c>
      <c r="R163" t="str">
        <f t="shared" ca="1" si="23"/>
        <v>tiares2670.jpg</v>
      </c>
      <c r="T163" s="4"/>
      <c r="V163">
        <f ca="1">RANDBETWEEN(2,COUNTA(rua_cod!A:A))</f>
        <v>83</v>
      </c>
      <c r="W163">
        <f t="shared" ca="1" si="24"/>
        <v>2</v>
      </c>
      <c r="X163">
        <f t="shared" ca="1" si="25"/>
        <v>2</v>
      </c>
      <c r="Y163">
        <f t="shared" ca="1" si="26"/>
        <v>1941</v>
      </c>
      <c r="Z163">
        <f t="shared" ca="1" si="27"/>
        <v>2</v>
      </c>
      <c r="AA163">
        <f t="shared" ca="1" si="28"/>
        <v>18</v>
      </c>
      <c r="AB163">
        <f t="shared" ca="1" si="29"/>
        <v>79</v>
      </c>
    </row>
    <row r="164" spans="1:28" x14ac:dyDescent="0.25">
      <c r="A164">
        <v>163</v>
      </c>
      <c r="B164" t="str" cm="1">
        <f t="array" aca="1" ref="B164" ca="1">replaceChar(LOWER(LEFT(D164,3)&amp;RIGHT(I164,3))&amp;LEFT(H164,4))</f>
        <v>beaboa1150</v>
      </c>
      <c r="C164" t="str">
        <f t="shared" ca="1" si="20"/>
        <v>pswbeaboa1150</v>
      </c>
      <c r="D164" t="str">
        <f ca="1">Nomes!T165</f>
        <v>Beatriz Santiago Monteiro Santos</v>
      </c>
      <c r="E164" t="str">
        <f ca="1">Nomes!S165</f>
        <v>Feminino</v>
      </c>
      <c r="F164" s="2">
        <v>22302</v>
      </c>
      <c r="G164" t="str" cm="1">
        <f t="array" aca="1" ref="G164" ca="1">INDEX(rua_cod!$F:$F,RANDBETWEEN(2,COUNTA(rua_cod!F:F)))</f>
        <v>Travessa de São João da Praça</v>
      </c>
      <c r="H164" t="str" cm="1">
        <f t="array" aca="1" ref="H164" ca="1">INDEX(rua_cod!$A:$A,Users!V164) &amp; "-" &amp; TEXT(RANDBETWEEN(0,999),"000")</f>
        <v>1150-385</v>
      </c>
      <c r="I164" t="str" cm="1">
        <f t="array" aca="1" ref="I164" ca="1">INDEX(rua_cod!$B:$B,Users!V164)</f>
        <v>Lisboa</v>
      </c>
      <c r="J164" t="s">
        <v>3727</v>
      </c>
      <c r="K164" t="s">
        <v>225</v>
      </c>
      <c r="L164" t="s">
        <v>265</v>
      </c>
      <c r="M164" t="str">
        <f t="shared" ca="1" si="21"/>
        <v>53617516</v>
      </c>
      <c r="N164" t="str">
        <f t="shared" ca="1" si="22"/>
        <v>874638814</v>
      </c>
      <c r="O164" t="str">
        <f t="shared" ca="1" si="22"/>
        <v>537363975</v>
      </c>
      <c r="P164" t="str" cm="1">
        <f t="array" aca="1" ref="P164" ca="1">9 &amp; INDEX($AF$3:$AF$6,W164)&amp; TEXT(RANDBETWEEN(0,9999999),"0000000")</f>
        <v>920377684</v>
      </c>
      <c r="Q164" t="str" cm="1">
        <f t="array" aca="1" ref="Q164" ca="1">LOWER(B164) &amp; INDEX($AF$9:$AF$11,X164)</f>
        <v>beaboa1150@outlook.com</v>
      </c>
      <c r="R164" t="str">
        <f t="shared" ca="1" si="23"/>
        <v>beaboa1150.jpg</v>
      </c>
      <c r="T164" s="4"/>
      <c r="V164">
        <f ca="1">RANDBETWEEN(2,COUNTA(rua_cod!A:A))</f>
        <v>44</v>
      </c>
      <c r="W164">
        <f t="shared" ca="1" si="24"/>
        <v>2</v>
      </c>
      <c r="X164">
        <f t="shared" ca="1" si="25"/>
        <v>1</v>
      </c>
      <c r="Y164">
        <f t="shared" ca="1" si="26"/>
        <v>1982</v>
      </c>
      <c r="Z164">
        <f t="shared" ca="1" si="27"/>
        <v>11</v>
      </c>
      <c r="AA164">
        <f t="shared" ca="1" si="28"/>
        <v>11</v>
      </c>
      <c r="AB164">
        <f t="shared" ca="1" si="29"/>
        <v>38</v>
      </c>
    </row>
    <row r="165" spans="1:28" x14ac:dyDescent="0.25">
      <c r="A165">
        <v>164</v>
      </c>
      <c r="B165" t="str" cm="1">
        <f t="array" aca="1" ref="B165" ca="1">replaceChar(LOWER(LEFT(D165,3)&amp;RIGHT(I165,3))&amp;LEFT(H165,4))</f>
        <v>lauora2650</v>
      </c>
      <c r="C165" t="str">
        <f t="shared" ca="1" si="20"/>
        <v>pswlauora2650</v>
      </c>
      <c r="D165" t="str">
        <f ca="1">Nomes!T166</f>
        <v>Laura José Soares Lima</v>
      </c>
      <c r="E165" t="str">
        <f ca="1">Nomes!S166</f>
        <v>Feminino</v>
      </c>
      <c r="F165" s="2">
        <v>44419</v>
      </c>
      <c r="G165" t="str" cm="1">
        <f t="array" aca="1" ref="G165" ca="1">INDEX(rua_cod!$F:$F,RANDBETWEEN(2,COUNTA(rua_cod!F:F)))</f>
        <v>Calçada Marquês de Abrantes</v>
      </c>
      <c r="H165" t="str" cm="1">
        <f t="array" aca="1" ref="H165" ca="1">INDEX(rua_cod!$A:$A,Users!V165) &amp; "-" &amp; TEXT(RANDBETWEEN(0,999),"000")</f>
        <v>2650-129</v>
      </c>
      <c r="I165" t="str" cm="1">
        <f t="array" aca="1" ref="I165" ca="1">INDEX(rua_cod!$B:$B,Users!V165)</f>
        <v>Amadora</v>
      </c>
      <c r="J165" t="s">
        <v>3727</v>
      </c>
      <c r="K165" t="s">
        <v>225</v>
      </c>
      <c r="L165" t="s">
        <v>265</v>
      </c>
      <c r="M165" t="str">
        <f t="shared" ca="1" si="21"/>
        <v>57838797</v>
      </c>
      <c r="N165" t="str">
        <f t="shared" ca="1" si="22"/>
        <v>637151462</v>
      </c>
      <c r="O165" t="str">
        <f t="shared" ca="1" si="22"/>
        <v>363289314</v>
      </c>
      <c r="P165" t="str" cm="1">
        <f t="array" aca="1" ref="P165" ca="1">9 &amp; INDEX($AF$3:$AF$6,W165)&amp; TEXT(RANDBETWEEN(0,9999999),"0000000")</f>
        <v>962024949</v>
      </c>
      <c r="Q165" t="str" cm="1">
        <f t="array" aca="1" ref="Q165" ca="1">LOWER(B165) &amp; INDEX($AF$9:$AF$11,X165)</f>
        <v>lauora2650@sapo.pt</v>
      </c>
      <c r="R165" t="str">
        <f t="shared" ca="1" si="23"/>
        <v>lauora2650.jpg</v>
      </c>
      <c r="T165" s="4"/>
      <c r="V165">
        <f ca="1">RANDBETWEEN(2,COUNTA(rua_cod!A:A))</f>
        <v>9</v>
      </c>
      <c r="W165">
        <f t="shared" ca="1" si="24"/>
        <v>4</v>
      </c>
      <c r="X165">
        <f t="shared" ca="1" si="25"/>
        <v>3</v>
      </c>
      <c r="Y165">
        <f t="shared" ca="1" si="26"/>
        <v>1983</v>
      </c>
      <c r="Z165">
        <f t="shared" ca="1" si="27"/>
        <v>8</v>
      </c>
      <c r="AA165">
        <f t="shared" ca="1" si="28"/>
        <v>10</v>
      </c>
      <c r="AB165">
        <f t="shared" ca="1" si="29"/>
        <v>37</v>
      </c>
    </row>
    <row r="166" spans="1:28" x14ac:dyDescent="0.25">
      <c r="A166">
        <v>165</v>
      </c>
      <c r="B166" t="str" cm="1">
        <f t="array" aca="1" ref="B166" ca="1">replaceChar(LOWER(LEFT(D166,3)&amp;RIGHT(I166,3))&amp;LEFT(H166,4))</f>
        <v>sarboa1749</v>
      </c>
      <c r="C166" t="str">
        <f t="shared" ca="1" si="20"/>
        <v>pswsarboa1749</v>
      </c>
      <c r="D166" t="str">
        <f ca="1">Nomes!T167</f>
        <v>Sara Inês Faria Neves</v>
      </c>
      <c r="E166" t="str">
        <f ca="1">Nomes!S167</f>
        <v>Feminino</v>
      </c>
      <c r="F166" s="2">
        <v>11307</v>
      </c>
      <c r="G166" t="str" cm="1">
        <f t="array" aca="1" ref="G166" ca="1">INDEX(rua_cod!$F:$F,RANDBETWEEN(2,COUNTA(rua_cod!F:F)))</f>
        <v>Rua Roberto Duarte Silva</v>
      </c>
      <c r="H166" t="str" cm="1">
        <f t="array" aca="1" ref="H166" ca="1">INDEX(rua_cod!$A:$A,Users!V166) &amp; "-" &amp; TEXT(RANDBETWEEN(0,999),"000")</f>
        <v>1749-078</v>
      </c>
      <c r="I166" t="str" cm="1">
        <f t="array" aca="1" ref="I166" ca="1">INDEX(rua_cod!$B:$B,Users!V166)</f>
        <v>Lisboa</v>
      </c>
      <c r="J166" t="s">
        <v>3727</v>
      </c>
      <c r="K166" t="s">
        <v>225</v>
      </c>
      <c r="L166" t="s">
        <v>265</v>
      </c>
      <c r="M166" t="str">
        <f t="shared" ca="1" si="21"/>
        <v>51220124</v>
      </c>
      <c r="N166" t="str">
        <f t="shared" ca="1" si="22"/>
        <v>610197357</v>
      </c>
      <c r="O166" t="str">
        <f t="shared" ca="1" si="22"/>
        <v>485990271</v>
      </c>
      <c r="P166" t="str" cm="1">
        <f t="array" aca="1" ref="P166" ca="1">9 &amp; INDEX($AF$3:$AF$6,W166)&amp; TEXT(RANDBETWEEN(0,9999999),"0000000")</f>
        <v>934758238</v>
      </c>
      <c r="Q166" t="str" cm="1">
        <f t="array" aca="1" ref="Q166" ca="1">LOWER(B166) &amp; INDEX($AF$9:$AF$11,X166)</f>
        <v>sarboa1749@outlook.com</v>
      </c>
      <c r="R166" t="str">
        <f t="shared" ca="1" si="23"/>
        <v>sarboa1749.jpg</v>
      </c>
      <c r="T166" s="4"/>
      <c r="V166">
        <f ca="1">RANDBETWEEN(2,COUNTA(rua_cod!A:A))</f>
        <v>61</v>
      </c>
      <c r="W166">
        <f t="shared" ca="1" si="24"/>
        <v>3</v>
      </c>
      <c r="X166">
        <f t="shared" ca="1" si="25"/>
        <v>1</v>
      </c>
      <c r="Y166">
        <f t="shared" ca="1" si="26"/>
        <v>1935</v>
      </c>
      <c r="Z166">
        <f t="shared" ca="1" si="27"/>
        <v>5</v>
      </c>
      <c r="AA166">
        <f t="shared" ca="1" si="28"/>
        <v>3</v>
      </c>
      <c r="AB166">
        <f t="shared" ca="1" si="29"/>
        <v>85</v>
      </c>
    </row>
    <row r="167" spans="1:28" x14ac:dyDescent="0.25">
      <c r="A167">
        <v>166</v>
      </c>
      <c r="B167" t="str" cm="1">
        <f t="array" aca="1" ref="B167" ca="1">replaceChar(LOWER(LEFT(D167,3)&amp;RIGHT(I167,3))&amp;LEFT(H167,4))</f>
        <v>marfra2644</v>
      </c>
      <c r="C167" t="str">
        <f t="shared" ca="1" si="20"/>
        <v>pswmarfra2644</v>
      </c>
      <c r="D167" t="str">
        <f ca="1">Nomes!T168</f>
        <v>Marco Luís Vieira Figueiredo</v>
      </c>
      <c r="E167" t="str">
        <f ca="1">Nomes!S168</f>
        <v>Masculino</v>
      </c>
      <c r="F167" s="2">
        <v>31637</v>
      </c>
      <c r="G167" t="str" cm="1">
        <f t="array" aca="1" ref="G167" ca="1">INDEX(rua_cod!$F:$F,RANDBETWEEN(2,COUNTA(rua_cod!F:F)))</f>
        <v>Calçada de Carriche</v>
      </c>
      <c r="H167" t="str" cm="1">
        <f t="array" aca="1" ref="H167" ca="1">INDEX(rua_cod!$A:$A,Users!V167) &amp; "-" &amp; TEXT(RANDBETWEEN(0,999),"000")</f>
        <v>2644-043</v>
      </c>
      <c r="I167" t="str" cm="1">
        <f t="array" aca="1" ref="I167" ca="1">INDEX(rua_cod!$B:$B,Users!V167)</f>
        <v>Mafra</v>
      </c>
      <c r="J167" t="s">
        <v>3727</v>
      </c>
      <c r="K167" t="s">
        <v>225</v>
      </c>
      <c r="L167" t="s">
        <v>265</v>
      </c>
      <c r="M167" t="str">
        <f t="shared" ca="1" si="21"/>
        <v>57900023</v>
      </c>
      <c r="N167" t="str">
        <f t="shared" ca="1" si="22"/>
        <v>100448778</v>
      </c>
      <c r="O167" t="str">
        <f t="shared" ca="1" si="22"/>
        <v>920232840</v>
      </c>
      <c r="P167" t="str" cm="1">
        <f t="array" aca="1" ref="P167" ca="1">9 &amp; INDEX($AF$3:$AF$6,W167)&amp; TEXT(RANDBETWEEN(0,9999999),"0000000")</f>
        <v>936795943</v>
      </c>
      <c r="Q167" t="str" cm="1">
        <f t="array" aca="1" ref="Q167" ca="1">LOWER(B167) &amp; INDEX($AF$9:$AF$11,X167)</f>
        <v>marfra2644@sapo.pt</v>
      </c>
      <c r="R167" t="str">
        <f t="shared" ca="1" si="23"/>
        <v>marfra2644.jpg</v>
      </c>
      <c r="T167" s="4"/>
      <c r="V167">
        <f ca="1">RANDBETWEEN(2,COUNTA(rua_cod!A:A))</f>
        <v>86</v>
      </c>
      <c r="W167">
        <f t="shared" ca="1" si="24"/>
        <v>3</v>
      </c>
      <c r="X167">
        <f t="shared" ca="1" si="25"/>
        <v>3</v>
      </c>
      <c r="Y167">
        <f t="shared" ca="1" si="26"/>
        <v>2008</v>
      </c>
      <c r="Z167">
        <f t="shared" ca="1" si="27"/>
        <v>3</v>
      </c>
      <c r="AA167">
        <f t="shared" ca="1" si="28"/>
        <v>25</v>
      </c>
      <c r="AB167">
        <f t="shared" ca="1" si="29"/>
        <v>12</v>
      </c>
    </row>
    <row r="168" spans="1:28" x14ac:dyDescent="0.25">
      <c r="A168">
        <v>167</v>
      </c>
      <c r="B168" t="str" cm="1">
        <f t="array" aca="1" ref="B168" ca="1">replaceChar(LOWER(LEFT(D168,3)&amp;RIGHT(I168,3))&amp;LEFT(H168,4))</f>
        <v>tiabal2910</v>
      </c>
      <c r="C168" t="str">
        <f t="shared" ca="1" si="20"/>
        <v>pswtiabal2910</v>
      </c>
      <c r="D168" t="str">
        <f ca="1">Nomes!T169</f>
        <v>Tiago Gabriel Anjos Teixeira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Rua do Instituto Bacteriológico</v>
      </c>
      <c r="H168" t="str" cm="1">
        <f t="array" aca="1" ref="H168" ca="1">INDEX(rua_cod!$A:$A,Users!V168) &amp; "-" &amp; TEXT(RANDBETWEEN(0,999),"000")</f>
        <v>2910-033</v>
      </c>
      <c r="I168" t="str" cm="1">
        <f t="array" aca="1" ref="I168" ca="1">INDEX(rua_cod!$B:$B,Users!V168)</f>
        <v>Setúbal</v>
      </c>
      <c r="J168" t="s">
        <v>3727</v>
      </c>
      <c r="K168" t="s">
        <v>225</v>
      </c>
      <c r="L168" t="s">
        <v>265</v>
      </c>
      <c r="M168" t="str">
        <f t="shared" ca="1" si="21"/>
        <v>32125562</v>
      </c>
      <c r="N168" t="str">
        <f t="shared" ca="1" si="22"/>
        <v>627445046</v>
      </c>
      <c r="O168" t="str">
        <f t="shared" ca="1" si="22"/>
        <v>965955892</v>
      </c>
      <c r="P168" t="str" cm="1">
        <f t="array" aca="1" ref="P168" ca="1">9 &amp; INDEX($AF$3:$AF$6,W168)&amp; TEXT(RANDBETWEEN(0,9999999),"0000000")</f>
        <v>961715422</v>
      </c>
      <c r="Q168" t="str" cm="1">
        <f t="array" aca="1" ref="Q168" ca="1">LOWER(B168) &amp; INDEX($AF$9:$AF$11,X168)</f>
        <v>tiabal2910@sapo.pt</v>
      </c>
      <c r="R168" t="str">
        <f t="shared" ca="1" si="23"/>
        <v>tiabal2910.jpg</v>
      </c>
      <c r="T168" s="4"/>
      <c r="V168">
        <f ca="1">RANDBETWEEN(2,COUNTA(rua_cod!A:A))</f>
        <v>97</v>
      </c>
      <c r="W168">
        <f t="shared" ca="1" si="24"/>
        <v>4</v>
      </c>
      <c r="X168">
        <f t="shared" ca="1" si="25"/>
        <v>3</v>
      </c>
      <c r="Y168">
        <f t="shared" ca="1" si="26"/>
        <v>1976</v>
      </c>
      <c r="Z168">
        <f t="shared" ca="1" si="27"/>
        <v>1</v>
      </c>
      <c r="AA168">
        <f t="shared" ca="1" si="28"/>
        <v>25</v>
      </c>
      <c r="AB168">
        <f t="shared" ca="1" si="29"/>
        <v>44</v>
      </c>
    </row>
    <row r="169" spans="1:28" x14ac:dyDescent="0.25">
      <c r="A169">
        <v>168</v>
      </c>
      <c r="B169" t="str" cm="1">
        <f t="array" aca="1" ref="B169" ca="1">replaceChar(LOWER(LEFT(D169,3)&amp;RIGHT(I169,3))&amp;LEFT(H169,4))</f>
        <v>verboa1959</v>
      </c>
      <c r="C169" t="str">
        <f t="shared" ca="1" si="20"/>
        <v>pswverboa1959</v>
      </c>
      <c r="D169" t="str">
        <f ca="1">Nomes!T170</f>
        <v>Vera Catarina Machado Assunção</v>
      </c>
      <c r="E169" t="str">
        <f ca="1">Nomes!S170</f>
        <v>Feminino</v>
      </c>
      <c r="F169" s="2">
        <v>37371</v>
      </c>
      <c r="G169" t="str" cm="1">
        <f t="array" aca="1" ref="G169" ca="1">INDEX(rua_cod!$F:$F,RANDBETWEEN(2,COUNTA(rua_cod!F:F)))</f>
        <v>Rua da Oliveira ao Carmo</v>
      </c>
      <c r="H169" t="str" cm="1">
        <f t="array" aca="1" ref="H169" ca="1">INDEX(rua_cod!$A:$A,Users!V169) &amp; "-" &amp; TEXT(RANDBETWEEN(0,999),"000")</f>
        <v>1959-795</v>
      </c>
      <c r="I169" t="str" cm="1">
        <f t="array" aca="1" ref="I169" ca="1">INDEX(rua_cod!$B:$B,Users!V169)</f>
        <v>Lisboa</v>
      </c>
      <c r="J169" t="s">
        <v>3727</v>
      </c>
      <c r="K169" t="s">
        <v>225</v>
      </c>
      <c r="L169" t="s">
        <v>265</v>
      </c>
      <c r="M169" t="str">
        <f t="shared" ca="1" si="21"/>
        <v>54162449</v>
      </c>
      <c r="N169" t="str">
        <f t="shared" ca="1" si="22"/>
        <v>406001444</v>
      </c>
      <c r="O169" t="str">
        <f t="shared" ca="1" si="22"/>
        <v>563962385</v>
      </c>
      <c r="P169" t="str" cm="1">
        <f t="array" aca="1" ref="P169" ca="1">9 &amp; INDEX($AF$3:$AF$6,W169)&amp; TEXT(RANDBETWEEN(0,9999999),"0000000")</f>
        <v>960034536</v>
      </c>
      <c r="Q169" t="str" cm="1">
        <f t="array" aca="1" ref="Q169" ca="1">LOWER(B169) &amp; INDEX($AF$9:$AF$11,X169)</f>
        <v>verboa1959@outlook.com</v>
      </c>
      <c r="R169" t="str">
        <f t="shared" ca="1" si="23"/>
        <v>verboa1959.jpg</v>
      </c>
      <c r="T169" s="4"/>
      <c r="V169">
        <f ca="1">RANDBETWEEN(2,COUNTA(rua_cod!A:A))</f>
        <v>72</v>
      </c>
      <c r="W169">
        <f t="shared" ca="1" si="24"/>
        <v>4</v>
      </c>
      <c r="X169">
        <f t="shared" ca="1" si="25"/>
        <v>1</v>
      </c>
      <c r="Y169">
        <f t="shared" ca="1" si="26"/>
        <v>2011</v>
      </c>
      <c r="Z169">
        <f t="shared" ca="1" si="27"/>
        <v>8</v>
      </c>
      <c r="AA169">
        <f t="shared" ca="1" si="28"/>
        <v>24</v>
      </c>
      <c r="AB169">
        <f t="shared" ca="1" si="29"/>
        <v>9</v>
      </c>
    </row>
    <row r="170" spans="1:28" x14ac:dyDescent="0.25">
      <c r="A170">
        <v>169</v>
      </c>
      <c r="B170" t="str" cm="1">
        <f t="array" aca="1" ref="B170" ca="1">replaceChar(LOWER(LEFT(D170,3)&amp;RIGHT(I170,3))&amp;LEFT(H170,4))</f>
        <v>afobal2910</v>
      </c>
      <c r="C170" t="str">
        <f t="shared" ca="1" si="20"/>
        <v>pswafobal2910</v>
      </c>
      <c r="D170" t="str">
        <f ca="1">Nomes!T171</f>
        <v>Afonso Luís Torres Barros</v>
      </c>
      <c r="E170" t="str">
        <f ca="1">Nomes!S171</f>
        <v>Masculino</v>
      </c>
      <c r="F170" s="2">
        <v>19794</v>
      </c>
      <c r="G170" t="str" cm="1">
        <f t="array" aca="1" ref="G170" ca="1">INDEX(rua_cod!$F:$F,RANDBETWEEN(2,COUNTA(rua_cod!F:F)))</f>
        <v>Rua Júlio César Machado</v>
      </c>
      <c r="H170" t="str" cm="1">
        <f t="array" aca="1" ref="H170" ca="1">INDEX(rua_cod!$A:$A,Users!V170) &amp; "-" &amp; TEXT(RANDBETWEEN(0,999),"000")</f>
        <v>2910-922</v>
      </c>
      <c r="I170" t="str" cm="1">
        <f t="array" aca="1" ref="I170" ca="1">INDEX(rua_cod!$B:$B,Users!V170)</f>
        <v>Setúbal</v>
      </c>
      <c r="J170" t="s">
        <v>3727</v>
      </c>
      <c r="K170" t="s">
        <v>225</v>
      </c>
      <c r="L170" t="s">
        <v>265</v>
      </c>
      <c r="M170" t="str">
        <f t="shared" ca="1" si="21"/>
        <v>82504700</v>
      </c>
      <c r="N170" t="str">
        <f t="shared" ca="1" si="22"/>
        <v>830923160</v>
      </c>
      <c r="O170" t="str">
        <f t="shared" ca="1" si="22"/>
        <v>657033233</v>
      </c>
      <c r="P170" t="str" cm="1">
        <f t="array" aca="1" ref="P170" ca="1">9 &amp; INDEX($AF$3:$AF$6,W170)&amp; TEXT(RANDBETWEEN(0,9999999),"0000000")</f>
        <v>928122580</v>
      </c>
      <c r="Q170" t="str" cm="1">
        <f t="array" aca="1" ref="Q170" ca="1">LOWER(B170) &amp; INDEX($AF$9:$AF$11,X170)</f>
        <v>afobal2910@outlook.com</v>
      </c>
      <c r="R170" t="str">
        <f t="shared" ca="1" si="23"/>
        <v>afobal2910.jpg</v>
      </c>
      <c r="T170" s="4"/>
      <c r="V170">
        <f ca="1">RANDBETWEEN(2,COUNTA(rua_cod!A:A))</f>
        <v>97</v>
      </c>
      <c r="W170">
        <f t="shared" ca="1" si="24"/>
        <v>2</v>
      </c>
      <c r="X170">
        <f t="shared" ca="1" si="25"/>
        <v>1</v>
      </c>
      <c r="Y170">
        <f t="shared" ca="1" si="26"/>
        <v>1984</v>
      </c>
      <c r="Z170">
        <f t="shared" ca="1" si="27"/>
        <v>3</v>
      </c>
      <c r="AA170">
        <f t="shared" ca="1" si="28"/>
        <v>6</v>
      </c>
      <c r="AB170">
        <f t="shared" ca="1" si="29"/>
        <v>36</v>
      </c>
    </row>
    <row r="171" spans="1:28" x14ac:dyDescent="0.25">
      <c r="A171">
        <v>170</v>
      </c>
      <c r="B171" t="str" cm="1">
        <f t="array" aca="1" ref="B171" ca="1">replaceChar(LOWER(LEFT(D171,3)&amp;RIGHT(I171,3))&amp;LEFT(H171,4))</f>
        <v>duaboa1050</v>
      </c>
      <c r="C171" t="str">
        <f t="shared" ca="1" si="20"/>
        <v>pswduaboa1050</v>
      </c>
      <c r="D171" t="str">
        <f ca="1">Nomes!T172</f>
        <v>Duarte Tomás Vaz Correia</v>
      </c>
      <c r="E171" t="str">
        <f ca="1">Nomes!S172</f>
        <v>Masculino</v>
      </c>
      <c r="F171" s="2">
        <v>18245</v>
      </c>
      <c r="G171" t="str" cm="1">
        <f t="array" aca="1" ref="G171" ca="1">INDEX(rua_cod!$F:$F,RANDBETWEEN(2,COUNTA(rua_cod!F:F)))</f>
        <v>Travessa de São João da Praça</v>
      </c>
      <c r="H171" t="str" cm="1">
        <f t="array" aca="1" ref="H171" ca="1">INDEX(rua_cod!$A:$A,Users!V171) &amp; "-" &amp; TEXT(RANDBETWEEN(0,999),"000")</f>
        <v>1050-524</v>
      </c>
      <c r="I171" t="str" cm="1">
        <f t="array" aca="1" ref="I171" ca="1">INDEX(rua_cod!$B:$B,Users!V171)</f>
        <v>Lisboa</v>
      </c>
      <c r="J171" t="s">
        <v>3727</v>
      </c>
      <c r="K171" t="s">
        <v>225</v>
      </c>
      <c r="L171" t="s">
        <v>265</v>
      </c>
      <c r="M171" t="str">
        <f t="shared" ca="1" si="21"/>
        <v>50955065</v>
      </c>
      <c r="N171" t="str">
        <f t="shared" ca="1" si="22"/>
        <v>949555201</v>
      </c>
      <c r="O171" t="str">
        <f t="shared" ca="1" si="22"/>
        <v>278877367</v>
      </c>
      <c r="P171" t="str" cm="1">
        <f t="array" aca="1" ref="P171" ca="1">9 &amp; INDEX($AF$3:$AF$6,W171)&amp; TEXT(RANDBETWEEN(0,9999999),"0000000")</f>
        <v>964235924</v>
      </c>
      <c r="Q171" t="str" cm="1">
        <f t="array" aca="1" ref="Q171" ca="1">LOWER(B171) &amp; INDEX($AF$9:$AF$11,X171)</f>
        <v>duaboa1050@sapo.pt</v>
      </c>
      <c r="R171" t="str">
        <f t="shared" ca="1" si="23"/>
        <v>duaboa1050.jpg</v>
      </c>
      <c r="T171" s="4"/>
      <c r="V171">
        <f ca="1">RANDBETWEEN(2,COUNTA(rua_cod!A:A))</f>
        <v>66</v>
      </c>
      <c r="W171">
        <f t="shared" ca="1" si="24"/>
        <v>4</v>
      </c>
      <c r="X171">
        <f t="shared" ca="1" si="25"/>
        <v>3</v>
      </c>
      <c r="Y171">
        <f t="shared" ca="1" si="26"/>
        <v>1968</v>
      </c>
      <c r="Z171">
        <f t="shared" ca="1" si="27"/>
        <v>11</v>
      </c>
      <c r="AA171">
        <f t="shared" ca="1" si="28"/>
        <v>18</v>
      </c>
      <c r="AB171">
        <f t="shared" ca="1" si="29"/>
        <v>52</v>
      </c>
    </row>
    <row r="172" spans="1:28" x14ac:dyDescent="0.25">
      <c r="A172">
        <v>171</v>
      </c>
      <c r="B172" t="str" cm="1">
        <f t="array" aca="1" ref="B172" ca="1">replaceChar(LOWER(LEFT(D172,3)&amp;RIGHT(I172,3))&amp;LEFT(H172,4))</f>
        <v>tomboa1300</v>
      </c>
      <c r="C172" t="str">
        <f t="shared" ca="1" si="20"/>
        <v>pswtomboa1300</v>
      </c>
      <c r="D172" t="str">
        <f ca="1">Nomes!T173</f>
        <v>Tomás Leonor Neves Carvalho</v>
      </c>
      <c r="E172" t="str">
        <f ca="1">Nomes!S173</f>
        <v>Masculino</v>
      </c>
      <c r="F172" s="2">
        <v>36726</v>
      </c>
      <c r="G172" t="str" cm="1">
        <f t="array" aca="1" ref="G172" ca="1">INDEX(rua_cod!$F:$F,RANDBETWEEN(2,COUNTA(rua_cod!F:F)))</f>
        <v>Rua Roberto Duarte Silva</v>
      </c>
      <c r="H172" t="str" cm="1">
        <f t="array" aca="1" ref="H172" ca="1">INDEX(rua_cod!$A:$A,Users!V172) &amp; "-" &amp; TEXT(RANDBETWEEN(0,999),"000")</f>
        <v>1300-778</v>
      </c>
      <c r="I172" t="str" cm="1">
        <f t="array" aca="1" ref="I172" ca="1">INDEX(rua_cod!$B:$B,Users!V172)</f>
        <v>Lisboa</v>
      </c>
      <c r="J172" t="s">
        <v>3727</v>
      </c>
      <c r="K172" t="s">
        <v>225</v>
      </c>
      <c r="L172" t="s">
        <v>265</v>
      </c>
      <c r="M172" t="str">
        <f t="shared" ca="1" si="21"/>
        <v>67256559</v>
      </c>
      <c r="N172" t="str">
        <f t="shared" ca="1" si="22"/>
        <v>887170556</v>
      </c>
      <c r="O172" t="str">
        <f t="shared" ca="1" si="22"/>
        <v>196304703</v>
      </c>
      <c r="P172" t="str" cm="1">
        <f t="array" aca="1" ref="P172" ca="1">9 &amp; INDEX($AF$3:$AF$6,W172)&amp; TEXT(RANDBETWEEN(0,9999999),"0000000")</f>
        <v>960681899</v>
      </c>
      <c r="Q172" t="str" cm="1">
        <f t="array" aca="1" ref="Q172" ca="1">LOWER(B172) &amp; INDEX($AF$9:$AF$11,X172)</f>
        <v>tomboa1300@gmail.com</v>
      </c>
      <c r="R172" t="str">
        <f t="shared" ca="1" si="23"/>
        <v>tomboa1300.jpg</v>
      </c>
      <c r="T172" s="4"/>
      <c r="V172">
        <f ca="1">RANDBETWEEN(2,COUNTA(rua_cod!A:A))</f>
        <v>58</v>
      </c>
      <c r="W172">
        <f t="shared" ca="1" si="24"/>
        <v>4</v>
      </c>
      <c r="X172">
        <f t="shared" ca="1" si="25"/>
        <v>2</v>
      </c>
      <c r="Y172">
        <f t="shared" ca="1" si="26"/>
        <v>1978</v>
      </c>
      <c r="Z172">
        <f t="shared" ca="1" si="27"/>
        <v>5</v>
      </c>
      <c r="AA172">
        <f t="shared" ca="1" si="28"/>
        <v>31</v>
      </c>
      <c r="AB172">
        <f t="shared" ca="1" si="29"/>
        <v>42</v>
      </c>
    </row>
    <row r="173" spans="1:28" x14ac:dyDescent="0.25">
      <c r="A173">
        <v>172</v>
      </c>
      <c r="B173" t="str" cm="1">
        <f t="array" aca="1" ref="B173" ca="1">replaceChar(LOWER(LEFT(D173,3)&amp;RIGHT(I173,3))&amp;LEFT(H173,4))</f>
        <v>joaica2829</v>
      </c>
      <c r="C173" t="str">
        <f t="shared" ca="1" si="20"/>
        <v>pswjoaica2829</v>
      </c>
      <c r="D173" t="str">
        <f ca="1">Nomes!T174</f>
        <v>Joaquim Afonso Branco Carneiro</v>
      </c>
      <c r="E173" t="str">
        <f ca="1">Nomes!S174</f>
        <v>Masculino</v>
      </c>
      <c r="F173" s="2">
        <v>21504</v>
      </c>
      <c r="G173" t="str" cm="1">
        <f t="array" aca="1" ref="G173" ca="1">INDEX(rua_cod!$F:$F,RANDBETWEEN(2,COUNTA(rua_cod!F:F)))</f>
        <v>Rua dos Fanqueiros</v>
      </c>
      <c r="H173" t="str" cm="1">
        <f t="array" aca="1" ref="H173" ca="1">INDEX(rua_cod!$A:$A,Users!V173) &amp; "-" &amp; TEXT(RANDBETWEEN(0,999),"000")</f>
        <v>2829-405</v>
      </c>
      <c r="I173" t="str" cm="1">
        <f t="array" aca="1" ref="I173" ca="1">INDEX(rua_cod!$B:$B,Users!V173)</f>
        <v>Costa de Caparica</v>
      </c>
      <c r="J173" t="s">
        <v>3727</v>
      </c>
      <c r="K173" t="s">
        <v>225</v>
      </c>
      <c r="L173" t="s">
        <v>265</v>
      </c>
      <c r="M173" t="str">
        <f t="shared" ca="1" si="21"/>
        <v>10952317</v>
      </c>
      <c r="N173" t="str">
        <f t="shared" ca="1" si="22"/>
        <v>134532373</v>
      </c>
      <c r="O173" t="str">
        <f t="shared" ca="1" si="22"/>
        <v>708503980</v>
      </c>
      <c r="P173" t="str" cm="1">
        <f t="array" aca="1" ref="P173" ca="1">9 &amp; INDEX($AF$3:$AF$6,W173)&amp; TEXT(RANDBETWEEN(0,9999999),"0000000")</f>
        <v>920419488</v>
      </c>
      <c r="Q173" t="str" cm="1">
        <f t="array" aca="1" ref="Q173" ca="1">LOWER(B173) &amp; INDEX($AF$9:$AF$11,X173)</f>
        <v>joaica2829@gmail.com</v>
      </c>
      <c r="R173" t="str">
        <f t="shared" ca="1" si="23"/>
        <v>joaica2829.jpg</v>
      </c>
      <c r="T173" s="4"/>
      <c r="V173">
        <f ca="1">RANDBETWEEN(2,COUNTA(rua_cod!A:A))</f>
        <v>28</v>
      </c>
      <c r="W173">
        <f t="shared" ca="1" si="24"/>
        <v>2</v>
      </c>
      <c r="X173">
        <f t="shared" ca="1" si="25"/>
        <v>2</v>
      </c>
      <c r="Y173">
        <f t="shared" ca="1" si="26"/>
        <v>1977</v>
      </c>
      <c r="Z173">
        <f t="shared" ca="1" si="27"/>
        <v>8</v>
      </c>
      <c r="AA173">
        <f t="shared" ca="1" si="28"/>
        <v>22</v>
      </c>
      <c r="AB173">
        <f t="shared" ca="1" si="29"/>
        <v>43</v>
      </c>
    </row>
    <row r="174" spans="1:28" x14ac:dyDescent="0.25">
      <c r="A174">
        <v>173</v>
      </c>
      <c r="B174" t="str" cm="1">
        <f t="array" aca="1" ref="B174" ca="1">replaceChar(LOWER(LEFT(D174,3)&amp;RIGHT(I174,3))&amp;LEFT(H174,4))</f>
        <v>carada2800</v>
      </c>
      <c r="C174" t="str">
        <f t="shared" ca="1" si="20"/>
        <v>pswcarada2800</v>
      </c>
      <c r="D174" t="str">
        <f ca="1">Nomes!T175</f>
        <v>Carolina Lara Nunes Gaspar</v>
      </c>
      <c r="E174" t="str">
        <f ca="1">Nomes!S175</f>
        <v>Feminino</v>
      </c>
      <c r="F174" s="2">
        <v>20070</v>
      </c>
      <c r="G174" t="str" cm="1">
        <f t="array" aca="1" ref="G174" ca="1">INDEX(rua_cod!$F:$F,RANDBETWEEN(2,COUNTA(rua_cod!F:F)))</f>
        <v>Calçada do Moinho de Vento</v>
      </c>
      <c r="H174" t="str" cm="1">
        <f t="array" aca="1" ref="H174" ca="1">INDEX(rua_cod!$A:$A,Users!V174) &amp; "-" &amp; TEXT(RANDBETWEEN(0,999),"000")</f>
        <v>2800-008</v>
      </c>
      <c r="I174" t="str" cm="1">
        <f t="array" aca="1" ref="I174" ca="1">INDEX(rua_cod!$B:$B,Users!V174)</f>
        <v>Almada</v>
      </c>
      <c r="J174" t="s">
        <v>3727</v>
      </c>
      <c r="K174" t="s">
        <v>225</v>
      </c>
      <c r="L174" t="s">
        <v>265</v>
      </c>
      <c r="M174" t="str">
        <f t="shared" ca="1" si="21"/>
        <v>44321975</v>
      </c>
      <c r="N174" t="str">
        <f t="shared" ca="1" si="22"/>
        <v>261674270</v>
      </c>
      <c r="O174" t="str">
        <f t="shared" ca="1" si="22"/>
        <v>812981051</v>
      </c>
      <c r="P174" t="str" cm="1">
        <f t="array" aca="1" ref="P174" ca="1">9 &amp; INDEX($AF$3:$AF$6,W174)&amp; TEXT(RANDBETWEEN(0,9999999),"0000000")</f>
        <v>918945367</v>
      </c>
      <c r="Q174" t="str" cm="1">
        <f t="array" aca="1" ref="Q174" ca="1">LOWER(B174) &amp; INDEX($AF$9:$AF$11,X174)</f>
        <v>carada2800@outlook.com</v>
      </c>
      <c r="R174" t="str">
        <f t="shared" ca="1" si="23"/>
        <v>carada2800.jpg</v>
      </c>
      <c r="T174" s="4"/>
      <c r="V174">
        <f ca="1">RANDBETWEEN(2,COUNTA(rua_cod!A:A))</f>
        <v>2</v>
      </c>
      <c r="W174">
        <f t="shared" ca="1" si="24"/>
        <v>1</v>
      </c>
      <c r="X174">
        <f t="shared" ca="1" si="25"/>
        <v>1</v>
      </c>
      <c r="Y174">
        <f t="shared" ca="1" si="26"/>
        <v>1960</v>
      </c>
      <c r="Z174">
        <f t="shared" ca="1" si="27"/>
        <v>11</v>
      </c>
      <c r="AA174">
        <f t="shared" ca="1" si="28"/>
        <v>25</v>
      </c>
      <c r="AB174">
        <f t="shared" ca="1" si="29"/>
        <v>60</v>
      </c>
    </row>
    <row r="175" spans="1:28" x14ac:dyDescent="0.25">
      <c r="A175">
        <v>174</v>
      </c>
      <c r="B175" t="str" cm="1">
        <f t="array" aca="1" ref="B175" ca="1">replaceChar(LOWER(LEFT(D175,3)&amp;RIGHT(I175,3))&amp;LEFT(H175,4))</f>
        <v>tombal2914</v>
      </c>
      <c r="C175" t="str">
        <f t="shared" ca="1" si="20"/>
        <v>pswtombal2914</v>
      </c>
      <c r="D175" t="str">
        <f ca="1">Nomes!T176</f>
        <v>Tomás Francisca Paiva Matos</v>
      </c>
      <c r="E175" t="str">
        <f ca="1">Nomes!S176</f>
        <v>Masculino</v>
      </c>
      <c r="F175" s="2">
        <v>24653</v>
      </c>
      <c r="G175" t="str" cm="1">
        <f t="array" aca="1" ref="G175" ca="1">INDEX(rua_cod!$F:$F,RANDBETWEEN(2,COUNTA(rua_cod!F:F)))</f>
        <v>Rua de São Mamede</v>
      </c>
      <c r="H175" t="str" cm="1">
        <f t="array" aca="1" ref="H175" ca="1">INDEX(rua_cod!$A:$A,Users!V175) &amp; "-" &amp; TEXT(RANDBETWEEN(0,999),"000")</f>
        <v>2914-553</v>
      </c>
      <c r="I175" t="str" cm="1">
        <f t="array" aca="1" ref="I175" ca="1">INDEX(rua_cod!$B:$B,Users!V175)</f>
        <v>Setúbal</v>
      </c>
      <c r="J175" t="s">
        <v>3727</v>
      </c>
      <c r="K175" t="s">
        <v>225</v>
      </c>
      <c r="L175" t="s">
        <v>265</v>
      </c>
      <c r="M175" t="str">
        <f t="shared" ca="1" si="21"/>
        <v>65965255</v>
      </c>
      <c r="N175" t="str">
        <f t="shared" ca="1" si="22"/>
        <v>406336385</v>
      </c>
      <c r="O175" t="str">
        <f t="shared" ca="1" si="22"/>
        <v>955045964</v>
      </c>
      <c r="P175" t="str" cm="1">
        <f t="array" aca="1" ref="P175" ca="1">9 &amp; INDEX($AF$3:$AF$6,W175)&amp; TEXT(RANDBETWEEN(0,9999999),"0000000")</f>
        <v>918558290</v>
      </c>
      <c r="Q175" t="str" cm="1">
        <f t="array" aca="1" ref="Q175" ca="1">LOWER(B175) &amp; INDEX($AF$9:$AF$11,X175)</f>
        <v>tombal2914@gmail.com</v>
      </c>
      <c r="R175" t="str">
        <f t="shared" ca="1" si="23"/>
        <v>tombal2914.jpg</v>
      </c>
      <c r="T175" s="4"/>
      <c r="V175">
        <f ca="1">RANDBETWEEN(2,COUNTA(rua_cod!A:A))</f>
        <v>98</v>
      </c>
      <c r="W175">
        <f t="shared" ca="1" si="24"/>
        <v>1</v>
      </c>
      <c r="X175">
        <f t="shared" ca="1" si="25"/>
        <v>2</v>
      </c>
      <c r="Y175">
        <f t="shared" ca="1" si="26"/>
        <v>1956</v>
      </c>
      <c r="Z175">
        <f t="shared" ca="1" si="27"/>
        <v>5</v>
      </c>
      <c r="AA175">
        <f t="shared" ca="1" si="28"/>
        <v>19</v>
      </c>
      <c r="AB175">
        <f t="shared" ca="1" si="29"/>
        <v>64</v>
      </c>
    </row>
    <row r="176" spans="1:28" x14ac:dyDescent="0.25">
      <c r="A176">
        <v>175</v>
      </c>
      <c r="B176" t="str" cm="1">
        <f t="array" aca="1" ref="B176" ca="1">replaceChar(LOWER(LEFT(D176,3)&amp;RIGHT(I176,3))&amp;LEFT(H176,4))</f>
        <v>rodboa1800</v>
      </c>
      <c r="C176" t="str">
        <f t="shared" ca="1" si="20"/>
        <v>pswrodboa1800</v>
      </c>
      <c r="D176" t="str">
        <f ca="1">Nomes!T177</f>
        <v>Rodrigo Lurdes Soares Teixeira</v>
      </c>
      <c r="E176" t="str">
        <f ca="1">Nomes!S177</f>
        <v>Masculino</v>
      </c>
      <c r="F176" s="2">
        <v>43783</v>
      </c>
      <c r="G176" t="str" cm="1">
        <f t="array" aca="1" ref="G176" ca="1">INDEX(rua_cod!$F:$F,RANDBETWEEN(2,COUNTA(rua_cod!F:F)))</f>
        <v>Rua do Carmo</v>
      </c>
      <c r="H176" t="str" cm="1">
        <f t="array" aca="1" ref="H176" ca="1">INDEX(rua_cod!$A:$A,Users!V176) &amp; "-" &amp; TEXT(RANDBETWEEN(0,999),"000")</f>
        <v>1800-643</v>
      </c>
      <c r="I176" t="str" cm="1">
        <f t="array" aca="1" ref="I176" ca="1">INDEX(rua_cod!$B:$B,Users!V176)</f>
        <v>Lisboa</v>
      </c>
      <c r="J176" t="s">
        <v>3727</v>
      </c>
      <c r="K176" t="s">
        <v>225</v>
      </c>
      <c r="L176" t="s">
        <v>265</v>
      </c>
      <c r="M176" t="str">
        <f t="shared" ca="1" si="21"/>
        <v>89226968</v>
      </c>
      <c r="N176" t="str">
        <f t="shared" ca="1" si="22"/>
        <v>156968391</v>
      </c>
      <c r="O176" t="str">
        <f t="shared" ca="1" si="22"/>
        <v>732445883</v>
      </c>
      <c r="P176" t="str" cm="1">
        <f t="array" aca="1" ref="P176" ca="1">9 &amp; INDEX($AF$3:$AF$6,W176)&amp; TEXT(RANDBETWEEN(0,9999999),"0000000")</f>
        <v>915948080</v>
      </c>
      <c r="Q176" t="str" cm="1">
        <f t="array" aca="1" ref="Q176" ca="1">LOWER(B176) &amp; INDEX($AF$9:$AF$11,X176)</f>
        <v>rodboa1800@sapo.pt</v>
      </c>
      <c r="R176" t="str">
        <f t="shared" ca="1" si="23"/>
        <v>rodboa1800.jpg</v>
      </c>
      <c r="T176" s="4"/>
      <c r="V176">
        <f ca="1">RANDBETWEEN(2,COUNTA(rua_cod!A:A))</f>
        <v>56</v>
      </c>
      <c r="W176">
        <f t="shared" ca="1" si="24"/>
        <v>1</v>
      </c>
      <c r="X176">
        <f t="shared" ca="1" si="25"/>
        <v>3</v>
      </c>
      <c r="Y176">
        <f t="shared" ca="1" si="26"/>
        <v>1981</v>
      </c>
      <c r="Z176">
        <f t="shared" ca="1" si="27"/>
        <v>3</v>
      </c>
      <c r="AA176">
        <f t="shared" ca="1" si="28"/>
        <v>1</v>
      </c>
      <c r="AB176">
        <f t="shared" ca="1" si="29"/>
        <v>39</v>
      </c>
    </row>
    <row r="177" spans="1:28" x14ac:dyDescent="0.25">
      <c r="A177">
        <v>176</v>
      </c>
      <c r="B177" t="str" cm="1">
        <f t="array" aca="1" ref="B177" ca="1">replaceChar(LOWER(LEFT(D177,3)&amp;RIGHT(I177,3))&amp;LEFT(H177,4))</f>
        <v>migria2420</v>
      </c>
      <c r="C177" t="str">
        <f t="shared" ca="1" si="20"/>
        <v>pswmigria2420</v>
      </c>
      <c r="D177" t="str">
        <f ca="1">Nomes!T178</f>
        <v>Miguel Laura Abreu Brito</v>
      </c>
      <c r="E177" t="str">
        <f ca="1">Nomes!S178</f>
        <v>Masculino</v>
      </c>
      <c r="F177" s="2">
        <v>36076</v>
      </c>
      <c r="G177" t="str" cm="1">
        <f t="array" aca="1" ref="G177" ca="1">INDEX(rua_cod!$F:$F,RANDBETWEEN(2,COUNTA(rua_cod!F:F)))</f>
        <v>Rua da Oliveira ao Carmo</v>
      </c>
      <c r="H177" t="str" cm="1">
        <f t="array" aca="1" ref="H177" ca="1">INDEX(rua_cod!$A:$A,Users!V177) &amp; "-" &amp; TEXT(RANDBETWEEN(0,999),"000")</f>
        <v>2420-488</v>
      </c>
      <c r="I177" t="str" cm="1">
        <f t="array" aca="1" ref="I177" ca="1">INDEX(rua_cod!$B:$B,Users!V177)</f>
        <v>Leiria</v>
      </c>
      <c r="J177" t="s">
        <v>3727</v>
      </c>
      <c r="K177" t="s">
        <v>225</v>
      </c>
      <c r="L177" t="s">
        <v>265</v>
      </c>
      <c r="M177" t="str">
        <f t="shared" ca="1" si="21"/>
        <v>78942456</v>
      </c>
      <c r="N177" t="str">
        <f t="shared" ca="1" si="22"/>
        <v>203010152</v>
      </c>
      <c r="O177" t="str">
        <f t="shared" ca="1" si="22"/>
        <v>842712288</v>
      </c>
      <c r="P177" t="str" cm="1">
        <f t="array" aca="1" ref="P177" ca="1">9 &amp; INDEX($AF$3:$AF$6,W177)&amp; TEXT(RANDBETWEEN(0,9999999),"0000000")</f>
        <v>933632903</v>
      </c>
      <c r="Q177" t="str" cm="1">
        <f t="array" aca="1" ref="Q177" ca="1">LOWER(B177) &amp; INDEX($AF$9:$AF$11,X177)</f>
        <v>migria2420@gmail.com</v>
      </c>
      <c r="R177" t="str">
        <f t="shared" ca="1" si="23"/>
        <v>migria2420.jpg</v>
      </c>
      <c r="T177" s="4"/>
      <c r="V177">
        <f ca="1">RANDBETWEEN(2,COUNTA(rua_cod!A:A))</f>
        <v>33</v>
      </c>
      <c r="W177">
        <f t="shared" ca="1" si="24"/>
        <v>3</v>
      </c>
      <c r="X177">
        <f t="shared" ca="1" si="25"/>
        <v>2</v>
      </c>
      <c r="Y177">
        <f t="shared" ca="1" si="26"/>
        <v>1991</v>
      </c>
      <c r="Z177">
        <f t="shared" ca="1" si="27"/>
        <v>10</v>
      </c>
      <c r="AA177">
        <f t="shared" ca="1" si="28"/>
        <v>14</v>
      </c>
      <c r="AB177">
        <f t="shared" ca="1" si="29"/>
        <v>29</v>
      </c>
    </row>
    <row r="178" spans="1:28" x14ac:dyDescent="0.25">
      <c r="A178">
        <v>177</v>
      </c>
      <c r="B178" t="str" cm="1">
        <f t="array" aca="1" ref="B178" ca="1">replaceChar(LOWER(LEFT(D178,3)&amp;RIGHT(I178,3))&amp;LEFT(H178,4))</f>
        <v>migora2614</v>
      </c>
      <c r="C178" t="str">
        <f t="shared" ca="1" si="20"/>
        <v>pswmigora2614</v>
      </c>
      <c r="D178" t="str">
        <f ca="1">Nomes!T179</f>
        <v>Miguel José Carneiro Lourenço</v>
      </c>
      <c r="E178" t="str">
        <f ca="1">Nomes!S179</f>
        <v>Masculino</v>
      </c>
      <c r="F178" s="2">
        <v>25872</v>
      </c>
      <c r="G178" t="str" cm="1">
        <f t="array" aca="1" ref="G178" ca="1">INDEX(rua_cod!$F:$F,RANDBETWEEN(2,COUNTA(rua_cod!F:F)))</f>
        <v>Rua dos Bacalhoeiros</v>
      </c>
      <c r="H178" t="str" cm="1">
        <f t="array" aca="1" ref="H178" ca="1">INDEX(rua_cod!$A:$A,Users!V178) &amp; "-" &amp; TEXT(RANDBETWEEN(0,999),"000")</f>
        <v>2614-105</v>
      </c>
      <c r="I178" t="str" cm="1">
        <f t="array" aca="1" ref="I178" ca="1">INDEX(rua_cod!$B:$B,Users!V178)</f>
        <v>Amadora</v>
      </c>
      <c r="J178" t="s">
        <v>3727</v>
      </c>
      <c r="K178" t="s">
        <v>225</v>
      </c>
      <c r="L178" t="s">
        <v>265</v>
      </c>
      <c r="M178" t="str">
        <f t="shared" ca="1" si="21"/>
        <v>38170559</v>
      </c>
      <c r="N178" t="str">
        <f t="shared" ca="1" si="22"/>
        <v>584231720</v>
      </c>
      <c r="O178" t="str">
        <f t="shared" ca="1" si="22"/>
        <v>660476474</v>
      </c>
      <c r="P178" t="str" cm="1">
        <f t="array" aca="1" ref="P178" ca="1">9 &amp; INDEX($AF$3:$AF$6,W178)&amp; TEXT(RANDBETWEEN(0,9999999),"0000000")</f>
        <v>917619077</v>
      </c>
      <c r="Q178" t="str" cm="1">
        <f t="array" aca="1" ref="Q178" ca="1">LOWER(B178) &amp; INDEX($AF$9:$AF$11,X178)</f>
        <v>migora2614@gmail.com</v>
      </c>
      <c r="R178" t="str">
        <f t="shared" ca="1" si="23"/>
        <v>migora2614.jpg</v>
      </c>
      <c r="T178" s="4"/>
      <c r="V178">
        <f ca="1">RANDBETWEEN(2,COUNTA(rua_cod!A:A))</f>
        <v>11</v>
      </c>
      <c r="W178">
        <f t="shared" ca="1" si="24"/>
        <v>1</v>
      </c>
      <c r="X178">
        <f t="shared" ca="1" si="25"/>
        <v>2</v>
      </c>
      <c r="Y178">
        <f t="shared" ca="1" si="26"/>
        <v>1997</v>
      </c>
      <c r="Z178">
        <f t="shared" ca="1" si="27"/>
        <v>7</v>
      </c>
      <c r="AA178">
        <f t="shared" ca="1" si="28"/>
        <v>28</v>
      </c>
      <c r="AB178">
        <f t="shared" ca="1" si="29"/>
        <v>23</v>
      </c>
    </row>
    <row r="179" spans="1:28" x14ac:dyDescent="0.25">
      <c r="A179">
        <v>178</v>
      </c>
      <c r="B179" t="str" cm="1">
        <f t="array" aca="1" ref="B179" ca="1">replaceChar(LOWER(LEFT(D179,3)&amp;RIGHT(I179,3))&amp;LEFT(H179,4))</f>
        <v>sarboa1750</v>
      </c>
      <c r="C179" t="str">
        <f t="shared" ca="1" si="20"/>
        <v>pswsarboa1750</v>
      </c>
      <c r="D179" t="str">
        <f ca="1">Nomes!T180</f>
        <v>Sara Diogo Sousa Figueiredo</v>
      </c>
      <c r="E179" t="str">
        <f ca="1">Nomes!S180</f>
        <v>Feminino</v>
      </c>
      <c r="F179" s="2">
        <v>30608</v>
      </c>
      <c r="G179" t="str" cm="1">
        <f t="array" aca="1" ref="G179" ca="1">INDEX(rua_cod!$F:$F,RANDBETWEEN(2,COUNTA(rua_cod!F:F)))</f>
        <v>Calçada de Carriche</v>
      </c>
      <c r="H179" t="str" cm="1">
        <f t="array" aca="1" ref="H179" ca="1">INDEX(rua_cod!$A:$A,Users!V179) &amp; "-" &amp; TEXT(RANDBETWEEN(0,999),"000")</f>
        <v>1750-032</v>
      </c>
      <c r="I179" t="str" cm="1">
        <f t="array" aca="1" ref="I179" ca="1">INDEX(rua_cod!$B:$B,Users!V179)</f>
        <v>Lisboa</v>
      </c>
      <c r="J179" t="s">
        <v>3727</v>
      </c>
      <c r="K179" t="s">
        <v>225</v>
      </c>
      <c r="L179" t="s">
        <v>265</v>
      </c>
      <c r="M179" t="str">
        <f t="shared" ca="1" si="21"/>
        <v>35871112</v>
      </c>
      <c r="N179" t="str">
        <f t="shared" ca="1" si="22"/>
        <v>270091364</v>
      </c>
      <c r="O179" t="str">
        <f t="shared" ca="1" si="22"/>
        <v>498318335</v>
      </c>
      <c r="P179" t="str" cm="1">
        <f t="array" aca="1" ref="P179" ca="1">9 &amp; INDEX($AF$3:$AF$6,W179)&amp; TEXT(RANDBETWEEN(0,9999999),"0000000")</f>
        <v>910680690</v>
      </c>
      <c r="Q179" t="str" cm="1">
        <f t="array" aca="1" ref="Q179" ca="1">LOWER(B179) &amp; INDEX($AF$9:$AF$11,X179)</f>
        <v>sarboa1750@outlook.com</v>
      </c>
      <c r="R179" t="str">
        <f t="shared" ca="1" si="23"/>
        <v>sarboa1750.jpg</v>
      </c>
      <c r="T179" s="4"/>
      <c r="V179">
        <f ca="1">RANDBETWEEN(2,COUNTA(rua_cod!A:A))</f>
        <v>49</v>
      </c>
      <c r="W179">
        <f t="shared" ca="1" si="24"/>
        <v>1</v>
      </c>
      <c r="X179">
        <f t="shared" ca="1" si="25"/>
        <v>1</v>
      </c>
      <c r="Y179">
        <f t="shared" ca="1" si="26"/>
        <v>1983</v>
      </c>
      <c r="Z179">
        <f t="shared" ca="1" si="27"/>
        <v>6</v>
      </c>
      <c r="AA179">
        <f t="shared" ca="1" si="28"/>
        <v>23</v>
      </c>
      <c r="AB179">
        <f t="shared" ca="1" si="29"/>
        <v>37</v>
      </c>
    </row>
    <row r="180" spans="1:28" x14ac:dyDescent="0.25">
      <c r="A180">
        <v>179</v>
      </c>
      <c r="B180" t="str" cm="1">
        <f t="array" aca="1" ref="B180" ca="1">replaceChar(LOWER(LEFT(D180,3)&amp;RIGHT(I180,3))&amp;LEFT(H180,4))</f>
        <v>leoada2809</v>
      </c>
      <c r="C180" t="str">
        <f t="shared" ca="1" si="20"/>
        <v>pswleoada2809</v>
      </c>
      <c r="D180" t="str">
        <f ca="1">Nomes!T181</f>
        <v>Leonor Ana Paiva Faria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Rua Júlio César Machado</v>
      </c>
      <c r="H180" t="str" cm="1">
        <f t="array" aca="1" ref="H180" ca="1">INDEX(rua_cod!$A:$A,Users!V180) &amp; "-" &amp; TEXT(RANDBETWEEN(0,999),"000")</f>
        <v>2809-146</v>
      </c>
      <c r="I180" t="str" cm="1">
        <f t="array" aca="1" ref="I180" ca="1">INDEX(rua_cod!$B:$B,Users!V180)</f>
        <v>Almada</v>
      </c>
      <c r="J180" t="s">
        <v>3727</v>
      </c>
      <c r="K180" t="s">
        <v>225</v>
      </c>
      <c r="L180" t="s">
        <v>265</v>
      </c>
      <c r="M180" t="str">
        <f t="shared" ca="1" si="21"/>
        <v>21280016</v>
      </c>
      <c r="N180" t="str">
        <f t="shared" ca="1" si="22"/>
        <v>719023089</v>
      </c>
      <c r="O180" t="str">
        <f t="shared" ca="1" si="22"/>
        <v>271758295</v>
      </c>
      <c r="P180" t="str" cm="1">
        <f t="array" aca="1" ref="P180" ca="1">9 &amp; INDEX($AF$3:$AF$6,W180)&amp; TEXT(RANDBETWEEN(0,9999999),"0000000")</f>
        <v>962005990</v>
      </c>
      <c r="Q180" t="str" cm="1">
        <f t="array" aca="1" ref="Q180" ca="1">LOWER(B180) &amp; INDEX($AF$9:$AF$11,X180)</f>
        <v>leoada2809@sapo.pt</v>
      </c>
      <c r="R180" t="str">
        <f t="shared" ca="1" si="23"/>
        <v>leoada2809.jpg</v>
      </c>
      <c r="T180" s="4"/>
      <c r="V180">
        <f ca="1">RANDBETWEEN(2,COUNTA(rua_cod!A:A))</f>
        <v>5</v>
      </c>
      <c r="W180">
        <f t="shared" ca="1" si="24"/>
        <v>4</v>
      </c>
      <c r="X180">
        <f t="shared" ca="1" si="25"/>
        <v>3</v>
      </c>
      <c r="Y180">
        <f t="shared" ca="1" si="26"/>
        <v>1995</v>
      </c>
      <c r="Z180">
        <f t="shared" ca="1" si="27"/>
        <v>2</v>
      </c>
      <c r="AA180">
        <f t="shared" ca="1" si="28"/>
        <v>5</v>
      </c>
      <c r="AB180">
        <f t="shared" ca="1" si="29"/>
        <v>25</v>
      </c>
    </row>
    <row r="181" spans="1:28" x14ac:dyDescent="0.25">
      <c r="A181">
        <v>180</v>
      </c>
      <c r="B181" t="str" cm="1">
        <f t="array" aca="1" ref="B181" ca="1">replaceChar(LOWER(LEFT(D181,3)&amp;RIGHT(I181,3))&amp;LEFT(H181,4))</f>
        <v>larlos2775</v>
      </c>
      <c r="C181" t="str">
        <f t="shared" ca="1" si="20"/>
        <v>pswlarlos2775</v>
      </c>
      <c r="D181" t="str">
        <f ca="1">Nomes!T182</f>
        <v>Lara Sara Paiva Teixeira</v>
      </c>
      <c r="E181" t="str">
        <f ca="1">Nomes!S182</f>
        <v>Feminino</v>
      </c>
      <c r="F181" s="2">
        <v>42761</v>
      </c>
      <c r="G181" t="str" cm="1">
        <f t="array" aca="1" ref="G181" ca="1">INDEX(rua_cod!$F:$F,RANDBETWEEN(2,COUNTA(rua_cod!F:F)))</f>
        <v>Rua do Instituto Bacteriológico</v>
      </c>
      <c r="H181" t="str" cm="1">
        <f t="array" aca="1" ref="H181" ca="1">INDEX(rua_cod!$A:$A,Users!V181) &amp; "-" &amp; TEXT(RANDBETWEEN(0,999),"000")</f>
        <v>2775-548</v>
      </c>
      <c r="I181" t="str" cm="1">
        <f t="array" aca="1" ref="I181" ca="1">INDEX(rua_cod!$B:$B,Users!V181)</f>
        <v>Carcavelos</v>
      </c>
      <c r="J181" t="s">
        <v>3727</v>
      </c>
      <c r="K181" t="s">
        <v>225</v>
      </c>
      <c r="L181" t="s">
        <v>265</v>
      </c>
      <c r="M181" t="str">
        <f t="shared" ca="1" si="21"/>
        <v>59132217</v>
      </c>
      <c r="N181" t="str">
        <f t="shared" ca="1" si="22"/>
        <v>260523882</v>
      </c>
      <c r="O181" t="str">
        <f t="shared" ca="1" si="22"/>
        <v>649487082</v>
      </c>
      <c r="P181" t="str" cm="1">
        <f t="array" aca="1" ref="P181" ca="1">9 &amp; INDEX($AF$3:$AF$6,W181)&amp; TEXT(RANDBETWEEN(0,9999999),"0000000")</f>
        <v>935201587</v>
      </c>
      <c r="Q181" t="str" cm="1">
        <f t="array" aca="1" ref="Q181" ca="1">LOWER(B181) &amp; INDEX($AF$9:$AF$11,X181)</f>
        <v>larlos2775@sapo.pt</v>
      </c>
      <c r="R181" t="str">
        <f t="shared" ca="1" si="23"/>
        <v>larlos2775.jpg</v>
      </c>
      <c r="T181" s="4"/>
      <c r="V181">
        <f ca="1">RANDBETWEEN(2,COUNTA(rua_cod!A:A))</f>
        <v>20</v>
      </c>
      <c r="W181">
        <f t="shared" ca="1" si="24"/>
        <v>3</v>
      </c>
      <c r="X181">
        <f t="shared" ca="1" si="25"/>
        <v>3</v>
      </c>
      <c r="Y181">
        <f t="shared" ca="1" si="26"/>
        <v>1990</v>
      </c>
      <c r="Z181">
        <f t="shared" ca="1" si="27"/>
        <v>9</v>
      </c>
      <c r="AA181">
        <f t="shared" ca="1" si="28"/>
        <v>31</v>
      </c>
      <c r="AB181">
        <f t="shared" ca="1" si="29"/>
        <v>30</v>
      </c>
    </row>
    <row r="182" spans="1:28" x14ac:dyDescent="0.25">
      <c r="A182">
        <v>181</v>
      </c>
      <c r="B182" t="str" cm="1">
        <f t="array" aca="1" ref="B182" ca="1">replaceChar(LOWER(LEFT(D182,3)&amp;RIGHT(I182,3))&amp;LEFT(H182,4))</f>
        <v>andada2804</v>
      </c>
      <c r="C182" t="str">
        <f t="shared" ca="1" si="20"/>
        <v>pswandada2804</v>
      </c>
      <c r="D182" t="str">
        <f ca="1">Nomes!T183</f>
        <v>André Daniela Lima Abreu</v>
      </c>
      <c r="E182" t="str">
        <f ca="1">Nomes!S183</f>
        <v>Masculino</v>
      </c>
      <c r="F182" s="2">
        <v>13720</v>
      </c>
      <c r="G182" t="str" cm="1">
        <f t="array" aca="1" ref="G182" ca="1">INDEX(rua_cod!$F:$F,RANDBETWEEN(2,COUNTA(rua_cod!F:F)))</f>
        <v>Calçada do Poço dos Mouros</v>
      </c>
      <c r="H182" t="str" cm="1">
        <f t="array" aca="1" ref="H182" ca="1">INDEX(rua_cod!$A:$A,Users!V182) &amp; "-" &amp; TEXT(RANDBETWEEN(0,999),"000")</f>
        <v>2804-891</v>
      </c>
      <c r="I182" t="str" cm="1">
        <f t="array" aca="1" ref="I182" ca="1">INDEX(rua_cod!$B:$B,Users!V182)</f>
        <v>Almada</v>
      </c>
      <c r="J182" t="s">
        <v>3727</v>
      </c>
      <c r="K182" t="s">
        <v>225</v>
      </c>
      <c r="L182" t="s">
        <v>265</v>
      </c>
      <c r="M182" t="str">
        <f t="shared" ca="1" si="21"/>
        <v>95091365</v>
      </c>
      <c r="N182" t="str">
        <f t="shared" ca="1" si="22"/>
        <v>195868552</v>
      </c>
      <c r="O182" t="str">
        <f t="shared" ca="1" si="22"/>
        <v>591431399</v>
      </c>
      <c r="P182" t="str" cm="1">
        <f t="array" aca="1" ref="P182" ca="1">9 &amp; INDEX($AF$3:$AF$6,W182)&amp; TEXT(RANDBETWEEN(0,9999999),"0000000")</f>
        <v>914235526</v>
      </c>
      <c r="Q182" t="str" cm="1">
        <f t="array" aca="1" ref="Q182" ca="1">LOWER(B182) &amp; INDEX($AF$9:$AF$11,X182)</f>
        <v>andada2804@outlook.com</v>
      </c>
      <c r="R182" t="str">
        <f t="shared" ca="1" si="23"/>
        <v>andada2804.jpg</v>
      </c>
      <c r="T182" s="4"/>
      <c r="V182">
        <f ca="1">RANDBETWEEN(2,COUNTA(rua_cod!A:A))</f>
        <v>7</v>
      </c>
      <c r="W182">
        <f t="shared" ca="1" si="24"/>
        <v>1</v>
      </c>
      <c r="X182">
        <f t="shared" ca="1" si="25"/>
        <v>1</v>
      </c>
      <c r="Y182">
        <f t="shared" ca="1" si="26"/>
        <v>1958</v>
      </c>
      <c r="Z182">
        <f t="shared" ca="1" si="27"/>
        <v>9</v>
      </c>
      <c r="AA182">
        <f t="shared" ca="1" si="28"/>
        <v>31</v>
      </c>
      <c r="AB182">
        <f t="shared" ca="1" si="29"/>
        <v>62</v>
      </c>
    </row>
    <row r="183" spans="1:28" x14ac:dyDescent="0.25">
      <c r="A183">
        <v>182</v>
      </c>
      <c r="B183" t="str" cm="1">
        <f t="array" aca="1" ref="B183" ca="1">replaceChar(LOWER(LEFT(D183,3)&amp;RIGHT(I183,3))&amp;LEFT(H183,4))</f>
        <v>joaboa1998</v>
      </c>
      <c r="C183" t="str">
        <f t="shared" ca="1" si="20"/>
        <v>pswjoaboa1998</v>
      </c>
      <c r="D183" t="str">
        <f ca="1">Nomes!T184</f>
        <v>João Joaquim Sousa Nascimento</v>
      </c>
      <c r="E183" t="str">
        <f ca="1">Nomes!S184</f>
        <v>Masculino</v>
      </c>
      <c r="F183" s="2">
        <v>31325</v>
      </c>
      <c r="G183" t="str" cm="1">
        <f t="array" aca="1" ref="G183" ca="1">INDEX(rua_cod!$F:$F,RANDBETWEEN(2,COUNTA(rua_cod!F:F)))</f>
        <v>Estrada das Laranjeiras</v>
      </c>
      <c r="H183" t="str" cm="1">
        <f t="array" aca="1" ref="H183" ca="1">INDEX(rua_cod!$A:$A,Users!V183) &amp; "-" &amp; TEXT(RANDBETWEEN(0,999),"000")</f>
        <v>1998-789</v>
      </c>
      <c r="I183" t="str" cm="1">
        <f t="array" aca="1" ref="I183" ca="1">INDEX(rua_cod!$B:$B,Users!V183)</f>
        <v>Lisboa</v>
      </c>
      <c r="J183" t="s">
        <v>3727</v>
      </c>
      <c r="K183" t="s">
        <v>225</v>
      </c>
      <c r="L183" t="s">
        <v>265</v>
      </c>
      <c r="M183" t="str">
        <f t="shared" ca="1" si="21"/>
        <v>68177365</v>
      </c>
      <c r="N183" t="str">
        <f t="shared" ca="1" si="22"/>
        <v>616149772</v>
      </c>
      <c r="O183" t="str">
        <f t="shared" ca="1" si="22"/>
        <v>842414148</v>
      </c>
      <c r="P183" t="str" cm="1">
        <f t="array" aca="1" ref="P183" ca="1">9 &amp; INDEX($AF$3:$AF$6,W183)&amp; TEXT(RANDBETWEEN(0,9999999),"0000000")</f>
        <v>911137090</v>
      </c>
      <c r="Q183" t="str" cm="1">
        <f t="array" aca="1" ref="Q183" ca="1">LOWER(B183) &amp; INDEX($AF$9:$AF$11,X183)</f>
        <v>joaboa1998@gmail.com</v>
      </c>
      <c r="R183" t="str">
        <f t="shared" ca="1" si="23"/>
        <v>joaboa1998.jpg</v>
      </c>
      <c r="T183" s="4"/>
      <c r="V183">
        <f ca="1">RANDBETWEEN(2,COUNTA(rua_cod!A:A))</f>
        <v>78</v>
      </c>
      <c r="W183">
        <f t="shared" ca="1" si="24"/>
        <v>1</v>
      </c>
      <c r="X183">
        <f t="shared" ca="1" si="25"/>
        <v>2</v>
      </c>
      <c r="Y183">
        <f t="shared" ca="1" si="26"/>
        <v>1951</v>
      </c>
      <c r="Z183">
        <f t="shared" ca="1" si="27"/>
        <v>11</v>
      </c>
      <c r="AA183">
        <f t="shared" ca="1" si="28"/>
        <v>9</v>
      </c>
      <c r="AB183">
        <f t="shared" ca="1" si="29"/>
        <v>69</v>
      </c>
    </row>
    <row r="184" spans="1:28" x14ac:dyDescent="0.25">
      <c r="A184">
        <v>183</v>
      </c>
      <c r="B184" t="str" cm="1">
        <f t="array" aca="1" ref="B184" ca="1">replaceChar(LOWER(LEFT(D184,3)&amp;RIGHT(I184,3))&amp;LEFT(H184,4))</f>
        <v>diavas2350</v>
      </c>
      <c r="C184" t="str">
        <f t="shared" ca="1" si="20"/>
        <v>pswdiavas2350</v>
      </c>
      <c r="D184" t="str">
        <f ca="1">Nomes!T185</f>
        <v>Diana Miguel Brito Vieira</v>
      </c>
      <c r="E184" t="str">
        <f ca="1">Nomes!S185</f>
        <v>Feminino</v>
      </c>
      <c r="F184" s="2">
        <v>21600</v>
      </c>
      <c r="G184" t="str" cm="1">
        <f t="array" aca="1" ref="G184" ca="1">INDEX(rua_cod!$F:$F,RANDBETWEEN(2,COUNTA(rua_cod!F:F)))</f>
        <v>Rua Cidade de Bolama</v>
      </c>
      <c r="H184" t="str" cm="1">
        <f t="array" aca="1" ref="H184" ca="1">INDEX(rua_cod!$A:$A,Users!V184) &amp; "-" &amp; TEXT(RANDBETWEEN(0,999),"000")</f>
        <v>2350-025</v>
      </c>
      <c r="I184" t="str" cm="1">
        <f t="array" aca="1" ref="I184" ca="1">INDEX(rua_cod!$B:$B,Users!V184)</f>
        <v>Torres Novas</v>
      </c>
      <c r="J184" t="s">
        <v>3727</v>
      </c>
      <c r="K184" t="s">
        <v>225</v>
      </c>
      <c r="L184" t="s">
        <v>265</v>
      </c>
      <c r="M184" t="str">
        <f t="shared" ca="1" si="21"/>
        <v>47506300</v>
      </c>
      <c r="N184" t="str">
        <f t="shared" ca="1" si="22"/>
        <v>336305886</v>
      </c>
      <c r="O184" t="str">
        <f t="shared" ca="1" si="22"/>
        <v>278228979</v>
      </c>
      <c r="P184" t="str" cm="1">
        <f t="array" aca="1" ref="P184" ca="1">9 &amp; INDEX($AF$3:$AF$6,W184)&amp; TEXT(RANDBETWEEN(0,9999999),"0000000")</f>
        <v>928565668</v>
      </c>
      <c r="Q184" t="str" cm="1">
        <f t="array" aca="1" ref="Q184" ca="1">LOWER(B184) &amp; INDEX($AF$9:$AF$11,X184)</f>
        <v>diavas2350@sapo.pt</v>
      </c>
      <c r="R184" t="str">
        <f t="shared" ca="1" si="23"/>
        <v>diavas2350.jpg</v>
      </c>
      <c r="T184" s="4"/>
      <c r="V184">
        <f ca="1">RANDBETWEEN(2,COUNTA(rua_cod!A:A))</f>
        <v>103</v>
      </c>
      <c r="W184">
        <f t="shared" ca="1" si="24"/>
        <v>2</v>
      </c>
      <c r="X184">
        <f t="shared" ca="1" si="25"/>
        <v>3</v>
      </c>
      <c r="Y184">
        <f t="shared" ca="1" si="26"/>
        <v>1987</v>
      </c>
      <c r="Z184">
        <f t="shared" ca="1" si="27"/>
        <v>6</v>
      </c>
      <c r="AA184">
        <f t="shared" ca="1" si="28"/>
        <v>16</v>
      </c>
      <c r="AB184">
        <f t="shared" ca="1" si="29"/>
        <v>33</v>
      </c>
    </row>
    <row r="185" spans="1:28" x14ac:dyDescent="0.25">
      <c r="A185">
        <v>184</v>
      </c>
      <c r="B185" t="str" cm="1">
        <f t="array" aca="1" ref="B185" ca="1">replaceChar(LOWER(LEFT(D185,3)&amp;RIGHT(I185,3))&amp;LEFT(H185,4))</f>
        <v>tiabra3000</v>
      </c>
      <c r="C185" t="str">
        <f t="shared" ca="1" si="20"/>
        <v>pswtiabra3000</v>
      </c>
      <c r="D185" t="str">
        <f ca="1">Nomes!T186</f>
        <v>Tiago Carolina Pires Anjos</v>
      </c>
      <c r="E185" t="str">
        <f ca="1">Nomes!S186</f>
        <v>Masculino</v>
      </c>
      <c r="F185" s="2">
        <v>42111</v>
      </c>
      <c r="G185" t="str" cm="1">
        <f t="array" aca="1" ref="G185" ca="1">INDEX(rua_cod!$F:$F,RANDBETWEEN(2,COUNTA(rua_cod!F:F)))</f>
        <v>Calçada Marquês de Abrantes</v>
      </c>
      <c r="H185" t="str" cm="1">
        <f t="array" aca="1" ref="H185" ca="1">INDEX(rua_cod!$A:$A,Users!V185) &amp; "-" &amp; TEXT(RANDBETWEEN(0,999),"000")</f>
        <v>3000-108</v>
      </c>
      <c r="I185" t="str" cm="1">
        <f t="array" aca="1" ref="I185" ca="1">INDEX(rua_cod!$B:$B,Users!V185)</f>
        <v>Coimbra</v>
      </c>
      <c r="J185" t="s">
        <v>3727</v>
      </c>
      <c r="K185" t="s">
        <v>225</v>
      </c>
      <c r="L185" t="s">
        <v>265</v>
      </c>
      <c r="M185" t="str">
        <f t="shared" ca="1" si="21"/>
        <v>44102781</v>
      </c>
      <c r="N185" t="str">
        <f t="shared" ca="1" si="22"/>
        <v>201948681</v>
      </c>
      <c r="O185" t="str">
        <f t="shared" ca="1" si="22"/>
        <v>246547695</v>
      </c>
      <c r="P185" t="str" cm="1">
        <f t="array" aca="1" ref="P185" ca="1">9 &amp; INDEX($AF$3:$AF$6,W185)&amp; TEXT(RANDBETWEEN(0,9999999),"0000000")</f>
        <v>930241518</v>
      </c>
      <c r="Q185" t="str" cm="1">
        <f t="array" aca="1" ref="Q185" ca="1">LOWER(B185) &amp; INDEX($AF$9:$AF$11,X185)</f>
        <v>tiabra3000@sapo.pt</v>
      </c>
      <c r="R185" t="str">
        <f t="shared" ca="1" si="23"/>
        <v>tiabra3000.jpg</v>
      </c>
      <c r="T185" s="4"/>
      <c r="V185">
        <f ca="1">RANDBETWEEN(2,COUNTA(rua_cod!A:A))</f>
        <v>26</v>
      </c>
      <c r="W185">
        <f t="shared" ca="1" si="24"/>
        <v>3</v>
      </c>
      <c r="X185">
        <f t="shared" ca="1" si="25"/>
        <v>3</v>
      </c>
      <c r="Y185">
        <f t="shared" ca="1" si="26"/>
        <v>1994</v>
      </c>
      <c r="Z185">
        <f t="shared" ca="1" si="27"/>
        <v>4</v>
      </c>
      <c r="AA185">
        <f t="shared" ca="1" si="28"/>
        <v>24</v>
      </c>
      <c r="AB185">
        <f t="shared" ca="1" si="29"/>
        <v>26</v>
      </c>
    </row>
    <row r="186" spans="1:28" x14ac:dyDescent="0.25">
      <c r="A186">
        <v>185</v>
      </c>
      <c r="B186" t="str" cm="1">
        <f t="array" aca="1" ref="B186" ca="1">replaceChar(LOWER(LEFT(D186,3)&amp;RIGHT(I186,3))&amp;LEFT(H186,4))</f>
        <v>veriro2834</v>
      </c>
      <c r="C186" t="str">
        <f t="shared" ca="1" si="20"/>
        <v>pswveriro2834</v>
      </c>
      <c r="D186" t="str">
        <f ca="1">Nomes!T187</f>
        <v>Vera Francisco Brito Ramos</v>
      </c>
      <c r="E186" t="str">
        <f ca="1">Nomes!S187</f>
        <v>Feminino</v>
      </c>
      <c r="F186" s="2">
        <v>30832</v>
      </c>
      <c r="G186" t="str" cm="1">
        <f t="array" aca="1" ref="G186" ca="1">INDEX(rua_cod!$F:$F,RANDBETWEEN(2,COUNTA(rua_cod!F:F)))</f>
        <v>Rua da Prata</v>
      </c>
      <c r="H186" t="str" cm="1">
        <f t="array" aca="1" ref="H186" ca="1">INDEX(rua_cod!$A:$A,Users!V186) &amp; "-" &amp; TEXT(RANDBETWEEN(0,999),"000")</f>
        <v>2834-755</v>
      </c>
      <c r="I186" t="str" cm="1">
        <f t="array" aca="1" ref="I186" ca="1">INDEX(rua_cod!$B:$B,Users!V186)</f>
        <v>Barreiro</v>
      </c>
      <c r="J186" t="s">
        <v>3727</v>
      </c>
      <c r="K186" t="s">
        <v>225</v>
      </c>
      <c r="L186" t="s">
        <v>265</v>
      </c>
      <c r="M186" t="str">
        <f t="shared" ca="1" si="21"/>
        <v>61662597</v>
      </c>
      <c r="N186" t="str">
        <f t="shared" ca="1" si="22"/>
        <v>965402073</v>
      </c>
      <c r="O186" t="str">
        <f t="shared" ca="1" si="22"/>
        <v>719205584</v>
      </c>
      <c r="P186" t="str" cm="1">
        <f t="array" aca="1" ref="P186" ca="1">9 &amp; INDEX($AF$3:$AF$6,W186)&amp; TEXT(RANDBETWEEN(0,9999999),"0000000")</f>
        <v>924899009</v>
      </c>
      <c r="Q186" t="str" cm="1">
        <f t="array" aca="1" ref="Q186" ca="1">LOWER(B186) &amp; INDEX($AF$9:$AF$11,X186)</f>
        <v>veriro2834@outlook.com</v>
      </c>
      <c r="R186" t="str">
        <f t="shared" ca="1" si="23"/>
        <v>veriro2834.jpg</v>
      </c>
      <c r="T186" s="4"/>
      <c r="V186">
        <f ca="1">RANDBETWEEN(2,COUNTA(rua_cod!A:A))</f>
        <v>17</v>
      </c>
      <c r="W186">
        <f t="shared" ca="1" si="24"/>
        <v>2</v>
      </c>
      <c r="X186">
        <f t="shared" ca="1" si="25"/>
        <v>1</v>
      </c>
      <c r="Y186">
        <f t="shared" ca="1" si="26"/>
        <v>1995</v>
      </c>
      <c r="Z186">
        <f t="shared" ca="1" si="27"/>
        <v>3</v>
      </c>
      <c r="AA186">
        <f t="shared" ca="1" si="28"/>
        <v>3</v>
      </c>
      <c r="AB186">
        <f t="shared" ca="1" si="29"/>
        <v>25</v>
      </c>
    </row>
    <row r="187" spans="1:28" x14ac:dyDescent="0.25">
      <c r="A187">
        <v>186</v>
      </c>
      <c r="B187" t="str" cm="1">
        <f t="array" aca="1" ref="B187" ca="1">replaceChar(LOWER(LEFT(D187,3)&amp;RIGHT(I187,3))&amp;LEFT(H187,4))</f>
        <v>josboa1950</v>
      </c>
      <c r="C187" t="str">
        <f t="shared" ca="1" si="20"/>
        <v>pswjosboa1950</v>
      </c>
      <c r="D187" t="str">
        <f ca="1">Nomes!T188</f>
        <v>José Marco Sá Nogueira</v>
      </c>
      <c r="E187" t="str">
        <f ca="1">Nomes!S188</f>
        <v>Masculino</v>
      </c>
      <c r="F187" s="2">
        <v>39033</v>
      </c>
      <c r="G187" t="str" cm="1">
        <f t="array" aca="1" ref="G187" ca="1">INDEX(rua_cod!$F:$F,RANDBETWEEN(2,COUNTA(rua_cod!F:F)))</f>
        <v>Rua do Sol a Santana</v>
      </c>
      <c r="H187" t="str" cm="1">
        <f t="array" aca="1" ref="H187" ca="1">INDEX(rua_cod!$A:$A,Users!V187) &amp; "-" &amp; TEXT(RANDBETWEEN(0,999),"000")</f>
        <v>1950-293</v>
      </c>
      <c r="I187" t="str" cm="1">
        <f t="array" aca="1" ref="I187" ca="1">INDEX(rua_cod!$B:$B,Users!V187)</f>
        <v>Lisboa</v>
      </c>
      <c r="J187" t="s">
        <v>3727</v>
      </c>
      <c r="K187" t="s">
        <v>225</v>
      </c>
      <c r="L187" t="s">
        <v>265</v>
      </c>
      <c r="M187" t="str">
        <f t="shared" ca="1" si="21"/>
        <v>51948519</v>
      </c>
      <c r="N187" t="str">
        <f t="shared" ca="1" si="22"/>
        <v>992838068</v>
      </c>
      <c r="O187" t="str">
        <f t="shared" ca="1" si="22"/>
        <v>880198478</v>
      </c>
      <c r="P187" t="str" cm="1">
        <f t="array" aca="1" ref="P187" ca="1">9 &amp; INDEX($AF$3:$AF$6,W187)&amp; TEXT(RANDBETWEEN(0,9999999),"0000000")</f>
        <v>962779989</v>
      </c>
      <c r="Q187" t="str" cm="1">
        <f t="array" aca="1" ref="Q187" ca="1">LOWER(B187) &amp; INDEX($AF$9:$AF$11,X187)</f>
        <v>josboa1950@gmail.com</v>
      </c>
      <c r="R187" t="str">
        <f t="shared" ca="1" si="23"/>
        <v>josboa1950.jpg</v>
      </c>
      <c r="T187" s="4"/>
      <c r="V187">
        <f ca="1">RANDBETWEEN(2,COUNTA(rua_cod!A:A))</f>
        <v>41</v>
      </c>
      <c r="W187">
        <f t="shared" ca="1" si="24"/>
        <v>4</v>
      </c>
      <c r="X187">
        <f t="shared" ca="1" si="25"/>
        <v>2</v>
      </c>
      <c r="Y187">
        <f t="shared" ca="1" si="26"/>
        <v>1989</v>
      </c>
      <c r="Z187">
        <f t="shared" ca="1" si="27"/>
        <v>10</v>
      </c>
      <c r="AA187">
        <f t="shared" ca="1" si="28"/>
        <v>26</v>
      </c>
      <c r="AB187">
        <f t="shared" ca="1" si="29"/>
        <v>31</v>
      </c>
    </row>
    <row r="188" spans="1:28" x14ac:dyDescent="0.25">
      <c r="A188">
        <v>187</v>
      </c>
      <c r="B188" t="str" cm="1">
        <f t="array" aca="1" ref="B188" ca="1">replaceChar(LOWER(LEFT(D188,3)&amp;RIGHT(I188,3))&amp;LEFT(H188,4))</f>
        <v>marboa1068</v>
      </c>
      <c r="C188" t="str">
        <f t="shared" ca="1" si="20"/>
        <v>pswmarboa1068</v>
      </c>
      <c r="D188" t="str">
        <f ca="1">Nomes!T189</f>
        <v>Martim Francisco Torres Barbosa</v>
      </c>
      <c r="E188" t="str">
        <f ca="1">Nomes!S189</f>
        <v>Masculino</v>
      </c>
      <c r="F188" s="2">
        <v>27447</v>
      </c>
      <c r="G188" t="str" cm="1">
        <f t="array" aca="1" ref="G188" ca="1">INDEX(rua_cod!$F:$F,RANDBETWEEN(2,COUNTA(rua_cod!F:F)))</f>
        <v>Rua de São Julião</v>
      </c>
      <c r="H188" t="str" cm="1">
        <f t="array" aca="1" ref="H188" ca="1">INDEX(rua_cod!$A:$A,Users!V188) &amp; "-" &amp; TEXT(RANDBETWEEN(0,999),"000")</f>
        <v>1068-550</v>
      </c>
      <c r="I188" t="str" cm="1">
        <f t="array" aca="1" ref="I188" ca="1">INDEX(rua_cod!$B:$B,Users!V188)</f>
        <v>Lisboa</v>
      </c>
      <c r="J188" t="s">
        <v>3727</v>
      </c>
      <c r="K188" t="s">
        <v>225</v>
      </c>
      <c r="L188" t="s">
        <v>265</v>
      </c>
      <c r="M188" t="str">
        <f t="shared" ca="1" si="21"/>
        <v>13079406</v>
      </c>
      <c r="N188" t="str">
        <f t="shared" ca="1" si="22"/>
        <v>899291995</v>
      </c>
      <c r="O188" t="str">
        <f t="shared" ca="1" si="22"/>
        <v>683273168</v>
      </c>
      <c r="P188" t="str" cm="1">
        <f t="array" aca="1" ref="P188" ca="1">9 &amp; INDEX($AF$3:$AF$6,W188)&amp; TEXT(RANDBETWEEN(0,9999999),"0000000")</f>
        <v>936330002</v>
      </c>
      <c r="Q188" t="str" cm="1">
        <f t="array" aca="1" ref="Q188" ca="1">LOWER(B188) &amp; INDEX($AF$9:$AF$11,X188)</f>
        <v>marboa1068@gmail.com</v>
      </c>
      <c r="R188" t="str">
        <f t="shared" ca="1" si="23"/>
        <v>marboa1068.jpg</v>
      </c>
      <c r="T188" s="4"/>
      <c r="V188">
        <f ca="1">RANDBETWEEN(2,COUNTA(rua_cod!A:A))</f>
        <v>81</v>
      </c>
      <c r="W188">
        <f t="shared" ca="1" si="24"/>
        <v>3</v>
      </c>
      <c r="X188">
        <f t="shared" ca="1" si="25"/>
        <v>2</v>
      </c>
      <c r="Y188">
        <f t="shared" ca="1" si="26"/>
        <v>1980</v>
      </c>
      <c r="Z188">
        <f t="shared" ca="1" si="27"/>
        <v>11</v>
      </c>
      <c r="AA188">
        <f t="shared" ca="1" si="28"/>
        <v>17</v>
      </c>
      <c r="AB188">
        <f t="shared" ca="1" si="29"/>
        <v>40</v>
      </c>
    </row>
    <row r="189" spans="1:28" x14ac:dyDescent="0.25">
      <c r="A189">
        <v>188</v>
      </c>
      <c r="B189" t="str" cm="1">
        <f t="array" aca="1" ref="B189" ca="1">replaceChar(LOWER(LEFT(D189,3)&amp;RIGHT(I189,3))&amp;LEFT(H189,4))</f>
        <v>bruada2800</v>
      </c>
      <c r="C189" t="str">
        <f t="shared" ca="1" si="20"/>
        <v>pswbruada2800</v>
      </c>
      <c r="D189" t="str">
        <f ca="1">Nomes!T190</f>
        <v>Bruno Sofia Rocha Gomes</v>
      </c>
      <c r="E189" t="str">
        <f ca="1">Nomes!S190</f>
        <v>Masculino</v>
      </c>
      <c r="F189" s="2">
        <v>19510</v>
      </c>
      <c r="G189" t="str" cm="1">
        <f t="array" aca="1" ref="G189" ca="1">INDEX(rua_cod!$F:$F,RANDBETWEEN(2,COUNTA(rua_cod!F:F)))</f>
        <v>Rua do Comércio</v>
      </c>
      <c r="H189" t="str" cm="1">
        <f t="array" aca="1" ref="H189" ca="1">INDEX(rua_cod!$A:$A,Users!V189) &amp; "-" &amp; TEXT(RANDBETWEEN(0,999),"000")</f>
        <v>2800-180</v>
      </c>
      <c r="I189" t="str" cm="1">
        <f t="array" aca="1" ref="I189" ca="1">INDEX(rua_cod!$B:$B,Users!V189)</f>
        <v>Almada</v>
      </c>
      <c r="J189" t="s">
        <v>3727</v>
      </c>
      <c r="K189" t="s">
        <v>225</v>
      </c>
      <c r="L189" t="s">
        <v>265</v>
      </c>
      <c r="M189" t="str">
        <f t="shared" ca="1" si="21"/>
        <v>53358219</v>
      </c>
      <c r="N189" t="str">
        <f t="shared" ca="1" si="22"/>
        <v>263150505</v>
      </c>
      <c r="O189" t="str">
        <f t="shared" ca="1" si="22"/>
        <v>606334329</v>
      </c>
      <c r="P189" t="str" cm="1">
        <f t="array" aca="1" ref="P189" ca="1">9 &amp; INDEX($AF$3:$AF$6,W189)&amp; TEXT(RANDBETWEEN(0,9999999),"0000000")</f>
        <v>927793301</v>
      </c>
      <c r="Q189" t="str" cm="1">
        <f t="array" aca="1" ref="Q189" ca="1">LOWER(B189) &amp; INDEX($AF$9:$AF$11,X189)</f>
        <v>bruada2800@sapo.pt</v>
      </c>
      <c r="R189" t="str">
        <f t="shared" ca="1" si="23"/>
        <v>bruada2800.jpg</v>
      </c>
      <c r="T189" s="4"/>
      <c r="V189">
        <f ca="1">RANDBETWEEN(2,COUNTA(rua_cod!A:A))</f>
        <v>2</v>
      </c>
      <c r="W189">
        <f t="shared" ca="1" si="24"/>
        <v>2</v>
      </c>
      <c r="X189">
        <f t="shared" ca="1" si="25"/>
        <v>3</v>
      </c>
      <c r="Y189">
        <f t="shared" ca="1" si="26"/>
        <v>1976</v>
      </c>
      <c r="Z189">
        <f t="shared" ca="1" si="27"/>
        <v>7</v>
      </c>
      <c r="AA189">
        <f t="shared" ca="1" si="28"/>
        <v>20</v>
      </c>
      <c r="AB189">
        <f t="shared" ca="1" si="29"/>
        <v>44</v>
      </c>
    </row>
    <row r="190" spans="1:28" x14ac:dyDescent="0.25">
      <c r="A190">
        <v>189</v>
      </c>
      <c r="B190" t="str" cm="1">
        <f t="array" aca="1" ref="B190" ca="1">replaceChar(LOWER(LEFT(D190,3)&amp;RIGHT(I190,3))&amp;LEFT(H190,4))</f>
        <v>duavas2350</v>
      </c>
      <c r="C190" t="str">
        <f t="shared" ca="1" si="20"/>
        <v>pswduavas2350</v>
      </c>
      <c r="D190" t="str">
        <f ca="1">Nomes!T191</f>
        <v>Duarte Catarina Tavares Matos</v>
      </c>
      <c r="E190" t="str">
        <f ca="1">Nomes!S191</f>
        <v>Masculino</v>
      </c>
      <c r="F190" s="2">
        <v>35493</v>
      </c>
      <c r="G190" t="str" cm="1">
        <f t="array" aca="1" ref="G190" ca="1">INDEX(rua_cod!$F:$F,RANDBETWEEN(2,COUNTA(rua_cod!F:F)))</f>
        <v>Rua Ferreira Lapa</v>
      </c>
      <c r="H190" t="str" cm="1">
        <f t="array" aca="1" ref="H190" ca="1">INDEX(rua_cod!$A:$A,Users!V190) &amp; "-" &amp; TEXT(RANDBETWEEN(0,999),"000")</f>
        <v>2350-850</v>
      </c>
      <c r="I190" t="str" cm="1">
        <f t="array" aca="1" ref="I190" ca="1">INDEX(rua_cod!$B:$B,Users!V190)</f>
        <v>Torres Novas</v>
      </c>
      <c r="J190" t="s">
        <v>3727</v>
      </c>
      <c r="K190" t="s">
        <v>225</v>
      </c>
      <c r="L190" t="s">
        <v>265</v>
      </c>
      <c r="M190" t="str">
        <f t="shared" ca="1" si="21"/>
        <v>24945090</v>
      </c>
      <c r="N190" t="str">
        <f t="shared" ca="1" si="22"/>
        <v>837930782</v>
      </c>
      <c r="O190" t="str">
        <f t="shared" ca="1" si="22"/>
        <v>848486273</v>
      </c>
      <c r="P190" t="str" cm="1">
        <f t="array" aca="1" ref="P190" ca="1">9 &amp; INDEX($AF$3:$AF$6,W190)&amp; TEXT(RANDBETWEEN(0,9999999),"0000000")</f>
        <v>911389134</v>
      </c>
      <c r="Q190" t="str" cm="1">
        <f t="array" aca="1" ref="Q190" ca="1">LOWER(B190) &amp; INDEX($AF$9:$AF$11,X190)</f>
        <v>duavas2350@gmail.com</v>
      </c>
      <c r="R190" t="str">
        <f t="shared" ca="1" si="23"/>
        <v>duavas2350.jpg</v>
      </c>
      <c r="T190" s="4"/>
      <c r="V190">
        <f ca="1">RANDBETWEEN(2,COUNTA(rua_cod!A:A))</f>
        <v>103</v>
      </c>
      <c r="W190">
        <f t="shared" ca="1" si="24"/>
        <v>1</v>
      </c>
      <c r="X190">
        <f t="shared" ca="1" si="25"/>
        <v>2</v>
      </c>
      <c r="Y190">
        <f t="shared" ca="1" si="26"/>
        <v>1980</v>
      </c>
      <c r="Z190">
        <f t="shared" ca="1" si="27"/>
        <v>7</v>
      </c>
      <c r="AA190">
        <f t="shared" ca="1" si="28"/>
        <v>26</v>
      </c>
      <c r="AB190">
        <f t="shared" ca="1" si="29"/>
        <v>40</v>
      </c>
    </row>
    <row r="191" spans="1:28" x14ac:dyDescent="0.25">
      <c r="A191">
        <v>190</v>
      </c>
      <c r="B191" t="str" cm="1">
        <f t="array" aca="1" ref="B191" ca="1">replaceChar(LOWER(LEFT(D191,3)&amp;RIGHT(I191,3))&amp;LEFT(H191,4))</f>
        <v>fraboa1400</v>
      </c>
      <c r="C191" t="str">
        <f t="shared" ca="1" si="20"/>
        <v>pswfraboa1400</v>
      </c>
      <c r="D191" t="str">
        <f ca="1">Nomes!T192</f>
        <v>Francisca Diogo Teixeira Pinto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Rua Roberto Duarte Silva</v>
      </c>
      <c r="H191" t="str" cm="1">
        <f t="array" aca="1" ref="H191" ca="1">INDEX(rua_cod!$A:$A,Users!V191) &amp; "-" &amp; TEXT(RANDBETWEEN(0,999),"000")</f>
        <v>1400-561</v>
      </c>
      <c r="I191" t="str" cm="1">
        <f t="array" aca="1" ref="I191" ca="1">INDEX(rua_cod!$B:$B,Users!V191)</f>
        <v>Lisboa</v>
      </c>
      <c r="J191" t="s">
        <v>3727</v>
      </c>
      <c r="K191" t="s">
        <v>225</v>
      </c>
      <c r="L191" t="s">
        <v>265</v>
      </c>
      <c r="M191" t="str">
        <f t="shared" ca="1" si="21"/>
        <v>29419187</v>
      </c>
      <c r="N191" t="str">
        <f t="shared" ca="1" si="22"/>
        <v>124034499</v>
      </c>
      <c r="O191" t="str">
        <f t="shared" ca="1" si="22"/>
        <v>824405380</v>
      </c>
      <c r="P191" t="str" cm="1">
        <f t="array" aca="1" ref="P191" ca="1">9 &amp; INDEX($AF$3:$AF$6,W191)&amp; TEXT(RANDBETWEEN(0,9999999),"0000000")</f>
        <v>917374191</v>
      </c>
      <c r="Q191" t="str" cm="1">
        <f t="array" aca="1" ref="Q191" ca="1">LOWER(B191) &amp; INDEX($AF$9:$AF$11,X191)</f>
        <v>fraboa1400@sapo.pt</v>
      </c>
      <c r="R191" t="str">
        <f t="shared" ca="1" si="23"/>
        <v>fraboa1400.jpg</v>
      </c>
      <c r="T191" s="4"/>
      <c r="V191">
        <f ca="1">RANDBETWEEN(2,COUNTA(rua_cod!A:A))</f>
        <v>57</v>
      </c>
      <c r="W191">
        <f t="shared" ca="1" si="24"/>
        <v>1</v>
      </c>
      <c r="X191">
        <f t="shared" ca="1" si="25"/>
        <v>3</v>
      </c>
      <c r="Y191">
        <f t="shared" ca="1" si="26"/>
        <v>2017</v>
      </c>
      <c r="Z191">
        <f t="shared" ca="1" si="27"/>
        <v>3</v>
      </c>
      <c r="AA191">
        <f t="shared" ca="1" si="28"/>
        <v>4</v>
      </c>
      <c r="AB191">
        <f t="shared" ca="1" si="29"/>
        <v>3</v>
      </c>
    </row>
    <row r="192" spans="1:28" x14ac:dyDescent="0.25">
      <c r="A192">
        <v>191</v>
      </c>
      <c r="B192" t="str" cm="1">
        <f t="array" aca="1" ref="B192" ca="1">replaceChar(LOWER(LEFT(D192,3)&amp;RIGHT(I192,3))&amp;LEFT(H192,4))</f>
        <v>sanada2804</v>
      </c>
      <c r="C192" t="str">
        <f t="shared" ca="1" si="20"/>
        <v>pswsanada2804</v>
      </c>
      <c r="D192" t="str">
        <f ca="1">Nomes!T193</f>
        <v>Santiago Martim Mota Nunes</v>
      </c>
      <c r="E192" t="str">
        <f ca="1">Nomes!S193</f>
        <v>Masculino</v>
      </c>
      <c r="F192" s="2">
        <v>14252</v>
      </c>
      <c r="G192" t="str" cm="1">
        <f t="array" aca="1" ref="G192" ca="1">INDEX(rua_cod!$F:$F,RANDBETWEEN(2,COUNTA(rua_cod!F:F)))</f>
        <v>Rua da Prata</v>
      </c>
      <c r="H192" t="str" cm="1">
        <f t="array" aca="1" ref="H192" ca="1">INDEX(rua_cod!$A:$A,Users!V192) &amp; "-" &amp; TEXT(RANDBETWEEN(0,999),"000")</f>
        <v>2804-164</v>
      </c>
      <c r="I192" t="str" cm="1">
        <f t="array" aca="1" ref="I192" ca="1">INDEX(rua_cod!$B:$B,Users!V192)</f>
        <v>Almada</v>
      </c>
      <c r="J192" t="s">
        <v>3727</v>
      </c>
      <c r="K192" t="s">
        <v>225</v>
      </c>
      <c r="L192" t="s">
        <v>265</v>
      </c>
      <c r="M192" t="str">
        <f t="shared" ca="1" si="21"/>
        <v>18814792</v>
      </c>
      <c r="N192" t="str">
        <f t="shared" ca="1" si="22"/>
        <v>718278650</v>
      </c>
      <c r="O192" t="str">
        <f t="shared" ca="1" si="22"/>
        <v>603252059</v>
      </c>
      <c r="P192" t="str" cm="1">
        <f t="array" aca="1" ref="P192" ca="1">9 &amp; INDEX($AF$3:$AF$6,W192)&amp; TEXT(RANDBETWEEN(0,9999999),"0000000")</f>
        <v>925298178</v>
      </c>
      <c r="Q192" t="str" cm="1">
        <f t="array" aca="1" ref="Q192" ca="1">LOWER(B192) &amp; INDEX($AF$9:$AF$11,X192)</f>
        <v>sanada2804@sapo.pt</v>
      </c>
      <c r="R192" t="str">
        <f t="shared" ca="1" si="23"/>
        <v>sanada2804.jpg</v>
      </c>
      <c r="T192" s="4"/>
      <c r="V192">
        <f ca="1">RANDBETWEEN(2,COUNTA(rua_cod!A:A))</f>
        <v>7</v>
      </c>
      <c r="W192">
        <f t="shared" ca="1" si="24"/>
        <v>2</v>
      </c>
      <c r="X192">
        <f t="shared" ca="1" si="25"/>
        <v>3</v>
      </c>
      <c r="Y192">
        <f t="shared" ca="1" si="26"/>
        <v>2000</v>
      </c>
      <c r="Z192">
        <f t="shared" ca="1" si="27"/>
        <v>2</v>
      </c>
      <c r="AA192">
        <f t="shared" ca="1" si="28"/>
        <v>8</v>
      </c>
      <c r="AB192">
        <f t="shared" ca="1" si="29"/>
        <v>20</v>
      </c>
    </row>
    <row r="193" spans="1:28" x14ac:dyDescent="0.25">
      <c r="A193">
        <v>192</v>
      </c>
      <c r="B193" t="str" cm="1">
        <f t="array" aca="1" ref="B193" ca="1">replaceChar(LOWER(LEFT(D193,3)&amp;RIGHT(I193,3))&amp;LEFT(H193,4))</f>
        <v>gabnto2334</v>
      </c>
      <c r="C193" t="str">
        <f t="shared" ca="1" si="20"/>
        <v>pswgabnto2334</v>
      </c>
      <c r="D193" t="str">
        <f ca="1">Nomes!T194</f>
        <v>Gabriel Bruno Borges Tavares</v>
      </c>
      <c r="E193" t="str">
        <f ca="1">Nomes!S194</f>
        <v>Masculino</v>
      </c>
      <c r="F193" s="2">
        <v>31720</v>
      </c>
      <c r="G193" t="str" cm="1">
        <f t="array" aca="1" ref="G193" ca="1">INDEX(rua_cod!$F:$F,RANDBETWEEN(2,COUNTA(rua_cod!F:F)))</f>
        <v>Rua do Sacramento à Lapa</v>
      </c>
      <c r="H193" t="str" cm="1">
        <f t="array" aca="1" ref="H193" ca="1">INDEX(rua_cod!$A:$A,Users!V193) &amp; "-" &amp; TEXT(RANDBETWEEN(0,999),"000")</f>
        <v>2334-767</v>
      </c>
      <c r="I193" t="str" cm="1">
        <f t="array" aca="1" ref="I193" ca="1">INDEX(rua_cod!$B:$B,Users!V193)</f>
        <v>Entroncamento</v>
      </c>
      <c r="J193" t="s">
        <v>3727</v>
      </c>
      <c r="K193" t="s">
        <v>225</v>
      </c>
      <c r="L193" t="s">
        <v>265</v>
      </c>
      <c r="M193" t="str">
        <f t="shared" ca="1" si="21"/>
        <v>47195643</v>
      </c>
      <c r="N193" t="str">
        <f t="shared" ca="1" si="22"/>
        <v>167386839</v>
      </c>
      <c r="O193" t="str">
        <f t="shared" ca="1" si="22"/>
        <v>967808549</v>
      </c>
      <c r="P193" t="str" cm="1">
        <f t="array" aca="1" ref="P193" ca="1">9 &amp; INDEX($AF$3:$AF$6,W193)&amp; TEXT(RANDBETWEEN(0,9999999),"0000000")</f>
        <v>966086409</v>
      </c>
      <c r="Q193" t="str" cm="1">
        <f t="array" aca="1" ref="Q193" ca="1">LOWER(B193) &amp; INDEX($AF$9:$AF$11,X193)</f>
        <v>gabnto2334@gmail.com</v>
      </c>
      <c r="R193" t="str">
        <f t="shared" ca="1" si="23"/>
        <v>gabnto2334.jpg</v>
      </c>
      <c r="T193" s="4"/>
      <c r="V193">
        <f ca="1">RANDBETWEEN(2,COUNTA(rua_cod!A:A))</f>
        <v>30</v>
      </c>
      <c r="W193">
        <f t="shared" ca="1" si="24"/>
        <v>4</v>
      </c>
      <c r="X193">
        <f t="shared" ca="1" si="25"/>
        <v>2</v>
      </c>
      <c r="Y193">
        <f t="shared" ca="1" si="26"/>
        <v>1995</v>
      </c>
      <c r="Z193">
        <f t="shared" ca="1" si="27"/>
        <v>11</v>
      </c>
      <c r="AA193">
        <f t="shared" ca="1" si="28"/>
        <v>6</v>
      </c>
      <c r="AB193">
        <f t="shared" ca="1" si="29"/>
        <v>25</v>
      </c>
    </row>
    <row r="194" spans="1:28" x14ac:dyDescent="0.25">
      <c r="A194">
        <v>193</v>
      </c>
      <c r="B194" t="str" cm="1">
        <f t="array" aca="1" ref="B194" ca="1">replaceChar(LOWER(LEFT(D194,3)&amp;RIGHT(I194,3))&amp;LEFT(H194,4))</f>
        <v>marboa1800</v>
      </c>
      <c r="C194" t="str">
        <f t="shared" ca="1" si="20"/>
        <v>pswmarboa1800</v>
      </c>
      <c r="D194" t="str">
        <f ca="1">Nomes!T195</f>
        <v>Marco Carolina Cruz Pinto</v>
      </c>
      <c r="E194" t="str">
        <f ca="1">Nomes!S195</f>
        <v>Masculino</v>
      </c>
      <c r="F194" s="2">
        <v>32584</v>
      </c>
      <c r="G194" t="str" cm="1">
        <f t="array" aca="1" ref="G194" ca="1">INDEX(rua_cod!$F:$F,RANDBETWEEN(2,COUNTA(rua_cod!F:F)))</f>
        <v>Rua de São Mamede</v>
      </c>
      <c r="H194" t="str" cm="1">
        <f t="array" aca="1" ref="H194" ca="1">INDEX(rua_cod!$A:$A,Users!V194) &amp; "-" &amp; TEXT(RANDBETWEEN(0,999),"000")</f>
        <v>1800-967</v>
      </c>
      <c r="I194" t="str" cm="1">
        <f t="array" aca="1" ref="I194" ca="1">INDEX(rua_cod!$B:$B,Users!V194)</f>
        <v>Lisboa</v>
      </c>
      <c r="J194" t="s">
        <v>3727</v>
      </c>
      <c r="K194" t="s">
        <v>225</v>
      </c>
      <c r="L194" t="s">
        <v>265</v>
      </c>
      <c r="M194" t="str">
        <f t="shared" ca="1" si="21"/>
        <v>52577942</v>
      </c>
      <c r="N194" t="str">
        <f t="shared" ca="1" si="22"/>
        <v>443795786</v>
      </c>
      <c r="O194" t="str">
        <f t="shared" ca="1" si="22"/>
        <v>442795368</v>
      </c>
      <c r="P194" t="str" cm="1">
        <f t="array" aca="1" ref="P194" ca="1">9 &amp; INDEX($AF$3:$AF$6,W194)&amp; TEXT(RANDBETWEEN(0,9999999),"0000000")</f>
        <v>927333521</v>
      </c>
      <c r="Q194" t="str" cm="1">
        <f t="array" aca="1" ref="Q194" ca="1">LOWER(B194) &amp; INDEX($AF$9:$AF$11,X194)</f>
        <v>marboa1800@gmail.com</v>
      </c>
      <c r="R194" t="str">
        <f t="shared" ca="1" si="23"/>
        <v>marboa1800.jpg</v>
      </c>
      <c r="T194" s="4"/>
      <c r="V194">
        <f ca="1">RANDBETWEEN(2,COUNTA(rua_cod!A:A))</f>
        <v>56</v>
      </c>
      <c r="W194">
        <f t="shared" ca="1" si="24"/>
        <v>2</v>
      </c>
      <c r="X194">
        <f t="shared" ca="1" si="25"/>
        <v>2</v>
      </c>
      <c r="Y194">
        <f t="shared" ca="1" si="26"/>
        <v>1957</v>
      </c>
      <c r="Z194">
        <f t="shared" ca="1" si="27"/>
        <v>1</v>
      </c>
      <c r="AA194">
        <f t="shared" ca="1" si="28"/>
        <v>5</v>
      </c>
      <c r="AB194">
        <f t="shared" ca="1" si="29"/>
        <v>63</v>
      </c>
    </row>
    <row r="195" spans="1:28" x14ac:dyDescent="0.25">
      <c r="A195">
        <v>194</v>
      </c>
      <c r="B195" t="str" cm="1">
        <f t="array" aca="1" ref="B195" ca="1">replaceChar(LOWER(LEFT(D195,3)&amp;RIGHT(I195,3))&amp;LEFT(H195,4))</f>
        <v>joaora2610</v>
      </c>
      <c r="C195" t="str">
        <f t="shared" ref="C195:C199" ca="1" si="30">"psw" &amp; B195</f>
        <v>pswjoaora2610</v>
      </c>
      <c r="D195" t="str">
        <f ca="1">Nomes!T196</f>
        <v>Joana Maria Lima Assunção</v>
      </c>
      <c r="E195" t="str">
        <f ca="1">Nomes!S196</f>
        <v>Feminino</v>
      </c>
      <c r="F195" s="2">
        <v>23808</v>
      </c>
      <c r="G195" t="str" cm="1">
        <f t="array" aca="1" ref="G195" ca="1">INDEX(rua_cod!$F:$F,RANDBETWEEN(2,COUNTA(rua_cod!F:F)))</f>
        <v>Rua da Oliveira ao Carmo</v>
      </c>
      <c r="H195" t="str" cm="1">
        <f t="array" aca="1" ref="H195" ca="1">INDEX(rua_cod!$A:$A,Users!V195) &amp; "-" &amp; TEXT(RANDBETWEEN(0,999),"000")</f>
        <v>2610-925</v>
      </c>
      <c r="I195" t="str" cm="1">
        <f t="array" aca="1" ref="I195" ca="1">INDEX(rua_cod!$B:$B,Users!V195)</f>
        <v>Amadora</v>
      </c>
      <c r="J195" t="s">
        <v>3727</v>
      </c>
      <c r="K195" t="s">
        <v>225</v>
      </c>
      <c r="L195" t="s">
        <v>265</v>
      </c>
      <c r="M195" t="str">
        <f t="shared" ref="M195:M199" ca="1" si="31">TEXT(RANDBETWEEN(10000000,99999999),"00000000")</f>
        <v>56851040</v>
      </c>
      <c r="N195" t="str">
        <f t="shared" ref="N195:O199" ca="1" si="32">TEXT(RANDBETWEEN(100000000,999999999),"000000000")</f>
        <v>849097942</v>
      </c>
      <c r="O195" t="str">
        <f t="shared" ca="1" si="32"/>
        <v>152376745</v>
      </c>
      <c r="P195" t="str" cm="1">
        <f t="array" aca="1" ref="P195" ca="1">9 &amp; INDEX($AF$3:$AF$6,W195)&amp; TEXT(RANDBETWEEN(0,9999999),"0000000")</f>
        <v>923703752</v>
      </c>
      <c r="Q195" t="str" cm="1">
        <f t="array" aca="1" ref="Q195" ca="1">LOWER(B195) &amp; INDEX($AF$9:$AF$11,X195)</f>
        <v>joaora2610@gmail.com</v>
      </c>
      <c r="R195" t="str">
        <f t="shared" ref="R195:R199" ca="1" si="33">B195 &amp; ".jpg"</f>
        <v>joaora2610.jpg</v>
      </c>
      <c r="T195" s="4"/>
      <c r="V195">
        <f ca="1">RANDBETWEEN(2,COUNTA(rua_cod!A:A))</f>
        <v>12</v>
      </c>
      <c r="W195">
        <f t="shared" ref="W195:W199" ca="1" si="34">RANDBETWEEN(1,4)</f>
        <v>2</v>
      </c>
      <c r="X195">
        <f t="shared" ref="X195:X199" ca="1" si="35">RANDBETWEEN(1,3)</f>
        <v>2</v>
      </c>
      <c r="Y195">
        <f t="shared" ref="Y195:Y199" ca="1" si="36">INT(NORMINV(RAND(),1976,22))</f>
        <v>1966</v>
      </c>
      <c r="Z195">
        <f t="shared" ref="Z195:Z199" ca="1" si="37">RANDBETWEEN(1,12)</f>
        <v>3</v>
      </c>
      <c r="AA195">
        <f t="shared" ref="AA195:AA199" ca="1" si="38">RANDBETWEEN(1,31)</f>
        <v>6</v>
      </c>
      <c r="AB195">
        <f t="shared" ref="AB195:AB199" ca="1" si="39">2020-Y195</f>
        <v>54</v>
      </c>
    </row>
    <row r="196" spans="1:28" x14ac:dyDescent="0.25">
      <c r="A196">
        <v>195</v>
      </c>
      <c r="B196" t="str" cm="1">
        <f t="array" aca="1" ref="B196" ca="1">replaceChar(LOWER(LEFT(D196,3)&amp;RIGHT(I196,3))&amp;LEFT(H196,4))</f>
        <v>luiluz2749</v>
      </c>
      <c r="C196" t="str">
        <f t="shared" ca="1" si="30"/>
        <v>pswluiluz2749</v>
      </c>
      <c r="D196" t="str">
        <f ca="1">Nomes!T197</f>
        <v>Luís Catarina Jesus Castro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Rua dos Fanqueiros</v>
      </c>
      <c r="H196" t="str" cm="1">
        <f t="array" aca="1" ref="H196" ca="1">INDEX(rua_cod!$A:$A,Users!V196) &amp; "-" &amp; TEXT(RANDBETWEEN(0,999),"000")</f>
        <v>2749-823</v>
      </c>
      <c r="I196" t="str" cm="1">
        <f t="array" aca="1" ref="I196" ca="1">INDEX(rua_cod!$B:$B,Users!V196)</f>
        <v>Queluz</v>
      </c>
      <c r="J196" t="s">
        <v>3727</v>
      </c>
      <c r="K196" t="s">
        <v>225</v>
      </c>
      <c r="L196" t="s">
        <v>265</v>
      </c>
      <c r="M196" t="str">
        <f t="shared" ca="1" si="31"/>
        <v>20088121</v>
      </c>
      <c r="N196" t="str">
        <f t="shared" ca="1" si="32"/>
        <v>896745053</v>
      </c>
      <c r="O196" t="str">
        <f t="shared" ca="1" si="32"/>
        <v>844355718</v>
      </c>
      <c r="P196" t="str" cm="1">
        <f t="array" aca="1" ref="P196" ca="1">9 &amp; INDEX($AF$3:$AF$6,W196)&amp; TEXT(RANDBETWEEN(0,9999999),"0000000")</f>
        <v>924702367</v>
      </c>
      <c r="Q196" t="str" cm="1">
        <f t="array" aca="1" ref="Q196" ca="1">LOWER(B196) &amp; INDEX($AF$9:$AF$11,X196)</f>
        <v>luiluz2749@outlook.com</v>
      </c>
      <c r="R196" t="str">
        <f t="shared" ca="1" si="33"/>
        <v>luiluz2749.jpg</v>
      </c>
      <c r="T196" s="4"/>
      <c r="V196">
        <f ca="1">RANDBETWEEN(2,COUNTA(rua_cod!A:A))</f>
        <v>91</v>
      </c>
      <c r="W196">
        <f t="shared" ca="1" si="34"/>
        <v>2</v>
      </c>
      <c r="X196">
        <f t="shared" ca="1" si="35"/>
        <v>1</v>
      </c>
      <c r="Y196">
        <f t="shared" ca="1" si="36"/>
        <v>2001</v>
      </c>
      <c r="Z196">
        <f t="shared" ca="1" si="37"/>
        <v>1</v>
      </c>
      <c r="AA196">
        <f t="shared" ca="1" si="38"/>
        <v>3</v>
      </c>
      <c r="AB196">
        <f t="shared" ca="1" si="39"/>
        <v>19</v>
      </c>
    </row>
    <row r="197" spans="1:28" x14ac:dyDescent="0.25">
      <c r="A197">
        <v>196</v>
      </c>
      <c r="B197" t="str" cm="1">
        <f t="array" aca="1" ref="B197" ca="1">replaceChar(LOWER(LEFT(D197,3)&amp;RIGHT(I197,3))&amp;LEFT(H197,4))</f>
        <v>sofboa1350</v>
      </c>
      <c r="C197" t="str">
        <f t="shared" ca="1" si="30"/>
        <v>pswsofboa1350</v>
      </c>
      <c r="D197" t="str">
        <f ca="1">Nomes!T198</f>
        <v>Sofia Afonso Brito Assunção</v>
      </c>
      <c r="E197" t="str">
        <f ca="1">Nomes!S198</f>
        <v>Feminino</v>
      </c>
      <c r="F197" s="2">
        <v>44443</v>
      </c>
      <c r="G197" t="str" cm="1">
        <f t="array" aca="1" ref="G197" ca="1">INDEX(rua_cod!$F:$F,RANDBETWEEN(2,COUNTA(rua_cod!F:F)))</f>
        <v>Rua Cidade de Bolama</v>
      </c>
      <c r="H197" t="str" cm="1">
        <f t="array" aca="1" ref="H197" ca="1">INDEX(rua_cod!$A:$A,Users!V197) &amp; "-" &amp; TEXT(RANDBETWEEN(0,999),"000")</f>
        <v>1350-068</v>
      </c>
      <c r="I197" t="str" cm="1">
        <f t="array" aca="1" ref="I197" ca="1">INDEX(rua_cod!$B:$B,Users!V197)</f>
        <v>Lisboa</v>
      </c>
      <c r="J197" t="s">
        <v>3727</v>
      </c>
      <c r="K197" t="s">
        <v>225</v>
      </c>
      <c r="L197" t="s">
        <v>265</v>
      </c>
      <c r="M197" t="str">
        <f t="shared" ca="1" si="31"/>
        <v>16781882</v>
      </c>
      <c r="N197" t="str">
        <f t="shared" ca="1" si="32"/>
        <v>741216019</v>
      </c>
      <c r="O197" t="str">
        <f t="shared" ca="1" si="32"/>
        <v>797440943</v>
      </c>
      <c r="P197" t="str" cm="1">
        <f t="array" aca="1" ref="P197" ca="1">9 &amp; INDEX($AF$3:$AF$6,W197)&amp; TEXT(RANDBETWEEN(0,9999999),"0000000")</f>
        <v>931879582</v>
      </c>
      <c r="Q197" t="str" cm="1">
        <f t="array" aca="1" ref="Q197" ca="1">LOWER(B197) &amp; INDEX($AF$9:$AF$11,X197)</f>
        <v>sofboa1350@outlook.com</v>
      </c>
      <c r="R197" t="str">
        <f t="shared" ca="1" si="33"/>
        <v>sofboa1350.jpg</v>
      </c>
      <c r="T197" s="4"/>
      <c r="V197">
        <f ca="1">RANDBETWEEN(2,COUNTA(rua_cod!A:A))</f>
        <v>54</v>
      </c>
      <c r="W197">
        <f t="shared" ca="1" si="34"/>
        <v>3</v>
      </c>
      <c r="X197">
        <f t="shared" ca="1" si="35"/>
        <v>1</v>
      </c>
      <c r="Y197">
        <f t="shared" ca="1" si="36"/>
        <v>1946</v>
      </c>
      <c r="Z197">
        <f t="shared" ca="1" si="37"/>
        <v>1</v>
      </c>
      <c r="AA197">
        <f t="shared" ca="1" si="38"/>
        <v>11</v>
      </c>
      <c r="AB197">
        <f t="shared" ca="1" si="39"/>
        <v>74</v>
      </c>
    </row>
    <row r="198" spans="1:28" x14ac:dyDescent="0.25">
      <c r="A198">
        <v>197</v>
      </c>
      <c r="B198" t="str" cm="1">
        <f t="array" aca="1" ref="B198" ca="1">replaceChar(LOWER(LEFT(D198,3)&amp;RIGHT(I198,3))&amp;LEFT(H198,4))</f>
        <v>marboa1400</v>
      </c>
      <c r="C198" t="str">
        <f t="shared" ca="1" si="30"/>
        <v>pswmarboa1400</v>
      </c>
      <c r="D198" t="str">
        <f ca="1">Nomes!T199</f>
        <v>Martim Lara Anjos Brito</v>
      </c>
      <c r="E198" t="str">
        <f ca="1">Nomes!S199</f>
        <v>Masculino</v>
      </c>
      <c r="F198" s="2">
        <v>14423</v>
      </c>
      <c r="G198" t="str" cm="1">
        <f t="array" aca="1" ref="G198" ca="1">INDEX(rua_cod!$F:$F,RANDBETWEEN(2,COUNTA(rua_cod!F:F)))</f>
        <v>Rua Nova do Almada</v>
      </c>
      <c r="H198" t="str" cm="1">
        <f t="array" aca="1" ref="H198" ca="1">INDEX(rua_cod!$A:$A,Users!V198) &amp; "-" &amp; TEXT(RANDBETWEEN(0,999),"000")</f>
        <v>1400-775</v>
      </c>
      <c r="I198" t="str" cm="1">
        <f t="array" aca="1" ref="I198" ca="1">INDEX(rua_cod!$B:$B,Users!V198)</f>
        <v>Lisboa</v>
      </c>
      <c r="J198" t="s">
        <v>3727</v>
      </c>
      <c r="K198" t="s">
        <v>225</v>
      </c>
      <c r="L198" t="s">
        <v>265</v>
      </c>
      <c r="M198" t="str">
        <f t="shared" ca="1" si="31"/>
        <v>16230372</v>
      </c>
      <c r="N198" t="str">
        <f t="shared" ca="1" si="32"/>
        <v>768430374</v>
      </c>
      <c r="O198" t="str">
        <f t="shared" ca="1" si="32"/>
        <v>329374372</v>
      </c>
      <c r="P198" t="str" cm="1">
        <f t="array" aca="1" ref="P198" ca="1">9 &amp; INDEX($AF$3:$AF$6,W198)&amp; TEXT(RANDBETWEEN(0,9999999),"0000000")</f>
        <v>920373685</v>
      </c>
      <c r="Q198" t="str" cm="1">
        <f t="array" aca="1" ref="Q198" ca="1">LOWER(B198) &amp; INDEX($AF$9:$AF$11,X198)</f>
        <v>marboa1400@gmail.com</v>
      </c>
      <c r="R198" t="str">
        <f t="shared" ca="1" si="33"/>
        <v>marboa1400.jpg</v>
      </c>
      <c r="T198" s="4"/>
      <c r="V198">
        <f ca="1">RANDBETWEEN(2,COUNTA(rua_cod!A:A))</f>
        <v>57</v>
      </c>
      <c r="W198">
        <f t="shared" ca="1" si="34"/>
        <v>2</v>
      </c>
      <c r="X198">
        <f t="shared" ca="1" si="35"/>
        <v>2</v>
      </c>
      <c r="Y198">
        <f t="shared" ca="1" si="36"/>
        <v>2001</v>
      </c>
      <c r="Z198">
        <f t="shared" ca="1" si="37"/>
        <v>3</v>
      </c>
      <c r="AA198">
        <f t="shared" ca="1" si="38"/>
        <v>22</v>
      </c>
      <c r="AB198">
        <f t="shared" ca="1" si="39"/>
        <v>19</v>
      </c>
    </row>
    <row r="199" spans="1:28" x14ac:dyDescent="0.25">
      <c r="A199">
        <v>198</v>
      </c>
      <c r="B199" t="str" cm="1">
        <f t="array" aca="1" ref="B199" ca="1">replaceChar(LOWER(LEFT(D199,3)&amp;RIGHT(I199,3))&amp;LEFT(H199,4))</f>
        <v>larada2805</v>
      </c>
      <c r="C199" t="str">
        <f t="shared" ca="1" si="30"/>
        <v>pswlarada2805</v>
      </c>
      <c r="D199" t="str">
        <f ca="1">Nomes!T200</f>
        <v>Lara Maria Neto Gaspar</v>
      </c>
      <c r="E199" t="str">
        <f ca="1">Nomes!S200</f>
        <v>Feminino</v>
      </c>
      <c r="F199" s="2">
        <v>12035</v>
      </c>
      <c r="G199" t="str" cm="1">
        <f t="array" aca="1" ref="G199" ca="1">INDEX(rua_cod!$F:$F,RANDBETWEEN(2,COUNTA(rua_cod!F:F)))</f>
        <v>Rua Nova do Almada</v>
      </c>
      <c r="H199" t="str" cm="1">
        <f t="array" aca="1" ref="H199" ca="1">INDEX(rua_cod!$A:$A,Users!V199) &amp; "-" &amp; TEXT(RANDBETWEEN(0,999),"000")</f>
        <v>2805-002</v>
      </c>
      <c r="I199" t="str" cm="1">
        <f t="array" aca="1" ref="I199" ca="1">INDEX(rua_cod!$B:$B,Users!V199)</f>
        <v>Almada</v>
      </c>
      <c r="J199" t="s">
        <v>3727</v>
      </c>
      <c r="K199" t="s">
        <v>225</v>
      </c>
      <c r="L199" t="s">
        <v>265</v>
      </c>
      <c r="M199" t="str">
        <f t="shared" ca="1" si="31"/>
        <v>52175724</v>
      </c>
      <c r="N199" t="str">
        <f t="shared" ca="1" si="32"/>
        <v>273774040</v>
      </c>
      <c r="O199" t="str">
        <f t="shared" ca="1" si="32"/>
        <v>986182902</v>
      </c>
      <c r="P199" t="str" cm="1">
        <f t="array" aca="1" ref="P199" ca="1">9 &amp; INDEX($AF$3:$AF$6,W199)&amp; TEXT(RANDBETWEEN(0,9999999),"0000000")</f>
        <v>933672685</v>
      </c>
      <c r="Q199" t="str" cm="1">
        <f t="array" aca="1" ref="Q199" ca="1">LOWER(B199) &amp; INDEX($AF$9:$AF$11,X199)</f>
        <v>larada2805@gmail.com</v>
      </c>
      <c r="R199" t="str">
        <f t="shared" ca="1" si="33"/>
        <v>larada2805.jpg</v>
      </c>
      <c r="T199" s="4"/>
      <c r="V199">
        <f ca="1">RANDBETWEEN(2,COUNTA(rua_cod!A:A))</f>
        <v>4</v>
      </c>
      <c r="W199">
        <f t="shared" ca="1" si="34"/>
        <v>3</v>
      </c>
      <c r="X199">
        <f t="shared" ca="1" si="35"/>
        <v>2</v>
      </c>
      <c r="Y199">
        <f t="shared" ca="1" si="36"/>
        <v>1965</v>
      </c>
      <c r="Z199">
        <f t="shared" ca="1" si="37"/>
        <v>6</v>
      </c>
      <c r="AA199">
        <f t="shared" ca="1" si="38"/>
        <v>15</v>
      </c>
      <c r="AB199">
        <f t="shared" ca="1" si="39"/>
        <v>55</v>
      </c>
    </row>
    <row r="200" spans="1:28" x14ac:dyDescent="0.25">
      <c r="F200" s="2"/>
      <c r="T200" s="4"/>
    </row>
    <row r="201" spans="1:28" x14ac:dyDescent="0.25">
      <c r="T201" s="4"/>
    </row>
    <row r="202" spans="1:28" x14ac:dyDescent="0.25">
      <c r="T202" s="4"/>
    </row>
    <row r="203" spans="1:28" x14ac:dyDescent="0.25">
      <c r="T203" s="4"/>
    </row>
    <row r="204" spans="1:28" x14ac:dyDescent="0.25">
      <c r="T204" s="4"/>
    </row>
    <row r="205" spans="1:28" x14ac:dyDescent="0.25">
      <c r="T205" s="4"/>
    </row>
    <row r="206" spans="1:28" x14ac:dyDescent="0.25">
      <c r="T206" s="4"/>
    </row>
    <row r="207" spans="1:28" x14ac:dyDescent="0.25">
      <c r="T207" s="4"/>
    </row>
    <row r="208" spans="1:28" x14ac:dyDescent="0.25">
      <c r="T208" s="4"/>
    </row>
    <row r="209" spans="20:20" x14ac:dyDescent="0.25">
      <c r="T209" s="4"/>
    </row>
    <row r="210" spans="20:20" x14ac:dyDescent="0.25">
      <c r="T210" s="4"/>
    </row>
    <row r="211" spans="20:20" x14ac:dyDescent="0.25">
      <c r="T211" s="4"/>
    </row>
    <row r="212" spans="20:20" x14ac:dyDescent="0.25">
      <c r="T212" s="4"/>
    </row>
    <row r="213" spans="20:20" x14ac:dyDescent="0.25">
      <c r="T213" s="4"/>
    </row>
    <row r="214" spans="20:20" x14ac:dyDescent="0.25">
      <c r="T214" s="4"/>
    </row>
    <row r="215" spans="20:20" x14ac:dyDescent="0.25">
      <c r="T215" s="4"/>
    </row>
    <row r="216" spans="20:20" x14ac:dyDescent="0.25">
      <c r="T216" s="4"/>
    </row>
    <row r="217" spans="20:20" x14ac:dyDescent="0.25">
      <c r="T217" s="4"/>
    </row>
    <row r="218" spans="20:20" x14ac:dyDescent="0.25">
      <c r="T218" s="4"/>
    </row>
    <row r="219" spans="20:20" x14ac:dyDescent="0.25">
      <c r="T219" s="4"/>
    </row>
    <row r="220" spans="20:20" x14ac:dyDescent="0.25">
      <c r="T220" s="4"/>
    </row>
    <row r="221" spans="20:20" x14ac:dyDescent="0.25">
      <c r="T221" s="4"/>
    </row>
    <row r="222" spans="20:20" x14ac:dyDescent="0.25">
      <c r="T222" s="4"/>
    </row>
    <row r="223" spans="20:20" x14ac:dyDescent="0.25">
      <c r="T223" s="4"/>
    </row>
    <row r="224" spans="20:20" x14ac:dyDescent="0.25">
      <c r="T224" s="4"/>
    </row>
    <row r="225" spans="20:20" x14ac:dyDescent="0.25">
      <c r="T225" s="4"/>
    </row>
    <row r="226" spans="20:20" x14ac:dyDescent="0.25">
      <c r="T226" s="4"/>
    </row>
    <row r="227" spans="20:20" x14ac:dyDescent="0.25">
      <c r="T227" s="4"/>
    </row>
    <row r="228" spans="20:20" x14ac:dyDescent="0.25">
      <c r="T228" s="4"/>
    </row>
    <row r="229" spans="20:20" x14ac:dyDescent="0.25">
      <c r="T229" s="4"/>
    </row>
    <row r="230" spans="20:20" x14ac:dyDescent="0.25">
      <c r="T230" s="4"/>
    </row>
    <row r="231" spans="20:20" x14ac:dyDescent="0.25">
      <c r="T231" s="4"/>
    </row>
    <row r="232" spans="20:20" x14ac:dyDescent="0.25">
      <c r="T232" s="4"/>
    </row>
    <row r="233" spans="20:20" x14ac:dyDescent="0.25">
      <c r="T233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10E5E-26B4-4D9A-B5F6-45D0D20E688D}">
  <sheetPr codeName="Sheet6"/>
  <dimension ref="A1:AH233"/>
  <sheetViews>
    <sheetView workbookViewId="0"/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S1" t="s">
        <v>342</v>
      </c>
      <c r="T1" t="s">
        <v>343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"med" &amp; TEXT(A2,"000")</f>
        <v>med001</v>
      </c>
      <c r="C2" t="str">
        <f>"psw" &amp; B2</f>
        <v>pswmed001</v>
      </c>
      <c r="D2" t="str">
        <f ca="1">Nomes!T3</f>
        <v>Francisca</v>
      </c>
      <c r="E2" t="str">
        <f ca="1">Nomes!S3</f>
        <v>Feminino</v>
      </c>
      <c r="F2" s="2">
        <f ca="1">DATE(AA2,AB2,AC2)</f>
        <v>31661</v>
      </c>
      <c r="G2" t="str" cm="1">
        <f t="array" aca="1" ref="G2" ca="1">INDEX(rua_cod!$F:$F,RANDBETWEEN(2,COUNTA(rua_cod!F:F)))</f>
        <v>Rua dos Bacalhoeiros</v>
      </c>
      <c r="H2" t="str" cm="1">
        <f t="array" aca="1" ref="H2" ca="1">INDEX(rua_cod!$A:$A,Médicos!X2) &amp; "-" &amp; TEXT(RANDBETWEEN(0,999),"000")</f>
        <v>2610-451</v>
      </c>
      <c r="I2" t="str" cm="1">
        <f t="array" aca="1" ref="I2" ca="1">INDEX(rua_cod!$B:$B,Médicos!X2)</f>
        <v>Amadora</v>
      </c>
      <c r="J2" t="s">
        <v>341</v>
      </c>
      <c r="K2" t="s">
        <v>225</v>
      </c>
      <c r="L2" t="s">
        <v>265</v>
      </c>
      <c r="M2" t="str">
        <f ca="1">TEXT(RANDBETWEEN(10000000,99999999),"00000000")</f>
        <v>28191373</v>
      </c>
      <c r="N2" t="str">
        <f ca="1">TEXT(RANDBETWEEN(100000000,999999999),"000000000")</f>
        <v>290681069</v>
      </c>
      <c r="O2" t="str">
        <f ca="1">TEXT(RANDBETWEEN(100000000,999999999),"000000000")</f>
        <v>770979142</v>
      </c>
      <c r="P2" t="str" cm="1">
        <f t="array" aca="1" ref="P2" ca="1">9 &amp; INDEX($AH$3:$AH$6,Y2)&amp; TEXT(RANDBETWEEN(0,9999999),"0000000")</f>
        <v>938943370</v>
      </c>
      <c r="Q2" t="str" cm="1">
        <f t="array" aca="1" ref="Q2" ca="1">LOWER(B2) &amp; INDEX($AH$9:$AH$11,Z2)</f>
        <v>med001@hospital.upskill.com</v>
      </c>
      <c r="R2" t="str">
        <f>B2 &amp; ".jpg"</f>
        <v>med001.jpg</v>
      </c>
      <c r="S2" s="8">
        <f ca="1" xml:space="preserve"> RANDBETWEEN(1000000000000000,9999999999999990)</f>
        <v>2231099230225675</v>
      </c>
      <c r="T2" t="s">
        <v>341</v>
      </c>
      <c r="V2" s="4"/>
      <c r="X2">
        <f ca="1">RANDBETWEEN(2,COUNTA(rua_cod!A:A))</f>
        <v>12</v>
      </c>
      <c r="Y2">
        <f ca="1">RANDBETWEEN(1,4)</f>
        <v>3</v>
      </c>
      <c r="Z2">
        <f ca="1">RANDBETWEEN(1,3)</f>
        <v>2</v>
      </c>
      <c r="AA2">
        <f ca="1">RANDBETWEEN(1950,1994)</f>
        <v>1986</v>
      </c>
      <c r="AB2">
        <f ca="1">RANDBETWEEN(1,12)</f>
        <v>9</v>
      </c>
      <c r="AC2">
        <f ca="1">RANDBETWEEN(1,31)</f>
        <v>6</v>
      </c>
      <c r="AD2">
        <f ca="1">2020-AA2</f>
        <v>34</v>
      </c>
      <c r="AH2" t="s">
        <v>266</v>
      </c>
    </row>
    <row r="3" spans="1:34" x14ac:dyDescent="0.25">
      <c r="A3">
        <v>2</v>
      </c>
      <c r="B3" t="str">
        <f t="shared" ref="B3:B66" si="0">"med" &amp; TEXT(A3,"000")</f>
        <v>med002</v>
      </c>
      <c r="C3" t="str">
        <f t="shared" ref="C3:C66" si="1">"psw" &amp; B3</f>
        <v>pswmed002</v>
      </c>
      <c r="D3" t="str">
        <f ca="1">Nomes!T4</f>
        <v>José</v>
      </c>
      <c r="E3" t="str">
        <f ca="1">Nomes!S4</f>
        <v>Masculino</v>
      </c>
      <c r="F3" s="2">
        <v>23831</v>
      </c>
      <c r="G3" t="str" cm="1">
        <f t="array" aca="1" ref="G3" ca="1">INDEX(rua_cod!$F:$F,RANDBETWEEN(2,COUNTA(rua_cod!F:F)))</f>
        <v>Travessa de São João da Praça</v>
      </c>
      <c r="H3" t="str" cm="1">
        <f t="array" aca="1" ref="H3" ca="1">INDEX(rua_cod!$A:$A,Médicos!X3) &amp; "-" &amp; TEXT(RANDBETWEEN(0,999),"000")</f>
        <v>3000-123</v>
      </c>
      <c r="I3" t="str" cm="1">
        <f t="array" aca="1" ref="I3" ca="1">INDEX(rua_cod!$B:$B,Médicos!X3)</f>
        <v>Coimbra</v>
      </c>
      <c r="J3" t="s">
        <v>341</v>
      </c>
      <c r="K3" t="s">
        <v>225</v>
      </c>
      <c r="L3" t="s">
        <v>265</v>
      </c>
      <c r="M3" t="str">
        <f t="shared" ref="M3:M66" ca="1" si="2">TEXT(RANDBETWEEN(10000000,99999999),"00000000")</f>
        <v>51439948</v>
      </c>
      <c r="N3" t="str">
        <f t="shared" ref="N3:O66" ca="1" si="3">TEXT(RANDBETWEEN(100000000,999999999),"000000000")</f>
        <v>622484150</v>
      </c>
      <c r="O3" t="str">
        <f t="shared" ca="1" si="3"/>
        <v>541583479</v>
      </c>
      <c r="P3" t="str" cm="1">
        <f t="array" aca="1" ref="P3" ca="1">9 &amp; INDEX($AH$3:$AH$6,Y3)&amp; TEXT(RANDBETWEEN(0,9999999),"0000000")</f>
        <v>925257850</v>
      </c>
      <c r="Q3" t="str" cm="1">
        <f t="array" aca="1" ref="Q3" ca="1">LOWER(B3) &amp; INDEX($AH$9:$AH$11,Z3)</f>
        <v>med002@hospital.upskill.com</v>
      </c>
      <c r="R3" t="str">
        <f t="shared" ref="R3:R66" si="4">B3 &amp; ".jpg"</f>
        <v>med002.jpg</v>
      </c>
      <c r="S3" s="8">
        <f t="shared" ref="S3:S66" ca="1" si="5" xml:space="preserve"> RANDBETWEEN(1000000000000000,9999999999999990)</f>
        <v>9165513334575484</v>
      </c>
      <c r="T3" t="s">
        <v>341</v>
      </c>
      <c r="V3" s="4"/>
      <c r="X3">
        <f ca="1">RANDBETWEEN(2,COUNTA(rua_cod!A:A))</f>
        <v>26</v>
      </c>
      <c r="Y3">
        <f t="shared" ref="Y3:Y66" ca="1" si="6">RANDBETWEEN(1,4)</f>
        <v>2</v>
      </c>
      <c r="Z3">
        <f t="shared" ref="Z3:Z66" ca="1" si="7">RANDBETWEEN(1,3)</f>
        <v>3</v>
      </c>
      <c r="AA3">
        <f t="shared" ref="AA3:AA66" ca="1" si="8">RANDBETWEEN(1950,1994)</f>
        <v>1952</v>
      </c>
      <c r="AB3">
        <f t="shared" ref="AB3:AB66" ca="1" si="9">RANDBETWEEN(1,12)</f>
        <v>10</v>
      </c>
      <c r="AC3">
        <f t="shared" ref="AC3:AC66" ca="1" si="10">RANDBETWEEN(1,31)</f>
        <v>2</v>
      </c>
      <c r="AD3">
        <f t="shared" ref="AD3:AD66" ca="1" si="11">2020-AA3</f>
        <v>68</v>
      </c>
      <c r="AH3">
        <v>1</v>
      </c>
    </row>
    <row r="4" spans="1:34" x14ac:dyDescent="0.25">
      <c r="A4">
        <v>3</v>
      </c>
      <c r="B4" t="str">
        <f t="shared" si="0"/>
        <v>med003</v>
      </c>
      <c r="C4" t="str">
        <f t="shared" si="1"/>
        <v>pswmed003</v>
      </c>
      <c r="D4" t="str">
        <f ca="1">Nomes!T5</f>
        <v>Gabriel</v>
      </c>
      <c r="E4" t="str">
        <f ca="1">Nomes!S5</f>
        <v>Masculino</v>
      </c>
      <c r="F4" s="2">
        <v>26848</v>
      </c>
      <c r="G4" t="str" cm="1">
        <f t="array" aca="1" ref="G4" ca="1">INDEX(rua_cod!$F:$F,RANDBETWEEN(2,COUNTA(rua_cod!F:F)))</f>
        <v>Rua Cidade de Bolama</v>
      </c>
      <c r="H4" t="str" cm="1">
        <f t="array" aca="1" ref="H4" ca="1">INDEX(rua_cod!$A:$A,Médicos!X4) &amp; "-" &amp; TEXT(RANDBETWEEN(0,999),"000")</f>
        <v>1400-872</v>
      </c>
      <c r="I4" t="str" cm="1">
        <f t="array" aca="1" ref="I4" ca="1">INDEX(rua_cod!$B:$B,Médicos!X4)</f>
        <v>Lisboa</v>
      </c>
      <c r="J4" t="s">
        <v>341</v>
      </c>
      <c r="K4" t="s">
        <v>225</v>
      </c>
      <c r="L4" t="s">
        <v>265</v>
      </c>
      <c r="M4" t="str">
        <f t="shared" ca="1" si="2"/>
        <v>73972554</v>
      </c>
      <c r="N4" t="str">
        <f t="shared" ca="1" si="3"/>
        <v>212866905</v>
      </c>
      <c r="O4" t="str">
        <f t="shared" ca="1" si="3"/>
        <v>233547333</v>
      </c>
      <c r="P4" t="str" cm="1">
        <f t="array" aca="1" ref="P4" ca="1">9 &amp; INDEX($AH$3:$AH$6,Y4)&amp; TEXT(RANDBETWEEN(0,9999999),"0000000")</f>
        <v>931094484</v>
      </c>
      <c r="Q4" t="str" cm="1">
        <f t="array" aca="1" ref="Q4" ca="1">LOWER(B4) &amp; INDEX($AH$9:$AH$11,Z4)</f>
        <v>med003@hospital.upskill.com</v>
      </c>
      <c r="R4" t="str">
        <f t="shared" si="4"/>
        <v>med003.jpg</v>
      </c>
      <c r="S4" s="8">
        <f t="shared" ca="1" si="5"/>
        <v>2966388053504289</v>
      </c>
      <c r="T4" t="s">
        <v>341</v>
      </c>
      <c r="V4" s="4"/>
      <c r="X4">
        <f ca="1">RANDBETWEEN(2,COUNTA(rua_cod!A:A))</f>
        <v>57</v>
      </c>
      <c r="Y4">
        <f t="shared" ca="1" si="6"/>
        <v>3</v>
      </c>
      <c r="Z4">
        <f t="shared" ca="1" si="7"/>
        <v>1</v>
      </c>
      <c r="AA4">
        <f t="shared" ca="1" si="8"/>
        <v>1976</v>
      </c>
      <c r="AB4">
        <f t="shared" ca="1" si="9"/>
        <v>3</v>
      </c>
      <c r="AC4">
        <f t="shared" ca="1" si="10"/>
        <v>30</v>
      </c>
      <c r="AD4">
        <f t="shared" ca="1" si="11"/>
        <v>44</v>
      </c>
      <c r="AH4">
        <v>2</v>
      </c>
    </row>
    <row r="5" spans="1:34" x14ac:dyDescent="0.25">
      <c r="A5">
        <v>4</v>
      </c>
      <c r="B5" t="str">
        <f t="shared" si="0"/>
        <v>med004</v>
      </c>
      <c r="C5" t="str">
        <f t="shared" si="1"/>
        <v>pswmed004</v>
      </c>
      <c r="D5" t="str">
        <f ca="1">Nomes!T6</f>
        <v>Martim</v>
      </c>
      <c r="E5" t="str">
        <f ca="1">Nomes!S6</f>
        <v>Masculino</v>
      </c>
      <c r="F5" s="2">
        <v>34485</v>
      </c>
      <c r="G5" t="str" cm="1">
        <f t="array" aca="1" ref="G5" ca="1">INDEX(rua_cod!$F:$F,RANDBETWEEN(2,COUNTA(rua_cod!F:F)))</f>
        <v>Avenida Ressano Garcia</v>
      </c>
      <c r="H5" t="str" cm="1">
        <f t="array" aca="1" ref="H5" ca="1">INDEX(rua_cod!$A:$A,Médicos!X5) &amp; "-" &amp; TEXT(RANDBETWEEN(0,999),"000")</f>
        <v>1999-032</v>
      </c>
      <c r="I5" t="str" cm="1">
        <f t="array" aca="1" ref="I5" ca="1">INDEX(rua_cod!$B:$B,Médicos!X5)</f>
        <v>Lisboa</v>
      </c>
      <c r="J5" t="s">
        <v>341</v>
      </c>
      <c r="K5" t="s">
        <v>225</v>
      </c>
      <c r="L5" t="s">
        <v>265</v>
      </c>
      <c r="M5" t="str">
        <f t="shared" ca="1" si="2"/>
        <v>72382513</v>
      </c>
      <c r="N5" t="str">
        <f t="shared" ca="1" si="3"/>
        <v>273555535</v>
      </c>
      <c r="O5" t="str">
        <f t="shared" ca="1" si="3"/>
        <v>438703177</v>
      </c>
      <c r="P5" t="str" cm="1">
        <f t="array" aca="1" ref="P5" ca="1">9 &amp; INDEX($AH$3:$AH$6,Y5)&amp; TEXT(RANDBETWEEN(0,9999999),"0000000")</f>
        <v>914606298</v>
      </c>
      <c r="Q5" t="str" cm="1">
        <f t="array" aca="1" ref="Q5" ca="1">LOWER(B5) &amp; INDEX($AH$9:$AH$11,Z5)</f>
        <v>med004@hospital.upskill.com</v>
      </c>
      <c r="R5" t="str">
        <f t="shared" si="4"/>
        <v>med004.jpg</v>
      </c>
      <c r="S5" s="8">
        <f t="shared" ca="1" si="5"/>
        <v>8821250478709122</v>
      </c>
      <c r="T5" t="s">
        <v>341</v>
      </c>
      <c r="V5" s="4"/>
      <c r="X5">
        <f ca="1">RANDBETWEEN(2,COUNTA(rua_cod!A:A))</f>
        <v>79</v>
      </c>
      <c r="Y5">
        <f t="shared" ca="1" si="6"/>
        <v>1</v>
      </c>
      <c r="Z5">
        <f t="shared" ca="1" si="7"/>
        <v>1</v>
      </c>
      <c r="AA5">
        <f t="shared" ca="1" si="8"/>
        <v>1983</v>
      </c>
      <c r="AB5">
        <f t="shared" ca="1" si="9"/>
        <v>2</v>
      </c>
      <c r="AC5">
        <f t="shared" ca="1" si="10"/>
        <v>22</v>
      </c>
      <c r="AD5">
        <f t="shared" ca="1" si="11"/>
        <v>37</v>
      </c>
      <c r="AH5">
        <v>3</v>
      </c>
    </row>
    <row r="6" spans="1:34" x14ac:dyDescent="0.25">
      <c r="A6">
        <v>5</v>
      </c>
      <c r="B6" t="str">
        <f t="shared" si="0"/>
        <v>med005</v>
      </c>
      <c r="C6" t="str">
        <f t="shared" si="1"/>
        <v>pswmed005</v>
      </c>
      <c r="D6" t="str">
        <f ca="1">Nomes!T7</f>
        <v>Joaquim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de São Mamede</v>
      </c>
      <c r="H6" t="str" cm="1">
        <f t="array" aca="1" ref="H6" ca="1">INDEX(rua_cod!$A:$A,Médicos!X6) &amp; "-" &amp; TEXT(RANDBETWEEN(0,999),"000")</f>
        <v>2720-681</v>
      </c>
      <c r="I6" t="str" cm="1">
        <f t="array" aca="1" ref="I6" ca="1">INDEX(rua_cod!$B:$B,Médicos!X6)</f>
        <v>Amadora</v>
      </c>
      <c r="J6" t="s">
        <v>341</v>
      </c>
      <c r="K6" t="s">
        <v>225</v>
      </c>
      <c r="L6" t="s">
        <v>265</v>
      </c>
      <c r="M6" t="str">
        <f t="shared" ca="1" si="2"/>
        <v>18348222</v>
      </c>
      <c r="N6" t="str">
        <f t="shared" ca="1" si="3"/>
        <v>909637996</v>
      </c>
      <c r="O6" t="str">
        <f t="shared" ca="1" si="3"/>
        <v>350737357</v>
      </c>
      <c r="P6" t="str" cm="1">
        <f t="array" aca="1" ref="P6" ca="1">9 &amp; INDEX($AH$3:$AH$6,Y6)&amp; TEXT(RANDBETWEEN(0,9999999),"0000000")</f>
        <v>924513507</v>
      </c>
      <c r="Q6" t="str" cm="1">
        <f t="array" aca="1" ref="Q6" ca="1">LOWER(B6) &amp; INDEX($AH$9:$AH$11,Z6)</f>
        <v>med005@hospital.upskill.com</v>
      </c>
      <c r="R6" t="str">
        <f t="shared" si="4"/>
        <v>med005.jpg</v>
      </c>
      <c r="S6" s="8">
        <f t="shared" ca="1" si="5"/>
        <v>9101802172001926</v>
      </c>
      <c r="T6" t="s">
        <v>341</v>
      </c>
      <c r="V6" s="4"/>
      <c r="X6">
        <f ca="1">RANDBETWEEN(2,COUNTA(rua_cod!A:A))</f>
        <v>8</v>
      </c>
      <c r="Y6">
        <f t="shared" ca="1" si="6"/>
        <v>2</v>
      </c>
      <c r="Z6">
        <f t="shared" ca="1" si="7"/>
        <v>1</v>
      </c>
      <c r="AA6">
        <f t="shared" ca="1" si="8"/>
        <v>1983</v>
      </c>
      <c r="AB6">
        <f t="shared" ca="1" si="9"/>
        <v>4</v>
      </c>
      <c r="AC6">
        <f t="shared" ca="1" si="10"/>
        <v>1</v>
      </c>
      <c r="AD6">
        <f t="shared" ca="1" si="11"/>
        <v>37</v>
      </c>
      <c r="AH6">
        <v>6</v>
      </c>
    </row>
    <row r="7" spans="1:34" x14ac:dyDescent="0.25">
      <c r="A7">
        <v>6</v>
      </c>
      <c r="B7" t="str">
        <f t="shared" si="0"/>
        <v>med006</v>
      </c>
      <c r="C7" t="str">
        <f t="shared" si="1"/>
        <v>pswmed006</v>
      </c>
      <c r="D7" t="str">
        <f ca="1">Nomes!T8</f>
        <v>Francisco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Rua do Sacramento à Lapa</v>
      </c>
      <c r="H7" t="str" cm="1">
        <f t="array" aca="1" ref="H7" ca="1">INDEX(rua_cod!$A:$A,Médicos!X7) &amp; "-" &amp; TEXT(RANDBETWEEN(0,999),"000")</f>
        <v>1749-954</v>
      </c>
      <c r="I7" t="str" cm="1">
        <f t="array" aca="1" ref="I7" ca="1">INDEX(rua_cod!$B:$B,Médicos!X7)</f>
        <v>Lisboa</v>
      </c>
      <c r="J7" t="s">
        <v>341</v>
      </c>
      <c r="K7" t="s">
        <v>225</v>
      </c>
      <c r="L7" t="s">
        <v>265</v>
      </c>
      <c r="M7" t="str">
        <f t="shared" ca="1" si="2"/>
        <v>72689575</v>
      </c>
      <c r="N7" t="str">
        <f t="shared" ca="1" si="3"/>
        <v>766561694</v>
      </c>
      <c r="O7" t="str">
        <f t="shared" ca="1" si="3"/>
        <v>352105646</v>
      </c>
      <c r="P7" t="str" cm="1">
        <f t="array" aca="1" ref="P7" ca="1">9 &amp; INDEX($AH$3:$AH$6,Y7)&amp; TEXT(RANDBETWEEN(0,9999999),"0000000")</f>
        <v>931498156</v>
      </c>
      <c r="Q7" t="str" cm="1">
        <f t="array" aca="1" ref="Q7" ca="1">LOWER(B7) &amp; INDEX($AH$9:$AH$11,Z7)</f>
        <v>med006@hospital.upskill.com</v>
      </c>
      <c r="R7" t="str">
        <f t="shared" si="4"/>
        <v>med006.jpg</v>
      </c>
      <c r="S7" s="8">
        <f t="shared" ca="1" si="5"/>
        <v>3276126532438090</v>
      </c>
      <c r="T7" t="s">
        <v>341</v>
      </c>
      <c r="V7" s="4"/>
      <c r="X7">
        <f ca="1">RANDBETWEEN(2,COUNTA(rua_cod!A:A))</f>
        <v>61</v>
      </c>
      <c r="Y7">
        <f t="shared" ca="1" si="6"/>
        <v>3</v>
      </c>
      <c r="Z7">
        <f t="shared" ca="1" si="7"/>
        <v>3</v>
      </c>
      <c r="AA7">
        <f t="shared" ca="1" si="8"/>
        <v>1958</v>
      </c>
      <c r="AB7">
        <f t="shared" ca="1" si="9"/>
        <v>1</v>
      </c>
      <c r="AC7">
        <f t="shared" ca="1" si="10"/>
        <v>25</v>
      </c>
      <c r="AD7">
        <f t="shared" ca="1" si="11"/>
        <v>62</v>
      </c>
    </row>
    <row r="8" spans="1:34" x14ac:dyDescent="0.25">
      <c r="A8">
        <v>7</v>
      </c>
      <c r="B8" t="str">
        <f t="shared" si="0"/>
        <v>med007</v>
      </c>
      <c r="C8" t="str">
        <f t="shared" si="1"/>
        <v>pswmed007</v>
      </c>
      <c r="D8" t="str">
        <f ca="1">Nomes!T9</f>
        <v>Inês</v>
      </c>
      <c r="E8" t="str">
        <f ca="1">Nomes!S9</f>
        <v>Feminino</v>
      </c>
      <c r="F8" s="2">
        <v>26214</v>
      </c>
      <c r="G8" t="str" cm="1">
        <f t="array" aca="1" ref="G8" ca="1">INDEX(rua_cod!$F:$F,RANDBETWEEN(2,COUNTA(rua_cod!F:F)))</f>
        <v>Rua de São Mamede</v>
      </c>
      <c r="H8" t="str" cm="1">
        <f t="array" aca="1" ref="H8" ca="1">INDEX(rua_cod!$A:$A,Médicos!X8) &amp; "-" &amp; TEXT(RANDBETWEEN(0,999),"000")</f>
        <v>1700-609</v>
      </c>
      <c r="I8" t="str" cm="1">
        <f t="array" aca="1" ref="I8" ca="1">INDEX(rua_cod!$B:$B,Médicos!X8)</f>
        <v>Lisboa</v>
      </c>
      <c r="J8" t="s">
        <v>341</v>
      </c>
      <c r="K8" t="s">
        <v>225</v>
      </c>
      <c r="L8" t="s">
        <v>265</v>
      </c>
      <c r="M8" t="str">
        <f t="shared" ca="1" si="2"/>
        <v>15020793</v>
      </c>
      <c r="N8" t="str">
        <f t="shared" ca="1" si="3"/>
        <v>301047724</v>
      </c>
      <c r="O8" t="str">
        <f t="shared" ca="1" si="3"/>
        <v>444670844</v>
      </c>
      <c r="P8" t="str" cm="1">
        <f t="array" aca="1" ref="P8" ca="1">9 &amp; INDEX($AH$3:$AH$6,Y8)&amp; TEXT(RANDBETWEEN(0,9999999),"0000000")</f>
        <v>962183698</v>
      </c>
      <c r="Q8" t="str" cm="1">
        <f t="array" aca="1" ref="Q8" ca="1">LOWER(B8) &amp; INDEX($AH$9:$AH$11,Z8)</f>
        <v>med007@hospital.upskill.com</v>
      </c>
      <c r="R8" t="str">
        <f t="shared" si="4"/>
        <v>med007.jpg</v>
      </c>
      <c r="S8" s="8">
        <f t="shared" ca="1" si="5"/>
        <v>5699445044535361</v>
      </c>
      <c r="T8" t="s">
        <v>341</v>
      </c>
      <c r="V8" s="4"/>
      <c r="X8">
        <f ca="1">RANDBETWEEN(2,COUNTA(rua_cod!A:A))</f>
        <v>40</v>
      </c>
      <c r="Y8">
        <f t="shared" ca="1" si="6"/>
        <v>4</v>
      </c>
      <c r="Z8">
        <f t="shared" ca="1" si="7"/>
        <v>1</v>
      </c>
      <c r="AA8">
        <f t="shared" ca="1" si="8"/>
        <v>1972</v>
      </c>
      <c r="AB8">
        <f t="shared" ca="1" si="9"/>
        <v>2</v>
      </c>
      <c r="AC8">
        <f t="shared" ca="1" si="10"/>
        <v>12</v>
      </c>
      <c r="AD8">
        <f t="shared" ca="1" si="11"/>
        <v>48</v>
      </c>
    </row>
    <row r="9" spans="1:34" x14ac:dyDescent="0.25">
      <c r="A9">
        <v>8</v>
      </c>
      <c r="B9" t="str">
        <f t="shared" si="0"/>
        <v>med008</v>
      </c>
      <c r="C9" t="str">
        <f t="shared" si="1"/>
        <v>pswmed008</v>
      </c>
      <c r="D9" t="str">
        <f ca="1">Nomes!T10</f>
        <v>Bruno</v>
      </c>
      <c r="E9" t="str">
        <f ca="1">Nomes!S10</f>
        <v>Masculino</v>
      </c>
      <c r="F9" s="2">
        <v>41662</v>
      </c>
      <c r="G9" t="str" cm="1">
        <f t="array" aca="1" ref="G9" ca="1">INDEX(rua_cod!$F:$F,RANDBETWEEN(2,COUNTA(rua_cod!F:F)))</f>
        <v>Rua do Arsenal</v>
      </c>
      <c r="H9" t="str" cm="1">
        <f t="array" aca="1" ref="H9" ca="1">INDEX(rua_cod!$A:$A,Médicos!X9) &amp; "-" &amp; TEXT(RANDBETWEEN(0,999),"000")</f>
        <v>1200-975</v>
      </c>
      <c r="I9" t="str" cm="1">
        <f t="array" aca="1" ref="I9" ca="1">INDEX(rua_cod!$B:$B,Médicos!X9)</f>
        <v>Lisboa</v>
      </c>
      <c r="J9" t="s">
        <v>341</v>
      </c>
      <c r="K9" t="s">
        <v>225</v>
      </c>
      <c r="L9" t="s">
        <v>265</v>
      </c>
      <c r="M9" t="str">
        <f t="shared" ca="1" si="2"/>
        <v>91827146</v>
      </c>
      <c r="N9" t="str">
        <f t="shared" ca="1" si="3"/>
        <v>502419249</v>
      </c>
      <c r="O9" t="str">
        <f t="shared" ca="1" si="3"/>
        <v>442581940</v>
      </c>
      <c r="P9" t="str" cm="1">
        <f t="array" aca="1" ref="P9" ca="1">9 &amp; INDEX($AH$3:$AH$6,Y9)&amp; TEXT(RANDBETWEEN(0,9999999),"0000000")</f>
        <v>930196698</v>
      </c>
      <c r="Q9" t="str" cm="1">
        <f t="array" aca="1" ref="Q9" ca="1">LOWER(B9) &amp; INDEX($AH$9:$AH$11,Z9)</f>
        <v>med008@hospital.upskill.com</v>
      </c>
      <c r="R9" t="str">
        <f t="shared" si="4"/>
        <v>med008.jpg</v>
      </c>
      <c r="S9" s="8">
        <f t="shared" ca="1" si="5"/>
        <v>7265539718492259</v>
      </c>
      <c r="T9" t="s">
        <v>341</v>
      </c>
      <c r="V9" s="4"/>
      <c r="X9">
        <f ca="1">RANDBETWEEN(2,COUNTA(rua_cod!A:A))</f>
        <v>48</v>
      </c>
      <c r="Y9">
        <f t="shared" ca="1" si="6"/>
        <v>3</v>
      </c>
      <c r="Z9">
        <f t="shared" ca="1" si="7"/>
        <v>1</v>
      </c>
      <c r="AA9">
        <f t="shared" ca="1" si="8"/>
        <v>1968</v>
      </c>
      <c r="AB9">
        <f t="shared" ca="1" si="9"/>
        <v>1</v>
      </c>
      <c r="AC9">
        <f t="shared" ca="1" si="10"/>
        <v>9</v>
      </c>
      <c r="AD9">
        <f t="shared" ca="1" si="11"/>
        <v>52</v>
      </c>
      <c r="AH9" s="5" t="s">
        <v>340</v>
      </c>
    </row>
    <row r="10" spans="1:34" x14ac:dyDescent="0.25">
      <c r="A10">
        <v>9</v>
      </c>
      <c r="B10" t="str">
        <f t="shared" si="0"/>
        <v>med009</v>
      </c>
      <c r="C10" t="str">
        <f t="shared" si="1"/>
        <v>pswmed009</v>
      </c>
      <c r="D10" t="str">
        <f ca="1">Nomes!T11</f>
        <v>José</v>
      </c>
      <c r="E10" t="str">
        <f ca="1">Nomes!S11</f>
        <v>Masculino</v>
      </c>
      <c r="F10" s="2">
        <v>28055</v>
      </c>
      <c r="G10" t="str" cm="1">
        <f t="array" aca="1" ref="G10" ca="1">INDEX(rua_cod!$F:$F,RANDBETWEEN(2,COUNTA(rua_cod!F:F)))</f>
        <v>Rua Garrett</v>
      </c>
      <c r="H10" t="str" cm="1">
        <f t="array" aca="1" ref="H10" ca="1">INDEX(rua_cod!$A:$A,Médicos!X10) &amp; "-" &amp; TEXT(RANDBETWEEN(0,999),"000")</f>
        <v>1769-212</v>
      </c>
      <c r="I10" t="str" cm="1">
        <f t="array" aca="1" ref="I10" ca="1">INDEX(rua_cod!$B:$B,Médicos!X10)</f>
        <v>Lisboa</v>
      </c>
      <c r="J10" t="s">
        <v>341</v>
      </c>
      <c r="K10" t="s">
        <v>225</v>
      </c>
      <c r="L10" t="s">
        <v>265</v>
      </c>
      <c r="M10" t="str">
        <f t="shared" ca="1" si="2"/>
        <v>71652248</v>
      </c>
      <c r="N10" t="str">
        <f t="shared" ca="1" si="3"/>
        <v>963426550</v>
      </c>
      <c r="O10" t="str">
        <f t="shared" ca="1" si="3"/>
        <v>664508827</v>
      </c>
      <c r="P10" t="str" cm="1">
        <f t="array" aca="1" ref="P10" ca="1">9 &amp; INDEX($AH$3:$AH$6,Y10)&amp; TEXT(RANDBETWEEN(0,9999999),"0000000")</f>
        <v>937024693</v>
      </c>
      <c r="Q10" t="str" cm="1">
        <f t="array" aca="1" ref="Q10" ca="1">LOWER(B10) &amp; INDEX($AH$9:$AH$11,Z10)</f>
        <v>med009@hospital.upskill.com</v>
      </c>
      <c r="R10" t="str">
        <f t="shared" si="4"/>
        <v>med009.jpg</v>
      </c>
      <c r="S10" s="8">
        <f t="shared" ca="1" si="5"/>
        <v>5119502207727770</v>
      </c>
      <c r="T10" t="s">
        <v>341</v>
      </c>
      <c r="V10" s="4"/>
      <c r="X10">
        <f ca="1">RANDBETWEEN(2,COUNTA(rua_cod!A:A))</f>
        <v>74</v>
      </c>
      <c r="Y10">
        <f t="shared" ca="1" si="6"/>
        <v>3</v>
      </c>
      <c r="Z10">
        <f t="shared" ca="1" si="7"/>
        <v>1</v>
      </c>
      <c r="AA10">
        <f t="shared" ca="1" si="8"/>
        <v>1971</v>
      </c>
      <c r="AB10">
        <f t="shared" ca="1" si="9"/>
        <v>6</v>
      </c>
      <c r="AC10">
        <f t="shared" ca="1" si="10"/>
        <v>8</v>
      </c>
      <c r="AD10">
        <f t="shared" ca="1" si="11"/>
        <v>49</v>
      </c>
      <c r="AH10" s="5" t="s">
        <v>340</v>
      </c>
    </row>
    <row r="11" spans="1:34" x14ac:dyDescent="0.25">
      <c r="A11">
        <v>10</v>
      </c>
      <c r="B11" t="str">
        <f t="shared" si="0"/>
        <v>med010</v>
      </c>
      <c r="C11" t="str">
        <f t="shared" si="1"/>
        <v>pswmed010</v>
      </c>
      <c r="D11" t="str">
        <f ca="1">Nomes!T12</f>
        <v>João</v>
      </c>
      <c r="E11" t="str">
        <f ca="1">Nomes!S12</f>
        <v>Masculino</v>
      </c>
      <c r="F11" s="2">
        <v>30531</v>
      </c>
      <c r="G11" t="str" cm="1">
        <f t="array" aca="1" ref="G11" ca="1">INDEX(rua_cod!$F:$F,RANDBETWEEN(2,COUNTA(rua_cod!F:F)))</f>
        <v>Avenida Ressano Garcia</v>
      </c>
      <c r="H11" t="str" cm="1">
        <f t="array" aca="1" ref="H11" ca="1">INDEX(rua_cod!$A:$A,Médicos!X11) &amp; "-" &amp; TEXT(RANDBETWEEN(0,999),"000")</f>
        <v>2670-613</v>
      </c>
      <c r="I11" t="str" cm="1">
        <f t="array" aca="1" ref="I11" ca="1">INDEX(rua_cod!$B:$B,Médicos!X11)</f>
        <v>Loures</v>
      </c>
      <c r="J11" t="s">
        <v>341</v>
      </c>
      <c r="K11" t="s">
        <v>225</v>
      </c>
      <c r="L11" t="s">
        <v>265</v>
      </c>
      <c r="M11" t="str">
        <f t="shared" ca="1" si="2"/>
        <v>12168282</v>
      </c>
      <c r="N11" t="str">
        <f t="shared" ca="1" si="3"/>
        <v>869425539</v>
      </c>
      <c r="O11" t="str">
        <f t="shared" ca="1" si="3"/>
        <v>876424707</v>
      </c>
      <c r="P11" t="str" cm="1">
        <f t="array" aca="1" ref="P11" ca="1">9 &amp; INDEX($AH$3:$AH$6,Y11)&amp; TEXT(RANDBETWEEN(0,9999999),"0000000")</f>
        <v>961885400</v>
      </c>
      <c r="Q11" t="str" cm="1">
        <f t="array" aca="1" ref="Q11" ca="1">LOWER(B11) &amp; INDEX($AH$9:$AH$11,Z11)</f>
        <v>med010@hospital.upskill.com</v>
      </c>
      <c r="R11" t="str">
        <f t="shared" si="4"/>
        <v>med010.jpg</v>
      </c>
      <c r="S11" s="8">
        <f t="shared" ca="1" si="5"/>
        <v>4404298184232537</v>
      </c>
      <c r="T11" t="s">
        <v>341</v>
      </c>
      <c r="V11" s="4"/>
      <c r="X11">
        <f ca="1">RANDBETWEEN(2,COUNTA(rua_cod!A:A))</f>
        <v>83</v>
      </c>
      <c r="Y11">
        <f t="shared" ca="1" si="6"/>
        <v>4</v>
      </c>
      <c r="Z11">
        <f t="shared" ca="1" si="7"/>
        <v>3</v>
      </c>
      <c r="AA11">
        <f t="shared" ca="1" si="8"/>
        <v>1950</v>
      </c>
      <c r="AB11">
        <f t="shared" ca="1" si="9"/>
        <v>3</v>
      </c>
      <c r="AC11">
        <f t="shared" ca="1" si="10"/>
        <v>17</v>
      </c>
      <c r="AD11">
        <f t="shared" ca="1" si="11"/>
        <v>70</v>
      </c>
      <c r="AH11" s="5" t="s">
        <v>340</v>
      </c>
    </row>
    <row r="12" spans="1:34" x14ac:dyDescent="0.25">
      <c r="A12">
        <v>11</v>
      </c>
      <c r="B12" t="str">
        <f t="shared" si="0"/>
        <v>med011</v>
      </c>
      <c r="C12" t="str">
        <f t="shared" si="1"/>
        <v>pswmed011</v>
      </c>
      <c r="D12" t="str">
        <f ca="1">Nomes!T13</f>
        <v>Martim</v>
      </c>
      <c r="E12" t="str">
        <f ca="1">Nomes!S13</f>
        <v>Masculino</v>
      </c>
      <c r="F12" s="2">
        <v>10192</v>
      </c>
      <c r="G12" t="str" cm="1">
        <f t="array" aca="1" ref="G12" ca="1">INDEX(rua_cod!$F:$F,RANDBETWEEN(2,COUNTA(rua_cod!F:F)))</f>
        <v>Rua do Arsenal</v>
      </c>
      <c r="H12" t="str" cm="1">
        <f t="array" aca="1" ref="H12" ca="1">INDEX(rua_cod!$A:$A,Médicos!X12) &amp; "-" &amp; TEXT(RANDBETWEEN(0,999),"000")</f>
        <v>1999-344</v>
      </c>
      <c r="I12" t="str" cm="1">
        <f t="array" aca="1" ref="I12" ca="1">INDEX(rua_cod!$B:$B,Médicos!X12)</f>
        <v>Lisboa</v>
      </c>
      <c r="J12" t="s">
        <v>341</v>
      </c>
      <c r="K12" t="s">
        <v>225</v>
      </c>
      <c r="L12" t="s">
        <v>265</v>
      </c>
      <c r="M12" t="str">
        <f t="shared" ca="1" si="2"/>
        <v>20153506</v>
      </c>
      <c r="N12" t="str">
        <f t="shared" ca="1" si="3"/>
        <v>613267764</v>
      </c>
      <c r="O12" t="str">
        <f t="shared" ca="1" si="3"/>
        <v>146791547</v>
      </c>
      <c r="P12" t="str" cm="1">
        <f t="array" aca="1" ref="P12" ca="1">9 &amp; INDEX($AH$3:$AH$6,Y12)&amp; TEXT(RANDBETWEEN(0,9999999),"0000000")</f>
        <v>924617900</v>
      </c>
      <c r="Q12" t="str" cm="1">
        <f t="array" aca="1" ref="Q12" ca="1">LOWER(B12) &amp; INDEX($AH$9:$AH$11,Z12)</f>
        <v>med011@hospital.upskill.com</v>
      </c>
      <c r="R12" t="str">
        <f t="shared" si="4"/>
        <v>med011.jpg</v>
      </c>
      <c r="S12" s="8">
        <f t="shared" ca="1" si="5"/>
        <v>2362884408309412</v>
      </c>
      <c r="T12" t="s">
        <v>341</v>
      </c>
      <c r="V12" s="4"/>
      <c r="X12">
        <f ca="1">RANDBETWEEN(2,COUNTA(rua_cod!A:A))</f>
        <v>79</v>
      </c>
      <c r="Y12">
        <f t="shared" ca="1" si="6"/>
        <v>2</v>
      </c>
      <c r="Z12">
        <f t="shared" ca="1" si="7"/>
        <v>2</v>
      </c>
      <c r="AA12">
        <f t="shared" ca="1" si="8"/>
        <v>1988</v>
      </c>
      <c r="AB12">
        <f t="shared" ca="1" si="9"/>
        <v>4</v>
      </c>
      <c r="AC12">
        <f t="shared" ca="1" si="10"/>
        <v>12</v>
      </c>
      <c r="AD12">
        <f t="shared" ca="1" si="11"/>
        <v>32</v>
      </c>
    </row>
    <row r="13" spans="1:34" x14ac:dyDescent="0.25">
      <c r="A13">
        <v>12</v>
      </c>
      <c r="B13" t="str">
        <f t="shared" si="0"/>
        <v>med012</v>
      </c>
      <c r="C13" t="str">
        <f t="shared" si="1"/>
        <v>pswmed012</v>
      </c>
      <c r="D13" t="str">
        <f ca="1">Nomes!T14</f>
        <v>Santiago Pinho</v>
      </c>
      <c r="E13" t="str">
        <f ca="1">Nomes!S14</f>
        <v>Masculino</v>
      </c>
      <c r="F13" s="2">
        <v>11987</v>
      </c>
      <c r="G13" t="str" cm="1">
        <f t="array" aca="1" ref="G13" ca="1">INDEX(rua_cod!$F:$F,RANDBETWEEN(2,COUNTA(rua_cod!F:F)))</f>
        <v>Rua de São Mamede</v>
      </c>
      <c r="H13" t="str" cm="1">
        <f t="array" aca="1" ref="H13" ca="1">INDEX(rua_cod!$A:$A,Médicos!X13) &amp; "-" &amp; TEXT(RANDBETWEEN(0,999),"000")</f>
        <v>2830-354</v>
      </c>
      <c r="I13" t="str" cm="1">
        <f t="array" aca="1" ref="I13" ca="1">INDEX(rua_cod!$B:$B,Médicos!X13)</f>
        <v>Barreiro</v>
      </c>
      <c r="J13" t="s">
        <v>341</v>
      </c>
      <c r="K13" t="s">
        <v>225</v>
      </c>
      <c r="L13" t="s">
        <v>265</v>
      </c>
      <c r="M13" t="str">
        <f t="shared" ca="1" si="2"/>
        <v>10100880</v>
      </c>
      <c r="N13" t="str">
        <f t="shared" ca="1" si="3"/>
        <v>762478373</v>
      </c>
      <c r="O13" t="str">
        <f t="shared" ca="1" si="3"/>
        <v>856702809</v>
      </c>
      <c r="P13" t="str" cm="1">
        <f t="array" aca="1" ref="P13" ca="1">9 &amp; INDEX($AH$3:$AH$6,Y13)&amp; TEXT(RANDBETWEEN(0,9999999),"0000000")</f>
        <v>967344674</v>
      </c>
      <c r="Q13" t="str" cm="1">
        <f t="array" aca="1" ref="Q13" ca="1">LOWER(B13) &amp; INDEX($AH$9:$AH$11,Z13)</f>
        <v>med012@hospital.upskill.com</v>
      </c>
      <c r="R13" t="str">
        <f t="shared" si="4"/>
        <v>med012.jpg</v>
      </c>
      <c r="S13" s="8">
        <f t="shared" ca="1" si="5"/>
        <v>2292884563981585</v>
      </c>
      <c r="T13" t="s">
        <v>341</v>
      </c>
      <c r="V13" s="4"/>
      <c r="X13">
        <f ca="1">RANDBETWEEN(2,COUNTA(rua_cod!A:A))</f>
        <v>16</v>
      </c>
      <c r="Y13">
        <f t="shared" ca="1" si="6"/>
        <v>4</v>
      </c>
      <c r="Z13">
        <f t="shared" ca="1" si="7"/>
        <v>2</v>
      </c>
      <c r="AA13">
        <f t="shared" ca="1" si="8"/>
        <v>1972</v>
      </c>
      <c r="AB13">
        <f t="shared" ca="1" si="9"/>
        <v>8</v>
      </c>
      <c r="AC13">
        <f t="shared" ca="1" si="10"/>
        <v>8</v>
      </c>
      <c r="AD13">
        <f t="shared" ca="1" si="11"/>
        <v>48</v>
      </c>
    </row>
    <row r="14" spans="1:34" x14ac:dyDescent="0.25">
      <c r="A14">
        <v>13</v>
      </c>
      <c r="B14" t="str">
        <f t="shared" si="0"/>
        <v>med013</v>
      </c>
      <c r="C14" t="str">
        <f t="shared" si="1"/>
        <v>pswmed013</v>
      </c>
      <c r="D14" t="str">
        <f ca="1">Nomes!T15</f>
        <v>Bruno Cardoso</v>
      </c>
      <c r="E14" t="str">
        <f ca="1">Nomes!S15</f>
        <v>Masculino</v>
      </c>
      <c r="F14" s="2">
        <v>28287</v>
      </c>
      <c r="G14" t="str" cm="1">
        <f t="array" aca="1" ref="G14" ca="1">INDEX(rua_cod!$F:$F,RANDBETWEEN(2,COUNTA(rua_cod!F:F)))</f>
        <v>Estrada Militar</v>
      </c>
      <c r="H14" t="str" cm="1">
        <f t="array" aca="1" ref="H14" ca="1">INDEX(rua_cod!$A:$A,Médicos!X14) &amp; "-" &amp; TEXT(RANDBETWEEN(0,999),"000")</f>
        <v>2644-521</v>
      </c>
      <c r="I14" t="str" cm="1">
        <f t="array" aca="1" ref="I14" ca="1">INDEX(rua_cod!$B:$B,Médicos!X14)</f>
        <v>Mafra</v>
      </c>
      <c r="J14" t="s">
        <v>341</v>
      </c>
      <c r="K14" t="s">
        <v>225</v>
      </c>
      <c r="L14" t="s">
        <v>265</v>
      </c>
      <c r="M14" t="str">
        <f t="shared" ca="1" si="2"/>
        <v>75647558</v>
      </c>
      <c r="N14" t="str">
        <f t="shared" ca="1" si="3"/>
        <v>343505386</v>
      </c>
      <c r="O14" t="str">
        <f t="shared" ca="1" si="3"/>
        <v>754280822</v>
      </c>
      <c r="P14" t="str" cm="1">
        <f t="array" aca="1" ref="P14" ca="1">9 &amp; INDEX($AH$3:$AH$6,Y14)&amp; TEXT(RANDBETWEEN(0,9999999),"0000000")</f>
        <v>930610970</v>
      </c>
      <c r="Q14" t="str" cm="1">
        <f t="array" aca="1" ref="Q14" ca="1">LOWER(B14) &amp; INDEX($AH$9:$AH$11,Z14)</f>
        <v>med013@hospital.upskill.com</v>
      </c>
      <c r="R14" t="str">
        <f t="shared" si="4"/>
        <v>med013.jpg</v>
      </c>
      <c r="S14" s="8">
        <f t="shared" ca="1" si="5"/>
        <v>9620987662870384</v>
      </c>
      <c r="T14" t="s">
        <v>341</v>
      </c>
      <c r="V14" s="4"/>
      <c r="X14">
        <f ca="1">RANDBETWEEN(2,COUNTA(rua_cod!A:A))</f>
        <v>86</v>
      </c>
      <c r="Y14">
        <f t="shared" ca="1" si="6"/>
        <v>3</v>
      </c>
      <c r="Z14">
        <f t="shared" ca="1" si="7"/>
        <v>3</v>
      </c>
      <c r="AA14">
        <f t="shared" ca="1" si="8"/>
        <v>1958</v>
      </c>
      <c r="AB14">
        <f t="shared" ca="1" si="9"/>
        <v>4</v>
      </c>
      <c r="AC14">
        <f t="shared" ca="1" si="10"/>
        <v>19</v>
      </c>
      <c r="AD14">
        <f t="shared" ca="1" si="11"/>
        <v>62</v>
      </c>
    </row>
    <row r="15" spans="1:34" x14ac:dyDescent="0.25">
      <c r="A15">
        <v>14</v>
      </c>
      <c r="B15" t="str">
        <f t="shared" si="0"/>
        <v>med014</v>
      </c>
      <c r="C15" t="str">
        <f t="shared" si="1"/>
        <v>pswmed014</v>
      </c>
      <c r="D15" t="str">
        <f ca="1">Nomes!T16</f>
        <v>Martim Santos</v>
      </c>
      <c r="E15" t="str">
        <f ca="1">Nomes!S16</f>
        <v>Masculino</v>
      </c>
      <c r="F15" s="2">
        <v>26925</v>
      </c>
      <c r="G15" t="str" cm="1">
        <f t="array" aca="1" ref="G15" ca="1">INDEX(rua_cod!$F:$F,RANDBETWEEN(2,COUNTA(rua_cod!F:F)))</f>
        <v>Rua do Comércio</v>
      </c>
      <c r="H15" t="str" cm="1">
        <f t="array" aca="1" ref="H15" ca="1">INDEX(rua_cod!$A:$A,Médicos!X15) &amp; "-" &amp; TEXT(RANDBETWEEN(0,999),"000")</f>
        <v>1300-098</v>
      </c>
      <c r="I15" t="str" cm="1">
        <f t="array" aca="1" ref="I15" ca="1">INDEX(rua_cod!$B:$B,Médicos!X15)</f>
        <v>Lisboa</v>
      </c>
      <c r="J15" t="s">
        <v>341</v>
      </c>
      <c r="K15" t="s">
        <v>225</v>
      </c>
      <c r="L15" t="s">
        <v>265</v>
      </c>
      <c r="M15" t="str">
        <f t="shared" ca="1" si="2"/>
        <v>58672843</v>
      </c>
      <c r="N15" t="str">
        <f t="shared" ca="1" si="3"/>
        <v>913438640</v>
      </c>
      <c r="O15" t="str">
        <f t="shared" ca="1" si="3"/>
        <v>497134935</v>
      </c>
      <c r="P15" t="str" cm="1">
        <f t="array" aca="1" ref="P15" ca="1">9 &amp; INDEX($AH$3:$AH$6,Y15)&amp; TEXT(RANDBETWEEN(0,9999999),"0000000")</f>
        <v>925782086</v>
      </c>
      <c r="Q15" t="str" cm="1">
        <f t="array" aca="1" ref="Q15" ca="1">LOWER(B15) &amp; INDEX($AH$9:$AH$11,Z15)</f>
        <v>med014@hospital.upskill.com</v>
      </c>
      <c r="R15" t="str">
        <f t="shared" si="4"/>
        <v>med014.jpg</v>
      </c>
      <c r="S15" s="8">
        <f t="shared" ca="1" si="5"/>
        <v>7638612747452054</v>
      </c>
      <c r="T15" t="s">
        <v>341</v>
      </c>
      <c r="V15" s="4"/>
      <c r="X15">
        <f ca="1">RANDBETWEEN(2,COUNTA(rua_cod!A:A))</f>
        <v>58</v>
      </c>
      <c r="Y15">
        <f t="shared" ca="1" si="6"/>
        <v>2</v>
      </c>
      <c r="Z15">
        <f t="shared" ca="1" si="7"/>
        <v>3</v>
      </c>
      <c r="AA15">
        <f t="shared" ca="1" si="8"/>
        <v>1980</v>
      </c>
      <c r="AB15">
        <f t="shared" ca="1" si="9"/>
        <v>1</v>
      </c>
      <c r="AC15">
        <f t="shared" ca="1" si="10"/>
        <v>26</v>
      </c>
      <c r="AD15">
        <f t="shared" ca="1" si="11"/>
        <v>40</v>
      </c>
    </row>
    <row r="16" spans="1:34" x14ac:dyDescent="0.25">
      <c r="A16">
        <v>15</v>
      </c>
      <c r="B16" t="str">
        <f t="shared" si="0"/>
        <v>med015</v>
      </c>
      <c r="C16" t="str">
        <f t="shared" si="1"/>
        <v>pswmed015</v>
      </c>
      <c r="D16" t="str">
        <f ca="1">Nomes!T17</f>
        <v>Mariana Leal</v>
      </c>
      <c r="E16" t="str">
        <f ca="1">Nomes!S17</f>
        <v>Feminino</v>
      </c>
      <c r="F16" s="2">
        <v>21109</v>
      </c>
      <c r="G16" t="str" cm="1">
        <f t="array" aca="1" ref="G16" ca="1">INDEX(rua_cod!$F:$F,RANDBETWEEN(2,COUNTA(rua_cod!F:F)))</f>
        <v>Calçada do Poço dos Mouros</v>
      </c>
      <c r="H16" t="str" cm="1">
        <f t="array" aca="1" ref="H16" ca="1">INDEX(rua_cod!$A:$A,Médicos!X16) &amp; "-" &amp; TEXT(RANDBETWEEN(0,999),"000")</f>
        <v>1749-968</v>
      </c>
      <c r="I16" t="str" cm="1">
        <f t="array" aca="1" ref="I16" ca="1">INDEX(rua_cod!$B:$B,Médicos!X16)</f>
        <v>Lisboa</v>
      </c>
      <c r="J16" t="s">
        <v>341</v>
      </c>
      <c r="K16" t="s">
        <v>225</v>
      </c>
      <c r="L16" t="s">
        <v>265</v>
      </c>
      <c r="M16" t="str">
        <f t="shared" ca="1" si="2"/>
        <v>75420845</v>
      </c>
      <c r="N16" t="str">
        <f t="shared" ca="1" si="3"/>
        <v>983170383</v>
      </c>
      <c r="O16" t="str">
        <f t="shared" ca="1" si="3"/>
        <v>106196287</v>
      </c>
      <c r="P16" t="str" cm="1">
        <f t="array" aca="1" ref="P16" ca="1">9 &amp; INDEX($AH$3:$AH$6,Y16)&amp; TEXT(RANDBETWEEN(0,9999999),"0000000")</f>
        <v>961780721</v>
      </c>
      <c r="Q16" t="str" cm="1">
        <f t="array" aca="1" ref="Q16" ca="1">LOWER(B16) &amp; INDEX($AH$9:$AH$11,Z16)</f>
        <v>med015@hospital.upskill.com</v>
      </c>
      <c r="R16" t="str">
        <f t="shared" si="4"/>
        <v>med015.jpg</v>
      </c>
      <c r="S16" s="8">
        <f t="shared" ca="1" si="5"/>
        <v>5740226815647859</v>
      </c>
      <c r="T16" t="s">
        <v>341</v>
      </c>
      <c r="V16" s="4"/>
      <c r="X16">
        <f ca="1">RANDBETWEEN(2,COUNTA(rua_cod!A:A))</f>
        <v>61</v>
      </c>
      <c r="Y16">
        <f t="shared" ca="1" si="6"/>
        <v>4</v>
      </c>
      <c r="Z16">
        <f t="shared" ca="1" si="7"/>
        <v>3</v>
      </c>
      <c r="AA16">
        <f t="shared" ca="1" si="8"/>
        <v>1957</v>
      </c>
      <c r="AB16">
        <f t="shared" ca="1" si="9"/>
        <v>4</v>
      </c>
      <c r="AC16">
        <f t="shared" ca="1" si="10"/>
        <v>21</v>
      </c>
      <c r="AD16">
        <f t="shared" ca="1" si="11"/>
        <v>63</v>
      </c>
    </row>
    <row r="17" spans="1:30" x14ac:dyDescent="0.25">
      <c r="A17">
        <v>16</v>
      </c>
      <c r="B17" t="str">
        <f t="shared" si="0"/>
        <v>med016</v>
      </c>
      <c r="C17" t="str">
        <f t="shared" si="1"/>
        <v>pswmed016</v>
      </c>
      <c r="D17" t="str">
        <f ca="1">Nomes!T18</f>
        <v>Francisca Garcia</v>
      </c>
      <c r="E17" t="str">
        <f ca="1">Nomes!S18</f>
        <v>Feminino</v>
      </c>
      <c r="F17" s="2">
        <v>31299</v>
      </c>
      <c r="G17" t="str" cm="1">
        <f t="array" aca="1" ref="G17" ca="1">INDEX(rua_cod!$F:$F,RANDBETWEEN(2,COUNTA(rua_cod!F:F)))</f>
        <v>Rua da Oliveira ao Carmo</v>
      </c>
      <c r="H17" t="str" cm="1">
        <f t="array" aca="1" ref="H17" ca="1">INDEX(rua_cod!$A:$A,Médicos!X17) &amp; "-" &amp; TEXT(RANDBETWEEN(0,999),"000")</f>
        <v>2704-127</v>
      </c>
      <c r="I17" t="str" cm="1">
        <f t="array" aca="1" ref="I17" ca="1">INDEX(rua_cod!$B:$B,Médicos!X17)</f>
        <v>Amadora</v>
      </c>
      <c r="J17" t="s">
        <v>341</v>
      </c>
      <c r="K17" t="s">
        <v>225</v>
      </c>
      <c r="L17" t="s">
        <v>265</v>
      </c>
      <c r="M17" t="str">
        <f t="shared" ca="1" si="2"/>
        <v>77120852</v>
      </c>
      <c r="N17" t="str">
        <f t="shared" ca="1" si="3"/>
        <v>175481658</v>
      </c>
      <c r="O17" t="str">
        <f t="shared" ca="1" si="3"/>
        <v>909705556</v>
      </c>
      <c r="P17" t="str" cm="1">
        <f t="array" aca="1" ref="P17" ca="1">9 &amp; INDEX($AH$3:$AH$6,Y17)&amp; TEXT(RANDBETWEEN(0,9999999),"0000000")</f>
        <v>925076201</v>
      </c>
      <c r="Q17" t="str" cm="1">
        <f t="array" aca="1" ref="Q17" ca="1">LOWER(B17) &amp; INDEX($AH$9:$AH$11,Z17)</f>
        <v>med016@hospital.upskill.com</v>
      </c>
      <c r="R17" t="str">
        <f t="shared" si="4"/>
        <v>med016.jpg</v>
      </c>
      <c r="S17" s="8">
        <f t="shared" ca="1" si="5"/>
        <v>5479623406097046</v>
      </c>
      <c r="T17" t="s">
        <v>341</v>
      </c>
      <c r="V17" s="4"/>
      <c r="X17">
        <f ca="1">RANDBETWEEN(2,COUNTA(rua_cod!A:A))</f>
        <v>15</v>
      </c>
      <c r="Y17">
        <f t="shared" ca="1" si="6"/>
        <v>2</v>
      </c>
      <c r="Z17">
        <f t="shared" ca="1" si="7"/>
        <v>3</v>
      </c>
      <c r="AA17">
        <f t="shared" ca="1" si="8"/>
        <v>1991</v>
      </c>
      <c r="AB17">
        <f t="shared" ca="1" si="9"/>
        <v>12</v>
      </c>
      <c r="AC17">
        <f t="shared" ca="1" si="10"/>
        <v>13</v>
      </c>
      <c r="AD17">
        <f t="shared" ca="1" si="11"/>
        <v>29</v>
      </c>
    </row>
    <row r="18" spans="1:30" x14ac:dyDescent="0.25">
      <c r="A18">
        <v>17</v>
      </c>
      <c r="B18" t="str">
        <f t="shared" si="0"/>
        <v>med017</v>
      </c>
      <c r="C18" t="str">
        <f t="shared" si="1"/>
        <v>pswmed017</v>
      </c>
      <c r="D18" t="str">
        <f ca="1">Nomes!T19</f>
        <v>Diogo Gonçalves</v>
      </c>
      <c r="E18" t="str">
        <f ca="1">Nomes!S19</f>
        <v>Masculino</v>
      </c>
      <c r="F18" s="2">
        <v>22764</v>
      </c>
      <c r="G18" t="str" cm="1">
        <f t="array" aca="1" ref="G18" ca="1">INDEX(rua_cod!$F:$F,RANDBETWEEN(2,COUNTA(rua_cod!F:F)))</f>
        <v>Rua do Instituto Bacteriológico</v>
      </c>
      <c r="H18" t="str" cm="1">
        <f t="array" aca="1" ref="H18" ca="1">INDEX(rua_cod!$A:$A,Médicos!X18) &amp; "-" &amp; TEXT(RANDBETWEEN(0,999),"000")</f>
        <v>2650-202</v>
      </c>
      <c r="I18" t="str" cm="1">
        <f t="array" aca="1" ref="I18" ca="1">INDEX(rua_cod!$B:$B,Médicos!X18)</f>
        <v>Amadora</v>
      </c>
      <c r="J18" t="s">
        <v>341</v>
      </c>
      <c r="K18" t="s">
        <v>225</v>
      </c>
      <c r="L18" t="s">
        <v>265</v>
      </c>
      <c r="M18" t="str">
        <f t="shared" ca="1" si="2"/>
        <v>21567539</v>
      </c>
      <c r="N18" t="str">
        <f t="shared" ca="1" si="3"/>
        <v>309583664</v>
      </c>
      <c r="O18" t="str">
        <f t="shared" ca="1" si="3"/>
        <v>671631971</v>
      </c>
      <c r="P18" t="str" cm="1">
        <f t="array" aca="1" ref="P18" ca="1">9 &amp; INDEX($AH$3:$AH$6,Y18)&amp; TEXT(RANDBETWEEN(0,9999999),"0000000")</f>
        <v>965880746</v>
      </c>
      <c r="Q18" t="str" cm="1">
        <f t="array" aca="1" ref="Q18" ca="1">LOWER(B18) &amp; INDEX($AH$9:$AH$11,Z18)</f>
        <v>med017@hospital.upskill.com</v>
      </c>
      <c r="R18" t="str">
        <f t="shared" si="4"/>
        <v>med017.jpg</v>
      </c>
      <c r="S18" s="8">
        <f t="shared" ca="1" si="5"/>
        <v>9688507060903706</v>
      </c>
      <c r="T18" t="s">
        <v>341</v>
      </c>
      <c r="V18" s="4"/>
      <c r="X18">
        <f ca="1">RANDBETWEEN(2,COUNTA(rua_cod!A:A))</f>
        <v>9</v>
      </c>
      <c r="Y18">
        <f t="shared" ca="1" si="6"/>
        <v>4</v>
      </c>
      <c r="Z18">
        <f t="shared" ca="1" si="7"/>
        <v>3</v>
      </c>
      <c r="AA18">
        <f t="shared" ca="1" si="8"/>
        <v>1967</v>
      </c>
      <c r="AB18">
        <f t="shared" ca="1" si="9"/>
        <v>9</v>
      </c>
      <c r="AC18">
        <f t="shared" ca="1" si="10"/>
        <v>24</v>
      </c>
      <c r="AD18">
        <f t="shared" ca="1" si="11"/>
        <v>53</v>
      </c>
    </row>
    <row r="19" spans="1:30" x14ac:dyDescent="0.25">
      <c r="A19">
        <v>18</v>
      </c>
      <c r="B19" t="str">
        <f t="shared" si="0"/>
        <v>med018</v>
      </c>
      <c r="C19" t="str">
        <f t="shared" si="1"/>
        <v>pswmed018</v>
      </c>
      <c r="D19" t="str">
        <f ca="1">Nomes!T20</f>
        <v>Bruno Faria</v>
      </c>
      <c r="E19" t="str">
        <f ca="1">Nomes!S20</f>
        <v>Masculino</v>
      </c>
      <c r="F19" s="2">
        <v>23791</v>
      </c>
      <c r="G19" t="str" cm="1">
        <f t="array" aca="1" ref="G19" ca="1">INDEX(rua_cod!$F:$F,RANDBETWEEN(2,COUNTA(rua_cod!F:F)))</f>
        <v>Rua Nova do Almada</v>
      </c>
      <c r="H19" t="str" cm="1">
        <f t="array" aca="1" ref="H19" ca="1">INDEX(rua_cod!$A:$A,Médicos!X19) &amp; "-" &amp; TEXT(RANDBETWEEN(0,999),"000")</f>
        <v>1050-668</v>
      </c>
      <c r="I19" t="str" cm="1">
        <f t="array" aca="1" ref="I19" ca="1">INDEX(rua_cod!$B:$B,Médicos!X19)</f>
        <v>Lisboa</v>
      </c>
      <c r="J19" t="s">
        <v>341</v>
      </c>
      <c r="K19" t="s">
        <v>225</v>
      </c>
      <c r="L19" t="s">
        <v>265</v>
      </c>
      <c r="M19" t="str">
        <f t="shared" ca="1" si="2"/>
        <v>38349736</v>
      </c>
      <c r="N19" t="str">
        <f t="shared" ca="1" si="3"/>
        <v>189976446</v>
      </c>
      <c r="O19" t="str">
        <f t="shared" ca="1" si="3"/>
        <v>720847081</v>
      </c>
      <c r="P19" t="str" cm="1">
        <f t="array" aca="1" ref="P19" ca="1">9 &amp; INDEX($AH$3:$AH$6,Y19)&amp; TEXT(RANDBETWEEN(0,9999999),"0000000")</f>
        <v>961567904</v>
      </c>
      <c r="Q19" t="str" cm="1">
        <f t="array" aca="1" ref="Q19" ca="1">LOWER(B19) &amp; INDEX($AH$9:$AH$11,Z19)</f>
        <v>med018@hospital.upskill.com</v>
      </c>
      <c r="R19" t="str">
        <f t="shared" si="4"/>
        <v>med018.jpg</v>
      </c>
      <c r="S19" s="8">
        <f t="shared" ca="1" si="5"/>
        <v>2754816572932272</v>
      </c>
      <c r="T19" t="s">
        <v>341</v>
      </c>
      <c r="V19" s="4"/>
      <c r="X19">
        <f ca="1">RANDBETWEEN(2,COUNTA(rua_cod!A:A))</f>
        <v>66</v>
      </c>
      <c r="Y19">
        <f t="shared" ca="1" si="6"/>
        <v>4</v>
      </c>
      <c r="Z19">
        <f t="shared" ca="1" si="7"/>
        <v>3</v>
      </c>
      <c r="AA19">
        <f t="shared" ca="1" si="8"/>
        <v>1993</v>
      </c>
      <c r="AB19">
        <f t="shared" ca="1" si="9"/>
        <v>10</v>
      </c>
      <c r="AC19">
        <f t="shared" ca="1" si="10"/>
        <v>30</v>
      </c>
      <c r="AD19">
        <f t="shared" ca="1" si="11"/>
        <v>27</v>
      </c>
    </row>
    <row r="20" spans="1:30" x14ac:dyDescent="0.25">
      <c r="A20">
        <v>19</v>
      </c>
      <c r="B20" t="str">
        <f t="shared" si="0"/>
        <v>med019</v>
      </c>
      <c r="C20" t="str">
        <f t="shared" si="1"/>
        <v>pswmed019</v>
      </c>
      <c r="D20" t="str">
        <f ca="1">Nomes!T21</f>
        <v>Tomás Morais</v>
      </c>
      <c r="E20" t="str">
        <f ca="1">Nomes!S21</f>
        <v>Masculino</v>
      </c>
      <c r="F20" s="2">
        <v>10827</v>
      </c>
      <c r="G20" t="str" cm="1">
        <f t="array" aca="1" ref="G20" ca="1">INDEX(rua_cod!$F:$F,RANDBETWEEN(2,COUNTA(rua_cod!F:F)))</f>
        <v>Rua dos Bacalhoeiros</v>
      </c>
      <c r="H20" t="str" cm="1">
        <f t="array" aca="1" ref="H20" ca="1">INDEX(rua_cod!$A:$A,Médicos!X20) &amp; "-" &amp; TEXT(RANDBETWEEN(0,999),"000")</f>
        <v>2745-317</v>
      </c>
      <c r="I20" t="str" cm="1">
        <f t="array" aca="1" ref="I20" ca="1">INDEX(rua_cod!$B:$B,Médicos!X20)</f>
        <v>Queluz</v>
      </c>
      <c r="J20" t="s">
        <v>341</v>
      </c>
      <c r="K20" t="s">
        <v>225</v>
      </c>
      <c r="L20" t="s">
        <v>265</v>
      </c>
      <c r="M20" t="str">
        <f t="shared" ca="1" si="2"/>
        <v>38372484</v>
      </c>
      <c r="N20" t="str">
        <f t="shared" ca="1" si="3"/>
        <v>733315459</v>
      </c>
      <c r="O20" t="str">
        <f t="shared" ca="1" si="3"/>
        <v>971956346</v>
      </c>
      <c r="P20" t="str" cm="1">
        <f t="array" aca="1" ref="P20" ca="1">9 &amp; INDEX($AH$3:$AH$6,Y20)&amp; TEXT(RANDBETWEEN(0,9999999),"0000000")</f>
        <v>961479635</v>
      </c>
      <c r="Q20" t="str" cm="1">
        <f t="array" aca="1" ref="Q20" ca="1">LOWER(B20) &amp; INDEX($AH$9:$AH$11,Z20)</f>
        <v>med019@hospital.upskill.com</v>
      </c>
      <c r="R20" t="str">
        <f t="shared" si="4"/>
        <v>med019.jpg</v>
      </c>
      <c r="S20" s="8">
        <f t="shared" ca="1" si="5"/>
        <v>9970755839920922</v>
      </c>
      <c r="T20" t="s">
        <v>341</v>
      </c>
      <c r="V20" s="4"/>
      <c r="X20">
        <f ca="1">RANDBETWEEN(2,COUNTA(rua_cod!A:A))</f>
        <v>90</v>
      </c>
      <c r="Y20">
        <f t="shared" ca="1" si="6"/>
        <v>4</v>
      </c>
      <c r="Z20">
        <f t="shared" ca="1" si="7"/>
        <v>1</v>
      </c>
      <c r="AA20">
        <f t="shared" ca="1" si="8"/>
        <v>1951</v>
      </c>
      <c r="AB20">
        <f t="shared" ca="1" si="9"/>
        <v>9</v>
      </c>
      <c r="AC20">
        <f t="shared" ca="1" si="10"/>
        <v>20</v>
      </c>
      <c r="AD20">
        <f t="shared" ca="1" si="11"/>
        <v>69</v>
      </c>
    </row>
    <row r="21" spans="1:30" x14ac:dyDescent="0.25">
      <c r="A21">
        <v>20</v>
      </c>
      <c r="B21" t="str">
        <f t="shared" si="0"/>
        <v>med020</v>
      </c>
      <c r="C21" t="str">
        <f t="shared" si="1"/>
        <v>pswmed020</v>
      </c>
      <c r="D21" t="str">
        <f ca="1">Nomes!T22</f>
        <v>Laura Anjos</v>
      </c>
      <c r="E21" t="str">
        <f ca="1">Nomes!S22</f>
        <v>Feminino</v>
      </c>
      <c r="F21" s="2">
        <v>29267</v>
      </c>
      <c r="G21" t="str" cm="1">
        <f t="array" aca="1" ref="G21" ca="1">INDEX(rua_cod!$F:$F,RANDBETWEEN(2,COUNTA(rua_cod!F:F)))</f>
        <v>Estrada das Laranjeiras</v>
      </c>
      <c r="H21" t="str" cm="1">
        <f t="array" aca="1" ref="H21" ca="1">INDEX(rua_cod!$A:$A,Médicos!X21) &amp; "-" &amp; TEXT(RANDBETWEEN(0,999),"000")</f>
        <v>1998-649</v>
      </c>
      <c r="I21" t="str" cm="1">
        <f t="array" aca="1" ref="I21" ca="1">INDEX(rua_cod!$B:$B,Médicos!X21)</f>
        <v>Lisboa</v>
      </c>
      <c r="J21" t="s">
        <v>341</v>
      </c>
      <c r="K21" t="s">
        <v>225</v>
      </c>
      <c r="L21" t="s">
        <v>265</v>
      </c>
      <c r="M21" t="str">
        <f t="shared" ca="1" si="2"/>
        <v>41987291</v>
      </c>
      <c r="N21" t="str">
        <f t="shared" ca="1" si="3"/>
        <v>299987464</v>
      </c>
      <c r="O21" t="str">
        <f t="shared" ca="1" si="3"/>
        <v>479692736</v>
      </c>
      <c r="P21" t="str" cm="1">
        <f t="array" aca="1" ref="P21" ca="1">9 &amp; INDEX($AH$3:$AH$6,Y21)&amp; TEXT(RANDBETWEEN(0,9999999),"0000000")</f>
        <v>963711209</v>
      </c>
      <c r="Q21" t="str" cm="1">
        <f t="array" aca="1" ref="Q21" ca="1">LOWER(B21) &amp; INDEX($AH$9:$AH$11,Z21)</f>
        <v>med020@hospital.upskill.com</v>
      </c>
      <c r="R21" t="str">
        <f t="shared" si="4"/>
        <v>med020.jpg</v>
      </c>
      <c r="S21" s="8">
        <f t="shared" ca="1" si="5"/>
        <v>1991660519632966</v>
      </c>
      <c r="T21" t="s">
        <v>341</v>
      </c>
      <c r="V21" s="4"/>
      <c r="X21">
        <f ca="1">RANDBETWEEN(2,COUNTA(rua_cod!A:A))</f>
        <v>78</v>
      </c>
      <c r="Y21">
        <f t="shared" ca="1" si="6"/>
        <v>4</v>
      </c>
      <c r="Z21">
        <f t="shared" ca="1" si="7"/>
        <v>3</v>
      </c>
      <c r="AA21">
        <f t="shared" ca="1" si="8"/>
        <v>1956</v>
      </c>
      <c r="AB21">
        <f t="shared" ca="1" si="9"/>
        <v>9</v>
      </c>
      <c r="AC21">
        <f t="shared" ca="1" si="10"/>
        <v>31</v>
      </c>
      <c r="AD21">
        <f t="shared" ca="1" si="11"/>
        <v>64</v>
      </c>
    </row>
    <row r="22" spans="1:30" x14ac:dyDescent="0.25">
      <c r="A22">
        <v>21</v>
      </c>
      <c r="B22" t="str">
        <f t="shared" si="0"/>
        <v>med021</v>
      </c>
      <c r="C22" t="str">
        <f t="shared" si="1"/>
        <v>pswmed021</v>
      </c>
      <c r="D22" t="str">
        <f ca="1">Nomes!T23</f>
        <v>Maria Almeida</v>
      </c>
      <c r="E22" t="str">
        <f ca="1">Nomes!S23</f>
        <v>Feminino</v>
      </c>
      <c r="F22" s="2">
        <v>12111</v>
      </c>
      <c r="G22" t="str" cm="1">
        <f t="array" aca="1" ref="G22" ca="1">INDEX(rua_cod!$F:$F,RANDBETWEEN(2,COUNTA(rua_cod!F:F)))</f>
        <v>Rua do Comércio</v>
      </c>
      <c r="H22" t="str" cm="1">
        <f t="array" aca="1" ref="H22" ca="1">INDEX(rua_cod!$A:$A,Médicos!X22) &amp; "-" &amp; TEXT(RANDBETWEEN(0,999),"000")</f>
        <v>2900-159</v>
      </c>
      <c r="I22" t="str" cm="1">
        <f t="array" aca="1" ref="I22" ca="1">INDEX(rua_cod!$B:$B,Médicos!X22)</f>
        <v>Setúbal</v>
      </c>
      <c r="J22" t="s">
        <v>341</v>
      </c>
      <c r="K22" t="s">
        <v>225</v>
      </c>
      <c r="L22" t="s">
        <v>265</v>
      </c>
      <c r="M22" t="str">
        <f t="shared" ca="1" si="2"/>
        <v>81040209</v>
      </c>
      <c r="N22" t="str">
        <f t="shared" ca="1" si="3"/>
        <v>790873980</v>
      </c>
      <c r="O22" t="str">
        <f t="shared" ca="1" si="3"/>
        <v>998698460</v>
      </c>
      <c r="P22" t="str" cm="1">
        <f t="array" aca="1" ref="P22" ca="1">9 &amp; INDEX($AH$3:$AH$6,Y22)&amp; TEXT(RANDBETWEEN(0,9999999),"0000000")</f>
        <v>960928767</v>
      </c>
      <c r="Q22" t="str" cm="1">
        <f t="array" aca="1" ref="Q22" ca="1">LOWER(B22) &amp; INDEX($AH$9:$AH$11,Z22)</f>
        <v>med021@hospital.upskill.com</v>
      </c>
      <c r="R22" t="str">
        <f t="shared" si="4"/>
        <v>med021.jpg</v>
      </c>
      <c r="S22" s="8">
        <f t="shared" ca="1" si="5"/>
        <v>7622319297284942</v>
      </c>
      <c r="T22" t="s">
        <v>341</v>
      </c>
      <c r="V22" s="4"/>
      <c r="X22">
        <f ca="1">RANDBETWEEN(2,COUNTA(rua_cod!A:A))</f>
        <v>96</v>
      </c>
      <c r="Y22">
        <f t="shared" ca="1" si="6"/>
        <v>4</v>
      </c>
      <c r="Z22">
        <f t="shared" ca="1" si="7"/>
        <v>2</v>
      </c>
      <c r="AA22">
        <f t="shared" ca="1" si="8"/>
        <v>1959</v>
      </c>
      <c r="AB22">
        <f t="shared" ca="1" si="9"/>
        <v>8</v>
      </c>
      <c r="AC22">
        <f t="shared" ca="1" si="10"/>
        <v>16</v>
      </c>
      <c r="AD22">
        <f t="shared" ca="1" si="11"/>
        <v>61</v>
      </c>
    </row>
    <row r="23" spans="1:30" x14ac:dyDescent="0.25">
      <c r="A23">
        <v>22</v>
      </c>
      <c r="B23" t="str">
        <f t="shared" si="0"/>
        <v>med022</v>
      </c>
      <c r="C23" t="str">
        <f t="shared" si="1"/>
        <v>pswmed022</v>
      </c>
      <c r="D23" t="str">
        <f ca="1">Nomes!T24</f>
        <v>Beatriz Sousa</v>
      </c>
      <c r="E23" t="str">
        <f ca="1">Nomes!S24</f>
        <v>Feminino</v>
      </c>
      <c r="F23" s="2">
        <v>22513</v>
      </c>
      <c r="G23" t="str" cm="1">
        <f t="array" aca="1" ref="G23" ca="1">INDEX(rua_cod!$F:$F,RANDBETWEEN(2,COUNTA(rua_cod!F:F)))</f>
        <v>Rua da Betesga</v>
      </c>
      <c r="H23" t="str" cm="1">
        <f t="array" aca="1" ref="H23" ca="1">INDEX(rua_cod!$A:$A,Médicos!X23) &amp; "-" &amp; TEXT(RANDBETWEEN(0,999),"000")</f>
        <v>2674-998</v>
      </c>
      <c r="I23" t="str" cm="1">
        <f t="array" aca="1" ref="I23" ca="1">INDEX(rua_cod!$B:$B,Médicos!X23)</f>
        <v>Loures</v>
      </c>
      <c r="J23" t="s">
        <v>341</v>
      </c>
      <c r="K23" t="s">
        <v>225</v>
      </c>
      <c r="L23" t="s">
        <v>265</v>
      </c>
      <c r="M23" t="str">
        <f t="shared" ca="1" si="2"/>
        <v>74123607</v>
      </c>
      <c r="N23" t="str">
        <f t="shared" ca="1" si="3"/>
        <v>151078226</v>
      </c>
      <c r="O23" t="str">
        <f t="shared" ca="1" si="3"/>
        <v>103360695</v>
      </c>
      <c r="P23" t="str" cm="1">
        <f t="array" aca="1" ref="P23" ca="1">9 &amp; INDEX($AH$3:$AH$6,Y23)&amp; TEXT(RANDBETWEEN(0,9999999),"0000000")</f>
        <v>963345793</v>
      </c>
      <c r="Q23" t="str" cm="1">
        <f t="array" aca="1" ref="Q23" ca="1">LOWER(B23) &amp; INDEX($AH$9:$AH$11,Z23)</f>
        <v>med022@hospital.upskill.com</v>
      </c>
      <c r="R23" t="str">
        <f t="shared" si="4"/>
        <v>med022.jpg</v>
      </c>
      <c r="S23" s="8">
        <f t="shared" ca="1" si="5"/>
        <v>7822466922589387</v>
      </c>
      <c r="T23" t="s">
        <v>341</v>
      </c>
      <c r="V23" s="4"/>
      <c r="X23">
        <f ca="1">RANDBETWEEN(2,COUNTA(rua_cod!A:A))</f>
        <v>84</v>
      </c>
      <c r="Y23">
        <f t="shared" ca="1" si="6"/>
        <v>4</v>
      </c>
      <c r="Z23">
        <f t="shared" ca="1" si="7"/>
        <v>3</v>
      </c>
      <c r="AA23">
        <f t="shared" ca="1" si="8"/>
        <v>1992</v>
      </c>
      <c r="AB23">
        <f t="shared" ca="1" si="9"/>
        <v>1</v>
      </c>
      <c r="AC23">
        <f t="shared" ca="1" si="10"/>
        <v>9</v>
      </c>
      <c r="AD23">
        <f t="shared" ca="1" si="11"/>
        <v>28</v>
      </c>
    </row>
    <row r="24" spans="1:30" x14ac:dyDescent="0.25">
      <c r="A24">
        <v>23</v>
      </c>
      <c r="B24" t="str">
        <f t="shared" si="0"/>
        <v>med023</v>
      </c>
      <c r="C24" t="str">
        <f t="shared" si="1"/>
        <v>pswmed023</v>
      </c>
      <c r="D24" t="str">
        <f ca="1">Nomes!T25</f>
        <v>Ana Martins</v>
      </c>
      <c r="E24" t="str">
        <f ca="1">Nomes!S25</f>
        <v>Feminino</v>
      </c>
      <c r="F24" s="2">
        <v>22253</v>
      </c>
      <c r="G24" t="str" cm="1">
        <f t="array" aca="1" ref="G24" ca="1">INDEX(rua_cod!$F:$F,RANDBETWEEN(2,COUNTA(rua_cod!F:F)))</f>
        <v>Avenida Ressano Garcia</v>
      </c>
      <c r="H24" t="str" cm="1">
        <f t="array" aca="1" ref="H24" ca="1">INDEX(rua_cod!$A:$A,Médicos!X24) &amp; "-" &amp; TEXT(RANDBETWEEN(0,999),"000")</f>
        <v>2794-550</v>
      </c>
      <c r="I24" t="str" cm="1">
        <f t="array" aca="1" ref="I24" ca="1">INDEX(rua_cod!$B:$B,Médicos!X24)</f>
        <v>Carnaxide</v>
      </c>
      <c r="J24" t="s">
        <v>341</v>
      </c>
      <c r="K24" t="s">
        <v>225</v>
      </c>
      <c r="L24" t="s">
        <v>265</v>
      </c>
      <c r="M24" t="str">
        <f t="shared" ca="1" si="2"/>
        <v>89497997</v>
      </c>
      <c r="N24" t="str">
        <f t="shared" ca="1" si="3"/>
        <v>312278483</v>
      </c>
      <c r="O24" t="str">
        <f t="shared" ca="1" si="3"/>
        <v>236625963</v>
      </c>
      <c r="P24" t="str" cm="1">
        <f t="array" aca="1" ref="P24" ca="1">9 &amp; INDEX($AH$3:$AH$6,Y24)&amp; TEXT(RANDBETWEEN(0,9999999),"0000000")</f>
        <v>924393414</v>
      </c>
      <c r="Q24" t="str" cm="1">
        <f t="array" aca="1" ref="Q24" ca="1">LOWER(B24) &amp; INDEX($AH$9:$AH$11,Z24)</f>
        <v>med023@hospital.upskill.com</v>
      </c>
      <c r="R24" t="str">
        <f t="shared" si="4"/>
        <v>med023.jpg</v>
      </c>
      <c r="S24" s="8">
        <f t="shared" ca="1" si="5"/>
        <v>5851517671461090</v>
      </c>
      <c r="T24" t="s">
        <v>341</v>
      </c>
      <c r="V24" s="4"/>
      <c r="X24">
        <f ca="1">RANDBETWEEN(2,COUNTA(rua_cod!A:A))</f>
        <v>23</v>
      </c>
      <c r="Y24">
        <f t="shared" ca="1" si="6"/>
        <v>2</v>
      </c>
      <c r="Z24">
        <f t="shared" ca="1" si="7"/>
        <v>1</v>
      </c>
      <c r="AA24">
        <f t="shared" ca="1" si="8"/>
        <v>1983</v>
      </c>
      <c r="AB24">
        <f t="shared" ca="1" si="9"/>
        <v>6</v>
      </c>
      <c r="AC24">
        <f t="shared" ca="1" si="10"/>
        <v>27</v>
      </c>
      <c r="AD24">
        <f t="shared" ca="1" si="11"/>
        <v>37</v>
      </c>
    </row>
    <row r="25" spans="1:30" x14ac:dyDescent="0.25">
      <c r="A25">
        <v>24</v>
      </c>
      <c r="B25" t="str">
        <f t="shared" si="0"/>
        <v>med024</v>
      </c>
      <c r="C25" t="str">
        <f t="shared" si="1"/>
        <v>pswmed024</v>
      </c>
      <c r="D25" t="str">
        <f ca="1">Nomes!T26</f>
        <v>Catarina Valente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Avenida Ressano Garcia</v>
      </c>
      <c r="H25" t="str" cm="1">
        <f t="array" aca="1" ref="H25" ca="1">INDEX(rua_cod!$A:$A,Médicos!X25) &amp; "-" &amp; TEXT(RANDBETWEEN(0,999),"000")</f>
        <v>2829-063</v>
      </c>
      <c r="I25" t="str" cm="1">
        <f t="array" aca="1" ref="I25" ca="1">INDEX(rua_cod!$B:$B,Médicos!X25)</f>
        <v>Costa de Caparica</v>
      </c>
      <c r="J25" t="s">
        <v>341</v>
      </c>
      <c r="K25" t="s">
        <v>225</v>
      </c>
      <c r="L25" t="s">
        <v>265</v>
      </c>
      <c r="M25" t="str">
        <f t="shared" ca="1" si="2"/>
        <v>47450844</v>
      </c>
      <c r="N25" t="str">
        <f t="shared" ca="1" si="3"/>
        <v>589357036</v>
      </c>
      <c r="O25" t="str">
        <f t="shared" ca="1" si="3"/>
        <v>138828762</v>
      </c>
      <c r="P25" t="str" cm="1">
        <f t="array" aca="1" ref="P25" ca="1">9 &amp; INDEX($AH$3:$AH$6,Y25)&amp; TEXT(RANDBETWEEN(0,9999999),"0000000")</f>
        <v>914125086</v>
      </c>
      <c r="Q25" t="str" cm="1">
        <f t="array" aca="1" ref="Q25" ca="1">LOWER(B25) &amp; INDEX($AH$9:$AH$11,Z25)</f>
        <v>med024@hospital.upskill.com</v>
      </c>
      <c r="R25" t="str">
        <f t="shared" si="4"/>
        <v>med024.jpg</v>
      </c>
      <c r="S25" s="8">
        <f t="shared" ca="1" si="5"/>
        <v>8294860734969987</v>
      </c>
      <c r="T25" t="s">
        <v>341</v>
      </c>
      <c r="V25" s="4"/>
      <c r="X25">
        <f ca="1">RANDBETWEEN(2,COUNTA(rua_cod!A:A))</f>
        <v>28</v>
      </c>
      <c r="Y25">
        <f t="shared" ca="1" si="6"/>
        <v>1</v>
      </c>
      <c r="Z25">
        <f t="shared" ca="1" si="7"/>
        <v>1</v>
      </c>
      <c r="AA25">
        <f t="shared" ca="1" si="8"/>
        <v>1967</v>
      </c>
      <c r="AB25">
        <f t="shared" ca="1" si="9"/>
        <v>8</v>
      </c>
      <c r="AC25">
        <f t="shared" ca="1" si="10"/>
        <v>1</v>
      </c>
      <c r="AD25">
        <f t="shared" ca="1" si="11"/>
        <v>53</v>
      </c>
    </row>
    <row r="26" spans="1:30" x14ac:dyDescent="0.25">
      <c r="A26">
        <v>25</v>
      </c>
      <c r="B26" t="str">
        <f t="shared" si="0"/>
        <v>med025</v>
      </c>
      <c r="C26" t="str">
        <f t="shared" si="1"/>
        <v>pswmed025</v>
      </c>
      <c r="D26" t="str">
        <f ca="1">Nomes!T27</f>
        <v>João Neto</v>
      </c>
      <c r="E26" t="str">
        <f ca="1">Nomes!S27</f>
        <v>Masculino</v>
      </c>
      <c r="F26" s="2">
        <v>14176</v>
      </c>
      <c r="G26" t="str" cm="1">
        <f t="array" aca="1" ref="G26" ca="1">INDEX(rua_cod!$F:$F,RANDBETWEEN(2,COUNTA(rua_cod!F:F)))</f>
        <v>Rua da Madalena</v>
      </c>
      <c r="H26" t="str" cm="1">
        <f t="array" aca="1" ref="H26" ca="1">INDEX(rua_cod!$A:$A,Médicos!X26) &amp; "-" &amp; TEXT(RANDBETWEEN(0,999),"000")</f>
        <v>1849-659</v>
      </c>
      <c r="I26" t="str" cm="1">
        <f t="array" aca="1" ref="I26" ca="1">INDEX(rua_cod!$B:$B,Médicos!X26)</f>
        <v>Lisboa</v>
      </c>
      <c r="J26" t="s">
        <v>341</v>
      </c>
      <c r="K26" t="s">
        <v>225</v>
      </c>
      <c r="L26" t="s">
        <v>265</v>
      </c>
      <c r="M26" t="str">
        <f t="shared" ca="1" si="2"/>
        <v>48102263</v>
      </c>
      <c r="N26" t="str">
        <f t="shared" ca="1" si="3"/>
        <v>860002097</v>
      </c>
      <c r="O26" t="str">
        <f t="shared" ca="1" si="3"/>
        <v>395707429</v>
      </c>
      <c r="P26" t="str" cm="1">
        <f t="array" aca="1" ref="P26" ca="1">9 &amp; INDEX($AH$3:$AH$6,Y26)&amp; TEXT(RANDBETWEEN(0,9999999),"0000000")</f>
        <v>918882546</v>
      </c>
      <c r="Q26" t="str" cm="1">
        <f t="array" aca="1" ref="Q26" ca="1">LOWER(B26) &amp; INDEX($AH$9:$AH$11,Z26)</f>
        <v>med025@hospital.upskill.com</v>
      </c>
      <c r="R26" t="str">
        <f t="shared" si="4"/>
        <v>med025.jpg</v>
      </c>
      <c r="S26" s="8">
        <f t="shared" ca="1" si="5"/>
        <v>6596879355603082</v>
      </c>
      <c r="T26" t="s">
        <v>341</v>
      </c>
      <c r="V26" s="4"/>
      <c r="X26">
        <f ca="1">RANDBETWEEN(2,COUNTA(rua_cod!A:A))</f>
        <v>64</v>
      </c>
      <c r="Y26">
        <f t="shared" ca="1" si="6"/>
        <v>1</v>
      </c>
      <c r="Z26">
        <f t="shared" ca="1" si="7"/>
        <v>3</v>
      </c>
      <c r="AA26">
        <f t="shared" ca="1" si="8"/>
        <v>1966</v>
      </c>
      <c r="AB26">
        <f t="shared" ca="1" si="9"/>
        <v>9</v>
      </c>
      <c r="AC26">
        <f t="shared" ca="1" si="10"/>
        <v>3</v>
      </c>
      <c r="AD26">
        <f t="shared" ca="1" si="11"/>
        <v>54</v>
      </c>
    </row>
    <row r="27" spans="1:30" x14ac:dyDescent="0.25">
      <c r="A27">
        <v>26</v>
      </c>
      <c r="B27" t="str">
        <f t="shared" si="0"/>
        <v>med026</v>
      </c>
      <c r="C27" t="str">
        <f t="shared" si="1"/>
        <v>pswmed026</v>
      </c>
      <c r="D27" t="str">
        <f ca="1">Nomes!T28</f>
        <v>Diogo Nascimento</v>
      </c>
      <c r="E27" t="str">
        <f ca="1">Nomes!S28</f>
        <v>Masculino</v>
      </c>
      <c r="F27" s="2">
        <v>15060</v>
      </c>
      <c r="G27" t="str" cm="1">
        <f t="array" aca="1" ref="G27" ca="1">INDEX(rua_cod!$F:$F,RANDBETWEEN(2,COUNTA(rua_cod!F:F)))</f>
        <v>Rua Roberto Duarte Silva</v>
      </c>
      <c r="H27" t="str" cm="1">
        <f t="array" aca="1" ref="H27" ca="1">INDEX(rua_cod!$A:$A,Médicos!X27) &amp; "-" &amp; TEXT(RANDBETWEEN(0,999),"000")</f>
        <v>2724-982</v>
      </c>
      <c r="I27" t="str" cm="1">
        <f t="array" aca="1" ref="I27" ca="1">INDEX(rua_cod!$B:$B,Médicos!X27)</f>
        <v>Amadora</v>
      </c>
      <c r="J27" t="s">
        <v>341</v>
      </c>
      <c r="K27" t="s">
        <v>225</v>
      </c>
      <c r="L27" t="s">
        <v>265</v>
      </c>
      <c r="M27" t="str">
        <f t="shared" ca="1" si="2"/>
        <v>83409316</v>
      </c>
      <c r="N27" t="str">
        <f t="shared" ca="1" si="3"/>
        <v>225928473</v>
      </c>
      <c r="O27" t="str">
        <f t="shared" ca="1" si="3"/>
        <v>629014064</v>
      </c>
      <c r="P27" t="str" cm="1">
        <f t="array" aca="1" ref="P27" ca="1">9 &amp; INDEX($AH$3:$AH$6,Y27)&amp; TEXT(RANDBETWEEN(0,9999999),"0000000")</f>
        <v>968098752</v>
      </c>
      <c r="Q27" t="str" cm="1">
        <f t="array" aca="1" ref="Q27" ca="1">LOWER(B27) &amp; INDEX($AH$9:$AH$11,Z27)</f>
        <v>med026@hospital.upskill.com</v>
      </c>
      <c r="R27" t="str">
        <f t="shared" si="4"/>
        <v>med026.jpg</v>
      </c>
      <c r="S27" s="8">
        <f t="shared" ca="1" si="5"/>
        <v>6183624811458784</v>
      </c>
      <c r="T27" t="s">
        <v>341</v>
      </c>
      <c r="V27" s="4"/>
      <c r="X27">
        <f ca="1">RANDBETWEEN(2,COUNTA(rua_cod!A:A))</f>
        <v>13</v>
      </c>
      <c r="Y27">
        <f t="shared" ca="1" si="6"/>
        <v>4</v>
      </c>
      <c r="Z27">
        <f t="shared" ca="1" si="7"/>
        <v>3</v>
      </c>
      <c r="AA27">
        <f t="shared" ca="1" si="8"/>
        <v>1977</v>
      </c>
      <c r="AB27">
        <f t="shared" ca="1" si="9"/>
        <v>5</v>
      </c>
      <c r="AC27">
        <f t="shared" ca="1" si="10"/>
        <v>8</v>
      </c>
      <c r="AD27">
        <f t="shared" ca="1" si="11"/>
        <v>43</v>
      </c>
    </row>
    <row r="28" spans="1:30" x14ac:dyDescent="0.25">
      <c r="A28">
        <v>27</v>
      </c>
      <c r="B28" t="str">
        <f t="shared" si="0"/>
        <v>med027</v>
      </c>
      <c r="C28" t="str">
        <f t="shared" si="1"/>
        <v>pswmed027</v>
      </c>
      <c r="D28" t="str">
        <f ca="1">Nomes!T29</f>
        <v>Santiago Cunha</v>
      </c>
      <c r="E28" t="str">
        <f ca="1">Nomes!S29</f>
        <v>Masculino</v>
      </c>
      <c r="F28" s="2">
        <v>32317</v>
      </c>
      <c r="G28" t="str" cm="1">
        <f t="array" aca="1" ref="G28" ca="1">INDEX(rua_cod!$F:$F,RANDBETWEEN(2,COUNTA(rua_cod!F:F)))</f>
        <v>Rua de São Mamede</v>
      </c>
      <c r="H28" t="str" cm="1">
        <f t="array" aca="1" ref="H28" ca="1">INDEX(rua_cod!$A:$A,Médicos!X28) &amp; "-" &amp; TEXT(RANDBETWEEN(0,999),"000")</f>
        <v>1600-978</v>
      </c>
      <c r="I28" t="str" cm="1">
        <f t="array" aca="1" ref="I28" ca="1">INDEX(rua_cod!$B:$B,Médicos!X28)</f>
        <v>Lisboa</v>
      </c>
      <c r="J28" t="s">
        <v>341</v>
      </c>
      <c r="K28" t="s">
        <v>225</v>
      </c>
      <c r="L28" t="s">
        <v>265</v>
      </c>
      <c r="M28" t="str">
        <f t="shared" ca="1" si="2"/>
        <v>42168591</v>
      </c>
      <c r="N28" t="str">
        <f t="shared" ca="1" si="3"/>
        <v>499600059</v>
      </c>
      <c r="O28" t="str">
        <f t="shared" ca="1" si="3"/>
        <v>997759664</v>
      </c>
      <c r="P28" t="str" cm="1">
        <f t="array" aca="1" ref="P28" ca="1">9 &amp; INDEX($AH$3:$AH$6,Y28)&amp; TEXT(RANDBETWEEN(0,9999999),"0000000")</f>
        <v>910487557</v>
      </c>
      <c r="Q28" t="str" cm="1">
        <f t="array" aca="1" ref="Q28" ca="1">LOWER(B28) &amp; INDEX($AH$9:$AH$11,Z28)</f>
        <v>med027@hospital.upskill.com</v>
      </c>
      <c r="R28" t="str">
        <f t="shared" si="4"/>
        <v>med027.jpg</v>
      </c>
      <c r="S28" s="8">
        <f t="shared" ca="1" si="5"/>
        <v>6103337856175128</v>
      </c>
      <c r="T28" t="s">
        <v>341</v>
      </c>
      <c r="V28" s="4"/>
      <c r="X28">
        <f ca="1">RANDBETWEEN(2,COUNTA(rua_cod!A:A))</f>
        <v>60</v>
      </c>
      <c r="Y28">
        <f t="shared" ca="1" si="6"/>
        <v>1</v>
      </c>
      <c r="Z28">
        <f t="shared" ca="1" si="7"/>
        <v>3</v>
      </c>
      <c r="AA28">
        <f t="shared" ca="1" si="8"/>
        <v>1965</v>
      </c>
      <c r="AB28">
        <f t="shared" ca="1" si="9"/>
        <v>8</v>
      </c>
      <c r="AC28">
        <f t="shared" ca="1" si="10"/>
        <v>17</v>
      </c>
      <c r="AD28">
        <f t="shared" ca="1" si="11"/>
        <v>55</v>
      </c>
    </row>
    <row r="29" spans="1:30" x14ac:dyDescent="0.25">
      <c r="A29">
        <v>28</v>
      </c>
      <c r="B29" t="str">
        <f t="shared" si="0"/>
        <v>med028</v>
      </c>
      <c r="C29" t="str">
        <f t="shared" si="1"/>
        <v>pswmed028</v>
      </c>
      <c r="D29" t="str">
        <f ca="1">Nomes!T30</f>
        <v>Francisca Jesus</v>
      </c>
      <c r="E29" t="str">
        <f ca="1">Nomes!S30</f>
        <v>Feminino</v>
      </c>
      <c r="F29" s="2">
        <v>31298</v>
      </c>
      <c r="G29" t="str" cm="1">
        <f t="array" aca="1" ref="G29" ca="1">INDEX(rua_cod!$F:$F,RANDBETWEEN(2,COUNTA(rua_cod!F:F)))</f>
        <v>Rua do Salitre</v>
      </c>
      <c r="H29" t="str" cm="1">
        <f t="array" aca="1" ref="H29" ca="1">INDEX(rua_cod!$A:$A,Médicos!X29) &amp; "-" &amp; TEXT(RANDBETWEEN(0,999),"000")</f>
        <v>2810-909</v>
      </c>
      <c r="I29" t="str" cm="1">
        <f t="array" aca="1" ref="I29" ca="1">INDEX(rua_cod!$B:$B,Médicos!X29)</f>
        <v>Almada</v>
      </c>
      <c r="J29" t="s">
        <v>341</v>
      </c>
      <c r="K29" t="s">
        <v>225</v>
      </c>
      <c r="L29" t="s">
        <v>265</v>
      </c>
      <c r="M29" t="str">
        <f t="shared" ca="1" si="2"/>
        <v>73123763</v>
      </c>
      <c r="N29" t="str">
        <f t="shared" ca="1" si="3"/>
        <v>789486878</v>
      </c>
      <c r="O29" t="str">
        <f t="shared" ca="1" si="3"/>
        <v>261738586</v>
      </c>
      <c r="P29" t="str" cm="1">
        <f t="array" aca="1" ref="P29" ca="1">9 &amp; INDEX($AH$3:$AH$6,Y29)&amp; TEXT(RANDBETWEEN(0,9999999),"0000000")</f>
        <v>919158802</v>
      </c>
      <c r="Q29" t="str" cm="1">
        <f t="array" aca="1" ref="Q29" ca="1">LOWER(B29) &amp; INDEX($AH$9:$AH$11,Z29)</f>
        <v>med028@hospital.upskill.com</v>
      </c>
      <c r="R29" t="str">
        <f t="shared" si="4"/>
        <v>med028.jpg</v>
      </c>
      <c r="S29" s="8">
        <f t="shared" ca="1" si="5"/>
        <v>5411179991521217</v>
      </c>
      <c r="T29" t="s">
        <v>341</v>
      </c>
      <c r="V29" s="4"/>
      <c r="X29">
        <f ca="1">RANDBETWEEN(2,COUNTA(rua_cod!A:A))</f>
        <v>3</v>
      </c>
      <c r="Y29">
        <f t="shared" ca="1" si="6"/>
        <v>1</v>
      </c>
      <c r="Z29">
        <f t="shared" ca="1" si="7"/>
        <v>2</v>
      </c>
      <c r="AA29">
        <f t="shared" ca="1" si="8"/>
        <v>1994</v>
      </c>
      <c r="AB29">
        <f t="shared" ca="1" si="9"/>
        <v>9</v>
      </c>
      <c r="AC29">
        <f t="shared" ca="1" si="10"/>
        <v>19</v>
      </c>
      <c r="AD29">
        <f t="shared" ca="1" si="11"/>
        <v>26</v>
      </c>
    </row>
    <row r="30" spans="1:30" x14ac:dyDescent="0.25">
      <c r="A30">
        <v>29</v>
      </c>
      <c r="B30" t="str">
        <f t="shared" si="0"/>
        <v>med029</v>
      </c>
      <c r="C30" t="str">
        <f t="shared" si="1"/>
        <v>pswmed029</v>
      </c>
      <c r="D30" t="str">
        <f ca="1">Nomes!T31</f>
        <v>Carolina Pacheco</v>
      </c>
      <c r="E30" t="str">
        <f ca="1">Nomes!S31</f>
        <v>Feminino</v>
      </c>
      <c r="F30" s="2">
        <v>20622</v>
      </c>
      <c r="G30" t="str" cm="1">
        <f t="array" aca="1" ref="G30" ca="1">INDEX(rua_cod!$F:$F,RANDBETWEEN(2,COUNTA(rua_cod!F:F)))</f>
        <v>Calçada Marquês de Abrantes</v>
      </c>
      <c r="H30" t="str" cm="1">
        <f t="array" aca="1" ref="H30" ca="1">INDEX(rua_cod!$A:$A,Médicos!X30) &amp; "-" &amp; TEXT(RANDBETWEEN(0,999),"000")</f>
        <v>1700-387</v>
      </c>
      <c r="I30" t="str" cm="1">
        <f t="array" aca="1" ref="I30" ca="1">INDEX(rua_cod!$B:$B,Médicos!X30)</f>
        <v>Lisboa</v>
      </c>
      <c r="J30" t="s">
        <v>341</v>
      </c>
      <c r="K30" t="s">
        <v>225</v>
      </c>
      <c r="L30" t="s">
        <v>265</v>
      </c>
      <c r="M30" t="str">
        <f t="shared" ca="1" si="2"/>
        <v>33458648</v>
      </c>
      <c r="N30" t="str">
        <f t="shared" ca="1" si="3"/>
        <v>659312971</v>
      </c>
      <c r="O30" t="str">
        <f t="shared" ca="1" si="3"/>
        <v>411705659</v>
      </c>
      <c r="P30" t="str" cm="1">
        <f t="array" aca="1" ref="P30" ca="1">9 &amp; INDEX($AH$3:$AH$6,Y30)&amp; TEXT(RANDBETWEEN(0,9999999),"0000000")</f>
        <v>967970641</v>
      </c>
      <c r="Q30" t="str" cm="1">
        <f t="array" aca="1" ref="Q30" ca="1">LOWER(B30) &amp; INDEX($AH$9:$AH$11,Z30)</f>
        <v>med029@hospital.upskill.com</v>
      </c>
      <c r="R30" t="str">
        <f t="shared" si="4"/>
        <v>med029.jpg</v>
      </c>
      <c r="S30" s="8">
        <f t="shared" ca="1" si="5"/>
        <v>6383820650659921</v>
      </c>
      <c r="T30" t="s">
        <v>341</v>
      </c>
      <c r="V30" s="4"/>
      <c r="X30">
        <f ca="1">RANDBETWEEN(2,COUNTA(rua_cod!A:A))</f>
        <v>40</v>
      </c>
      <c r="Y30">
        <f t="shared" ca="1" si="6"/>
        <v>4</v>
      </c>
      <c r="Z30">
        <f t="shared" ca="1" si="7"/>
        <v>3</v>
      </c>
      <c r="AA30">
        <f t="shared" ca="1" si="8"/>
        <v>1965</v>
      </c>
      <c r="AB30">
        <f t="shared" ca="1" si="9"/>
        <v>12</v>
      </c>
      <c r="AC30">
        <f t="shared" ca="1" si="10"/>
        <v>5</v>
      </c>
      <c r="AD30">
        <f t="shared" ca="1" si="11"/>
        <v>55</v>
      </c>
    </row>
    <row r="31" spans="1:30" x14ac:dyDescent="0.25">
      <c r="A31">
        <v>30</v>
      </c>
      <c r="B31" t="str">
        <f t="shared" si="0"/>
        <v>med030</v>
      </c>
      <c r="C31" t="str">
        <f t="shared" si="1"/>
        <v>pswmed030</v>
      </c>
      <c r="D31" t="str">
        <f ca="1">Nomes!T32</f>
        <v>Joaquim Anjos</v>
      </c>
      <c r="E31" t="str">
        <f ca="1">Nomes!S32</f>
        <v>Masculino</v>
      </c>
      <c r="F31" s="2">
        <v>15242</v>
      </c>
      <c r="G31" t="str" cm="1">
        <f t="array" aca="1" ref="G31" ca="1">INDEX(rua_cod!$F:$F,RANDBETWEEN(2,COUNTA(rua_cod!F:F)))</f>
        <v>Estrada da Circunvalação de Lisboa</v>
      </c>
      <c r="H31" t="str" cm="1">
        <f t="array" aca="1" ref="H31" ca="1">INDEX(rua_cod!$A:$A,Médicos!X31) &amp; "-" &amp; TEXT(RANDBETWEEN(0,999),"000")</f>
        <v>1250-862</v>
      </c>
      <c r="I31" t="str" cm="1">
        <f t="array" aca="1" ref="I31" ca="1">INDEX(rua_cod!$B:$B,Médicos!X31)</f>
        <v>Lisboa</v>
      </c>
      <c r="J31" t="s">
        <v>341</v>
      </c>
      <c r="K31" t="s">
        <v>225</v>
      </c>
      <c r="L31" t="s">
        <v>265</v>
      </c>
      <c r="M31" t="str">
        <f t="shared" ca="1" si="2"/>
        <v>42119771</v>
      </c>
      <c r="N31" t="str">
        <f t="shared" ca="1" si="3"/>
        <v>573059390</v>
      </c>
      <c r="O31" t="str">
        <f t="shared" ca="1" si="3"/>
        <v>633041556</v>
      </c>
      <c r="P31" t="str" cm="1">
        <f t="array" aca="1" ref="P31" ca="1">9 &amp; INDEX($AH$3:$AH$6,Y31)&amp; TEXT(RANDBETWEEN(0,9999999),"0000000")</f>
        <v>933905374</v>
      </c>
      <c r="Q31" t="str" cm="1">
        <f t="array" aca="1" ref="Q31" ca="1">LOWER(B31) &amp; INDEX($AH$9:$AH$11,Z31)</f>
        <v>med030@hospital.upskill.com</v>
      </c>
      <c r="R31" t="str">
        <f t="shared" si="4"/>
        <v>med030.jpg</v>
      </c>
      <c r="S31" s="8">
        <f t="shared" ca="1" si="5"/>
        <v>2895698730040845</v>
      </c>
      <c r="T31" t="s">
        <v>341</v>
      </c>
      <c r="V31" s="4"/>
      <c r="X31">
        <f ca="1">RANDBETWEEN(2,COUNTA(rua_cod!A:A))</f>
        <v>50</v>
      </c>
      <c r="Y31">
        <f t="shared" ca="1" si="6"/>
        <v>3</v>
      </c>
      <c r="Z31">
        <f t="shared" ca="1" si="7"/>
        <v>1</v>
      </c>
      <c r="AA31">
        <f t="shared" ca="1" si="8"/>
        <v>1953</v>
      </c>
      <c r="AB31">
        <f t="shared" ca="1" si="9"/>
        <v>11</v>
      </c>
      <c r="AC31">
        <f t="shared" ca="1" si="10"/>
        <v>17</v>
      </c>
      <c r="AD31">
        <f t="shared" ca="1" si="11"/>
        <v>67</v>
      </c>
    </row>
    <row r="32" spans="1:30" x14ac:dyDescent="0.25">
      <c r="A32">
        <v>31</v>
      </c>
      <c r="B32" t="str">
        <f t="shared" si="0"/>
        <v>med031</v>
      </c>
      <c r="C32" t="str">
        <f t="shared" si="1"/>
        <v>pswmed031</v>
      </c>
      <c r="D32" t="str">
        <f ca="1">Nomes!T33</f>
        <v>Rodrigo Ferreira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Rua da Junqueira</v>
      </c>
      <c r="H32" t="str" cm="1">
        <f t="array" aca="1" ref="H32" ca="1">INDEX(rua_cod!$A:$A,Médicos!X32) &amp; "-" &amp; TEXT(RANDBETWEEN(0,999),"000")</f>
        <v>1849-899</v>
      </c>
      <c r="I32" t="str" cm="1">
        <f t="array" aca="1" ref="I32" ca="1">INDEX(rua_cod!$B:$B,Médicos!X32)</f>
        <v>Lisboa</v>
      </c>
      <c r="J32" t="s">
        <v>341</v>
      </c>
      <c r="K32" t="s">
        <v>225</v>
      </c>
      <c r="L32" t="s">
        <v>265</v>
      </c>
      <c r="M32" t="str">
        <f t="shared" ca="1" si="2"/>
        <v>50361242</v>
      </c>
      <c r="N32" t="str">
        <f t="shared" ca="1" si="3"/>
        <v>125110310</v>
      </c>
      <c r="O32" t="str">
        <f t="shared" ca="1" si="3"/>
        <v>451709487</v>
      </c>
      <c r="P32" t="str" cm="1">
        <f t="array" aca="1" ref="P32" ca="1">9 &amp; INDEX($AH$3:$AH$6,Y32)&amp; TEXT(RANDBETWEEN(0,9999999),"0000000")</f>
        <v>932179384</v>
      </c>
      <c r="Q32" t="str" cm="1">
        <f t="array" aca="1" ref="Q32" ca="1">LOWER(B32) &amp; INDEX($AH$9:$AH$11,Z32)</f>
        <v>med031@hospital.upskill.com</v>
      </c>
      <c r="R32" t="str">
        <f t="shared" si="4"/>
        <v>med031.jpg</v>
      </c>
      <c r="S32" s="8">
        <f t="shared" ca="1" si="5"/>
        <v>2248083038719780</v>
      </c>
      <c r="T32" t="s">
        <v>341</v>
      </c>
      <c r="V32" s="4"/>
      <c r="X32">
        <f ca="1">RANDBETWEEN(2,COUNTA(rua_cod!A:A))</f>
        <v>64</v>
      </c>
      <c r="Y32">
        <f t="shared" ca="1" si="6"/>
        <v>3</v>
      </c>
      <c r="Z32">
        <f t="shared" ca="1" si="7"/>
        <v>1</v>
      </c>
      <c r="AA32">
        <f t="shared" ca="1" si="8"/>
        <v>1969</v>
      </c>
      <c r="AB32">
        <f t="shared" ca="1" si="9"/>
        <v>1</v>
      </c>
      <c r="AC32">
        <f t="shared" ca="1" si="10"/>
        <v>30</v>
      </c>
      <c r="AD32">
        <f t="shared" ca="1" si="11"/>
        <v>51</v>
      </c>
    </row>
    <row r="33" spans="1:30" x14ac:dyDescent="0.25">
      <c r="A33">
        <v>32</v>
      </c>
      <c r="B33" t="str">
        <f t="shared" si="0"/>
        <v>med032</v>
      </c>
      <c r="C33" t="str">
        <f t="shared" si="1"/>
        <v>pswmed032</v>
      </c>
      <c r="D33" t="str">
        <f ca="1">Nomes!T34</f>
        <v>Beatriz Amaral</v>
      </c>
      <c r="E33" t="str">
        <f ca="1">Nomes!S34</f>
        <v>Feminino</v>
      </c>
      <c r="F33" s="2">
        <v>22147</v>
      </c>
      <c r="G33" t="str" cm="1">
        <f t="array" aca="1" ref="G33" ca="1">INDEX(rua_cod!$F:$F,RANDBETWEEN(2,COUNTA(rua_cod!F:F)))</f>
        <v>Rua de São Julião</v>
      </c>
      <c r="H33" t="str" cm="1">
        <f t="array" aca="1" ref="H33" ca="1">INDEX(rua_cod!$A:$A,Médicos!X33) &amp; "-" &amp; TEXT(RANDBETWEEN(0,999),"000")</f>
        <v>1350-984</v>
      </c>
      <c r="I33" t="str" cm="1">
        <f t="array" aca="1" ref="I33" ca="1">INDEX(rua_cod!$B:$B,Médicos!X33)</f>
        <v>Lisboa</v>
      </c>
      <c r="J33" t="s">
        <v>341</v>
      </c>
      <c r="K33" t="s">
        <v>225</v>
      </c>
      <c r="L33" t="s">
        <v>265</v>
      </c>
      <c r="M33" t="str">
        <f t="shared" ca="1" si="2"/>
        <v>27673980</v>
      </c>
      <c r="N33" t="str">
        <f t="shared" ca="1" si="3"/>
        <v>551014396</v>
      </c>
      <c r="O33" t="str">
        <f t="shared" ca="1" si="3"/>
        <v>587407621</v>
      </c>
      <c r="P33" t="str" cm="1">
        <f t="array" aca="1" ref="P33" ca="1">9 &amp; INDEX($AH$3:$AH$6,Y33)&amp; TEXT(RANDBETWEEN(0,9999999),"0000000")</f>
        <v>927981595</v>
      </c>
      <c r="Q33" t="str" cm="1">
        <f t="array" aca="1" ref="Q33" ca="1">LOWER(B33) &amp; INDEX($AH$9:$AH$11,Z33)</f>
        <v>med032@hospital.upskill.com</v>
      </c>
      <c r="R33" t="str">
        <f t="shared" si="4"/>
        <v>med032.jpg</v>
      </c>
      <c r="S33" s="8">
        <f t="shared" ca="1" si="5"/>
        <v>5014958033692714</v>
      </c>
      <c r="T33" t="s">
        <v>341</v>
      </c>
      <c r="V33" s="4"/>
      <c r="X33">
        <f ca="1">RANDBETWEEN(2,COUNTA(rua_cod!A:A))</f>
        <v>54</v>
      </c>
      <c r="Y33">
        <f t="shared" ca="1" si="6"/>
        <v>2</v>
      </c>
      <c r="Z33">
        <f t="shared" ca="1" si="7"/>
        <v>2</v>
      </c>
      <c r="AA33">
        <f t="shared" ca="1" si="8"/>
        <v>1954</v>
      </c>
      <c r="AB33">
        <f t="shared" ca="1" si="9"/>
        <v>5</v>
      </c>
      <c r="AC33">
        <f t="shared" ca="1" si="10"/>
        <v>12</v>
      </c>
      <c r="AD33">
        <f t="shared" ca="1" si="11"/>
        <v>66</v>
      </c>
    </row>
    <row r="34" spans="1:30" x14ac:dyDescent="0.25">
      <c r="A34">
        <v>33</v>
      </c>
      <c r="B34" t="str">
        <f t="shared" si="0"/>
        <v>med033</v>
      </c>
      <c r="C34" t="str">
        <f t="shared" si="1"/>
        <v>pswmed033</v>
      </c>
      <c r="D34" t="str">
        <f ca="1">Nomes!T35</f>
        <v>Pedro Pereira Valente</v>
      </c>
      <c r="E34" t="str">
        <f ca="1">Nomes!S35</f>
        <v>Masculino</v>
      </c>
      <c r="F34" s="2">
        <v>26345</v>
      </c>
      <c r="G34" t="str" cm="1">
        <f t="array" aca="1" ref="G34" ca="1">INDEX(rua_cod!$F:$F,RANDBETWEEN(2,COUNTA(rua_cod!F:F)))</f>
        <v>Rua da Alfândega</v>
      </c>
      <c r="H34" t="str" cm="1">
        <f t="array" aca="1" ref="H34" ca="1">INDEX(rua_cod!$A:$A,Médicos!X34) &amp; "-" &amp; TEXT(RANDBETWEEN(0,999),"000")</f>
        <v>2650-493</v>
      </c>
      <c r="I34" t="str" cm="1">
        <f t="array" aca="1" ref="I34" ca="1">INDEX(rua_cod!$B:$B,Médicos!X34)</f>
        <v>Amadora</v>
      </c>
      <c r="J34" t="s">
        <v>341</v>
      </c>
      <c r="K34" t="s">
        <v>225</v>
      </c>
      <c r="L34" t="s">
        <v>265</v>
      </c>
      <c r="M34" t="str">
        <f t="shared" ca="1" si="2"/>
        <v>88932503</v>
      </c>
      <c r="N34" t="str">
        <f t="shared" ca="1" si="3"/>
        <v>887779069</v>
      </c>
      <c r="O34" t="str">
        <f t="shared" ca="1" si="3"/>
        <v>321510503</v>
      </c>
      <c r="P34" t="str" cm="1">
        <f t="array" aca="1" ref="P34" ca="1">9 &amp; INDEX($AH$3:$AH$6,Y34)&amp; TEXT(RANDBETWEEN(0,9999999),"0000000")</f>
        <v>962643577</v>
      </c>
      <c r="Q34" t="str" cm="1">
        <f t="array" aca="1" ref="Q34" ca="1">LOWER(B34) &amp; INDEX($AH$9:$AH$11,Z34)</f>
        <v>med033@hospital.upskill.com</v>
      </c>
      <c r="R34" t="str">
        <f t="shared" si="4"/>
        <v>med033.jpg</v>
      </c>
      <c r="S34" s="8">
        <f t="shared" ca="1" si="5"/>
        <v>2825610467368692</v>
      </c>
      <c r="T34" t="s">
        <v>341</v>
      </c>
      <c r="V34" s="4"/>
      <c r="X34">
        <f ca="1">RANDBETWEEN(2,COUNTA(rua_cod!A:A))</f>
        <v>9</v>
      </c>
      <c r="Y34">
        <f t="shared" ca="1" si="6"/>
        <v>4</v>
      </c>
      <c r="Z34">
        <f t="shared" ca="1" si="7"/>
        <v>2</v>
      </c>
      <c r="AA34">
        <f t="shared" ca="1" si="8"/>
        <v>1975</v>
      </c>
      <c r="AB34">
        <f t="shared" ca="1" si="9"/>
        <v>2</v>
      </c>
      <c r="AC34">
        <f t="shared" ca="1" si="10"/>
        <v>11</v>
      </c>
      <c r="AD34">
        <f t="shared" ca="1" si="11"/>
        <v>45</v>
      </c>
    </row>
    <row r="35" spans="1:30" x14ac:dyDescent="0.25">
      <c r="A35">
        <v>34</v>
      </c>
      <c r="B35" t="str">
        <f t="shared" si="0"/>
        <v>med034</v>
      </c>
      <c r="C35" t="str">
        <f t="shared" si="1"/>
        <v>pswmed034</v>
      </c>
      <c r="D35" t="str">
        <f ca="1">Nomes!T36</f>
        <v>Beatriz Guerreiro Cardoso</v>
      </c>
      <c r="E35" t="str">
        <f ca="1">Nomes!S36</f>
        <v>Feminino</v>
      </c>
      <c r="F35" s="2">
        <v>24701</v>
      </c>
      <c r="G35" t="str" cm="1">
        <f t="array" aca="1" ref="G35" ca="1">INDEX(rua_cod!$F:$F,RANDBETWEEN(2,COUNTA(rua_cod!F:F)))</f>
        <v>Rua do Carmo</v>
      </c>
      <c r="H35" t="str" cm="1">
        <f t="array" aca="1" ref="H35" ca="1">INDEX(rua_cod!$A:$A,Médicos!X35) &amp; "-" &amp; TEXT(RANDBETWEEN(0,999),"000")</f>
        <v>2775-016</v>
      </c>
      <c r="I35" t="str" cm="1">
        <f t="array" aca="1" ref="I35" ca="1">INDEX(rua_cod!$B:$B,Médicos!X35)</f>
        <v>Carcavelos</v>
      </c>
      <c r="J35" t="s">
        <v>341</v>
      </c>
      <c r="K35" t="s">
        <v>225</v>
      </c>
      <c r="L35" t="s">
        <v>265</v>
      </c>
      <c r="M35" t="str">
        <f t="shared" ca="1" si="2"/>
        <v>94657991</v>
      </c>
      <c r="N35" t="str">
        <f t="shared" ca="1" si="3"/>
        <v>250361701</v>
      </c>
      <c r="O35" t="str">
        <f t="shared" ca="1" si="3"/>
        <v>489919193</v>
      </c>
      <c r="P35" t="str" cm="1">
        <f t="array" aca="1" ref="P35" ca="1">9 &amp; INDEX($AH$3:$AH$6,Y35)&amp; TEXT(RANDBETWEEN(0,9999999),"0000000")</f>
        <v>926533927</v>
      </c>
      <c r="Q35" t="str" cm="1">
        <f t="array" aca="1" ref="Q35" ca="1">LOWER(B35) &amp; INDEX($AH$9:$AH$11,Z35)</f>
        <v>med034@hospital.upskill.com</v>
      </c>
      <c r="R35" t="str">
        <f t="shared" si="4"/>
        <v>med034.jpg</v>
      </c>
      <c r="S35" s="8">
        <f t="shared" ca="1" si="5"/>
        <v>1226224105939265</v>
      </c>
      <c r="T35" t="s">
        <v>341</v>
      </c>
      <c r="V35" s="4"/>
      <c r="X35">
        <f ca="1">RANDBETWEEN(2,COUNTA(rua_cod!A:A))</f>
        <v>20</v>
      </c>
      <c r="Y35">
        <f t="shared" ca="1" si="6"/>
        <v>2</v>
      </c>
      <c r="Z35">
        <f t="shared" ca="1" si="7"/>
        <v>1</v>
      </c>
      <c r="AA35">
        <f t="shared" ca="1" si="8"/>
        <v>1990</v>
      </c>
      <c r="AB35">
        <f t="shared" ca="1" si="9"/>
        <v>5</v>
      </c>
      <c r="AC35">
        <f t="shared" ca="1" si="10"/>
        <v>22</v>
      </c>
      <c r="AD35">
        <f t="shared" ca="1" si="11"/>
        <v>30</v>
      </c>
    </row>
    <row r="36" spans="1:30" x14ac:dyDescent="0.25">
      <c r="A36">
        <v>35</v>
      </c>
      <c r="B36" t="str">
        <f t="shared" si="0"/>
        <v>med035</v>
      </c>
      <c r="C36" t="str">
        <f t="shared" si="1"/>
        <v>pswmed035</v>
      </c>
      <c r="D36" t="str">
        <f ca="1">Nomes!T37</f>
        <v>Daniela Vieira Moura</v>
      </c>
      <c r="E36" t="str">
        <f ca="1">Nomes!S37</f>
        <v>Feminino</v>
      </c>
      <c r="F36" s="2">
        <v>36840</v>
      </c>
      <c r="G36" t="str" cm="1">
        <f t="array" aca="1" ref="G36" ca="1">INDEX(rua_cod!$F:$F,RANDBETWEEN(2,COUNTA(rua_cod!F:F)))</f>
        <v>Rua Cidade de Bolama</v>
      </c>
      <c r="H36" t="str" cm="1">
        <f t="array" aca="1" ref="H36" ca="1">INDEX(rua_cod!$A:$A,Médicos!X36) &amp; "-" &amp; TEXT(RANDBETWEEN(0,999),"000")</f>
        <v>2670-984</v>
      </c>
      <c r="I36" t="str" cm="1">
        <f t="array" aca="1" ref="I36" ca="1">INDEX(rua_cod!$B:$B,Médicos!X36)</f>
        <v>Loures</v>
      </c>
      <c r="J36" t="s">
        <v>341</v>
      </c>
      <c r="K36" t="s">
        <v>225</v>
      </c>
      <c r="L36" t="s">
        <v>265</v>
      </c>
      <c r="M36" t="str">
        <f t="shared" ca="1" si="2"/>
        <v>17619982</v>
      </c>
      <c r="N36" t="str">
        <f t="shared" ca="1" si="3"/>
        <v>810102138</v>
      </c>
      <c r="O36" t="str">
        <f t="shared" ca="1" si="3"/>
        <v>746003880</v>
      </c>
      <c r="P36" t="str" cm="1">
        <f t="array" aca="1" ref="P36" ca="1">9 &amp; INDEX($AH$3:$AH$6,Y36)&amp; TEXT(RANDBETWEEN(0,9999999),"0000000")</f>
        <v>927575903</v>
      </c>
      <c r="Q36" t="str" cm="1">
        <f t="array" aca="1" ref="Q36" ca="1">LOWER(B36) &amp; INDEX($AH$9:$AH$11,Z36)</f>
        <v>med035@hospital.upskill.com</v>
      </c>
      <c r="R36" t="str">
        <f t="shared" si="4"/>
        <v>med035.jpg</v>
      </c>
      <c r="S36" s="8">
        <f t="shared" ca="1" si="5"/>
        <v>2286233492622983</v>
      </c>
      <c r="T36" t="s">
        <v>341</v>
      </c>
      <c r="V36" s="4"/>
      <c r="X36">
        <f ca="1">RANDBETWEEN(2,COUNTA(rua_cod!A:A))</f>
        <v>83</v>
      </c>
      <c r="Y36">
        <f t="shared" ca="1" si="6"/>
        <v>2</v>
      </c>
      <c r="Z36">
        <f t="shared" ca="1" si="7"/>
        <v>3</v>
      </c>
      <c r="AA36">
        <f t="shared" ca="1" si="8"/>
        <v>1963</v>
      </c>
      <c r="AB36">
        <f t="shared" ca="1" si="9"/>
        <v>4</v>
      </c>
      <c r="AC36">
        <f t="shared" ca="1" si="10"/>
        <v>2</v>
      </c>
      <c r="AD36">
        <f t="shared" ca="1" si="11"/>
        <v>57</v>
      </c>
    </row>
    <row r="37" spans="1:30" x14ac:dyDescent="0.25">
      <c r="A37">
        <v>36</v>
      </c>
      <c r="B37" t="str">
        <f t="shared" si="0"/>
        <v>med036</v>
      </c>
      <c r="C37" t="str">
        <f t="shared" si="1"/>
        <v>pswmed036</v>
      </c>
      <c r="D37" t="str">
        <f ca="1">Nomes!T38</f>
        <v>André Monteiro Pinheiro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Rua do Comércio</v>
      </c>
      <c r="H37" t="str" cm="1">
        <f t="array" aca="1" ref="H37" ca="1">INDEX(rua_cod!$A:$A,Médicos!X37) &amp; "-" &amp; TEXT(RANDBETWEEN(0,999),"000")</f>
        <v>1149-856</v>
      </c>
      <c r="I37" t="str" cm="1">
        <f t="array" aca="1" ref="I37" ca="1">INDEX(rua_cod!$B:$B,Médicos!X37)</f>
        <v>Lisboa</v>
      </c>
      <c r="J37" t="s">
        <v>341</v>
      </c>
      <c r="K37" t="s">
        <v>225</v>
      </c>
      <c r="L37" t="s">
        <v>265</v>
      </c>
      <c r="M37" t="str">
        <f t="shared" ca="1" si="2"/>
        <v>12868152</v>
      </c>
      <c r="N37" t="str">
        <f t="shared" ca="1" si="3"/>
        <v>200761136</v>
      </c>
      <c r="O37" t="str">
        <f t="shared" ca="1" si="3"/>
        <v>104426806</v>
      </c>
      <c r="P37" t="str" cm="1">
        <f t="array" aca="1" ref="P37" ca="1">9 &amp; INDEX($AH$3:$AH$6,Y37)&amp; TEXT(RANDBETWEEN(0,9999999),"0000000")</f>
        <v>938936243</v>
      </c>
      <c r="Q37" t="str" cm="1">
        <f t="array" aca="1" ref="Q37" ca="1">LOWER(B37) &amp; INDEX($AH$9:$AH$11,Z37)</f>
        <v>med036@hospital.upskill.com</v>
      </c>
      <c r="R37" t="str">
        <f t="shared" si="4"/>
        <v>med036.jpg</v>
      </c>
      <c r="S37" s="8">
        <f t="shared" ca="1" si="5"/>
        <v>7601152083668862</v>
      </c>
      <c r="T37" t="s">
        <v>341</v>
      </c>
      <c r="V37" s="4"/>
      <c r="X37">
        <f ca="1">RANDBETWEEN(2,COUNTA(rua_cod!A:A))</f>
        <v>59</v>
      </c>
      <c r="Y37">
        <f t="shared" ca="1" si="6"/>
        <v>3</v>
      </c>
      <c r="Z37">
        <f t="shared" ca="1" si="7"/>
        <v>3</v>
      </c>
      <c r="AA37">
        <f t="shared" ca="1" si="8"/>
        <v>1968</v>
      </c>
      <c r="AB37">
        <f t="shared" ca="1" si="9"/>
        <v>12</v>
      </c>
      <c r="AC37">
        <f t="shared" ca="1" si="10"/>
        <v>19</v>
      </c>
      <c r="AD37">
        <f t="shared" ca="1" si="11"/>
        <v>52</v>
      </c>
    </row>
    <row r="38" spans="1:30" x14ac:dyDescent="0.25">
      <c r="A38">
        <v>37</v>
      </c>
      <c r="B38" t="str">
        <f t="shared" si="0"/>
        <v>med037</v>
      </c>
      <c r="C38" t="str">
        <f t="shared" si="1"/>
        <v>pswmed037</v>
      </c>
      <c r="D38" t="str">
        <f ca="1">Nomes!T39</f>
        <v>Inês Vaz Macedo</v>
      </c>
      <c r="E38" t="str">
        <f ca="1">Nomes!S39</f>
        <v>Feminino</v>
      </c>
      <c r="F38" s="2">
        <v>43838</v>
      </c>
      <c r="G38" t="str" cm="1">
        <f t="array" aca="1" ref="G38" ca="1">INDEX(rua_cod!$F:$F,RANDBETWEEN(2,COUNTA(rua_cod!F:F)))</f>
        <v>Rua dos Heróis de Quionga</v>
      </c>
      <c r="H38" t="str" cm="1">
        <f t="array" aca="1" ref="H38" ca="1">INDEX(rua_cod!$A:$A,Médicos!X38) &amp; "-" &amp; TEXT(RANDBETWEEN(0,999),"000")</f>
        <v>2655-064</v>
      </c>
      <c r="I38" t="str" cm="1">
        <f t="array" aca="1" ref="I38" ca="1">INDEX(rua_cod!$B:$B,Médicos!X38)</f>
        <v>Ericeira</v>
      </c>
      <c r="J38" t="s">
        <v>341</v>
      </c>
      <c r="K38" t="s">
        <v>225</v>
      </c>
      <c r="L38" t="s">
        <v>265</v>
      </c>
      <c r="M38" t="str">
        <f t="shared" ca="1" si="2"/>
        <v>60717607</v>
      </c>
      <c r="N38" t="str">
        <f t="shared" ca="1" si="3"/>
        <v>959598700</v>
      </c>
      <c r="O38" t="str">
        <f t="shared" ca="1" si="3"/>
        <v>870411416</v>
      </c>
      <c r="P38" t="str" cm="1">
        <f t="array" aca="1" ref="P38" ca="1">9 &amp; INDEX($AH$3:$AH$6,Y38)&amp; TEXT(RANDBETWEEN(0,9999999),"0000000")</f>
        <v>917833351</v>
      </c>
      <c r="Q38" t="str" cm="1">
        <f t="array" aca="1" ref="Q38" ca="1">LOWER(B38) &amp; INDEX($AH$9:$AH$11,Z38)</f>
        <v>med037@hospital.upskill.com</v>
      </c>
      <c r="R38" t="str">
        <f t="shared" si="4"/>
        <v>med037.jpg</v>
      </c>
      <c r="S38" s="8">
        <f t="shared" ca="1" si="5"/>
        <v>6457884791048692</v>
      </c>
      <c r="T38" t="s">
        <v>341</v>
      </c>
      <c r="V38" s="4"/>
      <c r="X38">
        <f ca="1">RANDBETWEEN(2,COUNTA(rua_cod!A:A))</f>
        <v>31</v>
      </c>
      <c r="Y38">
        <f t="shared" ca="1" si="6"/>
        <v>1</v>
      </c>
      <c r="Z38">
        <f t="shared" ca="1" si="7"/>
        <v>3</v>
      </c>
      <c r="AA38">
        <f t="shared" ca="1" si="8"/>
        <v>1958</v>
      </c>
      <c r="AB38">
        <f t="shared" ca="1" si="9"/>
        <v>9</v>
      </c>
      <c r="AC38">
        <f t="shared" ca="1" si="10"/>
        <v>31</v>
      </c>
      <c r="AD38">
        <f t="shared" ca="1" si="11"/>
        <v>62</v>
      </c>
    </row>
    <row r="39" spans="1:30" x14ac:dyDescent="0.25">
      <c r="A39">
        <v>38</v>
      </c>
      <c r="B39" t="str">
        <f t="shared" si="0"/>
        <v>med038</v>
      </c>
      <c r="C39" t="str">
        <f t="shared" si="1"/>
        <v>pswmed038</v>
      </c>
      <c r="D39" t="str">
        <f ca="1">Nomes!T40</f>
        <v>Duarte Vaz Marques</v>
      </c>
      <c r="E39" t="str">
        <f ca="1">Nomes!S40</f>
        <v>Masculino</v>
      </c>
      <c r="F39" s="2">
        <v>13937</v>
      </c>
      <c r="G39" t="str" cm="1">
        <f t="array" aca="1" ref="G39" ca="1">INDEX(rua_cod!$F:$F,RANDBETWEEN(2,COUNTA(rua_cod!F:F)))</f>
        <v>Calçada do Moinho de Vento</v>
      </c>
      <c r="H39" t="str" cm="1">
        <f t="array" aca="1" ref="H39" ca="1">INDEX(rua_cod!$A:$A,Médicos!X39) &amp; "-" &amp; TEXT(RANDBETWEEN(0,999),"000")</f>
        <v>1070-315</v>
      </c>
      <c r="I39" t="str" cm="1">
        <f t="array" aca="1" ref="I39" ca="1">INDEX(rua_cod!$B:$B,Médicos!X39)</f>
        <v>Lisboa</v>
      </c>
      <c r="J39" t="s">
        <v>341</v>
      </c>
      <c r="K39" t="s">
        <v>225</v>
      </c>
      <c r="L39" t="s">
        <v>265</v>
      </c>
      <c r="M39" t="str">
        <f t="shared" ca="1" si="2"/>
        <v>44978095</v>
      </c>
      <c r="N39" t="str">
        <f t="shared" ca="1" si="3"/>
        <v>514492482</v>
      </c>
      <c r="O39" t="str">
        <f t="shared" ca="1" si="3"/>
        <v>862312850</v>
      </c>
      <c r="P39" t="str" cm="1">
        <f t="array" aca="1" ref="P39" ca="1">9 &amp; INDEX($AH$3:$AH$6,Y39)&amp; TEXT(RANDBETWEEN(0,9999999),"0000000")</f>
        <v>919744126</v>
      </c>
      <c r="Q39" t="str" cm="1">
        <f t="array" aca="1" ref="Q39" ca="1">LOWER(B39) &amp; INDEX($AH$9:$AH$11,Z39)</f>
        <v>med038@hospital.upskill.com</v>
      </c>
      <c r="R39" t="str">
        <f t="shared" si="4"/>
        <v>med038.jpg</v>
      </c>
      <c r="S39" s="8">
        <f t="shared" ca="1" si="5"/>
        <v>1704378701751983</v>
      </c>
      <c r="T39" t="s">
        <v>341</v>
      </c>
      <c r="V39" s="4"/>
      <c r="X39">
        <f ca="1">RANDBETWEEN(2,COUNTA(rua_cod!A:A))</f>
        <v>51</v>
      </c>
      <c r="Y39">
        <f t="shared" ca="1" si="6"/>
        <v>1</v>
      </c>
      <c r="Z39">
        <f t="shared" ca="1" si="7"/>
        <v>2</v>
      </c>
      <c r="AA39">
        <f t="shared" ca="1" si="8"/>
        <v>1984</v>
      </c>
      <c r="AB39">
        <f t="shared" ca="1" si="9"/>
        <v>8</v>
      </c>
      <c r="AC39">
        <f t="shared" ca="1" si="10"/>
        <v>28</v>
      </c>
      <c r="AD39">
        <f t="shared" ca="1" si="11"/>
        <v>36</v>
      </c>
    </row>
    <row r="40" spans="1:30" x14ac:dyDescent="0.25">
      <c r="A40">
        <v>39</v>
      </c>
      <c r="B40" t="str">
        <f t="shared" si="0"/>
        <v>med039</v>
      </c>
      <c r="C40" t="str">
        <f t="shared" si="1"/>
        <v>pswmed039</v>
      </c>
      <c r="D40" t="str">
        <f ca="1">Nomes!T41</f>
        <v>Vera Rodrigues Reis</v>
      </c>
      <c r="E40" t="str">
        <f ca="1">Nomes!S41</f>
        <v>Feminino</v>
      </c>
      <c r="F40" s="2">
        <v>32387</v>
      </c>
      <c r="G40" t="str" cm="1">
        <f t="array" aca="1" ref="G40" ca="1">INDEX(rua_cod!$F:$F,RANDBETWEEN(2,COUNTA(rua_cod!F:F)))</f>
        <v>Rua de São Julião</v>
      </c>
      <c r="H40" t="str" cm="1">
        <f t="array" aca="1" ref="H40" ca="1">INDEX(rua_cod!$A:$A,Médicos!X40) &amp; "-" &amp; TEXT(RANDBETWEEN(0,999),"000")</f>
        <v>1067-483</v>
      </c>
      <c r="I40" t="str" cm="1">
        <f t="array" aca="1" ref="I40" ca="1">INDEX(rua_cod!$B:$B,Médicos!X40)</f>
        <v>Lisboa</v>
      </c>
      <c r="J40" t="s">
        <v>341</v>
      </c>
      <c r="K40" t="s">
        <v>225</v>
      </c>
      <c r="L40" t="s">
        <v>265</v>
      </c>
      <c r="M40" t="str">
        <f t="shared" ca="1" si="2"/>
        <v>59979658</v>
      </c>
      <c r="N40" t="str">
        <f t="shared" ca="1" si="3"/>
        <v>641477205</v>
      </c>
      <c r="O40" t="str">
        <f t="shared" ca="1" si="3"/>
        <v>740601064</v>
      </c>
      <c r="P40" t="str" cm="1">
        <f t="array" aca="1" ref="P40" ca="1">9 &amp; INDEX($AH$3:$AH$6,Y40)&amp; TEXT(RANDBETWEEN(0,9999999),"0000000")</f>
        <v>932796606</v>
      </c>
      <c r="Q40" t="str" cm="1">
        <f t="array" aca="1" ref="Q40" ca="1">LOWER(B40) &amp; INDEX($AH$9:$AH$11,Z40)</f>
        <v>med039@hospital.upskill.com</v>
      </c>
      <c r="R40" t="str">
        <f t="shared" si="4"/>
        <v>med039.jpg</v>
      </c>
      <c r="S40" s="8">
        <f t="shared" ca="1" si="5"/>
        <v>9167797284176498</v>
      </c>
      <c r="T40" t="s">
        <v>341</v>
      </c>
      <c r="V40" s="4"/>
      <c r="X40">
        <f ca="1">RANDBETWEEN(2,COUNTA(rua_cod!A:A))</f>
        <v>82</v>
      </c>
      <c r="Y40">
        <f t="shared" ca="1" si="6"/>
        <v>3</v>
      </c>
      <c r="Z40">
        <f t="shared" ca="1" si="7"/>
        <v>2</v>
      </c>
      <c r="AA40">
        <f t="shared" ca="1" si="8"/>
        <v>1993</v>
      </c>
      <c r="AB40">
        <f t="shared" ca="1" si="9"/>
        <v>11</v>
      </c>
      <c r="AC40">
        <f t="shared" ca="1" si="10"/>
        <v>17</v>
      </c>
      <c r="AD40">
        <f t="shared" ca="1" si="11"/>
        <v>27</v>
      </c>
    </row>
    <row r="41" spans="1:30" x14ac:dyDescent="0.25">
      <c r="A41">
        <v>40</v>
      </c>
      <c r="B41" t="str">
        <f t="shared" si="0"/>
        <v>med040</v>
      </c>
      <c r="C41" t="str">
        <f t="shared" si="1"/>
        <v>pswmed040</v>
      </c>
      <c r="D41" t="str">
        <f ca="1">Nomes!T42</f>
        <v>José Mendes Pacheco</v>
      </c>
      <c r="E41" t="str">
        <f ca="1">Nomes!S42</f>
        <v>Masculino</v>
      </c>
      <c r="F41" s="2">
        <v>10615</v>
      </c>
      <c r="G41" t="str" cm="1">
        <f t="array" aca="1" ref="G41" ca="1">INDEX(rua_cod!$F:$F,RANDBETWEEN(2,COUNTA(rua_cod!F:F)))</f>
        <v>Rua da Prata</v>
      </c>
      <c r="H41" t="str" cm="1">
        <f t="array" aca="1" ref="H41" ca="1">INDEX(rua_cod!$A:$A,Médicos!X41) &amp; "-" &amp; TEXT(RANDBETWEEN(0,999),"000")</f>
        <v>2655-213</v>
      </c>
      <c r="I41" t="str" cm="1">
        <f t="array" aca="1" ref="I41" ca="1">INDEX(rua_cod!$B:$B,Médicos!X41)</f>
        <v>Ericeira</v>
      </c>
      <c r="J41" t="s">
        <v>341</v>
      </c>
      <c r="K41" t="s">
        <v>225</v>
      </c>
      <c r="L41" t="s">
        <v>265</v>
      </c>
      <c r="M41" t="str">
        <f t="shared" ca="1" si="2"/>
        <v>93044678</v>
      </c>
      <c r="N41" t="str">
        <f t="shared" ca="1" si="3"/>
        <v>642937688</v>
      </c>
      <c r="O41" t="str">
        <f t="shared" ca="1" si="3"/>
        <v>526611335</v>
      </c>
      <c r="P41" t="str" cm="1">
        <f t="array" aca="1" ref="P41" ca="1">9 &amp; INDEX($AH$3:$AH$6,Y41)&amp; TEXT(RANDBETWEEN(0,9999999),"0000000")</f>
        <v>926055414</v>
      </c>
      <c r="Q41" t="str" cm="1">
        <f t="array" aca="1" ref="Q41" ca="1">LOWER(B41) &amp; INDEX($AH$9:$AH$11,Z41)</f>
        <v>med040@hospital.upskill.com</v>
      </c>
      <c r="R41" t="str">
        <f t="shared" si="4"/>
        <v>med040.jpg</v>
      </c>
      <c r="S41" s="8">
        <f t="shared" ca="1" si="5"/>
        <v>5643041556789778</v>
      </c>
      <c r="T41" t="s">
        <v>341</v>
      </c>
      <c r="V41" s="4"/>
      <c r="X41">
        <f ca="1">RANDBETWEEN(2,COUNTA(rua_cod!A:A))</f>
        <v>31</v>
      </c>
      <c r="Y41">
        <f t="shared" ca="1" si="6"/>
        <v>2</v>
      </c>
      <c r="Z41">
        <f t="shared" ca="1" si="7"/>
        <v>2</v>
      </c>
      <c r="AA41">
        <f t="shared" ca="1" si="8"/>
        <v>1964</v>
      </c>
      <c r="AB41">
        <f t="shared" ca="1" si="9"/>
        <v>5</v>
      </c>
      <c r="AC41">
        <f t="shared" ca="1" si="10"/>
        <v>29</v>
      </c>
      <c r="AD41">
        <f t="shared" ca="1" si="11"/>
        <v>56</v>
      </c>
    </row>
    <row r="42" spans="1:30" x14ac:dyDescent="0.25">
      <c r="A42">
        <v>41</v>
      </c>
      <c r="B42" t="str">
        <f t="shared" si="0"/>
        <v>med041</v>
      </c>
      <c r="C42" t="str">
        <f t="shared" si="1"/>
        <v>pswmed041</v>
      </c>
      <c r="D42" t="str">
        <f ca="1">Nomes!T43</f>
        <v>André Teixeira Nunes</v>
      </c>
      <c r="E42" t="str">
        <f ca="1">Nomes!S43</f>
        <v>Masculino</v>
      </c>
      <c r="F42" s="2">
        <v>28753</v>
      </c>
      <c r="G42" t="str" cm="1">
        <f t="array" aca="1" ref="G42" ca="1">INDEX(rua_cod!$F:$F,RANDBETWEEN(2,COUNTA(rua_cod!F:F)))</f>
        <v>Rua da Prata</v>
      </c>
      <c r="H42" t="str" cm="1">
        <f t="array" aca="1" ref="H42" ca="1">INDEX(rua_cod!$A:$A,Médicos!X42) &amp; "-" &amp; TEXT(RANDBETWEEN(0,999),"000")</f>
        <v>2809-893</v>
      </c>
      <c r="I42" t="str" cm="1">
        <f t="array" aca="1" ref="I42" ca="1">INDEX(rua_cod!$B:$B,Médicos!X42)</f>
        <v>Almada</v>
      </c>
      <c r="J42" t="s">
        <v>341</v>
      </c>
      <c r="K42" t="s">
        <v>225</v>
      </c>
      <c r="L42" t="s">
        <v>265</v>
      </c>
      <c r="M42" t="str">
        <f t="shared" ca="1" si="2"/>
        <v>41580098</v>
      </c>
      <c r="N42" t="str">
        <f t="shared" ca="1" si="3"/>
        <v>972427126</v>
      </c>
      <c r="O42" t="str">
        <f t="shared" ca="1" si="3"/>
        <v>405463085</v>
      </c>
      <c r="P42" t="str" cm="1">
        <f t="array" aca="1" ref="P42" ca="1">9 &amp; INDEX($AH$3:$AH$6,Y42)&amp; TEXT(RANDBETWEEN(0,9999999),"0000000")</f>
        <v>917799501</v>
      </c>
      <c r="Q42" t="str" cm="1">
        <f t="array" aca="1" ref="Q42" ca="1">LOWER(B42) &amp; INDEX($AH$9:$AH$11,Z42)</f>
        <v>med041@hospital.upskill.com</v>
      </c>
      <c r="R42" t="str">
        <f t="shared" si="4"/>
        <v>med041.jpg</v>
      </c>
      <c r="S42" s="8">
        <f t="shared" ca="1" si="5"/>
        <v>2158538736311041</v>
      </c>
      <c r="T42" t="s">
        <v>341</v>
      </c>
      <c r="V42" s="4"/>
      <c r="X42">
        <f ca="1">RANDBETWEEN(2,COUNTA(rua_cod!A:A))</f>
        <v>5</v>
      </c>
      <c r="Y42">
        <f t="shared" ca="1" si="6"/>
        <v>1</v>
      </c>
      <c r="Z42">
        <f t="shared" ca="1" si="7"/>
        <v>3</v>
      </c>
      <c r="AA42">
        <f t="shared" ca="1" si="8"/>
        <v>1977</v>
      </c>
      <c r="AB42">
        <f t="shared" ca="1" si="9"/>
        <v>12</v>
      </c>
      <c r="AC42">
        <f t="shared" ca="1" si="10"/>
        <v>31</v>
      </c>
      <c r="AD42">
        <f t="shared" ca="1" si="11"/>
        <v>43</v>
      </c>
    </row>
    <row r="43" spans="1:30" x14ac:dyDescent="0.25">
      <c r="A43">
        <v>42</v>
      </c>
      <c r="B43" t="str">
        <f t="shared" si="0"/>
        <v>med042</v>
      </c>
      <c r="C43" t="str">
        <f t="shared" si="1"/>
        <v>pswmed042</v>
      </c>
      <c r="D43" t="str">
        <f ca="1">Nomes!T44</f>
        <v>Catarina Paiva Amorim</v>
      </c>
      <c r="E43" t="str">
        <f ca="1">Nomes!S44</f>
        <v>Feminino</v>
      </c>
      <c r="F43" s="2">
        <v>20196</v>
      </c>
      <c r="G43" t="str" cm="1">
        <f t="array" aca="1" ref="G43" ca="1">INDEX(rua_cod!$F:$F,RANDBETWEEN(2,COUNTA(rua_cod!F:F)))</f>
        <v>Rua do Sol a Santana</v>
      </c>
      <c r="H43" t="str" cm="1">
        <f t="array" aca="1" ref="H43" ca="1">INDEX(rua_cod!$A:$A,Médicos!X43) &amp; "-" &amp; TEXT(RANDBETWEEN(0,999),"000")</f>
        <v>1300-863</v>
      </c>
      <c r="I43" t="str" cm="1">
        <f t="array" aca="1" ref="I43" ca="1">INDEX(rua_cod!$B:$B,Médicos!X43)</f>
        <v>Lisboa</v>
      </c>
      <c r="J43" t="s">
        <v>341</v>
      </c>
      <c r="K43" t="s">
        <v>225</v>
      </c>
      <c r="L43" t="s">
        <v>265</v>
      </c>
      <c r="M43" t="str">
        <f t="shared" ca="1" si="2"/>
        <v>87453492</v>
      </c>
      <c r="N43" t="str">
        <f t="shared" ca="1" si="3"/>
        <v>218734530</v>
      </c>
      <c r="O43" t="str">
        <f t="shared" ca="1" si="3"/>
        <v>765081172</v>
      </c>
      <c r="P43" t="str" cm="1">
        <f t="array" aca="1" ref="P43" ca="1">9 &amp; INDEX($AH$3:$AH$6,Y43)&amp; TEXT(RANDBETWEEN(0,9999999),"0000000")</f>
        <v>912867055</v>
      </c>
      <c r="Q43" t="str" cm="1">
        <f t="array" aca="1" ref="Q43" ca="1">LOWER(B43) &amp; INDEX($AH$9:$AH$11,Z43)</f>
        <v>med042@hospital.upskill.com</v>
      </c>
      <c r="R43" t="str">
        <f t="shared" si="4"/>
        <v>med042.jpg</v>
      </c>
      <c r="S43" s="8">
        <f t="shared" ca="1" si="5"/>
        <v>3948964364048126</v>
      </c>
      <c r="T43" t="s">
        <v>341</v>
      </c>
      <c r="V43" s="4"/>
      <c r="X43">
        <f ca="1">RANDBETWEEN(2,COUNTA(rua_cod!A:A))</f>
        <v>58</v>
      </c>
      <c r="Y43">
        <f t="shared" ca="1" si="6"/>
        <v>1</v>
      </c>
      <c r="Z43">
        <f t="shared" ca="1" si="7"/>
        <v>2</v>
      </c>
      <c r="AA43">
        <f t="shared" ca="1" si="8"/>
        <v>1959</v>
      </c>
      <c r="AB43">
        <f t="shared" ca="1" si="9"/>
        <v>11</v>
      </c>
      <c r="AC43">
        <f t="shared" ca="1" si="10"/>
        <v>19</v>
      </c>
      <c r="AD43">
        <f t="shared" ca="1" si="11"/>
        <v>61</v>
      </c>
    </row>
    <row r="44" spans="1:30" x14ac:dyDescent="0.25">
      <c r="A44">
        <v>43</v>
      </c>
      <c r="B44" t="str">
        <f t="shared" si="0"/>
        <v>med043</v>
      </c>
      <c r="C44" t="str">
        <f t="shared" si="1"/>
        <v>pswmed043</v>
      </c>
      <c r="D44" t="str">
        <f ca="1">Nomes!T45</f>
        <v>Maria Paiva Sá</v>
      </c>
      <c r="E44" t="str">
        <f ca="1">Nomes!S45</f>
        <v>Feminino</v>
      </c>
      <c r="F44" s="2">
        <v>28461</v>
      </c>
      <c r="G44" t="str" cm="1">
        <f t="array" aca="1" ref="G44" ca="1">INDEX(rua_cod!$F:$F,RANDBETWEEN(2,COUNTA(rua_cod!F:F)))</f>
        <v>Rua da Junqueira</v>
      </c>
      <c r="H44" t="str" cm="1">
        <f t="array" aca="1" ref="H44" ca="1">INDEX(rua_cod!$A:$A,Médicos!X44) &amp; "-" &amp; TEXT(RANDBETWEEN(0,999),"000")</f>
        <v>1100-820</v>
      </c>
      <c r="I44" t="str" cm="1">
        <f t="array" aca="1" ref="I44" ca="1">INDEX(rua_cod!$B:$B,Médicos!X44)</f>
        <v>Lisboa</v>
      </c>
      <c r="J44" t="s">
        <v>341</v>
      </c>
      <c r="K44" t="s">
        <v>225</v>
      </c>
      <c r="L44" t="s">
        <v>265</v>
      </c>
      <c r="M44" t="str">
        <f t="shared" ca="1" si="2"/>
        <v>65187702</v>
      </c>
      <c r="N44" t="str">
        <f t="shared" ca="1" si="3"/>
        <v>723380305</v>
      </c>
      <c r="O44" t="str">
        <f t="shared" ca="1" si="3"/>
        <v>396236660</v>
      </c>
      <c r="P44" t="str" cm="1">
        <f t="array" aca="1" ref="P44" ca="1">9 &amp; INDEX($AH$3:$AH$6,Y44)&amp; TEXT(RANDBETWEEN(0,9999999),"0000000")</f>
        <v>920066566</v>
      </c>
      <c r="Q44" t="str" cm="1">
        <f t="array" aca="1" ref="Q44" ca="1">LOWER(B44) &amp; INDEX($AH$9:$AH$11,Z44)</f>
        <v>med043@hospital.upskill.com</v>
      </c>
      <c r="R44" t="str">
        <f t="shared" si="4"/>
        <v>med043.jpg</v>
      </c>
      <c r="S44" s="8">
        <f t="shared" ca="1" si="5"/>
        <v>5052570321164319</v>
      </c>
      <c r="T44" t="s">
        <v>341</v>
      </c>
      <c r="V44" s="4"/>
      <c r="X44">
        <f ca="1">RANDBETWEEN(2,COUNTA(rua_cod!A:A))</f>
        <v>46</v>
      </c>
      <c r="Y44">
        <f t="shared" ca="1" si="6"/>
        <v>2</v>
      </c>
      <c r="Z44">
        <f t="shared" ca="1" si="7"/>
        <v>1</v>
      </c>
      <c r="AA44">
        <f t="shared" ca="1" si="8"/>
        <v>1953</v>
      </c>
      <c r="AB44">
        <f t="shared" ca="1" si="9"/>
        <v>4</v>
      </c>
      <c r="AC44">
        <f t="shared" ca="1" si="10"/>
        <v>11</v>
      </c>
      <c r="AD44">
        <f t="shared" ca="1" si="11"/>
        <v>67</v>
      </c>
    </row>
    <row r="45" spans="1:30" x14ac:dyDescent="0.25">
      <c r="A45">
        <v>44</v>
      </c>
      <c r="B45" t="str">
        <f t="shared" si="0"/>
        <v>med044</v>
      </c>
      <c r="C45" t="str">
        <f t="shared" si="1"/>
        <v>pswmed044</v>
      </c>
      <c r="D45" t="str">
        <f ca="1">Nomes!T46</f>
        <v>Sara Leite Rodrigues</v>
      </c>
      <c r="E45" t="str">
        <f ca="1">Nomes!S46</f>
        <v>Feminino</v>
      </c>
      <c r="F45" s="2">
        <v>36293</v>
      </c>
      <c r="G45" t="str" cm="1">
        <f t="array" aca="1" ref="G45" ca="1">INDEX(rua_cod!$F:$F,RANDBETWEEN(2,COUNTA(rua_cod!F:F)))</f>
        <v>Rua Roberto Duarte Silva</v>
      </c>
      <c r="H45" t="str" cm="1">
        <f t="array" aca="1" ref="H45" ca="1">INDEX(rua_cod!$A:$A,Médicos!X45) &amp; "-" &amp; TEXT(RANDBETWEEN(0,999),"000")</f>
        <v>2870-280</v>
      </c>
      <c r="I45" t="str" cm="1">
        <f t="array" aca="1" ref="I45" ca="1">INDEX(rua_cod!$B:$B,Médicos!X45)</f>
        <v>Montijo</v>
      </c>
      <c r="J45" t="s">
        <v>341</v>
      </c>
      <c r="K45" t="s">
        <v>225</v>
      </c>
      <c r="L45" t="s">
        <v>265</v>
      </c>
      <c r="M45" t="str">
        <f t="shared" ca="1" si="2"/>
        <v>18269732</v>
      </c>
      <c r="N45" t="str">
        <f t="shared" ca="1" si="3"/>
        <v>275829782</v>
      </c>
      <c r="O45" t="str">
        <f t="shared" ca="1" si="3"/>
        <v>637508114</v>
      </c>
      <c r="P45" t="str" cm="1">
        <f t="array" aca="1" ref="P45" ca="1">9 &amp; INDEX($AH$3:$AH$6,Y45)&amp; TEXT(RANDBETWEEN(0,9999999),"0000000")</f>
        <v>936645342</v>
      </c>
      <c r="Q45" t="str" cm="1">
        <f t="array" aca="1" ref="Q45" ca="1">LOWER(B45) &amp; INDEX($AH$9:$AH$11,Z45)</f>
        <v>med044@hospital.upskill.com</v>
      </c>
      <c r="R45" t="str">
        <f t="shared" si="4"/>
        <v>med044.jpg</v>
      </c>
      <c r="S45" s="8">
        <f t="shared" ca="1" si="5"/>
        <v>5059322969731517</v>
      </c>
      <c r="T45" t="s">
        <v>341</v>
      </c>
      <c r="V45" s="4"/>
      <c r="X45">
        <f ca="1">RANDBETWEEN(2,COUNTA(rua_cod!A:A))</f>
        <v>87</v>
      </c>
      <c r="Y45">
        <f t="shared" ca="1" si="6"/>
        <v>3</v>
      </c>
      <c r="Z45">
        <f t="shared" ca="1" si="7"/>
        <v>1</v>
      </c>
      <c r="AA45">
        <f t="shared" ca="1" si="8"/>
        <v>1984</v>
      </c>
      <c r="AB45">
        <f t="shared" ca="1" si="9"/>
        <v>4</v>
      </c>
      <c r="AC45">
        <f t="shared" ca="1" si="10"/>
        <v>20</v>
      </c>
      <c r="AD45">
        <f t="shared" ca="1" si="11"/>
        <v>36</v>
      </c>
    </row>
    <row r="46" spans="1:30" x14ac:dyDescent="0.25">
      <c r="A46">
        <v>45</v>
      </c>
      <c r="B46" t="str">
        <f t="shared" si="0"/>
        <v>med045</v>
      </c>
      <c r="C46" t="str">
        <f t="shared" si="1"/>
        <v>pswmed045</v>
      </c>
      <c r="D46" t="str">
        <f ca="1">Nomes!T47</f>
        <v>Sofia Costa Pinho</v>
      </c>
      <c r="E46" t="str">
        <f ca="1">Nomes!S47</f>
        <v>Feminino</v>
      </c>
      <c r="F46" s="2">
        <v>14532</v>
      </c>
      <c r="G46" t="str" cm="1">
        <f t="array" aca="1" ref="G46" ca="1">INDEX(rua_cod!$F:$F,RANDBETWEEN(2,COUNTA(rua_cod!F:F)))</f>
        <v>Calçada Marquês de Abrantes</v>
      </c>
      <c r="H46" t="str" cm="1">
        <f t="array" aca="1" ref="H46" ca="1">INDEX(rua_cod!$A:$A,Médicos!X46) &amp; "-" &amp; TEXT(RANDBETWEEN(0,999),"000")</f>
        <v>2910-331</v>
      </c>
      <c r="I46" t="str" cm="1">
        <f t="array" aca="1" ref="I46" ca="1">INDEX(rua_cod!$B:$B,Médicos!X46)</f>
        <v>Setúbal</v>
      </c>
      <c r="J46" t="s">
        <v>341</v>
      </c>
      <c r="K46" t="s">
        <v>225</v>
      </c>
      <c r="L46" t="s">
        <v>265</v>
      </c>
      <c r="M46" t="str">
        <f t="shared" ca="1" si="2"/>
        <v>96429504</v>
      </c>
      <c r="N46" t="str">
        <f t="shared" ca="1" si="3"/>
        <v>573946608</v>
      </c>
      <c r="O46" t="str">
        <f t="shared" ca="1" si="3"/>
        <v>780270792</v>
      </c>
      <c r="P46" t="str" cm="1">
        <f t="array" aca="1" ref="P46" ca="1">9 &amp; INDEX($AH$3:$AH$6,Y46)&amp; TEXT(RANDBETWEEN(0,9999999),"0000000")</f>
        <v>919680725</v>
      </c>
      <c r="Q46" t="str" cm="1">
        <f t="array" aca="1" ref="Q46" ca="1">LOWER(B46) &amp; INDEX($AH$9:$AH$11,Z46)</f>
        <v>med045@hospital.upskill.com</v>
      </c>
      <c r="R46" t="str">
        <f t="shared" si="4"/>
        <v>med045.jpg</v>
      </c>
      <c r="S46" s="8">
        <f t="shared" ca="1" si="5"/>
        <v>9820827005208936</v>
      </c>
      <c r="T46" t="s">
        <v>341</v>
      </c>
      <c r="V46" s="4"/>
      <c r="X46">
        <f ca="1">RANDBETWEEN(2,COUNTA(rua_cod!A:A))</f>
        <v>97</v>
      </c>
      <c r="Y46">
        <f t="shared" ca="1" si="6"/>
        <v>1</v>
      </c>
      <c r="Z46">
        <f t="shared" ca="1" si="7"/>
        <v>1</v>
      </c>
      <c r="AA46">
        <f t="shared" ca="1" si="8"/>
        <v>1960</v>
      </c>
      <c r="AB46">
        <f t="shared" ca="1" si="9"/>
        <v>6</v>
      </c>
      <c r="AC46">
        <f t="shared" ca="1" si="10"/>
        <v>22</v>
      </c>
      <c r="AD46">
        <f t="shared" ca="1" si="11"/>
        <v>60</v>
      </c>
    </row>
    <row r="47" spans="1:30" x14ac:dyDescent="0.25">
      <c r="A47">
        <v>46</v>
      </c>
      <c r="B47" t="str">
        <f t="shared" si="0"/>
        <v>med046</v>
      </c>
      <c r="C47" t="str">
        <f t="shared" si="1"/>
        <v>pswmed046</v>
      </c>
      <c r="D47" t="str">
        <f ca="1">Nomes!T48</f>
        <v>Laura Castro Assunção</v>
      </c>
      <c r="E47" t="str">
        <f ca="1">Nomes!S48</f>
        <v>Feminino</v>
      </c>
      <c r="F47" s="2">
        <v>41931</v>
      </c>
      <c r="G47" t="str" cm="1">
        <f t="array" aca="1" ref="G47" ca="1">INDEX(rua_cod!$F:$F,RANDBETWEEN(2,COUNTA(rua_cod!F:F)))</f>
        <v>Rua General Morais Sarmento</v>
      </c>
      <c r="H47" t="str" cm="1">
        <f t="array" aca="1" ref="H47" ca="1">INDEX(rua_cod!$A:$A,Médicos!X47) &amp; "-" &amp; TEXT(RANDBETWEEN(0,999),"000")</f>
        <v>1748-961</v>
      </c>
      <c r="I47" t="str" cm="1">
        <f t="array" aca="1" ref="I47" ca="1">INDEX(rua_cod!$B:$B,Médicos!X47)</f>
        <v>Lisboa</v>
      </c>
      <c r="J47" t="s">
        <v>341</v>
      </c>
      <c r="K47" t="s">
        <v>225</v>
      </c>
      <c r="L47" t="s">
        <v>265</v>
      </c>
      <c r="M47" t="str">
        <f t="shared" ca="1" si="2"/>
        <v>32314156</v>
      </c>
      <c r="N47" t="str">
        <f t="shared" ca="1" si="3"/>
        <v>814860791</v>
      </c>
      <c r="O47" t="str">
        <f t="shared" ca="1" si="3"/>
        <v>431995615</v>
      </c>
      <c r="P47" t="str" cm="1">
        <f t="array" aca="1" ref="P47" ca="1">9 &amp; INDEX($AH$3:$AH$6,Y47)&amp; TEXT(RANDBETWEEN(0,9999999),"0000000")</f>
        <v>936075482</v>
      </c>
      <c r="Q47" t="str" cm="1">
        <f t="array" aca="1" ref="Q47" ca="1">LOWER(B47) &amp; INDEX($AH$9:$AH$11,Z47)</f>
        <v>med046@hospital.upskill.com</v>
      </c>
      <c r="R47" t="str">
        <f t="shared" si="4"/>
        <v>med046.jpg</v>
      </c>
      <c r="S47" s="8">
        <f t="shared" ca="1" si="5"/>
        <v>1184450508897249</v>
      </c>
      <c r="T47" t="s">
        <v>341</v>
      </c>
      <c r="V47" s="4"/>
      <c r="X47">
        <f ca="1">RANDBETWEEN(2,COUNTA(rua_cod!A:A))</f>
        <v>77</v>
      </c>
      <c r="Y47">
        <f t="shared" ca="1" si="6"/>
        <v>3</v>
      </c>
      <c r="Z47">
        <f t="shared" ca="1" si="7"/>
        <v>1</v>
      </c>
      <c r="AA47">
        <f t="shared" ca="1" si="8"/>
        <v>1966</v>
      </c>
      <c r="AB47">
        <f t="shared" ca="1" si="9"/>
        <v>1</v>
      </c>
      <c r="AC47">
        <f t="shared" ca="1" si="10"/>
        <v>6</v>
      </c>
      <c r="AD47">
        <f t="shared" ca="1" si="11"/>
        <v>54</v>
      </c>
    </row>
    <row r="48" spans="1:30" x14ac:dyDescent="0.25">
      <c r="A48">
        <v>47</v>
      </c>
      <c r="B48" t="str">
        <f t="shared" si="0"/>
        <v>med047</v>
      </c>
      <c r="C48" t="str">
        <f t="shared" si="1"/>
        <v>pswmed047</v>
      </c>
      <c r="D48" t="str">
        <f ca="1">Nomes!T49</f>
        <v>Carolina Castro Magalhães</v>
      </c>
      <c r="E48" t="str">
        <f ca="1">Nomes!S49</f>
        <v>Feminino</v>
      </c>
      <c r="F48" s="2">
        <v>42843</v>
      </c>
      <c r="G48" t="str" cm="1">
        <f t="array" aca="1" ref="G48" ca="1">INDEX(rua_cod!$F:$F,RANDBETWEEN(2,COUNTA(rua_cod!F:F)))</f>
        <v>Rua do Sacramento à Lapa</v>
      </c>
      <c r="H48" t="str" cm="1">
        <f t="array" aca="1" ref="H48" ca="1">INDEX(rua_cod!$A:$A,Médicos!X48) &amp; "-" &amp; TEXT(RANDBETWEEN(0,999),"000")</f>
        <v>2800-602</v>
      </c>
      <c r="I48" t="str" cm="1">
        <f t="array" aca="1" ref="I48" ca="1">INDEX(rua_cod!$B:$B,Médicos!X48)</f>
        <v>Almada</v>
      </c>
      <c r="J48" t="s">
        <v>341</v>
      </c>
      <c r="K48" t="s">
        <v>225</v>
      </c>
      <c r="L48" t="s">
        <v>265</v>
      </c>
      <c r="M48" t="str">
        <f t="shared" ca="1" si="2"/>
        <v>14586609</v>
      </c>
      <c r="N48" t="str">
        <f t="shared" ca="1" si="3"/>
        <v>367262211</v>
      </c>
      <c r="O48" t="str">
        <f t="shared" ca="1" si="3"/>
        <v>541305448</v>
      </c>
      <c r="P48" t="str" cm="1">
        <f t="array" aca="1" ref="P48" ca="1">9 &amp; INDEX($AH$3:$AH$6,Y48)&amp; TEXT(RANDBETWEEN(0,9999999),"0000000")</f>
        <v>918469577</v>
      </c>
      <c r="Q48" t="str" cm="1">
        <f t="array" aca="1" ref="Q48" ca="1">LOWER(B48) &amp; INDEX($AH$9:$AH$11,Z48)</f>
        <v>med047@hospital.upskill.com</v>
      </c>
      <c r="R48" t="str">
        <f t="shared" si="4"/>
        <v>med047.jpg</v>
      </c>
      <c r="S48" s="8">
        <f t="shared" ca="1" si="5"/>
        <v>6364025730270595</v>
      </c>
      <c r="T48" t="s">
        <v>341</v>
      </c>
      <c r="V48" s="4"/>
      <c r="X48">
        <f ca="1">RANDBETWEEN(2,COUNTA(rua_cod!A:A))</f>
        <v>2</v>
      </c>
      <c r="Y48">
        <f t="shared" ca="1" si="6"/>
        <v>1</v>
      </c>
      <c r="Z48">
        <f t="shared" ca="1" si="7"/>
        <v>3</v>
      </c>
      <c r="AA48">
        <f t="shared" ca="1" si="8"/>
        <v>1955</v>
      </c>
      <c r="AB48">
        <f t="shared" ca="1" si="9"/>
        <v>4</v>
      </c>
      <c r="AC48">
        <f t="shared" ca="1" si="10"/>
        <v>31</v>
      </c>
      <c r="AD48">
        <f t="shared" ca="1" si="11"/>
        <v>65</v>
      </c>
    </row>
    <row r="49" spans="1:30" x14ac:dyDescent="0.25">
      <c r="A49">
        <v>48</v>
      </c>
      <c r="B49" t="str">
        <f t="shared" si="0"/>
        <v>med048</v>
      </c>
      <c r="C49" t="str">
        <f t="shared" si="1"/>
        <v>pswmed048</v>
      </c>
      <c r="D49" t="str">
        <f ca="1">Nomes!T50</f>
        <v>Lara Batista Alves</v>
      </c>
      <c r="E49" t="str">
        <f ca="1">Nomes!S50</f>
        <v>Feminino</v>
      </c>
      <c r="F49" s="2">
        <v>25752</v>
      </c>
      <c r="G49" t="str" cm="1">
        <f t="array" aca="1" ref="G49" ca="1">INDEX(rua_cod!$F:$F,RANDBETWEEN(2,COUNTA(rua_cod!F:F)))</f>
        <v>Travessa de São João da Praça</v>
      </c>
      <c r="H49" t="str" cm="1">
        <f t="array" aca="1" ref="H49" ca="1">INDEX(rua_cod!$A:$A,Médicos!X49) &amp; "-" &amp; TEXT(RANDBETWEEN(0,999),"000")</f>
        <v>2714-447</v>
      </c>
      <c r="I49" t="str" cm="1">
        <f t="array" aca="1" ref="I49" ca="1">INDEX(rua_cod!$B:$B,Médicos!X49)</f>
        <v>Sintra</v>
      </c>
      <c r="J49" t="s">
        <v>341</v>
      </c>
      <c r="K49" t="s">
        <v>225</v>
      </c>
      <c r="L49" t="s">
        <v>265</v>
      </c>
      <c r="M49" t="str">
        <f t="shared" ca="1" si="2"/>
        <v>37483323</v>
      </c>
      <c r="N49" t="str">
        <f t="shared" ca="1" si="3"/>
        <v>224945418</v>
      </c>
      <c r="O49" t="str">
        <f t="shared" ca="1" si="3"/>
        <v>681357978</v>
      </c>
      <c r="P49" t="str" cm="1">
        <f t="array" aca="1" ref="P49" ca="1">9 &amp; INDEX($AH$3:$AH$6,Y49)&amp; TEXT(RANDBETWEEN(0,9999999),"0000000")</f>
        <v>964888941</v>
      </c>
      <c r="Q49" t="str" cm="1">
        <f t="array" aca="1" ref="Q49" ca="1">LOWER(B49) &amp; INDEX($AH$9:$AH$11,Z49)</f>
        <v>med048@hospital.upskill.com</v>
      </c>
      <c r="R49" t="str">
        <f t="shared" si="4"/>
        <v>med048.jpg</v>
      </c>
      <c r="S49" s="8">
        <f t="shared" ca="1" si="5"/>
        <v>8472302688625027</v>
      </c>
      <c r="T49" t="s">
        <v>341</v>
      </c>
      <c r="V49" s="4"/>
      <c r="X49">
        <f ca="1">RANDBETWEEN(2,COUNTA(rua_cod!A:A))</f>
        <v>101</v>
      </c>
      <c r="Y49">
        <f t="shared" ca="1" si="6"/>
        <v>4</v>
      </c>
      <c r="Z49">
        <f t="shared" ca="1" si="7"/>
        <v>3</v>
      </c>
      <c r="AA49">
        <f t="shared" ca="1" si="8"/>
        <v>1972</v>
      </c>
      <c r="AB49">
        <f t="shared" ca="1" si="9"/>
        <v>7</v>
      </c>
      <c r="AC49">
        <f t="shared" ca="1" si="10"/>
        <v>1</v>
      </c>
      <c r="AD49">
        <f t="shared" ca="1" si="11"/>
        <v>48</v>
      </c>
    </row>
    <row r="50" spans="1:30" x14ac:dyDescent="0.25">
      <c r="A50">
        <v>49</v>
      </c>
      <c r="B50" t="str">
        <f t="shared" si="0"/>
        <v>med049</v>
      </c>
      <c r="C50" t="str">
        <f t="shared" si="1"/>
        <v>pswmed049</v>
      </c>
      <c r="D50" t="str">
        <f ca="1">Nomes!T51</f>
        <v>Francisco Batista Leal</v>
      </c>
      <c r="E50" t="str">
        <f ca="1">Nomes!S51</f>
        <v>Masculino</v>
      </c>
      <c r="F50" s="2">
        <v>23798</v>
      </c>
      <c r="G50" t="str" cm="1">
        <f t="array" aca="1" ref="G50" ca="1">INDEX(rua_cod!$F:$F,RANDBETWEEN(2,COUNTA(rua_cod!F:F)))</f>
        <v>Rua do Arsenal</v>
      </c>
      <c r="H50" t="str" cm="1">
        <f t="array" aca="1" ref="H50" ca="1">INDEX(rua_cod!$A:$A,Médicos!X50) &amp; "-" &amp; TEXT(RANDBETWEEN(0,999),"000")</f>
        <v>2724-976</v>
      </c>
      <c r="I50" t="str" cm="1">
        <f t="array" aca="1" ref="I50" ca="1">INDEX(rua_cod!$B:$B,Médicos!X50)</f>
        <v>Amadora</v>
      </c>
      <c r="J50" t="s">
        <v>341</v>
      </c>
      <c r="K50" t="s">
        <v>225</v>
      </c>
      <c r="L50" t="s">
        <v>265</v>
      </c>
      <c r="M50" t="str">
        <f t="shared" ca="1" si="2"/>
        <v>31343108</v>
      </c>
      <c r="N50" t="str">
        <f t="shared" ca="1" si="3"/>
        <v>207471769</v>
      </c>
      <c r="O50" t="str">
        <f t="shared" ca="1" si="3"/>
        <v>462458764</v>
      </c>
      <c r="P50" t="str" cm="1">
        <f t="array" aca="1" ref="P50" ca="1">9 &amp; INDEX($AH$3:$AH$6,Y50)&amp; TEXT(RANDBETWEEN(0,9999999),"0000000")</f>
        <v>939395229</v>
      </c>
      <c r="Q50" t="str" cm="1">
        <f t="array" aca="1" ref="Q50" ca="1">LOWER(B50) &amp; INDEX($AH$9:$AH$11,Z50)</f>
        <v>med049@hospital.upskill.com</v>
      </c>
      <c r="R50" t="str">
        <f t="shared" si="4"/>
        <v>med049.jpg</v>
      </c>
      <c r="S50" s="8">
        <f t="shared" ca="1" si="5"/>
        <v>4540750495458148</v>
      </c>
      <c r="T50" t="s">
        <v>341</v>
      </c>
      <c r="V50" s="4"/>
      <c r="X50">
        <f ca="1">RANDBETWEEN(2,COUNTA(rua_cod!A:A))</f>
        <v>13</v>
      </c>
      <c r="Y50">
        <f t="shared" ca="1" si="6"/>
        <v>3</v>
      </c>
      <c r="Z50">
        <f t="shared" ca="1" si="7"/>
        <v>2</v>
      </c>
      <c r="AA50">
        <f t="shared" ca="1" si="8"/>
        <v>1973</v>
      </c>
      <c r="AB50">
        <f t="shared" ca="1" si="9"/>
        <v>8</v>
      </c>
      <c r="AC50">
        <f t="shared" ca="1" si="10"/>
        <v>12</v>
      </c>
      <c r="AD50">
        <f t="shared" ca="1" si="11"/>
        <v>47</v>
      </c>
    </row>
    <row r="51" spans="1:30" x14ac:dyDescent="0.25">
      <c r="A51">
        <v>50</v>
      </c>
      <c r="B51" t="str">
        <f t="shared" si="0"/>
        <v>med050</v>
      </c>
      <c r="C51" t="str">
        <f t="shared" si="1"/>
        <v>pswmed050</v>
      </c>
      <c r="D51" t="str">
        <f ca="1">Nomes!T52</f>
        <v>Diogo Duarte Henriques Lima</v>
      </c>
      <c r="E51" t="str">
        <f ca="1">Nomes!S52</f>
        <v>Masculino</v>
      </c>
      <c r="F51" s="2">
        <v>10175</v>
      </c>
      <c r="G51" t="str" cm="1">
        <f t="array" aca="1" ref="G51" ca="1">INDEX(rua_cod!$F:$F,RANDBETWEEN(2,COUNTA(rua_cod!F:F)))</f>
        <v>Rua do Carmo</v>
      </c>
      <c r="H51" t="str" cm="1">
        <f t="array" aca="1" ref="H51" ca="1">INDEX(rua_cod!$A:$A,Médicos!X51) &amp; "-" &amp; TEXT(RANDBETWEEN(0,999),"000")</f>
        <v>2910-846</v>
      </c>
      <c r="I51" t="str" cm="1">
        <f t="array" aca="1" ref="I51" ca="1">INDEX(rua_cod!$B:$B,Médicos!X51)</f>
        <v>Setúbal</v>
      </c>
      <c r="J51" t="s">
        <v>341</v>
      </c>
      <c r="K51" t="s">
        <v>225</v>
      </c>
      <c r="L51" t="s">
        <v>265</v>
      </c>
      <c r="M51" t="str">
        <f t="shared" ca="1" si="2"/>
        <v>52040290</v>
      </c>
      <c r="N51" t="str">
        <f t="shared" ca="1" si="3"/>
        <v>559667487</v>
      </c>
      <c r="O51" t="str">
        <f t="shared" ca="1" si="3"/>
        <v>202111560</v>
      </c>
      <c r="P51" t="str" cm="1">
        <f t="array" aca="1" ref="P51" ca="1">9 &amp; INDEX($AH$3:$AH$6,Y51)&amp; TEXT(RANDBETWEEN(0,9999999),"0000000")</f>
        <v>936598901</v>
      </c>
      <c r="Q51" t="str" cm="1">
        <f t="array" aca="1" ref="Q51" ca="1">LOWER(B51) &amp; INDEX($AH$9:$AH$11,Z51)</f>
        <v>med050@hospital.upskill.com</v>
      </c>
      <c r="R51" t="str">
        <f t="shared" si="4"/>
        <v>med050.jpg</v>
      </c>
      <c r="S51" s="8">
        <f t="shared" ca="1" si="5"/>
        <v>7605129906693757</v>
      </c>
      <c r="T51" t="s">
        <v>341</v>
      </c>
      <c r="V51" s="4"/>
      <c r="X51">
        <f ca="1">RANDBETWEEN(2,COUNTA(rua_cod!A:A))</f>
        <v>97</v>
      </c>
      <c r="Y51">
        <f t="shared" ca="1" si="6"/>
        <v>3</v>
      </c>
      <c r="Z51">
        <f t="shared" ca="1" si="7"/>
        <v>3</v>
      </c>
      <c r="AA51">
        <f t="shared" ca="1" si="8"/>
        <v>1963</v>
      </c>
      <c r="AB51">
        <f t="shared" ca="1" si="9"/>
        <v>2</v>
      </c>
      <c r="AC51">
        <f t="shared" ca="1" si="10"/>
        <v>20</v>
      </c>
      <c r="AD51">
        <f t="shared" ca="1" si="11"/>
        <v>57</v>
      </c>
    </row>
    <row r="52" spans="1:30" x14ac:dyDescent="0.25">
      <c r="A52">
        <v>51</v>
      </c>
      <c r="B52" t="str">
        <f t="shared" si="0"/>
        <v>med051</v>
      </c>
      <c r="C52" t="str">
        <f t="shared" si="1"/>
        <v>pswmed051</v>
      </c>
      <c r="D52" t="str">
        <f ca="1">Nomes!T53</f>
        <v>José Francisca Carneiro Monteiro</v>
      </c>
      <c r="E52" t="str">
        <f ca="1">Nomes!S53</f>
        <v>Masculino</v>
      </c>
      <c r="F52" s="2">
        <v>16409</v>
      </c>
      <c r="G52" t="str" cm="1">
        <f t="array" aca="1" ref="G52" ca="1">INDEX(rua_cod!$F:$F,RANDBETWEEN(2,COUNTA(rua_cod!F:F)))</f>
        <v>Rua da Oliveira ao Carmo</v>
      </c>
      <c r="H52" t="str" cm="1">
        <f t="array" aca="1" ref="H52" ca="1">INDEX(rua_cod!$A:$A,Médicos!X52) &amp; "-" &amp; TEXT(RANDBETWEEN(0,999),"000")</f>
        <v>2810-899</v>
      </c>
      <c r="I52" t="str" cm="1">
        <f t="array" aca="1" ref="I52" ca="1">INDEX(rua_cod!$B:$B,Médicos!X52)</f>
        <v>Almada</v>
      </c>
      <c r="J52" t="s">
        <v>341</v>
      </c>
      <c r="K52" t="s">
        <v>225</v>
      </c>
      <c r="L52" t="s">
        <v>265</v>
      </c>
      <c r="M52" t="str">
        <f t="shared" ca="1" si="2"/>
        <v>89907665</v>
      </c>
      <c r="N52" t="str">
        <f t="shared" ca="1" si="3"/>
        <v>242504384</v>
      </c>
      <c r="O52" t="str">
        <f t="shared" ca="1" si="3"/>
        <v>847439425</v>
      </c>
      <c r="P52" t="str" cm="1">
        <f t="array" aca="1" ref="P52" ca="1">9 &amp; INDEX($AH$3:$AH$6,Y52)&amp; TEXT(RANDBETWEEN(0,9999999),"0000000")</f>
        <v>963979638</v>
      </c>
      <c r="Q52" t="str" cm="1">
        <f t="array" aca="1" ref="Q52" ca="1">LOWER(B52) &amp; INDEX($AH$9:$AH$11,Z52)</f>
        <v>med051@hospital.upskill.com</v>
      </c>
      <c r="R52" t="str">
        <f t="shared" si="4"/>
        <v>med051.jpg</v>
      </c>
      <c r="S52" s="8">
        <f t="shared" ca="1" si="5"/>
        <v>4316923006100689</v>
      </c>
      <c r="T52" t="s">
        <v>341</v>
      </c>
      <c r="V52" s="4"/>
      <c r="X52">
        <f ca="1">RANDBETWEEN(2,COUNTA(rua_cod!A:A))</f>
        <v>3</v>
      </c>
      <c r="Y52">
        <f t="shared" ca="1" si="6"/>
        <v>4</v>
      </c>
      <c r="Z52">
        <f t="shared" ca="1" si="7"/>
        <v>1</v>
      </c>
      <c r="AA52">
        <f t="shared" ca="1" si="8"/>
        <v>1993</v>
      </c>
      <c r="AB52">
        <f t="shared" ca="1" si="9"/>
        <v>8</v>
      </c>
      <c r="AC52">
        <f t="shared" ca="1" si="10"/>
        <v>5</v>
      </c>
      <c r="AD52">
        <f t="shared" ca="1" si="11"/>
        <v>27</v>
      </c>
    </row>
    <row r="53" spans="1:30" x14ac:dyDescent="0.25">
      <c r="A53">
        <v>52</v>
      </c>
      <c r="B53" t="str">
        <f t="shared" si="0"/>
        <v>med052</v>
      </c>
      <c r="C53" t="str">
        <f t="shared" si="1"/>
        <v>pswmed052</v>
      </c>
      <c r="D53" t="str">
        <f ca="1">Nomes!T54</f>
        <v>Sofia Marco Figueiredo Costa</v>
      </c>
      <c r="E53" t="str">
        <f ca="1">Nomes!S54</f>
        <v>Feminino</v>
      </c>
      <c r="F53" s="2">
        <v>44012</v>
      </c>
      <c r="G53" t="str" cm="1">
        <f t="array" aca="1" ref="G53" ca="1">INDEX(rua_cod!$F:$F,RANDBETWEEN(2,COUNTA(rua_cod!F:F)))</f>
        <v>Rua Roberto Duarte Silva</v>
      </c>
      <c r="H53" t="str" cm="1">
        <f t="array" aca="1" ref="H53" ca="1">INDEX(rua_cod!$A:$A,Médicos!X53) &amp; "-" &amp; TEXT(RANDBETWEEN(0,999),"000")</f>
        <v>2790-531</v>
      </c>
      <c r="I53" t="str" cm="1">
        <f t="array" aca="1" ref="I53" ca="1">INDEX(rua_cod!$B:$B,Médicos!X53)</f>
        <v>Carnaxide</v>
      </c>
      <c r="J53" t="s">
        <v>341</v>
      </c>
      <c r="K53" t="s">
        <v>225</v>
      </c>
      <c r="L53" t="s">
        <v>265</v>
      </c>
      <c r="M53" t="str">
        <f t="shared" ca="1" si="2"/>
        <v>16657690</v>
      </c>
      <c r="N53" t="str">
        <f t="shared" ca="1" si="3"/>
        <v>306390500</v>
      </c>
      <c r="O53" t="str">
        <f t="shared" ca="1" si="3"/>
        <v>749060722</v>
      </c>
      <c r="P53" t="str" cm="1">
        <f t="array" aca="1" ref="P53" ca="1">9 &amp; INDEX($AH$3:$AH$6,Y53)&amp; TEXT(RANDBETWEEN(0,9999999),"0000000")</f>
        <v>961488522</v>
      </c>
      <c r="Q53" t="str" cm="1">
        <f t="array" aca="1" ref="Q53" ca="1">LOWER(B53) &amp; INDEX($AH$9:$AH$11,Z53)</f>
        <v>med052@hospital.upskill.com</v>
      </c>
      <c r="R53" t="str">
        <f t="shared" si="4"/>
        <v>med052.jpg</v>
      </c>
      <c r="S53" s="8">
        <f t="shared" ca="1" si="5"/>
        <v>1722444559141422</v>
      </c>
      <c r="T53" t="s">
        <v>341</v>
      </c>
      <c r="V53" s="4"/>
      <c r="X53">
        <f ca="1">RANDBETWEEN(2,COUNTA(rua_cod!A:A))</f>
        <v>22</v>
      </c>
      <c r="Y53">
        <f t="shared" ca="1" si="6"/>
        <v>4</v>
      </c>
      <c r="Z53">
        <f t="shared" ca="1" si="7"/>
        <v>2</v>
      </c>
      <c r="AA53">
        <f t="shared" ca="1" si="8"/>
        <v>1966</v>
      </c>
      <c r="AB53">
        <f t="shared" ca="1" si="9"/>
        <v>11</v>
      </c>
      <c r="AC53">
        <f t="shared" ca="1" si="10"/>
        <v>29</v>
      </c>
      <c r="AD53">
        <f t="shared" ca="1" si="11"/>
        <v>54</v>
      </c>
    </row>
    <row r="54" spans="1:30" x14ac:dyDescent="0.25">
      <c r="A54">
        <v>53</v>
      </c>
      <c r="B54" t="str">
        <f t="shared" si="0"/>
        <v>med053</v>
      </c>
      <c r="C54" t="str">
        <f t="shared" si="1"/>
        <v>pswmed053</v>
      </c>
      <c r="D54" t="str">
        <f ca="1">Nomes!T55</f>
        <v>Francisca Mariana Branco Cunha</v>
      </c>
      <c r="E54" t="str">
        <f ca="1">Nomes!S55</f>
        <v>Feminino</v>
      </c>
      <c r="F54" s="2">
        <v>21337</v>
      </c>
      <c r="G54" t="str" cm="1">
        <f t="array" aca="1" ref="G54" ca="1">INDEX(rua_cod!$F:$F,RANDBETWEEN(2,COUNTA(rua_cod!F:F)))</f>
        <v>Rua do Carmo</v>
      </c>
      <c r="H54" t="str" cm="1">
        <f t="array" aca="1" ref="H54" ca="1">INDEX(rua_cod!$A:$A,Médicos!X54) &amp; "-" &amp; TEXT(RANDBETWEEN(0,999),"000")</f>
        <v>2654-695</v>
      </c>
      <c r="I54" t="str" cm="1">
        <f t="array" aca="1" ref="I54" ca="1">INDEX(rua_cod!$B:$B,Médicos!X54)</f>
        <v>Amadora</v>
      </c>
      <c r="J54" t="s">
        <v>341</v>
      </c>
      <c r="K54" t="s">
        <v>225</v>
      </c>
      <c r="L54" t="s">
        <v>265</v>
      </c>
      <c r="M54" t="str">
        <f t="shared" ca="1" si="2"/>
        <v>64486733</v>
      </c>
      <c r="N54" t="str">
        <f t="shared" ca="1" si="3"/>
        <v>618830739</v>
      </c>
      <c r="O54" t="str">
        <f t="shared" ca="1" si="3"/>
        <v>711071264</v>
      </c>
      <c r="P54" t="str" cm="1">
        <f t="array" aca="1" ref="P54" ca="1">9 &amp; INDEX($AH$3:$AH$6,Y54)&amp; TEXT(RANDBETWEEN(0,9999999),"0000000")</f>
        <v>963239553</v>
      </c>
      <c r="Q54" t="str" cm="1">
        <f t="array" aca="1" ref="Q54" ca="1">LOWER(B54) &amp; INDEX($AH$9:$AH$11,Z54)</f>
        <v>med053@hospital.upskill.com</v>
      </c>
      <c r="R54" t="str">
        <f t="shared" si="4"/>
        <v>med053.jpg</v>
      </c>
      <c r="S54" s="8">
        <f t="shared" ca="1" si="5"/>
        <v>5589600636848597</v>
      </c>
      <c r="T54" t="s">
        <v>341</v>
      </c>
      <c r="V54" s="4"/>
      <c r="X54">
        <f ca="1">RANDBETWEEN(2,COUNTA(rua_cod!A:A))</f>
        <v>14</v>
      </c>
      <c r="Y54">
        <f t="shared" ca="1" si="6"/>
        <v>4</v>
      </c>
      <c r="Z54">
        <f t="shared" ca="1" si="7"/>
        <v>2</v>
      </c>
      <c r="AA54">
        <f t="shared" ca="1" si="8"/>
        <v>1964</v>
      </c>
      <c r="AB54">
        <f t="shared" ca="1" si="9"/>
        <v>5</v>
      </c>
      <c r="AC54">
        <f t="shared" ca="1" si="10"/>
        <v>21</v>
      </c>
      <c r="AD54">
        <f t="shared" ca="1" si="11"/>
        <v>56</v>
      </c>
    </row>
    <row r="55" spans="1:30" x14ac:dyDescent="0.25">
      <c r="A55">
        <v>54</v>
      </c>
      <c r="B55" t="str">
        <f t="shared" si="0"/>
        <v>med054</v>
      </c>
      <c r="C55" t="str">
        <f t="shared" si="1"/>
        <v>pswmed054</v>
      </c>
      <c r="D55" t="str">
        <f ca="1">Nomes!T56</f>
        <v>Francisca Joaquim Carneiro Sá</v>
      </c>
      <c r="E55" t="str">
        <f ca="1">Nomes!S56</f>
        <v>Feminino</v>
      </c>
      <c r="F55" s="2">
        <v>35631</v>
      </c>
      <c r="G55" t="str" cm="1">
        <f t="array" aca="1" ref="G55" ca="1">INDEX(rua_cod!$F:$F,RANDBETWEEN(2,COUNTA(rua_cod!F:F)))</f>
        <v>Rua do Carmo</v>
      </c>
      <c r="H55" t="str" cm="1">
        <f t="array" aca="1" ref="H55" ca="1">INDEX(rua_cod!$A:$A,Médicos!X55) &amp; "-" &amp; TEXT(RANDBETWEEN(0,999),"000")</f>
        <v>2754-630</v>
      </c>
      <c r="I55" t="str" cm="1">
        <f t="array" aca="1" ref="I55" ca="1">INDEX(rua_cod!$B:$B,Médicos!X55)</f>
        <v>Cascais</v>
      </c>
      <c r="J55" t="s">
        <v>341</v>
      </c>
      <c r="K55" t="s">
        <v>225</v>
      </c>
      <c r="L55" t="s">
        <v>265</v>
      </c>
      <c r="M55" t="str">
        <f t="shared" ca="1" si="2"/>
        <v>21425551</v>
      </c>
      <c r="N55" t="str">
        <f t="shared" ca="1" si="3"/>
        <v>310405565</v>
      </c>
      <c r="O55" t="str">
        <f t="shared" ca="1" si="3"/>
        <v>675379474</v>
      </c>
      <c r="P55" t="str" cm="1">
        <f t="array" aca="1" ref="P55" ca="1">9 &amp; INDEX($AH$3:$AH$6,Y55)&amp; TEXT(RANDBETWEEN(0,9999999),"0000000")</f>
        <v>937799463</v>
      </c>
      <c r="Q55" t="str" cm="1">
        <f t="array" aca="1" ref="Q55" ca="1">LOWER(B55) &amp; INDEX($AH$9:$AH$11,Z55)</f>
        <v>med054@hospital.upskill.com</v>
      </c>
      <c r="R55" t="str">
        <f t="shared" si="4"/>
        <v>med054.jpg</v>
      </c>
      <c r="S55" s="8">
        <f t="shared" ca="1" si="5"/>
        <v>7115934873446331</v>
      </c>
      <c r="T55" t="s">
        <v>341</v>
      </c>
      <c r="V55" s="4"/>
      <c r="X55">
        <f ca="1">RANDBETWEEN(2,COUNTA(rua_cod!A:A))</f>
        <v>25</v>
      </c>
      <c r="Y55">
        <f t="shared" ca="1" si="6"/>
        <v>3</v>
      </c>
      <c r="Z55">
        <f t="shared" ca="1" si="7"/>
        <v>2</v>
      </c>
      <c r="AA55">
        <f t="shared" ca="1" si="8"/>
        <v>1993</v>
      </c>
      <c r="AB55">
        <f t="shared" ca="1" si="9"/>
        <v>4</v>
      </c>
      <c r="AC55">
        <f t="shared" ca="1" si="10"/>
        <v>27</v>
      </c>
      <c r="AD55">
        <f t="shared" ca="1" si="11"/>
        <v>27</v>
      </c>
    </row>
    <row r="56" spans="1:30" x14ac:dyDescent="0.25">
      <c r="A56">
        <v>55</v>
      </c>
      <c r="B56" t="str">
        <f t="shared" si="0"/>
        <v>med055</v>
      </c>
      <c r="C56" t="str">
        <f t="shared" si="1"/>
        <v>pswmed055</v>
      </c>
      <c r="D56" t="str">
        <f ca="1">Nomes!T57</f>
        <v>Tomás Santiago Pires Amorim</v>
      </c>
      <c r="E56" t="str">
        <f ca="1">Nomes!S57</f>
        <v>Masculino</v>
      </c>
      <c r="F56" s="2">
        <v>14541</v>
      </c>
      <c r="G56" t="str" cm="1">
        <f t="array" aca="1" ref="G56" ca="1">INDEX(rua_cod!$F:$F,RANDBETWEEN(2,COUNTA(rua_cod!F:F)))</f>
        <v>Rua do Arsenal</v>
      </c>
      <c r="H56" t="str" cm="1">
        <f t="array" aca="1" ref="H56" ca="1">INDEX(rua_cod!$A:$A,Médicos!X56) &amp; "-" &amp; TEXT(RANDBETWEEN(0,999),"000")</f>
        <v>1800-986</v>
      </c>
      <c r="I56" t="str" cm="1">
        <f t="array" aca="1" ref="I56" ca="1">INDEX(rua_cod!$B:$B,Médicos!X56)</f>
        <v>Lisboa</v>
      </c>
      <c r="J56" t="s">
        <v>341</v>
      </c>
      <c r="K56" t="s">
        <v>225</v>
      </c>
      <c r="L56" t="s">
        <v>265</v>
      </c>
      <c r="M56" t="str">
        <f t="shared" ca="1" si="2"/>
        <v>40734542</v>
      </c>
      <c r="N56" t="str">
        <f t="shared" ca="1" si="3"/>
        <v>927721589</v>
      </c>
      <c r="O56" t="str">
        <f t="shared" ca="1" si="3"/>
        <v>876631845</v>
      </c>
      <c r="P56" t="str" cm="1">
        <f t="array" aca="1" ref="P56" ca="1">9 &amp; INDEX($AH$3:$AH$6,Y56)&amp; TEXT(RANDBETWEEN(0,9999999),"0000000")</f>
        <v>917914281</v>
      </c>
      <c r="Q56" t="str" cm="1">
        <f t="array" aca="1" ref="Q56" ca="1">LOWER(B56) &amp; INDEX($AH$9:$AH$11,Z56)</f>
        <v>med055@hospital.upskill.com</v>
      </c>
      <c r="R56" t="str">
        <f t="shared" si="4"/>
        <v>med055.jpg</v>
      </c>
      <c r="S56" s="8">
        <f t="shared" ca="1" si="5"/>
        <v>9392505407995430</v>
      </c>
      <c r="T56" t="s">
        <v>341</v>
      </c>
      <c r="V56" s="4"/>
      <c r="X56">
        <f ca="1">RANDBETWEEN(2,COUNTA(rua_cod!A:A))</f>
        <v>56</v>
      </c>
      <c r="Y56">
        <f t="shared" ca="1" si="6"/>
        <v>1</v>
      </c>
      <c r="Z56">
        <f t="shared" ca="1" si="7"/>
        <v>2</v>
      </c>
      <c r="AA56">
        <f t="shared" ca="1" si="8"/>
        <v>1966</v>
      </c>
      <c r="AB56">
        <f t="shared" ca="1" si="9"/>
        <v>3</v>
      </c>
      <c r="AC56">
        <f t="shared" ca="1" si="10"/>
        <v>26</v>
      </c>
      <c r="AD56">
        <f t="shared" ca="1" si="11"/>
        <v>54</v>
      </c>
    </row>
    <row r="57" spans="1:30" x14ac:dyDescent="0.25">
      <c r="A57">
        <v>56</v>
      </c>
      <c r="B57" t="str">
        <f t="shared" si="0"/>
        <v>med056</v>
      </c>
      <c r="C57" t="str">
        <f t="shared" si="1"/>
        <v>pswmed056</v>
      </c>
      <c r="D57" t="str">
        <f ca="1">Nomes!T58</f>
        <v>Maria Afonso Branco Moura</v>
      </c>
      <c r="E57" t="str">
        <f ca="1">Nomes!S58</f>
        <v>Feminino</v>
      </c>
      <c r="F57" s="2">
        <v>10289</v>
      </c>
      <c r="G57" t="str" cm="1">
        <f t="array" aca="1" ref="G57" ca="1">INDEX(rua_cod!$F:$F,RANDBETWEEN(2,COUNTA(rua_cod!F:F)))</f>
        <v>Rua Nova do Almada</v>
      </c>
      <c r="H57" t="str" cm="1">
        <f t="array" aca="1" ref="H57" ca="1">INDEX(rua_cod!$A:$A,Médicos!X57) &amp; "-" &amp; TEXT(RANDBETWEEN(0,999),"000")</f>
        <v>1300-832</v>
      </c>
      <c r="I57" t="str" cm="1">
        <f t="array" aca="1" ref="I57" ca="1">INDEX(rua_cod!$B:$B,Médicos!X57)</f>
        <v>Lisboa</v>
      </c>
      <c r="J57" t="s">
        <v>341</v>
      </c>
      <c r="K57" t="s">
        <v>225</v>
      </c>
      <c r="L57" t="s">
        <v>265</v>
      </c>
      <c r="M57" t="str">
        <f t="shared" ca="1" si="2"/>
        <v>44927254</v>
      </c>
      <c r="N57" t="str">
        <f t="shared" ca="1" si="3"/>
        <v>938952252</v>
      </c>
      <c r="O57" t="str">
        <f t="shared" ca="1" si="3"/>
        <v>310090754</v>
      </c>
      <c r="P57" t="str" cm="1">
        <f t="array" aca="1" ref="P57" ca="1">9 &amp; INDEX($AH$3:$AH$6,Y57)&amp; TEXT(RANDBETWEEN(0,9999999),"0000000")</f>
        <v>967686428</v>
      </c>
      <c r="Q57" t="str" cm="1">
        <f t="array" aca="1" ref="Q57" ca="1">LOWER(B57) &amp; INDEX($AH$9:$AH$11,Z57)</f>
        <v>med056@hospital.upskill.com</v>
      </c>
      <c r="R57" t="str">
        <f t="shared" si="4"/>
        <v>med056.jpg</v>
      </c>
      <c r="S57" s="8">
        <f t="shared" ca="1" si="5"/>
        <v>9080351978006946</v>
      </c>
      <c r="T57" t="s">
        <v>341</v>
      </c>
      <c r="V57" s="4"/>
      <c r="X57">
        <f ca="1">RANDBETWEEN(2,COUNTA(rua_cod!A:A))</f>
        <v>58</v>
      </c>
      <c r="Y57">
        <f t="shared" ca="1" si="6"/>
        <v>4</v>
      </c>
      <c r="Z57">
        <f t="shared" ca="1" si="7"/>
        <v>2</v>
      </c>
      <c r="AA57">
        <f t="shared" ca="1" si="8"/>
        <v>1961</v>
      </c>
      <c r="AB57">
        <f t="shared" ca="1" si="9"/>
        <v>9</v>
      </c>
      <c r="AC57">
        <f t="shared" ca="1" si="10"/>
        <v>14</v>
      </c>
      <c r="AD57">
        <f t="shared" ca="1" si="11"/>
        <v>59</v>
      </c>
    </row>
    <row r="58" spans="1:30" x14ac:dyDescent="0.25">
      <c r="A58">
        <v>57</v>
      </c>
      <c r="B58" t="str">
        <f t="shared" si="0"/>
        <v>med057</v>
      </c>
      <c r="C58" t="str">
        <f t="shared" si="1"/>
        <v>pswmed057</v>
      </c>
      <c r="D58" t="str">
        <f ca="1">Nomes!T59</f>
        <v>Sofia Lara Gonçalves Mota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Rua do Arsenal</v>
      </c>
      <c r="H58" t="str" cm="1">
        <f t="array" aca="1" ref="H58" ca="1">INDEX(rua_cod!$A:$A,Médicos!X58) &amp; "-" &amp; TEXT(RANDBETWEEN(0,999),"000")</f>
        <v>1098-354</v>
      </c>
      <c r="I58" t="str" cm="1">
        <f t="array" aca="1" ref="I58" ca="1">INDEX(rua_cod!$B:$B,Médicos!X58)</f>
        <v>Lisboa</v>
      </c>
      <c r="J58" t="s">
        <v>341</v>
      </c>
      <c r="K58" t="s">
        <v>225</v>
      </c>
      <c r="L58" t="s">
        <v>265</v>
      </c>
      <c r="M58" t="str">
        <f t="shared" ca="1" si="2"/>
        <v>20188320</v>
      </c>
      <c r="N58" t="str">
        <f t="shared" ca="1" si="3"/>
        <v>210781565</v>
      </c>
      <c r="O58" t="str">
        <f t="shared" ca="1" si="3"/>
        <v>784205253</v>
      </c>
      <c r="P58" t="str" cm="1">
        <f t="array" aca="1" ref="P58" ca="1">9 &amp; INDEX($AH$3:$AH$6,Y58)&amp; TEXT(RANDBETWEEN(0,9999999),"0000000")</f>
        <v>961477623</v>
      </c>
      <c r="Q58" t="str" cm="1">
        <f t="array" aca="1" ref="Q58" ca="1">LOWER(B58) &amp; INDEX($AH$9:$AH$11,Z58)</f>
        <v>med057@hospital.upskill.com</v>
      </c>
      <c r="R58" t="str">
        <f t="shared" si="4"/>
        <v>med057.jpg</v>
      </c>
      <c r="S58" s="8">
        <f t="shared" ca="1" si="5"/>
        <v>9960135823723146</v>
      </c>
      <c r="T58" t="s">
        <v>341</v>
      </c>
      <c r="V58" s="4"/>
      <c r="X58">
        <f ca="1">RANDBETWEEN(2,COUNTA(rua_cod!A:A))</f>
        <v>80</v>
      </c>
      <c r="Y58">
        <f t="shared" ca="1" si="6"/>
        <v>4</v>
      </c>
      <c r="Z58">
        <f t="shared" ca="1" si="7"/>
        <v>2</v>
      </c>
      <c r="AA58">
        <f t="shared" ca="1" si="8"/>
        <v>1970</v>
      </c>
      <c r="AB58">
        <f t="shared" ca="1" si="9"/>
        <v>9</v>
      </c>
      <c r="AC58">
        <f t="shared" ca="1" si="10"/>
        <v>27</v>
      </c>
      <c r="AD58">
        <f t="shared" ca="1" si="11"/>
        <v>50</v>
      </c>
    </row>
    <row r="59" spans="1:30" x14ac:dyDescent="0.25">
      <c r="A59">
        <v>58</v>
      </c>
      <c r="B59" t="str">
        <f t="shared" si="0"/>
        <v>med058</v>
      </c>
      <c r="C59" t="str">
        <f t="shared" si="1"/>
        <v>pswmed058</v>
      </c>
      <c r="D59" t="str">
        <f ca="1">Nomes!T60</f>
        <v>André Beatriz Martins Reis</v>
      </c>
      <c r="E59" t="str">
        <f ca="1">Nomes!S60</f>
        <v>Masculino</v>
      </c>
      <c r="F59" s="2">
        <v>37531</v>
      </c>
      <c r="G59" t="str" cm="1">
        <f t="array" aca="1" ref="G59" ca="1">INDEX(rua_cod!$F:$F,RANDBETWEEN(2,COUNTA(rua_cod!F:F)))</f>
        <v>Calçada do Moinho de Vento</v>
      </c>
      <c r="H59" t="str" cm="1">
        <f t="array" aca="1" ref="H59" ca="1">INDEX(rua_cod!$A:$A,Médicos!X59) &amp; "-" &amp; TEXT(RANDBETWEEN(0,999),"000")</f>
        <v>1169-236</v>
      </c>
      <c r="I59" t="str" cm="1">
        <f t="array" aca="1" ref="I59" ca="1">INDEX(rua_cod!$B:$B,Médicos!X59)</f>
        <v>Lisboa</v>
      </c>
      <c r="J59" t="s">
        <v>341</v>
      </c>
      <c r="K59" t="s">
        <v>225</v>
      </c>
      <c r="L59" t="s">
        <v>265</v>
      </c>
      <c r="M59" t="str">
        <f t="shared" ca="1" si="2"/>
        <v>96351115</v>
      </c>
      <c r="N59" t="str">
        <f t="shared" ca="1" si="3"/>
        <v>247653705</v>
      </c>
      <c r="O59" t="str">
        <f t="shared" ca="1" si="3"/>
        <v>522878868</v>
      </c>
      <c r="P59" t="str" cm="1">
        <f t="array" aca="1" ref="P59" ca="1">9 &amp; INDEX($AH$3:$AH$6,Y59)&amp; TEXT(RANDBETWEEN(0,9999999),"0000000")</f>
        <v>923923241</v>
      </c>
      <c r="Q59" t="str" cm="1">
        <f t="array" aca="1" ref="Q59" ca="1">LOWER(B59) &amp; INDEX($AH$9:$AH$11,Z59)</f>
        <v>med058@hospital.upskill.com</v>
      </c>
      <c r="R59" t="str">
        <f t="shared" si="4"/>
        <v>med058.jpg</v>
      </c>
      <c r="S59" s="8">
        <f t="shared" ca="1" si="5"/>
        <v>1110297862417466</v>
      </c>
      <c r="T59" t="s">
        <v>341</v>
      </c>
      <c r="V59" s="4"/>
      <c r="X59">
        <f ca="1">RANDBETWEEN(2,COUNTA(rua_cod!A:A))</f>
        <v>70</v>
      </c>
      <c r="Y59">
        <f t="shared" ca="1" si="6"/>
        <v>2</v>
      </c>
      <c r="Z59">
        <f t="shared" ca="1" si="7"/>
        <v>3</v>
      </c>
      <c r="AA59">
        <f t="shared" ca="1" si="8"/>
        <v>1988</v>
      </c>
      <c r="AB59">
        <f t="shared" ca="1" si="9"/>
        <v>11</v>
      </c>
      <c r="AC59">
        <f t="shared" ca="1" si="10"/>
        <v>6</v>
      </c>
      <c r="AD59">
        <f t="shared" ca="1" si="11"/>
        <v>32</v>
      </c>
    </row>
    <row r="60" spans="1:30" x14ac:dyDescent="0.25">
      <c r="A60">
        <v>59</v>
      </c>
      <c r="B60" t="str">
        <f t="shared" si="0"/>
        <v>med059</v>
      </c>
      <c r="C60" t="str">
        <f t="shared" si="1"/>
        <v>pswmed059</v>
      </c>
      <c r="D60" t="str">
        <f ca="1">Nomes!T61</f>
        <v>Tomás Lara Jesus Pinho</v>
      </c>
      <c r="E60" t="str">
        <f ca="1">Nomes!S61</f>
        <v>Masculino</v>
      </c>
      <c r="F60" s="2">
        <v>43428</v>
      </c>
      <c r="G60" t="str" cm="1">
        <f t="array" aca="1" ref="G60" ca="1">INDEX(rua_cod!$F:$F,RANDBETWEEN(2,COUNTA(rua_cod!F:F)))</f>
        <v>Rua General Morais Sarmento</v>
      </c>
      <c r="H60" t="str" cm="1">
        <f t="array" aca="1" ref="H60" ca="1">INDEX(rua_cod!$A:$A,Médicos!X60) &amp; "-" &amp; TEXT(RANDBETWEEN(0,999),"000")</f>
        <v>2644-395</v>
      </c>
      <c r="I60" t="str" cm="1">
        <f t="array" aca="1" ref="I60" ca="1">INDEX(rua_cod!$B:$B,Médicos!X60)</f>
        <v>Mafra</v>
      </c>
      <c r="J60" t="s">
        <v>341</v>
      </c>
      <c r="K60" t="s">
        <v>225</v>
      </c>
      <c r="L60" t="s">
        <v>265</v>
      </c>
      <c r="M60" t="str">
        <f t="shared" ca="1" si="2"/>
        <v>23926617</v>
      </c>
      <c r="N60" t="str">
        <f t="shared" ca="1" si="3"/>
        <v>711265978</v>
      </c>
      <c r="O60" t="str">
        <f t="shared" ca="1" si="3"/>
        <v>334544740</v>
      </c>
      <c r="P60" t="str" cm="1">
        <f t="array" aca="1" ref="P60" ca="1">9 &amp; INDEX($AH$3:$AH$6,Y60)&amp; TEXT(RANDBETWEEN(0,9999999),"0000000")</f>
        <v>921161449</v>
      </c>
      <c r="Q60" t="str" cm="1">
        <f t="array" aca="1" ref="Q60" ca="1">LOWER(B60) &amp; INDEX($AH$9:$AH$11,Z60)</f>
        <v>med059@hospital.upskill.com</v>
      </c>
      <c r="R60" t="str">
        <f t="shared" si="4"/>
        <v>med059.jpg</v>
      </c>
      <c r="S60" s="8">
        <f t="shared" ca="1" si="5"/>
        <v>7019115298106277</v>
      </c>
      <c r="T60" t="s">
        <v>341</v>
      </c>
      <c r="V60" s="4"/>
      <c r="X60">
        <f ca="1">RANDBETWEEN(2,COUNTA(rua_cod!A:A))</f>
        <v>86</v>
      </c>
      <c r="Y60">
        <f t="shared" ca="1" si="6"/>
        <v>2</v>
      </c>
      <c r="Z60">
        <f t="shared" ca="1" si="7"/>
        <v>2</v>
      </c>
      <c r="AA60">
        <f t="shared" ca="1" si="8"/>
        <v>1961</v>
      </c>
      <c r="AB60">
        <f t="shared" ca="1" si="9"/>
        <v>10</v>
      </c>
      <c r="AC60">
        <f t="shared" ca="1" si="10"/>
        <v>17</v>
      </c>
      <c r="AD60">
        <f t="shared" ca="1" si="11"/>
        <v>59</v>
      </c>
    </row>
    <row r="61" spans="1:30" x14ac:dyDescent="0.25">
      <c r="A61">
        <v>60</v>
      </c>
      <c r="B61" t="str">
        <f t="shared" si="0"/>
        <v>med060</v>
      </c>
      <c r="C61" t="str">
        <f t="shared" si="1"/>
        <v>pswmed060</v>
      </c>
      <c r="D61" t="str">
        <f ca="1">Nomes!T62</f>
        <v>André Lara Sá Batista</v>
      </c>
      <c r="E61" t="str">
        <f ca="1">Nomes!S62</f>
        <v>Masculino</v>
      </c>
      <c r="F61" s="2">
        <v>27744</v>
      </c>
      <c r="G61" t="str" cm="1">
        <f t="array" aca="1" ref="G61" ca="1">INDEX(rua_cod!$F:$F,RANDBETWEEN(2,COUNTA(rua_cod!F:F)))</f>
        <v>Rua de São Bento</v>
      </c>
      <c r="H61" t="str" cm="1">
        <f t="array" aca="1" ref="H61" ca="1">INDEX(rua_cod!$A:$A,Médicos!X61) &amp; "-" &amp; TEXT(RANDBETWEEN(0,999),"000")</f>
        <v>1249-998</v>
      </c>
      <c r="I61" t="str" cm="1">
        <f t="array" aca="1" ref="I61" ca="1">INDEX(rua_cod!$B:$B,Médicos!X61)</f>
        <v>Lisboa</v>
      </c>
      <c r="J61" t="s">
        <v>341</v>
      </c>
      <c r="K61" t="s">
        <v>225</v>
      </c>
      <c r="L61" t="s">
        <v>265</v>
      </c>
      <c r="M61" t="str">
        <f t="shared" ca="1" si="2"/>
        <v>84933469</v>
      </c>
      <c r="N61" t="str">
        <f t="shared" ca="1" si="3"/>
        <v>116362559</v>
      </c>
      <c r="O61" t="str">
        <f t="shared" ca="1" si="3"/>
        <v>999907186</v>
      </c>
      <c r="P61" t="str" cm="1">
        <f t="array" aca="1" ref="P61" ca="1">9 &amp; INDEX($AH$3:$AH$6,Y61)&amp; TEXT(RANDBETWEEN(0,9999999),"0000000")</f>
        <v>923126678</v>
      </c>
      <c r="Q61" t="str" cm="1">
        <f t="array" aca="1" ref="Q61" ca="1">LOWER(B61) &amp; INDEX($AH$9:$AH$11,Z61)</f>
        <v>med060@hospital.upskill.com</v>
      </c>
      <c r="R61" t="str">
        <f t="shared" si="4"/>
        <v>med060.jpg</v>
      </c>
      <c r="S61" s="8">
        <f t="shared" ca="1" si="5"/>
        <v>1337808614643780</v>
      </c>
      <c r="T61" t="s">
        <v>341</v>
      </c>
      <c r="V61" s="4"/>
      <c r="X61">
        <f ca="1">RANDBETWEEN(2,COUNTA(rua_cod!A:A))</f>
        <v>63</v>
      </c>
      <c r="Y61">
        <f t="shared" ca="1" si="6"/>
        <v>2</v>
      </c>
      <c r="Z61">
        <f t="shared" ca="1" si="7"/>
        <v>2</v>
      </c>
      <c r="AA61">
        <f t="shared" ca="1" si="8"/>
        <v>1963</v>
      </c>
      <c r="AB61">
        <f t="shared" ca="1" si="9"/>
        <v>9</v>
      </c>
      <c r="AC61">
        <f t="shared" ca="1" si="10"/>
        <v>26</v>
      </c>
      <c r="AD61">
        <f t="shared" ca="1" si="11"/>
        <v>57</v>
      </c>
    </row>
    <row r="62" spans="1:30" x14ac:dyDescent="0.25">
      <c r="A62">
        <v>61</v>
      </c>
      <c r="B62" t="str">
        <f t="shared" si="0"/>
        <v>med061</v>
      </c>
      <c r="C62" t="str">
        <f t="shared" si="1"/>
        <v>pswmed061</v>
      </c>
      <c r="D62" t="str">
        <f ca="1">Nomes!T63</f>
        <v>Sofia Ricardo Miranda Lourenço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Calçada de Carriche</v>
      </c>
      <c r="H62" t="str" cm="1">
        <f t="array" aca="1" ref="H62" ca="1">INDEX(rua_cod!$A:$A,Médicos!X62) &amp; "-" &amp; TEXT(RANDBETWEEN(0,999),"000")</f>
        <v>2829-117</v>
      </c>
      <c r="I62" t="str" cm="1">
        <f t="array" aca="1" ref="I62" ca="1">INDEX(rua_cod!$B:$B,Médicos!X62)</f>
        <v>Caparica</v>
      </c>
      <c r="J62" t="s">
        <v>341</v>
      </c>
      <c r="K62" t="s">
        <v>225</v>
      </c>
      <c r="L62" t="s">
        <v>265</v>
      </c>
      <c r="M62" t="str">
        <f t="shared" ca="1" si="2"/>
        <v>83007600</v>
      </c>
      <c r="N62" t="str">
        <f t="shared" ca="1" si="3"/>
        <v>995049673</v>
      </c>
      <c r="O62" t="str">
        <f t="shared" ca="1" si="3"/>
        <v>318339115</v>
      </c>
      <c r="P62" t="str" cm="1">
        <f t="array" aca="1" ref="P62" ca="1">9 &amp; INDEX($AH$3:$AH$6,Y62)&amp; TEXT(RANDBETWEEN(0,9999999),"0000000")</f>
        <v>914667639</v>
      </c>
      <c r="Q62" t="str" cm="1">
        <f t="array" aca="1" ref="Q62" ca="1">LOWER(B62) &amp; INDEX($AH$9:$AH$11,Z62)</f>
        <v>med061@hospital.upskill.com</v>
      </c>
      <c r="R62" t="str">
        <f t="shared" si="4"/>
        <v>med061.jpg</v>
      </c>
      <c r="S62" s="8">
        <f t="shared" ca="1" si="5"/>
        <v>7921899126886073</v>
      </c>
      <c r="T62" t="s">
        <v>341</v>
      </c>
      <c r="V62" s="4"/>
      <c r="X62">
        <f ca="1">RANDBETWEEN(2,COUNTA(rua_cod!A:A))</f>
        <v>19</v>
      </c>
      <c r="Y62">
        <f t="shared" ca="1" si="6"/>
        <v>1</v>
      </c>
      <c r="Z62">
        <f t="shared" ca="1" si="7"/>
        <v>2</v>
      </c>
      <c r="AA62">
        <f t="shared" ca="1" si="8"/>
        <v>1975</v>
      </c>
      <c r="AB62">
        <f t="shared" ca="1" si="9"/>
        <v>11</v>
      </c>
      <c r="AC62">
        <f t="shared" ca="1" si="10"/>
        <v>6</v>
      </c>
      <c r="AD62">
        <f t="shared" ca="1" si="11"/>
        <v>45</v>
      </c>
    </row>
    <row r="63" spans="1:30" x14ac:dyDescent="0.25">
      <c r="A63">
        <v>62</v>
      </c>
      <c r="B63" t="str">
        <f t="shared" si="0"/>
        <v>med062</v>
      </c>
      <c r="C63" t="str">
        <f t="shared" si="1"/>
        <v>pswmed062</v>
      </c>
      <c r="D63" t="str">
        <f ca="1">Nomes!T64</f>
        <v>Afonso Vera Oliveira Antunes</v>
      </c>
      <c r="E63" t="str">
        <f ca="1">Nomes!S64</f>
        <v>Masculino</v>
      </c>
      <c r="F63" s="2">
        <v>30630</v>
      </c>
      <c r="G63" t="str" cm="1">
        <f t="array" aca="1" ref="G63" ca="1">INDEX(rua_cod!$F:$F,RANDBETWEEN(2,COUNTA(rua_cod!F:F)))</f>
        <v>Rua do Arsenal</v>
      </c>
      <c r="H63" t="str" cm="1">
        <f t="array" aca="1" ref="H63" ca="1">INDEX(rua_cod!$A:$A,Médicos!X63) &amp; "-" &amp; TEXT(RANDBETWEEN(0,999),"000")</f>
        <v>2704-883</v>
      </c>
      <c r="I63" t="str" cm="1">
        <f t="array" aca="1" ref="I63" ca="1">INDEX(rua_cod!$B:$B,Médicos!X63)</f>
        <v>Amadora</v>
      </c>
      <c r="J63" t="s">
        <v>341</v>
      </c>
      <c r="K63" t="s">
        <v>225</v>
      </c>
      <c r="L63" t="s">
        <v>265</v>
      </c>
      <c r="M63" t="str">
        <f t="shared" ca="1" si="2"/>
        <v>94686505</v>
      </c>
      <c r="N63" t="str">
        <f t="shared" ca="1" si="3"/>
        <v>485464832</v>
      </c>
      <c r="O63" t="str">
        <f t="shared" ca="1" si="3"/>
        <v>337576088</v>
      </c>
      <c r="P63" t="str" cm="1">
        <f t="array" aca="1" ref="P63" ca="1">9 &amp; INDEX($AH$3:$AH$6,Y63)&amp; TEXT(RANDBETWEEN(0,9999999),"0000000")</f>
        <v>922488795</v>
      </c>
      <c r="Q63" t="str" cm="1">
        <f t="array" aca="1" ref="Q63" ca="1">LOWER(B63) &amp; INDEX($AH$9:$AH$11,Z63)</f>
        <v>med062@hospital.upskill.com</v>
      </c>
      <c r="R63" t="str">
        <f t="shared" si="4"/>
        <v>med062.jpg</v>
      </c>
      <c r="S63" s="8">
        <f t="shared" ca="1" si="5"/>
        <v>4465010867721588</v>
      </c>
      <c r="T63" t="s">
        <v>341</v>
      </c>
      <c r="V63" s="4"/>
      <c r="X63">
        <f ca="1">RANDBETWEEN(2,COUNTA(rua_cod!A:A))</f>
        <v>15</v>
      </c>
      <c r="Y63">
        <f t="shared" ca="1" si="6"/>
        <v>2</v>
      </c>
      <c r="Z63">
        <f t="shared" ca="1" si="7"/>
        <v>2</v>
      </c>
      <c r="AA63">
        <f t="shared" ca="1" si="8"/>
        <v>1983</v>
      </c>
      <c r="AB63">
        <f t="shared" ca="1" si="9"/>
        <v>3</v>
      </c>
      <c r="AC63">
        <f t="shared" ca="1" si="10"/>
        <v>25</v>
      </c>
      <c r="AD63">
        <f t="shared" ca="1" si="11"/>
        <v>37</v>
      </c>
    </row>
    <row r="64" spans="1:30" x14ac:dyDescent="0.25">
      <c r="A64">
        <v>63</v>
      </c>
      <c r="B64" t="str">
        <f t="shared" si="0"/>
        <v>med063</v>
      </c>
      <c r="C64" t="str">
        <f t="shared" si="1"/>
        <v>pswmed063</v>
      </c>
      <c r="D64" t="str">
        <f ca="1">Nomes!T65</f>
        <v>Marco Joaquim Loureiro Batista</v>
      </c>
      <c r="E64" t="str">
        <f ca="1">Nomes!S65</f>
        <v>Masculino</v>
      </c>
      <c r="F64" s="2">
        <v>12753</v>
      </c>
      <c r="G64" t="str" cm="1">
        <f t="array" aca="1" ref="G64" ca="1">INDEX(rua_cod!$F:$F,RANDBETWEEN(2,COUNTA(rua_cod!F:F)))</f>
        <v>Calçada do Poço dos Mouros</v>
      </c>
      <c r="H64" t="str" cm="1">
        <f t="array" aca="1" ref="H64" ca="1">INDEX(rua_cod!$A:$A,Médicos!X64) &amp; "-" &amp; TEXT(RANDBETWEEN(0,999),"000")</f>
        <v>1998-372</v>
      </c>
      <c r="I64" t="str" cm="1">
        <f t="array" aca="1" ref="I64" ca="1">INDEX(rua_cod!$B:$B,Médicos!X64)</f>
        <v>Lisboa</v>
      </c>
      <c r="J64" t="s">
        <v>341</v>
      </c>
      <c r="K64" t="s">
        <v>225</v>
      </c>
      <c r="L64" t="s">
        <v>265</v>
      </c>
      <c r="M64" t="str">
        <f t="shared" ca="1" si="2"/>
        <v>57854757</v>
      </c>
      <c r="N64" t="str">
        <f t="shared" ca="1" si="3"/>
        <v>110520741</v>
      </c>
      <c r="O64" t="str">
        <f t="shared" ca="1" si="3"/>
        <v>722565330</v>
      </c>
      <c r="P64" t="str" cm="1">
        <f t="array" aca="1" ref="P64" ca="1">9 &amp; INDEX($AH$3:$AH$6,Y64)&amp; TEXT(RANDBETWEEN(0,9999999),"0000000")</f>
        <v>926809845</v>
      </c>
      <c r="Q64" t="str" cm="1">
        <f t="array" aca="1" ref="Q64" ca="1">LOWER(B64) &amp; INDEX($AH$9:$AH$11,Z64)</f>
        <v>med063@hospital.upskill.com</v>
      </c>
      <c r="R64" t="str">
        <f t="shared" si="4"/>
        <v>med063.jpg</v>
      </c>
      <c r="S64" s="8">
        <f t="shared" ca="1" si="5"/>
        <v>7565187336966234</v>
      </c>
      <c r="T64" t="s">
        <v>341</v>
      </c>
      <c r="V64" s="4"/>
      <c r="X64">
        <f ca="1">RANDBETWEEN(2,COUNTA(rua_cod!A:A))</f>
        <v>78</v>
      </c>
      <c r="Y64">
        <f t="shared" ca="1" si="6"/>
        <v>2</v>
      </c>
      <c r="Z64">
        <f t="shared" ca="1" si="7"/>
        <v>1</v>
      </c>
      <c r="AA64">
        <f t="shared" ca="1" si="8"/>
        <v>1985</v>
      </c>
      <c r="AB64">
        <f t="shared" ca="1" si="9"/>
        <v>11</v>
      </c>
      <c r="AC64">
        <f t="shared" ca="1" si="10"/>
        <v>23</v>
      </c>
      <c r="AD64">
        <f t="shared" ca="1" si="11"/>
        <v>35</v>
      </c>
    </row>
    <row r="65" spans="1:30" x14ac:dyDescent="0.25">
      <c r="A65">
        <v>64</v>
      </c>
      <c r="B65" t="str">
        <f t="shared" si="0"/>
        <v>med064</v>
      </c>
      <c r="C65" t="str">
        <f t="shared" si="1"/>
        <v>pswmed064</v>
      </c>
      <c r="D65" t="str">
        <f ca="1">Nomes!T66</f>
        <v>Catarina Diogo Rodrigues Guerreiro</v>
      </c>
      <c r="E65" t="str">
        <f ca="1">Nomes!S66</f>
        <v>Feminino</v>
      </c>
      <c r="F65" s="2">
        <v>13063</v>
      </c>
      <c r="G65" t="str" cm="1">
        <f t="array" aca="1" ref="G65" ca="1">INDEX(rua_cod!$F:$F,RANDBETWEEN(2,COUNTA(rua_cod!F:F)))</f>
        <v>Rua da Alfândega</v>
      </c>
      <c r="H65" t="str" cm="1">
        <f t="array" aca="1" ref="H65" ca="1">INDEX(rua_cod!$A:$A,Médicos!X65) &amp; "-" &amp; TEXT(RANDBETWEEN(0,999),"000")</f>
        <v>2904-049</v>
      </c>
      <c r="I65" t="str" cm="1">
        <f t="array" aca="1" ref="I65" ca="1">INDEX(rua_cod!$B:$B,Médicos!X65)</f>
        <v>Setúbal</v>
      </c>
      <c r="J65" t="s">
        <v>341</v>
      </c>
      <c r="K65" t="s">
        <v>225</v>
      </c>
      <c r="L65" t="s">
        <v>265</v>
      </c>
      <c r="M65" t="str">
        <f t="shared" ca="1" si="2"/>
        <v>29307523</v>
      </c>
      <c r="N65" t="str">
        <f t="shared" ca="1" si="3"/>
        <v>865599965</v>
      </c>
      <c r="O65" t="str">
        <f t="shared" ca="1" si="3"/>
        <v>524799700</v>
      </c>
      <c r="P65" t="str" cm="1">
        <f t="array" aca="1" ref="P65" ca="1">9 &amp; INDEX($AH$3:$AH$6,Y65)&amp; TEXT(RANDBETWEEN(0,9999999),"0000000")</f>
        <v>911503739</v>
      </c>
      <c r="Q65" t="str" cm="1">
        <f t="array" aca="1" ref="Q65" ca="1">LOWER(B65) &amp; INDEX($AH$9:$AH$11,Z65)</f>
        <v>med064@hospital.upskill.com</v>
      </c>
      <c r="R65" t="str">
        <f t="shared" si="4"/>
        <v>med064.jpg</v>
      </c>
      <c r="S65" s="8">
        <f t="shared" ca="1" si="5"/>
        <v>6991542250898434</v>
      </c>
      <c r="T65" t="s">
        <v>341</v>
      </c>
      <c r="V65" s="4"/>
      <c r="X65">
        <f ca="1">RANDBETWEEN(2,COUNTA(rua_cod!A:A))</f>
        <v>99</v>
      </c>
      <c r="Y65">
        <f t="shared" ca="1" si="6"/>
        <v>1</v>
      </c>
      <c r="Z65">
        <f t="shared" ca="1" si="7"/>
        <v>1</v>
      </c>
      <c r="AA65">
        <f t="shared" ca="1" si="8"/>
        <v>1966</v>
      </c>
      <c r="AB65">
        <f t="shared" ca="1" si="9"/>
        <v>10</v>
      </c>
      <c r="AC65">
        <f t="shared" ca="1" si="10"/>
        <v>10</v>
      </c>
      <c r="AD65">
        <f t="shared" ca="1" si="11"/>
        <v>54</v>
      </c>
    </row>
    <row r="66" spans="1:30" x14ac:dyDescent="0.25">
      <c r="A66">
        <v>65</v>
      </c>
      <c r="B66" t="str">
        <f t="shared" si="0"/>
        <v>med065</v>
      </c>
      <c r="C66" t="str">
        <f t="shared" si="1"/>
        <v>pswmed065</v>
      </c>
      <c r="D66" t="str">
        <f ca="1">Nomes!T67</f>
        <v>Lara Ana Melo Simões</v>
      </c>
      <c r="E66" t="str">
        <f ca="1">Nomes!S67</f>
        <v>Feminino</v>
      </c>
      <c r="F66" s="2">
        <v>37114</v>
      </c>
      <c r="G66" t="str" cm="1">
        <f t="array" aca="1" ref="G66" ca="1">INDEX(rua_cod!$F:$F,RANDBETWEEN(2,COUNTA(rua_cod!F:F)))</f>
        <v>Rua da Junqueira</v>
      </c>
      <c r="H66" t="str" cm="1">
        <f t="array" aca="1" ref="H66" ca="1">INDEX(rua_cod!$A:$A,Médicos!X66) &amp; "-" &amp; TEXT(RANDBETWEEN(0,999),"000")</f>
        <v>3000-750</v>
      </c>
      <c r="I66" t="str" cm="1">
        <f t="array" aca="1" ref="I66" ca="1">INDEX(rua_cod!$B:$B,Médicos!X66)</f>
        <v>Coimbra</v>
      </c>
      <c r="J66" t="s">
        <v>341</v>
      </c>
      <c r="K66" t="s">
        <v>225</v>
      </c>
      <c r="L66" t="s">
        <v>265</v>
      </c>
      <c r="M66" t="str">
        <f t="shared" ca="1" si="2"/>
        <v>82520284</v>
      </c>
      <c r="N66" t="str">
        <f t="shared" ca="1" si="3"/>
        <v>786722959</v>
      </c>
      <c r="O66" t="str">
        <f t="shared" ca="1" si="3"/>
        <v>582994783</v>
      </c>
      <c r="P66" t="str" cm="1">
        <f t="array" aca="1" ref="P66" ca="1">9 &amp; INDEX($AH$3:$AH$6,Y66)&amp; TEXT(RANDBETWEEN(0,9999999),"0000000")</f>
        <v>910998536</v>
      </c>
      <c r="Q66" t="str" cm="1">
        <f t="array" aca="1" ref="Q66" ca="1">LOWER(B66) &amp; INDEX($AH$9:$AH$11,Z66)</f>
        <v>med065@hospital.upskill.com</v>
      </c>
      <c r="R66" t="str">
        <f t="shared" si="4"/>
        <v>med065.jpg</v>
      </c>
      <c r="S66" s="8">
        <f t="shared" ca="1" si="5"/>
        <v>1008359449984372</v>
      </c>
      <c r="T66" t="s">
        <v>341</v>
      </c>
      <c r="V66" s="4"/>
      <c r="X66">
        <f ca="1">RANDBETWEEN(2,COUNTA(rua_cod!A:A))</f>
        <v>26</v>
      </c>
      <c r="Y66">
        <f t="shared" ca="1" si="6"/>
        <v>1</v>
      </c>
      <c r="Z66">
        <f t="shared" ca="1" si="7"/>
        <v>2</v>
      </c>
      <c r="AA66">
        <f t="shared" ca="1" si="8"/>
        <v>1989</v>
      </c>
      <c r="AB66">
        <f t="shared" ca="1" si="9"/>
        <v>5</v>
      </c>
      <c r="AC66">
        <f t="shared" ca="1" si="10"/>
        <v>24</v>
      </c>
      <c r="AD66">
        <f t="shared" ca="1" si="11"/>
        <v>31</v>
      </c>
    </row>
    <row r="67" spans="1:30" x14ac:dyDescent="0.25">
      <c r="A67">
        <v>66</v>
      </c>
      <c r="B67" t="str">
        <f t="shared" ref="B67:B130" si="12">"med" &amp; TEXT(A67,"000")</f>
        <v>med066</v>
      </c>
      <c r="C67" t="str">
        <f t="shared" ref="C67:C130" si="13">"psw" &amp; B67</f>
        <v>pswmed066</v>
      </c>
      <c r="D67" t="str">
        <f ca="1">Nomes!T68</f>
        <v>Sofia Tomás Antunes Nunes</v>
      </c>
      <c r="E67" t="str">
        <f ca="1">Nomes!S68</f>
        <v>Feminino</v>
      </c>
      <c r="F67" s="2">
        <v>19832</v>
      </c>
      <c r="G67" t="str" cm="1">
        <f t="array" aca="1" ref="G67" ca="1">INDEX(rua_cod!$F:$F,RANDBETWEEN(2,COUNTA(rua_cod!F:F)))</f>
        <v>Rua de São Mamede</v>
      </c>
      <c r="H67" t="str" cm="1">
        <f t="array" aca="1" ref="H67" ca="1">INDEX(rua_cod!$A:$A,Médicos!X67) &amp; "-" &amp; TEXT(RANDBETWEEN(0,999),"000")</f>
        <v>2790-746</v>
      </c>
      <c r="I67" t="str" cm="1">
        <f t="array" aca="1" ref="I67" ca="1">INDEX(rua_cod!$B:$B,Médicos!X67)</f>
        <v>Carnaxide</v>
      </c>
      <c r="J67" t="s">
        <v>341</v>
      </c>
      <c r="K67" t="s">
        <v>225</v>
      </c>
      <c r="L67" t="s">
        <v>265</v>
      </c>
      <c r="M67" t="str">
        <f t="shared" ref="M67:M130" ca="1" si="14">TEXT(RANDBETWEEN(10000000,99999999),"00000000")</f>
        <v>34976096</v>
      </c>
      <c r="N67" t="str">
        <f t="shared" ref="N67:O130" ca="1" si="15">TEXT(RANDBETWEEN(100000000,999999999),"000000000")</f>
        <v>936088058</v>
      </c>
      <c r="O67" t="str">
        <f t="shared" ca="1" si="15"/>
        <v>603968125</v>
      </c>
      <c r="P67" t="str" cm="1">
        <f t="array" aca="1" ref="P67" ca="1">9 &amp; INDEX($AH$3:$AH$6,Y67)&amp; TEXT(RANDBETWEEN(0,9999999),"0000000")</f>
        <v>916228021</v>
      </c>
      <c r="Q67" t="str" cm="1">
        <f t="array" aca="1" ref="Q67" ca="1">LOWER(B67) &amp; INDEX($AH$9:$AH$11,Z67)</f>
        <v>med066@hospital.upskill.com</v>
      </c>
      <c r="R67" t="str">
        <f t="shared" ref="R67:R130" si="16">B67 &amp; ".jpg"</f>
        <v>med066.jpg</v>
      </c>
      <c r="S67" s="8">
        <f t="shared" ref="S67:S130" ca="1" si="17" xml:space="preserve"> RANDBETWEEN(1000000000000000,9999999999999990)</f>
        <v>8737971510554981</v>
      </c>
      <c r="T67" t="s">
        <v>341</v>
      </c>
      <c r="V67" s="4"/>
      <c r="X67">
        <f ca="1">RANDBETWEEN(2,COUNTA(rua_cod!A:A))</f>
        <v>22</v>
      </c>
      <c r="Y67">
        <f t="shared" ref="Y67:Y130" ca="1" si="18">RANDBETWEEN(1,4)</f>
        <v>1</v>
      </c>
      <c r="Z67">
        <f t="shared" ref="Z67:Z130" ca="1" si="19">RANDBETWEEN(1,3)</f>
        <v>1</v>
      </c>
      <c r="AA67">
        <f t="shared" ref="AA67:AA130" ca="1" si="20">RANDBETWEEN(1950,1994)</f>
        <v>1970</v>
      </c>
      <c r="AB67">
        <f t="shared" ref="AB67:AB130" ca="1" si="21">RANDBETWEEN(1,12)</f>
        <v>11</v>
      </c>
      <c r="AC67">
        <f t="shared" ref="AC67:AC130" ca="1" si="22">RANDBETWEEN(1,31)</f>
        <v>16</v>
      </c>
      <c r="AD67">
        <f t="shared" ref="AD67:AD130" ca="1" si="23">2020-AA67</f>
        <v>50</v>
      </c>
    </row>
    <row r="68" spans="1:30" x14ac:dyDescent="0.25">
      <c r="A68">
        <v>67</v>
      </c>
      <c r="B68" t="str">
        <f t="shared" si="12"/>
        <v>med067</v>
      </c>
      <c r="C68" t="str">
        <f t="shared" si="13"/>
        <v>pswmed067</v>
      </c>
      <c r="D68" t="str">
        <f ca="1">Nomes!T69</f>
        <v>Martim Joana Guerreiro Nascimento</v>
      </c>
      <c r="E68" t="str">
        <f ca="1">Nomes!S69</f>
        <v>Masculino</v>
      </c>
      <c r="F68" s="2">
        <v>11481</v>
      </c>
      <c r="G68" t="str" cm="1">
        <f t="array" aca="1" ref="G68" ca="1">INDEX(rua_cod!$F:$F,RANDBETWEEN(2,COUNTA(rua_cod!F:F)))</f>
        <v>Calçada de Carriche</v>
      </c>
      <c r="H68" t="str" cm="1">
        <f t="array" aca="1" ref="H68" ca="1">INDEX(rua_cod!$A:$A,Médicos!X68) &amp; "-" &amp; TEXT(RANDBETWEEN(0,999),"000")</f>
        <v>2700-750</v>
      </c>
      <c r="I68" t="str" cm="1">
        <f t="array" aca="1" ref="I68" ca="1">INDEX(rua_cod!$B:$B,Médicos!X68)</f>
        <v>Amadora</v>
      </c>
      <c r="J68" t="s">
        <v>341</v>
      </c>
      <c r="K68" t="s">
        <v>225</v>
      </c>
      <c r="L68" t="s">
        <v>265</v>
      </c>
      <c r="M68" t="str">
        <f t="shared" ca="1" si="14"/>
        <v>41648417</v>
      </c>
      <c r="N68" t="str">
        <f t="shared" ca="1" si="15"/>
        <v>367606446</v>
      </c>
      <c r="O68" t="str">
        <f t="shared" ca="1" si="15"/>
        <v>238563795</v>
      </c>
      <c r="P68" t="str" cm="1">
        <f t="array" aca="1" ref="P68" ca="1">9 &amp; INDEX($AH$3:$AH$6,Y68)&amp; TEXT(RANDBETWEEN(0,9999999),"0000000")</f>
        <v>967559441</v>
      </c>
      <c r="Q68" t="str" cm="1">
        <f t="array" aca="1" ref="Q68" ca="1">LOWER(B68) &amp; INDEX($AH$9:$AH$11,Z68)</f>
        <v>med067@hospital.upskill.com</v>
      </c>
      <c r="R68" t="str">
        <f t="shared" si="16"/>
        <v>med067.jpg</v>
      </c>
      <c r="S68" s="8">
        <f t="shared" ca="1" si="17"/>
        <v>5331694904370509</v>
      </c>
      <c r="T68" t="s">
        <v>341</v>
      </c>
      <c r="V68" s="4"/>
      <c r="X68">
        <f ca="1">RANDBETWEEN(2,COUNTA(rua_cod!A:A))</f>
        <v>10</v>
      </c>
      <c r="Y68">
        <f t="shared" ca="1" si="18"/>
        <v>4</v>
      </c>
      <c r="Z68">
        <f t="shared" ca="1" si="19"/>
        <v>1</v>
      </c>
      <c r="AA68">
        <f t="shared" ca="1" si="20"/>
        <v>1950</v>
      </c>
      <c r="AB68">
        <f t="shared" ca="1" si="21"/>
        <v>4</v>
      </c>
      <c r="AC68">
        <f t="shared" ca="1" si="22"/>
        <v>1</v>
      </c>
      <c r="AD68">
        <f t="shared" ca="1" si="23"/>
        <v>70</v>
      </c>
    </row>
    <row r="69" spans="1:30" x14ac:dyDescent="0.25">
      <c r="A69">
        <v>68</v>
      </c>
      <c r="B69" t="str">
        <f t="shared" si="12"/>
        <v>med068</v>
      </c>
      <c r="C69" t="str">
        <f t="shared" si="13"/>
        <v>pswmed068</v>
      </c>
      <c r="D69" t="str">
        <f ca="1">Nomes!T70</f>
        <v>Luís Gabriel Batista Gaspar</v>
      </c>
      <c r="E69" t="str">
        <f ca="1">Nomes!S70</f>
        <v>Masculino</v>
      </c>
      <c r="F69" s="2">
        <v>19996</v>
      </c>
      <c r="G69" t="str" cm="1">
        <f t="array" aca="1" ref="G69" ca="1">INDEX(rua_cod!$F:$F,RANDBETWEEN(2,COUNTA(rua_cod!F:F)))</f>
        <v>Calçada do Poço dos Mouros</v>
      </c>
      <c r="H69" t="str" cm="1">
        <f t="array" aca="1" ref="H69" ca="1">INDEX(rua_cod!$A:$A,Médicos!X69) &amp; "-" &amp; TEXT(RANDBETWEEN(0,999),"000")</f>
        <v>2650-592</v>
      </c>
      <c r="I69" t="str" cm="1">
        <f t="array" aca="1" ref="I69" ca="1">INDEX(rua_cod!$B:$B,Médicos!X69)</f>
        <v>Amadora</v>
      </c>
      <c r="J69" t="s">
        <v>341</v>
      </c>
      <c r="K69" t="s">
        <v>225</v>
      </c>
      <c r="L69" t="s">
        <v>265</v>
      </c>
      <c r="M69" t="str">
        <f t="shared" ca="1" si="14"/>
        <v>86879099</v>
      </c>
      <c r="N69" t="str">
        <f t="shared" ca="1" si="15"/>
        <v>813124893</v>
      </c>
      <c r="O69" t="str">
        <f t="shared" ca="1" si="15"/>
        <v>397391857</v>
      </c>
      <c r="P69" t="str" cm="1">
        <f t="array" aca="1" ref="P69" ca="1">9 &amp; INDEX($AH$3:$AH$6,Y69)&amp; TEXT(RANDBETWEEN(0,9999999),"0000000")</f>
        <v>918205928</v>
      </c>
      <c r="Q69" t="str" cm="1">
        <f t="array" aca="1" ref="Q69" ca="1">LOWER(B69) &amp; INDEX($AH$9:$AH$11,Z69)</f>
        <v>med068@hospital.upskill.com</v>
      </c>
      <c r="R69" t="str">
        <f t="shared" si="16"/>
        <v>med068.jpg</v>
      </c>
      <c r="S69" s="8">
        <f t="shared" ca="1" si="17"/>
        <v>2472281338277112</v>
      </c>
      <c r="T69" t="s">
        <v>341</v>
      </c>
      <c r="V69" s="4"/>
      <c r="X69">
        <f ca="1">RANDBETWEEN(2,COUNTA(rua_cod!A:A))</f>
        <v>9</v>
      </c>
      <c r="Y69">
        <f t="shared" ca="1" si="18"/>
        <v>1</v>
      </c>
      <c r="Z69">
        <f t="shared" ca="1" si="19"/>
        <v>3</v>
      </c>
      <c r="AA69">
        <f t="shared" ca="1" si="20"/>
        <v>1961</v>
      </c>
      <c r="AB69">
        <f t="shared" ca="1" si="21"/>
        <v>7</v>
      </c>
      <c r="AC69">
        <f t="shared" ca="1" si="22"/>
        <v>7</v>
      </c>
      <c r="AD69">
        <f t="shared" ca="1" si="23"/>
        <v>59</v>
      </c>
    </row>
    <row r="70" spans="1:30" x14ac:dyDescent="0.25">
      <c r="A70">
        <v>69</v>
      </c>
      <c r="B70" t="str">
        <f t="shared" si="12"/>
        <v>med069</v>
      </c>
      <c r="C70" t="str">
        <f t="shared" si="13"/>
        <v>pswmed069</v>
      </c>
      <c r="D70" t="str">
        <f ca="1">Nomes!T71</f>
        <v>Francisco Duarte Amaral Miranda</v>
      </c>
      <c r="E70" t="str">
        <f ca="1">Nomes!S71</f>
        <v>Masculino</v>
      </c>
      <c r="F70" s="2">
        <v>9739</v>
      </c>
      <c r="G70" t="str" cm="1">
        <f t="array" aca="1" ref="G70" ca="1">INDEX(rua_cod!$F:$F,RANDBETWEEN(2,COUNTA(rua_cod!F:F)))</f>
        <v>Rua do Arsenal</v>
      </c>
      <c r="H70" t="str" cm="1">
        <f t="array" aca="1" ref="H70" ca="1">INDEX(rua_cod!$A:$A,Médicos!X70) &amp; "-" &amp; TEXT(RANDBETWEEN(0,999),"000")</f>
        <v>1000-123</v>
      </c>
      <c r="I70" t="str" cm="1">
        <f t="array" aca="1" ref="I70" ca="1">INDEX(rua_cod!$B:$B,Médicos!X70)</f>
        <v>Lisboa</v>
      </c>
      <c r="J70" t="s">
        <v>341</v>
      </c>
      <c r="K70" t="s">
        <v>225</v>
      </c>
      <c r="L70" t="s">
        <v>265</v>
      </c>
      <c r="M70" t="str">
        <f t="shared" ca="1" si="14"/>
        <v>35221026</v>
      </c>
      <c r="N70" t="str">
        <f t="shared" ca="1" si="15"/>
        <v>183193798</v>
      </c>
      <c r="O70" t="str">
        <f t="shared" ca="1" si="15"/>
        <v>475514291</v>
      </c>
      <c r="P70" t="str" cm="1">
        <f t="array" aca="1" ref="P70" ca="1">9 &amp; INDEX($AH$3:$AH$6,Y70)&amp; TEXT(RANDBETWEEN(0,9999999),"0000000")</f>
        <v>938648527</v>
      </c>
      <c r="Q70" t="str" cm="1">
        <f t="array" aca="1" ref="Q70" ca="1">LOWER(B70) &amp; INDEX($AH$9:$AH$11,Z70)</f>
        <v>med069@hospital.upskill.com</v>
      </c>
      <c r="R70" t="str">
        <f t="shared" si="16"/>
        <v>med069.jpg</v>
      </c>
      <c r="S70" s="8">
        <f t="shared" ca="1" si="17"/>
        <v>6111987394791121</v>
      </c>
      <c r="T70" t="s">
        <v>341</v>
      </c>
      <c r="V70" s="4"/>
      <c r="X70">
        <f ca="1">RANDBETWEEN(2,COUNTA(rua_cod!A:A))</f>
        <v>62</v>
      </c>
      <c r="Y70">
        <f t="shared" ca="1" si="18"/>
        <v>3</v>
      </c>
      <c r="Z70">
        <f t="shared" ca="1" si="19"/>
        <v>1</v>
      </c>
      <c r="AA70">
        <f t="shared" ca="1" si="20"/>
        <v>1963</v>
      </c>
      <c r="AB70">
        <f t="shared" ca="1" si="21"/>
        <v>1</v>
      </c>
      <c r="AC70">
        <f t="shared" ca="1" si="22"/>
        <v>16</v>
      </c>
      <c r="AD70">
        <f t="shared" ca="1" si="23"/>
        <v>57</v>
      </c>
    </row>
    <row r="71" spans="1:30" x14ac:dyDescent="0.25">
      <c r="A71">
        <v>70</v>
      </c>
      <c r="B71" t="str">
        <f t="shared" si="12"/>
        <v>med070</v>
      </c>
      <c r="C71" t="str">
        <f t="shared" si="13"/>
        <v>pswmed070</v>
      </c>
      <c r="D71" t="str">
        <f ca="1">Nomes!T72</f>
        <v>Sara Diogo Fernandes Alves</v>
      </c>
      <c r="E71" t="str">
        <f ca="1">Nomes!S72</f>
        <v>Feminino</v>
      </c>
      <c r="F71" s="2">
        <v>19419</v>
      </c>
      <c r="G71" t="str" cm="1">
        <f t="array" aca="1" ref="G71" ca="1">INDEX(rua_cod!$F:$F,RANDBETWEEN(2,COUNTA(rua_cod!F:F)))</f>
        <v>Rua Ferreira Lapa</v>
      </c>
      <c r="H71" t="str" cm="1">
        <f t="array" aca="1" ref="H71" ca="1">INDEX(rua_cod!$A:$A,Médicos!X71) &amp; "-" &amp; TEXT(RANDBETWEEN(0,999),"000")</f>
        <v>1800-757</v>
      </c>
      <c r="I71" t="str" cm="1">
        <f t="array" aca="1" ref="I71" ca="1">INDEX(rua_cod!$B:$B,Médicos!X71)</f>
        <v>Lisboa</v>
      </c>
      <c r="J71" t="s">
        <v>341</v>
      </c>
      <c r="K71" t="s">
        <v>225</v>
      </c>
      <c r="L71" t="s">
        <v>265</v>
      </c>
      <c r="M71" t="str">
        <f t="shared" ca="1" si="14"/>
        <v>93985066</v>
      </c>
      <c r="N71" t="str">
        <f t="shared" ca="1" si="15"/>
        <v>981122873</v>
      </c>
      <c r="O71" t="str">
        <f t="shared" ca="1" si="15"/>
        <v>140033608</v>
      </c>
      <c r="P71" t="str" cm="1">
        <f t="array" aca="1" ref="P71" ca="1">9 &amp; INDEX($AH$3:$AH$6,Y71)&amp; TEXT(RANDBETWEEN(0,9999999),"0000000")</f>
        <v>931927987</v>
      </c>
      <c r="Q71" t="str" cm="1">
        <f t="array" aca="1" ref="Q71" ca="1">LOWER(B71) &amp; INDEX($AH$9:$AH$11,Z71)</f>
        <v>med070@hospital.upskill.com</v>
      </c>
      <c r="R71" t="str">
        <f t="shared" si="16"/>
        <v>med070.jpg</v>
      </c>
      <c r="S71" s="8">
        <f t="shared" ca="1" si="17"/>
        <v>6188990800459340</v>
      </c>
      <c r="T71" t="s">
        <v>341</v>
      </c>
      <c r="V71" s="4"/>
      <c r="X71">
        <f ca="1">RANDBETWEEN(2,COUNTA(rua_cod!A:A))</f>
        <v>56</v>
      </c>
      <c r="Y71">
        <f t="shared" ca="1" si="18"/>
        <v>3</v>
      </c>
      <c r="Z71">
        <f t="shared" ca="1" si="19"/>
        <v>2</v>
      </c>
      <c r="AA71">
        <f t="shared" ca="1" si="20"/>
        <v>1983</v>
      </c>
      <c r="AB71">
        <f t="shared" ca="1" si="21"/>
        <v>3</v>
      </c>
      <c r="AC71">
        <f t="shared" ca="1" si="22"/>
        <v>12</v>
      </c>
      <c r="AD71">
        <f t="shared" ca="1" si="23"/>
        <v>37</v>
      </c>
    </row>
    <row r="72" spans="1:30" x14ac:dyDescent="0.25">
      <c r="A72">
        <v>71</v>
      </c>
      <c r="B72" t="str">
        <f t="shared" si="12"/>
        <v>med071</v>
      </c>
      <c r="C72" t="str">
        <f t="shared" si="13"/>
        <v>pswmed071</v>
      </c>
      <c r="D72" t="str">
        <f ca="1">Nomes!T73</f>
        <v>Lara Ricardo Lima Guerreiro</v>
      </c>
      <c r="E72" t="str">
        <f ca="1">Nomes!S73</f>
        <v>Feminino</v>
      </c>
      <c r="F72" s="2">
        <v>36001</v>
      </c>
      <c r="G72" t="str" cm="1">
        <f t="array" aca="1" ref="G72" ca="1">INDEX(rua_cod!$F:$F,RANDBETWEEN(2,COUNTA(rua_cod!F:F)))</f>
        <v>Estrada das Laranjeiras</v>
      </c>
      <c r="H72" t="str" cm="1">
        <f t="array" aca="1" ref="H72" ca="1">INDEX(rua_cod!$A:$A,Médicos!X72) &amp; "-" &amp; TEXT(RANDBETWEEN(0,999),"000")</f>
        <v>1269-008</v>
      </c>
      <c r="I72" t="str" cm="1">
        <f t="array" aca="1" ref="I72" ca="1">INDEX(rua_cod!$B:$B,Médicos!X72)</f>
        <v>Lisboa</v>
      </c>
      <c r="J72" t="s">
        <v>341</v>
      </c>
      <c r="K72" t="s">
        <v>225</v>
      </c>
      <c r="L72" t="s">
        <v>265</v>
      </c>
      <c r="M72" t="str">
        <f t="shared" ca="1" si="14"/>
        <v>46139348</v>
      </c>
      <c r="N72" t="str">
        <f t="shared" ca="1" si="15"/>
        <v>369873570</v>
      </c>
      <c r="O72" t="str">
        <f t="shared" ca="1" si="15"/>
        <v>567023971</v>
      </c>
      <c r="P72" t="str" cm="1">
        <f t="array" aca="1" ref="P72" ca="1">9 &amp; INDEX($AH$3:$AH$6,Y72)&amp; TEXT(RANDBETWEEN(0,9999999),"0000000")</f>
        <v>962314869</v>
      </c>
      <c r="Q72" t="str" cm="1">
        <f t="array" aca="1" ref="Q72" ca="1">LOWER(B72) &amp; INDEX($AH$9:$AH$11,Z72)</f>
        <v>med071@hospital.upskill.com</v>
      </c>
      <c r="R72" t="str">
        <f t="shared" si="16"/>
        <v>med071.jpg</v>
      </c>
      <c r="S72" s="8">
        <f t="shared" ca="1" si="17"/>
        <v>3345954125071697</v>
      </c>
      <c r="T72" t="s">
        <v>341</v>
      </c>
      <c r="V72" s="4"/>
      <c r="X72">
        <f ca="1">RANDBETWEEN(2,COUNTA(rua_cod!A:A))</f>
        <v>52</v>
      </c>
      <c r="Y72">
        <f t="shared" ca="1" si="18"/>
        <v>4</v>
      </c>
      <c r="Z72">
        <f t="shared" ca="1" si="19"/>
        <v>3</v>
      </c>
      <c r="AA72">
        <f t="shared" ca="1" si="20"/>
        <v>1975</v>
      </c>
      <c r="AB72">
        <f t="shared" ca="1" si="21"/>
        <v>12</v>
      </c>
      <c r="AC72">
        <f t="shared" ca="1" si="22"/>
        <v>18</v>
      </c>
      <c r="AD72">
        <f t="shared" ca="1" si="23"/>
        <v>45</v>
      </c>
    </row>
    <row r="73" spans="1:30" x14ac:dyDescent="0.25">
      <c r="A73">
        <v>72</v>
      </c>
      <c r="B73" t="str">
        <f t="shared" si="12"/>
        <v>med072</v>
      </c>
      <c r="C73" t="str">
        <f t="shared" si="13"/>
        <v>pswmed072</v>
      </c>
      <c r="D73" t="str">
        <f ca="1">Nomes!T74</f>
        <v>José Catarina Macedo Oliveira</v>
      </c>
      <c r="E73" t="str">
        <f ca="1">Nomes!S74</f>
        <v>Masculino</v>
      </c>
      <c r="F73" s="2">
        <v>42853</v>
      </c>
      <c r="G73" t="str" cm="1">
        <f t="array" aca="1" ref="G73" ca="1">INDEX(rua_cod!$F:$F,RANDBETWEEN(2,COUNTA(rua_cod!F:F)))</f>
        <v>Estrada das Laranjeiras</v>
      </c>
      <c r="H73" t="str" cm="1">
        <f t="array" aca="1" ref="H73" ca="1">INDEX(rua_cod!$A:$A,Médicos!X73) &amp; "-" &amp; TEXT(RANDBETWEEN(0,999),"000")</f>
        <v>2800-695</v>
      </c>
      <c r="I73" t="str" cm="1">
        <f t="array" aca="1" ref="I73" ca="1">INDEX(rua_cod!$B:$B,Médicos!X73)</f>
        <v>Almada</v>
      </c>
      <c r="J73" t="s">
        <v>341</v>
      </c>
      <c r="K73" t="s">
        <v>225</v>
      </c>
      <c r="L73" t="s">
        <v>265</v>
      </c>
      <c r="M73" t="str">
        <f t="shared" ca="1" si="14"/>
        <v>79673838</v>
      </c>
      <c r="N73" t="str">
        <f t="shared" ca="1" si="15"/>
        <v>752266784</v>
      </c>
      <c r="O73" t="str">
        <f t="shared" ca="1" si="15"/>
        <v>413401718</v>
      </c>
      <c r="P73" t="str" cm="1">
        <f t="array" aca="1" ref="P73" ca="1">9 &amp; INDEX($AH$3:$AH$6,Y73)&amp; TEXT(RANDBETWEEN(0,9999999),"0000000")</f>
        <v>938126525</v>
      </c>
      <c r="Q73" t="str" cm="1">
        <f t="array" aca="1" ref="Q73" ca="1">LOWER(B73) &amp; INDEX($AH$9:$AH$11,Z73)</f>
        <v>med072@hospital.upskill.com</v>
      </c>
      <c r="R73" t="str">
        <f t="shared" si="16"/>
        <v>med072.jpg</v>
      </c>
      <c r="S73" s="8">
        <f t="shared" ca="1" si="17"/>
        <v>5969396122737994</v>
      </c>
      <c r="T73" t="s">
        <v>341</v>
      </c>
      <c r="V73" s="4"/>
      <c r="X73">
        <f ca="1">RANDBETWEEN(2,COUNTA(rua_cod!A:A))</f>
        <v>2</v>
      </c>
      <c r="Y73">
        <f t="shared" ca="1" si="18"/>
        <v>3</v>
      </c>
      <c r="Z73">
        <f t="shared" ca="1" si="19"/>
        <v>3</v>
      </c>
      <c r="AA73">
        <f t="shared" ca="1" si="20"/>
        <v>1994</v>
      </c>
      <c r="AB73">
        <f t="shared" ca="1" si="21"/>
        <v>7</v>
      </c>
      <c r="AC73">
        <f t="shared" ca="1" si="22"/>
        <v>17</v>
      </c>
      <c r="AD73">
        <f t="shared" ca="1" si="23"/>
        <v>26</v>
      </c>
    </row>
    <row r="74" spans="1:30" x14ac:dyDescent="0.25">
      <c r="A74">
        <v>73</v>
      </c>
      <c r="B74" t="str">
        <f t="shared" si="12"/>
        <v>med073</v>
      </c>
      <c r="C74" t="str">
        <f t="shared" si="13"/>
        <v>pswmed073</v>
      </c>
      <c r="D74" t="str">
        <f ca="1">Nomes!T75</f>
        <v>Miguel Lara Reis Magalhães</v>
      </c>
      <c r="E74" t="str">
        <f ca="1">Nomes!S75</f>
        <v>Masculino</v>
      </c>
      <c r="F74" s="2">
        <v>38941</v>
      </c>
      <c r="G74" t="str" cm="1">
        <f t="array" aca="1" ref="G74" ca="1">INDEX(rua_cod!$F:$F,RANDBETWEEN(2,COUNTA(rua_cod!F:F)))</f>
        <v>Rua do Carmo</v>
      </c>
      <c r="H74" t="str" cm="1">
        <f t="array" aca="1" ref="H74" ca="1">INDEX(rua_cod!$A:$A,Médicos!X74) &amp; "-" &amp; TEXT(RANDBETWEEN(0,999),"000")</f>
        <v>1750-312</v>
      </c>
      <c r="I74" t="str" cm="1">
        <f t="array" aca="1" ref="I74" ca="1">INDEX(rua_cod!$B:$B,Médicos!X74)</f>
        <v>Lisboa</v>
      </c>
      <c r="J74" t="s">
        <v>341</v>
      </c>
      <c r="K74" t="s">
        <v>225</v>
      </c>
      <c r="L74" t="s">
        <v>265</v>
      </c>
      <c r="M74" t="str">
        <f t="shared" ca="1" si="14"/>
        <v>65601975</v>
      </c>
      <c r="N74" t="str">
        <f t="shared" ca="1" si="15"/>
        <v>478431738</v>
      </c>
      <c r="O74" t="str">
        <f t="shared" ca="1" si="15"/>
        <v>382710147</v>
      </c>
      <c r="P74" t="str" cm="1">
        <f t="array" aca="1" ref="P74" ca="1">9 &amp; INDEX($AH$3:$AH$6,Y74)&amp; TEXT(RANDBETWEEN(0,9999999),"0000000")</f>
        <v>917172577</v>
      </c>
      <c r="Q74" t="str" cm="1">
        <f t="array" aca="1" ref="Q74" ca="1">LOWER(B74) &amp; INDEX($AH$9:$AH$11,Z74)</f>
        <v>med073@hospital.upskill.com</v>
      </c>
      <c r="R74" t="str">
        <f t="shared" si="16"/>
        <v>med073.jpg</v>
      </c>
      <c r="S74" s="8">
        <f t="shared" ca="1" si="17"/>
        <v>3592223364321807</v>
      </c>
      <c r="T74" t="s">
        <v>341</v>
      </c>
      <c r="V74" s="4"/>
      <c r="X74">
        <f ca="1">RANDBETWEEN(2,COUNTA(rua_cod!A:A))</f>
        <v>49</v>
      </c>
      <c r="Y74">
        <f t="shared" ca="1" si="18"/>
        <v>1</v>
      </c>
      <c r="Z74">
        <f t="shared" ca="1" si="19"/>
        <v>3</v>
      </c>
      <c r="AA74">
        <f t="shared" ca="1" si="20"/>
        <v>1973</v>
      </c>
      <c r="AB74">
        <f t="shared" ca="1" si="21"/>
        <v>7</v>
      </c>
      <c r="AC74">
        <f t="shared" ca="1" si="22"/>
        <v>14</v>
      </c>
      <c r="AD74">
        <f t="shared" ca="1" si="23"/>
        <v>47</v>
      </c>
    </row>
    <row r="75" spans="1:30" x14ac:dyDescent="0.25">
      <c r="A75">
        <v>74</v>
      </c>
      <c r="B75" t="str">
        <f t="shared" si="12"/>
        <v>med074</v>
      </c>
      <c r="C75" t="str">
        <f t="shared" si="13"/>
        <v>pswmed074</v>
      </c>
      <c r="D75" t="str">
        <f ca="1">Nomes!T76</f>
        <v>Joaquim André Henriques Ribeiro</v>
      </c>
      <c r="E75" t="str">
        <f ca="1">Nomes!S76</f>
        <v>Masculino</v>
      </c>
      <c r="F75" s="2">
        <v>19821</v>
      </c>
      <c r="G75" t="str" cm="1">
        <f t="array" aca="1" ref="G75" ca="1">INDEX(rua_cod!$F:$F,RANDBETWEEN(2,COUNTA(rua_cod!F:F)))</f>
        <v>Rua Ferreira Lapa</v>
      </c>
      <c r="H75" t="str" cm="1">
        <f t="array" aca="1" ref="H75" ca="1">INDEX(rua_cod!$A:$A,Médicos!X75) &amp; "-" &amp; TEXT(RANDBETWEEN(0,999),"000")</f>
        <v>2814-854</v>
      </c>
      <c r="I75" t="str" cm="1">
        <f t="array" aca="1" ref="I75" ca="1">INDEX(rua_cod!$B:$B,Médicos!X75)</f>
        <v>Almada</v>
      </c>
      <c r="J75" t="s">
        <v>341</v>
      </c>
      <c r="K75" t="s">
        <v>225</v>
      </c>
      <c r="L75" t="s">
        <v>265</v>
      </c>
      <c r="M75" t="str">
        <f t="shared" ca="1" si="14"/>
        <v>55872782</v>
      </c>
      <c r="N75" t="str">
        <f t="shared" ca="1" si="15"/>
        <v>632746068</v>
      </c>
      <c r="O75" t="str">
        <f t="shared" ca="1" si="15"/>
        <v>896651646</v>
      </c>
      <c r="P75" t="str" cm="1">
        <f t="array" aca="1" ref="P75" ca="1">9 &amp; INDEX($AH$3:$AH$6,Y75)&amp; TEXT(RANDBETWEEN(0,9999999),"0000000")</f>
        <v>917738566</v>
      </c>
      <c r="Q75" t="str" cm="1">
        <f t="array" aca="1" ref="Q75" ca="1">LOWER(B75) &amp; INDEX($AH$9:$AH$11,Z75)</f>
        <v>med074@hospital.upskill.com</v>
      </c>
      <c r="R75" t="str">
        <f t="shared" si="16"/>
        <v>med074.jpg</v>
      </c>
      <c r="S75" s="8">
        <f t="shared" ca="1" si="17"/>
        <v>2859390692830673</v>
      </c>
      <c r="T75" t="s">
        <v>341</v>
      </c>
      <c r="V75" s="4"/>
      <c r="X75">
        <f ca="1">RANDBETWEEN(2,COUNTA(rua_cod!A:A))</f>
        <v>6</v>
      </c>
      <c r="Y75">
        <f t="shared" ca="1" si="18"/>
        <v>1</v>
      </c>
      <c r="Z75">
        <f t="shared" ca="1" si="19"/>
        <v>1</v>
      </c>
      <c r="AA75">
        <f t="shared" ca="1" si="20"/>
        <v>1970</v>
      </c>
      <c r="AB75">
        <f t="shared" ca="1" si="21"/>
        <v>8</v>
      </c>
      <c r="AC75">
        <f t="shared" ca="1" si="22"/>
        <v>6</v>
      </c>
      <c r="AD75">
        <f t="shared" ca="1" si="23"/>
        <v>50</v>
      </c>
    </row>
    <row r="76" spans="1:30" x14ac:dyDescent="0.25">
      <c r="A76">
        <v>75</v>
      </c>
      <c r="B76" t="str">
        <f t="shared" si="12"/>
        <v>med075</v>
      </c>
      <c r="C76" t="str">
        <f t="shared" si="13"/>
        <v>pswmed075</v>
      </c>
      <c r="D76" t="str">
        <f ca="1">Nomes!T77</f>
        <v>Gabriel Lara Ferreira Sá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Rua do Guarda-Mor</v>
      </c>
      <c r="H76" t="str" cm="1">
        <f t="array" aca="1" ref="H76" ca="1">INDEX(rua_cod!$A:$A,Médicos!X76) &amp; "-" &amp; TEXT(RANDBETWEEN(0,999),"000")</f>
        <v>1999-129</v>
      </c>
      <c r="I76" t="str" cm="1">
        <f t="array" aca="1" ref="I76" ca="1">INDEX(rua_cod!$B:$B,Médicos!X76)</f>
        <v>Lisboa</v>
      </c>
      <c r="J76" t="s">
        <v>341</v>
      </c>
      <c r="K76" t="s">
        <v>225</v>
      </c>
      <c r="L76" t="s">
        <v>265</v>
      </c>
      <c r="M76" t="str">
        <f t="shared" ca="1" si="14"/>
        <v>92650937</v>
      </c>
      <c r="N76" t="str">
        <f t="shared" ca="1" si="15"/>
        <v>519086360</v>
      </c>
      <c r="O76" t="str">
        <f t="shared" ca="1" si="15"/>
        <v>555079345</v>
      </c>
      <c r="P76" t="str" cm="1">
        <f t="array" aca="1" ref="P76" ca="1">9 &amp; INDEX($AH$3:$AH$6,Y76)&amp; TEXT(RANDBETWEEN(0,9999999),"0000000")</f>
        <v>965996346</v>
      </c>
      <c r="Q76" t="str" cm="1">
        <f t="array" aca="1" ref="Q76" ca="1">LOWER(B76) &amp; INDEX($AH$9:$AH$11,Z76)</f>
        <v>med075@hospital.upskill.com</v>
      </c>
      <c r="R76" t="str">
        <f t="shared" si="16"/>
        <v>med075.jpg</v>
      </c>
      <c r="S76" s="8">
        <f t="shared" ca="1" si="17"/>
        <v>9809326820690854</v>
      </c>
      <c r="T76" t="s">
        <v>341</v>
      </c>
      <c r="V76" s="4"/>
      <c r="X76">
        <f ca="1">RANDBETWEEN(2,COUNTA(rua_cod!A:A))</f>
        <v>79</v>
      </c>
      <c r="Y76">
        <f t="shared" ca="1" si="18"/>
        <v>4</v>
      </c>
      <c r="Z76">
        <f t="shared" ca="1" si="19"/>
        <v>2</v>
      </c>
      <c r="AA76">
        <f t="shared" ca="1" si="20"/>
        <v>1970</v>
      </c>
      <c r="AB76">
        <f t="shared" ca="1" si="21"/>
        <v>7</v>
      </c>
      <c r="AC76">
        <f t="shared" ca="1" si="22"/>
        <v>13</v>
      </c>
      <c r="AD76">
        <f t="shared" ca="1" si="23"/>
        <v>50</v>
      </c>
    </row>
    <row r="77" spans="1:30" x14ac:dyDescent="0.25">
      <c r="A77">
        <v>76</v>
      </c>
      <c r="B77" t="str">
        <f t="shared" si="12"/>
        <v>med076</v>
      </c>
      <c r="C77" t="str">
        <f t="shared" si="13"/>
        <v>pswmed076</v>
      </c>
      <c r="D77" t="str">
        <f ca="1">Nomes!T78</f>
        <v>Maria Matilde Borges Santos</v>
      </c>
      <c r="E77" t="str">
        <f ca="1">Nomes!S78</f>
        <v>Feminino</v>
      </c>
      <c r="F77" s="2">
        <v>24620</v>
      </c>
      <c r="G77" t="str" cm="1">
        <f t="array" aca="1" ref="G77" ca="1">INDEX(rua_cod!$F:$F,RANDBETWEEN(2,COUNTA(rua_cod!F:F)))</f>
        <v>Rua do Instituto Bacteriológico</v>
      </c>
      <c r="H77" t="str" cm="1">
        <f t="array" aca="1" ref="H77" ca="1">INDEX(rua_cod!$A:$A,Médicos!X77) &amp; "-" &amp; TEXT(RANDBETWEEN(0,999),"000")</f>
        <v>1500-072</v>
      </c>
      <c r="I77" t="str" cm="1">
        <f t="array" aca="1" ref="I77" ca="1">INDEX(rua_cod!$B:$B,Médicos!X77)</f>
        <v>Lisboa</v>
      </c>
      <c r="J77" t="s">
        <v>341</v>
      </c>
      <c r="K77" t="s">
        <v>225</v>
      </c>
      <c r="L77" t="s">
        <v>265</v>
      </c>
      <c r="M77" t="str">
        <f t="shared" ca="1" si="14"/>
        <v>76148481</v>
      </c>
      <c r="N77" t="str">
        <f t="shared" ca="1" si="15"/>
        <v>345157713</v>
      </c>
      <c r="O77" t="str">
        <f t="shared" ca="1" si="15"/>
        <v>845285685</v>
      </c>
      <c r="P77" t="str" cm="1">
        <f t="array" aca="1" ref="P77" ca="1">9 &amp; INDEX($AH$3:$AH$6,Y77)&amp; TEXT(RANDBETWEEN(0,9999999),"0000000")</f>
        <v>938807663</v>
      </c>
      <c r="Q77" t="str" cm="1">
        <f t="array" aca="1" ref="Q77" ca="1">LOWER(B77) &amp; INDEX($AH$9:$AH$11,Z77)</f>
        <v>med076@hospital.upskill.com</v>
      </c>
      <c r="R77" t="str">
        <f t="shared" si="16"/>
        <v>med076.jpg</v>
      </c>
      <c r="S77" s="8">
        <f t="shared" ca="1" si="17"/>
        <v>1502146117421560</v>
      </c>
      <c r="T77" t="s">
        <v>341</v>
      </c>
      <c r="V77" s="4"/>
      <c r="X77">
        <f ca="1">RANDBETWEEN(2,COUNTA(rua_cod!A:A))</f>
        <v>43</v>
      </c>
      <c r="Y77">
        <f t="shared" ca="1" si="18"/>
        <v>3</v>
      </c>
      <c r="Z77">
        <f t="shared" ca="1" si="19"/>
        <v>1</v>
      </c>
      <c r="AA77">
        <f t="shared" ca="1" si="20"/>
        <v>1981</v>
      </c>
      <c r="AB77">
        <f t="shared" ca="1" si="21"/>
        <v>5</v>
      </c>
      <c r="AC77">
        <f t="shared" ca="1" si="22"/>
        <v>9</v>
      </c>
      <c r="AD77">
        <f t="shared" ca="1" si="23"/>
        <v>39</v>
      </c>
    </row>
    <row r="78" spans="1:30" x14ac:dyDescent="0.25">
      <c r="A78">
        <v>77</v>
      </c>
      <c r="B78" t="str">
        <f t="shared" si="12"/>
        <v>med077</v>
      </c>
      <c r="C78" t="str">
        <f t="shared" si="13"/>
        <v>pswmed077</v>
      </c>
      <c r="D78" t="str">
        <f ca="1">Nomes!T79</f>
        <v>André Matilde Barros Antunes</v>
      </c>
      <c r="E78" t="str">
        <f ca="1">Nomes!S79</f>
        <v>Masculino</v>
      </c>
      <c r="F78" s="2">
        <v>24983</v>
      </c>
      <c r="G78" t="str" cm="1">
        <f t="array" aca="1" ref="G78" ca="1">INDEX(rua_cod!$F:$F,RANDBETWEEN(2,COUNTA(rua_cod!F:F)))</f>
        <v>Rua da Oliveira ao Carmo</v>
      </c>
      <c r="H78" t="str" cm="1">
        <f t="array" aca="1" ref="H78" ca="1">INDEX(rua_cod!$A:$A,Médicos!X78) &amp; "-" &amp; TEXT(RANDBETWEEN(0,999),"000")</f>
        <v>2870-239</v>
      </c>
      <c r="I78" t="str" cm="1">
        <f t="array" aca="1" ref="I78" ca="1">INDEX(rua_cod!$B:$B,Médicos!X78)</f>
        <v>Montijo</v>
      </c>
      <c r="J78" t="s">
        <v>341</v>
      </c>
      <c r="K78" t="s">
        <v>225</v>
      </c>
      <c r="L78" t="s">
        <v>265</v>
      </c>
      <c r="M78" t="str">
        <f t="shared" ca="1" si="14"/>
        <v>10619377</v>
      </c>
      <c r="N78" t="str">
        <f t="shared" ca="1" si="15"/>
        <v>439877674</v>
      </c>
      <c r="O78" t="str">
        <f t="shared" ca="1" si="15"/>
        <v>296733904</v>
      </c>
      <c r="P78" t="str" cm="1">
        <f t="array" aca="1" ref="P78" ca="1">9 &amp; INDEX($AH$3:$AH$6,Y78)&amp; TEXT(RANDBETWEEN(0,9999999),"0000000")</f>
        <v>930526950</v>
      </c>
      <c r="Q78" t="str" cm="1">
        <f t="array" aca="1" ref="Q78" ca="1">LOWER(B78) &amp; INDEX($AH$9:$AH$11,Z78)</f>
        <v>med077@hospital.upskill.com</v>
      </c>
      <c r="R78" t="str">
        <f t="shared" si="16"/>
        <v>med077.jpg</v>
      </c>
      <c r="S78" s="8">
        <f t="shared" ca="1" si="17"/>
        <v>6239843321564785</v>
      </c>
      <c r="T78" t="s">
        <v>341</v>
      </c>
      <c r="V78" s="4"/>
      <c r="X78">
        <f ca="1">RANDBETWEEN(2,COUNTA(rua_cod!A:A))</f>
        <v>87</v>
      </c>
      <c r="Y78">
        <f t="shared" ca="1" si="18"/>
        <v>3</v>
      </c>
      <c r="Z78">
        <f t="shared" ca="1" si="19"/>
        <v>1</v>
      </c>
      <c r="AA78">
        <f t="shared" ca="1" si="20"/>
        <v>1975</v>
      </c>
      <c r="AB78">
        <f t="shared" ca="1" si="21"/>
        <v>9</v>
      </c>
      <c r="AC78">
        <f t="shared" ca="1" si="22"/>
        <v>16</v>
      </c>
      <c r="AD78">
        <f t="shared" ca="1" si="23"/>
        <v>45</v>
      </c>
    </row>
    <row r="79" spans="1:30" x14ac:dyDescent="0.25">
      <c r="A79">
        <v>78</v>
      </c>
      <c r="B79" t="str">
        <f t="shared" si="12"/>
        <v>med078</v>
      </c>
      <c r="C79" t="str">
        <f t="shared" si="13"/>
        <v>pswmed078</v>
      </c>
      <c r="D79" t="str">
        <f ca="1">Nomes!T80</f>
        <v>Daniela Daniela Simões Batista</v>
      </c>
      <c r="E79" t="str">
        <f ca="1">Nomes!S80</f>
        <v>Feminino</v>
      </c>
      <c r="F79" s="2">
        <v>28641</v>
      </c>
      <c r="G79" t="str" cm="1">
        <f t="array" aca="1" ref="G79" ca="1">INDEX(rua_cod!$F:$F,RANDBETWEEN(2,COUNTA(rua_cod!F:F)))</f>
        <v>Calçada Marquês de Abrantes</v>
      </c>
      <c r="H79" t="str" cm="1">
        <f t="array" aca="1" ref="H79" ca="1">INDEX(rua_cod!$A:$A,Médicos!X79) &amp; "-" &amp; TEXT(RANDBETWEEN(0,999),"000")</f>
        <v>2650-456</v>
      </c>
      <c r="I79" t="str" cm="1">
        <f t="array" aca="1" ref="I79" ca="1">INDEX(rua_cod!$B:$B,Médicos!X79)</f>
        <v>Amadora</v>
      </c>
      <c r="J79" t="s">
        <v>341</v>
      </c>
      <c r="K79" t="s">
        <v>225</v>
      </c>
      <c r="L79" t="s">
        <v>265</v>
      </c>
      <c r="M79" t="str">
        <f t="shared" ca="1" si="14"/>
        <v>96917434</v>
      </c>
      <c r="N79" t="str">
        <f t="shared" ca="1" si="15"/>
        <v>942684767</v>
      </c>
      <c r="O79" t="str">
        <f t="shared" ca="1" si="15"/>
        <v>964778503</v>
      </c>
      <c r="P79" t="str" cm="1">
        <f t="array" aca="1" ref="P79" ca="1">9 &amp; INDEX($AH$3:$AH$6,Y79)&amp; TEXT(RANDBETWEEN(0,9999999),"0000000")</f>
        <v>914389042</v>
      </c>
      <c r="Q79" t="str" cm="1">
        <f t="array" aca="1" ref="Q79" ca="1">LOWER(B79) &amp; INDEX($AH$9:$AH$11,Z79)</f>
        <v>med078@hospital.upskill.com</v>
      </c>
      <c r="R79" t="str">
        <f t="shared" si="16"/>
        <v>med078.jpg</v>
      </c>
      <c r="S79" s="8">
        <f t="shared" ca="1" si="17"/>
        <v>1503515193692510</v>
      </c>
      <c r="T79" t="s">
        <v>341</v>
      </c>
      <c r="V79" s="4"/>
      <c r="X79">
        <f ca="1">RANDBETWEEN(2,COUNTA(rua_cod!A:A))</f>
        <v>9</v>
      </c>
      <c r="Y79">
        <f t="shared" ca="1" si="18"/>
        <v>1</v>
      </c>
      <c r="Z79">
        <f t="shared" ca="1" si="19"/>
        <v>3</v>
      </c>
      <c r="AA79">
        <f t="shared" ca="1" si="20"/>
        <v>1990</v>
      </c>
      <c r="AB79">
        <f t="shared" ca="1" si="21"/>
        <v>7</v>
      </c>
      <c r="AC79">
        <f t="shared" ca="1" si="22"/>
        <v>10</v>
      </c>
      <c r="AD79">
        <f t="shared" ca="1" si="23"/>
        <v>30</v>
      </c>
    </row>
    <row r="80" spans="1:30" x14ac:dyDescent="0.25">
      <c r="A80">
        <v>79</v>
      </c>
      <c r="B80" t="str">
        <f t="shared" si="12"/>
        <v>med079</v>
      </c>
      <c r="C80" t="str">
        <f t="shared" si="13"/>
        <v>pswmed079</v>
      </c>
      <c r="D80" t="str">
        <f ca="1">Nomes!T81</f>
        <v>Bruno Diogo Pacheco Neves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Rua dos Heróis de Quionga</v>
      </c>
      <c r="H80" t="str" cm="1">
        <f t="array" aca="1" ref="H80" ca="1">INDEX(rua_cod!$A:$A,Médicos!X80) &amp; "-" &amp; TEXT(RANDBETWEEN(0,999),"000")</f>
        <v>2810-712</v>
      </c>
      <c r="I80" t="str" cm="1">
        <f t="array" aca="1" ref="I80" ca="1">INDEX(rua_cod!$B:$B,Médicos!X80)</f>
        <v>Almada</v>
      </c>
      <c r="J80" t="s">
        <v>341</v>
      </c>
      <c r="K80" t="s">
        <v>225</v>
      </c>
      <c r="L80" t="s">
        <v>265</v>
      </c>
      <c r="M80" t="str">
        <f t="shared" ca="1" si="14"/>
        <v>32459121</v>
      </c>
      <c r="N80" t="str">
        <f t="shared" ca="1" si="15"/>
        <v>722611537</v>
      </c>
      <c r="O80" t="str">
        <f t="shared" ca="1" si="15"/>
        <v>722314188</v>
      </c>
      <c r="P80" t="str" cm="1">
        <f t="array" aca="1" ref="P80" ca="1">9 &amp; INDEX($AH$3:$AH$6,Y80)&amp; TEXT(RANDBETWEEN(0,9999999),"0000000")</f>
        <v>936141208</v>
      </c>
      <c r="Q80" t="str" cm="1">
        <f t="array" aca="1" ref="Q80" ca="1">LOWER(B80) &amp; INDEX($AH$9:$AH$11,Z80)</f>
        <v>med079@hospital.upskill.com</v>
      </c>
      <c r="R80" t="str">
        <f t="shared" si="16"/>
        <v>med079.jpg</v>
      </c>
      <c r="S80" s="8">
        <f t="shared" ca="1" si="17"/>
        <v>3963231293029366</v>
      </c>
      <c r="T80" t="s">
        <v>341</v>
      </c>
      <c r="V80" s="4"/>
      <c r="X80">
        <f ca="1">RANDBETWEEN(2,COUNTA(rua_cod!A:A))</f>
        <v>3</v>
      </c>
      <c r="Y80">
        <f t="shared" ca="1" si="18"/>
        <v>3</v>
      </c>
      <c r="Z80">
        <f t="shared" ca="1" si="19"/>
        <v>2</v>
      </c>
      <c r="AA80">
        <f t="shared" ca="1" si="20"/>
        <v>1970</v>
      </c>
      <c r="AB80">
        <f t="shared" ca="1" si="21"/>
        <v>11</v>
      </c>
      <c r="AC80">
        <f t="shared" ca="1" si="22"/>
        <v>11</v>
      </c>
      <c r="AD80">
        <f t="shared" ca="1" si="23"/>
        <v>50</v>
      </c>
    </row>
    <row r="81" spans="1:30" x14ac:dyDescent="0.25">
      <c r="A81">
        <v>80</v>
      </c>
      <c r="B81" t="str">
        <f t="shared" si="12"/>
        <v>med080</v>
      </c>
      <c r="C81" t="str">
        <f t="shared" si="13"/>
        <v>pswmed080</v>
      </c>
      <c r="D81" t="str">
        <f ca="1">Nomes!T82</f>
        <v>Bruno Francisca Nascimento Amaral</v>
      </c>
      <c r="E81" t="str">
        <f ca="1">Nomes!S82</f>
        <v>Masculino</v>
      </c>
      <c r="F81" s="2">
        <v>22527</v>
      </c>
      <c r="G81" t="str" cm="1">
        <f t="array" aca="1" ref="G81" ca="1">INDEX(rua_cod!$F:$F,RANDBETWEEN(2,COUNTA(rua_cod!F:F)))</f>
        <v>Rua do Sol a Santana</v>
      </c>
      <c r="H81" t="str" cm="1">
        <f t="array" aca="1" ref="H81" ca="1">INDEX(rua_cod!$A:$A,Médicos!X81) &amp; "-" &amp; TEXT(RANDBETWEEN(0,999),"000")</f>
        <v>1149-158</v>
      </c>
      <c r="I81" t="str" cm="1">
        <f t="array" aca="1" ref="I81" ca="1">INDEX(rua_cod!$B:$B,Médicos!X81)</f>
        <v>Lisboa</v>
      </c>
      <c r="J81" t="s">
        <v>341</v>
      </c>
      <c r="K81" t="s">
        <v>225</v>
      </c>
      <c r="L81" t="s">
        <v>265</v>
      </c>
      <c r="M81" t="str">
        <f t="shared" ca="1" si="14"/>
        <v>33168713</v>
      </c>
      <c r="N81" t="str">
        <f t="shared" ca="1" si="15"/>
        <v>944806321</v>
      </c>
      <c r="O81" t="str">
        <f t="shared" ca="1" si="15"/>
        <v>329088644</v>
      </c>
      <c r="P81" t="str" cm="1">
        <f t="array" aca="1" ref="P81" ca="1">9 &amp; INDEX($AH$3:$AH$6,Y81)&amp; TEXT(RANDBETWEEN(0,9999999),"0000000")</f>
        <v>939882371</v>
      </c>
      <c r="Q81" t="str" cm="1">
        <f t="array" aca="1" ref="Q81" ca="1">LOWER(B81) &amp; INDEX($AH$9:$AH$11,Z81)</f>
        <v>med080@hospital.upskill.com</v>
      </c>
      <c r="R81" t="str">
        <f t="shared" si="16"/>
        <v>med080.jpg</v>
      </c>
      <c r="S81" s="8">
        <f t="shared" ca="1" si="17"/>
        <v>7401671604734652</v>
      </c>
      <c r="T81" t="s">
        <v>341</v>
      </c>
      <c r="V81" s="4"/>
      <c r="X81">
        <f ca="1">RANDBETWEEN(2,COUNTA(rua_cod!A:A))</f>
        <v>59</v>
      </c>
      <c r="Y81">
        <f t="shared" ca="1" si="18"/>
        <v>3</v>
      </c>
      <c r="Z81">
        <f t="shared" ca="1" si="19"/>
        <v>2</v>
      </c>
      <c r="AA81">
        <f t="shared" ca="1" si="20"/>
        <v>1960</v>
      </c>
      <c r="AB81">
        <f t="shared" ca="1" si="21"/>
        <v>7</v>
      </c>
      <c r="AC81">
        <f t="shared" ca="1" si="22"/>
        <v>29</v>
      </c>
      <c r="AD81">
        <f t="shared" ca="1" si="23"/>
        <v>60</v>
      </c>
    </row>
    <row r="82" spans="1:30" x14ac:dyDescent="0.25">
      <c r="A82">
        <v>81</v>
      </c>
      <c r="B82" t="str">
        <f t="shared" si="12"/>
        <v>med081</v>
      </c>
      <c r="C82" t="str">
        <f t="shared" si="13"/>
        <v>pswmed081</v>
      </c>
      <c r="D82" t="str">
        <f ca="1">Nomes!T83</f>
        <v>Marco Bruno Soares Barbosa</v>
      </c>
      <c r="E82" t="str">
        <f ca="1">Nomes!S83</f>
        <v>Masculino</v>
      </c>
      <c r="F82" s="2">
        <v>12686</v>
      </c>
      <c r="G82" t="str" cm="1">
        <f t="array" aca="1" ref="G82" ca="1">INDEX(rua_cod!$F:$F,RANDBETWEEN(2,COUNTA(rua_cod!F:F)))</f>
        <v>Calçada de Carriche</v>
      </c>
      <c r="H82" t="str" cm="1">
        <f t="array" aca="1" ref="H82" ca="1">INDEX(rua_cod!$A:$A,Médicos!X82) &amp; "-" &amp; TEXT(RANDBETWEEN(0,999),"000")</f>
        <v>1649-825</v>
      </c>
      <c r="I82" t="str" cm="1">
        <f t="array" aca="1" ref="I82" ca="1">INDEX(rua_cod!$B:$B,Médicos!X82)</f>
        <v>Lisboa</v>
      </c>
      <c r="J82" t="s">
        <v>341</v>
      </c>
      <c r="K82" t="s">
        <v>225</v>
      </c>
      <c r="L82" t="s">
        <v>265</v>
      </c>
      <c r="M82" t="str">
        <f t="shared" ca="1" si="14"/>
        <v>87407952</v>
      </c>
      <c r="N82" t="str">
        <f t="shared" ca="1" si="15"/>
        <v>106235576</v>
      </c>
      <c r="O82" t="str">
        <f t="shared" ca="1" si="15"/>
        <v>929723371</v>
      </c>
      <c r="P82" t="str" cm="1">
        <f t="array" aca="1" ref="P82" ca="1">9 &amp; INDEX($AH$3:$AH$6,Y82)&amp; TEXT(RANDBETWEEN(0,9999999),"0000000")</f>
        <v>913505826</v>
      </c>
      <c r="Q82" t="str" cm="1">
        <f t="array" aca="1" ref="Q82" ca="1">LOWER(B82) &amp; INDEX($AH$9:$AH$11,Z82)</f>
        <v>med081@hospital.upskill.com</v>
      </c>
      <c r="R82" t="str">
        <f t="shared" si="16"/>
        <v>med081.jpg</v>
      </c>
      <c r="S82" s="8">
        <f t="shared" ca="1" si="17"/>
        <v>7682274688374560</v>
      </c>
      <c r="T82" t="s">
        <v>341</v>
      </c>
      <c r="V82" s="4"/>
      <c r="X82">
        <f ca="1">RANDBETWEEN(2,COUNTA(rua_cod!A:A))</f>
        <v>68</v>
      </c>
      <c r="Y82">
        <f t="shared" ca="1" si="18"/>
        <v>1</v>
      </c>
      <c r="Z82">
        <f t="shared" ca="1" si="19"/>
        <v>1</v>
      </c>
      <c r="AA82">
        <f t="shared" ca="1" si="20"/>
        <v>1963</v>
      </c>
      <c r="AB82">
        <f t="shared" ca="1" si="21"/>
        <v>2</v>
      </c>
      <c r="AC82">
        <f t="shared" ca="1" si="22"/>
        <v>6</v>
      </c>
      <c r="AD82">
        <f t="shared" ca="1" si="23"/>
        <v>57</v>
      </c>
    </row>
    <row r="83" spans="1:30" x14ac:dyDescent="0.25">
      <c r="A83">
        <v>82</v>
      </c>
      <c r="B83" t="str">
        <f t="shared" si="12"/>
        <v>med082</v>
      </c>
      <c r="C83" t="str">
        <f t="shared" si="13"/>
        <v>pswmed082</v>
      </c>
      <c r="D83" t="str">
        <f ca="1">Nomes!T84</f>
        <v>Carolina Afonso Anjos Leal</v>
      </c>
      <c r="E83" t="str">
        <f ca="1">Nomes!S84</f>
        <v>Feminino</v>
      </c>
      <c r="F83" s="2">
        <v>36263</v>
      </c>
      <c r="G83" t="str" cm="1">
        <f t="array" aca="1" ref="G83" ca="1">INDEX(rua_cod!$F:$F,RANDBETWEEN(2,COUNTA(rua_cod!F:F)))</f>
        <v>Estrada Militar</v>
      </c>
      <c r="H83" t="str" cm="1">
        <f t="array" aca="1" ref="H83" ca="1">INDEX(rua_cod!$A:$A,Médicos!X83) &amp; "-" &amp; TEXT(RANDBETWEEN(0,999),"000")</f>
        <v>2415-406</v>
      </c>
      <c r="I83" t="str" cm="1">
        <f t="array" aca="1" ref="I83" ca="1">INDEX(rua_cod!$B:$B,Médicos!X83)</f>
        <v>Leiria</v>
      </c>
      <c r="J83" t="s">
        <v>341</v>
      </c>
      <c r="K83" t="s">
        <v>225</v>
      </c>
      <c r="L83" t="s">
        <v>265</v>
      </c>
      <c r="M83" t="str">
        <f t="shared" ca="1" si="14"/>
        <v>38529655</v>
      </c>
      <c r="N83" t="str">
        <f t="shared" ca="1" si="15"/>
        <v>661221533</v>
      </c>
      <c r="O83" t="str">
        <f t="shared" ca="1" si="15"/>
        <v>143383567</v>
      </c>
      <c r="P83" t="str" cm="1">
        <f t="array" aca="1" ref="P83" ca="1">9 &amp; INDEX($AH$3:$AH$6,Y83)&amp; TEXT(RANDBETWEEN(0,9999999),"0000000")</f>
        <v>917024361</v>
      </c>
      <c r="Q83" t="str" cm="1">
        <f t="array" aca="1" ref="Q83" ca="1">LOWER(B83) &amp; INDEX($AH$9:$AH$11,Z83)</f>
        <v>med082@hospital.upskill.com</v>
      </c>
      <c r="R83" t="str">
        <f t="shared" si="16"/>
        <v>med082.jpg</v>
      </c>
      <c r="S83" s="8">
        <f t="shared" ca="1" si="17"/>
        <v>7952661552048849</v>
      </c>
      <c r="T83" t="s">
        <v>341</v>
      </c>
      <c r="V83" s="4"/>
      <c r="X83">
        <f ca="1">RANDBETWEEN(2,COUNTA(rua_cod!A:A))</f>
        <v>35</v>
      </c>
      <c r="Y83">
        <f t="shared" ca="1" si="18"/>
        <v>1</v>
      </c>
      <c r="Z83">
        <f t="shared" ca="1" si="19"/>
        <v>1</v>
      </c>
      <c r="AA83">
        <f t="shared" ca="1" si="20"/>
        <v>1977</v>
      </c>
      <c r="AB83">
        <f t="shared" ca="1" si="21"/>
        <v>6</v>
      </c>
      <c r="AC83">
        <f t="shared" ca="1" si="22"/>
        <v>19</v>
      </c>
      <c r="AD83">
        <f t="shared" ca="1" si="23"/>
        <v>43</v>
      </c>
    </row>
    <row r="84" spans="1:30" x14ac:dyDescent="0.25">
      <c r="A84">
        <v>83</v>
      </c>
      <c r="B84" t="str">
        <f t="shared" si="12"/>
        <v>med083</v>
      </c>
      <c r="C84" t="str">
        <f t="shared" si="13"/>
        <v>pswmed083</v>
      </c>
      <c r="D84" t="str">
        <f ca="1">Nomes!T85</f>
        <v>Santiago Beatriz Pereira Guerreiro</v>
      </c>
      <c r="E84" t="str">
        <f ca="1">Nomes!S85</f>
        <v>Masculino</v>
      </c>
      <c r="F84" s="2">
        <v>13617</v>
      </c>
      <c r="G84" t="str" cm="1">
        <f t="array" aca="1" ref="G84" ca="1">INDEX(rua_cod!$F:$F,RANDBETWEEN(2,COUNTA(rua_cod!F:F)))</f>
        <v>Rua dos Fanqueiros</v>
      </c>
      <c r="H84" t="str" cm="1">
        <f t="array" aca="1" ref="H84" ca="1">INDEX(rua_cod!$A:$A,Médicos!X84) &amp; "-" &amp; TEXT(RANDBETWEEN(0,999),"000")</f>
        <v>2410-594</v>
      </c>
      <c r="I84" t="str" cm="1">
        <f t="array" aca="1" ref="I84" ca="1">INDEX(rua_cod!$B:$B,Médicos!X84)</f>
        <v>Leiria</v>
      </c>
      <c r="J84" t="s">
        <v>341</v>
      </c>
      <c r="K84" t="s">
        <v>225</v>
      </c>
      <c r="L84" t="s">
        <v>265</v>
      </c>
      <c r="M84" t="str">
        <f t="shared" ca="1" si="14"/>
        <v>76579521</v>
      </c>
      <c r="N84" t="str">
        <f t="shared" ca="1" si="15"/>
        <v>556494349</v>
      </c>
      <c r="O84" t="str">
        <f t="shared" ca="1" si="15"/>
        <v>569377114</v>
      </c>
      <c r="P84" t="str" cm="1">
        <f t="array" aca="1" ref="P84" ca="1">9 &amp; INDEX($AH$3:$AH$6,Y84)&amp; TEXT(RANDBETWEEN(0,9999999),"0000000")</f>
        <v>928145567</v>
      </c>
      <c r="Q84" t="str" cm="1">
        <f t="array" aca="1" ref="Q84" ca="1">LOWER(B84) &amp; INDEX($AH$9:$AH$11,Z84)</f>
        <v>med083@hospital.upskill.com</v>
      </c>
      <c r="R84" t="str">
        <f t="shared" si="16"/>
        <v>med083.jpg</v>
      </c>
      <c r="S84" s="8">
        <f t="shared" ca="1" si="17"/>
        <v>3360160574226977</v>
      </c>
      <c r="T84" t="s">
        <v>341</v>
      </c>
      <c r="V84" s="4"/>
      <c r="X84">
        <f ca="1">RANDBETWEEN(2,COUNTA(rua_cod!A:A))</f>
        <v>34</v>
      </c>
      <c r="Y84">
        <f t="shared" ca="1" si="18"/>
        <v>2</v>
      </c>
      <c r="Z84">
        <f t="shared" ca="1" si="19"/>
        <v>3</v>
      </c>
      <c r="AA84">
        <f t="shared" ca="1" si="20"/>
        <v>1961</v>
      </c>
      <c r="AB84">
        <f t="shared" ca="1" si="21"/>
        <v>11</v>
      </c>
      <c r="AC84">
        <f t="shared" ca="1" si="22"/>
        <v>18</v>
      </c>
      <c r="AD84">
        <f t="shared" ca="1" si="23"/>
        <v>59</v>
      </c>
    </row>
    <row r="85" spans="1:30" x14ac:dyDescent="0.25">
      <c r="A85">
        <v>84</v>
      </c>
      <c r="B85" t="str">
        <f t="shared" si="12"/>
        <v>med084</v>
      </c>
      <c r="C85" t="str">
        <f t="shared" si="13"/>
        <v>pswmed084</v>
      </c>
      <c r="D85" t="str">
        <f ca="1">Nomes!T86</f>
        <v>Santiago Afonso Neves Monteiro</v>
      </c>
      <c r="E85" t="str">
        <f ca="1">Nomes!S86</f>
        <v>Masculino</v>
      </c>
      <c r="F85" s="2">
        <v>41552</v>
      </c>
      <c r="G85" t="str" cm="1">
        <f t="array" aca="1" ref="G85" ca="1">INDEX(rua_cod!$F:$F,RANDBETWEEN(2,COUNTA(rua_cod!F:F)))</f>
        <v>Travessa de São João da Praça</v>
      </c>
      <c r="H85" t="str" cm="1">
        <f t="array" aca="1" ref="H85" ca="1">INDEX(rua_cod!$A:$A,Médicos!X85) &amp; "-" &amp; TEXT(RANDBETWEEN(0,999),"000")</f>
        <v>1050-139</v>
      </c>
      <c r="I85" t="str" cm="1">
        <f t="array" aca="1" ref="I85" ca="1">INDEX(rua_cod!$B:$B,Médicos!X85)</f>
        <v>Lisboa</v>
      </c>
      <c r="J85" t="s">
        <v>341</v>
      </c>
      <c r="K85" t="s">
        <v>225</v>
      </c>
      <c r="L85" t="s">
        <v>265</v>
      </c>
      <c r="M85" t="str">
        <f t="shared" ca="1" si="14"/>
        <v>80377532</v>
      </c>
      <c r="N85" t="str">
        <f t="shared" ca="1" si="15"/>
        <v>959602427</v>
      </c>
      <c r="O85" t="str">
        <f t="shared" ca="1" si="15"/>
        <v>862402015</v>
      </c>
      <c r="P85" t="str" cm="1">
        <f t="array" aca="1" ref="P85" ca="1">9 &amp; INDEX($AH$3:$AH$6,Y85)&amp; TEXT(RANDBETWEEN(0,9999999),"0000000")</f>
        <v>925458118</v>
      </c>
      <c r="Q85" t="str" cm="1">
        <f t="array" aca="1" ref="Q85" ca="1">LOWER(B85) &amp; INDEX($AH$9:$AH$11,Z85)</f>
        <v>med084@hospital.upskill.com</v>
      </c>
      <c r="R85" t="str">
        <f t="shared" si="16"/>
        <v>med084.jpg</v>
      </c>
      <c r="S85" s="8">
        <f t="shared" ca="1" si="17"/>
        <v>5704564239174207</v>
      </c>
      <c r="T85" t="s">
        <v>341</v>
      </c>
      <c r="V85" s="4"/>
      <c r="X85">
        <f ca="1">RANDBETWEEN(2,COUNTA(rua_cod!A:A))</f>
        <v>66</v>
      </c>
      <c r="Y85">
        <f t="shared" ca="1" si="18"/>
        <v>2</v>
      </c>
      <c r="Z85">
        <f t="shared" ca="1" si="19"/>
        <v>1</v>
      </c>
      <c r="AA85">
        <f t="shared" ca="1" si="20"/>
        <v>1981</v>
      </c>
      <c r="AB85">
        <f t="shared" ca="1" si="21"/>
        <v>4</v>
      </c>
      <c r="AC85">
        <f t="shared" ca="1" si="22"/>
        <v>15</v>
      </c>
      <c r="AD85">
        <f t="shared" ca="1" si="23"/>
        <v>39</v>
      </c>
    </row>
    <row r="86" spans="1:30" x14ac:dyDescent="0.25">
      <c r="A86">
        <v>85</v>
      </c>
      <c r="B86" t="str">
        <f t="shared" si="12"/>
        <v>med085</v>
      </c>
      <c r="C86" t="str">
        <f t="shared" si="13"/>
        <v>pswmed085</v>
      </c>
      <c r="D86" t="str">
        <f ca="1">Nomes!T87</f>
        <v>Lara Miguel Figueiredo Borges</v>
      </c>
      <c r="E86" t="str">
        <f ca="1">Nomes!S87</f>
        <v>Feminino</v>
      </c>
      <c r="F86" s="2">
        <v>27773</v>
      </c>
      <c r="G86" t="str" cm="1">
        <f t="array" aca="1" ref="G86" ca="1">INDEX(rua_cod!$F:$F,RANDBETWEEN(2,COUNTA(rua_cod!F:F)))</f>
        <v>Rua dos Bacalhoeiros</v>
      </c>
      <c r="H86" t="str" cm="1">
        <f t="array" aca="1" ref="H86" ca="1">INDEX(rua_cod!$A:$A,Médicos!X86) &amp; "-" &amp; TEXT(RANDBETWEEN(0,999),"000")</f>
        <v>2420-164</v>
      </c>
      <c r="I86" t="str" cm="1">
        <f t="array" aca="1" ref="I86" ca="1">INDEX(rua_cod!$B:$B,Médicos!X86)</f>
        <v>Leiria</v>
      </c>
      <c r="J86" t="s">
        <v>341</v>
      </c>
      <c r="K86" t="s">
        <v>225</v>
      </c>
      <c r="L86" t="s">
        <v>265</v>
      </c>
      <c r="M86" t="str">
        <f t="shared" ca="1" si="14"/>
        <v>97325600</v>
      </c>
      <c r="N86" t="str">
        <f t="shared" ca="1" si="15"/>
        <v>367850839</v>
      </c>
      <c r="O86" t="str">
        <f t="shared" ca="1" si="15"/>
        <v>668286847</v>
      </c>
      <c r="P86" t="str" cm="1">
        <f t="array" aca="1" ref="P86" ca="1">9 &amp; INDEX($AH$3:$AH$6,Y86)&amp; TEXT(RANDBETWEEN(0,9999999),"0000000")</f>
        <v>925132627</v>
      </c>
      <c r="Q86" t="str" cm="1">
        <f t="array" aca="1" ref="Q86" ca="1">LOWER(B86) &amp; INDEX($AH$9:$AH$11,Z86)</f>
        <v>med085@hospital.upskill.com</v>
      </c>
      <c r="R86" t="str">
        <f t="shared" si="16"/>
        <v>med085.jpg</v>
      </c>
      <c r="S86" s="8">
        <f t="shared" ca="1" si="17"/>
        <v>8513729460286842</v>
      </c>
      <c r="T86" t="s">
        <v>341</v>
      </c>
      <c r="V86" s="4"/>
      <c r="X86">
        <f ca="1">RANDBETWEEN(2,COUNTA(rua_cod!A:A))</f>
        <v>33</v>
      </c>
      <c r="Y86">
        <f t="shared" ca="1" si="18"/>
        <v>2</v>
      </c>
      <c r="Z86">
        <f t="shared" ca="1" si="19"/>
        <v>1</v>
      </c>
      <c r="AA86">
        <f t="shared" ca="1" si="20"/>
        <v>1975</v>
      </c>
      <c r="AB86">
        <f t="shared" ca="1" si="21"/>
        <v>5</v>
      </c>
      <c r="AC86">
        <f t="shared" ca="1" si="22"/>
        <v>28</v>
      </c>
      <c r="AD86">
        <f t="shared" ca="1" si="23"/>
        <v>45</v>
      </c>
    </row>
    <row r="87" spans="1:30" x14ac:dyDescent="0.25">
      <c r="A87">
        <v>86</v>
      </c>
      <c r="B87" t="str">
        <f t="shared" si="12"/>
        <v>med086</v>
      </c>
      <c r="C87" t="str">
        <f t="shared" si="13"/>
        <v>pswmed086</v>
      </c>
      <c r="D87" t="str">
        <f ca="1">Nomes!T88</f>
        <v>Mariana Bruno Anjos Sá</v>
      </c>
      <c r="E87" t="str">
        <f ca="1">Nomes!S88</f>
        <v>Feminino</v>
      </c>
      <c r="F87" s="2">
        <v>27273</v>
      </c>
      <c r="G87" t="str" cm="1">
        <f t="array" aca="1" ref="G87" ca="1">INDEX(rua_cod!$F:$F,RANDBETWEEN(2,COUNTA(rua_cod!F:F)))</f>
        <v>Rua do Guarda-Mor</v>
      </c>
      <c r="H87" t="str" cm="1">
        <f t="array" aca="1" ref="H87" ca="1">INDEX(rua_cod!$A:$A,Médicos!X87) &amp; "-" &amp; TEXT(RANDBETWEEN(0,999),"000")</f>
        <v>1400-704</v>
      </c>
      <c r="I87" t="str" cm="1">
        <f t="array" aca="1" ref="I87" ca="1">INDEX(rua_cod!$B:$B,Médicos!X87)</f>
        <v>Lisboa</v>
      </c>
      <c r="J87" t="s">
        <v>341</v>
      </c>
      <c r="K87" t="s">
        <v>225</v>
      </c>
      <c r="L87" t="s">
        <v>265</v>
      </c>
      <c r="M87" t="str">
        <f t="shared" ca="1" si="14"/>
        <v>35565473</v>
      </c>
      <c r="N87" t="str">
        <f t="shared" ca="1" si="15"/>
        <v>326880197</v>
      </c>
      <c r="O87" t="str">
        <f t="shared" ca="1" si="15"/>
        <v>795340155</v>
      </c>
      <c r="P87" t="str" cm="1">
        <f t="array" aca="1" ref="P87" ca="1">9 &amp; INDEX($AH$3:$AH$6,Y87)&amp; TEXT(RANDBETWEEN(0,9999999),"0000000")</f>
        <v>925239417</v>
      </c>
      <c r="Q87" t="str" cm="1">
        <f t="array" aca="1" ref="Q87" ca="1">LOWER(B87) &amp; INDEX($AH$9:$AH$11,Z87)</f>
        <v>med086@hospital.upskill.com</v>
      </c>
      <c r="R87" t="str">
        <f t="shared" si="16"/>
        <v>med086.jpg</v>
      </c>
      <c r="S87" s="8">
        <f t="shared" ca="1" si="17"/>
        <v>2539941371124084</v>
      </c>
      <c r="T87" t="s">
        <v>341</v>
      </c>
      <c r="V87" s="4"/>
      <c r="X87">
        <f ca="1">RANDBETWEEN(2,COUNTA(rua_cod!A:A))</f>
        <v>57</v>
      </c>
      <c r="Y87">
        <f t="shared" ca="1" si="18"/>
        <v>2</v>
      </c>
      <c r="Z87">
        <f t="shared" ca="1" si="19"/>
        <v>2</v>
      </c>
      <c r="AA87">
        <f t="shared" ca="1" si="20"/>
        <v>1969</v>
      </c>
      <c r="AB87">
        <f t="shared" ca="1" si="21"/>
        <v>2</v>
      </c>
      <c r="AC87">
        <f t="shared" ca="1" si="22"/>
        <v>12</v>
      </c>
      <c r="AD87">
        <f t="shared" ca="1" si="23"/>
        <v>51</v>
      </c>
    </row>
    <row r="88" spans="1:30" x14ac:dyDescent="0.25">
      <c r="A88">
        <v>87</v>
      </c>
      <c r="B88" t="str">
        <f t="shared" si="12"/>
        <v>med087</v>
      </c>
      <c r="C88" t="str">
        <f t="shared" si="13"/>
        <v>pswmed087</v>
      </c>
      <c r="D88" t="str">
        <f ca="1">Nomes!T89</f>
        <v>Vera Pedro Oliveira Baptista</v>
      </c>
      <c r="E88" t="str">
        <f ca="1">Nomes!S89</f>
        <v>Feminino</v>
      </c>
      <c r="F88" s="2">
        <v>33962</v>
      </c>
      <c r="G88" t="str" cm="1">
        <f t="array" aca="1" ref="G88" ca="1">INDEX(rua_cod!$F:$F,RANDBETWEEN(2,COUNTA(rua_cod!F:F)))</f>
        <v>Rua da Betesga</v>
      </c>
      <c r="H88" t="str" cm="1">
        <f t="array" aca="1" ref="H88" ca="1">INDEX(rua_cod!$A:$A,Médicos!X88) &amp; "-" &amp; TEXT(RANDBETWEEN(0,999),"000")</f>
        <v>1300-708</v>
      </c>
      <c r="I88" t="str" cm="1">
        <f t="array" aca="1" ref="I88" ca="1">INDEX(rua_cod!$B:$B,Médicos!X88)</f>
        <v>Lisboa</v>
      </c>
      <c r="J88" t="s">
        <v>341</v>
      </c>
      <c r="K88" t="s">
        <v>225</v>
      </c>
      <c r="L88" t="s">
        <v>265</v>
      </c>
      <c r="M88" t="str">
        <f t="shared" ca="1" si="14"/>
        <v>71932470</v>
      </c>
      <c r="N88" t="str">
        <f t="shared" ca="1" si="15"/>
        <v>524011155</v>
      </c>
      <c r="O88" t="str">
        <f t="shared" ca="1" si="15"/>
        <v>831846492</v>
      </c>
      <c r="P88" t="str" cm="1">
        <f t="array" aca="1" ref="P88" ca="1">9 &amp; INDEX($AH$3:$AH$6,Y88)&amp; TEXT(RANDBETWEEN(0,9999999),"0000000")</f>
        <v>930054584</v>
      </c>
      <c r="Q88" t="str" cm="1">
        <f t="array" aca="1" ref="Q88" ca="1">LOWER(B88) &amp; INDEX($AH$9:$AH$11,Z88)</f>
        <v>med087@hospital.upskill.com</v>
      </c>
      <c r="R88" t="str">
        <f t="shared" si="16"/>
        <v>med087.jpg</v>
      </c>
      <c r="S88" s="8">
        <f t="shared" ca="1" si="17"/>
        <v>9196191303340372</v>
      </c>
      <c r="T88" t="s">
        <v>341</v>
      </c>
      <c r="V88" s="4"/>
      <c r="X88">
        <f ca="1">RANDBETWEEN(2,COUNTA(rua_cod!A:A))</f>
        <v>58</v>
      </c>
      <c r="Y88">
        <f t="shared" ca="1" si="18"/>
        <v>3</v>
      </c>
      <c r="Z88">
        <f t="shared" ca="1" si="19"/>
        <v>2</v>
      </c>
      <c r="AA88">
        <f t="shared" ca="1" si="20"/>
        <v>1964</v>
      </c>
      <c r="AB88">
        <f t="shared" ca="1" si="21"/>
        <v>8</v>
      </c>
      <c r="AC88">
        <f t="shared" ca="1" si="22"/>
        <v>8</v>
      </c>
      <c r="AD88">
        <f t="shared" ca="1" si="23"/>
        <v>56</v>
      </c>
    </row>
    <row r="89" spans="1:30" x14ac:dyDescent="0.25">
      <c r="A89">
        <v>88</v>
      </c>
      <c r="B89" t="str">
        <f t="shared" si="12"/>
        <v>med088</v>
      </c>
      <c r="C89" t="str">
        <f t="shared" si="13"/>
        <v>pswmed088</v>
      </c>
      <c r="D89" t="str">
        <f ca="1">Nomes!T90</f>
        <v>Laura Tomás Martins Fernandes</v>
      </c>
      <c r="E89" t="str">
        <f ca="1">Nomes!S90</f>
        <v>Feminino</v>
      </c>
      <c r="F89" s="2">
        <v>16313</v>
      </c>
      <c r="G89" t="str" cm="1">
        <f t="array" aca="1" ref="G89" ca="1">INDEX(rua_cod!$F:$F,RANDBETWEEN(2,COUNTA(rua_cod!F:F)))</f>
        <v>Rua da Prata</v>
      </c>
      <c r="H89" t="str" cm="1">
        <f t="array" aca="1" ref="H89" ca="1">INDEX(rua_cod!$A:$A,Médicos!X89) &amp; "-" &amp; TEXT(RANDBETWEEN(0,999),"000")</f>
        <v>2754-477</v>
      </c>
      <c r="I89" t="str" cm="1">
        <f t="array" aca="1" ref="I89" ca="1">INDEX(rua_cod!$B:$B,Médicos!X89)</f>
        <v>Cascais</v>
      </c>
      <c r="J89" t="s">
        <v>341</v>
      </c>
      <c r="K89" t="s">
        <v>225</v>
      </c>
      <c r="L89" t="s">
        <v>265</v>
      </c>
      <c r="M89" t="str">
        <f t="shared" ca="1" si="14"/>
        <v>75480590</v>
      </c>
      <c r="N89" t="str">
        <f t="shared" ca="1" si="15"/>
        <v>105674706</v>
      </c>
      <c r="O89" t="str">
        <f t="shared" ca="1" si="15"/>
        <v>154071600</v>
      </c>
      <c r="P89" t="str" cm="1">
        <f t="array" aca="1" ref="P89" ca="1">9 &amp; INDEX($AH$3:$AH$6,Y89)&amp; TEXT(RANDBETWEEN(0,9999999),"0000000")</f>
        <v>920423715</v>
      </c>
      <c r="Q89" t="str" cm="1">
        <f t="array" aca="1" ref="Q89" ca="1">LOWER(B89) &amp; INDEX($AH$9:$AH$11,Z89)</f>
        <v>med088@hospital.upskill.com</v>
      </c>
      <c r="R89" t="str">
        <f t="shared" si="16"/>
        <v>med088.jpg</v>
      </c>
      <c r="S89" s="8">
        <f t="shared" ca="1" si="17"/>
        <v>8811218225370452</v>
      </c>
      <c r="T89" t="s">
        <v>341</v>
      </c>
      <c r="V89" s="4"/>
      <c r="X89">
        <f ca="1">RANDBETWEEN(2,COUNTA(rua_cod!A:A))</f>
        <v>25</v>
      </c>
      <c r="Y89">
        <f t="shared" ca="1" si="18"/>
        <v>2</v>
      </c>
      <c r="Z89">
        <f t="shared" ca="1" si="19"/>
        <v>2</v>
      </c>
      <c r="AA89">
        <f t="shared" ca="1" si="20"/>
        <v>1969</v>
      </c>
      <c r="AB89">
        <f t="shared" ca="1" si="21"/>
        <v>9</v>
      </c>
      <c r="AC89">
        <f t="shared" ca="1" si="22"/>
        <v>31</v>
      </c>
      <c r="AD89">
        <f t="shared" ca="1" si="23"/>
        <v>51</v>
      </c>
    </row>
    <row r="90" spans="1:30" x14ac:dyDescent="0.25">
      <c r="A90">
        <v>89</v>
      </c>
      <c r="B90" t="str">
        <f t="shared" si="12"/>
        <v>med089</v>
      </c>
      <c r="C90" t="str">
        <f t="shared" si="13"/>
        <v>pswmed089</v>
      </c>
      <c r="D90" t="str">
        <f ca="1">Nomes!T91</f>
        <v>Francisco Lurdes Lima Alves</v>
      </c>
      <c r="E90" t="str">
        <f ca="1">Nomes!S91</f>
        <v>Masculino</v>
      </c>
      <c r="F90" s="2">
        <v>40133</v>
      </c>
      <c r="G90" t="str" cm="1">
        <f t="array" aca="1" ref="G90" ca="1">INDEX(rua_cod!$F:$F,RANDBETWEEN(2,COUNTA(rua_cod!F:F)))</f>
        <v>Calçada do Poço dos Mouros</v>
      </c>
      <c r="H90" t="str" cm="1">
        <f t="array" aca="1" ref="H90" ca="1">INDEX(rua_cod!$A:$A,Médicos!X90) &amp; "-" &amp; TEXT(RANDBETWEEN(0,999),"000")</f>
        <v>2640-091</v>
      </c>
      <c r="I90" t="str" cm="1">
        <f t="array" aca="1" ref="I90" ca="1">INDEX(rua_cod!$B:$B,Médicos!X90)</f>
        <v>Mafra</v>
      </c>
      <c r="J90" t="s">
        <v>341</v>
      </c>
      <c r="K90" t="s">
        <v>225</v>
      </c>
      <c r="L90" t="s">
        <v>265</v>
      </c>
      <c r="M90" t="str">
        <f t="shared" ca="1" si="14"/>
        <v>43117750</v>
      </c>
      <c r="N90" t="str">
        <f t="shared" ca="1" si="15"/>
        <v>911331235</v>
      </c>
      <c r="O90" t="str">
        <f t="shared" ca="1" si="15"/>
        <v>173465810</v>
      </c>
      <c r="P90" t="str" cm="1">
        <f t="array" aca="1" ref="P90" ca="1">9 &amp; INDEX($AH$3:$AH$6,Y90)&amp; TEXT(RANDBETWEEN(0,9999999),"0000000")</f>
        <v>929940086</v>
      </c>
      <c r="Q90" t="str" cm="1">
        <f t="array" aca="1" ref="Q90" ca="1">LOWER(B90) &amp; INDEX($AH$9:$AH$11,Z90)</f>
        <v>med089@hospital.upskill.com</v>
      </c>
      <c r="R90" t="str">
        <f t="shared" si="16"/>
        <v>med089.jpg</v>
      </c>
      <c r="S90" s="8">
        <f t="shared" ca="1" si="17"/>
        <v>7425308402603809</v>
      </c>
      <c r="T90" t="s">
        <v>341</v>
      </c>
      <c r="V90" s="4"/>
      <c r="X90">
        <f ca="1">RANDBETWEEN(2,COUNTA(rua_cod!A:A))</f>
        <v>85</v>
      </c>
      <c r="Y90">
        <f t="shared" ca="1" si="18"/>
        <v>2</v>
      </c>
      <c r="Z90">
        <f t="shared" ca="1" si="19"/>
        <v>2</v>
      </c>
      <c r="AA90">
        <f t="shared" ca="1" si="20"/>
        <v>1985</v>
      </c>
      <c r="AB90">
        <f t="shared" ca="1" si="21"/>
        <v>11</v>
      </c>
      <c r="AC90">
        <f t="shared" ca="1" si="22"/>
        <v>27</v>
      </c>
      <c r="AD90">
        <f t="shared" ca="1" si="23"/>
        <v>35</v>
      </c>
    </row>
    <row r="91" spans="1:30" x14ac:dyDescent="0.25">
      <c r="A91">
        <v>90</v>
      </c>
      <c r="B91" t="str">
        <f t="shared" si="12"/>
        <v>med090</v>
      </c>
      <c r="C91" t="str">
        <f t="shared" si="13"/>
        <v>pswmed090</v>
      </c>
      <c r="D91" t="str">
        <f ca="1">Nomes!T92</f>
        <v>Tomás Gabriel Matias Sá</v>
      </c>
      <c r="E91" t="str">
        <f ca="1">Nomes!S92</f>
        <v>Masculino</v>
      </c>
      <c r="F91" s="2">
        <v>16302</v>
      </c>
      <c r="G91" t="str" cm="1">
        <f t="array" aca="1" ref="G91" ca="1">INDEX(rua_cod!$F:$F,RANDBETWEEN(2,COUNTA(rua_cod!F:F)))</f>
        <v>Rua da Madalena</v>
      </c>
      <c r="H91" t="str" cm="1">
        <f t="array" aca="1" ref="H91" ca="1">INDEX(rua_cod!$A:$A,Médicos!X91) &amp; "-" &amp; TEXT(RANDBETWEEN(0,999),"000")</f>
        <v>1098-395</v>
      </c>
      <c r="I91" t="str" cm="1">
        <f t="array" aca="1" ref="I91" ca="1">INDEX(rua_cod!$B:$B,Médicos!X91)</f>
        <v>Lisboa</v>
      </c>
      <c r="J91" t="s">
        <v>341</v>
      </c>
      <c r="K91" t="s">
        <v>225</v>
      </c>
      <c r="L91" t="s">
        <v>265</v>
      </c>
      <c r="M91" t="str">
        <f t="shared" ca="1" si="14"/>
        <v>18395336</v>
      </c>
      <c r="N91" t="str">
        <f t="shared" ca="1" si="15"/>
        <v>656352856</v>
      </c>
      <c r="O91" t="str">
        <f t="shared" ca="1" si="15"/>
        <v>448000975</v>
      </c>
      <c r="P91" t="str" cm="1">
        <f t="array" aca="1" ref="P91" ca="1">9 &amp; INDEX($AH$3:$AH$6,Y91)&amp; TEXT(RANDBETWEEN(0,9999999),"0000000")</f>
        <v>928093382</v>
      </c>
      <c r="Q91" t="str" cm="1">
        <f t="array" aca="1" ref="Q91" ca="1">LOWER(B91) &amp; INDEX($AH$9:$AH$11,Z91)</f>
        <v>med090@hospital.upskill.com</v>
      </c>
      <c r="R91" t="str">
        <f t="shared" si="16"/>
        <v>med090.jpg</v>
      </c>
      <c r="S91" s="8">
        <f t="shared" ca="1" si="17"/>
        <v>4912282007405968</v>
      </c>
      <c r="T91" t="s">
        <v>341</v>
      </c>
      <c r="V91" s="4"/>
      <c r="X91">
        <f ca="1">RANDBETWEEN(2,COUNTA(rua_cod!A:A))</f>
        <v>80</v>
      </c>
      <c r="Y91">
        <f t="shared" ca="1" si="18"/>
        <v>2</v>
      </c>
      <c r="Z91">
        <f t="shared" ca="1" si="19"/>
        <v>1</v>
      </c>
      <c r="AA91">
        <f t="shared" ca="1" si="20"/>
        <v>1978</v>
      </c>
      <c r="AB91">
        <f t="shared" ca="1" si="21"/>
        <v>8</v>
      </c>
      <c r="AC91">
        <f t="shared" ca="1" si="22"/>
        <v>18</v>
      </c>
      <c r="AD91">
        <f t="shared" ca="1" si="23"/>
        <v>42</v>
      </c>
    </row>
    <row r="92" spans="1:30" x14ac:dyDescent="0.25">
      <c r="A92">
        <v>91</v>
      </c>
      <c r="B92" t="str">
        <f t="shared" si="12"/>
        <v>med091</v>
      </c>
      <c r="C92" t="str">
        <f t="shared" si="13"/>
        <v>pswmed091</v>
      </c>
      <c r="D92" t="str">
        <f ca="1">Nomes!T93</f>
        <v>Duarte Catarina Matos Neto</v>
      </c>
      <c r="E92" t="str">
        <f ca="1">Nomes!S93</f>
        <v>Masculino</v>
      </c>
      <c r="F92" s="2">
        <v>15230</v>
      </c>
      <c r="G92" t="str" cm="1">
        <f t="array" aca="1" ref="G92" ca="1">INDEX(rua_cod!$F:$F,RANDBETWEEN(2,COUNTA(rua_cod!F:F)))</f>
        <v>Rua Júlio César Machado</v>
      </c>
      <c r="H92" t="str" cm="1">
        <f t="array" aca="1" ref="H92" ca="1">INDEX(rua_cod!$A:$A,Médicos!X92) &amp; "-" &amp; TEXT(RANDBETWEEN(0,999),"000")</f>
        <v>2779-906</v>
      </c>
      <c r="I92" t="str" cm="1">
        <f t="array" aca="1" ref="I92" ca="1">INDEX(rua_cod!$B:$B,Médicos!X92)</f>
        <v>Carcavelos</v>
      </c>
      <c r="J92" t="s">
        <v>341</v>
      </c>
      <c r="K92" t="s">
        <v>225</v>
      </c>
      <c r="L92" t="s">
        <v>265</v>
      </c>
      <c r="M92" t="str">
        <f t="shared" ca="1" si="14"/>
        <v>78123163</v>
      </c>
      <c r="N92" t="str">
        <f t="shared" ca="1" si="15"/>
        <v>263101174</v>
      </c>
      <c r="O92" t="str">
        <f t="shared" ca="1" si="15"/>
        <v>106458385</v>
      </c>
      <c r="P92" t="str" cm="1">
        <f t="array" aca="1" ref="P92" ca="1">9 &amp; INDEX($AH$3:$AH$6,Y92)&amp; TEXT(RANDBETWEEN(0,9999999),"0000000")</f>
        <v>927800971</v>
      </c>
      <c r="Q92" t="str" cm="1">
        <f t="array" aca="1" ref="Q92" ca="1">LOWER(B92) &amp; INDEX($AH$9:$AH$11,Z92)</f>
        <v>med091@hospital.upskill.com</v>
      </c>
      <c r="R92" t="str">
        <f t="shared" si="16"/>
        <v>med091.jpg</v>
      </c>
      <c r="S92" s="8">
        <f t="shared" ca="1" si="17"/>
        <v>2804571230050557</v>
      </c>
      <c r="T92" t="s">
        <v>341</v>
      </c>
      <c r="V92" s="4"/>
      <c r="X92">
        <f ca="1">RANDBETWEEN(2,COUNTA(rua_cod!A:A))</f>
        <v>21</v>
      </c>
      <c r="Y92">
        <f t="shared" ca="1" si="18"/>
        <v>2</v>
      </c>
      <c r="Z92">
        <f t="shared" ca="1" si="19"/>
        <v>2</v>
      </c>
      <c r="AA92">
        <f t="shared" ca="1" si="20"/>
        <v>1974</v>
      </c>
      <c r="AB92">
        <f t="shared" ca="1" si="21"/>
        <v>8</v>
      </c>
      <c r="AC92">
        <f t="shared" ca="1" si="22"/>
        <v>10</v>
      </c>
      <c r="AD92">
        <f t="shared" ca="1" si="23"/>
        <v>46</v>
      </c>
    </row>
    <row r="93" spans="1:30" x14ac:dyDescent="0.25">
      <c r="A93">
        <v>92</v>
      </c>
      <c r="B93" t="str">
        <f t="shared" si="12"/>
        <v>med092</v>
      </c>
      <c r="C93" t="str">
        <f t="shared" si="13"/>
        <v>pswmed092</v>
      </c>
      <c r="D93" t="str">
        <f ca="1">Nomes!T94</f>
        <v>Catarina Joaquim Cruz Costa</v>
      </c>
      <c r="E93" t="str">
        <f ca="1">Nomes!S94</f>
        <v>Feminino</v>
      </c>
      <c r="F93" s="2">
        <v>33682</v>
      </c>
      <c r="G93" t="str" cm="1">
        <f t="array" aca="1" ref="G93" ca="1">INDEX(rua_cod!$F:$F,RANDBETWEEN(2,COUNTA(rua_cod!F:F)))</f>
        <v>Rua dos Heróis de Quionga</v>
      </c>
      <c r="H93" t="str" cm="1">
        <f t="array" aca="1" ref="H93" ca="1">INDEX(rua_cod!$A:$A,Médicos!X93) &amp; "-" &amp; TEXT(RANDBETWEEN(0,999),"000")</f>
        <v>1950-516</v>
      </c>
      <c r="I93" t="str" cm="1">
        <f t="array" aca="1" ref="I93" ca="1">INDEX(rua_cod!$B:$B,Médicos!X93)</f>
        <v>Lisboa</v>
      </c>
      <c r="J93" t="s">
        <v>341</v>
      </c>
      <c r="K93" t="s">
        <v>225</v>
      </c>
      <c r="L93" t="s">
        <v>265</v>
      </c>
      <c r="M93" t="str">
        <f t="shared" ca="1" si="14"/>
        <v>24758092</v>
      </c>
      <c r="N93" t="str">
        <f t="shared" ca="1" si="15"/>
        <v>897510987</v>
      </c>
      <c r="O93" t="str">
        <f t="shared" ca="1" si="15"/>
        <v>576062080</v>
      </c>
      <c r="P93" t="str" cm="1">
        <f t="array" aca="1" ref="P93" ca="1">9 &amp; INDEX($AH$3:$AH$6,Y93)&amp; TEXT(RANDBETWEEN(0,9999999),"0000000")</f>
        <v>925416278</v>
      </c>
      <c r="Q93" t="str" cm="1">
        <f t="array" aca="1" ref="Q93" ca="1">LOWER(B93) &amp; INDEX($AH$9:$AH$11,Z93)</f>
        <v>med092@hospital.upskill.com</v>
      </c>
      <c r="R93" t="str">
        <f t="shared" si="16"/>
        <v>med092.jpg</v>
      </c>
      <c r="S93" s="8">
        <f t="shared" ca="1" si="17"/>
        <v>2273293102142820</v>
      </c>
      <c r="T93" t="s">
        <v>341</v>
      </c>
      <c r="V93" s="4"/>
      <c r="X93">
        <f ca="1">RANDBETWEEN(2,COUNTA(rua_cod!A:A))</f>
        <v>41</v>
      </c>
      <c r="Y93">
        <f t="shared" ca="1" si="18"/>
        <v>2</v>
      </c>
      <c r="Z93">
        <f t="shared" ca="1" si="19"/>
        <v>2</v>
      </c>
      <c r="AA93">
        <f t="shared" ca="1" si="20"/>
        <v>1986</v>
      </c>
      <c r="AB93">
        <f t="shared" ca="1" si="21"/>
        <v>8</v>
      </c>
      <c r="AC93">
        <f t="shared" ca="1" si="22"/>
        <v>17</v>
      </c>
      <c r="AD93">
        <f t="shared" ca="1" si="23"/>
        <v>34</v>
      </c>
    </row>
    <row r="94" spans="1:30" x14ac:dyDescent="0.25">
      <c r="A94">
        <v>93</v>
      </c>
      <c r="B94" t="str">
        <f t="shared" si="12"/>
        <v>med093</v>
      </c>
      <c r="C94" t="str">
        <f t="shared" si="13"/>
        <v>pswmed093</v>
      </c>
      <c r="D94" t="str">
        <f ca="1">Nomes!T95</f>
        <v>Sara Marco Valente Guerreiro</v>
      </c>
      <c r="E94" t="str">
        <f ca="1">Nomes!S95</f>
        <v>Feminino</v>
      </c>
      <c r="F94" s="2">
        <v>19081</v>
      </c>
      <c r="G94" t="str" cm="1">
        <f t="array" aca="1" ref="G94" ca="1">INDEX(rua_cod!$F:$F,RANDBETWEEN(2,COUNTA(rua_cod!F:F)))</f>
        <v>Rua do Guarda-Mor</v>
      </c>
      <c r="H94" t="str" cm="1">
        <f t="array" aca="1" ref="H94" ca="1">INDEX(rua_cod!$A:$A,Médicos!X94) &amp; "-" &amp; TEXT(RANDBETWEEN(0,999),"000")</f>
        <v>2330-649</v>
      </c>
      <c r="I94" t="str" cm="1">
        <f t="array" aca="1" ref="I94" ca="1">INDEX(rua_cod!$B:$B,Médicos!X94)</f>
        <v>Entroncamento</v>
      </c>
      <c r="J94" t="s">
        <v>341</v>
      </c>
      <c r="K94" t="s">
        <v>225</v>
      </c>
      <c r="L94" t="s">
        <v>265</v>
      </c>
      <c r="M94" t="str">
        <f t="shared" ca="1" si="14"/>
        <v>24390328</v>
      </c>
      <c r="N94" t="str">
        <f t="shared" ca="1" si="15"/>
        <v>354784045</v>
      </c>
      <c r="O94" t="str">
        <f t="shared" ca="1" si="15"/>
        <v>123267929</v>
      </c>
      <c r="P94" t="str" cm="1">
        <f t="array" aca="1" ref="P94" ca="1">9 &amp; INDEX($AH$3:$AH$6,Y94)&amp; TEXT(RANDBETWEEN(0,9999999),"0000000")</f>
        <v>926411236</v>
      </c>
      <c r="Q94" t="str" cm="1">
        <f t="array" aca="1" ref="Q94" ca="1">LOWER(B94) &amp; INDEX($AH$9:$AH$11,Z94)</f>
        <v>med093@hospital.upskill.com</v>
      </c>
      <c r="R94" t="str">
        <f t="shared" si="16"/>
        <v>med093.jpg</v>
      </c>
      <c r="S94" s="8">
        <f t="shared" ca="1" si="17"/>
        <v>7221321326704924</v>
      </c>
      <c r="T94" t="s">
        <v>341</v>
      </c>
      <c r="V94" s="4"/>
      <c r="X94">
        <f ca="1">RANDBETWEEN(2,COUNTA(rua_cod!A:A))</f>
        <v>29</v>
      </c>
      <c r="Y94">
        <f t="shared" ca="1" si="18"/>
        <v>2</v>
      </c>
      <c r="Z94">
        <f t="shared" ca="1" si="19"/>
        <v>1</v>
      </c>
      <c r="AA94">
        <f t="shared" ca="1" si="20"/>
        <v>1979</v>
      </c>
      <c r="AB94">
        <f t="shared" ca="1" si="21"/>
        <v>2</v>
      </c>
      <c r="AC94">
        <f t="shared" ca="1" si="22"/>
        <v>9</v>
      </c>
      <c r="AD94">
        <f t="shared" ca="1" si="23"/>
        <v>41</v>
      </c>
    </row>
    <row r="95" spans="1:30" x14ac:dyDescent="0.25">
      <c r="A95">
        <v>94</v>
      </c>
      <c r="B95" t="str">
        <f t="shared" si="12"/>
        <v>med094</v>
      </c>
      <c r="C95" t="str">
        <f t="shared" si="13"/>
        <v>pswmed094</v>
      </c>
      <c r="D95" t="str">
        <f ca="1">Nomes!T96</f>
        <v>Sofia Sara Torres Santos</v>
      </c>
      <c r="E95" t="str">
        <f ca="1">Nomes!S96</f>
        <v>Feminino</v>
      </c>
      <c r="F95" s="2">
        <v>28822</v>
      </c>
      <c r="G95" t="str" cm="1">
        <f t="array" aca="1" ref="G95" ca="1">INDEX(rua_cod!$F:$F,RANDBETWEEN(2,COUNTA(rua_cod!F:F)))</f>
        <v>Rua Augusta</v>
      </c>
      <c r="H95" t="str" cm="1">
        <f t="array" aca="1" ref="H95" ca="1">INDEX(rua_cod!$A:$A,Médicos!X95) &amp; "-" &amp; TEXT(RANDBETWEEN(0,999),"000")</f>
        <v>1748-776</v>
      </c>
      <c r="I95" t="str" cm="1">
        <f t="array" aca="1" ref="I95" ca="1">INDEX(rua_cod!$B:$B,Médicos!X95)</f>
        <v>Lisboa</v>
      </c>
      <c r="J95" t="s">
        <v>341</v>
      </c>
      <c r="K95" t="s">
        <v>225</v>
      </c>
      <c r="L95" t="s">
        <v>265</v>
      </c>
      <c r="M95" t="str">
        <f t="shared" ca="1" si="14"/>
        <v>65088090</v>
      </c>
      <c r="N95" t="str">
        <f t="shared" ca="1" si="15"/>
        <v>443666082</v>
      </c>
      <c r="O95" t="str">
        <f t="shared" ca="1" si="15"/>
        <v>166641262</v>
      </c>
      <c r="P95" t="str" cm="1">
        <f t="array" aca="1" ref="P95" ca="1">9 &amp; INDEX($AH$3:$AH$6,Y95)&amp; TEXT(RANDBETWEEN(0,9999999),"0000000")</f>
        <v>968620342</v>
      </c>
      <c r="Q95" t="str" cm="1">
        <f t="array" aca="1" ref="Q95" ca="1">LOWER(B95) &amp; INDEX($AH$9:$AH$11,Z95)</f>
        <v>med094@hospital.upskill.com</v>
      </c>
      <c r="R95" t="str">
        <f t="shared" si="16"/>
        <v>med094.jpg</v>
      </c>
      <c r="S95" s="8">
        <f t="shared" ca="1" si="17"/>
        <v>2051899135293306</v>
      </c>
      <c r="T95" t="s">
        <v>341</v>
      </c>
      <c r="V95" s="4"/>
      <c r="X95">
        <f ca="1">RANDBETWEEN(2,COUNTA(rua_cod!A:A))</f>
        <v>77</v>
      </c>
      <c r="Y95">
        <f t="shared" ca="1" si="18"/>
        <v>4</v>
      </c>
      <c r="Z95">
        <f t="shared" ca="1" si="19"/>
        <v>1</v>
      </c>
      <c r="AA95">
        <f t="shared" ca="1" si="20"/>
        <v>1992</v>
      </c>
      <c r="AB95">
        <f t="shared" ca="1" si="21"/>
        <v>1</v>
      </c>
      <c r="AC95">
        <f t="shared" ca="1" si="22"/>
        <v>14</v>
      </c>
      <c r="AD95">
        <f t="shared" ca="1" si="23"/>
        <v>28</v>
      </c>
    </row>
    <row r="96" spans="1:30" x14ac:dyDescent="0.25">
      <c r="A96">
        <v>95</v>
      </c>
      <c r="B96" t="str">
        <f t="shared" si="12"/>
        <v>med095</v>
      </c>
      <c r="C96" t="str">
        <f t="shared" si="13"/>
        <v>pswmed095</v>
      </c>
      <c r="D96" t="str">
        <f ca="1">Nomes!T97</f>
        <v>Inês Luís Torres Ribeiro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Calçada de Carriche</v>
      </c>
      <c r="H96" t="str" cm="1">
        <f t="array" aca="1" ref="H96" ca="1">INDEX(rua_cod!$A:$A,Médicos!X96) &amp; "-" &amp; TEXT(RANDBETWEEN(0,999),"000")</f>
        <v>1249-659</v>
      </c>
      <c r="I96" t="str" cm="1">
        <f t="array" aca="1" ref="I96" ca="1">INDEX(rua_cod!$B:$B,Médicos!X96)</f>
        <v>Lisboa</v>
      </c>
      <c r="J96" t="s">
        <v>341</v>
      </c>
      <c r="K96" t="s">
        <v>225</v>
      </c>
      <c r="L96" t="s">
        <v>265</v>
      </c>
      <c r="M96" t="str">
        <f t="shared" ca="1" si="14"/>
        <v>27528571</v>
      </c>
      <c r="N96" t="str">
        <f t="shared" ca="1" si="15"/>
        <v>121654108</v>
      </c>
      <c r="O96" t="str">
        <f t="shared" ca="1" si="15"/>
        <v>864156583</v>
      </c>
      <c r="P96" t="str" cm="1">
        <f t="array" aca="1" ref="P96" ca="1">9 &amp; INDEX($AH$3:$AH$6,Y96)&amp; TEXT(RANDBETWEEN(0,9999999),"0000000")</f>
        <v>935236356</v>
      </c>
      <c r="Q96" t="str" cm="1">
        <f t="array" aca="1" ref="Q96" ca="1">LOWER(B96) &amp; INDEX($AH$9:$AH$11,Z96)</f>
        <v>med095@hospital.upskill.com</v>
      </c>
      <c r="R96" t="str">
        <f t="shared" si="16"/>
        <v>med095.jpg</v>
      </c>
      <c r="S96" s="8">
        <f t="shared" ca="1" si="17"/>
        <v>7998968137941398</v>
      </c>
      <c r="T96" t="s">
        <v>341</v>
      </c>
      <c r="V96" s="4"/>
      <c r="X96">
        <f ca="1">RANDBETWEEN(2,COUNTA(rua_cod!A:A))</f>
        <v>63</v>
      </c>
      <c r="Y96">
        <f t="shared" ca="1" si="18"/>
        <v>3</v>
      </c>
      <c r="Z96">
        <f t="shared" ca="1" si="19"/>
        <v>3</v>
      </c>
      <c r="AA96">
        <f t="shared" ca="1" si="20"/>
        <v>1951</v>
      </c>
      <c r="AB96">
        <f t="shared" ca="1" si="21"/>
        <v>7</v>
      </c>
      <c r="AC96">
        <f t="shared" ca="1" si="22"/>
        <v>18</v>
      </c>
      <c r="AD96">
        <f t="shared" ca="1" si="23"/>
        <v>69</v>
      </c>
    </row>
    <row r="97" spans="1:30" x14ac:dyDescent="0.25">
      <c r="A97">
        <v>96</v>
      </c>
      <c r="B97" t="str">
        <f t="shared" si="12"/>
        <v>med096</v>
      </c>
      <c r="C97" t="str">
        <f t="shared" si="13"/>
        <v>pswmed096</v>
      </c>
      <c r="D97" t="str">
        <f ca="1">Nomes!T98</f>
        <v>Santiago Santiago Domingues Mendes</v>
      </c>
      <c r="E97" t="str">
        <f ca="1">Nomes!S98</f>
        <v>Masculino</v>
      </c>
      <c r="F97" s="2">
        <v>18576</v>
      </c>
      <c r="G97" t="str" cm="1">
        <f t="array" aca="1" ref="G97" ca="1">INDEX(rua_cod!$F:$F,RANDBETWEEN(2,COUNTA(rua_cod!F:F)))</f>
        <v>Rua da Madalena</v>
      </c>
      <c r="H97" t="str" cm="1">
        <f t="array" aca="1" ref="H97" ca="1">INDEX(rua_cod!$A:$A,Médicos!X97) &amp; "-" &amp; TEXT(RANDBETWEEN(0,999),"000")</f>
        <v>2810-615</v>
      </c>
      <c r="I97" t="str" cm="1">
        <f t="array" aca="1" ref="I97" ca="1">INDEX(rua_cod!$B:$B,Médicos!X97)</f>
        <v>Almada</v>
      </c>
      <c r="J97" t="s">
        <v>341</v>
      </c>
      <c r="K97" t="s">
        <v>225</v>
      </c>
      <c r="L97" t="s">
        <v>265</v>
      </c>
      <c r="M97" t="str">
        <f t="shared" ca="1" si="14"/>
        <v>67119339</v>
      </c>
      <c r="N97" t="str">
        <f t="shared" ca="1" si="15"/>
        <v>226542359</v>
      </c>
      <c r="O97" t="str">
        <f t="shared" ca="1" si="15"/>
        <v>565082751</v>
      </c>
      <c r="P97" t="str" cm="1">
        <f t="array" aca="1" ref="P97" ca="1">9 &amp; INDEX($AH$3:$AH$6,Y97)&amp; TEXT(RANDBETWEEN(0,9999999),"0000000")</f>
        <v>968841253</v>
      </c>
      <c r="Q97" t="str" cm="1">
        <f t="array" aca="1" ref="Q97" ca="1">LOWER(B97) &amp; INDEX($AH$9:$AH$11,Z97)</f>
        <v>med096@hospital.upskill.com</v>
      </c>
      <c r="R97" t="str">
        <f t="shared" si="16"/>
        <v>med096.jpg</v>
      </c>
      <c r="S97" s="8">
        <f t="shared" ca="1" si="17"/>
        <v>8820010577862124</v>
      </c>
      <c r="T97" t="s">
        <v>341</v>
      </c>
      <c r="V97" s="4"/>
      <c r="X97">
        <f ca="1">RANDBETWEEN(2,COUNTA(rua_cod!A:A))</f>
        <v>3</v>
      </c>
      <c r="Y97">
        <f t="shared" ca="1" si="18"/>
        <v>4</v>
      </c>
      <c r="Z97">
        <f t="shared" ca="1" si="19"/>
        <v>2</v>
      </c>
      <c r="AA97">
        <f t="shared" ca="1" si="20"/>
        <v>1985</v>
      </c>
      <c r="AB97">
        <f t="shared" ca="1" si="21"/>
        <v>2</v>
      </c>
      <c r="AC97">
        <f t="shared" ca="1" si="22"/>
        <v>30</v>
      </c>
      <c r="AD97">
        <f t="shared" ca="1" si="23"/>
        <v>35</v>
      </c>
    </row>
    <row r="98" spans="1:30" x14ac:dyDescent="0.25">
      <c r="A98">
        <v>97</v>
      </c>
      <c r="B98" t="str">
        <f t="shared" si="12"/>
        <v>med097</v>
      </c>
      <c r="C98" t="str">
        <f t="shared" si="13"/>
        <v>pswmed097</v>
      </c>
      <c r="D98" t="str">
        <f ca="1">Nomes!T99</f>
        <v>Ana Rodrigo Paiva Teixeira</v>
      </c>
      <c r="E98" t="str">
        <f ca="1">Nomes!S99</f>
        <v>Feminino</v>
      </c>
      <c r="F98" s="2">
        <v>36577</v>
      </c>
      <c r="G98" t="str" cm="1">
        <f t="array" aca="1" ref="G98" ca="1">INDEX(rua_cod!$F:$F,RANDBETWEEN(2,COUNTA(rua_cod!F:F)))</f>
        <v>Calçada Marquês de Abrantes</v>
      </c>
      <c r="H98" t="str" cm="1">
        <f t="array" aca="1" ref="H98" ca="1">INDEX(rua_cod!$A:$A,Médicos!X98) &amp; "-" &amp; TEXT(RANDBETWEEN(0,999),"000")</f>
        <v>1249-944</v>
      </c>
      <c r="I98" t="str" cm="1">
        <f t="array" aca="1" ref="I98" ca="1">INDEX(rua_cod!$B:$B,Médicos!X98)</f>
        <v>Lisboa</v>
      </c>
      <c r="J98" t="s">
        <v>341</v>
      </c>
      <c r="K98" t="s">
        <v>225</v>
      </c>
      <c r="L98" t="s">
        <v>265</v>
      </c>
      <c r="M98" t="str">
        <f t="shared" ca="1" si="14"/>
        <v>66373130</v>
      </c>
      <c r="N98" t="str">
        <f t="shared" ca="1" si="15"/>
        <v>286198627</v>
      </c>
      <c r="O98" t="str">
        <f t="shared" ca="1" si="15"/>
        <v>797635710</v>
      </c>
      <c r="P98" t="str" cm="1">
        <f t="array" aca="1" ref="P98" ca="1">9 &amp; INDEX($AH$3:$AH$6,Y98)&amp; TEXT(RANDBETWEEN(0,9999999),"0000000")</f>
        <v>928608389</v>
      </c>
      <c r="Q98" t="str" cm="1">
        <f t="array" aca="1" ref="Q98" ca="1">LOWER(B98) &amp; INDEX($AH$9:$AH$11,Z98)</f>
        <v>med097@hospital.upskill.com</v>
      </c>
      <c r="R98" t="str">
        <f t="shared" si="16"/>
        <v>med097.jpg</v>
      </c>
      <c r="S98" s="8">
        <f t="shared" ca="1" si="17"/>
        <v>6036529585731944</v>
      </c>
      <c r="T98" t="s">
        <v>341</v>
      </c>
      <c r="V98" s="4"/>
      <c r="X98">
        <f ca="1">RANDBETWEEN(2,COUNTA(rua_cod!A:A))</f>
        <v>63</v>
      </c>
      <c r="Y98">
        <f t="shared" ca="1" si="18"/>
        <v>2</v>
      </c>
      <c r="Z98">
        <f t="shared" ca="1" si="19"/>
        <v>2</v>
      </c>
      <c r="AA98">
        <f t="shared" ca="1" si="20"/>
        <v>1971</v>
      </c>
      <c r="AB98">
        <f t="shared" ca="1" si="21"/>
        <v>1</v>
      </c>
      <c r="AC98">
        <f t="shared" ca="1" si="22"/>
        <v>27</v>
      </c>
      <c r="AD98">
        <f t="shared" ca="1" si="23"/>
        <v>49</v>
      </c>
    </row>
    <row r="99" spans="1:30" x14ac:dyDescent="0.25">
      <c r="A99">
        <v>98</v>
      </c>
      <c r="B99" t="str">
        <f t="shared" si="12"/>
        <v>med098</v>
      </c>
      <c r="C99" t="str">
        <f t="shared" si="13"/>
        <v>pswmed098</v>
      </c>
      <c r="D99" t="str">
        <f ca="1">Nomes!T100</f>
        <v>Francisca Diana Lopes Leal</v>
      </c>
      <c r="E99" t="str">
        <f ca="1">Nomes!S100</f>
        <v>Feminino</v>
      </c>
      <c r="F99" s="2">
        <v>18365</v>
      </c>
      <c r="G99" t="str" cm="1">
        <f t="array" aca="1" ref="G99" ca="1">INDEX(rua_cod!$F:$F,RANDBETWEEN(2,COUNTA(rua_cod!F:F)))</f>
        <v>Travessa de São João da Praça</v>
      </c>
      <c r="H99" t="str" cm="1">
        <f t="array" aca="1" ref="H99" ca="1">INDEX(rua_cod!$A:$A,Médicos!X99) &amp; "-" &amp; TEXT(RANDBETWEEN(0,999),"000")</f>
        <v>2610-072</v>
      </c>
      <c r="I99" t="str" cm="1">
        <f t="array" aca="1" ref="I99" ca="1">INDEX(rua_cod!$B:$B,Médicos!X99)</f>
        <v>Amadora</v>
      </c>
      <c r="J99" t="s">
        <v>341</v>
      </c>
      <c r="K99" t="s">
        <v>225</v>
      </c>
      <c r="L99" t="s">
        <v>265</v>
      </c>
      <c r="M99" t="str">
        <f t="shared" ca="1" si="14"/>
        <v>73717561</v>
      </c>
      <c r="N99" t="str">
        <f t="shared" ca="1" si="15"/>
        <v>543462685</v>
      </c>
      <c r="O99" t="str">
        <f t="shared" ca="1" si="15"/>
        <v>120035651</v>
      </c>
      <c r="P99" t="str" cm="1">
        <f t="array" aca="1" ref="P99" ca="1">9 &amp; INDEX($AH$3:$AH$6,Y99)&amp; TEXT(RANDBETWEEN(0,9999999),"0000000")</f>
        <v>933759220</v>
      </c>
      <c r="Q99" t="str" cm="1">
        <f t="array" aca="1" ref="Q99" ca="1">LOWER(B99) &amp; INDEX($AH$9:$AH$11,Z99)</f>
        <v>med098@hospital.upskill.com</v>
      </c>
      <c r="R99" t="str">
        <f t="shared" si="16"/>
        <v>med098.jpg</v>
      </c>
      <c r="S99" s="8">
        <f t="shared" ca="1" si="17"/>
        <v>5010911223632906</v>
      </c>
      <c r="T99" t="s">
        <v>341</v>
      </c>
      <c r="V99" s="4"/>
      <c r="X99">
        <f ca="1">RANDBETWEEN(2,COUNTA(rua_cod!A:A))</f>
        <v>12</v>
      </c>
      <c r="Y99">
        <f t="shared" ca="1" si="18"/>
        <v>3</v>
      </c>
      <c r="Z99">
        <f t="shared" ca="1" si="19"/>
        <v>3</v>
      </c>
      <c r="AA99">
        <f t="shared" ca="1" si="20"/>
        <v>1952</v>
      </c>
      <c r="AB99">
        <f t="shared" ca="1" si="21"/>
        <v>1</v>
      </c>
      <c r="AC99">
        <f t="shared" ca="1" si="22"/>
        <v>14</v>
      </c>
      <c r="AD99">
        <f t="shared" ca="1" si="23"/>
        <v>68</v>
      </c>
    </row>
    <row r="100" spans="1:30" x14ac:dyDescent="0.25">
      <c r="A100">
        <v>99</v>
      </c>
      <c r="B100" t="str">
        <f t="shared" si="12"/>
        <v>med099</v>
      </c>
      <c r="C100" t="str">
        <f t="shared" si="13"/>
        <v>pswmed099</v>
      </c>
      <c r="D100" t="str">
        <f ca="1">Nomes!T101</f>
        <v>Vera Joaquim Lopes Pires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Rua da Alfândega</v>
      </c>
      <c r="H100" t="str" cm="1">
        <f t="array" aca="1" ref="H100" ca="1">INDEX(rua_cod!$A:$A,Médicos!X100) &amp; "-" &amp; TEXT(RANDBETWEEN(0,999),"000")</f>
        <v>1748-760</v>
      </c>
      <c r="I100" t="str" cm="1">
        <f t="array" aca="1" ref="I100" ca="1">INDEX(rua_cod!$B:$B,Médicos!X100)</f>
        <v>Lisboa</v>
      </c>
      <c r="J100" t="s">
        <v>341</v>
      </c>
      <c r="K100" t="s">
        <v>225</v>
      </c>
      <c r="L100" t="s">
        <v>265</v>
      </c>
      <c r="M100" t="str">
        <f t="shared" ca="1" si="14"/>
        <v>42014465</v>
      </c>
      <c r="N100" t="str">
        <f t="shared" ca="1" si="15"/>
        <v>847218064</v>
      </c>
      <c r="O100" t="str">
        <f t="shared" ca="1" si="15"/>
        <v>278168207</v>
      </c>
      <c r="P100" t="str" cm="1">
        <f t="array" aca="1" ref="P100" ca="1">9 &amp; INDEX($AH$3:$AH$6,Y100)&amp; TEXT(RANDBETWEEN(0,9999999),"0000000")</f>
        <v>925499569</v>
      </c>
      <c r="Q100" t="str" cm="1">
        <f t="array" aca="1" ref="Q100" ca="1">LOWER(B100) &amp; INDEX($AH$9:$AH$11,Z100)</f>
        <v>med099@hospital.upskill.com</v>
      </c>
      <c r="R100" t="str">
        <f t="shared" si="16"/>
        <v>med099.jpg</v>
      </c>
      <c r="S100" s="8">
        <f t="shared" ca="1" si="17"/>
        <v>7636109287095095</v>
      </c>
      <c r="T100" t="s">
        <v>341</v>
      </c>
      <c r="V100" s="4"/>
      <c r="X100">
        <f ca="1">RANDBETWEEN(2,COUNTA(rua_cod!A:A))</f>
        <v>77</v>
      </c>
      <c r="Y100">
        <f t="shared" ca="1" si="18"/>
        <v>2</v>
      </c>
      <c r="Z100">
        <f t="shared" ca="1" si="19"/>
        <v>1</v>
      </c>
      <c r="AA100">
        <f t="shared" ca="1" si="20"/>
        <v>1951</v>
      </c>
      <c r="AB100">
        <f t="shared" ca="1" si="21"/>
        <v>1</v>
      </c>
      <c r="AC100">
        <f t="shared" ca="1" si="22"/>
        <v>6</v>
      </c>
      <c r="AD100">
        <f t="shared" ca="1" si="23"/>
        <v>69</v>
      </c>
    </row>
    <row r="101" spans="1:30" x14ac:dyDescent="0.25">
      <c r="A101">
        <v>100</v>
      </c>
      <c r="B101" t="str">
        <f t="shared" si="12"/>
        <v>med100</v>
      </c>
      <c r="C101" t="str">
        <f t="shared" si="13"/>
        <v>pswmed100</v>
      </c>
      <c r="D101" t="str">
        <f ca="1">Nomes!T102</f>
        <v>Diogo Tomás Castro Anjos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Calçada do Poço dos Mouros</v>
      </c>
      <c r="H101" t="str" cm="1">
        <f t="array" aca="1" ref="H101" ca="1">INDEX(rua_cod!$A:$A,Médicos!X101) &amp; "-" &amp; TEXT(RANDBETWEEN(0,999),"000")</f>
        <v>2825-870</v>
      </c>
      <c r="I101" t="str" cm="1">
        <f t="array" aca="1" ref="I101" ca="1">INDEX(rua_cod!$B:$B,Médicos!X101)</f>
        <v>Caparica</v>
      </c>
      <c r="J101" t="s">
        <v>341</v>
      </c>
      <c r="K101" t="s">
        <v>225</v>
      </c>
      <c r="L101" t="s">
        <v>265</v>
      </c>
      <c r="M101" t="str">
        <f t="shared" ca="1" si="14"/>
        <v>34930606</v>
      </c>
      <c r="N101" t="str">
        <f t="shared" ca="1" si="15"/>
        <v>781639579</v>
      </c>
      <c r="O101" t="str">
        <f t="shared" ca="1" si="15"/>
        <v>527849648</v>
      </c>
      <c r="P101" t="str" cm="1">
        <f t="array" aca="1" ref="P101" ca="1">9 &amp; INDEX($AH$3:$AH$6,Y101)&amp; TEXT(RANDBETWEEN(0,9999999),"0000000")</f>
        <v>965843612</v>
      </c>
      <c r="Q101" t="str" cm="1">
        <f t="array" aca="1" ref="Q101" ca="1">LOWER(B101) &amp; INDEX($AH$9:$AH$11,Z101)</f>
        <v>med100@hospital.upskill.com</v>
      </c>
      <c r="R101" t="str">
        <f t="shared" si="16"/>
        <v>med100.jpg</v>
      </c>
      <c r="S101" s="8">
        <f t="shared" ca="1" si="17"/>
        <v>4227763727176310</v>
      </c>
      <c r="T101" t="s">
        <v>341</v>
      </c>
      <c r="V101" s="4"/>
      <c r="X101">
        <f ca="1">RANDBETWEEN(2,COUNTA(rua_cod!A:A))</f>
        <v>18</v>
      </c>
      <c r="Y101">
        <f t="shared" ca="1" si="18"/>
        <v>4</v>
      </c>
      <c r="Z101">
        <f t="shared" ca="1" si="19"/>
        <v>1</v>
      </c>
      <c r="AA101">
        <f t="shared" ca="1" si="20"/>
        <v>1988</v>
      </c>
      <c r="AB101">
        <f t="shared" ca="1" si="21"/>
        <v>8</v>
      </c>
      <c r="AC101">
        <f t="shared" ca="1" si="22"/>
        <v>16</v>
      </c>
      <c r="AD101">
        <f t="shared" ca="1" si="23"/>
        <v>32</v>
      </c>
    </row>
    <row r="102" spans="1:30" x14ac:dyDescent="0.25">
      <c r="A102">
        <v>101</v>
      </c>
      <c r="B102" t="str">
        <f t="shared" si="12"/>
        <v>med101</v>
      </c>
      <c r="C102" t="str">
        <f t="shared" si="13"/>
        <v>pswmed101</v>
      </c>
      <c r="D102" t="str">
        <f ca="1">Nomes!T103</f>
        <v>Tiago Ricardo Raposo Gaspar</v>
      </c>
      <c r="E102" t="str">
        <f ca="1">Nomes!S103</f>
        <v>Masculino</v>
      </c>
      <c r="F102" s="2">
        <v>23523</v>
      </c>
      <c r="G102" t="str" cm="1">
        <f t="array" aca="1" ref="G102" ca="1">INDEX(rua_cod!$F:$F,RANDBETWEEN(2,COUNTA(rua_cod!F:F)))</f>
        <v>Rua do Instituto Bacteriológico</v>
      </c>
      <c r="H102" t="str" cm="1">
        <f t="array" aca="1" ref="H102" ca="1">INDEX(rua_cod!$A:$A,Médicos!X102) &amp; "-" &amp; TEXT(RANDBETWEEN(0,999),"000")</f>
        <v>2754-050</v>
      </c>
      <c r="I102" t="str" cm="1">
        <f t="array" aca="1" ref="I102" ca="1">INDEX(rua_cod!$B:$B,Médicos!X102)</f>
        <v>Cascais</v>
      </c>
      <c r="J102" t="s">
        <v>341</v>
      </c>
      <c r="K102" t="s">
        <v>225</v>
      </c>
      <c r="L102" t="s">
        <v>265</v>
      </c>
      <c r="M102" t="str">
        <f t="shared" ca="1" si="14"/>
        <v>43552833</v>
      </c>
      <c r="N102" t="str">
        <f t="shared" ca="1" si="15"/>
        <v>554781933</v>
      </c>
      <c r="O102" t="str">
        <f t="shared" ca="1" si="15"/>
        <v>899482997</v>
      </c>
      <c r="P102" t="str" cm="1">
        <f t="array" aca="1" ref="P102" ca="1">9 &amp; INDEX($AH$3:$AH$6,Y102)&amp; TEXT(RANDBETWEEN(0,9999999),"0000000")</f>
        <v>936056681</v>
      </c>
      <c r="Q102" t="str" cm="1">
        <f t="array" aca="1" ref="Q102" ca="1">LOWER(B102) &amp; INDEX($AH$9:$AH$11,Z102)</f>
        <v>med101@hospital.upskill.com</v>
      </c>
      <c r="R102" t="str">
        <f t="shared" si="16"/>
        <v>med101.jpg</v>
      </c>
      <c r="S102" s="8">
        <f t="shared" ca="1" si="17"/>
        <v>3438035208287263</v>
      </c>
      <c r="T102" t="s">
        <v>341</v>
      </c>
      <c r="V102" s="4"/>
      <c r="X102">
        <f ca="1">RANDBETWEEN(2,COUNTA(rua_cod!A:A))</f>
        <v>25</v>
      </c>
      <c r="Y102">
        <f t="shared" ca="1" si="18"/>
        <v>3</v>
      </c>
      <c r="Z102">
        <f t="shared" ca="1" si="19"/>
        <v>1</v>
      </c>
      <c r="AA102">
        <f t="shared" ca="1" si="20"/>
        <v>1970</v>
      </c>
      <c r="AB102">
        <f t="shared" ca="1" si="21"/>
        <v>9</v>
      </c>
      <c r="AC102">
        <f t="shared" ca="1" si="22"/>
        <v>3</v>
      </c>
      <c r="AD102">
        <f t="shared" ca="1" si="23"/>
        <v>50</v>
      </c>
    </row>
    <row r="103" spans="1:30" x14ac:dyDescent="0.25">
      <c r="A103">
        <v>102</v>
      </c>
      <c r="B103" t="str">
        <f t="shared" si="12"/>
        <v>med102</v>
      </c>
      <c r="C103" t="str">
        <f t="shared" si="13"/>
        <v>pswmed102</v>
      </c>
      <c r="D103" t="str">
        <f ca="1">Nomes!T104</f>
        <v>Sofia Diogo Matos Cardoso</v>
      </c>
      <c r="E103" t="str">
        <f ca="1">Nomes!S104</f>
        <v>Feminino</v>
      </c>
      <c r="F103" s="2">
        <v>43571</v>
      </c>
      <c r="G103" t="str" cm="1">
        <f t="array" aca="1" ref="G103" ca="1">INDEX(rua_cod!$F:$F,RANDBETWEEN(2,COUNTA(rua_cod!F:F)))</f>
        <v>Rua Ferreira Lapa</v>
      </c>
      <c r="H103" t="str" cm="1">
        <f t="array" aca="1" ref="H103" ca="1">INDEX(rua_cod!$A:$A,Médicos!X103) &amp; "-" &amp; TEXT(RANDBETWEEN(0,999),"000")</f>
        <v>2420-807</v>
      </c>
      <c r="I103" t="str" cm="1">
        <f t="array" aca="1" ref="I103" ca="1">INDEX(rua_cod!$B:$B,Médicos!X103)</f>
        <v>Leiria</v>
      </c>
      <c r="J103" t="s">
        <v>341</v>
      </c>
      <c r="K103" t="s">
        <v>225</v>
      </c>
      <c r="L103" t="s">
        <v>265</v>
      </c>
      <c r="M103" t="str">
        <f t="shared" ca="1" si="14"/>
        <v>18313095</v>
      </c>
      <c r="N103" t="str">
        <f t="shared" ca="1" si="15"/>
        <v>514992931</v>
      </c>
      <c r="O103" t="str">
        <f t="shared" ca="1" si="15"/>
        <v>569217991</v>
      </c>
      <c r="P103" t="str" cm="1">
        <f t="array" aca="1" ref="P103" ca="1">9 &amp; INDEX($AH$3:$AH$6,Y103)&amp; TEXT(RANDBETWEEN(0,9999999),"0000000")</f>
        <v>922380325</v>
      </c>
      <c r="Q103" t="str" cm="1">
        <f t="array" aca="1" ref="Q103" ca="1">LOWER(B103) &amp; INDEX($AH$9:$AH$11,Z103)</f>
        <v>med102@hospital.upskill.com</v>
      </c>
      <c r="R103" t="str">
        <f t="shared" si="16"/>
        <v>med102.jpg</v>
      </c>
      <c r="S103" s="8">
        <f t="shared" ca="1" si="17"/>
        <v>1063064381052422</v>
      </c>
      <c r="T103" t="s">
        <v>341</v>
      </c>
      <c r="V103" s="4"/>
      <c r="X103">
        <f ca="1">RANDBETWEEN(2,COUNTA(rua_cod!A:A))</f>
        <v>33</v>
      </c>
      <c r="Y103">
        <f t="shared" ca="1" si="18"/>
        <v>2</v>
      </c>
      <c r="Z103">
        <f t="shared" ca="1" si="19"/>
        <v>3</v>
      </c>
      <c r="AA103">
        <f t="shared" ca="1" si="20"/>
        <v>1978</v>
      </c>
      <c r="AB103">
        <f t="shared" ca="1" si="21"/>
        <v>10</v>
      </c>
      <c r="AC103">
        <f t="shared" ca="1" si="22"/>
        <v>1</v>
      </c>
      <c r="AD103">
        <f t="shared" ca="1" si="23"/>
        <v>42</v>
      </c>
    </row>
    <row r="104" spans="1:30" x14ac:dyDescent="0.25">
      <c r="A104">
        <v>103</v>
      </c>
      <c r="B104" t="str">
        <f t="shared" si="12"/>
        <v>med103</v>
      </c>
      <c r="C104" t="str">
        <f t="shared" si="13"/>
        <v>pswmed103</v>
      </c>
      <c r="D104" t="str">
        <f ca="1">Nomes!T105</f>
        <v>Miguel Lurdes Campos Anjos</v>
      </c>
      <c r="E104" t="str">
        <f ca="1">Nomes!S105</f>
        <v>Masculino</v>
      </c>
      <c r="F104" s="2">
        <v>35936</v>
      </c>
      <c r="G104" t="str" cm="1">
        <f t="array" aca="1" ref="G104" ca="1">INDEX(rua_cod!$F:$F,RANDBETWEEN(2,COUNTA(rua_cod!F:F)))</f>
        <v>Calçada do Poço dos Mouros</v>
      </c>
      <c r="H104" t="str" cm="1">
        <f t="array" aca="1" ref="H104" ca="1">INDEX(rua_cod!$A:$A,Médicos!X104) &amp; "-" &amp; TEXT(RANDBETWEEN(0,999),"000")</f>
        <v>1098-614</v>
      </c>
      <c r="I104" t="str" cm="1">
        <f t="array" aca="1" ref="I104" ca="1">INDEX(rua_cod!$B:$B,Médicos!X104)</f>
        <v>Lisboa</v>
      </c>
      <c r="J104" t="s">
        <v>341</v>
      </c>
      <c r="K104" t="s">
        <v>225</v>
      </c>
      <c r="L104" t="s">
        <v>265</v>
      </c>
      <c r="M104" t="str">
        <f t="shared" ca="1" si="14"/>
        <v>10779704</v>
      </c>
      <c r="N104" t="str">
        <f t="shared" ca="1" si="15"/>
        <v>926333165</v>
      </c>
      <c r="O104" t="str">
        <f t="shared" ca="1" si="15"/>
        <v>580780157</v>
      </c>
      <c r="P104" t="str" cm="1">
        <f t="array" aca="1" ref="P104" ca="1">9 &amp; INDEX($AH$3:$AH$6,Y104)&amp; TEXT(RANDBETWEEN(0,9999999),"0000000")</f>
        <v>916395870</v>
      </c>
      <c r="Q104" t="str" cm="1">
        <f t="array" aca="1" ref="Q104" ca="1">LOWER(B104) &amp; INDEX($AH$9:$AH$11,Z104)</f>
        <v>med103@hospital.upskill.com</v>
      </c>
      <c r="R104" t="str">
        <f t="shared" si="16"/>
        <v>med103.jpg</v>
      </c>
      <c r="S104" s="8">
        <f t="shared" ca="1" si="17"/>
        <v>5178248157458365</v>
      </c>
      <c r="T104" t="s">
        <v>341</v>
      </c>
      <c r="V104" s="4"/>
      <c r="X104">
        <f ca="1">RANDBETWEEN(2,COUNTA(rua_cod!A:A))</f>
        <v>80</v>
      </c>
      <c r="Y104">
        <f t="shared" ca="1" si="18"/>
        <v>1</v>
      </c>
      <c r="Z104">
        <f t="shared" ca="1" si="19"/>
        <v>3</v>
      </c>
      <c r="AA104">
        <f t="shared" ca="1" si="20"/>
        <v>1985</v>
      </c>
      <c r="AB104">
        <f t="shared" ca="1" si="21"/>
        <v>6</v>
      </c>
      <c r="AC104">
        <f t="shared" ca="1" si="22"/>
        <v>15</v>
      </c>
      <c r="AD104">
        <f t="shared" ca="1" si="23"/>
        <v>35</v>
      </c>
    </row>
    <row r="105" spans="1:30" x14ac:dyDescent="0.25">
      <c r="A105">
        <v>104</v>
      </c>
      <c r="B105" t="str">
        <f t="shared" si="12"/>
        <v>med104</v>
      </c>
      <c r="C105" t="str">
        <f t="shared" si="13"/>
        <v>pswmed104</v>
      </c>
      <c r="D105" t="str">
        <f ca="1">Nomes!T106</f>
        <v>Beatriz Joana Anjos Freitas</v>
      </c>
      <c r="E105" t="str">
        <f ca="1">Nomes!S106</f>
        <v>Feminino</v>
      </c>
      <c r="F105" s="2">
        <v>33299</v>
      </c>
      <c r="G105" t="str" cm="1">
        <f t="array" aca="1" ref="G105" ca="1">INDEX(rua_cod!$F:$F,RANDBETWEEN(2,COUNTA(rua_cod!F:F)))</f>
        <v>Rua Augusta</v>
      </c>
      <c r="H105" t="str" cm="1">
        <f t="array" aca="1" ref="H105" ca="1">INDEX(rua_cod!$A:$A,Médicos!X105) &amp; "-" &amp; TEXT(RANDBETWEEN(0,999),"000")</f>
        <v>1068-343</v>
      </c>
      <c r="I105" t="str" cm="1">
        <f t="array" aca="1" ref="I105" ca="1">INDEX(rua_cod!$B:$B,Médicos!X105)</f>
        <v>Lisboa</v>
      </c>
      <c r="J105" t="s">
        <v>341</v>
      </c>
      <c r="K105" t="s">
        <v>225</v>
      </c>
      <c r="L105" t="s">
        <v>265</v>
      </c>
      <c r="M105" t="str">
        <f t="shared" ca="1" si="14"/>
        <v>27969799</v>
      </c>
      <c r="N105" t="str">
        <f t="shared" ca="1" si="15"/>
        <v>964542248</v>
      </c>
      <c r="O105" t="str">
        <f t="shared" ca="1" si="15"/>
        <v>680564141</v>
      </c>
      <c r="P105" t="str" cm="1">
        <f t="array" aca="1" ref="P105" ca="1">9 &amp; INDEX($AH$3:$AH$6,Y105)&amp; TEXT(RANDBETWEEN(0,9999999),"0000000")</f>
        <v>926993279</v>
      </c>
      <c r="Q105" t="str" cm="1">
        <f t="array" aca="1" ref="Q105" ca="1">LOWER(B105) &amp; INDEX($AH$9:$AH$11,Z105)</f>
        <v>med104@hospital.upskill.com</v>
      </c>
      <c r="R105" t="str">
        <f t="shared" si="16"/>
        <v>med104.jpg</v>
      </c>
      <c r="S105" s="8">
        <f t="shared" ca="1" si="17"/>
        <v>7985001515998915</v>
      </c>
      <c r="T105" t="s">
        <v>341</v>
      </c>
      <c r="V105" s="4"/>
      <c r="X105">
        <f ca="1">RANDBETWEEN(2,COUNTA(rua_cod!A:A))</f>
        <v>81</v>
      </c>
      <c r="Y105">
        <f t="shared" ca="1" si="18"/>
        <v>2</v>
      </c>
      <c r="Z105">
        <f t="shared" ca="1" si="19"/>
        <v>2</v>
      </c>
      <c r="AA105">
        <f t="shared" ca="1" si="20"/>
        <v>1970</v>
      </c>
      <c r="AB105">
        <f t="shared" ca="1" si="21"/>
        <v>3</v>
      </c>
      <c r="AC105">
        <f t="shared" ca="1" si="22"/>
        <v>16</v>
      </c>
      <c r="AD105">
        <f t="shared" ca="1" si="23"/>
        <v>50</v>
      </c>
    </row>
    <row r="106" spans="1:30" x14ac:dyDescent="0.25">
      <c r="A106">
        <v>105</v>
      </c>
      <c r="B106" t="str">
        <f t="shared" si="12"/>
        <v>med105</v>
      </c>
      <c r="C106" t="str">
        <f t="shared" si="13"/>
        <v>pswmed105</v>
      </c>
      <c r="D106" t="str">
        <f ca="1">Nomes!T107</f>
        <v>Matilde Carolina Valente Nogueira</v>
      </c>
      <c r="E106" t="str">
        <f ca="1">Nomes!S107</f>
        <v>Feminino</v>
      </c>
      <c r="F106" s="2">
        <v>12890</v>
      </c>
      <c r="G106" t="str" cm="1">
        <f t="array" aca="1" ref="G106" ca="1">INDEX(rua_cod!$F:$F,RANDBETWEEN(2,COUNTA(rua_cod!F:F)))</f>
        <v>Travessa de São João da Praça</v>
      </c>
      <c r="H106" t="str" cm="1">
        <f t="array" aca="1" ref="H106" ca="1">INDEX(rua_cod!$A:$A,Médicos!X106) &amp; "-" &amp; TEXT(RANDBETWEEN(0,999),"000")</f>
        <v>2829-778</v>
      </c>
      <c r="I106" t="str" cm="1">
        <f t="array" aca="1" ref="I106" ca="1">INDEX(rua_cod!$B:$B,Médicos!X106)</f>
        <v>Caparica</v>
      </c>
      <c r="J106" t="s">
        <v>341</v>
      </c>
      <c r="K106" t="s">
        <v>225</v>
      </c>
      <c r="L106" t="s">
        <v>265</v>
      </c>
      <c r="M106" t="str">
        <f t="shared" ca="1" si="14"/>
        <v>55600984</v>
      </c>
      <c r="N106" t="str">
        <f t="shared" ca="1" si="15"/>
        <v>594454248</v>
      </c>
      <c r="O106" t="str">
        <f t="shared" ca="1" si="15"/>
        <v>980694818</v>
      </c>
      <c r="P106" t="str" cm="1">
        <f t="array" aca="1" ref="P106" ca="1">9 &amp; INDEX($AH$3:$AH$6,Y106)&amp; TEXT(RANDBETWEEN(0,9999999),"0000000")</f>
        <v>967405385</v>
      </c>
      <c r="Q106" t="str" cm="1">
        <f t="array" aca="1" ref="Q106" ca="1">LOWER(B106) &amp; INDEX($AH$9:$AH$11,Z106)</f>
        <v>med105@hospital.upskill.com</v>
      </c>
      <c r="R106" t="str">
        <f t="shared" si="16"/>
        <v>med105.jpg</v>
      </c>
      <c r="S106" s="8">
        <f t="shared" ca="1" si="17"/>
        <v>3324715658074843</v>
      </c>
      <c r="T106" t="s">
        <v>341</v>
      </c>
      <c r="V106" s="4"/>
      <c r="X106">
        <f ca="1">RANDBETWEEN(2,COUNTA(rua_cod!A:A))</f>
        <v>19</v>
      </c>
      <c r="Y106">
        <f t="shared" ca="1" si="18"/>
        <v>4</v>
      </c>
      <c r="Z106">
        <f t="shared" ca="1" si="19"/>
        <v>1</v>
      </c>
      <c r="AA106">
        <f t="shared" ca="1" si="20"/>
        <v>1958</v>
      </c>
      <c r="AB106">
        <f t="shared" ca="1" si="21"/>
        <v>9</v>
      </c>
      <c r="AC106">
        <f t="shared" ca="1" si="22"/>
        <v>31</v>
      </c>
      <c r="AD106">
        <f t="shared" ca="1" si="23"/>
        <v>62</v>
      </c>
    </row>
    <row r="107" spans="1:30" x14ac:dyDescent="0.25">
      <c r="A107">
        <v>106</v>
      </c>
      <c r="B107" t="str">
        <f t="shared" si="12"/>
        <v>med106</v>
      </c>
      <c r="C107" t="str">
        <f t="shared" si="13"/>
        <v>pswmed106</v>
      </c>
      <c r="D107" t="str">
        <f ca="1">Nomes!T108</f>
        <v>Santiago Marco Gaspar Nogueira</v>
      </c>
      <c r="E107" t="str">
        <f ca="1">Nomes!S108</f>
        <v>Masculino</v>
      </c>
      <c r="F107" s="2">
        <v>39911</v>
      </c>
      <c r="G107" t="str" cm="1">
        <f t="array" aca="1" ref="G107" ca="1">INDEX(rua_cod!$F:$F,RANDBETWEEN(2,COUNTA(rua_cod!F:F)))</f>
        <v>Rua da Junqueira</v>
      </c>
      <c r="H107" t="str" cm="1">
        <f t="array" aca="1" ref="H107" ca="1">INDEX(rua_cod!$A:$A,Médicos!X107) &amp; "-" &amp; TEXT(RANDBETWEEN(0,999),"000")</f>
        <v>1949-684</v>
      </c>
      <c r="I107" t="str" cm="1">
        <f t="array" aca="1" ref="I107" ca="1">INDEX(rua_cod!$B:$B,Médicos!X107)</f>
        <v>Lisboa</v>
      </c>
      <c r="J107" t="s">
        <v>341</v>
      </c>
      <c r="K107" t="s">
        <v>225</v>
      </c>
      <c r="L107" t="s">
        <v>265</v>
      </c>
      <c r="M107" t="str">
        <f t="shared" ca="1" si="14"/>
        <v>46339502</v>
      </c>
      <c r="N107" t="str">
        <f t="shared" ca="1" si="15"/>
        <v>893392489</v>
      </c>
      <c r="O107" t="str">
        <f t="shared" ca="1" si="15"/>
        <v>172279472</v>
      </c>
      <c r="P107" t="str" cm="1">
        <f t="array" aca="1" ref="P107" ca="1">9 &amp; INDEX($AH$3:$AH$6,Y107)&amp; TEXT(RANDBETWEEN(0,9999999),"0000000")</f>
        <v>963709843</v>
      </c>
      <c r="Q107" t="str" cm="1">
        <f t="array" aca="1" ref="Q107" ca="1">LOWER(B107) &amp; INDEX($AH$9:$AH$11,Z107)</f>
        <v>med106@hospital.upskill.com</v>
      </c>
      <c r="R107" t="str">
        <f t="shared" si="16"/>
        <v>med106.jpg</v>
      </c>
      <c r="S107" s="8">
        <f t="shared" ca="1" si="17"/>
        <v>7407724340630811</v>
      </c>
      <c r="T107" t="s">
        <v>341</v>
      </c>
      <c r="V107" s="4"/>
      <c r="X107">
        <f ca="1">RANDBETWEEN(2,COUNTA(rua_cod!A:A))</f>
        <v>45</v>
      </c>
      <c r="Y107">
        <f t="shared" ca="1" si="18"/>
        <v>4</v>
      </c>
      <c r="Z107">
        <f t="shared" ca="1" si="19"/>
        <v>3</v>
      </c>
      <c r="AA107">
        <f t="shared" ca="1" si="20"/>
        <v>1978</v>
      </c>
      <c r="AB107">
        <f t="shared" ca="1" si="21"/>
        <v>1</v>
      </c>
      <c r="AC107">
        <f t="shared" ca="1" si="22"/>
        <v>16</v>
      </c>
      <c r="AD107">
        <f t="shared" ca="1" si="23"/>
        <v>42</v>
      </c>
    </row>
    <row r="108" spans="1:30" x14ac:dyDescent="0.25">
      <c r="A108">
        <v>107</v>
      </c>
      <c r="B108" t="str">
        <f t="shared" si="12"/>
        <v>med107</v>
      </c>
      <c r="C108" t="str">
        <f t="shared" si="13"/>
        <v>pswmed107</v>
      </c>
      <c r="D108" t="str">
        <f ca="1">Nomes!T109</f>
        <v>Gabriel Tiago Vicente Matos</v>
      </c>
      <c r="E108" t="str">
        <f ca="1">Nomes!S109</f>
        <v>Masculino</v>
      </c>
      <c r="F108" s="2">
        <v>24416</v>
      </c>
      <c r="G108" t="str" cm="1">
        <f t="array" aca="1" ref="G108" ca="1">INDEX(rua_cod!$F:$F,RANDBETWEEN(2,COUNTA(rua_cod!F:F)))</f>
        <v>Rua do Comércio</v>
      </c>
      <c r="H108" t="str" cm="1">
        <f t="array" aca="1" ref="H108" ca="1">INDEX(rua_cod!$A:$A,Médicos!X108) &amp; "-" &amp; TEXT(RANDBETWEEN(0,999),"000")</f>
        <v>2650-148</v>
      </c>
      <c r="I108" t="str" cm="1">
        <f t="array" aca="1" ref="I108" ca="1">INDEX(rua_cod!$B:$B,Médicos!X108)</f>
        <v>Amadora</v>
      </c>
      <c r="J108" t="s">
        <v>341</v>
      </c>
      <c r="K108" t="s">
        <v>225</v>
      </c>
      <c r="L108" t="s">
        <v>265</v>
      </c>
      <c r="M108" t="str">
        <f t="shared" ca="1" si="14"/>
        <v>26031385</v>
      </c>
      <c r="N108" t="str">
        <f t="shared" ca="1" si="15"/>
        <v>988706689</v>
      </c>
      <c r="O108" t="str">
        <f t="shared" ca="1" si="15"/>
        <v>139342110</v>
      </c>
      <c r="P108" t="str" cm="1">
        <f t="array" aca="1" ref="P108" ca="1">9 &amp; INDEX($AH$3:$AH$6,Y108)&amp; TEXT(RANDBETWEEN(0,9999999),"0000000")</f>
        <v>918213098</v>
      </c>
      <c r="Q108" t="str" cm="1">
        <f t="array" aca="1" ref="Q108" ca="1">LOWER(B108) &amp; INDEX($AH$9:$AH$11,Z108)</f>
        <v>med107@hospital.upskill.com</v>
      </c>
      <c r="R108" t="str">
        <f t="shared" si="16"/>
        <v>med107.jpg</v>
      </c>
      <c r="S108" s="8">
        <f t="shared" ca="1" si="17"/>
        <v>9712489708103090</v>
      </c>
      <c r="T108" t="s">
        <v>341</v>
      </c>
      <c r="V108" s="4"/>
      <c r="X108">
        <f ca="1">RANDBETWEEN(2,COUNTA(rua_cod!A:A))</f>
        <v>9</v>
      </c>
      <c r="Y108">
        <f t="shared" ca="1" si="18"/>
        <v>1</v>
      </c>
      <c r="Z108">
        <f t="shared" ca="1" si="19"/>
        <v>2</v>
      </c>
      <c r="AA108">
        <f t="shared" ca="1" si="20"/>
        <v>1957</v>
      </c>
      <c r="AB108">
        <f t="shared" ca="1" si="21"/>
        <v>2</v>
      </c>
      <c r="AC108">
        <f t="shared" ca="1" si="22"/>
        <v>30</v>
      </c>
      <c r="AD108">
        <f t="shared" ca="1" si="23"/>
        <v>63</v>
      </c>
    </row>
    <row r="109" spans="1:30" x14ac:dyDescent="0.25">
      <c r="A109">
        <v>108</v>
      </c>
      <c r="B109" t="str">
        <f t="shared" si="12"/>
        <v>med108</v>
      </c>
      <c r="C109" t="str">
        <f t="shared" si="13"/>
        <v>pswmed108</v>
      </c>
      <c r="D109" t="str">
        <f ca="1">Nomes!T110</f>
        <v>Tiago Francisco Domingues Domingues</v>
      </c>
      <c r="E109" t="str">
        <f ca="1">Nomes!S110</f>
        <v>Masculino</v>
      </c>
      <c r="F109" s="2">
        <v>33423</v>
      </c>
      <c r="G109" t="str" cm="1">
        <f t="array" aca="1" ref="G109" ca="1">INDEX(rua_cod!$F:$F,RANDBETWEEN(2,COUNTA(rua_cod!F:F)))</f>
        <v>Rua Júlio César Machado</v>
      </c>
      <c r="H109" t="str" cm="1">
        <f t="array" aca="1" ref="H109" ca="1">INDEX(rua_cod!$A:$A,Médicos!X109) &amp; "-" &amp; TEXT(RANDBETWEEN(0,999),"000")</f>
        <v>1199-929</v>
      </c>
      <c r="I109" t="str" cm="1">
        <f t="array" aca="1" ref="I109" ca="1">INDEX(rua_cod!$B:$B,Médicos!X109)</f>
        <v>Lisboa</v>
      </c>
      <c r="J109" t="s">
        <v>341</v>
      </c>
      <c r="K109" t="s">
        <v>225</v>
      </c>
      <c r="L109" t="s">
        <v>265</v>
      </c>
      <c r="M109" t="str">
        <f t="shared" ca="1" si="14"/>
        <v>50911961</v>
      </c>
      <c r="N109" t="str">
        <f t="shared" ca="1" si="15"/>
        <v>973371948</v>
      </c>
      <c r="O109" t="str">
        <f t="shared" ca="1" si="15"/>
        <v>120637255</v>
      </c>
      <c r="P109" t="str" cm="1">
        <f t="array" aca="1" ref="P109" ca="1">9 &amp; INDEX($AH$3:$AH$6,Y109)&amp; TEXT(RANDBETWEEN(0,9999999),"0000000")</f>
        <v>921142243</v>
      </c>
      <c r="Q109" t="str" cm="1">
        <f t="array" aca="1" ref="Q109" ca="1">LOWER(B109) &amp; INDEX($AH$9:$AH$11,Z109)</f>
        <v>med108@hospital.upskill.com</v>
      </c>
      <c r="R109" t="str">
        <f t="shared" si="16"/>
        <v>med108.jpg</v>
      </c>
      <c r="S109" s="8">
        <f t="shared" ca="1" si="17"/>
        <v>9813373830859488</v>
      </c>
      <c r="T109" t="s">
        <v>341</v>
      </c>
      <c r="V109" s="4"/>
      <c r="X109">
        <f ca="1">RANDBETWEEN(2,COUNTA(rua_cod!A:A))</f>
        <v>65</v>
      </c>
      <c r="Y109">
        <f t="shared" ca="1" si="18"/>
        <v>2</v>
      </c>
      <c r="Z109">
        <f t="shared" ca="1" si="19"/>
        <v>3</v>
      </c>
      <c r="AA109">
        <f t="shared" ca="1" si="20"/>
        <v>1982</v>
      </c>
      <c r="AB109">
        <f t="shared" ca="1" si="21"/>
        <v>8</v>
      </c>
      <c r="AC109">
        <f t="shared" ca="1" si="22"/>
        <v>3</v>
      </c>
      <c r="AD109">
        <f t="shared" ca="1" si="23"/>
        <v>38</v>
      </c>
    </row>
    <row r="110" spans="1:30" x14ac:dyDescent="0.25">
      <c r="A110">
        <v>109</v>
      </c>
      <c r="B110" t="str">
        <f t="shared" si="12"/>
        <v>med109</v>
      </c>
      <c r="C110" t="str">
        <f t="shared" si="13"/>
        <v>pswmed109</v>
      </c>
      <c r="D110" t="str">
        <f ca="1">Nomes!T111</f>
        <v>Laura Leonor Sousa Lourenço</v>
      </c>
      <c r="E110" t="str">
        <f ca="1">Nomes!S111</f>
        <v>Feminino</v>
      </c>
      <c r="F110" s="2">
        <v>9013</v>
      </c>
      <c r="G110" t="str" cm="1">
        <f t="array" aca="1" ref="G110" ca="1">INDEX(rua_cod!$F:$F,RANDBETWEEN(2,COUNTA(rua_cod!F:F)))</f>
        <v>Rua do Guarda-Mor</v>
      </c>
      <c r="H110" t="str" cm="1">
        <f t="array" aca="1" ref="H110" ca="1">INDEX(rua_cod!$A:$A,Médicos!X110) &amp; "-" &amp; TEXT(RANDBETWEEN(0,999),"000")</f>
        <v>2640-223</v>
      </c>
      <c r="I110" t="str" cm="1">
        <f t="array" aca="1" ref="I110" ca="1">INDEX(rua_cod!$B:$B,Médicos!X110)</f>
        <v>Mafra</v>
      </c>
      <c r="J110" t="s">
        <v>341</v>
      </c>
      <c r="K110" t="s">
        <v>225</v>
      </c>
      <c r="L110" t="s">
        <v>265</v>
      </c>
      <c r="M110" t="str">
        <f t="shared" ca="1" si="14"/>
        <v>60774759</v>
      </c>
      <c r="N110" t="str">
        <f t="shared" ca="1" si="15"/>
        <v>875353237</v>
      </c>
      <c r="O110" t="str">
        <f t="shared" ca="1" si="15"/>
        <v>413826261</v>
      </c>
      <c r="P110" t="str" cm="1">
        <f t="array" aca="1" ref="P110" ca="1">9 &amp; INDEX($AH$3:$AH$6,Y110)&amp; TEXT(RANDBETWEEN(0,9999999),"0000000")</f>
        <v>926977882</v>
      </c>
      <c r="Q110" t="str" cm="1">
        <f t="array" aca="1" ref="Q110" ca="1">LOWER(B110) &amp; INDEX($AH$9:$AH$11,Z110)</f>
        <v>med109@hospital.upskill.com</v>
      </c>
      <c r="R110" t="str">
        <f t="shared" si="16"/>
        <v>med109.jpg</v>
      </c>
      <c r="S110" s="8">
        <f t="shared" ca="1" si="17"/>
        <v>1208557120390315</v>
      </c>
      <c r="T110" t="s">
        <v>341</v>
      </c>
      <c r="V110" s="4"/>
      <c r="X110">
        <f ca="1">RANDBETWEEN(2,COUNTA(rua_cod!A:A))</f>
        <v>85</v>
      </c>
      <c r="Y110">
        <f t="shared" ca="1" si="18"/>
        <v>2</v>
      </c>
      <c r="Z110">
        <f t="shared" ca="1" si="19"/>
        <v>3</v>
      </c>
      <c r="AA110">
        <f t="shared" ca="1" si="20"/>
        <v>1955</v>
      </c>
      <c r="AB110">
        <f t="shared" ca="1" si="21"/>
        <v>8</v>
      </c>
      <c r="AC110">
        <f t="shared" ca="1" si="22"/>
        <v>11</v>
      </c>
      <c r="AD110">
        <f t="shared" ca="1" si="23"/>
        <v>65</v>
      </c>
    </row>
    <row r="111" spans="1:30" x14ac:dyDescent="0.25">
      <c r="A111">
        <v>110</v>
      </c>
      <c r="B111" t="str">
        <f t="shared" si="12"/>
        <v>med110</v>
      </c>
      <c r="C111" t="str">
        <f t="shared" si="13"/>
        <v>pswmed110</v>
      </c>
      <c r="D111" t="str">
        <f ca="1">Nomes!T112</f>
        <v>Diana Sofia Moura Coelho</v>
      </c>
      <c r="E111" t="str">
        <f ca="1">Nomes!S112</f>
        <v>Feminino</v>
      </c>
      <c r="F111" s="2">
        <v>34653</v>
      </c>
      <c r="G111" t="str" cm="1">
        <f t="array" aca="1" ref="G111" ca="1">INDEX(rua_cod!$F:$F,RANDBETWEEN(2,COUNTA(rua_cod!F:F)))</f>
        <v>Calçada do Poço dos Mouros</v>
      </c>
      <c r="H111" t="str" cm="1">
        <f t="array" aca="1" ref="H111" ca="1">INDEX(rua_cod!$A:$A,Médicos!X111) &amp; "-" &amp; TEXT(RANDBETWEEN(0,999),"000")</f>
        <v>2790-583</v>
      </c>
      <c r="I111" t="str" cm="1">
        <f t="array" aca="1" ref="I111" ca="1">INDEX(rua_cod!$B:$B,Médicos!X111)</f>
        <v>Carnaxide</v>
      </c>
      <c r="J111" t="s">
        <v>341</v>
      </c>
      <c r="K111" t="s">
        <v>225</v>
      </c>
      <c r="L111" t="s">
        <v>265</v>
      </c>
      <c r="M111" t="str">
        <f t="shared" ca="1" si="14"/>
        <v>39600881</v>
      </c>
      <c r="N111" t="str">
        <f t="shared" ca="1" si="15"/>
        <v>186378557</v>
      </c>
      <c r="O111" t="str">
        <f t="shared" ca="1" si="15"/>
        <v>757297955</v>
      </c>
      <c r="P111" t="str" cm="1">
        <f t="array" aca="1" ref="P111" ca="1">9 &amp; INDEX($AH$3:$AH$6,Y111)&amp; TEXT(RANDBETWEEN(0,9999999),"0000000")</f>
        <v>960183982</v>
      </c>
      <c r="Q111" t="str" cm="1">
        <f t="array" aca="1" ref="Q111" ca="1">LOWER(B111) &amp; INDEX($AH$9:$AH$11,Z111)</f>
        <v>med110@hospital.upskill.com</v>
      </c>
      <c r="R111" t="str">
        <f t="shared" si="16"/>
        <v>med110.jpg</v>
      </c>
      <c r="S111" s="8">
        <f t="shared" ca="1" si="17"/>
        <v>4888397051603437</v>
      </c>
      <c r="T111" t="s">
        <v>341</v>
      </c>
      <c r="V111" s="4"/>
      <c r="X111">
        <f ca="1">RANDBETWEEN(2,COUNTA(rua_cod!A:A))</f>
        <v>22</v>
      </c>
      <c r="Y111">
        <f t="shared" ca="1" si="18"/>
        <v>4</v>
      </c>
      <c r="Z111">
        <f t="shared" ca="1" si="19"/>
        <v>2</v>
      </c>
      <c r="AA111">
        <f t="shared" ca="1" si="20"/>
        <v>1971</v>
      </c>
      <c r="AB111">
        <f t="shared" ca="1" si="21"/>
        <v>4</v>
      </c>
      <c r="AC111">
        <f t="shared" ca="1" si="22"/>
        <v>22</v>
      </c>
      <c r="AD111">
        <f t="shared" ca="1" si="23"/>
        <v>49</v>
      </c>
    </row>
    <row r="112" spans="1:30" x14ac:dyDescent="0.25">
      <c r="A112">
        <v>111</v>
      </c>
      <c r="B112" t="str">
        <f t="shared" si="12"/>
        <v>med111</v>
      </c>
      <c r="C112" t="str">
        <f t="shared" si="13"/>
        <v>pswmed111</v>
      </c>
      <c r="D112" t="str">
        <f ca="1">Nomes!T113</f>
        <v>Lurdes Inês Vicente Pinto</v>
      </c>
      <c r="E112" t="str">
        <f ca="1">Nomes!S113</f>
        <v>Feminino</v>
      </c>
      <c r="F112" s="2">
        <v>11305</v>
      </c>
      <c r="G112" t="str" cm="1">
        <f t="array" aca="1" ref="G112" ca="1">INDEX(rua_cod!$F:$F,RANDBETWEEN(2,COUNTA(rua_cod!F:F)))</f>
        <v>Travessa de São João da Praça</v>
      </c>
      <c r="H112" t="str" cm="1">
        <f t="array" aca="1" ref="H112" ca="1">INDEX(rua_cod!$A:$A,Médicos!X112) &amp; "-" &amp; TEXT(RANDBETWEEN(0,999),"000")</f>
        <v>1900-914</v>
      </c>
      <c r="I112" t="str" cm="1">
        <f t="array" aca="1" ref="I112" ca="1">INDEX(rua_cod!$B:$B,Médicos!X112)</f>
        <v>Lisboa</v>
      </c>
      <c r="J112" t="s">
        <v>341</v>
      </c>
      <c r="K112" t="s">
        <v>225</v>
      </c>
      <c r="L112" t="s">
        <v>265</v>
      </c>
      <c r="M112" t="str">
        <f t="shared" ca="1" si="14"/>
        <v>56068459</v>
      </c>
      <c r="N112" t="str">
        <f t="shared" ca="1" si="15"/>
        <v>935765716</v>
      </c>
      <c r="O112" t="str">
        <f t="shared" ca="1" si="15"/>
        <v>259419127</v>
      </c>
      <c r="P112" t="str" cm="1">
        <f t="array" aca="1" ref="P112" ca="1">9 &amp; INDEX($AH$3:$AH$6,Y112)&amp; TEXT(RANDBETWEEN(0,9999999),"0000000")</f>
        <v>939914957</v>
      </c>
      <c r="Q112" t="str" cm="1">
        <f t="array" aca="1" ref="Q112" ca="1">LOWER(B112) &amp; INDEX($AH$9:$AH$11,Z112)</f>
        <v>med111@hospital.upskill.com</v>
      </c>
      <c r="R112" t="str">
        <f t="shared" si="16"/>
        <v>med111.jpg</v>
      </c>
      <c r="S112" s="8">
        <f t="shared" ca="1" si="17"/>
        <v>2542460772744773</v>
      </c>
      <c r="T112" t="s">
        <v>341</v>
      </c>
      <c r="V112" s="4"/>
      <c r="X112">
        <f ca="1">RANDBETWEEN(2,COUNTA(rua_cod!A:A))</f>
        <v>42</v>
      </c>
      <c r="Y112">
        <f t="shared" ca="1" si="18"/>
        <v>3</v>
      </c>
      <c r="Z112">
        <f t="shared" ca="1" si="19"/>
        <v>2</v>
      </c>
      <c r="AA112">
        <f t="shared" ca="1" si="20"/>
        <v>1951</v>
      </c>
      <c r="AB112">
        <f t="shared" ca="1" si="21"/>
        <v>5</v>
      </c>
      <c r="AC112">
        <f t="shared" ca="1" si="22"/>
        <v>31</v>
      </c>
      <c r="AD112">
        <f t="shared" ca="1" si="23"/>
        <v>69</v>
      </c>
    </row>
    <row r="113" spans="1:30" x14ac:dyDescent="0.25">
      <c r="A113">
        <v>112</v>
      </c>
      <c r="B113" t="str">
        <f t="shared" si="12"/>
        <v>med112</v>
      </c>
      <c r="C113" t="str">
        <f t="shared" si="13"/>
        <v>pswmed112</v>
      </c>
      <c r="D113" t="str">
        <f ca="1">Nomes!T114</f>
        <v>Bruno Laura Matias Lourenço</v>
      </c>
      <c r="E113" t="str">
        <f ca="1">Nomes!S114</f>
        <v>Masculino</v>
      </c>
      <c r="F113" s="2">
        <v>13043</v>
      </c>
      <c r="G113" t="str" cm="1">
        <f t="array" aca="1" ref="G113" ca="1">INDEX(rua_cod!$F:$F,RANDBETWEEN(2,COUNTA(rua_cod!F:F)))</f>
        <v>Rua do Sacramento à Lapa</v>
      </c>
      <c r="H113" t="str" cm="1">
        <f t="array" aca="1" ref="H113" ca="1">INDEX(rua_cod!$A:$A,Médicos!X113) &amp; "-" &amp; TEXT(RANDBETWEEN(0,999),"000")</f>
        <v>1069-108</v>
      </c>
      <c r="I113" t="str" cm="1">
        <f t="array" aca="1" ref="I113" ca="1">INDEX(rua_cod!$B:$B,Médicos!X113)</f>
        <v>Lisboa</v>
      </c>
      <c r="J113" t="s">
        <v>341</v>
      </c>
      <c r="K113" t="s">
        <v>225</v>
      </c>
      <c r="L113" t="s">
        <v>265</v>
      </c>
      <c r="M113" t="str">
        <f t="shared" ca="1" si="14"/>
        <v>54522101</v>
      </c>
      <c r="N113" t="str">
        <f t="shared" ca="1" si="15"/>
        <v>827997227</v>
      </c>
      <c r="O113" t="str">
        <f t="shared" ca="1" si="15"/>
        <v>850388545</v>
      </c>
      <c r="P113" t="str" cm="1">
        <f t="array" aca="1" ref="P113" ca="1">9 &amp; INDEX($AH$3:$AH$6,Y113)&amp; TEXT(RANDBETWEEN(0,9999999),"0000000")</f>
        <v>926583640</v>
      </c>
      <c r="Q113" t="str" cm="1">
        <f t="array" aca="1" ref="Q113" ca="1">LOWER(B113) &amp; INDEX($AH$9:$AH$11,Z113)</f>
        <v>med112@hospital.upskill.com</v>
      </c>
      <c r="R113" t="str">
        <f t="shared" si="16"/>
        <v>med112.jpg</v>
      </c>
      <c r="S113" s="8">
        <f t="shared" ca="1" si="17"/>
        <v>7543078518260102</v>
      </c>
      <c r="T113" t="s">
        <v>341</v>
      </c>
      <c r="V113" s="4"/>
      <c r="X113">
        <f ca="1">RANDBETWEEN(2,COUNTA(rua_cod!A:A))</f>
        <v>67</v>
      </c>
      <c r="Y113">
        <f t="shared" ca="1" si="18"/>
        <v>2</v>
      </c>
      <c r="Z113">
        <f t="shared" ca="1" si="19"/>
        <v>1</v>
      </c>
      <c r="AA113">
        <f t="shared" ca="1" si="20"/>
        <v>1966</v>
      </c>
      <c r="AB113">
        <f t="shared" ca="1" si="21"/>
        <v>3</v>
      </c>
      <c r="AC113">
        <f t="shared" ca="1" si="22"/>
        <v>21</v>
      </c>
      <c r="AD113">
        <f t="shared" ca="1" si="23"/>
        <v>54</v>
      </c>
    </row>
    <row r="114" spans="1:30" x14ac:dyDescent="0.25">
      <c r="A114">
        <v>113</v>
      </c>
      <c r="B114" t="str">
        <f t="shared" si="12"/>
        <v>med113</v>
      </c>
      <c r="C114" t="str">
        <f t="shared" si="13"/>
        <v>pswmed113</v>
      </c>
      <c r="D114" t="str">
        <f ca="1">Nomes!T115</f>
        <v>Lurdes Joaquim Raposo Borges</v>
      </c>
      <c r="E114" t="str">
        <f ca="1">Nomes!S115</f>
        <v>Feminino</v>
      </c>
      <c r="F114" s="2">
        <v>43678</v>
      </c>
      <c r="G114" t="str" cm="1">
        <f t="array" aca="1" ref="G114" ca="1">INDEX(rua_cod!$F:$F,RANDBETWEEN(2,COUNTA(rua_cod!F:F)))</f>
        <v>Rua do Sol a Santana</v>
      </c>
      <c r="H114" t="str" cm="1">
        <f t="array" aca="1" ref="H114" ca="1">INDEX(rua_cod!$A:$A,Médicos!X114) &amp; "-" &amp; TEXT(RANDBETWEEN(0,999),"000")</f>
        <v>1600-141</v>
      </c>
      <c r="I114" t="str" cm="1">
        <f t="array" aca="1" ref="I114" ca="1">INDEX(rua_cod!$B:$B,Médicos!X114)</f>
        <v>Lisboa</v>
      </c>
      <c r="J114" t="s">
        <v>341</v>
      </c>
      <c r="K114" t="s">
        <v>225</v>
      </c>
      <c r="L114" t="s">
        <v>265</v>
      </c>
      <c r="M114" t="str">
        <f t="shared" ca="1" si="14"/>
        <v>84916202</v>
      </c>
      <c r="N114" t="str">
        <f t="shared" ca="1" si="15"/>
        <v>358069629</v>
      </c>
      <c r="O114" t="str">
        <f t="shared" ca="1" si="15"/>
        <v>304943104</v>
      </c>
      <c r="P114" t="str" cm="1">
        <f t="array" aca="1" ref="P114" ca="1">9 &amp; INDEX($AH$3:$AH$6,Y114)&amp; TEXT(RANDBETWEEN(0,9999999),"0000000")</f>
        <v>917656005</v>
      </c>
      <c r="Q114" t="str" cm="1">
        <f t="array" aca="1" ref="Q114" ca="1">LOWER(B114) &amp; INDEX($AH$9:$AH$11,Z114)</f>
        <v>med113@hospital.upskill.com</v>
      </c>
      <c r="R114" t="str">
        <f t="shared" si="16"/>
        <v>med113.jpg</v>
      </c>
      <c r="S114" s="8">
        <f t="shared" ca="1" si="17"/>
        <v>3536921271970262</v>
      </c>
      <c r="T114" t="s">
        <v>341</v>
      </c>
      <c r="V114" s="4"/>
      <c r="X114">
        <f ca="1">RANDBETWEEN(2,COUNTA(rua_cod!A:A))</f>
        <v>60</v>
      </c>
      <c r="Y114">
        <f t="shared" ca="1" si="18"/>
        <v>1</v>
      </c>
      <c r="Z114">
        <f t="shared" ca="1" si="19"/>
        <v>2</v>
      </c>
      <c r="AA114">
        <f t="shared" ca="1" si="20"/>
        <v>1987</v>
      </c>
      <c r="AB114">
        <f t="shared" ca="1" si="21"/>
        <v>3</v>
      </c>
      <c r="AC114">
        <f t="shared" ca="1" si="22"/>
        <v>27</v>
      </c>
      <c r="AD114">
        <f t="shared" ca="1" si="23"/>
        <v>33</v>
      </c>
    </row>
    <row r="115" spans="1:30" x14ac:dyDescent="0.25">
      <c r="A115">
        <v>114</v>
      </c>
      <c r="B115" t="str">
        <f t="shared" si="12"/>
        <v>med114</v>
      </c>
      <c r="C115" t="str">
        <f t="shared" si="13"/>
        <v>pswmed114</v>
      </c>
      <c r="D115" t="str">
        <f ca="1">Nomes!T116</f>
        <v>Diogo Lara Campos Azevedo</v>
      </c>
      <c r="E115" t="str">
        <f ca="1">Nomes!S116</f>
        <v>Masculino</v>
      </c>
      <c r="F115" s="2">
        <v>16742</v>
      </c>
      <c r="G115" t="str" cm="1">
        <f t="array" aca="1" ref="G115" ca="1">INDEX(rua_cod!$F:$F,RANDBETWEEN(2,COUNTA(rua_cod!F:F)))</f>
        <v>Estrada da Circunvalação de Lisboa</v>
      </c>
      <c r="H115" t="str" cm="1">
        <f t="array" aca="1" ref="H115" ca="1">INDEX(rua_cod!$A:$A,Médicos!X115) &amp; "-" &amp; TEXT(RANDBETWEEN(0,999),"000")</f>
        <v>1950-654</v>
      </c>
      <c r="I115" t="str" cm="1">
        <f t="array" aca="1" ref="I115" ca="1">INDEX(rua_cod!$B:$B,Médicos!X115)</f>
        <v>Lisboa</v>
      </c>
      <c r="J115" t="s">
        <v>341</v>
      </c>
      <c r="K115" t="s">
        <v>225</v>
      </c>
      <c r="L115" t="s">
        <v>265</v>
      </c>
      <c r="M115" t="str">
        <f t="shared" ca="1" si="14"/>
        <v>40718204</v>
      </c>
      <c r="N115" t="str">
        <f t="shared" ca="1" si="15"/>
        <v>706839446</v>
      </c>
      <c r="O115" t="str">
        <f t="shared" ca="1" si="15"/>
        <v>948917691</v>
      </c>
      <c r="P115" t="str" cm="1">
        <f t="array" aca="1" ref="P115" ca="1">9 &amp; INDEX($AH$3:$AH$6,Y115)&amp; TEXT(RANDBETWEEN(0,9999999),"0000000")</f>
        <v>912221691</v>
      </c>
      <c r="Q115" t="str" cm="1">
        <f t="array" aca="1" ref="Q115" ca="1">LOWER(B115) &amp; INDEX($AH$9:$AH$11,Z115)</f>
        <v>med114@hospital.upskill.com</v>
      </c>
      <c r="R115" t="str">
        <f t="shared" si="16"/>
        <v>med114.jpg</v>
      </c>
      <c r="S115" s="8">
        <f t="shared" ca="1" si="17"/>
        <v>6892817169774128</v>
      </c>
      <c r="T115" t="s">
        <v>341</v>
      </c>
      <c r="V115" s="4"/>
      <c r="X115">
        <f ca="1">RANDBETWEEN(2,COUNTA(rua_cod!A:A))</f>
        <v>41</v>
      </c>
      <c r="Y115">
        <f t="shared" ca="1" si="18"/>
        <v>1</v>
      </c>
      <c r="Z115">
        <f t="shared" ca="1" si="19"/>
        <v>3</v>
      </c>
      <c r="AA115">
        <f t="shared" ca="1" si="20"/>
        <v>1984</v>
      </c>
      <c r="AB115">
        <f t="shared" ca="1" si="21"/>
        <v>3</v>
      </c>
      <c r="AC115">
        <f t="shared" ca="1" si="22"/>
        <v>14</v>
      </c>
      <c r="AD115">
        <f t="shared" ca="1" si="23"/>
        <v>36</v>
      </c>
    </row>
    <row r="116" spans="1:30" x14ac:dyDescent="0.25">
      <c r="A116">
        <v>115</v>
      </c>
      <c r="B116" t="str">
        <f t="shared" si="12"/>
        <v>med115</v>
      </c>
      <c r="C116" t="str">
        <f t="shared" si="13"/>
        <v>pswmed115</v>
      </c>
      <c r="D116" t="str">
        <f ca="1">Nomes!T117</f>
        <v>Diogo Vera Gonçalves Abreu</v>
      </c>
      <c r="E116" t="str">
        <f ca="1">Nomes!S117</f>
        <v>Masculino</v>
      </c>
      <c r="F116" s="2">
        <v>31845</v>
      </c>
      <c r="G116" t="str" cm="1">
        <f t="array" aca="1" ref="G116" ca="1">INDEX(rua_cod!$F:$F,RANDBETWEEN(2,COUNTA(rua_cod!F:F)))</f>
        <v>Rua do Guarda-Mor</v>
      </c>
      <c r="H116" t="str" cm="1">
        <f t="array" aca="1" ref="H116" ca="1">INDEX(rua_cod!$A:$A,Médicos!X116) &amp; "-" &amp; TEXT(RANDBETWEEN(0,999),"000")</f>
        <v>2810-772</v>
      </c>
      <c r="I116" t="str" cm="1">
        <f t="array" aca="1" ref="I116" ca="1">INDEX(rua_cod!$B:$B,Médicos!X116)</f>
        <v>Almada</v>
      </c>
      <c r="J116" t="s">
        <v>341</v>
      </c>
      <c r="K116" t="s">
        <v>225</v>
      </c>
      <c r="L116" t="s">
        <v>265</v>
      </c>
      <c r="M116" t="str">
        <f t="shared" ca="1" si="14"/>
        <v>55231352</v>
      </c>
      <c r="N116" t="str">
        <f t="shared" ca="1" si="15"/>
        <v>265076436</v>
      </c>
      <c r="O116" t="str">
        <f t="shared" ca="1" si="15"/>
        <v>616731836</v>
      </c>
      <c r="P116" t="str" cm="1">
        <f t="array" aca="1" ref="P116" ca="1">9 &amp; INDEX($AH$3:$AH$6,Y116)&amp; TEXT(RANDBETWEEN(0,9999999),"0000000")</f>
        <v>969243327</v>
      </c>
      <c r="Q116" t="str" cm="1">
        <f t="array" aca="1" ref="Q116" ca="1">LOWER(B116) &amp; INDEX($AH$9:$AH$11,Z116)</f>
        <v>med115@hospital.upskill.com</v>
      </c>
      <c r="R116" t="str">
        <f t="shared" si="16"/>
        <v>med115.jpg</v>
      </c>
      <c r="S116" s="8">
        <f t="shared" ca="1" si="17"/>
        <v>5433798931991055</v>
      </c>
      <c r="T116" t="s">
        <v>341</v>
      </c>
      <c r="V116" s="4"/>
      <c r="X116">
        <f ca="1">RANDBETWEEN(2,COUNTA(rua_cod!A:A))</f>
        <v>3</v>
      </c>
      <c r="Y116">
        <f t="shared" ca="1" si="18"/>
        <v>4</v>
      </c>
      <c r="Z116">
        <f t="shared" ca="1" si="19"/>
        <v>1</v>
      </c>
      <c r="AA116">
        <f t="shared" ca="1" si="20"/>
        <v>1974</v>
      </c>
      <c r="AB116">
        <f t="shared" ca="1" si="21"/>
        <v>10</v>
      </c>
      <c r="AC116">
        <f t="shared" ca="1" si="22"/>
        <v>28</v>
      </c>
      <c r="AD116">
        <f t="shared" ca="1" si="23"/>
        <v>46</v>
      </c>
    </row>
    <row r="117" spans="1:30" x14ac:dyDescent="0.25">
      <c r="A117">
        <v>116</v>
      </c>
      <c r="B117" t="str">
        <f t="shared" si="12"/>
        <v>med116</v>
      </c>
      <c r="C117" t="str">
        <f t="shared" si="13"/>
        <v>pswmed116</v>
      </c>
      <c r="D117" t="str">
        <f ca="1">Nomes!T118</f>
        <v>Santiago Miguel Fonseca Costa</v>
      </c>
      <c r="E117" t="str">
        <f ca="1">Nomes!S118</f>
        <v>Masculino</v>
      </c>
      <c r="F117" s="2">
        <v>13451</v>
      </c>
      <c r="G117" t="str" cm="1">
        <f t="array" aca="1" ref="G117" ca="1">INDEX(rua_cod!$F:$F,RANDBETWEEN(2,COUNTA(rua_cod!F:F)))</f>
        <v>Rua da Junqueira</v>
      </c>
      <c r="H117" t="str" cm="1">
        <f t="array" aca="1" ref="H117" ca="1">INDEX(rua_cod!$A:$A,Médicos!X117) &amp; "-" &amp; TEXT(RANDBETWEEN(0,999),"000")</f>
        <v>1769-036</v>
      </c>
      <c r="I117" t="str" cm="1">
        <f t="array" aca="1" ref="I117" ca="1">INDEX(rua_cod!$B:$B,Médicos!X117)</f>
        <v>Lisboa</v>
      </c>
      <c r="J117" t="s">
        <v>341</v>
      </c>
      <c r="K117" t="s">
        <v>225</v>
      </c>
      <c r="L117" t="s">
        <v>265</v>
      </c>
      <c r="M117" t="str">
        <f t="shared" ca="1" si="14"/>
        <v>78843214</v>
      </c>
      <c r="N117" t="str">
        <f t="shared" ca="1" si="15"/>
        <v>434037522</v>
      </c>
      <c r="O117" t="str">
        <f t="shared" ca="1" si="15"/>
        <v>865704326</v>
      </c>
      <c r="P117" t="str" cm="1">
        <f t="array" aca="1" ref="P117" ca="1">9 &amp; INDEX($AH$3:$AH$6,Y117)&amp; TEXT(RANDBETWEEN(0,9999999),"0000000")</f>
        <v>912586237</v>
      </c>
      <c r="Q117" t="str" cm="1">
        <f t="array" aca="1" ref="Q117" ca="1">LOWER(B117) &amp; INDEX($AH$9:$AH$11,Z117)</f>
        <v>med116@hospital.upskill.com</v>
      </c>
      <c r="R117" t="str">
        <f t="shared" si="16"/>
        <v>med116.jpg</v>
      </c>
      <c r="S117" s="8">
        <f t="shared" ca="1" si="17"/>
        <v>8852860369528160</v>
      </c>
      <c r="T117" t="s">
        <v>341</v>
      </c>
      <c r="V117" s="4"/>
      <c r="X117">
        <f ca="1">RANDBETWEEN(2,COUNTA(rua_cod!A:A))</f>
        <v>74</v>
      </c>
      <c r="Y117">
        <f t="shared" ca="1" si="18"/>
        <v>1</v>
      </c>
      <c r="Z117">
        <f t="shared" ca="1" si="19"/>
        <v>3</v>
      </c>
      <c r="AA117">
        <f t="shared" ca="1" si="20"/>
        <v>1961</v>
      </c>
      <c r="AB117">
        <f t="shared" ca="1" si="21"/>
        <v>11</v>
      </c>
      <c r="AC117">
        <f t="shared" ca="1" si="22"/>
        <v>10</v>
      </c>
      <c r="AD117">
        <f t="shared" ca="1" si="23"/>
        <v>59</v>
      </c>
    </row>
    <row r="118" spans="1:30" x14ac:dyDescent="0.25">
      <c r="A118">
        <v>117</v>
      </c>
      <c r="B118" t="str">
        <f t="shared" si="12"/>
        <v>med117</v>
      </c>
      <c r="C118" t="str">
        <f t="shared" si="13"/>
        <v>pswmed117</v>
      </c>
      <c r="D118" t="str">
        <f ca="1">Nomes!T119</f>
        <v>Martim Diana Lima Coelho</v>
      </c>
      <c r="E118" t="str">
        <f ca="1">Nomes!S119</f>
        <v>Masculino</v>
      </c>
      <c r="F118" s="2">
        <v>13647</v>
      </c>
      <c r="G118" t="str" cm="1">
        <f t="array" aca="1" ref="G118" ca="1">INDEX(rua_cod!$F:$F,RANDBETWEEN(2,COUNTA(rua_cod!F:F)))</f>
        <v>Rua Garrett</v>
      </c>
      <c r="H118" t="str" cm="1">
        <f t="array" aca="1" ref="H118" ca="1">INDEX(rua_cod!$A:$A,Médicos!X118) &amp; "-" &amp; TEXT(RANDBETWEEN(0,999),"000")</f>
        <v>2670-148</v>
      </c>
      <c r="I118" t="str" cm="1">
        <f t="array" aca="1" ref="I118" ca="1">INDEX(rua_cod!$B:$B,Médicos!X118)</f>
        <v>Loures</v>
      </c>
      <c r="J118" t="s">
        <v>341</v>
      </c>
      <c r="K118" t="s">
        <v>225</v>
      </c>
      <c r="L118" t="s">
        <v>265</v>
      </c>
      <c r="M118" t="str">
        <f t="shared" ca="1" si="14"/>
        <v>88815897</v>
      </c>
      <c r="N118" t="str">
        <f t="shared" ca="1" si="15"/>
        <v>833200228</v>
      </c>
      <c r="O118" t="str">
        <f t="shared" ca="1" si="15"/>
        <v>944661987</v>
      </c>
      <c r="P118" t="str" cm="1">
        <f t="array" aca="1" ref="P118" ca="1">9 &amp; INDEX($AH$3:$AH$6,Y118)&amp; TEXT(RANDBETWEEN(0,9999999),"0000000")</f>
        <v>937907225</v>
      </c>
      <c r="Q118" t="str" cm="1">
        <f t="array" aca="1" ref="Q118" ca="1">LOWER(B118) &amp; INDEX($AH$9:$AH$11,Z118)</f>
        <v>med117@hospital.upskill.com</v>
      </c>
      <c r="R118" t="str">
        <f t="shared" si="16"/>
        <v>med117.jpg</v>
      </c>
      <c r="S118" s="8">
        <f t="shared" ca="1" si="17"/>
        <v>1087126499902744</v>
      </c>
      <c r="T118" t="s">
        <v>341</v>
      </c>
      <c r="V118" s="4"/>
      <c r="X118">
        <f ca="1">RANDBETWEEN(2,COUNTA(rua_cod!A:A))</f>
        <v>83</v>
      </c>
      <c r="Y118">
        <f t="shared" ca="1" si="18"/>
        <v>3</v>
      </c>
      <c r="Z118">
        <f t="shared" ca="1" si="19"/>
        <v>1</v>
      </c>
      <c r="AA118">
        <f t="shared" ca="1" si="20"/>
        <v>1952</v>
      </c>
      <c r="AB118">
        <f t="shared" ca="1" si="21"/>
        <v>1</v>
      </c>
      <c r="AC118">
        <f t="shared" ca="1" si="22"/>
        <v>3</v>
      </c>
      <c r="AD118">
        <f t="shared" ca="1" si="23"/>
        <v>68</v>
      </c>
    </row>
    <row r="119" spans="1:30" x14ac:dyDescent="0.25">
      <c r="A119">
        <v>118</v>
      </c>
      <c r="B119" t="str">
        <f t="shared" si="12"/>
        <v>med118</v>
      </c>
      <c r="C119" t="str">
        <f t="shared" si="13"/>
        <v>pswmed118</v>
      </c>
      <c r="D119" t="str">
        <f ca="1">Nomes!T120</f>
        <v>Martim João Gomes Cardoso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Calçada do Poço dos Mouros</v>
      </c>
      <c r="H119" t="str" cm="1">
        <f t="array" aca="1" ref="H119" ca="1">INDEX(rua_cod!$A:$A,Médicos!X119) &amp; "-" &amp; TEXT(RANDBETWEEN(0,999),"000")</f>
        <v>2614-736</v>
      </c>
      <c r="I119" t="str" cm="1">
        <f t="array" aca="1" ref="I119" ca="1">INDEX(rua_cod!$B:$B,Médicos!X119)</f>
        <v>Amadora</v>
      </c>
      <c r="J119" t="s">
        <v>341</v>
      </c>
      <c r="K119" t="s">
        <v>225</v>
      </c>
      <c r="L119" t="s">
        <v>265</v>
      </c>
      <c r="M119" t="str">
        <f t="shared" ca="1" si="14"/>
        <v>76623625</v>
      </c>
      <c r="N119" t="str">
        <f t="shared" ca="1" si="15"/>
        <v>383147838</v>
      </c>
      <c r="O119" t="str">
        <f t="shared" ca="1" si="15"/>
        <v>440674017</v>
      </c>
      <c r="P119" t="str" cm="1">
        <f t="array" aca="1" ref="P119" ca="1">9 &amp; INDEX($AH$3:$AH$6,Y119)&amp; TEXT(RANDBETWEEN(0,9999999),"0000000")</f>
        <v>918331459</v>
      </c>
      <c r="Q119" t="str" cm="1">
        <f t="array" aca="1" ref="Q119" ca="1">LOWER(B119) &amp; INDEX($AH$9:$AH$11,Z119)</f>
        <v>med118@hospital.upskill.com</v>
      </c>
      <c r="R119" t="str">
        <f t="shared" si="16"/>
        <v>med118.jpg</v>
      </c>
      <c r="S119" s="8">
        <f t="shared" ca="1" si="17"/>
        <v>2737478165589657</v>
      </c>
      <c r="T119" t="s">
        <v>341</v>
      </c>
      <c r="V119" s="4"/>
      <c r="X119">
        <f ca="1">RANDBETWEEN(2,COUNTA(rua_cod!A:A))</f>
        <v>11</v>
      </c>
      <c r="Y119">
        <f t="shared" ca="1" si="18"/>
        <v>1</v>
      </c>
      <c r="Z119">
        <f t="shared" ca="1" si="19"/>
        <v>1</v>
      </c>
      <c r="AA119">
        <f t="shared" ca="1" si="20"/>
        <v>1955</v>
      </c>
      <c r="AB119">
        <f t="shared" ca="1" si="21"/>
        <v>4</v>
      </c>
      <c r="AC119">
        <f t="shared" ca="1" si="22"/>
        <v>30</v>
      </c>
      <c r="AD119">
        <f t="shared" ca="1" si="23"/>
        <v>65</v>
      </c>
    </row>
    <row r="120" spans="1:30" x14ac:dyDescent="0.25">
      <c r="A120">
        <v>119</v>
      </c>
      <c r="B120" t="str">
        <f t="shared" si="12"/>
        <v>med119</v>
      </c>
      <c r="C120" t="str">
        <f t="shared" si="13"/>
        <v>pswmed119</v>
      </c>
      <c r="D120" t="str">
        <f ca="1">Nomes!T121</f>
        <v>André Miguel Guerreiro Sousa</v>
      </c>
      <c r="E120" t="str">
        <f ca="1">Nomes!S121</f>
        <v>Masculino</v>
      </c>
      <c r="F120" s="2">
        <v>18446</v>
      </c>
      <c r="G120" t="str" cm="1">
        <f t="array" aca="1" ref="G120" ca="1">INDEX(rua_cod!$F:$F,RANDBETWEEN(2,COUNTA(rua_cod!F:F)))</f>
        <v>Rua Cidade de Bolama</v>
      </c>
      <c r="H120" t="str" cm="1">
        <f t="array" aca="1" ref="H120" ca="1">INDEX(rua_cod!$A:$A,Médicos!X120) &amp; "-" &amp; TEXT(RANDBETWEEN(0,999),"000")</f>
        <v>1949-088</v>
      </c>
      <c r="I120" t="str" cm="1">
        <f t="array" aca="1" ref="I120" ca="1">INDEX(rua_cod!$B:$B,Médicos!X120)</f>
        <v>Lisboa</v>
      </c>
      <c r="J120" t="s">
        <v>341</v>
      </c>
      <c r="K120" t="s">
        <v>225</v>
      </c>
      <c r="L120" t="s">
        <v>265</v>
      </c>
      <c r="M120" t="str">
        <f t="shared" ca="1" si="14"/>
        <v>90662541</v>
      </c>
      <c r="N120" t="str">
        <f t="shared" ca="1" si="15"/>
        <v>871950306</v>
      </c>
      <c r="O120" t="str">
        <f t="shared" ca="1" si="15"/>
        <v>693883607</v>
      </c>
      <c r="P120" t="str" cm="1">
        <f t="array" aca="1" ref="P120" ca="1">9 &amp; INDEX($AH$3:$AH$6,Y120)&amp; TEXT(RANDBETWEEN(0,9999999),"0000000")</f>
        <v>930583067</v>
      </c>
      <c r="Q120" t="str" cm="1">
        <f t="array" aca="1" ref="Q120" ca="1">LOWER(B120) &amp; INDEX($AH$9:$AH$11,Z120)</f>
        <v>med119@hospital.upskill.com</v>
      </c>
      <c r="R120" t="str">
        <f t="shared" si="16"/>
        <v>med119.jpg</v>
      </c>
      <c r="S120" s="8">
        <f t="shared" ca="1" si="17"/>
        <v>1578108508376958</v>
      </c>
      <c r="T120" t="s">
        <v>341</v>
      </c>
      <c r="V120" s="4"/>
      <c r="X120">
        <f ca="1">RANDBETWEEN(2,COUNTA(rua_cod!A:A))</f>
        <v>45</v>
      </c>
      <c r="Y120">
        <f t="shared" ca="1" si="18"/>
        <v>3</v>
      </c>
      <c r="Z120">
        <f t="shared" ca="1" si="19"/>
        <v>3</v>
      </c>
      <c r="AA120">
        <f t="shared" ca="1" si="20"/>
        <v>1974</v>
      </c>
      <c r="AB120">
        <f t="shared" ca="1" si="21"/>
        <v>4</v>
      </c>
      <c r="AC120">
        <f t="shared" ca="1" si="22"/>
        <v>4</v>
      </c>
      <c r="AD120">
        <f t="shared" ca="1" si="23"/>
        <v>46</v>
      </c>
    </row>
    <row r="121" spans="1:30" x14ac:dyDescent="0.25">
      <c r="A121">
        <v>120</v>
      </c>
      <c r="B121" t="str">
        <f t="shared" si="12"/>
        <v>med120</v>
      </c>
      <c r="C121" t="str">
        <f t="shared" si="13"/>
        <v>pswmed120</v>
      </c>
      <c r="D121" t="str">
        <f ca="1">Nomes!T122</f>
        <v>Santiago Santiago Torres Campos</v>
      </c>
      <c r="E121" t="str">
        <f ca="1">Nomes!S122</f>
        <v>Masculino</v>
      </c>
      <c r="F121" s="2">
        <v>28450</v>
      </c>
      <c r="G121" t="str" cm="1">
        <f t="array" aca="1" ref="G121" ca="1">INDEX(rua_cod!$F:$F,RANDBETWEEN(2,COUNTA(rua_cod!F:F)))</f>
        <v>Rua do Carmo</v>
      </c>
      <c r="H121" t="str" cm="1">
        <f t="array" aca="1" ref="H121" ca="1">INDEX(rua_cod!$A:$A,Médicos!X121) &amp; "-" &amp; TEXT(RANDBETWEEN(0,999),"000")</f>
        <v>1748-515</v>
      </c>
      <c r="I121" t="str" cm="1">
        <f t="array" aca="1" ref="I121" ca="1">INDEX(rua_cod!$B:$B,Médicos!X121)</f>
        <v>Lisboa</v>
      </c>
      <c r="J121" t="s">
        <v>341</v>
      </c>
      <c r="K121" t="s">
        <v>225</v>
      </c>
      <c r="L121" t="s">
        <v>265</v>
      </c>
      <c r="M121" t="str">
        <f t="shared" ca="1" si="14"/>
        <v>68120359</v>
      </c>
      <c r="N121" t="str">
        <f t="shared" ca="1" si="15"/>
        <v>176762724</v>
      </c>
      <c r="O121" t="str">
        <f t="shared" ca="1" si="15"/>
        <v>722074092</v>
      </c>
      <c r="P121" t="str" cm="1">
        <f t="array" aca="1" ref="P121" ca="1">9 &amp; INDEX($AH$3:$AH$6,Y121)&amp; TEXT(RANDBETWEEN(0,9999999),"0000000")</f>
        <v>928948007</v>
      </c>
      <c r="Q121" t="str" cm="1">
        <f t="array" aca="1" ref="Q121" ca="1">LOWER(B121) &amp; INDEX($AH$9:$AH$11,Z121)</f>
        <v>med120@hospital.upskill.com</v>
      </c>
      <c r="R121" t="str">
        <f t="shared" si="16"/>
        <v>med120.jpg</v>
      </c>
      <c r="S121" s="8">
        <f t="shared" ca="1" si="17"/>
        <v>5522241114072084</v>
      </c>
      <c r="T121" t="s">
        <v>341</v>
      </c>
      <c r="V121" s="4"/>
      <c r="X121">
        <f ca="1">RANDBETWEEN(2,COUNTA(rua_cod!A:A))</f>
        <v>77</v>
      </c>
      <c r="Y121">
        <f t="shared" ca="1" si="18"/>
        <v>2</v>
      </c>
      <c r="Z121">
        <f t="shared" ca="1" si="19"/>
        <v>1</v>
      </c>
      <c r="AA121">
        <f t="shared" ca="1" si="20"/>
        <v>1987</v>
      </c>
      <c r="AB121">
        <f t="shared" ca="1" si="21"/>
        <v>1</v>
      </c>
      <c r="AC121">
        <f t="shared" ca="1" si="22"/>
        <v>12</v>
      </c>
      <c r="AD121">
        <f t="shared" ca="1" si="23"/>
        <v>33</v>
      </c>
    </row>
    <row r="122" spans="1:30" x14ac:dyDescent="0.25">
      <c r="A122">
        <v>121</v>
      </c>
      <c r="B122" t="str">
        <f t="shared" si="12"/>
        <v>med121</v>
      </c>
      <c r="C122" t="str">
        <f t="shared" si="13"/>
        <v>pswmed121</v>
      </c>
      <c r="D122" t="str">
        <f ca="1">Nomes!T123</f>
        <v>Joaquim Tomás Santos Alves</v>
      </c>
      <c r="E122" t="str">
        <f ca="1">Nomes!S123</f>
        <v>Masculino</v>
      </c>
      <c r="F122" s="2">
        <v>42428</v>
      </c>
      <c r="G122" t="str" cm="1">
        <f t="array" aca="1" ref="G122" ca="1">INDEX(rua_cod!$F:$F,RANDBETWEEN(2,COUNTA(rua_cod!F:F)))</f>
        <v>Rua do Salitre</v>
      </c>
      <c r="H122" t="str" cm="1">
        <f t="array" aca="1" ref="H122" ca="1">INDEX(rua_cod!$A:$A,Médicos!X122) &amp; "-" &amp; TEXT(RANDBETWEEN(0,999),"000")</f>
        <v>1149-983</v>
      </c>
      <c r="I122" t="str" cm="1">
        <f t="array" aca="1" ref="I122" ca="1">INDEX(rua_cod!$B:$B,Médicos!X122)</f>
        <v>Lisboa</v>
      </c>
      <c r="J122" t="s">
        <v>341</v>
      </c>
      <c r="K122" t="s">
        <v>225</v>
      </c>
      <c r="L122" t="s">
        <v>265</v>
      </c>
      <c r="M122" t="str">
        <f t="shared" ca="1" si="14"/>
        <v>52162871</v>
      </c>
      <c r="N122" t="str">
        <f t="shared" ca="1" si="15"/>
        <v>802918175</v>
      </c>
      <c r="O122" t="str">
        <f t="shared" ca="1" si="15"/>
        <v>443235186</v>
      </c>
      <c r="P122" t="str" cm="1">
        <f t="array" aca="1" ref="P122" ca="1">9 &amp; INDEX($AH$3:$AH$6,Y122)&amp; TEXT(RANDBETWEEN(0,9999999),"0000000")</f>
        <v>963697803</v>
      </c>
      <c r="Q122" t="str" cm="1">
        <f t="array" aca="1" ref="Q122" ca="1">LOWER(B122) &amp; INDEX($AH$9:$AH$11,Z122)</f>
        <v>med121@hospital.upskill.com</v>
      </c>
      <c r="R122" t="str">
        <f t="shared" si="16"/>
        <v>med121.jpg</v>
      </c>
      <c r="S122" s="8">
        <f t="shared" ca="1" si="17"/>
        <v>3054514120264741</v>
      </c>
      <c r="T122" t="s">
        <v>341</v>
      </c>
      <c r="V122" s="4"/>
      <c r="X122">
        <f ca="1">RANDBETWEEN(2,COUNTA(rua_cod!A:A))</f>
        <v>59</v>
      </c>
      <c r="Y122">
        <f t="shared" ca="1" si="18"/>
        <v>4</v>
      </c>
      <c r="Z122">
        <f t="shared" ca="1" si="19"/>
        <v>2</v>
      </c>
      <c r="AA122">
        <f t="shared" ca="1" si="20"/>
        <v>1975</v>
      </c>
      <c r="AB122">
        <f t="shared" ca="1" si="21"/>
        <v>6</v>
      </c>
      <c r="AC122">
        <f t="shared" ca="1" si="22"/>
        <v>28</v>
      </c>
      <c r="AD122">
        <f t="shared" ca="1" si="23"/>
        <v>45</v>
      </c>
    </row>
    <row r="123" spans="1:30" x14ac:dyDescent="0.25">
      <c r="A123">
        <v>122</v>
      </c>
      <c r="B123" t="str">
        <f t="shared" si="12"/>
        <v>med122</v>
      </c>
      <c r="C123" t="str">
        <f t="shared" si="13"/>
        <v>pswmed122</v>
      </c>
      <c r="D123" t="str">
        <f ca="1">Nomes!T124</f>
        <v>Diana Ricardo Coelho Batista</v>
      </c>
      <c r="E123" t="str">
        <f ca="1">Nomes!S124</f>
        <v>Feminino</v>
      </c>
      <c r="F123" s="2">
        <v>43463</v>
      </c>
      <c r="G123" t="str" cm="1">
        <f t="array" aca="1" ref="G123" ca="1">INDEX(rua_cod!$F:$F,RANDBETWEEN(2,COUNTA(rua_cod!F:F)))</f>
        <v>Avenida Ressano Garcia</v>
      </c>
      <c r="H123" t="str" cm="1">
        <f t="array" aca="1" ref="H123" ca="1">INDEX(rua_cod!$A:$A,Médicos!X123) &amp; "-" &amp; TEXT(RANDBETWEEN(0,999),"000")</f>
        <v>2004-133</v>
      </c>
      <c r="I123" t="str" cm="1">
        <f t="array" aca="1" ref="I123" ca="1">INDEX(rua_cod!$B:$B,Médicos!X123)</f>
        <v>Santarém</v>
      </c>
      <c r="J123" t="s">
        <v>341</v>
      </c>
      <c r="K123" t="s">
        <v>225</v>
      </c>
      <c r="L123" t="s">
        <v>265</v>
      </c>
      <c r="M123" t="str">
        <f t="shared" ca="1" si="14"/>
        <v>22703181</v>
      </c>
      <c r="N123" t="str">
        <f t="shared" ca="1" si="15"/>
        <v>794122540</v>
      </c>
      <c r="O123" t="str">
        <f t="shared" ca="1" si="15"/>
        <v>106985367</v>
      </c>
      <c r="P123" t="str" cm="1">
        <f t="array" aca="1" ref="P123" ca="1">9 &amp; INDEX($AH$3:$AH$6,Y123)&amp; TEXT(RANDBETWEEN(0,9999999),"0000000")</f>
        <v>932583496</v>
      </c>
      <c r="Q123" t="str" cm="1">
        <f t="array" aca="1" ref="Q123" ca="1">LOWER(B123) &amp; INDEX($AH$9:$AH$11,Z123)</f>
        <v>med122@hospital.upskill.com</v>
      </c>
      <c r="R123" t="str">
        <f t="shared" si="16"/>
        <v>med122.jpg</v>
      </c>
      <c r="S123" s="8">
        <f t="shared" ca="1" si="17"/>
        <v>6004029952096995</v>
      </c>
      <c r="T123" t="s">
        <v>341</v>
      </c>
      <c r="V123" s="4"/>
      <c r="X123">
        <f ca="1">RANDBETWEEN(2,COUNTA(rua_cod!A:A))</f>
        <v>94</v>
      </c>
      <c r="Y123">
        <f t="shared" ca="1" si="18"/>
        <v>3</v>
      </c>
      <c r="Z123">
        <f t="shared" ca="1" si="19"/>
        <v>2</v>
      </c>
      <c r="AA123">
        <f t="shared" ca="1" si="20"/>
        <v>1961</v>
      </c>
      <c r="AB123">
        <f t="shared" ca="1" si="21"/>
        <v>12</v>
      </c>
      <c r="AC123">
        <f t="shared" ca="1" si="22"/>
        <v>2</v>
      </c>
      <c r="AD123">
        <f t="shared" ca="1" si="23"/>
        <v>59</v>
      </c>
    </row>
    <row r="124" spans="1:30" x14ac:dyDescent="0.25">
      <c r="A124">
        <v>123</v>
      </c>
      <c r="B124" t="str">
        <f t="shared" si="12"/>
        <v>med123</v>
      </c>
      <c r="C124" t="str">
        <f t="shared" si="13"/>
        <v>pswmed123</v>
      </c>
      <c r="D124" t="str">
        <f ca="1">Nomes!T125</f>
        <v>Sara Rodrigo Vicente Loureiro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Calçada Marquês de Abrantes</v>
      </c>
      <c r="H124" t="str" cm="1">
        <f t="array" aca="1" ref="H124" ca="1">INDEX(rua_cod!$A:$A,Médicos!X124) &amp; "-" &amp; TEXT(RANDBETWEEN(0,999),"000")</f>
        <v>1099-748</v>
      </c>
      <c r="I124" t="str" cm="1">
        <f t="array" aca="1" ref="I124" ca="1">INDEX(rua_cod!$B:$B,Médicos!X124)</f>
        <v>Lisboa</v>
      </c>
      <c r="J124" t="s">
        <v>341</v>
      </c>
      <c r="K124" t="s">
        <v>225</v>
      </c>
      <c r="L124" t="s">
        <v>265</v>
      </c>
      <c r="M124" t="str">
        <f t="shared" ca="1" si="14"/>
        <v>19376221</v>
      </c>
      <c r="N124" t="str">
        <f t="shared" ca="1" si="15"/>
        <v>119084616</v>
      </c>
      <c r="O124" t="str">
        <f t="shared" ca="1" si="15"/>
        <v>548821206</v>
      </c>
      <c r="P124" t="str" cm="1">
        <f t="array" aca="1" ref="P124" ca="1">9 &amp; INDEX($AH$3:$AH$6,Y124)&amp; TEXT(RANDBETWEEN(0,9999999),"0000000")</f>
        <v>924854687</v>
      </c>
      <c r="Q124" t="str" cm="1">
        <f t="array" aca="1" ref="Q124" ca="1">LOWER(B124) &amp; INDEX($AH$9:$AH$11,Z124)</f>
        <v>med123@hospital.upskill.com</v>
      </c>
      <c r="R124" t="str">
        <f t="shared" si="16"/>
        <v>med123.jpg</v>
      </c>
      <c r="S124" s="8">
        <f t="shared" ca="1" si="17"/>
        <v>6832043519012439</v>
      </c>
      <c r="T124" t="s">
        <v>341</v>
      </c>
      <c r="V124" s="4"/>
      <c r="X124">
        <f ca="1">RANDBETWEEN(2,COUNTA(rua_cod!A:A))</f>
        <v>53</v>
      </c>
      <c r="Y124">
        <f t="shared" ca="1" si="18"/>
        <v>2</v>
      </c>
      <c r="Z124">
        <f t="shared" ca="1" si="19"/>
        <v>3</v>
      </c>
      <c r="AA124">
        <f t="shared" ca="1" si="20"/>
        <v>1970</v>
      </c>
      <c r="AB124">
        <f t="shared" ca="1" si="21"/>
        <v>3</v>
      </c>
      <c r="AC124">
        <f t="shared" ca="1" si="22"/>
        <v>3</v>
      </c>
      <c r="AD124">
        <f t="shared" ca="1" si="23"/>
        <v>50</v>
      </c>
    </row>
    <row r="125" spans="1:30" x14ac:dyDescent="0.25">
      <c r="A125">
        <v>124</v>
      </c>
      <c r="B125" t="str">
        <f t="shared" si="12"/>
        <v>med124</v>
      </c>
      <c r="C125" t="str">
        <f t="shared" si="13"/>
        <v>pswmed124</v>
      </c>
      <c r="D125" t="str">
        <f ca="1">Nomes!T126</f>
        <v>Francisco Vera Andrade Sousa</v>
      </c>
      <c r="E125" t="str">
        <f ca="1">Nomes!S126</f>
        <v>Masculino</v>
      </c>
      <c r="F125" s="2">
        <v>13497</v>
      </c>
      <c r="G125" t="str" cm="1">
        <f t="array" aca="1" ref="G125" ca="1">INDEX(rua_cod!$F:$F,RANDBETWEEN(2,COUNTA(rua_cod!F:F)))</f>
        <v>Rua do Comércio</v>
      </c>
      <c r="H125" t="str" cm="1">
        <f t="array" aca="1" ref="H125" ca="1">INDEX(rua_cod!$A:$A,Médicos!X125) &amp; "-" &amp; TEXT(RANDBETWEEN(0,999),"000")</f>
        <v>1769-264</v>
      </c>
      <c r="I125" t="str" cm="1">
        <f t="array" aca="1" ref="I125" ca="1">INDEX(rua_cod!$B:$B,Médicos!X125)</f>
        <v>Lisboa</v>
      </c>
      <c r="J125" t="s">
        <v>341</v>
      </c>
      <c r="K125" t="s">
        <v>225</v>
      </c>
      <c r="L125" t="s">
        <v>265</v>
      </c>
      <c r="M125" t="str">
        <f t="shared" ca="1" si="14"/>
        <v>15499043</v>
      </c>
      <c r="N125" t="str">
        <f t="shared" ca="1" si="15"/>
        <v>219801097</v>
      </c>
      <c r="O125" t="str">
        <f t="shared" ca="1" si="15"/>
        <v>178124921</v>
      </c>
      <c r="P125" t="str" cm="1">
        <f t="array" aca="1" ref="P125" ca="1">9 &amp; INDEX($AH$3:$AH$6,Y125)&amp; TEXT(RANDBETWEEN(0,9999999),"0000000")</f>
        <v>933674299</v>
      </c>
      <c r="Q125" t="str" cm="1">
        <f t="array" aca="1" ref="Q125" ca="1">LOWER(B125) &amp; INDEX($AH$9:$AH$11,Z125)</f>
        <v>med124@hospital.upskill.com</v>
      </c>
      <c r="R125" t="str">
        <f t="shared" si="16"/>
        <v>med124.jpg</v>
      </c>
      <c r="S125" s="8">
        <f t="shared" ca="1" si="17"/>
        <v>9138616410813950</v>
      </c>
      <c r="T125" t="s">
        <v>341</v>
      </c>
      <c r="V125" s="4"/>
      <c r="X125">
        <f ca="1">RANDBETWEEN(2,COUNTA(rua_cod!A:A))</f>
        <v>74</v>
      </c>
      <c r="Y125">
        <f t="shared" ca="1" si="18"/>
        <v>3</v>
      </c>
      <c r="Z125">
        <f t="shared" ca="1" si="19"/>
        <v>1</v>
      </c>
      <c r="AA125">
        <f t="shared" ca="1" si="20"/>
        <v>1952</v>
      </c>
      <c r="AB125">
        <f t="shared" ca="1" si="21"/>
        <v>8</v>
      </c>
      <c r="AC125">
        <f t="shared" ca="1" si="22"/>
        <v>18</v>
      </c>
      <c r="AD125">
        <f t="shared" ca="1" si="23"/>
        <v>68</v>
      </c>
    </row>
    <row r="126" spans="1:30" x14ac:dyDescent="0.25">
      <c r="A126">
        <v>125</v>
      </c>
      <c r="B126" t="str">
        <f t="shared" si="12"/>
        <v>med125</v>
      </c>
      <c r="C126" t="str">
        <f t="shared" si="13"/>
        <v>pswmed125</v>
      </c>
      <c r="D126" t="str">
        <f ca="1">Nomes!T127</f>
        <v>Lurdes Miguel Ramos Pinheiro</v>
      </c>
      <c r="E126" t="str">
        <f ca="1">Nomes!S127</f>
        <v>Feminino</v>
      </c>
      <c r="F126" s="2">
        <v>25240</v>
      </c>
      <c r="G126" t="str" cm="1">
        <f t="array" aca="1" ref="G126" ca="1">INDEX(rua_cod!$F:$F,RANDBETWEEN(2,COUNTA(rua_cod!F:F)))</f>
        <v>Rua Roberto Duarte Silva</v>
      </c>
      <c r="H126" t="str" cm="1">
        <f t="array" aca="1" ref="H126" ca="1">INDEX(rua_cod!$A:$A,Médicos!X126) &amp; "-" &amp; TEXT(RANDBETWEEN(0,999),"000")</f>
        <v>1700-073</v>
      </c>
      <c r="I126" t="str" cm="1">
        <f t="array" aca="1" ref="I126" ca="1">INDEX(rua_cod!$B:$B,Médicos!X126)</f>
        <v>Lisboa</v>
      </c>
      <c r="J126" t="s">
        <v>341</v>
      </c>
      <c r="K126" t="s">
        <v>225</v>
      </c>
      <c r="L126" t="s">
        <v>265</v>
      </c>
      <c r="M126" t="str">
        <f t="shared" ca="1" si="14"/>
        <v>13393717</v>
      </c>
      <c r="N126" t="str">
        <f t="shared" ca="1" si="15"/>
        <v>540737157</v>
      </c>
      <c r="O126" t="str">
        <f t="shared" ca="1" si="15"/>
        <v>531917771</v>
      </c>
      <c r="P126" t="str" cm="1">
        <f t="array" aca="1" ref="P126" ca="1">9 &amp; INDEX($AH$3:$AH$6,Y126)&amp; TEXT(RANDBETWEEN(0,9999999),"0000000")</f>
        <v>919575650</v>
      </c>
      <c r="Q126" t="str" cm="1">
        <f t="array" aca="1" ref="Q126" ca="1">LOWER(B126) &amp; INDEX($AH$9:$AH$11,Z126)</f>
        <v>med125@hospital.upskill.com</v>
      </c>
      <c r="R126" t="str">
        <f t="shared" si="16"/>
        <v>med125.jpg</v>
      </c>
      <c r="S126" s="8">
        <f t="shared" ca="1" si="17"/>
        <v>6729299930950814</v>
      </c>
      <c r="T126" t="s">
        <v>341</v>
      </c>
      <c r="V126" s="4"/>
      <c r="X126">
        <f ca="1">RANDBETWEEN(2,COUNTA(rua_cod!A:A))</f>
        <v>40</v>
      </c>
      <c r="Y126">
        <f t="shared" ca="1" si="18"/>
        <v>1</v>
      </c>
      <c r="Z126">
        <f t="shared" ca="1" si="19"/>
        <v>2</v>
      </c>
      <c r="AA126">
        <f t="shared" ca="1" si="20"/>
        <v>1982</v>
      </c>
      <c r="AB126">
        <f t="shared" ca="1" si="21"/>
        <v>11</v>
      </c>
      <c r="AC126">
        <f t="shared" ca="1" si="22"/>
        <v>31</v>
      </c>
      <c r="AD126">
        <f t="shared" ca="1" si="23"/>
        <v>38</v>
      </c>
    </row>
    <row r="127" spans="1:30" x14ac:dyDescent="0.25">
      <c r="A127">
        <v>126</v>
      </c>
      <c r="B127" t="str">
        <f t="shared" si="12"/>
        <v>med126</v>
      </c>
      <c r="C127" t="str">
        <f t="shared" si="13"/>
        <v>pswmed126</v>
      </c>
      <c r="D127" t="str">
        <f ca="1">Nomes!T128</f>
        <v>Mariana Leonor Azevedo Guerreiro</v>
      </c>
      <c r="E127" t="str">
        <f ca="1">Nomes!S128</f>
        <v>Feminino</v>
      </c>
      <c r="F127" s="2">
        <v>16827</v>
      </c>
      <c r="G127" t="str" cm="1">
        <f t="array" aca="1" ref="G127" ca="1">INDEX(rua_cod!$F:$F,RANDBETWEEN(2,COUNTA(rua_cod!F:F)))</f>
        <v>Calçada do Moinho de Vento</v>
      </c>
      <c r="H127" t="str" cm="1">
        <f t="array" aca="1" ref="H127" ca="1">INDEX(rua_cod!$A:$A,Médicos!X127) &amp; "-" &amp; TEXT(RANDBETWEEN(0,999),"000")</f>
        <v>2804-964</v>
      </c>
      <c r="I127" t="str" cm="1">
        <f t="array" aca="1" ref="I127" ca="1">INDEX(rua_cod!$B:$B,Médicos!X127)</f>
        <v>Almada</v>
      </c>
      <c r="J127" t="s">
        <v>341</v>
      </c>
      <c r="K127" t="s">
        <v>225</v>
      </c>
      <c r="L127" t="s">
        <v>265</v>
      </c>
      <c r="M127" t="str">
        <f t="shared" ca="1" si="14"/>
        <v>34116323</v>
      </c>
      <c r="N127" t="str">
        <f t="shared" ca="1" si="15"/>
        <v>683608497</v>
      </c>
      <c r="O127" t="str">
        <f t="shared" ca="1" si="15"/>
        <v>499518078</v>
      </c>
      <c r="P127" t="str" cm="1">
        <f t="array" aca="1" ref="P127" ca="1">9 &amp; INDEX($AH$3:$AH$6,Y127)&amp; TEXT(RANDBETWEEN(0,9999999),"0000000")</f>
        <v>914643611</v>
      </c>
      <c r="Q127" t="str" cm="1">
        <f t="array" aca="1" ref="Q127" ca="1">LOWER(B127) &amp; INDEX($AH$9:$AH$11,Z127)</f>
        <v>med126@hospital.upskill.com</v>
      </c>
      <c r="R127" t="str">
        <f t="shared" si="16"/>
        <v>med126.jpg</v>
      </c>
      <c r="S127" s="8">
        <f t="shared" ca="1" si="17"/>
        <v>1652109491767669</v>
      </c>
      <c r="T127" t="s">
        <v>341</v>
      </c>
      <c r="V127" s="4"/>
      <c r="X127">
        <f ca="1">RANDBETWEEN(2,COUNTA(rua_cod!A:A))</f>
        <v>7</v>
      </c>
      <c r="Y127">
        <f t="shared" ca="1" si="18"/>
        <v>1</v>
      </c>
      <c r="Z127">
        <f t="shared" ca="1" si="19"/>
        <v>2</v>
      </c>
      <c r="AA127">
        <f t="shared" ca="1" si="20"/>
        <v>1954</v>
      </c>
      <c r="AB127">
        <f t="shared" ca="1" si="21"/>
        <v>11</v>
      </c>
      <c r="AC127">
        <f t="shared" ca="1" si="22"/>
        <v>26</v>
      </c>
      <c r="AD127">
        <f t="shared" ca="1" si="23"/>
        <v>66</v>
      </c>
    </row>
    <row r="128" spans="1:30" x14ac:dyDescent="0.25">
      <c r="A128">
        <v>127</v>
      </c>
      <c r="B128" t="str">
        <f t="shared" si="12"/>
        <v>med127</v>
      </c>
      <c r="C128" t="str">
        <f t="shared" si="13"/>
        <v>pswmed127</v>
      </c>
      <c r="D128" t="str">
        <f ca="1">Nomes!T129</f>
        <v>Bruno Vera Valente Gomes</v>
      </c>
      <c r="E128" t="str">
        <f ca="1">Nomes!S129</f>
        <v>Masculino</v>
      </c>
      <c r="F128" s="2">
        <v>14246</v>
      </c>
      <c r="G128" t="str" cm="1">
        <f t="array" aca="1" ref="G128" ca="1">INDEX(rua_cod!$F:$F,RANDBETWEEN(2,COUNTA(rua_cod!F:F)))</f>
        <v>Rua dos Heróis de Quionga</v>
      </c>
      <c r="H128" t="str" cm="1">
        <f t="array" aca="1" ref="H128" ca="1">INDEX(rua_cod!$A:$A,Médicos!X128) &amp; "-" &amp; TEXT(RANDBETWEEN(0,999),"000")</f>
        <v>2610-220</v>
      </c>
      <c r="I128" t="str" cm="1">
        <f t="array" aca="1" ref="I128" ca="1">INDEX(rua_cod!$B:$B,Médicos!X128)</f>
        <v>Amadora</v>
      </c>
      <c r="J128" t="s">
        <v>341</v>
      </c>
      <c r="K128" t="s">
        <v>225</v>
      </c>
      <c r="L128" t="s">
        <v>265</v>
      </c>
      <c r="M128" t="str">
        <f t="shared" ca="1" si="14"/>
        <v>35977015</v>
      </c>
      <c r="N128" t="str">
        <f t="shared" ca="1" si="15"/>
        <v>380687202</v>
      </c>
      <c r="O128" t="str">
        <f t="shared" ca="1" si="15"/>
        <v>766391125</v>
      </c>
      <c r="P128" t="str" cm="1">
        <f t="array" aca="1" ref="P128" ca="1">9 &amp; INDEX($AH$3:$AH$6,Y128)&amp; TEXT(RANDBETWEEN(0,9999999),"0000000")</f>
        <v>931163181</v>
      </c>
      <c r="Q128" t="str" cm="1">
        <f t="array" aca="1" ref="Q128" ca="1">LOWER(B128) &amp; INDEX($AH$9:$AH$11,Z128)</f>
        <v>med127@hospital.upskill.com</v>
      </c>
      <c r="R128" t="str">
        <f t="shared" si="16"/>
        <v>med127.jpg</v>
      </c>
      <c r="S128" s="8">
        <f t="shared" ca="1" si="17"/>
        <v>6873664607849670</v>
      </c>
      <c r="T128" t="s">
        <v>341</v>
      </c>
      <c r="V128" s="4"/>
      <c r="X128">
        <f ca="1">RANDBETWEEN(2,COUNTA(rua_cod!A:A))</f>
        <v>12</v>
      </c>
      <c r="Y128">
        <f t="shared" ca="1" si="18"/>
        <v>3</v>
      </c>
      <c r="Z128">
        <f t="shared" ca="1" si="19"/>
        <v>2</v>
      </c>
      <c r="AA128">
        <f t="shared" ca="1" si="20"/>
        <v>1950</v>
      </c>
      <c r="AB128">
        <f t="shared" ca="1" si="21"/>
        <v>11</v>
      </c>
      <c r="AC128">
        <f t="shared" ca="1" si="22"/>
        <v>10</v>
      </c>
      <c r="AD128">
        <f t="shared" ca="1" si="23"/>
        <v>70</v>
      </c>
    </row>
    <row r="129" spans="1:30" x14ac:dyDescent="0.25">
      <c r="A129">
        <v>128</v>
      </c>
      <c r="B129" t="str">
        <f t="shared" si="12"/>
        <v>med128</v>
      </c>
      <c r="C129" t="str">
        <f t="shared" si="13"/>
        <v>pswmed128</v>
      </c>
      <c r="D129" t="str">
        <f ca="1">Nomes!T130</f>
        <v>Lara Miguel Brito Branco</v>
      </c>
      <c r="E129" t="str">
        <f ca="1">Nomes!S130</f>
        <v>Feminino</v>
      </c>
      <c r="F129" s="2">
        <v>43342</v>
      </c>
      <c r="G129" t="str" cm="1">
        <f t="array" aca="1" ref="G129" ca="1">INDEX(rua_cod!$F:$F,RANDBETWEEN(2,COUNTA(rua_cod!F:F)))</f>
        <v>Calçada de Carriche</v>
      </c>
      <c r="H129" t="str" cm="1">
        <f t="array" aca="1" ref="H129" ca="1">INDEX(rua_cod!$A:$A,Médicos!X129) &amp; "-" &amp; TEXT(RANDBETWEEN(0,999),"000")</f>
        <v>2300-096</v>
      </c>
      <c r="I129" t="str" cm="1">
        <f t="array" aca="1" ref="I129" ca="1">INDEX(rua_cod!$B:$B,Médicos!X129)</f>
        <v>Tomar</v>
      </c>
      <c r="J129" t="s">
        <v>341</v>
      </c>
      <c r="K129" t="s">
        <v>225</v>
      </c>
      <c r="L129" t="s">
        <v>265</v>
      </c>
      <c r="M129" t="str">
        <f t="shared" ca="1" si="14"/>
        <v>78811627</v>
      </c>
      <c r="N129" t="str">
        <f t="shared" ca="1" si="15"/>
        <v>971092613</v>
      </c>
      <c r="O129" t="str">
        <f t="shared" ca="1" si="15"/>
        <v>132905165</v>
      </c>
      <c r="P129" t="str" cm="1">
        <f t="array" aca="1" ref="P129" ca="1">9 &amp; INDEX($AH$3:$AH$6,Y129)&amp; TEXT(RANDBETWEEN(0,9999999),"0000000")</f>
        <v>910458363</v>
      </c>
      <c r="Q129" t="str" cm="1">
        <f t="array" aca="1" ref="Q129" ca="1">LOWER(B129) &amp; INDEX($AH$9:$AH$11,Z129)</f>
        <v>med128@hospital.upskill.com</v>
      </c>
      <c r="R129" t="str">
        <f t="shared" si="16"/>
        <v>med128.jpg</v>
      </c>
      <c r="S129" s="8">
        <f t="shared" ca="1" si="17"/>
        <v>4513883640197285</v>
      </c>
      <c r="T129" t="s">
        <v>341</v>
      </c>
      <c r="V129" s="4"/>
      <c r="X129">
        <f ca="1">RANDBETWEEN(2,COUNTA(rua_cod!A:A))</f>
        <v>102</v>
      </c>
      <c r="Y129">
        <f t="shared" ca="1" si="18"/>
        <v>1</v>
      </c>
      <c r="Z129">
        <f t="shared" ca="1" si="19"/>
        <v>2</v>
      </c>
      <c r="AA129">
        <f t="shared" ca="1" si="20"/>
        <v>1961</v>
      </c>
      <c r="AB129">
        <f t="shared" ca="1" si="21"/>
        <v>8</v>
      </c>
      <c r="AC129">
        <f t="shared" ca="1" si="22"/>
        <v>1</v>
      </c>
      <c r="AD129">
        <f t="shared" ca="1" si="23"/>
        <v>59</v>
      </c>
    </row>
    <row r="130" spans="1:30" x14ac:dyDescent="0.25">
      <c r="A130">
        <v>129</v>
      </c>
      <c r="B130" t="str">
        <f t="shared" si="12"/>
        <v>med129</v>
      </c>
      <c r="C130" t="str">
        <f t="shared" si="13"/>
        <v>pswmed129</v>
      </c>
      <c r="D130" t="str">
        <f ca="1">Nomes!T131</f>
        <v>Maria Diogo Nascimento Ramos</v>
      </c>
      <c r="E130" t="str">
        <f ca="1">Nomes!S131</f>
        <v>Feminino</v>
      </c>
      <c r="F130" s="2">
        <v>37343</v>
      </c>
      <c r="G130" t="str" cm="1">
        <f t="array" aca="1" ref="G130" ca="1">INDEX(rua_cod!$F:$F,RANDBETWEEN(2,COUNTA(rua_cod!F:F)))</f>
        <v>Rua General Morais Sarmento</v>
      </c>
      <c r="H130" t="str" cm="1">
        <f t="array" aca="1" ref="H130" ca="1">INDEX(rua_cod!$A:$A,Médicos!X130) &amp; "-" &amp; TEXT(RANDBETWEEN(0,999),"000")</f>
        <v>2424-279</v>
      </c>
      <c r="I130" t="str" cm="1">
        <f t="array" aca="1" ref="I130" ca="1">INDEX(rua_cod!$B:$B,Médicos!X130)</f>
        <v>Leiria</v>
      </c>
      <c r="J130" t="s">
        <v>341</v>
      </c>
      <c r="K130" t="s">
        <v>225</v>
      </c>
      <c r="L130" t="s">
        <v>265</v>
      </c>
      <c r="M130" t="str">
        <f t="shared" ca="1" si="14"/>
        <v>88139602</v>
      </c>
      <c r="N130" t="str">
        <f t="shared" ca="1" si="15"/>
        <v>252272294</v>
      </c>
      <c r="O130" t="str">
        <f t="shared" ca="1" si="15"/>
        <v>820450937</v>
      </c>
      <c r="P130" t="str" cm="1">
        <f t="array" aca="1" ref="P130" ca="1">9 &amp; INDEX($AH$3:$AH$6,Y130)&amp; TEXT(RANDBETWEEN(0,9999999),"0000000")</f>
        <v>917572952</v>
      </c>
      <c r="Q130" t="str" cm="1">
        <f t="array" aca="1" ref="Q130" ca="1">LOWER(B130) &amp; INDEX($AH$9:$AH$11,Z130)</f>
        <v>med129@hospital.upskill.com</v>
      </c>
      <c r="R130" t="str">
        <f t="shared" si="16"/>
        <v>med129.jpg</v>
      </c>
      <c r="S130" s="8">
        <f t="shared" ca="1" si="17"/>
        <v>8704580345726272</v>
      </c>
      <c r="T130" t="s">
        <v>341</v>
      </c>
      <c r="V130" s="4"/>
      <c r="X130">
        <f ca="1">RANDBETWEEN(2,COUNTA(rua_cod!A:A))</f>
        <v>39</v>
      </c>
      <c r="Y130">
        <f t="shared" ca="1" si="18"/>
        <v>1</v>
      </c>
      <c r="Z130">
        <f t="shared" ca="1" si="19"/>
        <v>2</v>
      </c>
      <c r="AA130">
        <f t="shared" ca="1" si="20"/>
        <v>1986</v>
      </c>
      <c r="AB130">
        <f t="shared" ca="1" si="21"/>
        <v>7</v>
      </c>
      <c r="AC130">
        <f t="shared" ca="1" si="22"/>
        <v>10</v>
      </c>
      <c r="AD130">
        <f t="shared" ca="1" si="23"/>
        <v>34</v>
      </c>
    </row>
    <row r="131" spans="1:30" x14ac:dyDescent="0.25">
      <c r="A131">
        <v>130</v>
      </c>
      <c r="B131" t="str">
        <f t="shared" ref="B131:B194" si="24">"med" &amp; TEXT(A131,"000")</f>
        <v>med130</v>
      </c>
      <c r="C131" t="str">
        <f t="shared" ref="C131:C194" si="25">"psw" &amp; B131</f>
        <v>pswmed130</v>
      </c>
      <c r="D131" t="str">
        <f ca="1">Nomes!T132</f>
        <v>Tiago José Antunes Melo</v>
      </c>
      <c r="E131" t="str">
        <f ca="1">Nomes!S132</f>
        <v>Masculino</v>
      </c>
      <c r="F131" s="2">
        <v>35503</v>
      </c>
      <c r="G131" t="str" cm="1">
        <f t="array" aca="1" ref="G131" ca="1">INDEX(rua_cod!$F:$F,RANDBETWEEN(2,COUNTA(rua_cod!F:F)))</f>
        <v>Rua do Guarda-Mor</v>
      </c>
      <c r="H131" t="str" cm="1">
        <f t="array" aca="1" ref="H131" ca="1">INDEX(rua_cod!$A:$A,Médicos!X131) &amp; "-" &amp; TEXT(RANDBETWEEN(0,999),"000")</f>
        <v>1749-104</v>
      </c>
      <c r="I131" t="str" cm="1">
        <f t="array" aca="1" ref="I131" ca="1">INDEX(rua_cod!$B:$B,Médicos!X131)</f>
        <v>Lisboa</v>
      </c>
      <c r="J131" t="s">
        <v>341</v>
      </c>
      <c r="K131" t="s">
        <v>225</v>
      </c>
      <c r="L131" t="s">
        <v>265</v>
      </c>
      <c r="M131" t="str">
        <f t="shared" ref="M131:M194" ca="1" si="26">TEXT(RANDBETWEEN(10000000,99999999),"00000000")</f>
        <v>18603896</v>
      </c>
      <c r="N131" t="str">
        <f t="shared" ref="N131:O194" ca="1" si="27">TEXT(RANDBETWEEN(100000000,999999999),"000000000")</f>
        <v>611678625</v>
      </c>
      <c r="O131" t="str">
        <f t="shared" ca="1" si="27"/>
        <v>625200037</v>
      </c>
      <c r="P131" t="str" cm="1">
        <f t="array" aca="1" ref="P131" ca="1">9 &amp; INDEX($AH$3:$AH$6,Y131)&amp; TEXT(RANDBETWEEN(0,9999999),"0000000")</f>
        <v>928311322</v>
      </c>
      <c r="Q131" t="str" cm="1">
        <f t="array" aca="1" ref="Q131" ca="1">LOWER(B131) &amp; INDEX($AH$9:$AH$11,Z131)</f>
        <v>med130@hospital.upskill.com</v>
      </c>
      <c r="R131" t="str">
        <f t="shared" ref="R131:R194" si="28">B131 &amp; ".jpg"</f>
        <v>med130.jpg</v>
      </c>
      <c r="S131" s="8">
        <f t="shared" ref="S131:S194" ca="1" si="29" xml:space="preserve"> RANDBETWEEN(1000000000000000,9999999999999990)</f>
        <v>3205444998521920</v>
      </c>
      <c r="T131" t="s">
        <v>341</v>
      </c>
      <c r="V131" s="4"/>
      <c r="X131">
        <f ca="1">RANDBETWEEN(2,COUNTA(rua_cod!A:A))</f>
        <v>61</v>
      </c>
      <c r="Y131">
        <f t="shared" ref="Y131:Y194" ca="1" si="30">RANDBETWEEN(1,4)</f>
        <v>2</v>
      </c>
      <c r="Z131">
        <f t="shared" ref="Z131:Z194" ca="1" si="31">RANDBETWEEN(1,3)</f>
        <v>2</v>
      </c>
      <c r="AA131">
        <f t="shared" ref="AA131:AA194" ca="1" si="32">RANDBETWEEN(1950,1994)</f>
        <v>1962</v>
      </c>
      <c r="AB131">
        <f t="shared" ref="AB131:AB194" ca="1" si="33">RANDBETWEEN(1,12)</f>
        <v>5</v>
      </c>
      <c r="AC131">
        <f t="shared" ref="AC131:AC194" ca="1" si="34">RANDBETWEEN(1,31)</f>
        <v>26</v>
      </c>
      <c r="AD131">
        <f t="shared" ref="AD131:AD194" ca="1" si="35">2020-AA131</f>
        <v>58</v>
      </c>
    </row>
    <row r="132" spans="1:30" x14ac:dyDescent="0.25">
      <c r="A132">
        <v>131</v>
      </c>
      <c r="B132" t="str">
        <f t="shared" si="24"/>
        <v>med131</v>
      </c>
      <c r="C132" t="str">
        <f t="shared" si="25"/>
        <v>pswmed131</v>
      </c>
      <c r="D132" t="str">
        <f ca="1">Nomes!T133</f>
        <v>Tiago Luís Amorim Vicente</v>
      </c>
      <c r="E132" t="str">
        <f ca="1">Nomes!S133</f>
        <v>Masculino</v>
      </c>
      <c r="F132" s="2">
        <v>10487</v>
      </c>
      <c r="G132" t="str" cm="1">
        <f t="array" aca="1" ref="G132" ca="1">INDEX(rua_cod!$F:$F,RANDBETWEEN(2,COUNTA(rua_cod!F:F)))</f>
        <v>Rua Cidade de Bolama</v>
      </c>
      <c r="H132" t="str" cm="1">
        <f t="array" aca="1" ref="H132" ca="1">INDEX(rua_cod!$A:$A,Médicos!X132) &amp; "-" &amp; TEXT(RANDBETWEEN(0,999),"000")</f>
        <v>2330-430</v>
      </c>
      <c r="I132" t="str" cm="1">
        <f t="array" aca="1" ref="I132" ca="1">INDEX(rua_cod!$B:$B,Médicos!X132)</f>
        <v>Entroncamento</v>
      </c>
      <c r="J132" t="s">
        <v>341</v>
      </c>
      <c r="K132" t="s">
        <v>225</v>
      </c>
      <c r="L132" t="s">
        <v>265</v>
      </c>
      <c r="M132" t="str">
        <f t="shared" ca="1" si="26"/>
        <v>43391412</v>
      </c>
      <c r="N132" t="str">
        <f t="shared" ca="1" si="27"/>
        <v>413749120</v>
      </c>
      <c r="O132" t="str">
        <f t="shared" ca="1" si="27"/>
        <v>434478237</v>
      </c>
      <c r="P132" t="str" cm="1">
        <f t="array" aca="1" ref="P132" ca="1">9 &amp; INDEX($AH$3:$AH$6,Y132)&amp; TEXT(RANDBETWEEN(0,9999999),"0000000")</f>
        <v>967487898</v>
      </c>
      <c r="Q132" t="str" cm="1">
        <f t="array" aca="1" ref="Q132" ca="1">LOWER(B132) &amp; INDEX($AH$9:$AH$11,Z132)</f>
        <v>med131@hospital.upskill.com</v>
      </c>
      <c r="R132" t="str">
        <f t="shared" si="28"/>
        <v>med131.jpg</v>
      </c>
      <c r="S132" s="8">
        <f t="shared" ca="1" si="29"/>
        <v>8766619314435693</v>
      </c>
      <c r="T132" t="s">
        <v>341</v>
      </c>
      <c r="V132" s="4"/>
      <c r="X132">
        <f ca="1">RANDBETWEEN(2,COUNTA(rua_cod!A:A))</f>
        <v>29</v>
      </c>
      <c r="Y132">
        <f t="shared" ca="1" si="30"/>
        <v>4</v>
      </c>
      <c r="Z132">
        <f t="shared" ca="1" si="31"/>
        <v>2</v>
      </c>
      <c r="AA132">
        <f t="shared" ca="1" si="32"/>
        <v>1965</v>
      </c>
      <c r="AB132">
        <f t="shared" ca="1" si="33"/>
        <v>9</v>
      </c>
      <c r="AC132">
        <f t="shared" ca="1" si="34"/>
        <v>6</v>
      </c>
      <c r="AD132">
        <f t="shared" ca="1" si="35"/>
        <v>55</v>
      </c>
    </row>
    <row r="133" spans="1:30" x14ac:dyDescent="0.25">
      <c r="A133">
        <v>132</v>
      </c>
      <c r="B133" t="str">
        <f t="shared" si="24"/>
        <v>med132</v>
      </c>
      <c r="C133" t="str">
        <f t="shared" si="25"/>
        <v>pswmed132</v>
      </c>
      <c r="D133" t="str">
        <f ca="1">Nomes!T134</f>
        <v>Joaquim Maria Borges Esteves</v>
      </c>
      <c r="E133" t="str">
        <f ca="1">Nomes!S134</f>
        <v>Masculino</v>
      </c>
      <c r="F133" s="2">
        <v>20453</v>
      </c>
      <c r="G133" t="str" cm="1">
        <f t="array" aca="1" ref="G133" ca="1">INDEX(rua_cod!$F:$F,RANDBETWEEN(2,COUNTA(rua_cod!F:F)))</f>
        <v>Rua do Sol a Santana</v>
      </c>
      <c r="H133" t="str" cm="1">
        <f t="array" aca="1" ref="H133" ca="1">INDEX(rua_cod!$A:$A,Médicos!X133) &amp; "-" &amp; TEXT(RANDBETWEEN(0,999),"000")</f>
        <v>2423-834</v>
      </c>
      <c r="I133" t="str" cm="1">
        <f t="array" aca="1" ref="I133" ca="1">INDEX(rua_cod!$B:$B,Médicos!X133)</f>
        <v>Leiria</v>
      </c>
      <c r="J133" t="s">
        <v>341</v>
      </c>
      <c r="K133" t="s">
        <v>225</v>
      </c>
      <c r="L133" t="s">
        <v>265</v>
      </c>
      <c r="M133" t="str">
        <f t="shared" ca="1" si="26"/>
        <v>80319298</v>
      </c>
      <c r="N133" t="str">
        <f t="shared" ca="1" si="27"/>
        <v>220306521</v>
      </c>
      <c r="O133" t="str">
        <f t="shared" ca="1" si="27"/>
        <v>378139745</v>
      </c>
      <c r="P133" t="str" cm="1">
        <f t="array" aca="1" ref="P133" ca="1">9 &amp; INDEX($AH$3:$AH$6,Y133)&amp; TEXT(RANDBETWEEN(0,9999999),"0000000")</f>
        <v>960408228</v>
      </c>
      <c r="Q133" t="str" cm="1">
        <f t="array" aca="1" ref="Q133" ca="1">LOWER(B133) &amp; INDEX($AH$9:$AH$11,Z133)</f>
        <v>med132@hospital.upskill.com</v>
      </c>
      <c r="R133" t="str">
        <f t="shared" si="28"/>
        <v>med132.jpg</v>
      </c>
      <c r="S133" s="8">
        <f t="shared" ca="1" si="29"/>
        <v>1265030493063159</v>
      </c>
      <c r="T133" t="s">
        <v>341</v>
      </c>
      <c r="V133" s="4"/>
      <c r="X133">
        <f ca="1">RANDBETWEEN(2,COUNTA(rua_cod!A:A))</f>
        <v>38</v>
      </c>
      <c r="Y133">
        <f t="shared" ca="1" si="30"/>
        <v>4</v>
      </c>
      <c r="Z133">
        <f t="shared" ca="1" si="31"/>
        <v>1</v>
      </c>
      <c r="AA133">
        <f t="shared" ca="1" si="32"/>
        <v>1975</v>
      </c>
      <c r="AB133">
        <f t="shared" ca="1" si="33"/>
        <v>12</v>
      </c>
      <c r="AC133">
        <f t="shared" ca="1" si="34"/>
        <v>20</v>
      </c>
      <c r="AD133">
        <f t="shared" ca="1" si="35"/>
        <v>45</v>
      </c>
    </row>
    <row r="134" spans="1:30" x14ac:dyDescent="0.25">
      <c r="A134">
        <v>133</v>
      </c>
      <c r="B134" t="str">
        <f t="shared" si="24"/>
        <v>med133</v>
      </c>
      <c r="C134" t="str">
        <f t="shared" si="25"/>
        <v>pswmed133</v>
      </c>
      <c r="D134" t="str">
        <f ca="1">Nomes!T135</f>
        <v>Bruno Bruno Santos Martins</v>
      </c>
      <c r="E134" t="str">
        <f ca="1">Nomes!S135</f>
        <v>Masculino</v>
      </c>
      <c r="F134" s="2">
        <v>43922</v>
      </c>
      <c r="G134" t="str" cm="1">
        <f t="array" aca="1" ref="G134" ca="1">INDEX(rua_cod!$F:$F,RANDBETWEEN(2,COUNTA(rua_cod!F:F)))</f>
        <v>Rua dos Fanqueiros</v>
      </c>
      <c r="H134" t="str" cm="1">
        <f t="array" aca="1" ref="H134" ca="1">INDEX(rua_cod!$A:$A,Médicos!X134) &amp; "-" &amp; TEXT(RANDBETWEEN(0,999),"000")</f>
        <v>1100-669</v>
      </c>
      <c r="I134" t="str" cm="1">
        <f t="array" aca="1" ref="I134" ca="1">INDEX(rua_cod!$B:$B,Médicos!X134)</f>
        <v>Lisboa</v>
      </c>
      <c r="J134" t="s">
        <v>341</v>
      </c>
      <c r="K134" t="s">
        <v>225</v>
      </c>
      <c r="L134" t="s">
        <v>265</v>
      </c>
      <c r="M134" t="str">
        <f t="shared" ca="1" si="26"/>
        <v>10144767</v>
      </c>
      <c r="N134" t="str">
        <f t="shared" ca="1" si="27"/>
        <v>932328961</v>
      </c>
      <c r="O134" t="str">
        <f t="shared" ca="1" si="27"/>
        <v>354837133</v>
      </c>
      <c r="P134" t="str" cm="1">
        <f t="array" aca="1" ref="P134" ca="1">9 &amp; INDEX($AH$3:$AH$6,Y134)&amp; TEXT(RANDBETWEEN(0,9999999),"0000000")</f>
        <v>938181919</v>
      </c>
      <c r="Q134" t="str" cm="1">
        <f t="array" aca="1" ref="Q134" ca="1">LOWER(B134) &amp; INDEX($AH$9:$AH$11,Z134)</f>
        <v>med133@hospital.upskill.com</v>
      </c>
      <c r="R134" t="str">
        <f t="shared" si="28"/>
        <v>med133.jpg</v>
      </c>
      <c r="S134" s="8">
        <f t="shared" ca="1" si="29"/>
        <v>9424884805236412</v>
      </c>
      <c r="T134" t="s">
        <v>341</v>
      </c>
      <c r="V134" s="4"/>
      <c r="X134">
        <f ca="1">RANDBETWEEN(2,COUNTA(rua_cod!A:A))</f>
        <v>46</v>
      </c>
      <c r="Y134">
        <f t="shared" ca="1" si="30"/>
        <v>3</v>
      </c>
      <c r="Z134">
        <f t="shared" ca="1" si="31"/>
        <v>2</v>
      </c>
      <c r="AA134">
        <f t="shared" ca="1" si="32"/>
        <v>1967</v>
      </c>
      <c r="AB134">
        <f t="shared" ca="1" si="33"/>
        <v>6</v>
      </c>
      <c r="AC134">
        <f t="shared" ca="1" si="34"/>
        <v>9</v>
      </c>
      <c r="AD134">
        <f t="shared" ca="1" si="35"/>
        <v>53</v>
      </c>
    </row>
    <row r="135" spans="1:30" x14ac:dyDescent="0.25">
      <c r="A135">
        <v>134</v>
      </c>
      <c r="B135" t="str">
        <f t="shared" si="24"/>
        <v>med134</v>
      </c>
      <c r="C135" t="str">
        <f t="shared" si="25"/>
        <v>pswmed134</v>
      </c>
      <c r="D135" t="str">
        <f ca="1">Nomes!T136</f>
        <v>José Ana Almeida Leite</v>
      </c>
      <c r="E135" t="str">
        <f ca="1">Nomes!S136</f>
        <v>Masculino</v>
      </c>
      <c r="F135" s="2">
        <v>25320</v>
      </c>
      <c r="G135" t="str" cm="1">
        <f t="array" aca="1" ref="G135" ca="1">INDEX(rua_cod!$F:$F,RANDBETWEEN(2,COUNTA(rua_cod!F:F)))</f>
        <v>Rua do Sol a Santana</v>
      </c>
      <c r="H135" t="str" cm="1">
        <f t="array" aca="1" ref="H135" ca="1">INDEX(rua_cod!$A:$A,Médicos!X135) &amp; "-" &amp; TEXT(RANDBETWEEN(0,999),"000")</f>
        <v>2800-402</v>
      </c>
      <c r="I135" t="str" cm="1">
        <f t="array" aca="1" ref="I135" ca="1">INDEX(rua_cod!$B:$B,Médicos!X135)</f>
        <v>Almada</v>
      </c>
      <c r="J135" t="s">
        <v>341</v>
      </c>
      <c r="K135" t="s">
        <v>225</v>
      </c>
      <c r="L135" t="s">
        <v>265</v>
      </c>
      <c r="M135" t="str">
        <f t="shared" ca="1" si="26"/>
        <v>37494697</v>
      </c>
      <c r="N135" t="str">
        <f t="shared" ca="1" si="27"/>
        <v>681261284</v>
      </c>
      <c r="O135" t="str">
        <f t="shared" ca="1" si="27"/>
        <v>378400665</v>
      </c>
      <c r="P135" t="str" cm="1">
        <f t="array" aca="1" ref="P135" ca="1">9 &amp; INDEX($AH$3:$AH$6,Y135)&amp; TEXT(RANDBETWEEN(0,9999999),"0000000")</f>
        <v>911051236</v>
      </c>
      <c r="Q135" t="str" cm="1">
        <f t="array" aca="1" ref="Q135" ca="1">LOWER(B135) &amp; INDEX($AH$9:$AH$11,Z135)</f>
        <v>med134@hospital.upskill.com</v>
      </c>
      <c r="R135" t="str">
        <f t="shared" si="28"/>
        <v>med134.jpg</v>
      </c>
      <c r="S135" s="8">
        <f t="shared" ca="1" si="29"/>
        <v>3557390432061869</v>
      </c>
      <c r="T135" t="s">
        <v>341</v>
      </c>
      <c r="V135" s="4"/>
      <c r="X135">
        <f ca="1">RANDBETWEEN(2,COUNTA(rua_cod!A:A))</f>
        <v>2</v>
      </c>
      <c r="Y135">
        <f t="shared" ca="1" si="30"/>
        <v>1</v>
      </c>
      <c r="Z135">
        <f t="shared" ca="1" si="31"/>
        <v>1</v>
      </c>
      <c r="AA135">
        <f t="shared" ca="1" si="32"/>
        <v>1959</v>
      </c>
      <c r="AB135">
        <f t="shared" ca="1" si="33"/>
        <v>5</v>
      </c>
      <c r="AC135">
        <f t="shared" ca="1" si="34"/>
        <v>24</v>
      </c>
      <c r="AD135">
        <f t="shared" ca="1" si="35"/>
        <v>61</v>
      </c>
    </row>
    <row r="136" spans="1:30" x14ac:dyDescent="0.25">
      <c r="A136">
        <v>135</v>
      </c>
      <c r="B136" t="str">
        <f t="shared" si="24"/>
        <v>med135</v>
      </c>
      <c r="C136" t="str">
        <f t="shared" si="25"/>
        <v>pswmed135</v>
      </c>
      <c r="D136" t="str">
        <f ca="1">Nomes!T137</f>
        <v>Diogo Martim Coelho Henriques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Rua Cidade de Bolama</v>
      </c>
      <c r="H136" t="str" cm="1">
        <f t="array" aca="1" ref="H136" ca="1">INDEX(rua_cod!$A:$A,Médicos!X136) &amp; "-" &amp; TEXT(RANDBETWEEN(0,999),"000")</f>
        <v>2419-265</v>
      </c>
      <c r="I136" t="str" cm="1">
        <f t="array" aca="1" ref="I136" ca="1">INDEX(rua_cod!$B:$B,Médicos!X136)</f>
        <v>Leiria</v>
      </c>
      <c r="J136" t="s">
        <v>341</v>
      </c>
      <c r="K136" t="s">
        <v>225</v>
      </c>
      <c r="L136" t="s">
        <v>265</v>
      </c>
      <c r="M136" t="str">
        <f t="shared" ca="1" si="26"/>
        <v>98681969</v>
      </c>
      <c r="N136" t="str">
        <f t="shared" ca="1" si="27"/>
        <v>999609509</v>
      </c>
      <c r="O136" t="str">
        <f t="shared" ca="1" si="27"/>
        <v>958538666</v>
      </c>
      <c r="P136" t="str" cm="1">
        <f t="array" aca="1" ref="P136" ca="1">9 &amp; INDEX($AH$3:$AH$6,Y136)&amp; TEXT(RANDBETWEEN(0,9999999),"0000000")</f>
        <v>928594334</v>
      </c>
      <c r="Q136" t="str" cm="1">
        <f t="array" aca="1" ref="Q136" ca="1">LOWER(B136) &amp; INDEX($AH$9:$AH$11,Z136)</f>
        <v>med135@hospital.upskill.com</v>
      </c>
      <c r="R136" t="str">
        <f t="shared" si="28"/>
        <v>med135.jpg</v>
      </c>
      <c r="S136" s="8">
        <f t="shared" ca="1" si="29"/>
        <v>1660098617626241</v>
      </c>
      <c r="T136" t="s">
        <v>341</v>
      </c>
      <c r="V136" s="4"/>
      <c r="X136">
        <f ca="1">RANDBETWEEN(2,COUNTA(rua_cod!A:A))</f>
        <v>37</v>
      </c>
      <c r="Y136">
        <f t="shared" ca="1" si="30"/>
        <v>2</v>
      </c>
      <c r="Z136">
        <f t="shared" ca="1" si="31"/>
        <v>2</v>
      </c>
      <c r="AA136">
        <f t="shared" ca="1" si="32"/>
        <v>1981</v>
      </c>
      <c r="AB136">
        <f t="shared" ca="1" si="33"/>
        <v>3</v>
      </c>
      <c r="AC136">
        <f t="shared" ca="1" si="34"/>
        <v>10</v>
      </c>
      <c r="AD136">
        <f t="shared" ca="1" si="35"/>
        <v>39</v>
      </c>
    </row>
    <row r="137" spans="1:30" x14ac:dyDescent="0.25">
      <c r="A137">
        <v>136</v>
      </c>
      <c r="B137" t="str">
        <f t="shared" si="24"/>
        <v>med136</v>
      </c>
      <c r="C137" t="str">
        <f t="shared" si="25"/>
        <v>pswmed136</v>
      </c>
      <c r="D137" t="str">
        <f ca="1">Nomes!T138</f>
        <v>Pedro Sofia Martins Sá</v>
      </c>
      <c r="E137" t="str">
        <f ca="1">Nomes!S138</f>
        <v>Masculino</v>
      </c>
      <c r="F137" s="2">
        <v>34756</v>
      </c>
      <c r="G137" t="str" cm="1">
        <f t="array" aca="1" ref="G137" ca="1">INDEX(rua_cod!$F:$F,RANDBETWEEN(2,COUNTA(rua_cod!F:F)))</f>
        <v>Estrada Militar</v>
      </c>
      <c r="H137" t="str" cm="1">
        <f t="array" aca="1" ref="H137" ca="1">INDEX(rua_cod!$A:$A,Médicos!X137) &amp; "-" &amp; TEXT(RANDBETWEEN(0,999),"000")</f>
        <v>2300-526</v>
      </c>
      <c r="I137" t="str" cm="1">
        <f t="array" aca="1" ref="I137" ca="1">INDEX(rua_cod!$B:$B,Médicos!X137)</f>
        <v>Tomar</v>
      </c>
      <c r="J137" t="s">
        <v>341</v>
      </c>
      <c r="K137" t="s">
        <v>225</v>
      </c>
      <c r="L137" t="s">
        <v>265</v>
      </c>
      <c r="M137" t="str">
        <f t="shared" ca="1" si="26"/>
        <v>13014297</v>
      </c>
      <c r="N137" t="str">
        <f t="shared" ca="1" si="27"/>
        <v>340183108</v>
      </c>
      <c r="O137" t="str">
        <f t="shared" ca="1" si="27"/>
        <v>469897328</v>
      </c>
      <c r="P137" t="str" cm="1">
        <f t="array" aca="1" ref="P137" ca="1">9 &amp; INDEX($AH$3:$AH$6,Y137)&amp; TEXT(RANDBETWEEN(0,9999999),"0000000")</f>
        <v>960804013</v>
      </c>
      <c r="Q137" t="str" cm="1">
        <f t="array" aca="1" ref="Q137" ca="1">LOWER(B137) &amp; INDEX($AH$9:$AH$11,Z137)</f>
        <v>med136@hospital.upskill.com</v>
      </c>
      <c r="R137" t="str">
        <f t="shared" si="28"/>
        <v>med136.jpg</v>
      </c>
      <c r="S137" s="8">
        <f t="shared" ca="1" si="29"/>
        <v>8134523277037295</v>
      </c>
      <c r="T137" t="s">
        <v>341</v>
      </c>
      <c r="V137" s="4"/>
      <c r="X137">
        <f ca="1">RANDBETWEEN(2,COUNTA(rua_cod!A:A))</f>
        <v>102</v>
      </c>
      <c r="Y137">
        <f t="shared" ca="1" si="30"/>
        <v>4</v>
      </c>
      <c r="Z137">
        <f t="shared" ca="1" si="31"/>
        <v>3</v>
      </c>
      <c r="AA137">
        <f t="shared" ca="1" si="32"/>
        <v>1975</v>
      </c>
      <c r="AB137">
        <f t="shared" ca="1" si="33"/>
        <v>8</v>
      </c>
      <c r="AC137">
        <f t="shared" ca="1" si="34"/>
        <v>25</v>
      </c>
      <c r="AD137">
        <f t="shared" ca="1" si="35"/>
        <v>45</v>
      </c>
    </row>
    <row r="138" spans="1:30" x14ac:dyDescent="0.25">
      <c r="A138">
        <v>137</v>
      </c>
      <c r="B138" t="str">
        <f t="shared" si="24"/>
        <v>med137</v>
      </c>
      <c r="C138" t="str">
        <f t="shared" si="25"/>
        <v>pswmed137</v>
      </c>
      <c r="D138" t="str">
        <f ca="1">Nomes!T139</f>
        <v>Daniela João Almeida Batista</v>
      </c>
      <c r="E138" t="str">
        <f ca="1">Nomes!S139</f>
        <v>Feminino</v>
      </c>
      <c r="F138" s="2">
        <v>14392</v>
      </c>
      <c r="G138" t="str" cm="1">
        <f t="array" aca="1" ref="G138" ca="1">INDEX(rua_cod!$F:$F,RANDBETWEEN(2,COUNTA(rua_cod!F:F)))</f>
        <v>Rua dos Heróis de Quionga</v>
      </c>
      <c r="H138" t="str" cm="1">
        <f t="array" aca="1" ref="H138" ca="1">INDEX(rua_cod!$A:$A,Médicos!X138) &amp; "-" &amp; TEXT(RANDBETWEEN(0,999),"000")</f>
        <v>1199-839</v>
      </c>
      <c r="I138" t="str" cm="1">
        <f t="array" aca="1" ref="I138" ca="1">INDEX(rua_cod!$B:$B,Médicos!X138)</f>
        <v>Lisboa</v>
      </c>
      <c r="J138" t="s">
        <v>341</v>
      </c>
      <c r="K138" t="s">
        <v>225</v>
      </c>
      <c r="L138" t="s">
        <v>265</v>
      </c>
      <c r="M138" t="str">
        <f t="shared" ca="1" si="26"/>
        <v>71096300</v>
      </c>
      <c r="N138" t="str">
        <f t="shared" ca="1" si="27"/>
        <v>612625237</v>
      </c>
      <c r="O138" t="str">
        <f t="shared" ca="1" si="27"/>
        <v>241376553</v>
      </c>
      <c r="P138" t="str" cm="1">
        <f t="array" aca="1" ref="P138" ca="1">9 &amp; INDEX($AH$3:$AH$6,Y138)&amp; TEXT(RANDBETWEEN(0,9999999),"0000000")</f>
        <v>918745175</v>
      </c>
      <c r="Q138" t="str" cm="1">
        <f t="array" aca="1" ref="Q138" ca="1">LOWER(B138) &amp; INDEX($AH$9:$AH$11,Z138)</f>
        <v>med137@hospital.upskill.com</v>
      </c>
      <c r="R138" t="str">
        <f t="shared" si="28"/>
        <v>med137.jpg</v>
      </c>
      <c r="S138" s="8">
        <f t="shared" ca="1" si="29"/>
        <v>6552198592727258</v>
      </c>
      <c r="T138" t="s">
        <v>341</v>
      </c>
      <c r="V138" s="4"/>
      <c r="X138">
        <f ca="1">RANDBETWEEN(2,COUNTA(rua_cod!A:A))</f>
        <v>65</v>
      </c>
      <c r="Y138">
        <f t="shared" ca="1" si="30"/>
        <v>1</v>
      </c>
      <c r="Z138">
        <f t="shared" ca="1" si="31"/>
        <v>3</v>
      </c>
      <c r="AA138">
        <f t="shared" ca="1" si="32"/>
        <v>1973</v>
      </c>
      <c r="AB138">
        <f t="shared" ca="1" si="33"/>
        <v>8</v>
      </c>
      <c r="AC138">
        <f t="shared" ca="1" si="34"/>
        <v>1</v>
      </c>
      <c r="AD138">
        <f t="shared" ca="1" si="35"/>
        <v>47</v>
      </c>
    </row>
    <row r="139" spans="1:30" x14ac:dyDescent="0.25">
      <c r="A139">
        <v>138</v>
      </c>
      <c r="B139" t="str">
        <f t="shared" si="24"/>
        <v>med138</v>
      </c>
      <c r="C139" t="str">
        <f t="shared" si="25"/>
        <v>pswmed138</v>
      </c>
      <c r="D139" t="str">
        <f ca="1">Nomes!T140</f>
        <v>Tiago Tomás Marques Fernandes</v>
      </c>
      <c r="E139" t="str">
        <f ca="1">Nomes!S140</f>
        <v>Masculino</v>
      </c>
      <c r="F139" s="2">
        <v>17070</v>
      </c>
      <c r="G139" t="str" cm="1">
        <f t="array" aca="1" ref="G139" ca="1">INDEX(rua_cod!$F:$F,RANDBETWEEN(2,COUNTA(rua_cod!F:F)))</f>
        <v>Rua do Sol a Santana</v>
      </c>
      <c r="H139" t="str" cm="1">
        <f t="array" aca="1" ref="H139" ca="1">INDEX(rua_cod!$A:$A,Médicos!X139) &amp; "-" &amp; TEXT(RANDBETWEEN(0,999),"000")</f>
        <v>2670-767</v>
      </c>
      <c r="I139" t="str" cm="1">
        <f t="array" aca="1" ref="I139" ca="1">INDEX(rua_cod!$B:$B,Médicos!X139)</f>
        <v>Loures</v>
      </c>
      <c r="J139" t="s">
        <v>341</v>
      </c>
      <c r="K139" t="s">
        <v>225</v>
      </c>
      <c r="L139" t="s">
        <v>265</v>
      </c>
      <c r="M139" t="str">
        <f t="shared" ca="1" si="26"/>
        <v>77599017</v>
      </c>
      <c r="N139" t="str">
        <f t="shared" ca="1" si="27"/>
        <v>764285560</v>
      </c>
      <c r="O139" t="str">
        <f t="shared" ca="1" si="27"/>
        <v>240712212</v>
      </c>
      <c r="P139" t="str" cm="1">
        <f t="array" aca="1" ref="P139" ca="1">9 &amp; INDEX($AH$3:$AH$6,Y139)&amp; TEXT(RANDBETWEEN(0,9999999),"0000000")</f>
        <v>963439124</v>
      </c>
      <c r="Q139" t="str" cm="1">
        <f t="array" aca="1" ref="Q139" ca="1">LOWER(B139) &amp; INDEX($AH$9:$AH$11,Z139)</f>
        <v>med138@hospital.upskill.com</v>
      </c>
      <c r="R139" t="str">
        <f t="shared" si="28"/>
        <v>med138.jpg</v>
      </c>
      <c r="S139" s="8">
        <f t="shared" ca="1" si="29"/>
        <v>5738860185428749</v>
      </c>
      <c r="T139" t="s">
        <v>341</v>
      </c>
      <c r="V139" s="4"/>
      <c r="X139">
        <f ca="1">RANDBETWEEN(2,COUNTA(rua_cod!A:A))</f>
        <v>83</v>
      </c>
      <c r="Y139">
        <f t="shared" ca="1" si="30"/>
        <v>4</v>
      </c>
      <c r="Z139">
        <f t="shared" ca="1" si="31"/>
        <v>3</v>
      </c>
      <c r="AA139">
        <f t="shared" ca="1" si="32"/>
        <v>1953</v>
      </c>
      <c r="AB139">
        <f t="shared" ca="1" si="33"/>
        <v>3</v>
      </c>
      <c r="AC139">
        <f t="shared" ca="1" si="34"/>
        <v>9</v>
      </c>
      <c r="AD139">
        <f t="shared" ca="1" si="35"/>
        <v>67</v>
      </c>
    </row>
    <row r="140" spans="1:30" x14ac:dyDescent="0.25">
      <c r="A140">
        <v>139</v>
      </c>
      <c r="B140" t="str">
        <f t="shared" si="24"/>
        <v>med139</v>
      </c>
      <c r="C140" t="str">
        <f t="shared" si="25"/>
        <v>pswmed139</v>
      </c>
      <c r="D140" t="str">
        <f ca="1">Nomes!T141</f>
        <v>Bruno Sofia Carneiro Lima</v>
      </c>
      <c r="E140" t="str">
        <f ca="1">Nomes!S141</f>
        <v>Masculino</v>
      </c>
      <c r="F140" s="2">
        <v>18282</v>
      </c>
      <c r="G140" t="str" cm="1">
        <f t="array" aca="1" ref="G140" ca="1">INDEX(rua_cod!$F:$F,RANDBETWEEN(2,COUNTA(rua_cod!F:F)))</f>
        <v>Rua da Junqueira</v>
      </c>
      <c r="H140" t="str" cm="1">
        <f t="array" aca="1" ref="H140" ca="1">INDEX(rua_cod!$A:$A,Médicos!X140) &amp; "-" &amp; TEXT(RANDBETWEEN(0,999),"000")</f>
        <v>1999-879</v>
      </c>
      <c r="I140" t="str" cm="1">
        <f t="array" aca="1" ref="I140" ca="1">INDEX(rua_cod!$B:$B,Médicos!X140)</f>
        <v>Lisboa</v>
      </c>
      <c r="J140" t="s">
        <v>341</v>
      </c>
      <c r="K140" t="s">
        <v>225</v>
      </c>
      <c r="L140" t="s">
        <v>265</v>
      </c>
      <c r="M140" t="str">
        <f t="shared" ca="1" si="26"/>
        <v>21586742</v>
      </c>
      <c r="N140" t="str">
        <f t="shared" ca="1" si="27"/>
        <v>976655324</v>
      </c>
      <c r="O140" t="str">
        <f t="shared" ca="1" si="27"/>
        <v>673157838</v>
      </c>
      <c r="P140" t="str" cm="1">
        <f t="array" aca="1" ref="P140" ca="1">9 &amp; INDEX($AH$3:$AH$6,Y140)&amp; TEXT(RANDBETWEEN(0,9999999),"0000000")</f>
        <v>917855188</v>
      </c>
      <c r="Q140" t="str" cm="1">
        <f t="array" aca="1" ref="Q140" ca="1">LOWER(B140) &amp; INDEX($AH$9:$AH$11,Z140)</f>
        <v>med139@hospital.upskill.com</v>
      </c>
      <c r="R140" t="str">
        <f t="shared" si="28"/>
        <v>med139.jpg</v>
      </c>
      <c r="S140" s="8">
        <f t="shared" ca="1" si="29"/>
        <v>2910546159171778</v>
      </c>
      <c r="T140" t="s">
        <v>341</v>
      </c>
      <c r="V140" s="4"/>
      <c r="X140">
        <f ca="1">RANDBETWEEN(2,COUNTA(rua_cod!A:A))</f>
        <v>79</v>
      </c>
      <c r="Y140">
        <f t="shared" ca="1" si="30"/>
        <v>1</v>
      </c>
      <c r="Z140">
        <f t="shared" ca="1" si="31"/>
        <v>3</v>
      </c>
      <c r="AA140">
        <f t="shared" ca="1" si="32"/>
        <v>1962</v>
      </c>
      <c r="AB140">
        <f t="shared" ca="1" si="33"/>
        <v>11</v>
      </c>
      <c r="AC140">
        <f t="shared" ca="1" si="34"/>
        <v>3</v>
      </c>
      <c r="AD140">
        <f t="shared" ca="1" si="35"/>
        <v>58</v>
      </c>
    </row>
    <row r="141" spans="1:30" x14ac:dyDescent="0.25">
      <c r="A141">
        <v>140</v>
      </c>
      <c r="B141" t="str">
        <f t="shared" si="24"/>
        <v>med140</v>
      </c>
      <c r="C141" t="str">
        <f t="shared" si="25"/>
        <v>pswmed140</v>
      </c>
      <c r="D141" t="str">
        <f ca="1">Nomes!T142</f>
        <v>Beatriz Diogo Borges Ferreira</v>
      </c>
      <c r="E141" t="str">
        <f ca="1">Nomes!S142</f>
        <v>Feminino</v>
      </c>
      <c r="F141" s="2">
        <v>9562</v>
      </c>
      <c r="G141" t="str" cm="1">
        <f t="array" aca="1" ref="G141" ca="1">INDEX(rua_cod!$F:$F,RANDBETWEEN(2,COUNTA(rua_cod!F:F)))</f>
        <v>Estrada das Laranjeiras</v>
      </c>
      <c r="H141" t="str" cm="1">
        <f t="array" aca="1" ref="H141" ca="1">INDEX(rua_cod!$A:$A,Médicos!X141) &amp; "-" &amp; TEXT(RANDBETWEEN(0,999),"000")</f>
        <v>2914-500</v>
      </c>
      <c r="I141" t="str" cm="1">
        <f t="array" aca="1" ref="I141" ca="1">INDEX(rua_cod!$B:$B,Médicos!X141)</f>
        <v>Setúbal</v>
      </c>
      <c r="J141" t="s">
        <v>341</v>
      </c>
      <c r="K141" t="s">
        <v>225</v>
      </c>
      <c r="L141" t="s">
        <v>265</v>
      </c>
      <c r="M141" t="str">
        <f t="shared" ca="1" si="26"/>
        <v>24185222</v>
      </c>
      <c r="N141" t="str">
        <f t="shared" ca="1" si="27"/>
        <v>241041446</v>
      </c>
      <c r="O141" t="str">
        <f t="shared" ca="1" si="27"/>
        <v>601255189</v>
      </c>
      <c r="P141" t="str" cm="1">
        <f t="array" aca="1" ref="P141" ca="1">9 &amp; INDEX($AH$3:$AH$6,Y141)&amp; TEXT(RANDBETWEEN(0,9999999),"0000000")</f>
        <v>932100172</v>
      </c>
      <c r="Q141" t="str" cm="1">
        <f t="array" aca="1" ref="Q141" ca="1">LOWER(B141) &amp; INDEX($AH$9:$AH$11,Z141)</f>
        <v>med140@hospital.upskill.com</v>
      </c>
      <c r="R141" t="str">
        <f t="shared" si="28"/>
        <v>med140.jpg</v>
      </c>
      <c r="S141" s="8">
        <f t="shared" ca="1" si="29"/>
        <v>7321791838875135</v>
      </c>
      <c r="T141" t="s">
        <v>341</v>
      </c>
      <c r="V141" s="4"/>
      <c r="X141">
        <f ca="1">RANDBETWEEN(2,COUNTA(rua_cod!A:A))</f>
        <v>98</v>
      </c>
      <c r="Y141">
        <f t="shared" ca="1" si="30"/>
        <v>3</v>
      </c>
      <c r="Z141">
        <f t="shared" ca="1" si="31"/>
        <v>3</v>
      </c>
      <c r="AA141">
        <f t="shared" ca="1" si="32"/>
        <v>1970</v>
      </c>
      <c r="AB141">
        <f t="shared" ca="1" si="33"/>
        <v>9</v>
      </c>
      <c r="AC141">
        <f t="shared" ca="1" si="34"/>
        <v>17</v>
      </c>
      <c r="AD141">
        <f t="shared" ca="1" si="35"/>
        <v>50</v>
      </c>
    </row>
    <row r="142" spans="1:30" x14ac:dyDescent="0.25">
      <c r="A142">
        <v>141</v>
      </c>
      <c r="B142" t="str">
        <f t="shared" si="24"/>
        <v>med141</v>
      </c>
      <c r="C142" t="str">
        <f t="shared" si="25"/>
        <v>pswmed141</v>
      </c>
      <c r="D142" t="str">
        <f ca="1">Nomes!T143</f>
        <v>João Afonso Silva Raposo</v>
      </c>
      <c r="E142" t="str">
        <f ca="1">Nomes!S143</f>
        <v>Masculino</v>
      </c>
      <c r="F142" s="2">
        <v>10733</v>
      </c>
      <c r="G142" t="str" cm="1">
        <f t="array" aca="1" ref="G142" ca="1">INDEX(rua_cod!$F:$F,RANDBETWEEN(2,COUNTA(rua_cod!F:F)))</f>
        <v>Rua da Oliveira ao Carmo</v>
      </c>
      <c r="H142" t="str" cm="1">
        <f t="array" aca="1" ref="H142" ca="1">INDEX(rua_cod!$A:$A,Médicos!X142) &amp; "-" &amp; TEXT(RANDBETWEEN(0,999),"000")</f>
        <v>2350-371</v>
      </c>
      <c r="I142" t="str" cm="1">
        <f t="array" aca="1" ref="I142" ca="1">INDEX(rua_cod!$B:$B,Médicos!X142)</f>
        <v>Torres Novas</v>
      </c>
      <c r="J142" t="s">
        <v>341</v>
      </c>
      <c r="K142" t="s">
        <v>225</v>
      </c>
      <c r="L142" t="s">
        <v>265</v>
      </c>
      <c r="M142" t="str">
        <f t="shared" ca="1" si="26"/>
        <v>90848206</v>
      </c>
      <c r="N142" t="str">
        <f t="shared" ca="1" si="27"/>
        <v>282921283</v>
      </c>
      <c r="O142" t="str">
        <f t="shared" ca="1" si="27"/>
        <v>615841578</v>
      </c>
      <c r="P142" t="str" cm="1">
        <f t="array" aca="1" ref="P142" ca="1">9 &amp; INDEX($AH$3:$AH$6,Y142)&amp; TEXT(RANDBETWEEN(0,9999999),"0000000")</f>
        <v>921953054</v>
      </c>
      <c r="Q142" t="str" cm="1">
        <f t="array" aca="1" ref="Q142" ca="1">LOWER(B142) &amp; INDEX($AH$9:$AH$11,Z142)</f>
        <v>med141@hospital.upskill.com</v>
      </c>
      <c r="R142" t="str">
        <f t="shared" si="28"/>
        <v>med141.jpg</v>
      </c>
      <c r="S142" s="8">
        <f t="shared" ca="1" si="29"/>
        <v>8000012746838870</v>
      </c>
      <c r="T142" t="s">
        <v>341</v>
      </c>
      <c r="V142" s="4"/>
      <c r="X142">
        <f ca="1">RANDBETWEEN(2,COUNTA(rua_cod!A:A))</f>
        <v>103</v>
      </c>
      <c r="Y142">
        <f t="shared" ca="1" si="30"/>
        <v>2</v>
      </c>
      <c r="Z142">
        <f t="shared" ca="1" si="31"/>
        <v>2</v>
      </c>
      <c r="AA142">
        <f t="shared" ca="1" si="32"/>
        <v>1965</v>
      </c>
      <c r="AB142">
        <f t="shared" ca="1" si="33"/>
        <v>7</v>
      </c>
      <c r="AC142">
        <f t="shared" ca="1" si="34"/>
        <v>18</v>
      </c>
      <c r="AD142">
        <f t="shared" ca="1" si="35"/>
        <v>55</v>
      </c>
    </row>
    <row r="143" spans="1:30" x14ac:dyDescent="0.25">
      <c r="A143">
        <v>142</v>
      </c>
      <c r="B143" t="str">
        <f t="shared" si="24"/>
        <v>med142</v>
      </c>
      <c r="C143" t="str">
        <f t="shared" si="25"/>
        <v>pswmed142</v>
      </c>
      <c r="D143" t="str">
        <f ca="1">Nomes!T144</f>
        <v>Diogo Carolina Macedo Melo</v>
      </c>
      <c r="E143" t="str">
        <f ca="1">Nomes!S144</f>
        <v>Masculino</v>
      </c>
      <c r="F143" s="2">
        <v>43003</v>
      </c>
      <c r="G143" t="str" cm="1">
        <f t="array" aca="1" ref="G143" ca="1">INDEX(rua_cod!$F:$F,RANDBETWEEN(2,COUNTA(rua_cod!F:F)))</f>
        <v>Calçada de Carriche</v>
      </c>
      <c r="H143" t="str" cm="1">
        <f t="array" aca="1" ref="H143" ca="1">INDEX(rua_cod!$A:$A,Médicos!X143) &amp; "-" &amp; TEXT(RANDBETWEEN(0,999),"000")</f>
        <v>2724-472</v>
      </c>
      <c r="I143" t="str" cm="1">
        <f t="array" aca="1" ref="I143" ca="1">INDEX(rua_cod!$B:$B,Médicos!X143)</f>
        <v>Amadora</v>
      </c>
      <c r="J143" t="s">
        <v>341</v>
      </c>
      <c r="K143" t="s">
        <v>225</v>
      </c>
      <c r="L143" t="s">
        <v>265</v>
      </c>
      <c r="M143" t="str">
        <f t="shared" ca="1" si="26"/>
        <v>55698651</v>
      </c>
      <c r="N143" t="str">
        <f t="shared" ca="1" si="27"/>
        <v>426684162</v>
      </c>
      <c r="O143" t="str">
        <f t="shared" ca="1" si="27"/>
        <v>902220888</v>
      </c>
      <c r="P143" t="str" cm="1">
        <f t="array" aca="1" ref="P143" ca="1">9 &amp; INDEX($AH$3:$AH$6,Y143)&amp; TEXT(RANDBETWEEN(0,9999999),"0000000")</f>
        <v>966840994</v>
      </c>
      <c r="Q143" t="str" cm="1">
        <f t="array" aca="1" ref="Q143" ca="1">LOWER(B143) &amp; INDEX($AH$9:$AH$11,Z143)</f>
        <v>med142@hospital.upskill.com</v>
      </c>
      <c r="R143" t="str">
        <f t="shared" si="28"/>
        <v>med142.jpg</v>
      </c>
      <c r="S143" s="8">
        <f t="shared" ca="1" si="29"/>
        <v>3321454544866580</v>
      </c>
      <c r="T143" t="s">
        <v>341</v>
      </c>
      <c r="V143" s="4"/>
      <c r="X143">
        <f ca="1">RANDBETWEEN(2,COUNTA(rua_cod!A:A))</f>
        <v>13</v>
      </c>
      <c r="Y143">
        <f t="shared" ca="1" si="30"/>
        <v>4</v>
      </c>
      <c r="Z143">
        <f t="shared" ca="1" si="31"/>
        <v>3</v>
      </c>
      <c r="AA143">
        <f t="shared" ca="1" si="32"/>
        <v>1980</v>
      </c>
      <c r="AB143">
        <f t="shared" ca="1" si="33"/>
        <v>6</v>
      </c>
      <c r="AC143">
        <f t="shared" ca="1" si="34"/>
        <v>16</v>
      </c>
      <c r="AD143">
        <f t="shared" ca="1" si="35"/>
        <v>40</v>
      </c>
    </row>
    <row r="144" spans="1:30" x14ac:dyDescent="0.25">
      <c r="A144">
        <v>143</v>
      </c>
      <c r="B144" t="str">
        <f t="shared" si="24"/>
        <v>med143</v>
      </c>
      <c r="C144" t="str">
        <f t="shared" si="25"/>
        <v>pswmed143</v>
      </c>
      <c r="D144" t="str">
        <f ca="1">Nomes!T145</f>
        <v>Tiago Joana Azevedo Simões</v>
      </c>
      <c r="E144" t="str">
        <f ca="1">Nomes!S145</f>
        <v>Masculino</v>
      </c>
      <c r="F144" s="2">
        <v>29468</v>
      </c>
      <c r="G144" t="str" cm="1">
        <f t="array" aca="1" ref="G144" ca="1">INDEX(rua_cod!$F:$F,RANDBETWEEN(2,COUNTA(rua_cod!F:F)))</f>
        <v>Rua do Guarda-Mor</v>
      </c>
      <c r="H144" t="str" cm="1">
        <f t="array" aca="1" ref="H144" ca="1">INDEX(rua_cod!$A:$A,Médicos!X144) &amp; "-" &amp; TEXT(RANDBETWEEN(0,999),"000")</f>
        <v>2700-160</v>
      </c>
      <c r="I144" t="str" cm="1">
        <f t="array" aca="1" ref="I144" ca="1">INDEX(rua_cod!$B:$B,Médicos!X144)</f>
        <v>Amadora</v>
      </c>
      <c r="J144" t="s">
        <v>341</v>
      </c>
      <c r="K144" t="s">
        <v>225</v>
      </c>
      <c r="L144" t="s">
        <v>265</v>
      </c>
      <c r="M144" t="str">
        <f t="shared" ca="1" si="26"/>
        <v>18196359</v>
      </c>
      <c r="N144" t="str">
        <f t="shared" ca="1" si="27"/>
        <v>440042737</v>
      </c>
      <c r="O144" t="str">
        <f t="shared" ca="1" si="27"/>
        <v>908790571</v>
      </c>
      <c r="P144" t="str" cm="1">
        <f t="array" aca="1" ref="P144" ca="1">9 &amp; INDEX($AH$3:$AH$6,Y144)&amp; TEXT(RANDBETWEEN(0,9999999),"0000000")</f>
        <v>925247626</v>
      </c>
      <c r="Q144" t="str" cm="1">
        <f t="array" aca="1" ref="Q144" ca="1">LOWER(B144) &amp; INDEX($AH$9:$AH$11,Z144)</f>
        <v>med143@hospital.upskill.com</v>
      </c>
      <c r="R144" t="str">
        <f t="shared" si="28"/>
        <v>med143.jpg</v>
      </c>
      <c r="S144" s="8">
        <f t="shared" ca="1" si="29"/>
        <v>5269204380447002</v>
      </c>
      <c r="T144" t="s">
        <v>341</v>
      </c>
      <c r="V144" s="4"/>
      <c r="X144">
        <f ca="1">RANDBETWEEN(2,COUNTA(rua_cod!A:A))</f>
        <v>10</v>
      </c>
      <c r="Y144">
        <f t="shared" ca="1" si="30"/>
        <v>2</v>
      </c>
      <c r="Z144">
        <f t="shared" ca="1" si="31"/>
        <v>2</v>
      </c>
      <c r="AA144">
        <f t="shared" ca="1" si="32"/>
        <v>1957</v>
      </c>
      <c r="AB144">
        <f t="shared" ca="1" si="33"/>
        <v>3</v>
      </c>
      <c r="AC144">
        <f t="shared" ca="1" si="34"/>
        <v>14</v>
      </c>
      <c r="AD144">
        <f t="shared" ca="1" si="35"/>
        <v>63</v>
      </c>
    </row>
    <row r="145" spans="1:30" x14ac:dyDescent="0.25">
      <c r="A145">
        <v>144</v>
      </c>
      <c r="B145" t="str">
        <f t="shared" si="24"/>
        <v>med144</v>
      </c>
      <c r="C145" t="str">
        <f t="shared" si="25"/>
        <v>pswmed144</v>
      </c>
      <c r="D145" t="str">
        <f ca="1">Nomes!T146</f>
        <v>Sara Lurdes Pires Loureiro</v>
      </c>
      <c r="E145" t="str">
        <f ca="1">Nomes!S146</f>
        <v>Feminino</v>
      </c>
      <c r="F145" s="2">
        <v>26648</v>
      </c>
      <c r="G145" t="str" cm="1">
        <f t="array" aca="1" ref="G145" ca="1">INDEX(rua_cod!$F:$F,RANDBETWEEN(2,COUNTA(rua_cod!F:F)))</f>
        <v>Rua dos Bacalhoeiros</v>
      </c>
      <c r="H145" t="str" cm="1">
        <f t="array" aca="1" ref="H145" ca="1">INDEX(rua_cod!$A:$A,Médicos!X145) &amp; "-" &amp; TEXT(RANDBETWEEN(0,999),"000")</f>
        <v>2830-222</v>
      </c>
      <c r="I145" t="str" cm="1">
        <f t="array" aca="1" ref="I145" ca="1">INDEX(rua_cod!$B:$B,Médicos!X145)</f>
        <v>Barreiro</v>
      </c>
      <c r="J145" t="s">
        <v>341</v>
      </c>
      <c r="K145" t="s">
        <v>225</v>
      </c>
      <c r="L145" t="s">
        <v>265</v>
      </c>
      <c r="M145" t="str">
        <f t="shared" ca="1" si="26"/>
        <v>16747201</v>
      </c>
      <c r="N145" t="str">
        <f t="shared" ca="1" si="27"/>
        <v>312568718</v>
      </c>
      <c r="O145" t="str">
        <f t="shared" ca="1" si="27"/>
        <v>385341187</v>
      </c>
      <c r="P145" t="str" cm="1">
        <f t="array" aca="1" ref="P145" ca="1">9 &amp; INDEX($AH$3:$AH$6,Y145)&amp; TEXT(RANDBETWEEN(0,9999999),"0000000")</f>
        <v>925919937</v>
      </c>
      <c r="Q145" t="str" cm="1">
        <f t="array" aca="1" ref="Q145" ca="1">LOWER(B145) &amp; INDEX($AH$9:$AH$11,Z145)</f>
        <v>med144@hospital.upskill.com</v>
      </c>
      <c r="R145" t="str">
        <f t="shared" si="28"/>
        <v>med144.jpg</v>
      </c>
      <c r="S145" s="8">
        <f t="shared" ca="1" si="29"/>
        <v>2030567132778095</v>
      </c>
      <c r="T145" t="s">
        <v>341</v>
      </c>
      <c r="V145" s="4"/>
      <c r="X145">
        <f ca="1">RANDBETWEEN(2,COUNTA(rua_cod!A:A))</f>
        <v>16</v>
      </c>
      <c r="Y145">
        <f t="shared" ca="1" si="30"/>
        <v>2</v>
      </c>
      <c r="Z145">
        <f t="shared" ca="1" si="31"/>
        <v>2</v>
      </c>
      <c r="AA145">
        <f t="shared" ca="1" si="32"/>
        <v>1960</v>
      </c>
      <c r="AB145">
        <f t="shared" ca="1" si="33"/>
        <v>1</v>
      </c>
      <c r="AC145">
        <f t="shared" ca="1" si="34"/>
        <v>28</v>
      </c>
      <c r="AD145">
        <f t="shared" ca="1" si="35"/>
        <v>60</v>
      </c>
    </row>
    <row r="146" spans="1:30" x14ac:dyDescent="0.25">
      <c r="A146">
        <v>145</v>
      </c>
      <c r="B146" t="str">
        <f t="shared" si="24"/>
        <v>med145</v>
      </c>
      <c r="C146" t="str">
        <f t="shared" si="25"/>
        <v>pswmed145</v>
      </c>
      <c r="D146" t="str">
        <f ca="1">Nomes!T147</f>
        <v>Duarte André Monteiro Gaspar</v>
      </c>
      <c r="E146" t="str">
        <f ca="1">Nomes!S147</f>
        <v>Masculino</v>
      </c>
      <c r="F146" s="2">
        <v>12366</v>
      </c>
      <c r="G146" t="str" cm="1">
        <f t="array" aca="1" ref="G146" ca="1">INDEX(rua_cod!$F:$F,RANDBETWEEN(2,COUNTA(rua_cod!F:F)))</f>
        <v>Rua General Morais Sarmento</v>
      </c>
      <c r="H146" t="str" cm="1">
        <f t="array" aca="1" ref="H146" ca="1">INDEX(rua_cod!$A:$A,Médicos!X146) &amp; "-" &amp; TEXT(RANDBETWEEN(0,999),"000")</f>
        <v>1748-282</v>
      </c>
      <c r="I146" t="str" cm="1">
        <f t="array" aca="1" ref="I146" ca="1">INDEX(rua_cod!$B:$B,Médicos!X146)</f>
        <v>Lisboa</v>
      </c>
      <c r="J146" t="s">
        <v>341</v>
      </c>
      <c r="K146" t="s">
        <v>225</v>
      </c>
      <c r="L146" t="s">
        <v>265</v>
      </c>
      <c r="M146" t="str">
        <f t="shared" ca="1" si="26"/>
        <v>34422265</v>
      </c>
      <c r="N146" t="str">
        <f t="shared" ca="1" si="27"/>
        <v>578019042</v>
      </c>
      <c r="O146" t="str">
        <f t="shared" ca="1" si="27"/>
        <v>688004117</v>
      </c>
      <c r="P146" t="str" cm="1">
        <f t="array" aca="1" ref="P146" ca="1">9 &amp; INDEX($AH$3:$AH$6,Y146)&amp; TEXT(RANDBETWEEN(0,9999999),"0000000")</f>
        <v>921315004</v>
      </c>
      <c r="Q146" t="str" cm="1">
        <f t="array" aca="1" ref="Q146" ca="1">LOWER(B146) &amp; INDEX($AH$9:$AH$11,Z146)</f>
        <v>med145@hospital.upskill.com</v>
      </c>
      <c r="R146" t="str">
        <f t="shared" si="28"/>
        <v>med145.jpg</v>
      </c>
      <c r="S146" s="8">
        <f t="shared" ca="1" si="29"/>
        <v>7717264689562024</v>
      </c>
      <c r="T146" t="s">
        <v>341</v>
      </c>
      <c r="V146" s="4"/>
      <c r="X146">
        <f ca="1">RANDBETWEEN(2,COUNTA(rua_cod!A:A))</f>
        <v>77</v>
      </c>
      <c r="Y146">
        <f t="shared" ca="1" si="30"/>
        <v>2</v>
      </c>
      <c r="Z146">
        <f t="shared" ca="1" si="31"/>
        <v>1</v>
      </c>
      <c r="AA146">
        <f t="shared" ca="1" si="32"/>
        <v>1973</v>
      </c>
      <c r="AB146">
        <f t="shared" ca="1" si="33"/>
        <v>6</v>
      </c>
      <c r="AC146">
        <f t="shared" ca="1" si="34"/>
        <v>30</v>
      </c>
      <c r="AD146">
        <f t="shared" ca="1" si="35"/>
        <v>47</v>
      </c>
    </row>
    <row r="147" spans="1:30" x14ac:dyDescent="0.25">
      <c r="A147">
        <v>146</v>
      </c>
      <c r="B147" t="str">
        <f t="shared" si="24"/>
        <v>med146</v>
      </c>
      <c r="C147" t="str">
        <f t="shared" si="25"/>
        <v>pswmed146</v>
      </c>
      <c r="D147" t="str">
        <f ca="1">Nomes!T148</f>
        <v>Maria André Monteiro Matos</v>
      </c>
      <c r="E147" t="str">
        <f ca="1">Nomes!S148</f>
        <v>Feminino</v>
      </c>
      <c r="F147" s="2">
        <v>15788</v>
      </c>
      <c r="G147" t="str" cm="1">
        <f t="array" aca="1" ref="G147" ca="1">INDEX(rua_cod!$F:$F,RANDBETWEEN(2,COUNTA(rua_cod!F:F)))</f>
        <v>Calçada de Carriche</v>
      </c>
      <c r="H147" t="str" cm="1">
        <f t="array" aca="1" ref="H147" ca="1">INDEX(rua_cod!$A:$A,Médicos!X147) &amp; "-" &amp; TEXT(RANDBETWEEN(0,999),"000")</f>
        <v>2644-693</v>
      </c>
      <c r="I147" t="str" cm="1">
        <f t="array" aca="1" ref="I147" ca="1">INDEX(rua_cod!$B:$B,Médicos!X147)</f>
        <v>Mafra</v>
      </c>
      <c r="J147" t="s">
        <v>341</v>
      </c>
      <c r="K147" t="s">
        <v>225</v>
      </c>
      <c r="L147" t="s">
        <v>265</v>
      </c>
      <c r="M147" t="str">
        <f t="shared" ca="1" si="26"/>
        <v>58734292</v>
      </c>
      <c r="N147" t="str">
        <f t="shared" ca="1" si="27"/>
        <v>153590181</v>
      </c>
      <c r="O147" t="str">
        <f t="shared" ca="1" si="27"/>
        <v>682814999</v>
      </c>
      <c r="P147" t="str" cm="1">
        <f t="array" aca="1" ref="P147" ca="1">9 &amp; INDEX($AH$3:$AH$6,Y147)&amp; TEXT(RANDBETWEEN(0,9999999),"0000000")</f>
        <v>928369419</v>
      </c>
      <c r="Q147" t="str" cm="1">
        <f t="array" aca="1" ref="Q147" ca="1">LOWER(B147) &amp; INDEX($AH$9:$AH$11,Z147)</f>
        <v>med146@hospital.upskill.com</v>
      </c>
      <c r="R147" t="str">
        <f t="shared" si="28"/>
        <v>med146.jpg</v>
      </c>
      <c r="S147" s="8">
        <f t="shared" ca="1" si="29"/>
        <v>9621651838844840</v>
      </c>
      <c r="T147" t="s">
        <v>341</v>
      </c>
      <c r="V147" s="4"/>
      <c r="X147">
        <f ca="1">RANDBETWEEN(2,COUNTA(rua_cod!A:A))</f>
        <v>86</v>
      </c>
      <c r="Y147">
        <f t="shared" ca="1" si="30"/>
        <v>2</v>
      </c>
      <c r="Z147">
        <f t="shared" ca="1" si="31"/>
        <v>2</v>
      </c>
      <c r="AA147">
        <f t="shared" ca="1" si="32"/>
        <v>1988</v>
      </c>
      <c r="AB147">
        <f t="shared" ca="1" si="33"/>
        <v>2</v>
      </c>
      <c r="AC147">
        <f t="shared" ca="1" si="34"/>
        <v>18</v>
      </c>
      <c r="AD147">
        <f t="shared" ca="1" si="35"/>
        <v>32</v>
      </c>
    </row>
    <row r="148" spans="1:30" x14ac:dyDescent="0.25">
      <c r="A148">
        <v>147</v>
      </c>
      <c r="B148" t="str">
        <f t="shared" si="24"/>
        <v>med147</v>
      </c>
      <c r="C148" t="str">
        <f t="shared" si="25"/>
        <v>pswmed147</v>
      </c>
      <c r="D148" t="str">
        <f ca="1">Nomes!T149</f>
        <v>Luís Rodrigo Barros Neto</v>
      </c>
      <c r="E148" t="str">
        <f ca="1">Nomes!S149</f>
        <v>Masculino</v>
      </c>
      <c r="F148" s="2">
        <v>37028</v>
      </c>
      <c r="G148" t="str" cm="1">
        <f t="array" aca="1" ref="G148" ca="1">INDEX(rua_cod!$F:$F,RANDBETWEEN(2,COUNTA(rua_cod!F:F)))</f>
        <v>Rua dos Bacalhoeiros</v>
      </c>
      <c r="H148" t="str" cm="1">
        <f t="array" aca="1" ref="H148" ca="1">INDEX(rua_cod!$A:$A,Médicos!X148) &amp; "-" &amp; TEXT(RANDBETWEEN(0,999),"000")</f>
        <v>2784-203</v>
      </c>
      <c r="I148" t="str" cm="1">
        <f t="array" aca="1" ref="I148" ca="1">INDEX(rua_cod!$B:$B,Médicos!X148)</f>
        <v>Oeiras</v>
      </c>
      <c r="J148" t="s">
        <v>341</v>
      </c>
      <c r="K148" t="s">
        <v>225</v>
      </c>
      <c r="L148" t="s">
        <v>265</v>
      </c>
      <c r="M148" t="str">
        <f t="shared" ca="1" si="26"/>
        <v>17732881</v>
      </c>
      <c r="N148" t="str">
        <f t="shared" ca="1" si="27"/>
        <v>701953820</v>
      </c>
      <c r="O148" t="str">
        <f t="shared" ca="1" si="27"/>
        <v>929903578</v>
      </c>
      <c r="P148" t="str" cm="1">
        <f t="array" aca="1" ref="P148" ca="1">9 &amp; INDEX($AH$3:$AH$6,Y148)&amp; TEXT(RANDBETWEEN(0,9999999),"0000000")</f>
        <v>964514115</v>
      </c>
      <c r="Q148" t="str" cm="1">
        <f t="array" aca="1" ref="Q148" ca="1">LOWER(B148) &amp; INDEX($AH$9:$AH$11,Z148)</f>
        <v>med147@hospital.upskill.com</v>
      </c>
      <c r="R148" t="str">
        <f t="shared" si="28"/>
        <v>med147.jpg</v>
      </c>
      <c r="S148" s="8">
        <f t="shared" ca="1" si="29"/>
        <v>4483020494572543</v>
      </c>
      <c r="T148" t="s">
        <v>341</v>
      </c>
      <c r="V148" s="4"/>
      <c r="X148">
        <f ca="1">RANDBETWEEN(2,COUNTA(rua_cod!A:A))</f>
        <v>89</v>
      </c>
      <c r="Y148">
        <f t="shared" ca="1" si="30"/>
        <v>4</v>
      </c>
      <c r="Z148">
        <f t="shared" ca="1" si="31"/>
        <v>1</v>
      </c>
      <c r="AA148">
        <f t="shared" ca="1" si="32"/>
        <v>1986</v>
      </c>
      <c r="AB148">
        <f t="shared" ca="1" si="33"/>
        <v>3</v>
      </c>
      <c r="AC148">
        <f t="shared" ca="1" si="34"/>
        <v>31</v>
      </c>
      <c r="AD148">
        <f t="shared" ca="1" si="35"/>
        <v>34</v>
      </c>
    </row>
    <row r="149" spans="1:30" x14ac:dyDescent="0.25">
      <c r="A149">
        <v>148</v>
      </c>
      <c r="B149" t="str">
        <f t="shared" si="24"/>
        <v>med148</v>
      </c>
      <c r="C149" t="str">
        <f t="shared" si="25"/>
        <v>pswmed148</v>
      </c>
      <c r="D149" t="str">
        <f ca="1">Nomes!T150</f>
        <v>Diana Tomás Campos Teixeira</v>
      </c>
      <c r="E149" t="str">
        <f ca="1">Nomes!S150</f>
        <v>Feminino</v>
      </c>
      <c r="F149" s="2">
        <v>36735</v>
      </c>
      <c r="G149" t="str" cm="1">
        <f t="array" aca="1" ref="G149" ca="1">INDEX(rua_cod!$F:$F,RANDBETWEEN(2,COUNTA(rua_cod!F:F)))</f>
        <v>Calçada de Carriche</v>
      </c>
      <c r="H149" t="str" cm="1">
        <f t="array" aca="1" ref="H149" ca="1">INDEX(rua_cod!$A:$A,Médicos!X149) &amp; "-" &amp; TEXT(RANDBETWEEN(0,999),"000")</f>
        <v>1250-477</v>
      </c>
      <c r="I149" t="str" cm="1">
        <f t="array" aca="1" ref="I149" ca="1">INDEX(rua_cod!$B:$B,Médicos!X149)</f>
        <v>Lisboa</v>
      </c>
      <c r="J149" t="s">
        <v>341</v>
      </c>
      <c r="K149" t="s">
        <v>225</v>
      </c>
      <c r="L149" t="s">
        <v>265</v>
      </c>
      <c r="M149" t="str">
        <f t="shared" ca="1" si="26"/>
        <v>40691572</v>
      </c>
      <c r="N149" t="str">
        <f t="shared" ca="1" si="27"/>
        <v>529732241</v>
      </c>
      <c r="O149" t="str">
        <f t="shared" ca="1" si="27"/>
        <v>421893838</v>
      </c>
      <c r="P149" t="str" cm="1">
        <f t="array" aca="1" ref="P149" ca="1">9 &amp; INDEX($AH$3:$AH$6,Y149)&amp; TEXT(RANDBETWEEN(0,9999999),"0000000")</f>
        <v>962322705</v>
      </c>
      <c r="Q149" t="str" cm="1">
        <f t="array" aca="1" ref="Q149" ca="1">LOWER(B149) &amp; INDEX($AH$9:$AH$11,Z149)</f>
        <v>med148@hospital.upskill.com</v>
      </c>
      <c r="R149" t="str">
        <f t="shared" si="28"/>
        <v>med148.jpg</v>
      </c>
      <c r="S149" s="8">
        <f t="shared" ca="1" si="29"/>
        <v>2673887608725655</v>
      </c>
      <c r="T149" t="s">
        <v>341</v>
      </c>
      <c r="V149" s="4"/>
      <c r="X149">
        <f ca="1">RANDBETWEEN(2,COUNTA(rua_cod!A:A))</f>
        <v>50</v>
      </c>
      <c r="Y149">
        <f t="shared" ca="1" si="30"/>
        <v>4</v>
      </c>
      <c r="Z149">
        <f t="shared" ca="1" si="31"/>
        <v>1</v>
      </c>
      <c r="AA149">
        <f t="shared" ca="1" si="32"/>
        <v>1952</v>
      </c>
      <c r="AB149">
        <f t="shared" ca="1" si="33"/>
        <v>4</v>
      </c>
      <c r="AC149">
        <f t="shared" ca="1" si="34"/>
        <v>26</v>
      </c>
      <c r="AD149">
        <f t="shared" ca="1" si="35"/>
        <v>68</v>
      </c>
    </row>
    <row r="150" spans="1:30" x14ac:dyDescent="0.25">
      <c r="A150">
        <v>149</v>
      </c>
      <c r="B150" t="str">
        <f t="shared" si="24"/>
        <v>med149</v>
      </c>
      <c r="C150" t="str">
        <f t="shared" si="25"/>
        <v>pswmed149</v>
      </c>
      <c r="D150" t="str">
        <f ca="1">Nomes!T151</f>
        <v>Vera Lurdes Fernandes Almeida</v>
      </c>
      <c r="E150" t="str">
        <f ca="1">Nomes!S151</f>
        <v>Feminino</v>
      </c>
      <c r="F150" s="2">
        <v>29002</v>
      </c>
      <c r="G150" t="str" cm="1">
        <f t="array" aca="1" ref="G150" ca="1">INDEX(rua_cod!$F:$F,RANDBETWEEN(2,COUNTA(rua_cod!F:F)))</f>
        <v>Rua do Carmo</v>
      </c>
      <c r="H150" t="str" cm="1">
        <f t="array" aca="1" ref="H150" ca="1">INDEX(rua_cod!$A:$A,Médicos!X150) &amp; "-" &amp; TEXT(RANDBETWEEN(0,999),"000")</f>
        <v>2644-253</v>
      </c>
      <c r="I150" t="str" cm="1">
        <f t="array" aca="1" ref="I150" ca="1">INDEX(rua_cod!$B:$B,Médicos!X150)</f>
        <v>Mafra</v>
      </c>
      <c r="J150" t="s">
        <v>341</v>
      </c>
      <c r="K150" t="s">
        <v>225</v>
      </c>
      <c r="L150" t="s">
        <v>265</v>
      </c>
      <c r="M150" t="str">
        <f t="shared" ca="1" si="26"/>
        <v>73148734</v>
      </c>
      <c r="N150" t="str">
        <f t="shared" ca="1" si="27"/>
        <v>385974627</v>
      </c>
      <c r="O150" t="str">
        <f t="shared" ca="1" si="27"/>
        <v>946426594</v>
      </c>
      <c r="P150" t="str" cm="1">
        <f t="array" aca="1" ref="P150" ca="1">9 &amp; INDEX($AH$3:$AH$6,Y150)&amp; TEXT(RANDBETWEEN(0,9999999),"0000000")</f>
        <v>939168058</v>
      </c>
      <c r="Q150" t="str" cm="1">
        <f t="array" aca="1" ref="Q150" ca="1">LOWER(B150) &amp; INDEX($AH$9:$AH$11,Z150)</f>
        <v>med149@hospital.upskill.com</v>
      </c>
      <c r="R150" t="str">
        <f t="shared" si="28"/>
        <v>med149.jpg</v>
      </c>
      <c r="S150" s="8">
        <f t="shared" ca="1" si="29"/>
        <v>6968279805898788</v>
      </c>
      <c r="T150" t="s">
        <v>341</v>
      </c>
      <c r="V150" s="4"/>
      <c r="X150">
        <f ca="1">RANDBETWEEN(2,COUNTA(rua_cod!A:A))</f>
        <v>86</v>
      </c>
      <c r="Y150">
        <f t="shared" ca="1" si="30"/>
        <v>3</v>
      </c>
      <c r="Z150">
        <f t="shared" ca="1" si="31"/>
        <v>3</v>
      </c>
      <c r="AA150">
        <f t="shared" ca="1" si="32"/>
        <v>1982</v>
      </c>
      <c r="AB150">
        <f t="shared" ca="1" si="33"/>
        <v>9</v>
      </c>
      <c r="AC150">
        <f t="shared" ca="1" si="34"/>
        <v>21</v>
      </c>
      <c r="AD150">
        <f t="shared" ca="1" si="35"/>
        <v>38</v>
      </c>
    </row>
    <row r="151" spans="1:30" x14ac:dyDescent="0.25">
      <c r="A151">
        <v>150</v>
      </c>
      <c r="B151" t="str">
        <f t="shared" si="24"/>
        <v>med150</v>
      </c>
      <c r="C151" t="str">
        <f t="shared" si="25"/>
        <v>pswmed150</v>
      </c>
      <c r="D151" t="str">
        <f ca="1">Nomes!T152</f>
        <v>Laura Vera Macedo Andrade</v>
      </c>
      <c r="E151" t="str">
        <f ca="1">Nomes!S152</f>
        <v>Feminino</v>
      </c>
      <c r="F151" s="2">
        <v>41285</v>
      </c>
      <c r="G151" t="str" cm="1">
        <f t="array" aca="1" ref="G151" ca="1">INDEX(rua_cod!$F:$F,RANDBETWEEN(2,COUNTA(rua_cod!F:F)))</f>
        <v>Rua da Junqueira</v>
      </c>
      <c r="H151" t="str" cm="1">
        <f t="array" aca="1" ref="H151" ca="1">INDEX(rua_cod!$A:$A,Médicos!X151) &amp; "-" &amp; TEXT(RANDBETWEEN(0,999),"000")</f>
        <v>2655-020</v>
      </c>
      <c r="I151" t="str" cm="1">
        <f t="array" aca="1" ref="I151" ca="1">INDEX(rua_cod!$B:$B,Médicos!X151)</f>
        <v>Ericeira</v>
      </c>
      <c r="J151" t="s">
        <v>341</v>
      </c>
      <c r="K151" t="s">
        <v>225</v>
      </c>
      <c r="L151" t="s">
        <v>265</v>
      </c>
      <c r="M151" t="str">
        <f t="shared" ca="1" si="26"/>
        <v>87174688</v>
      </c>
      <c r="N151" t="str">
        <f t="shared" ca="1" si="27"/>
        <v>481878855</v>
      </c>
      <c r="O151" t="str">
        <f t="shared" ca="1" si="27"/>
        <v>247430925</v>
      </c>
      <c r="P151" t="str" cm="1">
        <f t="array" aca="1" ref="P151" ca="1">9 &amp; INDEX($AH$3:$AH$6,Y151)&amp; TEXT(RANDBETWEEN(0,9999999),"0000000")</f>
        <v>935501170</v>
      </c>
      <c r="Q151" t="str" cm="1">
        <f t="array" aca="1" ref="Q151" ca="1">LOWER(B151) &amp; INDEX($AH$9:$AH$11,Z151)</f>
        <v>med150@hospital.upskill.com</v>
      </c>
      <c r="R151" t="str">
        <f t="shared" si="28"/>
        <v>med150.jpg</v>
      </c>
      <c r="S151" s="8">
        <f t="shared" ca="1" si="29"/>
        <v>8435304788785224</v>
      </c>
      <c r="T151" t="s">
        <v>341</v>
      </c>
      <c r="V151" s="4"/>
      <c r="X151">
        <f ca="1">RANDBETWEEN(2,COUNTA(rua_cod!A:A))</f>
        <v>31</v>
      </c>
      <c r="Y151">
        <f t="shared" ca="1" si="30"/>
        <v>3</v>
      </c>
      <c r="Z151">
        <f t="shared" ca="1" si="31"/>
        <v>1</v>
      </c>
      <c r="AA151">
        <f t="shared" ca="1" si="32"/>
        <v>1985</v>
      </c>
      <c r="AB151">
        <f t="shared" ca="1" si="33"/>
        <v>11</v>
      </c>
      <c r="AC151">
        <f t="shared" ca="1" si="34"/>
        <v>20</v>
      </c>
      <c r="AD151">
        <f t="shared" ca="1" si="35"/>
        <v>35</v>
      </c>
    </row>
    <row r="152" spans="1:30" x14ac:dyDescent="0.25">
      <c r="A152">
        <v>151</v>
      </c>
      <c r="B152" t="str">
        <f t="shared" si="24"/>
        <v>med151</v>
      </c>
      <c r="C152" t="str">
        <f t="shared" si="25"/>
        <v>pswmed151</v>
      </c>
      <c r="D152" t="str">
        <f ca="1">Nomes!T153</f>
        <v>André Ricardo Ramos Barbosa</v>
      </c>
      <c r="E152" t="str">
        <f ca="1">Nomes!S153</f>
        <v>Masculino</v>
      </c>
      <c r="F152" s="2">
        <v>27590</v>
      </c>
      <c r="G152" t="str" cm="1">
        <f t="array" aca="1" ref="G152" ca="1">INDEX(rua_cod!$F:$F,RANDBETWEEN(2,COUNTA(rua_cod!F:F)))</f>
        <v>Rua do Sol a Santana</v>
      </c>
      <c r="H152" t="str" cm="1">
        <f t="array" aca="1" ref="H152" ca="1">INDEX(rua_cod!$A:$A,Médicos!X152) &amp; "-" &amp; TEXT(RANDBETWEEN(0,999),"000")</f>
        <v>1049-792</v>
      </c>
      <c r="I152" t="str" cm="1">
        <f t="array" aca="1" ref="I152" ca="1">INDEX(rua_cod!$B:$B,Médicos!X152)</f>
        <v>Lisboa</v>
      </c>
      <c r="J152" t="s">
        <v>341</v>
      </c>
      <c r="K152" t="s">
        <v>225</v>
      </c>
      <c r="L152" t="s">
        <v>265</v>
      </c>
      <c r="M152" t="str">
        <f t="shared" ca="1" si="26"/>
        <v>97052223</v>
      </c>
      <c r="N152" t="str">
        <f t="shared" ca="1" si="27"/>
        <v>803492481</v>
      </c>
      <c r="O152" t="str">
        <f t="shared" ca="1" si="27"/>
        <v>760401338</v>
      </c>
      <c r="P152" t="str" cm="1">
        <f t="array" aca="1" ref="P152" ca="1">9 &amp; INDEX($AH$3:$AH$6,Y152)&amp; TEXT(RANDBETWEEN(0,9999999),"0000000")</f>
        <v>921954976</v>
      </c>
      <c r="Q152" t="str" cm="1">
        <f t="array" aca="1" ref="Q152" ca="1">LOWER(B152) &amp; INDEX($AH$9:$AH$11,Z152)</f>
        <v>med151@hospital.upskill.com</v>
      </c>
      <c r="R152" t="str">
        <f t="shared" si="28"/>
        <v>med151.jpg</v>
      </c>
      <c r="S152" s="8">
        <f t="shared" ca="1" si="29"/>
        <v>9878855730755912</v>
      </c>
      <c r="T152" t="s">
        <v>341</v>
      </c>
      <c r="V152" s="4"/>
      <c r="X152">
        <f ca="1">RANDBETWEEN(2,COUNTA(rua_cod!A:A))</f>
        <v>76</v>
      </c>
      <c r="Y152">
        <f t="shared" ca="1" si="30"/>
        <v>2</v>
      </c>
      <c r="Z152">
        <f t="shared" ca="1" si="31"/>
        <v>1</v>
      </c>
      <c r="AA152">
        <f t="shared" ca="1" si="32"/>
        <v>1956</v>
      </c>
      <c r="AB152">
        <f t="shared" ca="1" si="33"/>
        <v>5</v>
      </c>
      <c r="AC152">
        <f t="shared" ca="1" si="34"/>
        <v>5</v>
      </c>
      <c r="AD152">
        <f t="shared" ca="1" si="35"/>
        <v>64</v>
      </c>
    </row>
    <row r="153" spans="1:30" x14ac:dyDescent="0.25">
      <c r="A153">
        <v>152</v>
      </c>
      <c r="B153" t="str">
        <f t="shared" si="24"/>
        <v>med152</v>
      </c>
      <c r="C153" t="str">
        <f t="shared" si="25"/>
        <v>pswmed152</v>
      </c>
      <c r="D153" t="str">
        <f ca="1">Nomes!T154</f>
        <v>Sara João Moura Miranda</v>
      </c>
      <c r="E153" t="str">
        <f ca="1">Nomes!S154</f>
        <v>Feminino</v>
      </c>
      <c r="F153" s="2">
        <v>30972</v>
      </c>
      <c r="G153" t="str" cm="1">
        <f t="array" aca="1" ref="G153" ca="1">INDEX(rua_cod!$F:$F,RANDBETWEEN(2,COUNTA(rua_cod!F:F)))</f>
        <v>Rua da Junqueira</v>
      </c>
      <c r="H153" t="str" cm="1">
        <f t="array" aca="1" ref="H153" ca="1">INDEX(rua_cod!$A:$A,Médicos!X153) &amp; "-" &amp; TEXT(RANDBETWEEN(0,999),"000")</f>
        <v>1949-182</v>
      </c>
      <c r="I153" t="str" cm="1">
        <f t="array" aca="1" ref="I153" ca="1">INDEX(rua_cod!$B:$B,Médicos!X153)</f>
        <v>Lisboa</v>
      </c>
      <c r="J153" t="s">
        <v>341</v>
      </c>
      <c r="K153" t="s">
        <v>225</v>
      </c>
      <c r="L153" t="s">
        <v>265</v>
      </c>
      <c r="M153" t="str">
        <f t="shared" ca="1" si="26"/>
        <v>68805698</v>
      </c>
      <c r="N153" t="str">
        <f t="shared" ca="1" si="27"/>
        <v>561488392</v>
      </c>
      <c r="O153" t="str">
        <f t="shared" ca="1" si="27"/>
        <v>906971517</v>
      </c>
      <c r="P153" t="str" cm="1">
        <f t="array" aca="1" ref="P153" ca="1">9 &amp; INDEX($AH$3:$AH$6,Y153)&amp; TEXT(RANDBETWEEN(0,9999999),"0000000")</f>
        <v>964630753</v>
      </c>
      <c r="Q153" t="str" cm="1">
        <f t="array" aca="1" ref="Q153" ca="1">LOWER(B153) &amp; INDEX($AH$9:$AH$11,Z153)</f>
        <v>med152@hospital.upskill.com</v>
      </c>
      <c r="R153" t="str">
        <f t="shared" si="28"/>
        <v>med152.jpg</v>
      </c>
      <c r="S153" s="8">
        <f t="shared" ca="1" si="29"/>
        <v>4440084071111864</v>
      </c>
      <c r="T153" t="s">
        <v>341</v>
      </c>
      <c r="V153" s="4"/>
      <c r="X153">
        <f ca="1">RANDBETWEEN(2,COUNTA(rua_cod!A:A))</f>
        <v>45</v>
      </c>
      <c r="Y153">
        <f t="shared" ca="1" si="30"/>
        <v>4</v>
      </c>
      <c r="Z153">
        <f t="shared" ca="1" si="31"/>
        <v>2</v>
      </c>
      <c r="AA153">
        <f t="shared" ca="1" si="32"/>
        <v>1978</v>
      </c>
      <c r="AB153">
        <f t="shared" ca="1" si="33"/>
        <v>5</v>
      </c>
      <c r="AC153">
        <f t="shared" ca="1" si="34"/>
        <v>6</v>
      </c>
      <c r="AD153">
        <f t="shared" ca="1" si="35"/>
        <v>42</v>
      </c>
    </row>
    <row r="154" spans="1:30" x14ac:dyDescent="0.25">
      <c r="A154">
        <v>153</v>
      </c>
      <c r="B154" t="str">
        <f t="shared" si="24"/>
        <v>med153</v>
      </c>
      <c r="C154" t="str">
        <f t="shared" si="25"/>
        <v>pswmed153</v>
      </c>
      <c r="D154" t="str">
        <f ca="1">Nomes!T155</f>
        <v>Maria Francisco Mendes Araújo</v>
      </c>
      <c r="E154" t="str">
        <f ca="1">Nomes!S155</f>
        <v>Feminino</v>
      </c>
      <c r="F154" s="2">
        <v>9540</v>
      </c>
      <c r="G154" t="str" cm="1">
        <f t="array" aca="1" ref="G154" ca="1">INDEX(rua_cod!$F:$F,RANDBETWEEN(2,COUNTA(rua_cod!F:F)))</f>
        <v>Rua da Madalena</v>
      </c>
      <c r="H154" t="str" cm="1">
        <f t="array" aca="1" ref="H154" ca="1">INDEX(rua_cod!$A:$A,Médicos!X154) &amp; "-" &amp; TEXT(RANDBETWEEN(0,999),"000")</f>
        <v>2650-494</v>
      </c>
      <c r="I154" t="str" cm="1">
        <f t="array" aca="1" ref="I154" ca="1">INDEX(rua_cod!$B:$B,Médicos!X154)</f>
        <v>Amadora</v>
      </c>
      <c r="J154" t="s">
        <v>341</v>
      </c>
      <c r="K154" t="s">
        <v>225</v>
      </c>
      <c r="L154" t="s">
        <v>265</v>
      </c>
      <c r="M154" t="str">
        <f t="shared" ca="1" si="26"/>
        <v>34642129</v>
      </c>
      <c r="N154" t="str">
        <f t="shared" ca="1" si="27"/>
        <v>925509358</v>
      </c>
      <c r="O154" t="str">
        <f t="shared" ca="1" si="27"/>
        <v>782828871</v>
      </c>
      <c r="P154" t="str" cm="1">
        <f t="array" aca="1" ref="P154" ca="1">9 &amp; INDEX($AH$3:$AH$6,Y154)&amp; TEXT(RANDBETWEEN(0,9999999),"0000000")</f>
        <v>912887982</v>
      </c>
      <c r="Q154" t="str" cm="1">
        <f t="array" aca="1" ref="Q154" ca="1">LOWER(B154) &amp; INDEX($AH$9:$AH$11,Z154)</f>
        <v>med153@hospital.upskill.com</v>
      </c>
      <c r="R154" t="str">
        <f t="shared" si="28"/>
        <v>med153.jpg</v>
      </c>
      <c r="S154" s="8">
        <f t="shared" ca="1" si="29"/>
        <v>8583434828615744</v>
      </c>
      <c r="T154" t="s">
        <v>341</v>
      </c>
      <c r="V154" s="4"/>
      <c r="X154">
        <f ca="1">RANDBETWEEN(2,COUNTA(rua_cod!A:A))</f>
        <v>9</v>
      </c>
      <c r="Y154">
        <f t="shared" ca="1" si="30"/>
        <v>1</v>
      </c>
      <c r="Z154">
        <f t="shared" ca="1" si="31"/>
        <v>3</v>
      </c>
      <c r="AA154">
        <f t="shared" ca="1" si="32"/>
        <v>1950</v>
      </c>
      <c r="AB154">
        <f t="shared" ca="1" si="33"/>
        <v>4</v>
      </c>
      <c r="AC154">
        <f t="shared" ca="1" si="34"/>
        <v>20</v>
      </c>
      <c r="AD154">
        <f t="shared" ca="1" si="35"/>
        <v>70</v>
      </c>
    </row>
    <row r="155" spans="1:30" x14ac:dyDescent="0.25">
      <c r="A155">
        <v>154</v>
      </c>
      <c r="B155" t="str">
        <f t="shared" si="24"/>
        <v>med154</v>
      </c>
      <c r="C155" t="str">
        <f t="shared" si="25"/>
        <v>pswmed154</v>
      </c>
      <c r="D155" t="str">
        <f ca="1">Nomes!T156</f>
        <v>Matilde José Araújo Leite</v>
      </c>
      <c r="E155" t="str">
        <f ca="1">Nomes!S156</f>
        <v>Feminino</v>
      </c>
      <c r="F155" s="2">
        <v>9785</v>
      </c>
      <c r="G155" t="str" cm="1">
        <f t="array" aca="1" ref="G155" ca="1">INDEX(rua_cod!$F:$F,RANDBETWEEN(2,COUNTA(rua_cod!F:F)))</f>
        <v>Rua da Betesga</v>
      </c>
      <c r="H155" t="str" cm="1">
        <f t="array" aca="1" ref="H155" ca="1">INDEX(rua_cod!$A:$A,Médicos!X155) &amp; "-" &amp; TEXT(RANDBETWEEN(0,999),"000")</f>
        <v>1070-633</v>
      </c>
      <c r="I155" t="str" cm="1">
        <f t="array" aca="1" ref="I155" ca="1">INDEX(rua_cod!$B:$B,Médicos!X155)</f>
        <v>Lisboa</v>
      </c>
      <c r="J155" t="s">
        <v>341</v>
      </c>
      <c r="K155" t="s">
        <v>225</v>
      </c>
      <c r="L155" t="s">
        <v>265</v>
      </c>
      <c r="M155" t="str">
        <f t="shared" ca="1" si="26"/>
        <v>66182511</v>
      </c>
      <c r="N155" t="str">
        <f t="shared" ca="1" si="27"/>
        <v>440241112</v>
      </c>
      <c r="O155" t="str">
        <f t="shared" ca="1" si="27"/>
        <v>751986693</v>
      </c>
      <c r="P155" t="str" cm="1">
        <f t="array" aca="1" ref="P155" ca="1">9 &amp; INDEX($AH$3:$AH$6,Y155)&amp; TEXT(RANDBETWEEN(0,9999999),"0000000")</f>
        <v>927657124</v>
      </c>
      <c r="Q155" t="str" cm="1">
        <f t="array" aca="1" ref="Q155" ca="1">LOWER(B155) &amp; INDEX($AH$9:$AH$11,Z155)</f>
        <v>med154@hospital.upskill.com</v>
      </c>
      <c r="R155" t="str">
        <f t="shared" si="28"/>
        <v>med154.jpg</v>
      </c>
      <c r="S155" s="8">
        <f t="shared" ca="1" si="29"/>
        <v>3306505528118378</v>
      </c>
      <c r="T155" t="s">
        <v>341</v>
      </c>
      <c r="V155" s="4"/>
      <c r="X155">
        <f ca="1">RANDBETWEEN(2,COUNTA(rua_cod!A:A))</f>
        <v>51</v>
      </c>
      <c r="Y155">
        <f t="shared" ca="1" si="30"/>
        <v>2</v>
      </c>
      <c r="Z155">
        <f t="shared" ca="1" si="31"/>
        <v>1</v>
      </c>
      <c r="AA155">
        <f t="shared" ca="1" si="32"/>
        <v>1990</v>
      </c>
      <c r="AB155">
        <f t="shared" ca="1" si="33"/>
        <v>10</v>
      </c>
      <c r="AC155">
        <f t="shared" ca="1" si="34"/>
        <v>31</v>
      </c>
      <c r="AD155">
        <f t="shared" ca="1" si="35"/>
        <v>30</v>
      </c>
    </row>
    <row r="156" spans="1:30" x14ac:dyDescent="0.25">
      <c r="A156">
        <v>155</v>
      </c>
      <c r="B156" t="str">
        <f t="shared" si="24"/>
        <v>med155</v>
      </c>
      <c r="C156" t="str">
        <f t="shared" si="25"/>
        <v>pswmed155</v>
      </c>
      <c r="D156" t="str">
        <f ca="1">Nomes!T157</f>
        <v>Lurdes Inês Fernandes Araújo</v>
      </c>
      <c r="E156" t="str">
        <f ca="1">Nomes!S157</f>
        <v>Feminino</v>
      </c>
      <c r="F156" s="2">
        <v>26847</v>
      </c>
      <c r="G156" t="str" cm="1">
        <f t="array" aca="1" ref="G156" ca="1">INDEX(rua_cod!$F:$F,RANDBETWEEN(2,COUNTA(rua_cod!F:F)))</f>
        <v>Rua Nova do Almada</v>
      </c>
      <c r="H156" t="str" cm="1">
        <f t="array" aca="1" ref="H156" ca="1">INDEX(rua_cod!$A:$A,Médicos!X156) &amp; "-" &amp; TEXT(RANDBETWEEN(0,999),"000")</f>
        <v>1849-133</v>
      </c>
      <c r="I156" t="str" cm="1">
        <f t="array" aca="1" ref="I156" ca="1">INDEX(rua_cod!$B:$B,Médicos!X156)</f>
        <v>Lisboa</v>
      </c>
      <c r="J156" t="s">
        <v>341</v>
      </c>
      <c r="K156" t="s">
        <v>225</v>
      </c>
      <c r="L156" t="s">
        <v>265</v>
      </c>
      <c r="M156" t="str">
        <f t="shared" ca="1" si="26"/>
        <v>56498406</v>
      </c>
      <c r="N156" t="str">
        <f t="shared" ca="1" si="27"/>
        <v>419242481</v>
      </c>
      <c r="O156" t="str">
        <f t="shared" ca="1" si="27"/>
        <v>839864025</v>
      </c>
      <c r="P156" t="str" cm="1">
        <f t="array" aca="1" ref="P156" ca="1">9 &amp; INDEX($AH$3:$AH$6,Y156)&amp; TEXT(RANDBETWEEN(0,9999999),"0000000")</f>
        <v>920905684</v>
      </c>
      <c r="Q156" t="str" cm="1">
        <f t="array" aca="1" ref="Q156" ca="1">LOWER(B156) &amp; INDEX($AH$9:$AH$11,Z156)</f>
        <v>med155@hospital.upskill.com</v>
      </c>
      <c r="R156" t="str">
        <f t="shared" si="28"/>
        <v>med155.jpg</v>
      </c>
      <c r="S156" s="8">
        <f t="shared" ca="1" si="29"/>
        <v>5892668405687834</v>
      </c>
      <c r="T156" t="s">
        <v>341</v>
      </c>
      <c r="V156" s="4"/>
      <c r="X156">
        <f ca="1">RANDBETWEEN(2,COUNTA(rua_cod!A:A))</f>
        <v>64</v>
      </c>
      <c r="Y156">
        <f t="shared" ca="1" si="30"/>
        <v>2</v>
      </c>
      <c r="Z156">
        <f t="shared" ca="1" si="31"/>
        <v>2</v>
      </c>
      <c r="AA156">
        <f t="shared" ca="1" si="32"/>
        <v>1952</v>
      </c>
      <c r="AB156">
        <f t="shared" ca="1" si="33"/>
        <v>8</v>
      </c>
      <c r="AC156">
        <f t="shared" ca="1" si="34"/>
        <v>26</v>
      </c>
      <c r="AD156">
        <f t="shared" ca="1" si="35"/>
        <v>68</v>
      </c>
    </row>
    <row r="157" spans="1:30" x14ac:dyDescent="0.25">
      <c r="A157">
        <v>156</v>
      </c>
      <c r="B157" t="str">
        <f t="shared" si="24"/>
        <v>med156</v>
      </c>
      <c r="C157" t="str">
        <f t="shared" si="25"/>
        <v>pswmed156</v>
      </c>
      <c r="D157" t="str">
        <f ca="1">Nomes!T158</f>
        <v>Carolina Catarina Freitas Matias</v>
      </c>
      <c r="E157" t="str">
        <f ca="1">Nomes!S158</f>
        <v>Feminino</v>
      </c>
      <c r="F157" s="2">
        <v>44029</v>
      </c>
      <c r="G157" t="str" cm="1">
        <f t="array" aca="1" ref="G157" ca="1">INDEX(rua_cod!$F:$F,RANDBETWEEN(2,COUNTA(rua_cod!F:F)))</f>
        <v>Estrada das Laranjeiras</v>
      </c>
      <c r="H157" t="str" cm="1">
        <f t="array" aca="1" ref="H157" ca="1">INDEX(rua_cod!$A:$A,Médicos!X157) &amp; "-" &amp; TEXT(RANDBETWEEN(0,999),"000")</f>
        <v>1200-896</v>
      </c>
      <c r="I157" t="str" cm="1">
        <f t="array" aca="1" ref="I157" ca="1">INDEX(rua_cod!$B:$B,Médicos!X157)</f>
        <v>Lisboa</v>
      </c>
      <c r="J157" t="s">
        <v>341</v>
      </c>
      <c r="K157" t="s">
        <v>225</v>
      </c>
      <c r="L157" t="s">
        <v>265</v>
      </c>
      <c r="M157" t="str">
        <f t="shared" ca="1" si="26"/>
        <v>28861615</v>
      </c>
      <c r="N157" t="str">
        <f t="shared" ca="1" si="27"/>
        <v>377258561</v>
      </c>
      <c r="O157" t="str">
        <f t="shared" ca="1" si="27"/>
        <v>765402212</v>
      </c>
      <c r="P157" t="str" cm="1">
        <f t="array" aca="1" ref="P157" ca="1">9 &amp; INDEX($AH$3:$AH$6,Y157)&amp; TEXT(RANDBETWEEN(0,9999999),"0000000")</f>
        <v>917361684</v>
      </c>
      <c r="Q157" t="str" cm="1">
        <f t="array" aca="1" ref="Q157" ca="1">LOWER(B157) &amp; INDEX($AH$9:$AH$11,Z157)</f>
        <v>med156@hospital.upskill.com</v>
      </c>
      <c r="R157" t="str">
        <f t="shared" si="28"/>
        <v>med156.jpg</v>
      </c>
      <c r="S157" s="8">
        <f t="shared" ca="1" si="29"/>
        <v>3460136868213532</v>
      </c>
      <c r="T157" t="s">
        <v>341</v>
      </c>
      <c r="V157" s="4"/>
      <c r="X157">
        <f ca="1">RANDBETWEEN(2,COUNTA(rua_cod!A:A))</f>
        <v>48</v>
      </c>
      <c r="Y157">
        <f t="shared" ca="1" si="30"/>
        <v>1</v>
      </c>
      <c r="Z157">
        <f t="shared" ca="1" si="31"/>
        <v>2</v>
      </c>
      <c r="AA157">
        <f t="shared" ca="1" si="32"/>
        <v>1952</v>
      </c>
      <c r="AB157">
        <f t="shared" ca="1" si="33"/>
        <v>5</v>
      </c>
      <c r="AC157">
        <f t="shared" ca="1" si="34"/>
        <v>2</v>
      </c>
      <c r="AD157">
        <f t="shared" ca="1" si="35"/>
        <v>68</v>
      </c>
    </row>
    <row r="158" spans="1:30" x14ac:dyDescent="0.25">
      <c r="A158">
        <v>157</v>
      </c>
      <c r="B158" t="str">
        <f t="shared" si="24"/>
        <v>med157</v>
      </c>
      <c r="C158" t="str">
        <f t="shared" si="25"/>
        <v>pswmed157</v>
      </c>
      <c r="D158" t="str">
        <f ca="1">Nomes!T159</f>
        <v>João Carolina Borges Miranda</v>
      </c>
      <c r="E158" t="str">
        <f ca="1">Nomes!S159</f>
        <v>Masculino</v>
      </c>
      <c r="F158" s="2">
        <v>11043</v>
      </c>
      <c r="G158" t="str" cm="1">
        <f t="array" aca="1" ref="G158" ca="1">INDEX(rua_cod!$F:$F,RANDBETWEEN(2,COUNTA(rua_cod!F:F)))</f>
        <v>Rua do Carmo</v>
      </c>
      <c r="H158" t="str" cm="1">
        <f t="array" aca="1" ref="H158" ca="1">INDEX(rua_cod!$A:$A,Médicos!X158) &amp; "-" &amp; TEXT(RANDBETWEEN(0,999),"000")</f>
        <v>2900-329</v>
      </c>
      <c r="I158" t="str" cm="1">
        <f t="array" aca="1" ref="I158" ca="1">INDEX(rua_cod!$B:$B,Médicos!X158)</f>
        <v>Setúbal</v>
      </c>
      <c r="J158" t="s">
        <v>341</v>
      </c>
      <c r="K158" t="s">
        <v>225</v>
      </c>
      <c r="L158" t="s">
        <v>265</v>
      </c>
      <c r="M158" t="str">
        <f t="shared" ca="1" si="26"/>
        <v>85348942</v>
      </c>
      <c r="N158" t="str">
        <f t="shared" ca="1" si="27"/>
        <v>196638655</v>
      </c>
      <c r="O158" t="str">
        <f t="shared" ca="1" si="27"/>
        <v>421013373</v>
      </c>
      <c r="P158" t="str" cm="1">
        <f t="array" aca="1" ref="P158" ca="1">9 &amp; INDEX($AH$3:$AH$6,Y158)&amp; TEXT(RANDBETWEEN(0,9999999),"0000000")</f>
        <v>962177250</v>
      </c>
      <c r="Q158" t="str" cm="1">
        <f t="array" aca="1" ref="Q158" ca="1">LOWER(B158) &amp; INDEX($AH$9:$AH$11,Z158)</f>
        <v>med157@hospital.upskill.com</v>
      </c>
      <c r="R158" t="str">
        <f t="shared" si="28"/>
        <v>med157.jpg</v>
      </c>
      <c r="S158" s="8">
        <f t="shared" ca="1" si="29"/>
        <v>1483278666032685</v>
      </c>
      <c r="T158" t="s">
        <v>341</v>
      </c>
      <c r="V158" s="4"/>
      <c r="X158">
        <f ca="1">RANDBETWEEN(2,COUNTA(rua_cod!A:A))</f>
        <v>96</v>
      </c>
      <c r="Y158">
        <f t="shared" ca="1" si="30"/>
        <v>4</v>
      </c>
      <c r="Z158">
        <f t="shared" ca="1" si="31"/>
        <v>1</v>
      </c>
      <c r="AA158">
        <f t="shared" ca="1" si="32"/>
        <v>1975</v>
      </c>
      <c r="AB158">
        <f t="shared" ca="1" si="33"/>
        <v>3</v>
      </c>
      <c r="AC158">
        <f t="shared" ca="1" si="34"/>
        <v>31</v>
      </c>
      <c r="AD158">
        <f t="shared" ca="1" si="35"/>
        <v>45</v>
      </c>
    </row>
    <row r="159" spans="1:30" x14ac:dyDescent="0.25">
      <c r="A159">
        <v>158</v>
      </c>
      <c r="B159" t="str">
        <f t="shared" si="24"/>
        <v>med158</v>
      </c>
      <c r="C159" t="str">
        <f t="shared" si="25"/>
        <v>pswmed158</v>
      </c>
      <c r="D159" t="str">
        <f ca="1">Nomes!T160</f>
        <v>Afonso Lurdes Ferreira Vicente</v>
      </c>
      <c r="E159" t="str">
        <f ca="1">Nomes!S160</f>
        <v>Masculino</v>
      </c>
      <c r="F159" s="2">
        <v>28184</v>
      </c>
      <c r="G159" t="str" cm="1">
        <f t="array" aca="1" ref="G159" ca="1">INDEX(rua_cod!$F:$F,RANDBETWEEN(2,COUNTA(rua_cod!F:F)))</f>
        <v>Rua da Oliveira ao Carmo</v>
      </c>
      <c r="H159" t="str" cm="1">
        <f t="array" aca="1" ref="H159" ca="1">INDEX(rua_cod!$A:$A,Médicos!X159) &amp; "-" &amp; TEXT(RANDBETWEEN(0,999),"000")</f>
        <v>2784-403</v>
      </c>
      <c r="I159" t="str" cm="1">
        <f t="array" aca="1" ref="I159" ca="1">INDEX(rua_cod!$B:$B,Médicos!X159)</f>
        <v>Oeiras</v>
      </c>
      <c r="J159" t="s">
        <v>341</v>
      </c>
      <c r="K159" t="s">
        <v>225</v>
      </c>
      <c r="L159" t="s">
        <v>265</v>
      </c>
      <c r="M159" t="str">
        <f t="shared" ca="1" si="26"/>
        <v>77798007</v>
      </c>
      <c r="N159" t="str">
        <f t="shared" ca="1" si="27"/>
        <v>784183028</v>
      </c>
      <c r="O159" t="str">
        <f t="shared" ca="1" si="27"/>
        <v>502014304</v>
      </c>
      <c r="P159" t="str" cm="1">
        <f t="array" aca="1" ref="P159" ca="1">9 &amp; INDEX($AH$3:$AH$6,Y159)&amp; TEXT(RANDBETWEEN(0,9999999),"0000000")</f>
        <v>929269783</v>
      </c>
      <c r="Q159" t="str" cm="1">
        <f t="array" aca="1" ref="Q159" ca="1">LOWER(B159) &amp; INDEX($AH$9:$AH$11,Z159)</f>
        <v>med158@hospital.upskill.com</v>
      </c>
      <c r="R159" t="str">
        <f t="shared" si="28"/>
        <v>med158.jpg</v>
      </c>
      <c r="S159" s="8">
        <f t="shared" ca="1" si="29"/>
        <v>7100959975690880</v>
      </c>
      <c r="T159" t="s">
        <v>341</v>
      </c>
      <c r="V159" s="4"/>
      <c r="X159">
        <f ca="1">RANDBETWEEN(2,COUNTA(rua_cod!A:A))</f>
        <v>89</v>
      </c>
      <c r="Y159">
        <f t="shared" ca="1" si="30"/>
        <v>2</v>
      </c>
      <c r="Z159">
        <f t="shared" ca="1" si="31"/>
        <v>3</v>
      </c>
      <c r="AA159">
        <f t="shared" ca="1" si="32"/>
        <v>1992</v>
      </c>
      <c r="AB159">
        <f t="shared" ca="1" si="33"/>
        <v>9</v>
      </c>
      <c r="AC159">
        <f t="shared" ca="1" si="34"/>
        <v>10</v>
      </c>
      <c r="AD159">
        <f t="shared" ca="1" si="35"/>
        <v>28</v>
      </c>
    </row>
    <row r="160" spans="1:30" x14ac:dyDescent="0.25">
      <c r="A160">
        <v>159</v>
      </c>
      <c r="B160" t="str">
        <f t="shared" si="24"/>
        <v>med159</v>
      </c>
      <c r="C160" t="str">
        <f t="shared" si="25"/>
        <v>pswmed159</v>
      </c>
      <c r="D160" t="str">
        <f ca="1">Nomes!T161</f>
        <v>Tomás Inês Soares Carvalho</v>
      </c>
      <c r="E160" t="str">
        <f ca="1">Nomes!S161</f>
        <v>Masculino</v>
      </c>
      <c r="F160" s="2">
        <v>20148</v>
      </c>
      <c r="G160" t="str" cm="1">
        <f t="array" aca="1" ref="G160" ca="1">INDEX(rua_cod!$F:$F,RANDBETWEEN(2,COUNTA(rua_cod!F:F)))</f>
        <v>Estrada da Circunvalação de Lisboa</v>
      </c>
      <c r="H160" t="str" cm="1">
        <f t="array" aca="1" ref="H160" ca="1">INDEX(rua_cod!$A:$A,Médicos!X160) &amp; "-" &amp; TEXT(RANDBETWEEN(0,999),"000")</f>
        <v>2784-937</v>
      </c>
      <c r="I160" t="str" cm="1">
        <f t="array" aca="1" ref="I160" ca="1">INDEX(rua_cod!$B:$B,Médicos!X160)</f>
        <v>Oeiras</v>
      </c>
      <c r="J160" t="s">
        <v>341</v>
      </c>
      <c r="K160" t="s">
        <v>225</v>
      </c>
      <c r="L160" t="s">
        <v>265</v>
      </c>
      <c r="M160" t="str">
        <f t="shared" ca="1" si="26"/>
        <v>27870718</v>
      </c>
      <c r="N160" t="str">
        <f t="shared" ca="1" si="27"/>
        <v>584812402</v>
      </c>
      <c r="O160" t="str">
        <f t="shared" ca="1" si="27"/>
        <v>437083890</v>
      </c>
      <c r="P160" t="str" cm="1">
        <f t="array" aca="1" ref="P160" ca="1">9 &amp; INDEX($AH$3:$AH$6,Y160)&amp; TEXT(RANDBETWEEN(0,9999999),"0000000")</f>
        <v>912362474</v>
      </c>
      <c r="Q160" t="str" cm="1">
        <f t="array" aca="1" ref="Q160" ca="1">LOWER(B160) &amp; INDEX($AH$9:$AH$11,Z160)</f>
        <v>med159@hospital.upskill.com</v>
      </c>
      <c r="R160" t="str">
        <f t="shared" si="28"/>
        <v>med159.jpg</v>
      </c>
      <c r="S160" s="8">
        <f t="shared" ca="1" si="29"/>
        <v>1820449178694450</v>
      </c>
      <c r="T160" t="s">
        <v>341</v>
      </c>
      <c r="V160" s="4"/>
      <c r="X160">
        <f ca="1">RANDBETWEEN(2,COUNTA(rua_cod!A:A))</f>
        <v>89</v>
      </c>
      <c r="Y160">
        <f t="shared" ca="1" si="30"/>
        <v>1</v>
      </c>
      <c r="Z160">
        <f t="shared" ca="1" si="31"/>
        <v>3</v>
      </c>
      <c r="AA160">
        <f t="shared" ca="1" si="32"/>
        <v>1992</v>
      </c>
      <c r="AB160">
        <f t="shared" ca="1" si="33"/>
        <v>3</v>
      </c>
      <c r="AC160">
        <f t="shared" ca="1" si="34"/>
        <v>15</v>
      </c>
      <c r="AD160">
        <f t="shared" ca="1" si="35"/>
        <v>28</v>
      </c>
    </row>
    <row r="161" spans="1:30" x14ac:dyDescent="0.25">
      <c r="A161">
        <v>160</v>
      </c>
      <c r="B161" t="str">
        <f t="shared" si="24"/>
        <v>med160</v>
      </c>
      <c r="C161" t="str">
        <f t="shared" si="25"/>
        <v>pswmed160</v>
      </c>
      <c r="D161" t="str">
        <f ca="1">Nomes!T162</f>
        <v>André Carolina Baptista Pereira</v>
      </c>
      <c r="E161" t="str">
        <f ca="1">Nomes!S162</f>
        <v>Masculino</v>
      </c>
      <c r="F161" s="2">
        <v>40822</v>
      </c>
      <c r="G161" t="str" cm="1">
        <f t="array" aca="1" ref="G161" ca="1">INDEX(rua_cod!$F:$F,RANDBETWEEN(2,COUNTA(rua_cod!F:F)))</f>
        <v>Rua dos Fanqueiros</v>
      </c>
      <c r="H161" t="str" cm="1">
        <f t="array" aca="1" ref="H161" ca="1">INDEX(rua_cod!$A:$A,Médicos!X161) &amp; "-" &amp; TEXT(RANDBETWEEN(0,999),"000")</f>
        <v>1999-269</v>
      </c>
      <c r="I161" t="str" cm="1">
        <f t="array" aca="1" ref="I161" ca="1">INDEX(rua_cod!$B:$B,Médicos!X161)</f>
        <v>Lisboa</v>
      </c>
      <c r="J161" t="s">
        <v>341</v>
      </c>
      <c r="K161" t="s">
        <v>225</v>
      </c>
      <c r="L161" t="s">
        <v>265</v>
      </c>
      <c r="M161" t="str">
        <f t="shared" ca="1" si="26"/>
        <v>82168172</v>
      </c>
      <c r="N161" t="str">
        <f t="shared" ca="1" si="27"/>
        <v>807382542</v>
      </c>
      <c r="O161" t="str">
        <f t="shared" ca="1" si="27"/>
        <v>414886402</v>
      </c>
      <c r="P161" t="str" cm="1">
        <f t="array" aca="1" ref="P161" ca="1">9 &amp; INDEX($AH$3:$AH$6,Y161)&amp; TEXT(RANDBETWEEN(0,9999999),"0000000")</f>
        <v>912170206</v>
      </c>
      <c r="Q161" t="str" cm="1">
        <f t="array" aca="1" ref="Q161" ca="1">LOWER(B161) &amp; INDEX($AH$9:$AH$11,Z161)</f>
        <v>med160@hospital.upskill.com</v>
      </c>
      <c r="R161" t="str">
        <f t="shared" si="28"/>
        <v>med160.jpg</v>
      </c>
      <c r="S161" s="8">
        <f t="shared" ca="1" si="29"/>
        <v>2908112450850743</v>
      </c>
      <c r="T161" t="s">
        <v>341</v>
      </c>
      <c r="V161" s="4"/>
      <c r="X161">
        <f ca="1">RANDBETWEEN(2,COUNTA(rua_cod!A:A))</f>
        <v>79</v>
      </c>
      <c r="Y161">
        <f t="shared" ca="1" si="30"/>
        <v>1</v>
      </c>
      <c r="Z161">
        <f t="shared" ca="1" si="31"/>
        <v>2</v>
      </c>
      <c r="AA161">
        <f t="shared" ca="1" si="32"/>
        <v>1957</v>
      </c>
      <c r="AB161">
        <f t="shared" ca="1" si="33"/>
        <v>10</v>
      </c>
      <c r="AC161">
        <f t="shared" ca="1" si="34"/>
        <v>19</v>
      </c>
      <c r="AD161">
        <f t="shared" ca="1" si="35"/>
        <v>63</v>
      </c>
    </row>
    <row r="162" spans="1:30" x14ac:dyDescent="0.25">
      <c r="A162">
        <v>161</v>
      </c>
      <c r="B162" t="str">
        <f t="shared" si="24"/>
        <v>med161</v>
      </c>
      <c r="C162" t="str">
        <f t="shared" si="25"/>
        <v>pswmed161</v>
      </c>
      <c r="D162" t="str">
        <f ca="1">Nomes!T163</f>
        <v>Lurdes Duarte Rodrigues Carvalho</v>
      </c>
      <c r="E162" t="str">
        <f ca="1">Nomes!S163</f>
        <v>Feminino</v>
      </c>
      <c r="F162" s="2">
        <v>24061</v>
      </c>
      <c r="G162" t="str" cm="1">
        <f t="array" aca="1" ref="G162" ca="1">INDEX(rua_cod!$F:$F,RANDBETWEEN(2,COUNTA(rua_cod!F:F)))</f>
        <v>Rua de São Julião</v>
      </c>
      <c r="H162" t="str" cm="1">
        <f t="array" aca="1" ref="H162" ca="1">INDEX(rua_cod!$A:$A,Médicos!X162) &amp; "-" &amp; TEXT(RANDBETWEEN(0,999),"000")</f>
        <v>1700-980</v>
      </c>
      <c r="I162" t="str" cm="1">
        <f t="array" aca="1" ref="I162" ca="1">INDEX(rua_cod!$B:$B,Médicos!X162)</f>
        <v>Lisboa</v>
      </c>
      <c r="J162" t="s">
        <v>341</v>
      </c>
      <c r="K162" t="s">
        <v>225</v>
      </c>
      <c r="L162" t="s">
        <v>265</v>
      </c>
      <c r="M162" t="str">
        <f t="shared" ca="1" si="26"/>
        <v>77136137</v>
      </c>
      <c r="N162" t="str">
        <f t="shared" ca="1" si="27"/>
        <v>548013862</v>
      </c>
      <c r="O162" t="str">
        <f t="shared" ca="1" si="27"/>
        <v>483898768</v>
      </c>
      <c r="P162" t="str" cm="1">
        <f t="array" aca="1" ref="P162" ca="1">9 &amp; INDEX($AH$3:$AH$6,Y162)&amp; TEXT(RANDBETWEEN(0,9999999),"0000000")</f>
        <v>911188415</v>
      </c>
      <c r="Q162" t="str" cm="1">
        <f t="array" aca="1" ref="Q162" ca="1">LOWER(B162) &amp; INDEX($AH$9:$AH$11,Z162)</f>
        <v>med161@hospital.upskill.com</v>
      </c>
      <c r="R162" t="str">
        <f t="shared" si="28"/>
        <v>med161.jpg</v>
      </c>
      <c r="S162" s="8">
        <f t="shared" ca="1" si="29"/>
        <v>3430967147889288</v>
      </c>
      <c r="T162" t="s">
        <v>341</v>
      </c>
      <c r="V162" s="4"/>
      <c r="X162">
        <f ca="1">RANDBETWEEN(2,COUNTA(rua_cod!A:A))</f>
        <v>40</v>
      </c>
      <c r="Y162">
        <f t="shared" ca="1" si="30"/>
        <v>1</v>
      </c>
      <c r="Z162">
        <f t="shared" ca="1" si="31"/>
        <v>2</v>
      </c>
      <c r="AA162">
        <f t="shared" ca="1" si="32"/>
        <v>1994</v>
      </c>
      <c r="AB162">
        <f t="shared" ca="1" si="33"/>
        <v>3</v>
      </c>
      <c r="AC162">
        <f t="shared" ca="1" si="34"/>
        <v>29</v>
      </c>
      <c r="AD162">
        <f t="shared" ca="1" si="35"/>
        <v>26</v>
      </c>
    </row>
    <row r="163" spans="1:30" x14ac:dyDescent="0.25">
      <c r="A163">
        <v>162</v>
      </c>
      <c r="B163" t="str">
        <f t="shared" si="24"/>
        <v>med162</v>
      </c>
      <c r="C163" t="str">
        <f t="shared" si="25"/>
        <v>pswmed162</v>
      </c>
      <c r="D163" t="str">
        <f ca="1">Nomes!T164</f>
        <v>Tiago Francisca Barbosa Moreira</v>
      </c>
      <c r="E163" t="str">
        <f ca="1">Nomes!S164</f>
        <v>Masculino</v>
      </c>
      <c r="F163" s="2">
        <v>29777</v>
      </c>
      <c r="G163" t="str" cm="1">
        <f t="array" aca="1" ref="G163" ca="1">INDEX(rua_cod!$F:$F,RANDBETWEEN(2,COUNTA(rua_cod!F:F)))</f>
        <v>Rua do Comércio</v>
      </c>
      <c r="H163" t="str" cm="1">
        <f t="array" aca="1" ref="H163" ca="1">INDEX(rua_cod!$A:$A,Médicos!X163) &amp; "-" &amp; TEXT(RANDBETWEEN(0,999),"000")</f>
        <v>2914-373</v>
      </c>
      <c r="I163" t="str" cm="1">
        <f t="array" aca="1" ref="I163" ca="1">INDEX(rua_cod!$B:$B,Médicos!X163)</f>
        <v>Setúbal</v>
      </c>
      <c r="J163" t="s">
        <v>341</v>
      </c>
      <c r="K163" t="s">
        <v>225</v>
      </c>
      <c r="L163" t="s">
        <v>265</v>
      </c>
      <c r="M163" t="str">
        <f t="shared" ca="1" si="26"/>
        <v>13417641</v>
      </c>
      <c r="N163" t="str">
        <f t="shared" ca="1" si="27"/>
        <v>369925563</v>
      </c>
      <c r="O163" t="str">
        <f t="shared" ca="1" si="27"/>
        <v>950195312</v>
      </c>
      <c r="P163" t="str" cm="1">
        <f t="array" aca="1" ref="P163" ca="1">9 &amp; INDEX($AH$3:$AH$6,Y163)&amp; TEXT(RANDBETWEEN(0,9999999),"0000000")</f>
        <v>969363421</v>
      </c>
      <c r="Q163" t="str" cm="1">
        <f t="array" aca="1" ref="Q163" ca="1">LOWER(B163) &amp; INDEX($AH$9:$AH$11,Z163)</f>
        <v>med162@hospital.upskill.com</v>
      </c>
      <c r="R163" t="str">
        <f t="shared" si="28"/>
        <v>med162.jpg</v>
      </c>
      <c r="S163" s="8">
        <f t="shared" ca="1" si="29"/>
        <v>9129554966116944</v>
      </c>
      <c r="T163" t="s">
        <v>341</v>
      </c>
      <c r="V163" s="4"/>
      <c r="X163">
        <f ca="1">RANDBETWEEN(2,COUNTA(rua_cod!A:A))</f>
        <v>98</v>
      </c>
      <c r="Y163">
        <f t="shared" ca="1" si="30"/>
        <v>4</v>
      </c>
      <c r="Z163">
        <f t="shared" ca="1" si="31"/>
        <v>2</v>
      </c>
      <c r="AA163">
        <f t="shared" ca="1" si="32"/>
        <v>1957</v>
      </c>
      <c r="AB163">
        <f t="shared" ca="1" si="33"/>
        <v>12</v>
      </c>
      <c r="AC163">
        <f t="shared" ca="1" si="34"/>
        <v>5</v>
      </c>
      <c r="AD163">
        <f t="shared" ca="1" si="35"/>
        <v>63</v>
      </c>
    </row>
    <row r="164" spans="1:30" x14ac:dyDescent="0.25">
      <c r="A164">
        <v>163</v>
      </c>
      <c r="B164" t="str">
        <f t="shared" si="24"/>
        <v>med163</v>
      </c>
      <c r="C164" t="str">
        <f t="shared" si="25"/>
        <v>pswmed163</v>
      </c>
      <c r="D164" t="str">
        <f ca="1">Nomes!T165</f>
        <v>Beatriz Santiago Monteiro Santos</v>
      </c>
      <c r="E164" t="str">
        <f ca="1">Nomes!S165</f>
        <v>Feminino</v>
      </c>
      <c r="F164" s="2">
        <v>22302</v>
      </c>
      <c r="G164" t="str" cm="1">
        <f t="array" aca="1" ref="G164" ca="1">INDEX(rua_cod!$F:$F,RANDBETWEEN(2,COUNTA(rua_cod!F:F)))</f>
        <v>Calçada Marquês de Abrantes</v>
      </c>
      <c r="H164" t="str" cm="1">
        <f t="array" aca="1" ref="H164" ca="1">INDEX(rua_cod!$A:$A,Médicos!X164) &amp; "-" &amp; TEXT(RANDBETWEEN(0,999),"000")</f>
        <v>2780-404</v>
      </c>
      <c r="I164" t="str" cm="1">
        <f t="array" aca="1" ref="I164" ca="1">INDEX(rua_cod!$B:$B,Médicos!X164)</f>
        <v>Oeiras</v>
      </c>
      <c r="J164" t="s">
        <v>341</v>
      </c>
      <c r="K164" t="s">
        <v>225</v>
      </c>
      <c r="L164" t="s">
        <v>265</v>
      </c>
      <c r="M164" t="str">
        <f t="shared" ca="1" si="26"/>
        <v>47400416</v>
      </c>
      <c r="N164" t="str">
        <f t="shared" ca="1" si="27"/>
        <v>468776502</v>
      </c>
      <c r="O164" t="str">
        <f t="shared" ca="1" si="27"/>
        <v>843926255</v>
      </c>
      <c r="P164" t="str" cm="1">
        <f t="array" aca="1" ref="P164" ca="1">9 &amp; INDEX($AH$3:$AH$6,Y164)&amp; TEXT(RANDBETWEEN(0,9999999),"0000000")</f>
        <v>920096973</v>
      </c>
      <c r="Q164" t="str" cm="1">
        <f t="array" aca="1" ref="Q164" ca="1">LOWER(B164) &amp; INDEX($AH$9:$AH$11,Z164)</f>
        <v>med163@hospital.upskill.com</v>
      </c>
      <c r="R164" t="str">
        <f t="shared" si="28"/>
        <v>med163.jpg</v>
      </c>
      <c r="S164" s="8">
        <f t="shared" ca="1" si="29"/>
        <v>2508842904760828</v>
      </c>
      <c r="T164" t="s">
        <v>341</v>
      </c>
      <c r="V164" s="4"/>
      <c r="X164">
        <f ca="1">RANDBETWEEN(2,COUNTA(rua_cod!A:A))</f>
        <v>88</v>
      </c>
      <c r="Y164">
        <f t="shared" ca="1" si="30"/>
        <v>2</v>
      </c>
      <c r="Z164">
        <f t="shared" ca="1" si="31"/>
        <v>2</v>
      </c>
      <c r="AA164">
        <f t="shared" ca="1" si="32"/>
        <v>1952</v>
      </c>
      <c r="AB164">
        <f t="shared" ca="1" si="33"/>
        <v>1</v>
      </c>
      <c r="AC164">
        <f t="shared" ca="1" si="34"/>
        <v>8</v>
      </c>
      <c r="AD164">
        <f t="shared" ca="1" si="35"/>
        <v>68</v>
      </c>
    </row>
    <row r="165" spans="1:30" x14ac:dyDescent="0.25">
      <c r="A165">
        <v>164</v>
      </c>
      <c r="B165" t="str">
        <f t="shared" si="24"/>
        <v>med164</v>
      </c>
      <c r="C165" t="str">
        <f t="shared" si="25"/>
        <v>pswmed164</v>
      </c>
      <c r="D165" t="str">
        <f ca="1">Nomes!T166</f>
        <v>Laura José Soares Lima</v>
      </c>
      <c r="E165" t="str">
        <f ca="1">Nomes!S166</f>
        <v>Feminino</v>
      </c>
      <c r="F165" s="2">
        <v>44419</v>
      </c>
      <c r="G165" t="str" cm="1">
        <f t="array" aca="1" ref="G165" ca="1">INDEX(rua_cod!$F:$F,RANDBETWEEN(2,COUNTA(rua_cod!F:F)))</f>
        <v>Rua do Comércio</v>
      </c>
      <c r="H165" t="str" cm="1">
        <f t="array" aca="1" ref="H165" ca="1">INDEX(rua_cod!$A:$A,Médicos!X165) &amp; "-" &amp; TEXT(RANDBETWEEN(0,999),"000")</f>
        <v>3000-342</v>
      </c>
      <c r="I165" t="str" cm="1">
        <f t="array" aca="1" ref="I165" ca="1">INDEX(rua_cod!$B:$B,Médicos!X165)</f>
        <v>Coimbra</v>
      </c>
      <c r="J165" t="s">
        <v>341</v>
      </c>
      <c r="K165" t="s">
        <v>225</v>
      </c>
      <c r="L165" t="s">
        <v>265</v>
      </c>
      <c r="M165" t="str">
        <f t="shared" ca="1" si="26"/>
        <v>12712926</v>
      </c>
      <c r="N165" t="str">
        <f t="shared" ca="1" si="27"/>
        <v>911070686</v>
      </c>
      <c r="O165" t="str">
        <f t="shared" ca="1" si="27"/>
        <v>607380379</v>
      </c>
      <c r="P165" t="str" cm="1">
        <f t="array" aca="1" ref="P165" ca="1">9 &amp; INDEX($AH$3:$AH$6,Y165)&amp; TEXT(RANDBETWEEN(0,9999999),"0000000")</f>
        <v>912618339</v>
      </c>
      <c r="Q165" t="str" cm="1">
        <f t="array" aca="1" ref="Q165" ca="1">LOWER(B165) &amp; INDEX($AH$9:$AH$11,Z165)</f>
        <v>med164@hospital.upskill.com</v>
      </c>
      <c r="R165" t="str">
        <f t="shared" si="28"/>
        <v>med164.jpg</v>
      </c>
      <c r="S165" s="8">
        <f t="shared" ca="1" si="29"/>
        <v>8809664194884254</v>
      </c>
      <c r="T165" t="s">
        <v>341</v>
      </c>
      <c r="V165" s="4"/>
      <c r="X165">
        <f ca="1">RANDBETWEEN(2,COUNTA(rua_cod!A:A))</f>
        <v>26</v>
      </c>
      <c r="Y165">
        <f t="shared" ca="1" si="30"/>
        <v>1</v>
      </c>
      <c r="Z165">
        <f t="shared" ca="1" si="31"/>
        <v>2</v>
      </c>
      <c r="AA165">
        <f t="shared" ca="1" si="32"/>
        <v>1967</v>
      </c>
      <c r="AB165">
        <f t="shared" ca="1" si="33"/>
        <v>11</v>
      </c>
      <c r="AC165">
        <f t="shared" ca="1" si="34"/>
        <v>24</v>
      </c>
      <c r="AD165">
        <f t="shared" ca="1" si="35"/>
        <v>53</v>
      </c>
    </row>
    <row r="166" spans="1:30" x14ac:dyDescent="0.25">
      <c r="A166">
        <v>165</v>
      </c>
      <c r="B166" t="str">
        <f t="shared" si="24"/>
        <v>med165</v>
      </c>
      <c r="C166" t="str">
        <f t="shared" si="25"/>
        <v>pswmed165</v>
      </c>
      <c r="D166" t="str">
        <f ca="1">Nomes!T167</f>
        <v>Sara Inês Faria Neves</v>
      </c>
      <c r="E166" t="str">
        <f ca="1">Nomes!S167</f>
        <v>Feminino</v>
      </c>
      <c r="F166" s="2">
        <v>11307</v>
      </c>
      <c r="G166" t="str" cm="1">
        <f t="array" aca="1" ref="G166" ca="1">INDEX(rua_cod!$F:$F,RANDBETWEEN(2,COUNTA(rua_cod!F:F)))</f>
        <v>Rua da Madalena</v>
      </c>
      <c r="H166" t="str" cm="1">
        <f t="array" aca="1" ref="H166" ca="1">INDEX(rua_cod!$A:$A,Médicos!X166) &amp; "-" &amp; TEXT(RANDBETWEEN(0,999),"000")</f>
        <v>2334-113</v>
      </c>
      <c r="I166" t="str" cm="1">
        <f t="array" aca="1" ref="I166" ca="1">INDEX(rua_cod!$B:$B,Médicos!X166)</f>
        <v>Entroncamento</v>
      </c>
      <c r="J166" t="s">
        <v>341</v>
      </c>
      <c r="K166" t="s">
        <v>225</v>
      </c>
      <c r="L166" t="s">
        <v>265</v>
      </c>
      <c r="M166" t="str">
        <f t="shared" ca="1" si="26"/>
        <v>41932063</v>
      </c>
      <c r="N166" t="str">
        <f t="shared" ca="1" si="27"/>
        <v>690309732</v>
      </c>
      <c r="O166" t="str">
        <f t="shared" ca="1" si="27"/>
        <v>358000055</v>
      </c>
      <c r="P166" t="str" cm="1">
        <f t="array" aca="1" ref="P166" ca="1">9 &amp; INDEX($AH$3:$AH$6,Y166)&amp; TEXT(RANDBETWEEN(0,9999999),"0000000")</f>
        <v>927380123</v>
      </c>
      <c r="Q166" t="str" cm="1">
        <f t="array" aca="1" ref="Q166" ca="1">LOWER(B166) &amp; INDEX($AH$9:$AH$11,Z166)</f>
        <v>med165@hospital.upskill.com</v>
      </c>
      <c r="R166" t="str">
        <f t="shared" si="28"/>
        <v>med165.jpg</v>
      </c>
      <c r="S166" s="8">
        <f t="shared" ca="1" si="29"/>
        <v>5146478970144477</v>
      </c>
      <c r="T166" t="s">
        <v>341</v>
      </c>
      <c r="V166" s="4"/>
      <c r="X166">
        <f ca="1">RANDBETWEEN(2,COUNTA(rua_cod!A:A))</f>
        <v>30</v>
      </c>
      <c r="Y166">
        <f t="shared" ca="1" si="30"/>
        <v>2</v>
      </c>
      <c r="Z166">
        <f t="shared" ca="1" si="31"/>
        <v>2</v>
      </c>
      <c r="AA166">
        <f t="shared" ca="1" si="32"/>
        <v>1986</v>
      </c>
      <c r="AB166">
        <f t="shared" ca="1" si="33"/>
        <v>1</v>
      </c>
      <c r="AC166">
        <f t="shared" ca="1" si="34"/>
        <v>10</v>
      </c>
      <c r="AD166">
        <f t="shared" ca="1" si="35"/>
        <v>34</v>
      </c>
    </row>
    <row r="167" spans="1:30" x14ac:dyDescent="0.25">
      <c r="A167">
        <v>166</v>
      </c>
      <c r="B167" t="str">
        <f t="shared" si="24"/>
        <v>med166</v>
      </c>
      <c r="C167" t="str">
        <f t="shared" si="25"/>
        <v>pswmed166</v>
      </c>
      <c r="D167" t="str">
        <f ca="1">Nomes!T168</f>
        <v>Marco Luís Vieira Figueiredo</v>
      </c>
      <c r="E167" t="str">
        <f ca="1">Nomes!S168</f>
        <v>Masculino</v>
      </c>
      <c r="F167" s="2">
        <v>31637</v>
      </c>
      <c r="G167" t="str" cm="1">
        <f t="array" aca="1" ref="G167" ca="1">INDEX(rua_cod!$F:$F,RANDBETWEEN(2,COUNTA(rua_cod!F:F)))</f>
        <v>Rua dos Bacalhoeiros</v>
      </c>
      <c r="H167" t="str" cm="1">
        <f t="array" aca="1" ref="H167" ca="1">INDEX(rua_cod!$A:$A,Médicos!X167) &amp; "-" &amp; TEXT(RANDBETWEEN(0,999),"000")</f>
        <v>1049-911</v>
      </c>
      <c r="I167" t="str" cm="1">
        <f t="array" aca="1" ref="I167" ca="1">INDEX(rua_cod!$B:$B,Médicos!X167)</f>
        <v>Lisboa</v>
      </c>
      <c r="J167" t="s">
        <v>341</v>
      </c>
      <c r="K167" t="s">
        <v>225</v>
      </c>
      <c r="L167" t="s">
        <v>265</v>
      </c>
      <c r="M167" t="str">
        <f t="shared" ca="1" si="26"/>
        <v>76568435</v>
      </c>
      <c r="N167" t="str">
        <f t="shared" ca="1" si="27"/>
        <v>421737255</v>
      </c>
      <c r="O167" t="str">
        <f t="shared" ca="1" si="27"/>
        <v>215828449</v>
      </c>
      <c r="P167" t="str" cm="1">
        <f t="array" aca="1" ref="P167" ca="1">9 &amp; INDEX($AH$3:$AH$6,Y167)&amp; TEXT(RANDBETWEEN(0,9999999),"0000000")</f>
        <v>913990033</v>
      </c>
      <c r="Q167" t="str" cm="1">
        <f t="array" aca="1" ref="Q167" ca="1">LOWER(B167) &amp; INDEX($AH$9:$AH$11,Z167)</f>
        <v>med166@hospital.upskill.com</v>
      </c>
      <c r="R167" t="str">
        <f t="shared" si="28"/>
        <v>med166.jpg</v>
      </c>
      <c r="S167" s="8">
        <f t="shared" ca="1" si="29"/>
        <v>3884560629702667</v>
      </c>
      <c r="T167" t="s">
        <v>341</v>
      </c>
      <c r="V167" s="4"/>
      <c r="X167">
        <f ca="1">RANDBETWEEN(2,COUNTA(rua_cod!A:A))</f>
        <v>76</v>
      </c>
      <c r="Y167">
        <f t="shared" ca="1" si="30"/>
        <v>1</v>
      </c>
      <c r="Z167">
        <f t="shared" ca="1" si="31"/>
        <v>3</v>
      </c>
      <c r="AA167">
        <f t="shared" ca="1" si="32"/>
        <v>1978</v>
      </c>
      <c r="AB167">
        <f t="shared" ca="1" si="33"/>
        <v>5</v>
      </c>
      <c r="AC167">
        <f t="shared" ca="1" si="34"/>
        <v>28</v>
      </c>
      <c r="AD167">
        <f t="shared" ca="1" si="35"/>
        <v>42</v>
      </c>
    </row>
    <row r="168" spans="1:30" x14ac:dyDescent="0.25">
      <c r="A168">
        <v>167</v>
      </c>
      <c r="B168" t="str">
        <f t="shared" si="24"/>
        <v>med167</v>
      </c>
      <c r="C168" t="str">
        <f t="shared" si="25"/>
        <v>pswmed167</v>
      </c>
      <c r="D168" t="str">
        <f ca="1">Nomes!T169</f>
        <v>Tiago Gabriel Anjos Teixeira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Rua da Junqueira</v>
      </c>
      <c r="H168" t="str" cm="1">
        <f t="array" aca="1" ref="H168" ca="1">INDEX(rua_cod!$A:$A,Médicos!X168) &amp; "-" &amp; TEXT(RANDBETWEEN(0,999),"000")</f>
        <v>2710-290</v>
      </c>
      <c r="I168" t="str" cm="1">
        <f t="array" aca="1" ref="I168" ca="1">INDEX(rua_cod!$B:$B,Médicos!X168)</f>
        <v>Sintra</v>
      </c>
      <c r="J168" t="s">
        <v>341</v>
      </c>
      <c r="K168" t="s">
        <v>225</v>
      </c>
      <c r="L168" t="s">
        <v>265</v>
      </c>
      <c r="M168" t="str">
        <f t="shared" ca="1" si="26"/>
        <v>54812502</v>
      </c>
      <c r="N168" t="str">
        <f t="shared" ca="1" si="27"/>
        <v>542582240</v>
      </c>
      <c r="O168" t="str">
        <f t="shared" ca="1" si="27"/>
        <v>191747734</v>
      </c>
      <c r="P168" t="str" cm="1">
        <f t="array" aca="1" ref="P168" ca="1">9 &amp; INDEX($AH$3:$AH$6,Y168)&amp; TEXT(RANDBETWEEN(0,9999999),"0000000")</f>
        <v>920203593</v>
      </c>
      <c r="Q168" t="str" cm="1">
        <f t="array" aca="1" ref="Q168" ca="1">LOWER(B168) &amp; INDEX($AH$9:$AH$11,Z168)</f>
        <v>med167@hospital.upskill.com</v>
      </c>
      <c r="R168" t="str">
        <f t="shared" si="28"/>
        <v>med167.jpg</v>
      </c>
      <c r="S168" s="8">
        <f t="shared" ca="1" si="29"/>
        <v>3531326096862421</v>
      </c>
      <c r="T168" t="s">
        <v>341</v>
      </c>
      <c r="V168" s="4"/>
      <c r="X168">
        <f ca="1">RANDBETWEEN(2,COUNTA(rua_cod!A:A))</f>
        <v>100</v>
      </c>
      <c r="Y168">
        <f t="shared" ca="1" si="30"/>
        <v>2</v>
      </c>
      <c r="Z168">
        <f t="shared" ca="1" si="31"/>
        <v>2</v>
      </c>
      <c r="AA168">
        <f t="shared" ca="1" si="32"/>
        <v>1975</v>
      </c>
      <c r="AB168">
        <f t="shared" ca="1" si="33"/>
        <v>4</v>
      </c>
      <c r="AC168">
        <f t="shared" ca="1" si="34"/>
        <v>9</v>
      </c>
      <c r="AD168">
        <f t="shared" ca="1" si="35"/>
        <v>45</v>
      </c>
    </row>
    <row r="169" spans="1:30" x14ac:dyDescent="0.25">
      <c r="A169">
        <v>168</v>
      </c>
      <c r="B169" t="str">
        <f t="shared" si="24"/>
        <v>med168</v>
      </c>
      <c r="C169" t="str">
        <f t="shared" si="25"/>
        <v>pswmed168</v>
      </c>
      <c r="D169" t="str">
        <f ca="1">Nomes!T170</f>
        <v>Vera Catarina Machado Assunção</v>
      </c>
      <c r="E169" t="str">
        <f ca="1">Nomes!S170</f>
        <v>Feminino</v>
      </c>
      <c r="F169" s="2">
        <v>37371</v>
      </c>
      <c r="G169" t="str" cm="1">
        <f t="array" aca="1" ref="G169" ca="1">INDEX(rua_cod!$F:$F,RANDBETWEEN(2,COUNTA(rua_cod!F:F)))</f>
        <v>Rua Augusta</v>
      </c>
      <c r="H169" t="str" cm="1">
        <f t="array" aca="1" ref="H169" ca="1">INDEX(rua_cod!$A:$A,Médicos!X169) &amp; "-" &amp; TEXT(RANDBETWEEN(0,999),"000")</f>
        <v>2614-455</v>
      </c>
      <c r="I169" t="str" cm="1">
        <f t="array" aca="1" ref="I169" ca="1">INDEX(rua_cod!$B:$B,Médicos!X169)</f>
        <v>Amadora</v>
      </c>
      <c r="J169" t="s">
        <v>341</v>
      </c>
      <c r="K169" t="s">
        <v>225</v>
      </c>
      <c r="L169" t="s">
        <v>265</v>
      </c>
      <c r="M169" t="str">
        <f t="shared" ca="1" si="26"/>
        <v>88230101</v>
      </c>
      <c r="N169" t="str">
        <f t="shared" ca="1" si="27"/>
        <v>315283844</v>
      </c>
      <c r="O169" t="str">
        <f t="shared" ca="1" si="27"/>
        <v>603276043</v>
      </c>
      <c r="P169" t="str" cm="1">
        <f t="array" aca="1" ref="P169" ca="1">9 &amp; INDEX($AH$3:$AH$6,Y169)&amp; TEXT(RANDBETWEEN(0,9999999),"0000000")</f>
        <v>969187205</v>
      </c>
      <c r="Q169" t="str" cm="1">
        <f t="array" aca="1" ref="Q169" ca="1">LOWER(B169) &amp; INDEX($AH$9:$AH$11,Z169)</f>
        <v>med168@hospital.upskill.com</v>
      </c>
      <c r="R169" t="str">
        <f t="shared" si="28"/>
        <v>med168.jpg</v>
      </c>
      <c r="S169" s="8">
        <f t="shared" ca="1" si="29"/>
        <v>8329189747266149</v>
      </c>
      <c r="T169" t="s">
        <v>341</v>
      </c>
      <c r="V169" s="4"/>
      <c r="X169">
        <f ca="1">RANDBETWEEN(2,COUNTA(rua_cod!A:A))</f>
        <v>11</v>
      </c>
      <c r="Y169">
        <f t="shared" ca="1" si="30"/>
        <v>4</v>
      </c>
      <c r="Z169">
        <f t="shared" ca="1" si="31"/>
        <v>2</v>
      </c>
      <c r="AA169">
        <f t="shared" ca="1" si="32"/>
        <v>1984</v>
      </c>
      <c r="AB169">
        <f t="shared" ca="1" si="33"/>
        <v>7</v>
      </c>
      <c r="AC169">
        <f t="shared" ca="1" si="34"/>
        <v>5</v>
      </c>
      <c r="AD169">
        <f t="shared" ca="1" si="35"/>
        <v>36</v>
      </c>
    </row>
    <row r="170" spans="1:30" x14ac:dyDescent="0.25">
      <c r="A170">
        <v>169</v>
      </c>
      <c r="B170" t="str">
        <f t="shared" si="24"/>
        <v>med169</v>
      </c>
      <c r="C170" t="str">
        <f t="shared" si="25"/>
        <v>pswmed169</v>
      </c>
      <c r="D170" t="str">
        <f ca="1">Nomes!T171</f>
        <v>Afonso Luís Torres Barros</v>
      </c>
      <c r="E170" t="str">
        <f ca="1">Nomes!S171</f>
        <v>Masculino</v>
      </c>
      <c r="F170" s="2">
        <v>19794</v>
      </c>
      <c r="G170" t="str" cm="1">
        <f t="array" aca="1" ref="G170" ca="1">INDEX(rua_cod!$F:$F,RANDBETWEEN(2,COUNTA(rua_cod!F:F)))</f>
        <v>Rua da Madalena</v>
      </c>
      <c r="H170" t="str" cm="1">
        <f t="array" aca="1" ref="H170" ca="1">INDEX(rua_cod!$A:$A,Médicos!X170) &amp; "-" &amp; TEXT(RANDBETWEEN(0,999),"000")</f>
        <v>2904-660</v>
      </c>
      <c r="I170" t="str" cm="1">
        <f t="array" aca="1" ref="I170" ca="1">INDEX(rua_cod!$B:$B,Médicos!X170)</f>
        <v>Setúbal</v>
      </c>
      <c r="J170" t="s">
        <v>341</v>
      </c>
      <c r="K170" t="s">
        <v>225</v>
      </c>
      <c r="L170" t="s">
        <v>265</v>
      </c>
      <c r="M170" t="str">
        <f t="shared" ca="1" si="26"/>
        <v>73907201</v>
      </c>
      <c r="N170" t="str">
        <f t="shared" ca="1" si="27"/>
        <v>620566521</v>
      </c>
      <c r="O170" t="str">
        <f t="shared" ca="1" si="27"/>
        <v>487175016</v>
      </c>
      <c r="P170" t="str" cm="1">
        <f t="array" aca="1" ref="P170" ca="1">9 &amp; INDEX($AH$3:$AH$6,Y170)&amp; TEXT(RANDBETWEEN(0,9999999),"0000000")</f>
        <v>929935510</v>
      </c>
      <c r="Q170" t="str" cm="1">
        <f t="array" aca="1" ref="Q170" ca="1">LOWER(B170) &amp; INDEX($AH$9:$AH$11,Z170)</f>
        <v>med169@hospital.upskill.com</v>
      </c>
      <c r="R170" t="str">
        <f t="shared" si="28"/>
        <v>med169.jpg</v>
      </c>
      <c r="S170" s="8">
        <f t="shared" ca="1" si="29"/>
        <v>8400068914948825</v>
      </c>
      <c r="T170" t="s">
        <v>341</v>
      </c>
      <c r="V170" s="4"/>
      <c r="X170">
        <f ca="1">RANDBETWEEN(2,COUNTA(rua_cod!A:A))</f>
        <v>99</v>
      </c>
      <c r="Y170">
        <f t="shared" ca="1" si="30"/>
        <v>2</v>
      </c>
      <c r="Z170">
        <f t="shared" ca="1" si="31"/>
        <v>2</v>
      </c>
      <c r="AA170">
        <f t="shared" ca="1" si="32"/>
        <v>1963</v>
      </c>
      <c r="AB170">
        <f t="shared" ca="1" si="33"/>
        <v>4</v>
      </c>
      <c r="AC170">
        <f t="shared" ca="1" si="34"/>
        <v>29</v>
      </c>
      <c r="AD170">
        <f t="shared" ca="1" si="35"/>
        <v>57</v>
      </c>
    </row>
    <row r="171" spans="1:30" x14ac:dyDescent="0.25">
      <c r="A171">
        <v>170</v>
      </c>
      <c r="B171" t="str">
        <f t="shared" si="24"/>
        <v>med170</v>
      </c>
      <c r="C171" t="str">
        <f t="shared" si="25"/>
        <v>pswmed170</v>
      </c>
      <c r="D171" t="str">
        <f ca="1">Nomes!T172</f>
        <v>Duarte Tomás Vaz Correia</v>
      </c>
      <c r="E171" t="str">
        <f ca="1">Nomes!S172</f>
        <v>Masculino</v>
      </c>
      <c r="F171" s="2">
        <v>18245</v>
      </c>
      <c r="G171" t="str" cm="1">
        <f t="array" aca="1" ref="G171" ca="1">INDEX(rua_cod!$F:$F,RANDBETWEEN(2,COUNTA(rua_cod!F:F)))</f>
        <v>Rua da Junqueira</v>
      </c>
      <c r="H171" t="str" cm="1">
        <f t="array" aca="1" ref="H171" ca="1">INDEX(rua_cod!$A:$A,Médicos!X171) &amp; "-" &amp; TEXT(RANDBETWEEN(0,999),"000")</f>
        <v>1000-232</v>
      </c>
      <c r="I171" t="str" cm="1">
        <f t="array" aca="1" ref="I171" ca="1">INDEX(rua_cod!$B:$B,Médicos!X171)</f>
        <v>Lisboa</v>
      </c>
      <c r="J171" t="s">
        <v>341</v>
      </c>
      <c r="K171" t="s">
        <v>225</v>
      </c>
      <c r="L171" t="s">
        <v>265</v>
      </c>
      <c r="M171" t="str">
        <f t="shared" ca="1" si="26"/>
        <v>62488180</v>
      </c>
      <c r="N171" t="str">
        <f t="shared" ca="1" si="27"/>
        <v>989512791</v>
      </c>
      <c r="O171" t="str">
        <f t="shared" ca="1" si="27"/>
        <v>614996497</v>
      </c>
      <c r="P171" t="str" cm="1">
        <f t="array" aca="1" ref="P171" ca="1">9 &amp; INDEX($AH$3:$AH$6,Y171)&amp; TEXT(RANDBETWEEN(0,9999999),"0000000")</f>
        <v>967062016</v>
      </c>
      <c r="Q171" t="str" cm="1">
        <f t="array" aca="1" ref="Q171" ca="1">LOWER(B171) &amp; INDEX($AH$9:$AH$11,Z171)</f>
        <v>med170@hospital.upskill.com</v>
      </c>
      <c r="R171" t="str">
        <f t="shared" si="28"/>
        <v>med170.jpg</v>
      </c>
      <c r="S171" s="8">
        <f t="shared" ca="1" si="29"/>
        <v>6210427743652498</v>
      </c>
      <c r="T171" t="s">
        <v>341</v>
      </c>
      <c r="V171" s="4"/>
      <c r="X171">
        <f ca="1">RANDBETWEEN(2,COUNTA(rua_cod!A:A))</f>
        <v>62</v>
      </c>
      <c r="Y171">
        <f t="shared" ca="1" si="30"/>
        <v>4</v>
      </c>
      <c r="Z171">
        <f t="shared" ca="1" si="31"/>
        <v>3</v>
      </c>
      <c r="AA171">
        <f t="shared" ca="1" si="32"/>
        <v>1969</v>
      </c>
      <c r="AB171">
        <f t="shared" ca="1" si="33"/>
        <v>6</v>
      </c>
      <c r="AC171">
        <f t="shared" ca="1" si="34"/>
        <v>13</v>
      </c>
      <c r="AD171">
        <f t="shared" ca="1" si="35"/>
        <v>51</v>
      </c>
    </row>
    <row r="172" spans="1:30" x14ac:dyDescent="0.25">
      <c r="A172">
        <v>171</v>
      </c>
      <c r="B172" t="str">
        <f t="shared" si="24"/>
        <v>med171</v>
      </c>
      <c r="C172" t="str">
        <f t="shared" si="25"/>
        <v>pswmed171</v>
      </c>
      <c r="D172" t="str">
        <f ca="1">Nomes!T173</f>
        <v>Tomás Leonor Neves Carvalho</v>
      </c>
      <c r="E172" t="str">
        <f ca="1">Nomes!S173</f>
        <v>Masculino</v>
      </c>
      <c r="F172" s="2">
        <v>36726</v>
      </c>
      <c r="G172" t="str" cm="1">
        <f t="array" aca="1" ref="G172" ca="1">INDEX(rua_cod!$F:$F,RANDBETWEEN(2,COUNTA(rua_cod!F:F)))</f>
        <v>Rua General Morais Sarmento</v>
      </c>
      <c r="H172" t="str" cm="1">
        <f t="array" aca="1" ref="H172" ca="1">INDEX(rua_cod!$A:$A,Médicos!X172) &amp; "-" &amp; TEXT(RANDBETWEEN(0,999),"000")</f>
        <v>2650-483</v>
      </c>
      <c r="I172" t="str" cm="1">
        <f t="array" aca="1" ref="I172" ca="1">INDEX(rua_cod!$B:$B,Médicos!X172)</f>
        <v>Amadora</v>
      </c>
      <c r="J172" t="s">
        <v>341</v>
      </c>
      <c r="K172" t="s">
        <v>225</v>
      </c>
      <c r="L172" t="s">
        <v>265</v>
      </c>
      <c r="M172" t="str">
        <f t="shared" ca="1" si="26"/>
        <v>18893976</v>
      </c>
      <c r="N172" t="str">
        <f t="shared" ca="1" si="27"/>
        <v>202957230</v>
      </c>
      <c r="O172" t="str">
        <f t="shared" ca="1" si="27"/>
        <v>605049329</v>
      </c>
      <c r="P172" t="str" cm="1">
        <f t="array" aca="1" ref="P172" ca="1">9 &amp; INDEX($AH$3:$AH$6,Y172)&amp; TEXT(RANDBETWEEN(0,9999999),"0000000")</f>
        <v>912109855</v>
      </c>
      <c r="Q172" t="str" cm="1">
        <f t="array" aca="1" ref="Q172" ca="1">LOWER(B172) &amp; INDEX($AH$9:$AH$11,Z172)</f>
        <v>med171@hospital.upskill.com</v>
      </c>
      <c r="R172" t="str">
        <f t="shared" si="28"/>
        <v>med171.jpg</v>
      </c>
      <c r="S172" s="8">
        <f t="shared" ca="1" si="29"/>
        <v>4676939704381604</v>
      </c>
      <c r="T172" t="s">
        <v>341</v>
      </c>
      <c r="V172" s="4"/>
      <c r="X172">
        <f ca="1">RANDBETWEEN(2,COUNTA(rua_cod!A:A))</f>
        <v>9</v>
      </c>
      <c r="Y172">
        <f t="shared" ca="1" si="30"/>
        <v>1</v>
      </c>
      <c r="Z172">
        <f t="shared" ca="1" si="31"/>
        <v>2</v>
      </c>
      <c r="AA172">
        <f t="shared" ca="1" si="32"/>
        <v>1975</v>
      </c>
      <c r="AB172">
        <f t="shared" ca="1" si="33"/>
        <v>8</v>
      </c>
      <c r="AC172">
        <f t="shared" ca="1" si="34"/>
        <v>3</v>
      </c>
      <c r="AD172">
        <f t="shared" ca="1" si="35"/>
        <v>45</v>
      </c>
    </row>
    <row r="173" spans="1:30" x14ac:dyDescent="0.25">
      <c r="A173">
        <v>172</v>
      </c>
      <c r="B173" t="str">
        <f t="shared" si="24"/>
        <v>med172</v>
      </c>
      <c r="C173" t="str">
        <f t="shared" si="25"/>
        <v>pswmed172</v>
      </c>
      <c r="D173" t="str">
        <f ca="1">Nomes!T174</f>
        <v>Joaquim Afonso Branco Carneiro</v>
      </c>
      <c r="E173" t="str">
        <f ca="1">Nomes!S174</f>
        <v>Masculino</v>
      </c>
      <c r="F173" s="2">
        <v>21504</v>
      </c>
      <c r="G173" t="str" cm="1">
        <f t="array" aca="1" ref="G173" ca="1">INDEX(rua_cod!$F:$F,RANDBETWEEN(2,COUNTA(rua_cod!F:F)))</f>
        <v>Calçada de Carriche</v>
      </c>
      <c r="H173" t="str" cm="1">
        <f t="array" aca="1" ref="H173" ca="1">INDEX(rua_cod!$A:$A,Médicos!X173) &amp; "-" &amp; TEXT(RANDBETWEEN(0,999),"000")</f>
        <v>1068-485</v>
      </c>
      <c r="I173" t="str" cm="1">
        <f t="array" aca="1" ref="I173" ca="1">INDEX(rua_cod!$B:$B,Médicos!X173)</f>
        <v>Lisboa</v>
      </c>
      <c r="J173" t="s">
        <v>341</v>
      </c>
      <c r="K173" t="s">
        <v>225</v>
      </c>
      <c r="L173" t="s">
        <v>265</v>
      </c>
      <c r="M173" t="str">
        <f t="shared" ca="1" si="26"/>
        <v>92493027</v>
      </c>
      <c r="N173" t="str">
        <f t="shared" ca="1" si="27"/>
        <v>799933658</v>
      </c>
      <c r="O173" t="str">
        <f t="shared" ca="1" si="27"/>
        <v>946138700</v>
      </c>
      <c r="P173" t="str" cm="1">
        <f t="array" aca="1" ref="P173" ca="1">9 &amp; INDEX($AH$3:$AH$6,Y173)&amp; TEXT(RANDBETWEEN(0,9999999),"0000000")</f>
        <v>964278544</v>
      </c>
      <c r="Q173" t="str" cm="1">
        <f t="array" aca="1" ref="Q173" ca="1">LOWER(B173) &amp; INDEX($AH$9:$AH$11,Z173)</f>
        <v>med172@hospital.upskill.com</v>
      </c>
      <c r="R173" t="str">
        <f t="shared" si="28"/>
        <v>med172.jpg</v>
      </c>
      <c r="S173" s="8">
        <f t="shared" ca="1" si="29"/>
        <v>2332439992648611</v>
      </c>
      <c r="T173" t="s">
        <v>341</v>
      </c>
      <c r="V173" s="4"/>
      <c r="X173">
        <f ca="1">RANDBETWEEN(2,COUNTA(rua_cod!A:A))</f>
        <v>81</v>
      </c>
      <c r="Y173">
        <f t="shared" ca="1" si="30"/>
        <v>4</v>
      </c>
      <c r="Z173">
        <f t="shared" ca="1" si="31"/>
        <v>3</v>
      </c>
      <c r="AA173">
        <f t="shared" ca="1" si="32"/>
        <v>1956</v>
      </c>
      <c r="AB173">
        <f t="shared" ca="1" si="33"/>
        <v>9</v>
      </c>
      <c r="AC173">
        <f t="shared" ca="1" si="34"/>
        <v>8</v>
      </c>
      <c r="AD173">
        <f t="shared" ca="1" si="35"/>
        <v>64</v>
      </c>
    </row>
    <row r="174" spans="1:30" x14ac:dyDescent="0.25">
      <c r="A174">
        <v>173</v>
      </c>
      <c r="B174" t="str">
        <f t="shared" si="24"/>
        <v>med173</v>
      </c>
      <c r="C174" t="str">
        <f t="shared" si="25"/>
        <v>pswmed173</v>
      </c>
      <c r="D174" t="str">
        <f ca="1">Nomes!T175</f>
        <v>Carolina Lara Nunes Gaspar</v>
      </c>
      <c r="E174" t="str">
        <f ca="1">Nomes!S175</f>
        <v>Feminino</v>
      </c>
      <c r="F174" s="2">
        <v>20070</v>
      </c>
      <c r="G174" t="str" cm="1">
        <f t="array" aca="1" ref="G174" ca="1">INDEX(rua_cod!$F:$F,RANDBETWEEN(2,COUNTA(rua_cod!F:F)))</f>
        <v>Rua do Carmo</v>
      </c>
      <c r="H174" t="str" cm="1">
        <f t="array" aca="1" ref="H174" ca="1">INDEX(rua_cod!$A:$A,Médicos!X174) &amp; "-" &amp; TEXT(RANDBETWEEN(0,999),"000")</f>
        <v>1999-532</v>
      </c>
      <c r="I174" t="str" cm="1">
        <f t="array" aca="1" ref="I174" ca="1">INDEX(rua_cod!$B:$B,Médicos!X174)</f>
        <v>Lisboa</v>
      </c>
      <c r="J174" t="s">
        <v>341</v>
      </c>
      <c r="K174" t="s">
        <v>225</v>
      </c>
      <c r="L174" t="s">
        <v>265</v>
      </c>
      <c r="M174" t="str">
        <f t="shared" ca="1" si="26"/>
        <v>10137388</v>
      </c>
      <c r="N174" t="str">
        <f t="shared" ca="1" si="27"/>
        <v>545603370</v>
      </c>
      <c r="O174" t="str">
        <f t="shared" ca="1" si="27"/>
        <v>655943058</v>
      </c>
      <c r="P174" t="str" cm="1">
        <f t="array" aca="1" ref="P174" ca="1">9 &amp; INDEX($AH$3:$AH$6,Y174)&amp; TEXT(RANDBETWEEN(0,9999999),"0000000")</f>
        <v>962574853</v>
      </c>
      <c r="Q174" t="str" cm="1">
        <f t="array" aca="1" ref="Q174" ca="1">LOWER(B174) &amp; INDEX($AH$9:$AH$11,Z174)</f>
        <v>med173@hospital.upskill.com</v>
      </c>
      <c r="R174" t="str">
        <f t="shared" si="28"/>
        <v>med173.jpg</v>
      </c>
      <c r="S174" s="8">
        <f t="shared" ca="1" si="29"/>
        <v>1491268480192337</v>
      </c>
      <c r="T174" t="s">
        <v>341</v>
      </c>
      <c r="V174" s="4"/>
      <c r="X174">
        <f ca="1">RANDBETWEEN(2,COUNTA(rua_cod!A:A))</f>
        <v>79</v>
      </c>
      <c r="Y174">
        <f t="shared" ca="1" si="30"/>
        <v>4</v>
      </c>
      <c r="Z174">
        <f t="shared" ca="1" si="31"/>
        <v>3</v>
      </c>
      <c r="AA174">
        <f t="shared" ca="1" si="32"/>
        <v>1954</v>
      </c>
      <c r="AB174">
        <f t="shared" ca="1" si="33"/>
        <v>3</v>
      </c>
      <c r="AC174">
        <f t="shared" ca="1" si="34"/>
        <v>29</v>
      </c>
      <c r="AD174">
        <f t="shared" ca="1" si="35"/>
        <v>66</v>
      </c>
    </row>
    <row r="175" spans="1:30" x14ac:dyDescent="0.25">
      <c r="A175">
        <v>174</v>
      </c>
      <c r="B175" t="str">
        <f t="shared" si="24"/>
        <v>med174</v>
      </c>
      <c r="C175" t="str">
        <f t="shared" si="25"/>
        <v>pswmed174</v>
      </c>
      <c r="D175" t="str">
        <f ca="1">Nomes!T176</f>
        <v>Tomás Francisca Paiva Matos</v>
      </c>
      <c r="E175" t="str">
        <f ca="1">Nomes!S176</f>
        <v>Masculino</v>
      </c>
      <c r="F175" s="2">
        <v>24653</v>
      </c>
      <c r="G175" t="str" cm="1">
        <f t="array" aca="1" ref="G175" ca="1">INDEX(rua_cod!$F:$F,RANDBETWEEN(2,COUNTA(rua_cod!F:F)))</f>
        <v>Rua do Salitre</v>
      </c>
      <c r="H175" t="str" cm="1">
        <f t="array" aca="1" ref="H175" ca="1">INDEX(rua_cod!$A:$A,Médicos!X175) &amp; "-" &amp; TEXT(RANDBETWEEN(0,999),"000")</f>
        <v>1149-434</v>
      </c>
      <c r="I175" t="str" cm="1">
        <f t="array" aca="1" ref="I175" ca="1">INDEX(rua_cod!$B:$B,Médicos!X175)</f>
        <v>Lisboa</v>
      </c>
      <c r="J175" t="s">
        <v>341</v>
      </c>
      <c r="K175" t="s">
        <v>225</v>
      </c>
      <c r="L175" t="s">
        <v>265</v>
      </c>
      <c r="M175" t="str">
        <f t="shared" ca="1" si="26"/>
        <v>66462003</v>
      </c>
      <c r="N175" t="str">
        <f t="shared" ca="1" si="27"/>
        <v>222024213</v>
      </c>
      <c r="O175" t="str">
        <f t="shared" ca="1" si="27"/>
        <v>323657612</v>
      </c>
      <c r="P175" t="str" cm="1">
        <f t="array" aca="1" ref="P175" ca="1">9 &amp; INDEX($AH$3:$AH$6,Y175)&amp; TEXT(RANDBETWEEN(0,9999999),"0000000")</f>
        <v>969506690</v>
      </c>
      <c r="Q175" t="str" cm="1">
        <f t="array" aca="1" ref="Q175" ca="1">LOWER(B175) &amp; INDEX($AH$9:$AH$11,Z175)</f>
        <v>med174@hospital.upskill.com</v>
      </c>
      <c r="R175" t="str">
        <f t="shared" si="28"/>
        <v>med174.jpg</v>
      </c>
      <c r="S175" s="8">
        <f t="shared" ca="1" si="29"/>
        <v>8149718634622911</v>
      </c>
      <c r="T175" t="s">
        <v>341</v>
      </c>
      <c r="V175" s="4"/>
      <c r="X175">
        <f ca="1">RANDBETWEEN(2,COUNTA(rua_cod!A:A))</f>
        <v>59</v>
      </c>
      <c r="Y175">
        <f t="shared" ca="1" si="30"/>
        <v>4</v>
      </c>
      <c r="Z175">
        <f t="shared" ca="1" si="31"/>
        <v>3</v>
      </c>
      <c r="AA175">
        <f t="shared" ca="1" si="32"/>
        <v>1992</v>
      </c>
      <c r="AB175">
        <f t="shared" ca="1" si="33"/>
        <v>6</v>
      </c>
      <c r="AC175">
        <f t="shared" ca="1" si="34"/>
        <v>7</v>
      </c>
      <c r="AD175">
        <f t="shared" ca="1" si="35"/>
        <v>28</v>
      </c>
    </row>
    <row r="176" spans="1:30" x14ac:dyDescent="0.25">
      <c r="A176">
        <v>175</v>
      </c>
      <c r="B176" t="str">
        <f t="shared" si="24"/>
        <v>med175</v>
      </c>
      <c r="C176" t="str">
        <f t="shared" si="25"/>
        <v>pswmed175</v>
      </c>
      <c r="D176" t="str">
        <f ca="1">Nomes!T177</f>
        <v>Rodrigo Lurdes Soares Teixeira</v>
      </c>
      <c r="E176" t="str">
        <f ca="1">Nomes!S177</f>
        <v>Masculino</v>
      </c>
      <c r="F176" s="2">
        <v>43783</v>
      </c>
      <c r="G176" t="str" cm="1">
        <f t="array" aca="1" ref="G176" ca="1">INDEX(rua_cod!$F:$F,RANDBETWEEN(2,COUNTA(rua_cod!F:F)))</f>
        <v>Rua do Arsenal</v>
      </c>
      <c r="H176" t="str" cm="1">
        <f t="array" aca="1" ref="H176" ca="1">INDEX(rua_cod!$A:$A,Médicos!X176) &amp; "-" &amp; TEXT(RANDBETWEEN(0,999),"000")</f>
        <v>2420-300</v>
      </c>
      <c r="I176" t="str" cm="1">
        <f t="array" aca="1" ref="I176" ca="1">INDEX(rua_cod!$B:$B,Médicos!X176)</f>
        <v>Leiria</v>
      </c>
      <c r="J176" t="s">
        <v>341</v>
      </c>
      <c r="K176" t="s">
        <v>225</v>
      </c>
      <c r="L176" t="s">
        <v>265</v>
      </c>
      <c r="M176" t="str">
        <f t="shared" ca="1" si="26"/>
        <v>41057338</v>
      </c>
      <c r="N176" t="str">
        <f t="shared" ca="1" si="27"/>
        <v>252173994</v>
      </c>
      <c r="O176" t="str">
        <f t="shared" ca="1" si="27"/>
        <v>919289252</v>
      </c>
      <c r="P176" t="str" cm="1">
        <f t="array" aca="1" ref="P176" ca="1">9 &amp; INDEX($AH$3:$AH$6,Y176)&amp; TEXT(RANDBETWEEN(0,9999999),"0000000")</f>
        <v>921577723</v>
      </c>
      <c r="Q176" t="str" cm="1">
        <f t="array" aca="1" ref="Q176" ca="1">LOWER(B176) &amp; INDEX($AH$9:$AH$11,Z176)</f>
        <v>med175@hospital.upskill.com</v>
      </c>
      <c r="R176" t="str">
        <f t="shared" si="28"/>
        <v>med175.jpg</v>
      </c>
      <c r="S176" s="8">
        <f t="shared" ca="1" si="29"/>
        <v>7563080912278959</v>
      </c>
      <c r="T176" t="s">
        <v>341</v>
      </c>
      <c r="V176" s="4"/>
      <c r="X176">
        <f ca="1">RANDBETWEEN(2,COUNTA(rua_cod!A:A))</f>
        <v>33</v>
      </c>
      <c r="Y176">
        <f t="shared" ca="1" si="30"/>
        <v>2</v>
      </c>
      <c r="Z176">
        <f t="shared" ca="1" si="31"/>
        <v>3</v>
      </c>
      <c r="AA176">
        <f t="shared" ca="1" si="32"/>
        <v>1988</v>
      </c>
      <c r="AB176">
        <f t="shared" ca="1" si="33"/>
        <v>7</v>
      </c>
      <c r="AC176">
        <f t="shared" ca="1" si="34"/>
        <v>9</v>
      </c>
      <c r="AD176">
        <f t="shared" ca="1" si="35"/>
        <v>32</v>
      </c>
    </row>
    <row r="177" spans="1:30" x14ac:dyDescent="0.25">
      <c r="A177">
        <v>176</v>
      </c>
      <c r="B177" t="str">
        <f t="shared" si="24"/>
        <v>med176</v>
      </c>
      <c r="C177" t="str">
        <f t="shared" si="25"/>
        <v>pswmed176</v>
      </c>
      <c r="D177" t="str">
        <f ca="1">Nomes!T178</f>
        <v>Miguel Laura Abreu Brito</v>
      </c>
      <c r="E177" t="str">
        <f ca="1">Nomes!S178</f>
        <v>Masculino</v>
      </c>
      <c r="F177" s="2">
        <v>36076</v>
      </c>
      <c r="G177" t="str" cm="1">
        <f t="array" aca="1" ref="G177" ca="1">INDEX(rua_cod!$F:$F,RANDBETWEEN(2,COUNTA(rua_cod!F:F)))</f>
        <v>Rua do Comércio</v>
      </c>
      <c r="H177" t="str" cm="1">
        <f t="array" aca="1" ref="H177" ca="1">INDEX(rua_cod!$A:$A,Médicos!X177) &amp; "-" &amp; TEXT(RANDBETWEEN(0,999),"000")</f>
        <v>2330-051</v>
      </c>
      <c r="I177" t="str" cm="1">
        <f t="array" aca="1" ref="I177" ca="1">INDEX(rua_cod!$B:$B,Médicos!X177)</f>
        <v>Entroncamento</v>
      </c>
      <c r="J177" t="s">
        <v>341</v>
      </c>
      <c r="K177" t="s">
        <v>225</v>
      </c>
      <c r="L177" t="s">
        <v>265</v>
      </c>
      <c r="M177" t="str">
        <f t="shared" ca="1" si="26"/>
        <v>11699859</v>
      </c>
      <c r="N177" t="str">
        <f t="shared" ca="1" si="27"/>
        <v>889446433</v>
      </c>
      <c r="O177" t="str">
        <f t="shared" ca="1" si="27"/>
        <v>107991803</v>
      </c>
      <c r="P177" t="str" cm="1">
        <f t="array" aca="1" ref="P177" ca="1">9 &amp; INDEX($AH$3:$AH$6,Y177)&amp; TEXT(RANDBETWEEN(0,9999999),"0000000")</f>
        <v>922861331</v>
      </c>
      <c r="Q177" t="str" cm="1">
        <f t="array" aca="1" ref="Q177" ca="1">LOWER(B177) &amp; INDEX($AH$9:$AH$11,Z177)</f>
        <v>med176@hospital.upskill.com</v>
      </c>
      <c r="R177" t="str">
        <f t="shared" si="28"/>
        <v>med176.jpg</v>
      </c>
      <c r="S177" s="8">
        <f t="shared" ca="1" si="29"/>
        <v>9631713424204256</v>
      </c>
      <c r="T177" t="s">
        <v>341</v>
      </c>
      <c r="V177" s="4"/>
      <c r="X177">
        <f ca="1">RANDBETWEEN(2,COUNTA(rua_cod!A:A))</f>
        <v>29</v>
      </c>
      <c r="Y177">
        <f t="shared" ca="1" si="30"/>
        <v>2</v>
      </c>
      <c r="Z177">
        <f t="shared" ca="1" si="31"/>
        <v>2</v>
      </c>
      <c r="AA177">
        <f t="shared" ca="1" si="32"/>
        <v>1974</v>
      </c>
      <c r="AB177">
        <f t="shared" ca="1" si="33"/>
        <v>9</v>
      </c>
      <c r="AC177">
        <f t="shared" ca="1" si="34"/>
        <v>12</v>
      </c>
      <c r="AD177">
        <f t="shared" ca="1" si="35"/>
        <v>46</v>
      </c>
    </row>
    <row r="178" spans="1:30" x14ac:dyDescent="0.25">
      <c r="A178">
        <v>177</v>
      </c>
      <c r="B178" t="str">
        <f t="shared" si="24"/>
        <v>med177</v>
      </c>
      <c r="C178" t="str">
        <f t="shared" si="25"/>
        <v>pswmed177</v>
      </c>
      <c r="D178" t="str">
        <f ca="1">Nomes!T179</f>
        <v>Miguel José Carneiro Lourenço</v>
      </c>
      <c r="E178" t="str">
        <f ca="1">Nomes!S179</f>
        <v>Masculino</v>
      </c>
      <c r="F178" s="2">
        <v>25872</v>
      </c>
      <c r="G178" t="str" cm="1">
        <f t="array" aca="1" ref="G178" ca="1">INDEX(rua_cod!$F:$F,RANDBETWEEN(2,COUNTA(rua_cod!F:F)))</f>
        <v>Rua do Sol a Santana</v>
      </c>
      <c r="H178" t="str" cm="1">
        <f t="array" aca="1" ref="H178" ca="1">INDEX(rua_cod!$A:$A,Médicos!X178) &amp; "-" &amp; TEXT(RANDBETWEEN(0,999),"000")</f>
        <v>1000-090</v>
      </c>
      <c r="I178" t="str" cm="1">
        <f t="array" aca="1" ref="I178" ca="1">INDEX(rua_cod!$B:$B,Médicos!X178)</f>
        <v>Lisboa</v>
      </c>
      <c r="J178" t="s">
        <v>341</v>
      </c>
      <c r="K178" t="s">
        <v>225</v>
      </c>
      <c r="L178" t="s">
        <v>265</v>
      </c>
      <c r="M178" t="str">
        <f t="shared" ca="1" si="26"/>
        <v>22802579</v>
      </c>
      <c r="N178" t="str">
        <f t="shared" ca="1" si="27"/>
        <v>142945541</v>
      </c>
      <c r="O178" t="str">
        <f t="shared" ca="1" si="27"/>
        <v>985559619</v>
      </c>
      <c r="P178" t="str" cm="1">
        <f t="array" aca="1" ref="P178" ca="1">9 &amp; INDEX($AH$3:$AH$6,Y178)&amp; TEXT(RANDBETWEEN(0,9999999),"0000000")</f>
        <v>964128858</v>
      </c>
      <c r="Q178" t="str" cm="1">
        <f t="array" aca="1" ref="Q178" ca="1">LOWER(B178) &amp; INDEX($AH$9:$AH$11,Z178)</f>
        <v>med177@hospital.upskill.com</v>
      </c>
      <c r="R178" t="str">
        <f t="shared" si="28"/>
        <v>med177.jpg</v>
      </c>
      <c r="S178" s="8">
        <f t="shared" ca="1" si="29"/>
        <v>4284864444263727</v>
      </c>
      <c r="T178" t="s">
        <v>341</v>
      </c>
      <c r="V178" s="4"/>
      <c r="X178">
        <f ca="1">RANDBETWEEN(2,COUNTA(rua_cod!A:A))</f>
        <v>62</v>
      </c>
      <c r="Y178">
        <f t="shared" ca="1" si="30"/>
        <v>4</v>
      </c>
      <c r="Z178">
        <f t="shared" ca="1" si="31"/>
        <v>3</v>
      </c>
      <c r="AA178">
        <f t="shared" ca="1" si="32"/>
        <v>1989</v>
      </c>
      <c r="AB178">
        <f t="shared" ca="1" si="33"/>
        <v>5</v>
      </c>
      <c r="AC178">
        <f t="shared" ca="1" si="34"/>
        <v>15</v>
      </c>
      <c r="AD178">
        <f t="shared" ca="1" si="35"/>
        <v>31</v>
      </c>
    </row>
    <row r="179" spans="1:30" x14ac:dyDescent="0.25">
      <c r="A179">
        <v>178</v>
      </c>
      <c r="B179" t="str">
        <f t="shared" si="24"/>
        <v>med178</v>
      </c>
      <c r="C179" t="str">
        <f t="shared" si="25"/>
        <v>pswmed178</v>
      </c>
      <c r="D179" t="str">
        <f ca="1">Nomes!T180</f>
        <v>Sara Diogo Sousa Figueiredo</v>
      </c>
      <c r="E179" t="str">
        <f ca="1">Nomes!S180</f>
        <v>Feminino</v>
      </c>
      <c r="F179" s="2">
        <v>30608</v>
      </c>
      <c r="G179" t="str" cm="1">
        <f t="array" aca="1" ref="G179" ca="1">INDEX(rua_cod!$F:$F,RANDBETWEEN(2,COUNTA(rua_cod!F:F)))</f>
        <v>Travessa de São João da Praça</v>
      </c>
      <c r="H179" t="str" cm="1">
        <f t="array" aca="1" ref="H179" ca="1">INDEX(rua_cod!$A:$A,Médicos!X179) &amp; "-" &amp; TEXT(RANDBETWEEN(0,999),"000")</f>
        <v>2614-252</v>
      </c>
      <c r="I179" t="str" cm="1">
        <f t="array" aca="1" ref="I179" ca="1">INDEX(rua_cod!$B:$B,Médicos!X179)</f>
        <v>Amadora</v>
      </c>
      <c r="J179" t="s">
        <v>341</v>
      </c>
      <c r="K179" t="s">
        <v>225</v>
      </c>
      <c r="L179" t="s">
        <v>265</v>
      </c>
      <c r="M179" t="str">
        <f t="shared" ca="1" si="26"/>
        <v>56517669</v>
      </c>
      <c r="N179" t="str">
        <f t="shared" ca="1" si="27"/>
        <v>471965653</v>
      </c>
      <c r="O179" t="str">
        <f t="shared" ca="1" si="27"/>
        <v>878880949</v>
      </c>
      <c r="P179" t="str" cm="1">
        <f t="array" aca="1" ref="P179" ca="1">9 &amp; INDEX($AH$3:$AH$6,Y179)&amp; TEXT(RANDBETWEEN(0,9999999),"0000000")</f>
        <v>920292945</v>
      </c>
      <c r="Q179" t="str" cm="1">
        <f t="array" aca="1" ref="Q179" ca="1">LOWER(B179) &amp; INDEX($AH$9:$AH$11,Z179)</f>
        <v>med178@hospital.upskill.com</v>
      </c>
      <c r="R179" t="str">
        <f t="shared" si="28"/>
        <v>med178.jpg</v>
      </c>
      <c r="S179" s="8">
        <f t="shared" ca="1" si="29"/>
        <v>6931465838879475</v>
      </c>
      <c r="T179" t="s">
        <v>341</v>
      </c>
      <c r="V179" s="4"/>
      <c r="X179">
        <f ca="1">RANDBETWEEN(2,COUNTA(rua_cod!A:A))</f>
        <v>11</v>
      </c>
      <c r="Y179">
        <f t="shared" ca="1" si="30"/>
        <v>2</v>
      </c>
      <c r="Z179">
        <f t="shared" ca="1" si="31"/>
        <v>3</v>
      </c>
      <c r="AA179">
        <f t="shared" ca="1" si="32"/>
        <v>1969</v>
      </c>
      <c r="AB179">
        <f t="shared" ca="1" si="33"/>
        <v>2</v>
      </c>
      <c r="AC179">
        <f t="shared" ca="1" si="34"/>
        <v>15</v>
      </c>
      <c r="AD179">
        <f t="shared" ca="1" si="35"/>
        <v>51</v>
      </c>
    </row>
    <row r="180" spans="1:30" x14ac:dyDescent="0.25">
      <c r="A180">
        <v>179</v>
      </c>
      <c r="B180" t="str">
        <f t="shared" si="24"/>
        <v>med179</v>
      </c>
      <c r="C180" t="str">
        <f t="shared" si="25"/>
        <v>pswmed179</v>
      </c>
      <c r="D180" t="str">
        <f ca="1">Nomes!T181</f>
        <v>Leonor Ana Paiva Faria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Rua do Salitre</v>
      </c>
      <c r="H180" t="str" cm="1">
        <f t="array" aca="1" ref="H180" ca="1">INDEX(rua_cod!$A:$A,Médicos!X180) &amp; "-" &amp; TEXT(RANDBETWEEN(0,999),"000")</f>
        <v>2809-471</v>
      </c>
      <c r="I180" t="str" cm="1">
        <f t="array" aca="1" ref="I180" ca="1">INDEX(rua_cod!$B:$B,Médicos!X180)</f>
        <v>Almada</v>
      </c>
      <c r="J180" t="s">
        <v>341</v>
      </c>
      <c r="K180" t="s">
        <v>225</v>
      </c>
      <c r="L180" t="s">
        <v>265</v>
      </c>
      <c r="M180" t="str">
        <f t="shared" ca="1" si="26"/>
        <v>27677764</v>
      </c>
      <c r="N180" t="str">
        <f t="shared" ca="1" si="27"/>
        <v>599329821</v>
      </c>
      <c r="O180" t="str">
        <f t="shared" ca="1" si="27"/>
        <v>886602846</v>
      </c>
      <c r="P180" t="str" cm="1">
        <f t="array" aca="1" ref="P180" ca="1">9 &amp; INDEX($AH$3:$AH$6,Y180)&amp; TEXT(RANDBETWEEN(0,9999999),"0000000")</f>
        <v>960541331</v>
      </c>
      <c r="Q180" t="str" cm="1">
        <f t="array" aca="1" ref="Q180" ca="1">LOWER(B180) &amp; INDEX($AH$9:$AH$11,Z180)</f>
        <v>med179@hospital.upskill.com</v>
      </c>
      <c r="R180" t="str">
        <f t="shared" si="28"/>
        <v>med179.jpg</v>
      </c>
      <c r="S180" s="8">
        <f t="shared" ca="1" si="29"/>
        <v>2094427044325786</v>
      </c>
      <c r="T180" t="s">
        <v>341</v>
      </c>
      <c r="V180" s="4"/>
      <c r="X180">
        <f ca="1">RANDBETWEEN(2,COUNTA(rua_cod!A:A))</f>
        <v>5</v>
      </c>
      <c r="Y180">
        <f t="shared" ca="1" si="30"/>
        <v>4</v>
      </c>
      <c r="Z180">
        <f t="shared" ca="1" si="31"/>
        <v>3</v>
      </c>
      <c r="AA180">
        <f t="shared" ca="1" si="32"/>
        <v>1988</v>
      </c>
      <c r="AB180">
        <f t="shared" ca="1" si="33"/>
        <v>10</v>
      </c>
      <c r="AC180">
        <f t="shared" ca="1" si="34"/>
        <v>23</v>
      </c>
      <c r="AD180">
        <f t="shared" ca="1" si="35"/>
        <v>32</v>
      </c>
    </row>
    <row r="181" spans="1:30" x14ac:dyDescent="0.25">
      <c r="A181">
        <v>180</v>
      </c>
      <c r="B181" t="str">
        <f t="shared" si="24"/>
        <v>med180</v>
      </c>
      <c r="C181" t="str">
        <f t="shared" si="25"/>
        <v>pswmed180</v>
      </c>
      <c r="D181" t="str">
        <f ca="1">Nomes!T182</f>
        <v>Lara Sara Paiva Teixeira</v>
      </c>
      <c r="E181" t="str">
        <f ca="1">Nomes!S182</f>
        <v>Feminino</v>
      </c>
      <c r="F181" s="2">
        <v>42761</v>
      </c>
      <c r="G181" t="str" cm="1">
        <f t="array" aca="1" ref="G181" ca="1">INDEX(rua_cod!$F:$F,RANDBETWEEN(2,COUNTA(rua_cod!F:F)))</f>
        <v>Rua do Arsenal</v>
      </c>
      <c r="H181" t="str" cm="1">
        <f t="array" aca="1" ref="H181" ca="1">INDEX(rua_cod!$A:$A,Médicos!X181) &amp; "-" &amp; TEXT(RANDBETWEEN(0,999),"000")</f>
        <v>2834-184</v>
      </c>
      <c r="I181" t="str" cm="1">
        <f t="array" aca="1" ref="I181" ca="1">INDEX(rua_cod!$B:$B,Médicos!X181)</f>
        <v>Barreiro</v>
      </c>
      <c r="J181" t="s">
        <v>341</v>
      </c>
      <c r="K181" t="s">
        <v>225</v>
      </c>
      <c r="L181" t="s">
        <v>265</v>
      </c>
      <c r="M181" t="str">
        <f t="shared" ca="1" si="26"/>
        <v>26976815</v>
      </c>
      <c r="N181" t="str">
        <f t="shared" ca="1" si="27"/>
        <v>171944649</v>
      </c>
      <c r="O181" t="str">
        <f t="shared" ca="1" si="27"/>
        <v>594081633</v>
      </c>
      <c r="P181" t="str" cm="1">
        <f t="array" aca="1" ref="P181" ca="1">9 &amp; INDEX($AH$3:$AH$6,Y181)&amp; TEXT(RANDBETWEEN(0,9999999),"0000000")</f>
        <v>927084935</v>
      </c>
      <c r="Q181" t="str" cm="1">
        <f t="array" aca="1" ref="Q181" ca="1">LOWER(B181) &amp; INDEX($AH$9:$AH$11,Z181)</f>
        <v>med180@hospital.upskill.com</v>
      </c>
      <c r="R181" t="str">
        <f t="shared" si="28"/>
        <v>med180.jpg</v>
      </c>
      <c r="S181" s="8">
        <f t="shared" ca="1" si="29"/>
        <v>5674303806796244</v>
      </c>
      <c r="T181" t="s">
        <v>341</v>
      </c>
      <c r="V181" s="4"/>
      <c r="X181">
        <f ca="1">RANDBETWEEN(2,COUNTA(rua_cod!A:A))</f>
        <v>17</v>
      </c>
      <c r="Y181">
        <f t="shared" ca="1" si="30"/>
        <v>2</v>
      </c>
      <c r="Z181">
        <f t="shared" ca="1" si="31"/>
        <v>1</v>
      </c>
      <c r="AA181">
        <f t="shared" ca="1" si="32"/>
        <v>1973</v>
      </c>
      <c r="AB181">
        <f t="shared" ca="1" si="33"/>
        <v>9</v>
      </c>
      <c r="AC181">
        <f t="shared" ca="1" si="34"/>
        <v>9</v>
      </c>
      <c r="AD181">
        <f t="shared" ca="1" si="35"/>
        <v>47</v>
      </c>
    </row>
    <row r="182" spans="1:30" x14ac:dyDescent="0.25">
      <c r="A182">
        <v>181</v>
      </c>
      <c r="B182" t="str">
        <f t="shared" si="24"/>
        <v>med181</v>
      </c>
      <c r="C182" t="str">
        <f t="shared" si="25"/>
        <v>pswmed181</v>
      </c>
      <c r="D182" t="str">
        <f ca="1">Nomes!T183</f>
        <v>André Daniela Lima Abreu</v>
      </c>
      <c r="E182" t="str">
        <f ca="1">Nomes!S183</f>
        <v>Masculino</v>
      </c>
      <c r="F182" s="2">
        <v>13720</v>
      </c>
      <c r="G182" t="str" cm="1">
        <f t="array" aca="1" ref="G182" ca="1">INDEX(rua_cod!$F:$F,RANDBETWEEN(2,COUNTA(rua_cod!F:F)))</f>
        <v>Rua do Instituto Bacteriológico</v>
      </c>
      <c r="H182" t="str" cm="1">
        <f t="array" aca="1" ref="H182" ca="1">INDEX(rua_cod!$A:$A,Médicos!X182) &amp; "-" &amp; TEXT(RANDBETWEEN(0,999),"000")</f>
        <v>2830-237</v>
      </c>
      <c r="I182" t="str" cm="1">
        <f t="array" aca="1" ref="I182" ca="1">INDEX(rua_cod!$B:$B,Médicos!X182)</f>
        <v>Barreiro</v>
      </c>
      <c r="J182" t="s">
        <v>341</v>
      </c>
      <c r="K182" t="s">
        <v>225</v>
      </c>
      <c r="L182" t="s">
        <v>265</v>
      </c>
      <c r="M182" t="str">
        <f t="shared" ca="1" si="26"/>
        <v>73839839</v>
      </c>
      <c r="N182" t="str">
        <f t="shared" ca="1" si="27"/>
        <v>117645252</v>
      </c>
      <c r="O182" t="str">
        <f t="shared" ca="1" si="27"/>
        <v>479689588</v>
      </c>
      <c r="P182" t="str" cm="1">
        <f t="array" aca="1" ref="P182" ca="1">9 &amp; INDEX($AH$3:$AH$6,Y182)&amp; TEXT(RANDBETWEEN(0,9999999),"0000000")</f>
        <v>968879720</v>
      </c>
      <c r="Q182" t="str" cm="1">
        <f t="array" aca="1" ref="Q182" ca="1">LOWER(B182) &amp; INDEX($AH$9:$AH$11,Z182)</f>
        <v>med181@hospital.upskill.com</v>
      </c>
      <c r="R182" t="str">
        <f t="shared" si="28"/>
        <v>med181.jpg</v>
      </c>
      <c r="S182" s="8">
        <f t="shared" ca="1" si="29"/>
        <v>7681158637202517</v>
      </c>
      <c r="T182" t="s">
        <v>341</v>
      </c>
      <c r="V182" s="4"/>
      <c r="X182">
        <f ca="1">RANDBETWEEN(2,COUNTA(rua_cod!A:A))</f>
        <v>16</v>
      </c>
      <c r="Y182">
        <f t="shared" ca="1" si="30"/>
        <v>4</v>
      </c>
      <c r="Z182">
        <f t="shared" ca="1" si="31"/>
        <v>2</v>
      </c>
      <c r="AA182">
        <f t="shared" ca="1" si="32"/>
        <v>1974</v>
      </c>
      <c r="AB182">
        <f t="shared" ca="1" si="33"/>
        <v>9</v>
      </c>
      <c r="AC182">
        <f t="shared" ca="1" si="34"/>
        <v>9</v>
      </c>
      <c r="AD182">
        <f t="shared" ca="1" si="35"/>
        <v>46</v>
      </c>
    </row>
    <row r="183" spans="1:30" x14ac:dyDescent="0.25">
      <c r="A183">
        <v>182</v>
      </c>
      <c r="B183" t="str">
        <f t="shared" si="24"/>
        <v>med182</v>
      </c>
      <c r="C183" t="str">
        <f t="shared" si="25"/>
        <v>pswmed182</v>
      </c>
      <c r="D183" t="str">
        <f ca="1">Nomes!T184</f>
        <v>João Joaquim Sousa Nascimento</v>
      </c>
      <c r="E183" t="str">
        <f ca="1">Nomes!S184</f>
        <v>Masculino</v>
      </c>
      <c r="F183" s="2">
        <v>31325</v>
      </c>
      <c r="G183" t="str" cm="1">
        <f t="array" aca="1" ref="G183" ca="1">INDEX(rua_cod!$F:$F,RANDBETWEEN(2,COUNTA(rua_cod!F:F)))</f>
        <v>Rua da Alfândega</v>
      </c>
      <c r="H183" t="str" cm="1">
        <f t="array" aca="1" ref="H183" ca="1">INDEX(rua_cod!$A:$A,Médicos!X183) &amp; "-" &amp; TEXT(RANDBETWEEN(0,999),"000")</f>
        <v>2830-616</v>
      </c>
      <c r="I183" t="str" cm="1">
        <f t="array" aca="1" ref="I183" ca="1">INDEX(rua_cod!$B:$B,Médicos!X183)</f>
        <v>Barreiro</v>
      </c>
      <c r="J183" t="s">
        <v>341</v>
      </c>
      <c r="K183" t="s">
        <v>225</v>
      </c>
      <c r="L183" t="s">
        <v>265</v>
      </c>
      <c r="M183" t="str">
        <f t="shared" ca="1" si="26"/>
        <v>53860943</v>
      </c>
      <c r="N183" t="str">
        <f t="shared" ca="1" si="27"/>
        <v>816779517</v>
      </c>
      <c r="O183" t="str">
        <f t="shared" ca="1" si="27"/>
        <v>236412298</v>
      </c>
      <c r="P183" t="str" cm="1">
        <f t="array" aca="1" ref="P183" ca="1">9 &amp; INDEX($AH$3:$AH$6,Y183)&amp; TEXT(RANDBETWEEN(0,9999999),"0000000")</f>
        <v>928788470</v>
      </c>
      <c r="Q183" t="str" cm="1">
        <f t="array" aca="1" ref="Q183" ca="1">LOWER(B183) &amp; INDEX($AH$9:$AH$11,Z183)</f>
        <v>med182@hospital.upskill.com</v>
      </c>
      <c r="R183" t="str">
        <f t="shared" si="28"/>
        <v>med182.jpg</v>
      </c>
      <c r="S183" s="8">
        <f t="shared" ca="1" si="29"/>
        <v>6313856293578936</v>
      </c>
      <c r="T183" t="s">
        <v>341</v>
      </c>
      <c r="V183" s="4"/>
      <c r="X183">
        <f ca="1">RANDBETWEEN(2,COUNTA(rua_cod!A:A))</f>
        <v>16</v>
      </c>
      <c r="Y183">
        <f t="shared" ca="1" si="30"/>
        <v>2</v>
      </c>
      <c r="Z183">
        <f t="shared" ca="1" si="31"/>
        <v>2</v>
      </c>
      <c r="AA183">
        <f t="shared" ca="1" si="32"/>
        <v>1992</v>
      </c>
      <c r="AB183">
        <f t="shared" ca="1" si="33"/>
        <v>4</v>
      </c>
      <c r="AC183">
        <f t="shared" ca="1" si="34"/>
        <v>6</v>
      </c>
      <c r="AD183">
        <f t="shared" ca="1" si="35"/>
        <v>28</v>
      </c>
    </row>
    <row r="184" spans="1:30" x14ac:dyDescent="0.25">
      <c r="A184">
        <v>183</v>
      </c>
      <c r="B184" t="str">
        <f t="shared" si="24"/>
        <v>med183</v>
      </c>
      <c r="C184" t="str">
        <f t="shared" si="25"/>
        <v>pswmed183</v>
      </c>
      <c r="D184" t="str">
        <f ca="1">Nomes!T185</f>
        <v>Diana Miguel Brito Vieira</v>
      </c>
      <c r="E184" t="str">
        <f ca="1">Nomes!S185</f>
        <v>Feminino</v>
      </c>
      <c r="F184" s="2">
        <v>21600</v>
      </c>
      <c r="G184" t="str" cm="1">
        <f t="array" aca="1" ref="G184" ca="1">INDEX(rua_cod!$F:$F,RANDBETWEEN(2,COUNTA(rua_cod!F:F)))</f>
        <v>Rua do Sacramento à Lapa</v>
      </c>
      <c r="H184" t="str" cm="1">
        <f t="array" aca="1" ref="H184" ca="1">INDEX(rua_cod!$A:$A,Médicos!X184) &amp; "-" &amp; TEXT(RANDBETWEEN(0,999),"000")</f>
        <v>1400-250</v>
      </c>
      <c r="I184" t="str" cm="1">
        <f t="array" aca="1" ref="I184" ca="1">INDEX(rua_cod!$B:$B,Médicos!X184)</f>
        <v>Lisboa</v>
      </c>
      <c r="J184" t="s">
        <v>341</v>
      </c>
      <c r="K184" t="s">
        <v>225</v>
      </c>
      <c r="L184" t="s">
        <v>265</v>
      </c>
      <c r="M184" t="str">
        <f t="shared" ca="1" si="26"/>
        <v>78714270</v>
      </c>
      <c r="N184" t="str">
        <f t="shared" ca="1" si="27"/>
        <v>440112663</v>
      </c>
      <c r="O184" t="str">
        <f t="shared" ca="1" si="27"/>
        <v>967605441</v>
      </c>
      <c r="P184" t="str" cm="1">
        <f t="array" aca="1" ref="P184" ca="1">9 &amp; INDEX($AH$3:$AH$6,Y184)&amp; TEXT(RANDBETWEEN(0,9999999),"0000000")</f>
        <v>923742966</v>
      </c>
      <c r="Q184" t="str" cm="1">
        <f t="array" aca="1" ref="Q184" ca="1">LOWER(B184) &amp; INDEX($AH$9:$AH$11,Z184)</f>
        <v>med183@hospital.upskill.com</v>
      </c>
      <c r="R184" t="str">
        <f t="shared" si="28"/>
        <v>med183.jpg</v>
      </c>
      <c r="S184" s="8">
        <f t="shared" ca="1" si="29"/>
        <v>8049792491931762</v>
      </c>
      <c r="T184" t="s">
        <v>341</v>
      </c>
      <c r="V184" s="4"/>
      <c r="X184">
        <f ca="1">RANDBETWEEN(2,COUNTA(rua_cod!A:A))</f>
        <v>57</v>
      </c>
      <c r="Y184">
        <f t="shared" ca="1" si="30"/>
        <v>2</v>
      </c>
      <c r="Z184">
        <f t="shared" ca="1" si="31"/>
        <v>1</v>
      </c>
      <c r="AA184">
        <f t="shared" ca="1" si="32"/>
        <v>1980</v>
      </c>
      <c r="AB184">
        <f t="shared" ca="1" si="33"/>
        <v>12</v>
      </c>
      <c r="AC184">
        <f t="shared" ca="1" si="34"/>
        <v>2</v>
      </c>
      <c r="AD184">
        <f t="shared" ca="1" si="35"/>
        <v>40</v>
      </c>
    </row>
    <row r="185" spans="1:30" x14ac:dyDescent="0.25">
      <c r="A185">
        <v>184</v>
      </c>
      <c r="B185" t="str">
        <f t="shared" si="24"/>
        <v>med184</v>
      </c>
      <c r="C185" t="str">
        <f t="shared" si="25"/>
        <v>pswmed184</v>
      </c>
      <c r="D185" t="str">
        <f ca="1">Nomes!T186</f>
        <v>Tiago Carolina Pires Anjos</v>
      </c>
      <c r="E185" t="str">
        <f ca="1">Nomes!S186</f>
        <v>Masculino</v>
      </c>
      <c r="F185" s="2">
        <v>42111</v>
      </c>
      <c r="G185" t="str" cm="1">
        <f t="array" aca="1" ref="G185" ca="1">INDEX(rua_cod!$F:$F,RANDBETWEEN(2,COUNTA(rua_cod!F:F)))</f>
        <v>Rua Cidade de Bolama</v>
      </c>
      <c r="H185" t="str" cm="1">
        <f t="array" aca="1" ref="H185" ca="1">INDEX(rua_cod!$A:$A,Médicos!X185) &amp; "-" &amp; TEXT(RANDBETWEEN(0,999),"000")</f>
        <v>2644-725</v>
      </c>
      <c r="I185" t="str" cm="1">
        <f t="array" aca="1" ref="I185" ca="1">INDEX(rua_cod!$B:$B,Médicos!X185)</f>
        <v>Mafra</v>
      </c>
      <c r="J185" t="s">
        <v>341</v>
      </c>
      <c r="K185" t="s">
        <v>225</v>
      </c>
      <c r="L185" t="s">
        <v>265</v>
      </c>
      <c r="M185" t="str">
        <f t="shared" ca="1" si="26"/>
        <v>82410083</v>
      </c>
      <c r="N185" t="str">
        <f t="shared" ca="1" si="27"/>
        <v>349780350</v>
      </c>
      <c r="O185" t="str">
        <f t="shared" ca="1" si="27"/>
        <v>951006978</v>
      </c>
      <c r="P185" t="str" cm="1">
        <f t="array" aca="1" ref="P185" ca="1">9 &amp; INDEX($AH$3:$AH$6,Y185)&amp; TEXT(RANDBETWEEN(0,9999999),"0000000")</f>
        <v>934063132</v>
      </c>
      <c r="Q185" t="str" cm="1">
        <f t="array" aca="1" ref="Q185" ca="1">LOWER(B185) &amp; INDEX($AH$9:$AH$11,Z185)</f>
        <v>med184@hospital.upskill.com</v>
      </c>
      <c r="R185" t="str">
        <f t="shared" si="28"/>
        <v>med184.jpg</v>
      </c>
      <c r="S185" s="8">
        <f t="shared" ca="1" si="29"/>
        <v>8115622805533305</v>
      </c>
      <c r="T185" t="s">
        <v>341</v>
      </c>
      <c r="V185" s="4"/>
      <c r="X185">
        <f ca="1">RANDBETWEEN(2,COUNTA(rua_cod!A:A))</f>
        <v>86</v>
      </c>
      <c r="Y185">
        <f t="shared" ca="1" si="30"/>
        <v>3</v>
      </c>
      <c r="Z185">
        <f t="shared" ca="1" si="31"/>
        <v>1</v>
      </c>
      <c r="AA185">
        <f t="shared" ca="1" si="32"/>
        <v>1972</v>
      </c>
      <c r="AB185">
        <f t="shared" ca="1" si="33"/>
        <v>4</v>
      </c>
      <c r="AC185">
        <f t="shared" ca="1" si="34"/>
        <v>16</v>
      </c>
      <c r="AD185">
        <f t="shared" ca="1" si="35"/>
        <v>48</v>
      </c>
    </row>
    <row r="186" spans="1:30" x14ac:dyDescent="0.25">
      <c r="A186">
        <v>185</v>
      </c>
      <c r="B186" t="str">
        <f t="shared" si="24"/>
        <v>med185</v>
      </c>
      <c r="C186" t="str">
        <f t="shared" si="25"/>
        <v>pswmed185</v>
      </c>
      <c r="D186" t="str">
        <f ca="1">Nomes!T187</f>
        <v>Vera Francisco Brito Ramos</v>
      </c>
      <c r="E186" t="str">
        <f ca="1">Nomes!S187</f>
        <v>Feminino</v>
      </c>
      <c r="F186" s="2">
        <v>30832</v>
      </c>
      <c r="G186" t="str" cm="1">
        <f t="array" aca="1" ref="G186" ca="1">INDEX(rua_cod!$F:$F,RANDBETWEEN(2,COUNTA(rua_cod!F:F)))</f>
        <v>Rua da Madalena</v>
      </c>
      <c r="H186" t="str" cm="1">
        <f t="array" aca="1" ref="H186" ca="1">INDEX(rua_cod!$A:$A,Médicos!X186) &amp; "-" &amp; TEXT(RANDBETWEEN(0,999),"000")</f>
        <v>2825-049</v>
      </c>
      <c r="I186" t="str" cm="1">
        <f t="array" aca="1" ref="I186" ca="1">INDEX(rua_cod!$B:$B,Médicos!X186)</f>
        <v>Costa de Caparica</v>
      </c>
      <c r="J186" t="s">
        <v>341</v>
      </c>
      <c r="K186" t="s">
        <v>225</v>
      </c>
      <c r="L186" t="s">
        <v>265</v>
      </c>
      <c r="M186" t="str">
        <f t="shared" ca="1" si="26"/>
        <v>60593061</v>
      </c>
      <c r="N186" t="str">
        <f t="shared" ca="1" si="27"/>
        <v>912546564</v>
      </c>
      <c r="O186" t="str">
        <f t="shared" ca="1" si="27"/>
        <v>185462386</v>
      </c>
      <c r="P186" t="str" cm="1">
        <f t="array" aca="1" ref="P186" ca="1">9 &amp; INDEX($AH$3:$AH$6,Y186)&amp; TEXT(RANDBETWEEN(0,9999999),"0000000")</f>
        <v>921951747</v>
      </c>
      <c r="Q186" t="str" cm="1">
        <f t="array" aca="1" ref="Q186" ca="1">LOWER(B186) &amp; INDEX($AH$9:$AH$11,Z186)</f>
        <v>med185@hospital.upskill.com</v>
      </c>
      <c r="R186" t="str">
        <f t="shared" si="28"/>
        <v>med185.jpg</v>
      </c>
      <c r="S186" s="8">
        <f t="shared" ca="1" si="29"/>
        <v>8317151540434860</v>
      </c>
      <c r="T186" t="s">
        <v>341</v>
      </c>
      <c r="V186" s="4"/>
      <c r="X186">
        <f ca="1">RANDBETWEEN(2,COUNTA(rua_cod!A:A))</f>
        <v>27</v>
      </c>
      <c r="Y186">
        <f t="shared" ca="1" si="30"/>
        <v>2</v>
      </c>
      <c r="Z186">
        <f t="shared" ca="1" si="31"/>
        <v>1</v>
      </c>
      <c r="AA186">
        <f t="shared" ca="1" si="32"/>
        <v>1994</v>
      </c>
      <c r="AB186">
        <f t="shared" ca="1" si="33"/>
        <v>7</v>
      </c>
      <c r="AC186">
        <f t="shared" ca="1" si="34"/>
        <v>11</v>
      </c>
      <c r="AD186">
        <f t="shared" ca="1" si="35"/>
        <v>26</v>
      </c>
    </row>
    <row r="187" spans="1:30" x14ac:dyDescent="0.25">
      <c r="A187">
        <v>186</v>
      </c>
      <c r="B187" t="str">
        <f t="shared" si="24"/>
        <v>med186</v>
      </c>
      <c r="C187" t="str">
        <f t="shared" si="25"/>
        <v>pswmed186</v>
      </c>
      <c r="D187" t="str">
        <f ca="1">Nomes!T188</f>
        <v>José Marco Sá Nogueira</v>
      </c>
      <c r="E187" t="str">
        <f ca="1">Nomes!S188</f>
        <v>Masculino</v>
      </c>
      <c r="F187" s="2">
        <v>39033</v>
      </c>
      <c r="G187" t="str" cm="1">
        <f t="array" aca="1" ref="G187" ca="1">INDEX(rua_cod!$F:$F,RANDBETWEEN(2,COUNTA(rua_cod!F:F)))</f>
        <v>Rua Garrett</v>
      </c>
      <c r="H187" t="str" cm="1">
        <f t="array" aca="1" ref="H187" ca="1">INDEX(rua_cod!$A:$A,Médicos!X187) &amp; "-" &amp; TEXT(RANDBETWEEN(0,999),"000")</f>
        <v>2830-600</v>
      </c>
      <c r="I187" t="str" cm="1">
        <f t="array" aca="1" ref="I187" ca="1">INDEX(rua_cod!$B:$B,Médicos!X187)</f>
        <v>Barreiro</v>
      </c>
      <c r="J187" t="s">
        <v>341</v>
      </c>
      <c r="K187" t="s">
        <v>225</v>
      </c>
      <c r="L187" t="s">
        <v>265</v>
      </c>
      <c r="M187" t="str">
        <f t="shared" ca="1" si="26"/>
        <v>53073000</v>
      </c>
      <c r="N187" t="str">
        <f t="shared" ca="1" si="27"/>
        <v>521058274</v>
      </c>
      <c r="O187" t="str">
        <f t="shared" ca="1" si="27"/>
        <v>280312019</v>
      </c>
      <c r="P187" t="str" cm="1">
        <f t="array" aca="1" ref="P187" ca="1">9 &amp; INDEX($AH$3:$AH$6,Y187)&amp; TEXT(RANDBETWEEN(0,9999999),"0000000")</f>
        <v>921573249</v>
      </c>
      <c r="Q187" t="str" cm="1">
        <f t="array" aca="1" ref="Q187" ca="1">LOWER(B187) &amp; INDEX($AH$9:$AH$11,Z187)</f>
        <v>med186@hospital.upskill.com</v>
      </c>
      <c r="R187" t="str">
        <f t="shared" si="28"/>
        <v>med186.jpg</v>
      </c>
      <c r="S187" s="8">
        <f t="shared" ca="1" si="29"/>
        <v>4897671083576533</v>
      </c>
      <c r="T187" t="s">
        <v>341</v>
      </c>
      <c r="V187" s="4"/>
      <c r="X187">
        <f ca="1">RANDBETWEEN(2,COUNTA(rua_cod!A:A))</f>
        <v>16</v>
      </c>
      <c r="Y187">
        <f t="shared" ca="1" si="30"/>
        <v>2</v>
      </c>
      <c r="Z187">
        <f t="shared" ca="1" si="31"/>
        <v>2</v>
      </c>
      <c r="AA187">
        <f t="shared" ca="1" si="32"/>
        <v>1978</v>
      </c>
      <c r="AB187">
        <f t="shared" ca="1" si="33"/>
        <v>6</v>
      </c>
      <c r="AC187">
        <f t="shared" ca="1" si="34"/>
        <v>4</v>
      </c>
      <c r="AD187">
        <f t="shared" ca="1" si="35"/>
        <v>42</v>
      </c>
    </row>
    <row r="188" spans="1:30" x14ac:dyDescent="0.25">
      <c r="A188">
        <v>187</v>
      </c>
      <c r="B188" t="str">
        <f t="shared" si="24"/>
        <v>med187</v>
      </c>
      <c r="C188" t="str">
        <f t="shared" si="25"/>
        <v>pswmed187</v>
      </c>
      <c r="D188" t="str">
        <f ca="1">Nomes!T189</f>
        <v>Martim Francisco Torres Barbosa</v>
      </c>
      <c r="E188" t="str">
        <f ca="1">Nomes!S189</f>
        <v>Masculino</v>
      </c>
      <c r="F188" s="2">
        <v>27447</v>
      </c>
      <c r="G188" t="str" cm="1">
        <f t="array" aca="1" ref="G188" ca="1">INDEX(rua_cod!$F:$F,RANDBETWEEN(2,COUNTA(rua_cod!F:F)))</f>
        <v>Rua Nova do Almada</v>
      </c>
      <c r="H188" t="str" cm="1">
        <f t="array" aca="1" ref="H188" ca="1">INDEX(rua_cod!$A:$A,Médicos!X188) &amp; "-" &amp; TEXT(RANDBETWEEN(0,999),"000")</f>
        <v>1649-045</v>
      </c>
      <c r="I188" t="str" cm="1">
        <f t="array" aca="1" ref="I188" ca="1">INDEX(rua_cod!$B:$B,Médicos!X188)</f>
        <v>Lisboa</v>
      </c>
      <c r="J188" t="s">
        <v>341</v>
      </c>
      <c r="K188" t="s">
        <v>225</v>
      </c>
      <c r="L188" t="s">
        <v>265</v>
      </c>
      <c r="M188" t="str">
        <f t="shared" ca="1" si="26"/>
        <v>82325298</v>
      </c>
      <c r="N188" t="str">
        <f t="shared" ca="1" si="27"/>
        <v>659468311</v>
      </c>
      <c r="O188" t="str">
        <f t="shared" ca="1" si="27"/>
        <v>794559308</v>
      </c>
      <c r="P188" t="str" cm="1">
        <f t="array" aca="1" ref="P188" ca="1">9 &amp; INDEX($AH$3:$AH$6,Y188)&amp; TEXT(RANDBETWEEN(0,9999999),"0000000")</f>
        <v>932931398</v>
      </c>
      <c r="Q188" t="str" cm="1">
        <f t="array" aca="1" ref="Q188" ca="1">LOWER(B188) &amp; INDEX($AH$9:$AH$11,Z188)</f>
        <v>med187@hospital.upskill.com</v>
      </c>
      <c r="R188" t="str">
        <f t="shared" si="28"/>
        <v>med187.jpg</v>
      </c>
      <c r="S188" s="8">
        <f t="shared" ca="1" si="29"/>
        <v>1792567260517713</v>
      </c>
      <c r="T188" t="s">
        <v>341</v>
      </c>
      <c r="V188" s="4"/>
      <c r="X188">
        <f ca="1">RANDBETWEEN(2,COUNTA(rua_cod!A:A))</f>
        <v>68</v>
      </c>
      <c r="Y188">
        <f t="shared" ca="1" si="30"/>
        <v>3</v>
      </c>
      <c r="Z188">
        <f t="shared" ca="1" si="31"/>
        <v>2</v>
      </c>
      <c r="AA188">
        <f t="shared" ca="1" si="32"/>
        <v>1962</v>
      </c>
      <c r="AB188">
        <f t="shared" ca="1" si="33"/>
        <v>11</v>
      </c>
      <c r="AC188">
        <f t="shared" ca="1" si="34"/>
        <v>22</v>
      </c>
      <c r="AD188">
        <f t="shared" ca="1" si="35"/>
        <v>58</v>
      </c>
    </row>
    <row r="189" spans="1:30" x14ac:dyDescent="0.25">
      <c r="A189">
        <v>188</v>
      </c>
      <c r="B189" t="str">
        <f t="shared" si="24"/>
        <v>med188</v>
      </c>
      <c r="C189" t="str">
        <f t="shared" si="25"/>
        <v>pswmed188</v>
      </c>
      <c r="D189" t="str">
        <f ca="1">Nomes!T190</f>
        <v>Bruno Sofia Rocha Gomes</v>
      </c>
      <c r="E189" t="str">
        <f ca="1">Nomes!S190</f>
        <v>Masculino</v>
      </c>
      <c r="F189" s="2">
        <v>19510</v>
      </c>
      <c r="G189" t="str" cm="1">
        <f t="array" aca="1" ref="G189" ca="1">INDEX(rua_cod!$F:$F,RANDBETWEEN(2,COUNTA(rua_cod!F:F)))</f>
        <v>Rua Cidade de Bolama</v>
      </c>
      <c r="H189" t="str" cm="1">
        <f t="array" aca="1" ref="H189" ca="1">INDEX(rua_cod!$A:$A,Médicos!X189) &amp; "-" &amp; TEXT(RANDBETWEEN(0,999),"000")</f>
        <v>1999-187</v>
      </c>
      <c r="I189" t="str" cm="1">
        <f t="array" aca="1" ref="I189" ca="1">INDEX(rua_cod!$B:$B,Médicos!X189)</f>
        <v>Lisboa</v>
      </c>
      <c r="J189" t="s">
        <v>341</v>
      </c>
      <c r="K189" t="s">
        <v>225</v>
      </c>
      <c r="L189" t="s">
        <v>265</v>
      </c>
      <c r="M189" t="str">
        <f t="shared" ca="1" si="26"/>
        <v>57275498</v>
      </c>
      <c r="N189" t="str">
        <f t="shared" ca="1" si="27"/>
        <v>149053154</v>
      </c>
      <c r="O189" t="str">
        <f t="shared" ca="1" si="27"/>
        <v>410725886</v>
      </c>
      <c r="P189" t="str" cm="1">
        <f t="array" aca="1" ref="P189" ca="1">9 &amp; INDEX($AH$3:$AH$6,Y189)&amp; TEXT(RANDBETWEEN(0,9999999),"0000000")</f>
        <v>912534509</v>
      </c>
      <c r="Q189" t="str" cm="1">
        <f t="array" aca="1" ref="Q189" ca="1">LOWER(B189) &amp; INDEX($AH$9:$AH$11,Z189)</f>
        <v>med188@hospital.upskill.com</v>
      </c>
      <c r="R189" t="str">
        <f t="shared" si="28"/>
        <v>med188.jpg</v>
      </c>
      <c r="S189" s="8">
        <f t="shared" ca="1" si="29"/>
        <v>7930958404548159</v>
      </c>
      <c r="T189" t="s">
        <v>341</v>
      </c>
      <c r="V189" s="4"/>
      <c r="X189">
        <f ca="1">RANDBETWEEN(2,COUNTA(rua_cod!A:A))</f>
        <v>79</v>
      </c>
      <c r="Y189">
        <f t="shared" ca="1" si="30"/>
        <v>1</v>
      </c>
      <c r="Z189">
        <f t="shared" ca="1" si="31"/>
        <v>2</v>
      </c>
      <c r="AA189">
        <f t="shared" ca="1" si="32"/>
        <v>1986</v>
      </c>
      <c r="AB189">
        <f t="shared" ca="1" si="33"/>
        <v>3</v>
      </c>
      <c r="AC189">
        <f t="shared" ca="1" si="34"/>
        <v>19</v>
      </c>
      <c r="AD189">
        <f t="shared" ca="1" si="35"/>
        <v>34</v>
      </c>
    </row>
    <row r="190" spans="1:30" x14ac:dyDescent="0.25">
      <c r="A190">
        <v>189</v>
      </c>
      <c r="B190" t="str">
        <f t="shared" si="24"/>
        <v>med189</v>
      </c>
      <c r="C190" t="str">
        <f t="shared" si="25"/>
        <v>pswmed189</v>
      </c>
      <c r="D190" t="str">
        <f ca="1">Nomes!T191</f>
        <v>Duarte Catarina Tavares Matos</v>
      </c>
      <c r="E190" t="str">
        <f ca="1">Nomes!S191</f>
        <v>Masculino</v>
      </c>
      <c r="F190" s="2">
        <v>35493</v>
      </c>
      <c r="G190" t="str" cm="1">
        <f t="array" aca="1" ref="G190" ca="1">INDEX(rua_cod!$F:$F,RANDBETWEEN(2,COUNTA(rua_cod!F:F)))</f>
        <v>Rua de São Julião</v>
      </c>
      <c r="H190" t="str" cm="1">
        <f t="array" aca="1" ref="H190" ca="1">INDEX(rua_cod!$A:$A,Médicos!X190) &amp; "-" &amp; TEXT(RANDBETWEEN(0,999),"000")</f>
        <v>2330-681</v>
      </c>
      <c r="I190" t="str" cm="1">
        <f t="array" aca="1" ref="I190" ca="1">INDEX(rua_cod!$B:$B,Médicos!X190)</f>
        <v>Entroncamento</v>
      </c>
      <c r="J190" t="s">
        <v>341</v>
      </c>
      <c r="K190" t="s">
        <v>225</v>
      </c>
      <c r="L190" t="s">
        <v>265</v>
      </c>
      <c r="M190" t="str">
        <f t="shared" ca="1" si="26"/>
        <v>30332583</v>
      </c>
      <c r="N190" t="str">
        <f t="shared" ca="1" si="27"/>
        <v>621737671</v>
      </c>
      <c r="O190" t="str">
        <f t="shared" ca="1" si="27"/>
        <v>442078371</v>
      </c>
      <c r="P190" t="str" cm="1">
        <f t="array" aca="1" ref="P190" ca="1">9 &amp; INDEX($AH$3:$AH$6,Y190)&amp; TEXT(RANDBETWEEN(0,9999999),"0000000")</f>
        <v>914926476</v>
      </c>
      <c r="Q190" t="str" cm="1">
        <f t="array" aca="1" ref="Q190" ca="1">LOWER(B190) &amp; INDEX($AH$9:$AH$11,Z190)</f>
        <v>med189@hospital.upskill.com</v>
      </c>
      <c r="R190" t="str">
        <f t="shared" si="28"/>
        <v>med189.jpg</v>
      </c>
      <c r="S190" s="8">
        <f t="shared" ca="1" si="29"/>
        <v>2242807977547169</v>
      </c>
      <c r="T190" t="s">
        <v>341</v>
      </c>
      <c r="V190" s="4"/>
      <c r="X190">
        <f ca="1">RANDBETWEEN(2,COUNTA(rua_cod!A:A))</f>
        <v>29</v>
      </c>
      <c r="Y190">
        <f t="shared" ca="1" si="30"/>
        <v>1</v>
      </c>
      <c r="Z190">
        <f t="shared" ca="1" si="31"/>
        <v>1</v>
      </c>
      <c r="AA190">
        <f t="shared" ca="1" si="32"/>
        <v>1968</v>
      </c>
      <c r="AB190">
        <f t="shared" ca="1" si="33"/>
        <v>12</v>
      </c>
      <c r="AC190">
        <f t="shared" ca="1" si="34"/>
        <v>7</v>
      </c>
      <c r="AD190">
        <f t="shared" ca="1" si="35"/>
        <v>52</v>
      </c>
    </row>
    <row r="191" spans="1:30" x14ac:dyDescent="0.25">
      <c r="A191">
        <v>190</v>
      </c>
      <c r="B191" t="str">
        <f t="shared" si="24"/>
        <v>med190</v>
      </c>
      <c r="C191" t="str">
        <f t="shared" si="25"/>
        <v>pswmed190</v>
      </c>
      <c r="D191" t="str">
        <f ca="1">Nomes!T192</f>
        <v>Francisca Diogo Teixeira Pinto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Rua Cidade de Bolama</v>
      </c>
      <c r="H191" t="str" cm="1">
        <f t="array" aca="1" ref="H191" ca="1">INDEX(rua_cod!$A:$A,Médicos!X191) &amp; "-" &amp; TEXT(RANDBETWEEN(0,999),"000")</f>
        <v>2834-660</v>
      </c>
      <c r="I191" t="str" cm="1">
        <f t="array" aca="1" ref="I191" ca="1">INDEX(rua_cod!$B:$B,Médicos!X191)</f>
        <v>Barreiro</v>
      </c>
      <c r="J191" t="s">
        <v>341</v>
      </c>
      <c r="K191" t="s">
        <v>225</v>
      </c>
      <c r="L191" t="s">
        <v>265</v>
      </c>
      <c r="M191" t="str">
        <f t="shared" ca="1" si="26"/>
        <v>27772314</v>
      </c>
      <c r="N191" t="str">
        <f t="shared" ca="1" si="27"/>
        <v>960668214</v>
      </c>
      <c r="O191" t="str">
        <f t="shared" ca="1" si="27"/>
        <v>940605341</v>
      </c>
      <c r="P191" t="str" cm="1">
        <f t="array" aca="1" ref="P191" ca="1">9 &amp; INDEX($AH$3:$AH$6,Y191)&amp; TEXT(RANDBETWEEN(0,9999999),"0000000")</f>
        <v>918318873</v>
      </c>
      <c r="Q191" t="str" cm="1">
        <f t="array" aca="1" ref="Q191" ca="1">LOWER(B191) &amp; INDEX($AH$9:$AH$11,Z191)</f>
        <v>med190@hospital.upskill.com</v>
      </c>
      <c r="R191" t="str">
        <f t="shared" si="28"/>
        <v>med190.jpg</v>
      </c>
      <c r="S191" s="8">
        <f t="shared" ca="1" si="29"/>
        <v>2711155159000236</v>
      </c>
      <c r="T191" t="s">
        <v>341</v>
      </c>
      <c r="V191" s="4"/>
      <c r="X191">
        <f ca="1">RANDBETWEEN(2,COUNTA(rua_cod!A:A))</f>
        <v>17</v>
      </c>
      <c r="Y191">
        <f t="shared" ca="1" si="30"/>
        <v>1</v>
      </c>
      <c r="Z191">
        <f t="shared" ca="1" si="31"/>
        <v>2</v>
      </c>
      <c r="AA191">
        <f t="shared" ca="1" si="32"/>
        <v>1951</v>
      </c>
      <c r="AB191">
        <f t="shared" ca="1" si="33"/>
        <v>1</v>
      </c>
      <c r="AC191">
        <f t="shared" ca="1" si="34"/>
        <v>4</v>
      </c>
      <c r="AD191">
        <f t="shared" ca="1" si="35"/>
        <v>69</v>
      </c>
    </row>
    <row r="192" spans="1:30" x14ac:dyDescent="0.25">
      <c r="A192">
        <v>191</v>
      </c>
      <c r="B192" t="str">
        <f t="shared" si="24"/>
        <v>med191</v>
      </c>
      <c r="C192" t="str">
        <f t="shared" si="25"/>
        <v>pswmed191</v>
      </c>
      <c r="D192" t="str">
        <f ca="1">Nomes!T193</f>
        <v>Santiago Martim Mota Nunes</v>
      </c>
      <c r="E192" t="str">
        <f ca="1">Nomes!S193</f>
        <v>Masculino</v>
      </c>
      <c r="F192" s="2">
        <v>14252</v>
      </c>
      <c r="G192" t="str" cm="1">
        <f t="array" aca="1" ref="G192" ca="1">INDEX(rua_cod!$F:$F,RANDBETWEEN(2,COUNTA(rua_cod!F:F)))</f>
        <v>Rua da Betesga</v>
      </c>
      <c r="H192" t="str" cm="1">
        <f t="array" aca="1" ref="H192" ca="1">INDEX(rua_cod!$A:$A,Médicos!X192) &amp; "-" &amp; TEXT(RANDBETWEEN(0,999),"000")</f>
        <v>1500-841</v>
      </c>
      <c r="I192" t="str" cm="1">
        <f t="array" aca="1" ref="I192" ca="1">INDEX(rua_cod!$B:$B,Médicos!X192)</f>
        <v>Lisboa</v>
      </c>
      <c r="J192" t="s">
        <v>341</v>
      </c>
      <c r="K192" t="s">
        <v>225</v>
      </c>
      <c r="L192" t="s">
        <v>265</v>
      </c>
      <c r="M192" t="str">
        <f t="shared" ca="1" si="26"/>
        <v>23939780</v>
      </c>
      <c r="N192" t="str">
        <f t="shared" ca="1" si="27"/>
        <v>106876107</v>
      </c>
      <c r="O192" t="str">
        <f t="shared" ca="1" si="27"/>
        <v>117320774</v>
      </c>
      <c r="P192" t="str" cm="1">
        <f t="array" aca="1" ref="P192" ca="1">9 &amp; INDEX($AH$3:$AH$6,Y192)&amp; TEXT(RANDBETWEEN(0,9999999),"0000000")</f>
        <v>911141580</v>
      </c>
      <c r="Q192" t="str" cm="1">
        <f t="array" aca="1" ref="Q192" ca="1">LOWER(B192) &amp; INDEX($AH$9:$AH$11,Z192)</f>
        <v>med191@hospital.upskill.com</v>
      </c>
      <c r="R192" t="str">
        <f t="shared" si="28"/>
        <v>med191.jpg</v>
      </c>
      <c r="S192" s="8">
        <f t="shared" ca="1" si="29"/>
        <v>1886945775800886</v>
      </c>
      <c r="T192" t="s">
        <v>341</v>
      </c>
      <c r="V192" s="4"/>
      <c r="X192">
        <f ca="1">RANDBETWEEN(2,COUNTA(rua_cod!A:A))</f>
        <v>43</v>
      </c>
      <c r="Y192">
        <f t="shared" ca="1" si="30"/>
        <v>1</v>
      </c>
      <c r="Z192">
        <f t="shared" ca="1" si="31"/>
        <v>1</v>
      </c>
      <c r="AA192">
        <f t="shared" ca="1" si="32"/>
        <v>1983</v>
      </c>
      <c r="AB192">
        <f t="shared" ca="1" si="33"/>
        <v>8</v>
      </c>
      <c r="AC192">
        <f t="shared" ca="1" si="34"/>
        <v>24</v>
      </c>
      <c r="AD192">
        <f t="shared" ca="1" si="35"/>
        <v>37</v>
      </c>
    </row>
    <row r="193" spans="1:30" x14ac:dyDescent="0.25">
      <c r="A193">
        <v>192</v>
      </c>
      <c r="B193" t="str">
        <f t="shared" si="24"/>
        <v>med192</v>
      </c>
      <c r="C193" t="str">
        <f t="shared" si="25"/>
        <v>pswmed192</v>
      </c>
      <c r="D193" t="str">
        <f ca="1">Nomes!T194</f>
        <v>Gabriel Bruno Borges Tavares</v>
      </c>
      <c r="E193" t="str">
        <f ca="1">Nomes!S194</f>
        <v>Masculino</v>
      </c>
      <c r="F193" s="2">
        <v>31720</v>
      </c>
      <c r="G193" t="str" cm="1">
        <f t="array" aca="1" ref="G193" ca="1">INDEX(rua_cod!$F:$F,RANDBETWEEN(2,COUNTA(rua_cod!F:F)))</f>
        <v>Estrada das Laranjeiras</v>
      </c>
      <c r="H193" t="str" cm="1">
        <f t="array" aca="1" ref="H193" ca="1">INDEX(rua_cod!$A:$A,Médicos!X193) &amp; "-" &amp; TEXT(RANDBETWEEN(0,999),"000")</f>
        <v>2420-178</v>
      </c>
      <c r="I193" t="str" cm="1">
        <f t="array" aca="1" ref="I193" ca="1">INDEX(rua_cod!$B:$B,Médicos!X193)</f>
        <v>Leiria</v>
      </c>
      <c r="J193" t="s">
        <v>341</v>
      </c>
      <c r="K193" t="s">
        <v>225</v>
      </c>
      <c r="L193" t="s">
        <v>265</v>
      </c>
      <c r="M193" t="str">
        <f t="shared" ca="1" si="26"/>
        <v>13473761</v>
      </c>
      <c r="N193" t="str">
        <f t="shared" ca="1" si="27"/>
        <v>403769925</v>
      </c>
      <c r="O193" t="str">
        <f t="shared" ca="1" si="27"/>
        <v>118445805</v>
      </c>
      <c r="P193" t="str" cm="1">
        <f t="array" aca="1" ref="P193" ca="1">9 &amp; INDEX($AH$3:$AH$6,Y193)&amp; TEXT(RANDBETWEEN(0,9999999),"0000000")</f>
        <v>929953880</v>
      </c>
      <c r="Q193" t="str" cm="1">
        <f t="array" aca="1" ref="Q193" ca="1">LOWER(B193) &amp; INDEX($AH$9:$AH$11,Z193)</f>
        <v>med192@hospital.upskill.com</v>
      </c>
      <c r="R193" t="str">
        <f t="shared" si="28"/>
        <v>med192.jpg</v>
      </c>
      <c r="S193" s="8">
        <f t="shared" ca="1" si="29"/>
        <v>1786886386900838</v>
      </c>
      <c r="T193" t="s">
        <v>341</v>
      </c>
      <c r="V193" s="4"/>
      <c r="X193">
        <f ca="1">RANDBETWEEN(2,COUNTA(rua_cod!A:A))</f>
        <v>33</v>
      </c>
      <c r="Y193">
        <f t="shared" ca="1" si="30"/>
        <v>2</v>
      </c>
      <c r="Z193">
        <f t="shared" ca="1" si="31"/>
        <v>3</v>
      </c>
      <c r="AA193">
        <f t="shared" ca="1" si="32"/>
        <v>1974</v>
      </c>
      <c r="AB193">
        <f t="shared" ca="1" si="33"/>
        <v>11</v>
      </c>
      <c r="AC193">
        <f t="shared" ca="1" si="34"/>
        <v>18</v>
      </c>
      <c r="AD193">
        <f t="shared" ca="1" si="35"/>
        <v>46</v>
      </c>
    </row>
    <row r="194" spans="1:30" x14ac:dyDescent="0.25">
      <c r="A194">
        <v>193</v>
      </c>
      <c r="B194" t="str">
        <f t="shared" si="24"/>
        <v>med193</v>
      </c>
      <c r="C194" t="str">
        <f t="shared" si="25"/>
        <v>pswmed193</v>
      </c>
      <c r="D194" t="str">
        <f ca="1">Nomes!T195</f>
        <v>Marco Carolina Cruz Pinto</v>
      </c>
      <c r="E194" t="str">
        <f ca="1">Nomes!S195</f>
        <v>Masculino</v>
      </c>
      <c r="F194" s="2">
        <v>32584</v>
      </c>
      <c r="G194" t="str" cm="1">
        <f t="array" aca="1" ref="G194" ca="1">INDEX(rua_cod!$F:$F,RANDBETWEEN(2,COUNTA(rua_cod!F:F)))</f>
        <v>Calçada do Moinho de Vento</v>
      </c>
      <c r="H194" t="str" cm="1">
        <f t="array" aca="1" ref="H194" ca="1">INDEX(rua_cod!$A:$A,Médicos!X194) &amp; "-" &amp; TEXT(RANDBETWEEN(0,999),"000")</f>
        <v>1100-724</v>
      </c>
      <c r="I194" t="str" cm="1">
        <f t="array" aca="1" ref="I194" ca="1">INDEX(rua_cod!$B:$B,Médicos!X194)</f>
        <v>Lisboa</v>
      </c>
      <c r="J194" t="s">
        <v>341</v>
      </c>
      <c r="K194" t="s">
        <v>225</v>
      </c>
      <c r="L194" t="s">
        <v>265</v>
      </c>
      <c r="M194" t="str">
        <f t="shared" ca="1" si="26"/>
        <v>47113567</v>
      </c>
      <c r="N194" t="str">
        <f t="shared" ca="1" si="27"/>
        <v>288478975</v>
      </c>
      <c r="O194" t="str">
        <f t="shared" ca="1" si="27"/>
        <v>930695435</v>
      </c>
      <c r="P194" t="str" cm="1">
        <f t="array" aca="1" ref="P194" ca="1">9 &amp; INDEX($AH$3:$AH$6,Y194)&amp; TEXT(RANDBETWEEN(0,9999999),"0000000")</f>
        <v>932255556</v>
      </c>
      <c r="Q194" t="str" cm="1">
        <f t="array" aca="1" ref="Q194" ca="1">LOWER(B194) &amp; INDEX($AH$9:$AH$11,Z194)</f>
        <v>med193@hospital.upskill.com</v>
      </c>
      <c r="R194" t="str">
        <f t="shared" si="28"/>
        <v>med193.jpg</v>
      </c>
      <c r="S194" s="8">
        <f t="shared" ca="1" si="29"/>
        <v>2298985463737100</v>
      </c>
      <c r="T194" t="s">
        <v>341</v>
      </c>
      <c r="V194" s="4"/>
      <c r="X194">
        <f ca="1">RANDBETWEEN(2,COUNTA(rua_cod!A:A))</f>
        <v>46</v>
      </c>
      <c r="Y194">
        <f t="shared" ca="1" si="30"/>
        <v>3</v>
      </c>
      <c r="Z194">
        <f t="shared" ca="1" si="31"/>
        <v>3</v>
      </c>
      <c r="AA194">
        <f t="shared" ca="1" si="32"/>
        <v>1958</v>
      </c>
      <c r="AB194">
        <f t="shared" ca="1" si="33"/>
        <v>12</v>
      </c>
      <c r="AC194">
        <f t="shared" ca="1" si="34"/>
        <v>2</v>
      </c>
      <c r="AD194">
        <f t="shared" ca="1" si="35"/>
        <v>62</v>
      </c>
    </row>
    <row r="195" spans="1:30" x14ac:dyDescent="0.25">
      <c r="A195">
        <v>194</v>
      </c>
      <c r="B195" t="str">
        <f t="shared" ref="B195:B199" si="36">"med" &amp; TEXT(A195,"000")</f>
        <v>med194</v>
      </c>
      <c r="C195" t="str">
        <f t="shared" ref="C195:C199" si="37">"psw" &amp; B195</f>
        <v>pswmed194</v>
      </c>
      <c r="D195" t="str">
        <f ca="1">Nomes!T196</f>
        <v>Joana Maria Lima Assunção</v>
      </c>
      <c r="E195" t="str">
        <f ca="1">Nomes!S196</f>
        <v>Feminino</v>
      </c>
      <c r="F195" s="2">
        <v>23808</v>
      </c>
      <c r="G195" t="str" cm="1">
        <f t="array" aca="1" ref="G195" ca="1">INDEX(rua_cod!$F:$F,RANDBETWEEN(2,COUNTA(rua_cod!F:F)))</f>
        <v>Travessa de São João da Praça</v>
      </c>
      <c r="H195" t="str" cm="1">
        <f t="array" aca="1" ref="H195" ca="1">INDEX(rua_cod!$A:$A,Médicos!X195) &amp; "-" &amp; TEXT(RANDBETWEEN(0,999),"000")</f>
        <v>2674-816</v>
      </c>
      <c r="I195" t="str" cm="1">
        <f t="array" aca="1" ref="I195" ca="1">INDEX(rua_cod!$B:$B,Médicos!X195)</f>
        <v>Loures</v>
      </c>
      <c r="J195" t="s">
        <v>341</v>
      </c>
      <c r="K195" t="s">
        <v>225</v>
      </c>
      <c r="L195" t="s">
        <v>265</v>
      </c>
      <c r="M195" t="str">
        <f t="shared" ref="M195:M199" ca="1" si="38">TEXT(RANDBETWEEN(10000000,99999999),"00000000")</f>
        <v>14528259</v>
      </c>
      <c r="N195" t="str">
        <f t="shared" ref="N195:O199" ca="1" si="39">TEXT(RANDBETWEEN(100000000,999999999),"000000000")</f>
        <v>708162640</v>
      </c>
      <c r="O195" t="str">
        <f t="shared" ca="1" si="39"/>
        <v>743494805</v>
      </c>
      <c r="P195" t="str" cm="1">
        <f t="array" aca="1" ref="P195" ca="1">9 &amp; INDEX($AH$3:$AH$6,Y195)&amp; TEXT(RANDBETWEEN(0,9999999),"0000000")</f>
        <v>938823114</v>
      </c>
      <c r="Q195" t="str" cm="1">
        <f t="array" aca="1" ref="Q195" ca="1">LOWER(B195) &amp; INDEX($AH$9:$AH$11,Z195)</f>
        <v>med194@hospital.upskill.com</v>
      </c>
      <c r="R195" t="str">
        <f t="shared" ref="R195:R199" si="40">B195 &amp; ".jpg"</f>
        <v>med194.jpg</v>
      </c>
      <c r="S195" s="8">
        <f t="shared" ref="S195:S199" ca="1" si="41" xml:space="preserve"> RANDBETWEEN(1000000000000000,9999999999999990)</f>
        <v>6520388647791069</v>
      </c>
      <c r="T195" t="s">
        <v>341</v>
      </c>
      <c r="V195" s="4"/>
      <c r="X195">
        <f ca="1">RANDBETWEEN(2,COUNTA(rua_cod!A:A))</f>
        <v>84</v>
      </c>
      <c r="Y195">
        <f t="shared" ref="Y195:Y199" ca="1" si="42">RANDBETWEEN(1,4)</f>
        <v>3</v>
      </c>
      <c r="Z195">
        <f t="shared" ref="Z195:Z199" ca="1" si="43">RANDBETWEEN(1,3)</f>
        <v>2</v>
      </c>
      <c r="AA195">
        <f t="shared" ref="AA195:AA199" ca="1" si="44">RANDBETWEEN(1950,1994)</f>
        <v>1978</v>
      </c>
      <c r="AB195">
        <f t="shared" ref="AB195:AB199" ca="1" si="45">RANDBETWEEN(1,12)</f>
        <v>7</v>
      </c>
      <c r="AC195">
        <f t="shared" ref="AC195:AC199" ca="1" si="46">RANDBETWEEN(1,31)</f>
        <v>25</v>
      </c>
      <c r="AD195">
        <f t="shared" ref="AD195:AD199" ca="1" si="47">2020-AA195</f>
        <v>42</v>
      </c>
    </row>
    <row r="196" spans="1:30" x14ac:dyDescent="0.25">
      <c r="A196">
        <v>195</v>
      </c>
      <c r="B196" t="str">
        <f t="shared" si="36"/>
        <v>med195</v>
      </c>
      <c r="C196" t="str">
        <f t="shared" si="37"/>
        <v>pswmed195</v>
      </c>
      <c r="D196" t="str">
        <f ca="1">Nomes!T197</f>
        <v>Luís Catarina Jesus Castro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Rua dos Fanqueiros</v>
      </c>
      <c r="H196" t="str" cm="1">
        <f t="array" aca="1" ref="H196" ca="1">INDEX(rua_cod!$A:$A,Médicos!X196) &amp; "-" &amp; TEXT(RANDBETWEEN(0,999),"000")</f>
        <v>1999-689</v>
      </c>
      <c r="I196" t="str" cm="1">
        <f t="array" aca="1" ref="I196" ca="1">INDEX(rua_cod!$B:$B,Médicos!X196)</f>
        <v>Lisboa</v>
      </c>
      <c r="J196" t="s">
        <v>341</v>
      </c>
      <c r="K196" t="s">
        <v>225</v>
      </c>
      <c r="L196" t="s">
        <v>265</v>
      </c>
      <c r="M196" t="str">
        <f t="shared" ca="1" si="38"/>
        <v>64637773</v>
      </c>
      <c r="N196" t="str">
        <f t="shared" ca="1" si="39"/>
        <v>208081844</v>
      </c>
      <c r="O196" t="str">
        <f t="shared" ca="1" si="39"/>
        <v>716534683</v>
      </c>
      <c r="P196" t="str" cm="1">
        <f t="array" aca="1" ref="P196" ca="1">9 &amp; INDEX($AH$3:$AH$6,Y196)&amp; TEXT(RANDBETWEEN(0,9999999),"0000000")</f>
        <v>913331453</v>
      </c>
      <c r="Q196" t="str" cm="1">
        <f t="array" aca="1" ref="Q196" ca="1">LOWER(B196) &amp; INDEX($AH$9:$AH$11,Z196)</f>
        <v>med195@hospital.upskill.com</v>
      </c>
      <c r="R196" t="str">
        <f t="shared" si="40"/>
        <v>med195.jpg</v>
      </c>
      <c r="S196" s="8">
        <f t="shared" ca="1" si="41"/>
        <v>6190388199789023</v>
      </c>
      <c r="T196" t="s">
        <v>341</v>
      </c>
      <c r="V196" s="4"/>
      <c r="X196">
        <f ca="1">RANDBETWEEN(2,COUNTA(rua_cod!A:A))</f>
        <v>79</v>
      </c>
      <c r="Y196">
        <f t="shared" ca="1" si="42"/>
        <v>1</v>
      </c>
      <c r="Z196">
        <f t="shared" ca="1" si="43"/>
        <v>2</v>
      </c>
      <c r="AA196">
        <f t="shared" ca="1" si="44"/>
        <v>1972</v>
      </c>
      <c r="AB196">
        <f t="shared" ca="1" si="45"/>
        <v>2</v>
      </c>
      <c r="AC196">
        <f t="shared" ca="1" si="46"/>
        <v>6</v>
      </c>
      <c r="AD196">
        <f t="shared" ca="1" si="47"/>
        <v>48</v>
      </c>
    </row>
    <row r="197" spans="1:30" x14ac:dyDescent="0.25">
      <c r="A197">
        <v>196</v>
      </c>
      <c r="B197" t="str">
        <f t="shared" si="36"/>
        <v>med196</v>
      </c>
      <c r="C197" t="str">
        <f t="shared" si="37"/>
        <v>pswmed196</v>
      </c>
      <c r="D197" t="str">
        <f ca="1">Nomes!T198</f>
        <v>Sofia Afonso Brito Assunção</v>
      </c>
      <c r="E197" t="str">
        <f ca="1">Nomes!S198</f>
        <v>Feminino</v>
      </c>
      <c r="F197" s="2">
        <v>44443</v>
      </c>
      <c r="G197" t="str" cm="1">
        <f t="array" aca="1" ref="G197" ca="1">INDEX(rua_cod!$F:$F,RANDBETWEEN(2,COUNTA(rua_cod!F:F)))</f>
        <v>Rua do Salitre</v>
      </c>
      <c r="H197" t="str" cm="1">
        <f t="array" aca="1" ref="H197" ca="1">INDEX(rua_cod!$A:$A,Médicos!X197) &amp; "-" &amp; TEXT(RANDBETWEEN(0,999),"000")</f>
        <v>2829-434</v>
      </c>
      <c r="I197" t="str" cm="1">
        <f t="array" aca="1" ref="I197" ca="1">INDEX(rua_cod!$B:$B,Médicos!X197)</f>
        <v>Caparica</v>
      </c>
      <c r="J197" t="s">
        <v>341</v>
      </c>
      <c r="K197" t="s">
        <v>225</v>
      </c>
      <c r="L197" t="s">
        <v>265</v>
      </c>
      <c r="M197" t="str">
        <f t="shared" ca="1" si="38"/>
        <v>49283447</v>
      </c>
      <c r="N197" t="str">
        <f t="shared" ca="1" si="39"/>
        <v>257973603</v>
      </c>
      <c r="O197" t="str">
        <f t="shared" ca="1" si="39"/>
        <v>383822423</v>
      </c>
      <c r="P197" t="str" cm="1">
        <f t="array" aca="1" ref="P197" ca="1">9 &amp; INDEX($AH$3:$AH$6,Y197)&amp; TEXT(RANDBETWEEN(0,9999999),"0000000")</f>
        <v>919726563</v>
      </c>
      <c r="Q197" t="str" cm="1">
        <f t="array" aca="1" ref="Q197" ca="1">LOWER(B197) &amp; INDEX($AH$9:$AH$11,Z197)</f>
        <v>med196@hospital.upskill.com</v>
      </c>
      <c r="R197" t="str">
        <f t="shared" si="40"/>
        <v>med196.jpg</v>
      </c>
      <c r="S197" s="8">
        <f t="shared" ca="1" si="41"/>
        <v>4711648490863028</v>
      </c>
      <c r="T197" t="s">
        <v>341</v>
      </c>
      <c r="V197" s="4"/>
      <c r="X197">
        <f ca="1">RANDBETWEEN(2,COUNTA(rua_cod!A:A))</f>
        <v>19</v>
      </c>
      <c r="Y197">
        <f t="shared" ca="1" si="42"/>
        <v>1</v>
      </c>
      <c r="Z197">
        <f t="shared" ca="1" si="43"/>
        <v>2</v>
      </c>
      <c r="AA197">
        <f t="shared" ca="1" si="44"/>
        <v>1953</v>
      </c>
      <c r="AB197">
        <f t="shared" ca="1" si="45"/>
        <v>1</v>
      </c>
      <c r="AC197">
        <f t="shared" ca="1" si="46"/>
        <v>14</v>
      </c>
      <c r="AD197">
        <f t="shared" ca="1" si="47"/>
        <v>67</v>
      </c>
    </row>
    <row r="198" spans="1:30" x14ac:dyDescent="0.25">
      <c r="A198">
        <v>197</v>
      </c>
      <c r="B198" t="str">
        <f t="shared" si="36"/>
        <v>med197</v>
      </c>
      <c r="C198" t="str">
        <f t="shared" si="37"/>
        <v>pswmed197</v>
      </c>
      <c r="D198" t="str">
        <f ca="1">Nomes!T199</f>
        <v>Martim Lara Anjos Brito</v>
      </c>
      <c r="E198" t="str">
        <f ca="1">Nomes!S199</f>
        <v>Masculino</v>
      </c>
      <c r="F198" s="2">
        <v>14423</v>
      </c>
      <c r="G198" t="str" cm="1">
        <f t="array" aca="1" ref="G198" ca="1">INDEX(rua_cod!$F:$F,RANDBETWEEN(2,COUNTA(rua_cod!F:F)))</f>
        <v>Estrada da Circunvalação de Lisboa</v>
      </c>
      <c r="H198" t="str" cm="1">
        <f t="array" aca="1" ref="H198" ca="1">INDEX(rua_cod!$A:$A,Médicos!X198) &amp; "-" &amp; TEXT(RANDBETWEEN(0,999),"000")</f>
        <v>1500-216</v>
      </c>
      <c r="I198" t="str" cm="1">
        <f t="array" aca="1" ref="I198" ca="1">INDEX(rua_cod!$B:$B,Médicos!X198)</f>
        <v>Lisboa</v>
      </c>
      <c r="J198" t="s">
        <v>341</v>
      </c>
      <c r="K198" t="s">
        <v>225</v>
      </c>
      <c r="L198" t="s">
        <v>265</v>
      </c>
      <c r="M198" t="str">
        <f t="shared" ca="1" si="38"/>
        <v>87215648</v>
      </c>
      <c r="N198" t="str">
        <f t="shared" ca="1" si="39"/>
        <v>110193678</v>
      </c>
      <c r="O198" t="str">
        <f t="shared" ca="1" si="39"/>
        <v>279809885</v>
      </c>
      <c r="P198" t="str" cm="1">
        <f t="array" aca="1" ref="P198" ca="1">9 &amp; INDEX($AH$3:$AH$6,Y198)&amp; TEXT(RANDBETWEEN(0,9999999),"0000000")</f>
        <v>916622594</v>
      </c>
      <c r="Q198" t="str" cm="1">
        <f t="array" aca="1" ref="Q198" ca="1">LOWER(B198) &amp; INDEX($AH$9:$AH$11,Z198)</f>
        <v>med197@hospital.upskill.com</v>
      </c>
      <c r="R198" t="str">
        <f t="shared" si="40"/>
        <v>med197.jpg</v>
      </c>
      <c r="S198" s="8">
        <f t="shared" ca="1" si="41"/>
        <v>4658302056815294</v>
      </c>
      <c r="T198" t="s">
        <v>341</v>
      </c>
      <c r="V198" s="4"/>
      <c r="X198">
        <f ca="1">RANDBETWEEN(2,COUNTA(rua_cod!A:A))</f>
        <v>43</v>
      </c>
      <c r="Y198">
        <f t="shared" ca="1" si="42"/>
        <v>1</v>
      </c>
      <c r="Z198">
        <f t="shared" ca="1" si="43"/>
        <v>3</v>
      </c>
      <c r="AA198">
        <f t="shared" ca="1" si="44"/>
        <v>1962</v>
      </c>
      <c r="AB198">
        <f t="shared" ca="1" si="45"/>
        <v>7</v>
      </c>
      <c r="AC198">
        <f t="shared" ca="1" si="46"/>
        <v>25</v>
      </c>
      <c r="AD198">
        <f t="shared" ca="1" si="47"/>
        <v>58</v>
      </c>
    </row>
    <row r="199" spans="1:30" x14ac:dyDescent="0.25">
      <c r="A199">
        <v>198</v>
      </c>
      <c r="B199" t="str">
        <f t="shared" si="36"/>
        <v>med198</v>
      </c>
      <c r="C199" t="str">
        <f t="shared" si="37"/>
        <v>pswmed198</v>
      </c>
      <c r="D199" t="str">
        <f ca="1">Nomes!T200</f>
        <v>Lara Maria Neto Gaspar</v>
      </c>
      <c r="E199" t="str">
        <f ca="1">Nomes!S200</f>
        <v>Feminino</v>
      </c>
      <c r="F199" s="2">
        <v>12035</v>
      </c>
      <c r="G199" t="str" cm="1">
        <f t="array" aca="1" ref="G199" ca="1">INDEX(rua_cod!$F:$F,RANDBETWEEN(2,COUNTA(rua_cod!F:F)))</f>
        <v>Rua Cidade de Bolama</v>
      </c>
      <c r="H199" t="str" cm="1">
        <f t="array" aca="1" ref="H199" ca="1">INDEX(rua_cod!$A:$A,Médicos!X199) &amp; "-" &amp; TEXT(RANDBETWEEN(0,999),"000")</f>
        <v>2809-427</v>
      </c>
      <c r="I199" t="str" cm="1">
        <f t="array" aca="1" ref="I199" ca="1">INDEX(rua_cod!$B:$B,Médicos!X199)</f>
        <v>Almada</v>
      </c>
      <c r="J199" t="s">
        <v>341</v>
      </c>
      <c r="K199" t="s">
        <v>225</v>
      </c>
      <c r="L199" t="s">
        <v>265</v>
      </c>
      <c r="M199" t="str">
        <f t="shared" ca="1" si="38"/>
        <v>79260762</v>
      </c>
      <c r="N199" t="str">
        <f t="shared" ca="1" si="39"/>
        <v>957861949</v>
      </c>
      <c r="O199" t="str">
        <f t="shared" ca="1" si="39"/>
        <v>429165025</v>
      </c>
      <c r="P199" t="str" cm="1">
        <f t="array" aca="1" ref="P199" ca="1">9 &amp; INDEX($AH$3:$AH$6,Y199)&amp; TEXT(RANDBETWEEN(0,9999999),"0000000")</f>
        <v>917380572</v>
      </c>
      <c r="Q199" t="str" cm="1">
        <f t="array" aca="1" ref="Q199" ca="1">LOWER(B199) &amp; INDEX($AH$9:$AH$11,Z199)</f>
        <v>med198@hospital.upskill.com</v>
      </c>
      <c r="R199" t="str">
        <f t="shared" si="40"/>
        <v>med198.jpg</v>
      </c>
      <c r="S199" s="8">
        <f t="shared" ca="1" si="41"/>
        <v>8052990543745678</v>
      </c>
      <c r="T199" t="s">
        <v>341</v>
      </c>
      <c r="V199" s="4"/>
      <c r="X199">
        <f ca="1">RANDBETWEEN(2,COUNTA(rua_cod!A:A))</f>
        <v>5</v>
      </c>
      <c r="Y199">
        <f t="shared" ca="1" si="42"/>
        <v>1</v>
      </c>
      <c r="Z199">
        <f t="shared" ca="1" si="43"/>
        <v>2</v>
      </c>
      <c r="AA199">
        <f t="shared" ca="1" si="44"/>
        <v>1957</v>
      </c>
      <c r="AB199">
        <f t="shared" ca="1" si="45"/>
        <v>3</v>
      </c>
      <c r="AC199">
        <f t="shared" ca="1" si="46"/>
        <v>29</v>
      </c>
      <c r="AD199">
        <f t="shared" ca="1" si="47"/>
        <v>63</v>
      </c>
    </row>
    <row r="200" spans="1:30" x14ac:dyDescent="0.25">
      <c r="F200" s="2"/>
      <c r="V200" s="4"/>
    </row>
    <row r="201" spans="1:30" x14ac:dyDescent="0.25">
      <c r="V201" s="4"/>
    </row>
    <row r="202" spans="1:30" x14ac:dyDescent="0.25">
      <c r="V202" s="4"/>
    </row>
    <row r="203" spans="1:30" x14ac:dyDescent="0.25">
      <c r="V203" s="4"/>
    </row>
    <row r="204" spans="1:30" x14ac:dyDescent="0.25">
      <c r="V204" s="4"/>
    </row>
    <row r="205" spans="1:30" x14ac:dyDescent="0.25">
      <c r="V205" s="4"/>
    </row>
    <row r="206" spans="1:30" x14ac:dyDescent="0.25">
      <c r="V206" s="4"/>
    </row>
    <row r="207" spans="1:30" x14ac:dyDescent="0.25">
      <c r="V207" s="4"/>
    </row>
    <row r="208" spans="1:30" x14ac:dyDescent="0.25">
      <c r="V208" s="4"/>
    </row>
    <row r="209" spans="22:22" x14ac:dyDescent="0.25">
      <c r="V209" s="4"/>
    </row>
    <row r="210" spans="22:22" x14ac:dyDescent="0.25">
      <c r="V210" s="4"/>
    </row>
    <row r="211" spans="22:22" x14ac:dyDescent="0.25">
      <c r="V211" s="4"/>
    </row>
    <row r="212" spans="22:22" x14ac:dyDescent="0.25">
      <c r="V212" s="4"/>
    </row>
    <row r="213" spans="22:22" x14ac:dyDescent="0.25">
      <c r="V213" s="4"/>
    </row>
    <row r="214" spans="22:22" x14ac:dyDescent="0.25">
      <c r="V214" s="4"/>
    </row>
    <row r="215" spans="22:22" x14ac:dyDescent="0.25">
      <c r="V215" s="4"/>
    </row>
    <row r="216" spans="22:22" x14ac:dyDescent="0.25">
      <c r="V216" s="4"/>
    </row>
    <row r="217" spans="22:22" x14ac:dyDescent="0.25">
      <c r="V217" s="4"/>
    </row>
    <row r="218" spans="22:22" x14ac:dyDescent="0.25">
      <c r="V218" s="4"/>
    </row>
    <row r="219" spans="22:22" x14ac:dyDescent="0.25">
      <c r="V219" s="4"/>
    </row>
    <row r="220" spans="22:22" x14ac:dyDescent="0.25">
      <c r="V220" s="4"/>
    </row>
    <row r="221" spans="22:22" x14ac:dyDescent="0.25">
      <c r="V221" s="4"/>
    </row>
    <row r="222" spans="22:22" x14ac:dyDescent="0.25">
      <c r="V222" s="4"/>
    </row>
    <row r="223" spans="22:22" x14ac:dyDescent="0.25">
      <c r="V223" s="4"/>
    </row>
    <row r="224" spans="22:22" x14ac:dyDescent="0.25">
      <c r="V224" s="4"/>
    </row>
    <row r="225" spans="22:22" x14ac:dyDescent="0.25">
      <c r="V225" s="4"/>
    </row>
    <row r="226" spans="22:22" x14ac:dyDescent="0.25">
      <c r="V226" s="4"/>
    </row>
    <row r="227" spans="22:22" x14ac:dyDescent="0.25">
      <c r="V227" s="4"/>
    </row>
    <row r="228" spans="22:22" x14ac:dyDescent="0.25">
      <c r="V228" s="4"/>
    </row>
    <row r="229" spans="22:22" x14ac:dyDescent="0.25">
      <c r="V229" s="4"/>
    </row>
    <row r="230" spans="22:22" x14ac:dyDescent="0.25">
      <c r="V230" s="4"/>
    </row>
    <row r="231" spans="22:22" x14ac:dyDescent="0.25">
      <c r="V231" s="4"/>
    </row>
    <row r="232" spans="22:22" x14ac:dyDescent="0.25">
      <c r="V232" s="4"/>
    </row>
    <row r="233" spans="22:22" x14ac:dyDescent="0.25">
      <c r="V233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40273-2B31-46D9-B547-D7BB85CA0133}">
  <sheetPr codeName="Sheet7"/>
  <dimension ref="A1:AH45"/>
  <sheetViews>
    <sheetView topLeftCell="K1" workbookViewId="0">
      <selection sqref="A1:R1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"rec" &amp; TEXT(A2,"000")</f>
        <v>rec001</v>
      </c>
      <c r="C2" t="str">
        <f>"psw" &amp; B2</f>
        <v>pswrec001</v>
      </c>
      <c r="D2" t="str">
        <f ca="1">Nomes!T50</f>
        <v>Lara Batista Alves</v>
      </c>
      <c r="E2" t="str">
        <f ca="1">Nomes!S50</f>
        <v>Feminino</v>
      </c>
      <c r="F2" s="2">
        <f ca="1">DATE(AA2,AB2,AC2)</f>
        <v>28691</v>
      </c>
      <c r="G2" t="str" cm="1">
        <f t="array" aca="1" ref="G2" ca="1">INDEX(rua_cod!$F:$F,RANDBETWEEN(2,COUNTA(rua_cod!F:F)))</f>
        <v>Rua do Guarda-Mor</v>
      </c>
      <c r="H2" t="str" cm="1">
        <f t="array" aca="1" ref="H2" ca="1">INDEX(rua_cod!$A:$A,Receptionist!X2) &amp; "-" &amp; TEXT(RANDBETWEEN(0,999),"000")</f>
        <v>2419-719</v>
      </c>
      <c r="I2" t="str" cm="1">
        <f t="array" aca="1" ref="I2" ca="1">INDEX(rua_cod!$B:$B,Receptionist!X2)</f>
        <v>Leiria</v>
      </c>
      <c r="J2" t="s">
        <v>3742</v>
      </c>
      <c r="K2" t="s">
        <v>225</v>
      </c>
      <c r="L2" t="s">
        <v>265</v>
      </c>
      <c r="M2" t="str">
        <f ca="1">TEXT(RANDBETWEEN(10000000,99999999),"00000000")</f>
        <v>33475900</v>
      </c>
      <c r="N2" t="str">
        <f ca="1">TEXT(RANDBETWEEN(100000000,999999999),"000000000")</f>
        <v>692362578</v>
      </c>
      <c r="O2" t="str">
        <f ca="1">TEXT(RANDBETWEEN(100000000,999999999),"000000000")</f>
        <v>613605780</v>
      </c>
      <c r="P2" t="str" cm="1">
        <f t="array" aca="1" ref="P2" ca="1">9 &amp; INDEX($AH$3:$AH$6,Y2)&amp; TEXT(RANDBETWEEN(0,9999999),"0000000")</f>
        <v>960127435</v>
      </c>
      <c r="Q2" t="str" cm="1">
        <f t="array" aca="1" ref="Q2" ca="1">LOWER(B2) &amp; INDEX($AH$9:$AH$11,Z2)</f>
        <v>rec001@hospital.upskill.com</v>
      </c>
      <c r="R2" t="str">
        <f>B2 &amp; ".jpg"</f>
        <v>rec001.jpg</v>
      </c>
      <c r="S2" s="8"/>
      <c r="V2" s="4"/>
      <c r="X2">
        <f ca="1">RANDBETWEEN(2,COUNTA(rua_cod!A:A))</f>
        <v>37</v>
      </c>
      <c r="Y2">
        <f ca="1">RANDBETWEEN(1,4)</f>
        <v>4</v>
      </c>
      <c r="Z2">
        <f ca="1">RANDBETWEEN(1,3)</f>
        <v>1</v>
      </c>
      <c r="AA2">
        <f ca="1">RANDBETWEEN(1950,1994)</f>
        <v>1978</v>
      </c>
      <c r="AB2">
        <f ca="1">RANDBETWEEN(1,12)</f>
        <v>7</v>
      </c>
      <c r="AC2">
        <f ca="1">RANDBETWEEN(1,31)</f>
        <v>20</v>
      </c>
      <c r="AD2">
        <f ca="1">2020-AA2</f>
        <v>42</v>
      </c>
      <c r="AH2" t="s">
        <v>266</v>
      </c>
    </row>
    <row r="3" spans="1:34" x14ac:dyDescent="0.25">
      <c r="A3">
        <v>2</v>
      </c>
      <c r="B3" t="str">
        <f t="shared" ref="B3:B11" si="0">"rec" &amp; TEXT(A3,"000")</f>
        <v>rec002</v>
      </c>
      <c r="C3" t="str">
        <f t="shared" ref="C3:C11" si="1">"psw" &amp; B3</f>
        <v>pswrec002</v>
      </c>
      <c r="D3" t="str">
        <f ca="1">Nomes!T51</f>
        <v>Francisco Batista Leal</v>
      </c>
      <c r="E3" t="str">
        <f ca="1">Nomes!S51</f>
        <v>Masculino</v>
      </c>
      <c r="F3" s="2">
        <f t="shared" ref="F3:F11" ca="1" si="2">DATE(AA3,AB3,AC3)</f>
        <v>21230</v>
      </c>
      <c r="G3" t="str" cm="1">
        <f t="array" aca="1" ref="G3" ca="1">INDEX(rua_cod!$F:$F,RANDBETWEEN(2,COUNTA(rua_cod!F:F)))</f>
        <v>Rua Roberto Duarte Silva</v>
      </c>
      <c r="H3" t="str" cm="1">
        <f t="array" aca="1" ref="H3" ca="1">INDEX(rua_cod!$A:$A,Receptionist!X3) &amp; "-" &amp; TEXT(RANDBETWEEN(0,999),"000")</f>
        <v>1750-048</v>
      </c>
      <c r="I3" t="str" cm="1">
        <f t="array" aca="1" ref="I3" ca="1">INDEX(rua_cod!$B:$B,Receptionist!X3)</f>
        <v>Lisboa</v>
      </c>
      <c r="J3" t="s">
        <v>3742</v>
      </c>
      <c r="K3" t="s">
        <v>225</v>
      </c>
      <c r="L3" t="s">
        <v>265</v>
      </c>
      <c r="M3" t="str">
        <f t="shared" ref="M3:M11" ca="1" si="3">TEXT(RANDBETWEEN(10000000,99999999),"00000000")</f>
        <v>98685846</v>
      </c>
      <c r="N3" t="str">
        <f t="shared" ref="N3:O11" ca="1" si="4">TEXT(RANDBETWEEN(100000000,999999999),"000000000")</f>
        <v>396426002</v>
      </c>
      <c r="O3" t="str">
        <f t="shared" ca="1" si="4"/>
        <v>550103495</v>
      </c>
      <c r="P3" t="str" cm="1">
        <f t="array" aca="1" ref="P3" ca="1">9 &amp; INDEX($AH$3:$AH$6,Y3)&amp; TEXT(RANDBETWEEN(0,9999999),"0000000")</f>
        <v>911938510</v>
      </c>
      <c r="Q3" t="str" cm="1">
        <f t="array" aca="1" ref="Q3" ca="1">LOWER(B3) &amp; INDEX($AH$9:$AH$11,Z3)</f>
        <v>rec002@hospital.upskill.com</v>
      </c>
      <c r="R3" t="str">
        <f t="shared" ref="R3:R11" si="5">B3 &amp; ".jpg"</f>
        <v>rec002.jpg</v>
      </c>
      <c r="S3" s="8"/>
      <c r="V3" s="4"/>
      <c r="X3">
        <f ca="1">RANDBETWEEN(2,COUNTA(rua_cod!A:A))</f>
        <v>49</v>
      </c>
      <c r="Y3">
        <f t="shared" ref="Y3:Y11" ca="1" si="6">RANDBETWEEN(1,4)</f>
        <v>1</v>
      </c>
      <c r="Z3">
        <f t="shared" ref="Z3:Z11" ca="1" si="7">RANDBETWEEN(1,3)</f>
        <v>2</v>
      </c>
      <c r="AA3">
        <f t="shared" ref="AA3:AA11" ca="1" si="8">RANDBETWEEN(1950,1994)</f>
        <v>1958</v>
      </c>
      <c r="AB3">
        <f t="shared" ref="AB3:AB11" ca="1" si="9">RANDBETWEEN(1,12)</f>
        <v>2</v>
      </c>
      <c r="AC3">
        <f t="shared" ref="AC3:AC11" ca="1" si="10">RANDBETWEEN(1,31)</f>
        <v>14</v>
      </c>
      <c r="AD3">
        <f t="shared" ref="AD3:AD11" ca="1" si="11">2020-AA3</f>
        <v>62</v>
      </c>
      <c r="AH3">
        <v>1</v>
      </c>
    </row>
    <row r="4" spans="1:34" x14ac:dyDescent="0.25">
      <c r="A4">
        <v>3</v>
      </c>
      <c r="B4" t="str">
        <f t="shared" si="0"/>
        <v>rec003</v>
      </c>
      <c r="C4" t="str">
        <f t="shared" si="1"/>
        <v>pswrec003</v>
      </c>
      <c r="D4" t="str">
        <f ca="1">Nomes!T52</f>
        <v>Diogo Duarte Henriques Lima</v>
      </c>
      <c r="E4" t="str">
        <f ca="1">Nomes!S52</f>
        <v>Masculino</v>
      </c>
      <c r="F4" s="2">
        <f t="shared" ca="1" si="2"/>
        <v>24672</v>
      </c>
      <c r="G4" t="str" cm="1">
        <f t="array" aca="1" ref="G4" ca="1">INDEX(rua_cod!$F:$F,RANDBETWEEN(2,COUNTA(rua_cod!F:F)))</f>
        <v>Rua do Sol a Santana</v>
      </c>
      <c r="H4" t="str" cm="1">
        <f t="array" aca="1" ref="H4" ca="1">INDEX(rua_cod!$A:$A,Receptionist!X4) &amp; "-" &amp; TEXT(RANDBETWEEN(0,999),"000")</f>
        <v>2654-125</v>
      </c>
      <c r="I4" t="str" cm="1">
        <f t="array" aca="1" ref="I4" ca="1">INDEX(rua_cod!$B:$B,Receptionist!X4)</f>
        <v>Amadora</v>
      </c>
      <c r="J4" t="s">
        <v>3742</v>
      </c>
      <c r="K4" t="s">
        <v>225</v>
      </c>
      <c r="L4" t="s">
        <v>265</v>
      </c>
      <c r="M4" t="str">
        <f t="shared" ca="1" si="3"/>
        <v>72032283</v>
      </c>
      <c r="N4" t="str">
        <f t="shared" ca="1" si="4"/>
        <v>866552423</v>
      </c>
      <c r="O4" t="str">
        <f t="shared" ca="1" si="4"/>
        <v>678427706</v>
      </c>
      <c r="P4" t="str" cm="1">
        <f t="array" aca="1" ref="P4" ca="1">9 &amp; INDEX($AH$3:$AH$6,Y4)&amp; TEXT(RANDBETWEEN(0,9999999),"0000000")</f>
        <v>917487519</v>
      </c>
      <c r="Q4" t="str" cm="1">
        <f t="array" aca="1" ref="Q4" ca="1">LOWER(B4) &amp; INDEX($AH$9:$AH$11,Z4)</f>
        <v>rec003@hospital.upskill.com</v>
      </c>
      <c r="R4" t="str">
        <f t="shared" si="5"/>
        <v>rec003.jpg</v>
      </c>
      <c r="S4" s="8"/>
      <c r="V4" s="4"/>
      <c r="X4">
        <f ca="1">RANDBETWEEN(2,COUNTA(rua_cod!A:A))</f>
        <v>14</v>
      </c>
      <c r="Y4">
        <f t="shared" ca="1" si="6"/>
        <v>1</v>
      </c>
      <c r="Z4">
        <f t="shared" ca="1" si="7"/>
        <v>1</v>
      </c>
      <c r="AA4">
        <f t="shared" ca="1" si="8"/>
        <v>1967</v>
      </c>
      <c r="AB4">
        <f t="shared" ca="1" si="9"/>
        <v>7</v>
      </c>
      <c r="AC4">
        <f t="shared" ca="1" si="10"/>
        <v>19</v>
      </c>
      <c r="AD4">
        <f t="shared" ca="1" si="11"/>
        <v>53</v>
      </c>
      <c r="AH4">
        <v>2</v>
      </c>
    </row>
    <row r="5" spans="1:34" x14ac:dyDescent="0.25">
      <c r="A5">
        <v>4</v>
      </c>
      <c r="B5" t="str">
        <f t="shared" si="0"/>
        <v>rec004</v>
      </c>
      <c r="C5" t="str">
        <f t="shared" si="1"/>
        <v>pswrec004</v>
      </c>
      <c r="D5" t="str">
        <f ca="1">Nomes!T53</f>
        <v>José Francisca Carneiro Monteiro</v>
      </c>
      <c r="E5" t="str">
        <f ca="1">Nomes!S53</f>
        <v>Masculino</v>
      </c>
      <c r="F5" s="2">
        <f t="shared" ca="1" si="2"/>
        <v>34452</v>
      </c>
      <c r="G5" t="str" cm="1">
        <f t="array" aca="1" ref="G5" ca="1">INDEX(rua_cod!$F:$F,RANDBETWEEN(2,COUNTA(rua_cod!F:F)))</f>
        <v>Rua do Instituto Bacteriológico</v>
      </c>
      <c r="H5" t="str" cm="1">
        <f t="array" aca="1" ref="H5" ca="1">INDEX(rua_cod!$A:$A,Receptionist!X5) &amp; "-" &amp; TEXT(RANDBETWEEN(0,999),"000")</f>
        <v>1070-132</v>
      </c>
      <c r="I5" t="str" cm="1">
        <f t="array" aca="1" ref="I5" ca="1">INDEX(rua_cod!$B:$B,Receptionist!X5)</f>
        <v>Lisboa</v>
      </c>
      <c r="J5" t="s">
        <v>3742</v>
      </c>
      <c r="K5" t="s">
        <v>225</v>
      </c>
      <c r="L5" t="s">
        <v>265</v>
      </c>
      <c r="M5" t="str">
        <f t="shared" ca="1" si="3"/>
        <v>48835461</v>
      </c>
      <c r="N5" t="str">
        <f t="shared" ca="1" si="4"/>
        <v>493325819</v>
      </c>
      <c r="O5" t="str">
        <f t="shared" ca="1" si="4"/>
        <v>267107197</v>
      </c>
      <c r="P5" t="str" cm="1">
        <f t="array" aca="1" ref="P5" ca="1">9 &amp; INDEX($AH$3:$AH$6,Y5)&amp; TEXT(RANDBETWEEN(0,9999999),"0000000")</f>
        <v>916170179</v>
      </c>
      <c r="Q5" t="str" cm="1">
        <f t="array" aca="1" ref="Q5" ca="1">LOWER(B5) &amp; INDEX($AH$9:$AH$11,Z5)</f>
        <v>rec004@hospital.upskill.com</v>
      </c>
      <c r="R5" t="str">
        <f t="shared" si="5"/>
        <v>rec004.jpg</v>
      </c>
      <c r="S5" s="8"/>
      <c r="V5" s="4"/>
      <c r="X5">
        <f ca="1">RANDBETWEEN(2,COUNTA(rua_cod!A:A))</f>
        <v>51</v>
      </c>
      <c r="Y5">
        <f t="shared" ca="1" si="6"/>
        <v>1</v>
      </c>
      <c r="Z5">
        <f t="shared" ca="1" si="7"/>
        <v>2</v>
      </c>
      <c r="AA5">
        <f t="shared" ca="1" si="8"/>
        <v>1994</v>
      </c>
      <c r="AB5">
        <f t="shared" ca="1" si="9"/>
        <v>4</v>
      </c>
      <c r="AC5">
        <f t="shared" ca="1" si="10"/>
        <v>28</v>
      </c>
      <c r="AD5">
        <f t="shared" ca="1" si="11"/>
        <v>26</v>
      </c>
      <c r="AH5">
        <v>3</v>
      </c>
    </row>
    <row r="6" spans="1:34" x14ac:dyDescent="0.25">
      <c r="A6">
        <v>5</v>
      </c>
      <c r="B6" t="str">
        <f t="shared" si="0"/>
        <v>rec005</v>
      </c>
      <c r="C6" t="str">
        <f t="shared" si="1"/>
        <v>pswrec005</v>
      </c>
      <c r="D6" t="str">
        <f ca="1">Nomes!T54</f>
        <v>Sofia Marco Figueiredo Costa</v>
      </c>
      <c r="E6" t="str">
        <f ca="1">Nomes!S54</f>
        <v>Feminino</v>
      </c>
      <c r="F6" s="2">
        <f t="shared" ca="1" si="2"/>
        <v>29593</v>
      </c>
      <c r="G6" t="str" cm="1">
        <f t="array" aca="1" ref="G6" ca="1">INDEX(rua_cod!$F:$F,RANDBETWEEN(2,COUNTA(rua_cod!F:F)))</f>
        <v>Rua da Junqueira</v>
      </c>
      <c r="H6" t="str" cm="1">
        <f t="array" aca="1" ref="H6" ca="1">INDEX(rua_cod!$A:$A,Receptionist!X6) &amp; "-" &amp; TEXT(RANDBETWEEN(0,999),"000")</f>
        <v>2644-386</v>
      </c>
      <c r="I6" t="str" cm="1">
        <f t="array" aca="1" ref="I6" ca="1">INDEX(rua_cod!$B:$B,Receptionist!X6)</f>
        <v>Mafra</v>
      </c>
      <c r="J6" t="s">
        <v>3742</v>
      </c>
      <c r="K6" t="s">
        <v>225</v>
      </c>
      <c r="L6" t="s">
        <v>265</v>
      </c>
      <c r="M6" t="str">
        <f t="shared" ca="1" si="3"/>
        <v>27706539</v>
      </c>
      <c r="N6" t="str">
        <f t="shared" ca="1" si="4"/>
        <v>936421810</v>
      </c>
      <c r="O6" t="str">
        <f t="shared" ca="1" si="4"/>
        <v>914043436</v>
      </c>
      <c r="P6" t="str" cm="1">
        <f t="array" aca="1" ref="P6" ca="1">9 &amp; INDEX($AH$3:$AH$6,Y6)&amp; TEXT(RANDBETWEEN(0,9999999),"0000000")</f>
        <v>965017397</v>
      </c>
      <c r="Q6" t="str" cm="1">
        <f t="array" aca="1" ref="Q6" ca="1">LOWER(B6) &amp; INDEX($AH$9:$AH$11,Z6)</f>
        <v>rec005@hospital.upskill.com</v>
      </c>
      <c r="R6" t="str">
        <f t="shared" si="5"/>
        <v>rec005.jpg</v>
      </c>
      <c r="S6" s="8"/>
      <c r="V6" s="4"/>
      <c r="X6">
        <f ca="1">RANDBETWEEN(2,COUNTA(rua_cod!A:A))</f>
        <v>86</v>
      </c>
      <c r="Y6">
        <f t="shared" ca="1" si="6"/>
        <v>4</v>
      </c>
      <c r="Z6">
        <f t="shared" ca="1" si="7"/>
        <v>2</v>
      </c>
      <c r="AA6">
        <f t="shared" ca="1" si="8"/>
        <v>1981</v>
      </c>
      <c r="AB6">
        <f t="shared" ca="1" si="9"/>
        <v>1</v>
      </c>
      <c r="AC6">
        <f t="shared" ca="1" si="10"/>
        <v>7</v>
      </c>
      <c r="AD6">
        <f t="shared" ca="1" si="11"/>
        <v>39</v>
      </c>
      <c r="AH6">
        <v>6</v>
      </c>
    </row>
    <row r="7" spans="1:34" x14ac:dyDescent="0.25">
      <c r="A7">
        <v>6</v>
      </c>
      <c r="B7" t="str">
        <f t="shared" si="0"/>
        <v>rec006</v>
      </c>
      <c r="C7" t="str">
        <f t="shared" si="1"/>
        <v>pswrec006</v>
      </c>
      <c r="D7" t="str">
        <f ca="1">Nomes!T55</f>
        <v>Francisca Mariana Branco Cunha</v>
      </c>
      <c r="E7" t="str">
        <f ca="1">Nomes!S55</f>
        <v>Feminino</v>
      </c>
      <c r="F7" s="2">
        <f t="shared" ca="1" si="2"/>
        <v>32711</v>
      </c>
      <c r="G7" t="str" cm="1">
        <f t="array" aca="1" ref="G7" ca="1">INDEX(rua_cod!$F:$F,RANDBETWEEN(2,COUNTA(rua_cod!F:F)))</f>
        <v>Rua dos Fanqueiros</v>
      </c>
      <c r="H7" t="str" cm="1">
        <f t="array" aca="1" ref="H7" ca="1">INDEX(rua_cod!$A:$A,Receptionist!X7) &amp; "-" &amp; TEXT(RANDBETWEEN(0,999),"000")</f>
        <v>2650-415</v>
      </c>
      <c r="I7" t="str" cm="1">
        <f t="array" aca="1" ref="I7" ca="1">INDEX(rua_cod!$B:$B,Receptionist!X7)</f>
        <v>Amadora</v>
      </c>
      <c r="J7" t="s">
        <v>3742</v>
      </c>
      <c r="K7" t="s">
        <v>225</v>
      </c>
      <c r="L7" t="s">
        <v>265</v>
      </c>
      <c r="M7" t="str">
        <f t="shared" ca="1" si="3"/>
        <v>50096171</v>
      </c>
      <c r="N7" t="str">
        <f t="shared" ca="1" si="4"/>
        <v>750605058</v>
      </c>
      <c r="O7" t="str">
        <f t="shared" ca="1" si="4"/>
        <v>915847979</v>
      </c>
      <c r="P7" t="str" cm="1">
        <f t="array" aca="1" ref="P7" ca="1">9 &amp; INDEX($AH$3:$AH$6,Y7)&amp; TEXT(RANDBETWEEN(0,9999999),"0000000")</f>
        <v>966895445</v>
      </c>
      <c r="Q7" t="str" cm="1">
        <f t="array" aca="1" ref="Q7" ca="1">LOWER(B7) &amp; INDEX($AH$9:$AH$11,Z7)</f>
        <v>rec006@hospital.upskill.com</v>
      </c>
      <c r="R7" t="str">
        <f t="shared" si="5"/>
        <v>rec006.jpg</v>
      </c>
      <c r="S7" s="8"/>
      <c r="V7" s="4"/>
      <c r="X7">
        <f ca="1">RANDBETWEEN(2,COUNTA(rua_cod!A:A))</f>
        <v>9</v>
      </c>
      <c r="Y7">
        <f t="shared" ca="1" si="6"/>
        <v>4</v>
      </c>
      <c r="Z7">
        <f t="shared" ca="1" si="7"/>
        <v>2</v>
      </c>
      <c r="AA7">
        <f t="shared" ca="1" si="8"/>
        <v>1989</v>
      </c>
      <c r="AB7">
        <f t="shared" ca="1" si="9"/>
        <v>7</v>
      </c>
      <c r="AC7">
        <f t="shared" ca="1" si="10"/>
        <v>22</v>
      </c>
      <c r="AD7">
        <f t="shared" ca="1" si="11"/>
        <v>31</v>
      </c>
    </row>
    <row r="8" spans="1:34" x14ac:dyDescent="0.25">
      <c r="A8">
        <v>7</v>
      </c>
      <c r="B8" t="str">
        <f t="shared" si="0"/>
        <v>rec007</v>
      </c>
      <c r="C8" t="str">
        <f t="shared" si="1"/>
        <v>pswrec007</v>
      </c>
      <c r="D8" t="str">
        <f ca="1">Nomes!T56</f>
        <v>Francisca Joaquim Carneiro Sá</v>
      </c>
      <c r="E8" t="str">
        <f ca="1">Nomes!S56</f>
        <v>Feminino</v>
      </c>
      <c r="F8" s="2">
        <f t="shared" ca="1" si="2"/>
        <v>33934</v>
      </c>
      <c r="G8" t="str" cm="1">
        <f t="array" aca="1" ref="G8" ca="1">INDEX(rua_cod!$F:$F,RANDBETWEEN(2,COUNTA(rua_cod!F:F)))</f>
        <v>Rua dos Fanqueiros</v>
      </c>
      <c r="H8" t="str" cm="1">
        <f t="array" aca="1" ref="H8" ca="1">INDEX(rua_cod!$A:$A,Receptionist!X8) &amp; "-" &amp; TEXT(RANDBETWEEN(0,999),"000")</f>
        <v>2714-410</v>
      </c>
      <c r="I8" t="str" cm="1">
        <f t="array" aca="1" ref="I8" ca="1">INDEX(rua_cod!$B:$B,Receptionist!X8)</f>
        <v>Sintra</v>
      </c>
      <c r="J8" t="s">
        <v>3742</v>
      </c>
      <c r="K8" t="s">
        <v>225</v>
      </c>
      <c r="L8" t="s">
        <v>265</v>
      </c>
      <c r="M8" t="str">
        <f t="shared" ca="1" si="3"/>
        <v>13886432</v>
      </c>
      <c r="N8" t="str">
        <f t="shared" ca="1" si="4"/>
        <v>696475957</v>
      </c>
      <c r="O8" t="str">
        <f t="shared" ca="1" si="4"/>
        <v>842865298</v>
      </c>
      <c r="P8" t="str" cm="1">
        <f t="array" aca="1" ref="P8" ca="1">9 &amp; INDEX($AH$3:$AH$6,Y8)&amp; TEXT(RANDBETWEEN(0,9999999),"0000000")</f>
        <v>936517421</v>
      </c>
      <c r="Q8" t="str" cm="1">
        <f t="array" aca="1" ref="Q8" ca="1">LOWER(B8) &amp; INDEX($AH$9:$AH$11,Z8)</f>
        <v>rec007@hospital.upskill.com</v>
      </c>
      <c r="R8" t="str">
        <f t="shared" si="5"/>
        <v>rec007.jpg</v>
      </c>
      <c r="S8" s="8"/>
      <c r="V8" s="4"/>
      <c r="X8">
        <f ca="1">RANDBETWEEN(2,COUNTA(rua_cod!A:A))</f>
        <v>101</v>
      </c>
      <c r="Y8">
        <f t="shared" ca="1" si="6"/>
        <v>3</v>
      </c>
      <c r="Z8">
        <f t="shared" ca="1" si="7"/>
        <v>2</v>
      </c>
      <c r="AA8">
        <f t="shared" ca="1" si="8"/>
        <v>1992</v>
      </c>
      <c r="AB8">
        <f t="shared" ca="1" si="9"/>
        <v>11</v>
      </c>
      <c r="AC8">
        <f t="shared" ca="1" si="10"/>
        <v>26</v>
      </c>
      <c r="AD8">
        <f t="shared" ca="1" si="11"/>
        <v>28</v>
      </c>
    </row>
    <row r="9" spans="1:34" x14ac:dyDescent="0.25">
      <c r="A9">
        <v>8</v>
      </c>
      <c r="B9" t="str">
        <f t="shared" si="0"/>
        <v>rec008</v>
      </c>
      <c r="C9" t="str">
        <f t="shared" si="1"/>
        <v>pswrec008</v>
      </c>
      <c r="D9" t="str">
        <f ca="1">Nomes!T57</f>
        <v>Tomás Santiago Pires Amorim</v>
      </c>
      <c r="E9" t="str">
        <f ca="1">Nomes!S57</f>
        <v>Masculino</v>
      </c>
      <c r="F9" s="2">
        <f t="shared" ca="1" si="2"/>
        <v>22729</v>
      </c>
      <c r="G9" t="str" cm="1">
        <f t="array" aca="1" ref="G9" ca="1">INDEX(rua_cod!$F:$F,RANDBETWEEN(2,COUNTA(rua_cod!F:F)))</f>
        <v>Estrada das Laranjeiras</v>
      </c>
      <c r="H9" t="str" cm="1">
        <f t="array" aca="1" ref="H9" ca="1">INDEX(rua_cod!$A:$A,Receptionist!X9) &amp; "-" &amp; TEXT(RANDBETWEEN(0,999),"000")</f>
        <v>1800-749</v>
      </c>
      <c r="I9" t="str" cm="1">
        <f t="array" aca="1" ref="I9" ca="1">INDEX(rua_cod!$B:$B,Receptionist!X9)</f>
        <v>Lisboa</v>
      </c>
      <c r="J9" t="s">
        <v>3742</v>
      </c>
      <c r="K9" t="s">
        <v>225</v>
      </c>
      <c r="L9" t="s">
        <v>265</v>
      </c>
      <c r="M9" t="str">
        <f t="shared" ca="1" si="3"/>
        <v>71604451</v>
      </c>
      <c r="N9" t="str">
        <f t="shared" ca="1" si="4"/>
        <v>537517872</v>
      </c>
      <c r="O9" t="str">
        <f t="shared" ca="1" si="4"/>
        <v>808435040</v>
      </c>
      <c r="P9" t="str" cm="1">
        <f t="array" aca="1" ref="P9" ca="1">9 &amp; INDEX($AH$3:$AH$6,Y9)&amp; TEXT(RANDBETWEEN(0,9999999),"0000000")</f>
        <v>937896827</v>
      </c>
      <c r="Q9" t="str" cm="1">
        <f t="array" aca="1" ref="Q9" ca="1">LOWER(B9) &amp; INDEX($AH$9:$AH$11,Z9)</f>
        <v>rec008@hospital.upskill.com</v>
      </c>
      <c r="R9" t="str">
        <f t="shared" si="5"/>
        <v>rec008.jpg</v>
      </c>
      <c r="S9" s="8"/>
      <c r="V9" s="4"/>
      <c r="X9">
        <f ca="1">RANDBETWEEN(2,COUNTA(rua_cod!A:A))</f>
        <v>56</v>
      </c>
      <c r="Y9">
        <f t="shared" ca="1" si="6"/>
        <v>3</v>
      </c>
      <c r="Z9">
        <f t="shared" ca="1" si="7"/>
        <v>3</v>
      </c>
      <c r="AA9">
        <f t="shared" ca="1" si="8"/>
        <v>1962</v>
      </c>
      <c r="AB9">
        <f t="shared" ca="1" si="9"/>
        <v>3</v>
      </c>
      <c r="AC9">
        <f t="shared" ca="1" si="10"/>
        <v>24</v>
      </c>
      <c r="AD9">
        <f t="shared" ca="1" si="11"/>
        <v>58</v>
      </c>
      <c r="AH9" s="5" t="s">
        <v>340</v>
      </c>
    </row>
    <row r="10" spans="1:34" x14ac:dyDescent="0.25">
      <c r="A10">
        <v>9</v>
      </c>
      <c r="B10" t="str">
        <f t="shared" si="0"/>
        <v>rec009</v>
      </c>
      <c r="C10" t="str">
        <f t="shared" si="1"/>
        <v>pswrec009</v>
      </c>
      <c r="D10" t="str">
        <f ca="1">Nomes!T58</f>
        <v>Maria Afonso Branco Moura</v>
      </c>
      <c r="E10" t="str">
        <f ca="1">Nomes!S58</f>
        <v>Feminino</v>
      </c>
      <c r="F10" s="2">
        <f t="shared" ca="1" si="2"/>
        <v>19552</v>
      </c>
      <c r="G10" t="str" cm="1">
        <f t="array" aca="1" ref="G10" ca="1">INDEX(rua_cod!$F:$F,RANDBETWEEN(2,COUNTA(rua_cod!F:F)))</f>
        <v>Rua Augusta</v>
      </c>
      <c r="H10" t="str" cm="1">
        <f t="array" aca="1" ref="H10" ca="1">INDEX(rua_cod!$A:$A,Receptionist!X10) &amp; "-" &amp; TEXT(RANDBETWEEN(0,999),"000")</f>
        <v>2825-556</v>
      </c>
      <c r="I10" t="str" cm="1">
        <f t="array" aca="1" ref="I10" ca="1">INDEX(rua_cod!$B:$B,Receptionist!X10)</f>
        <v>Caparica</v>
      </c>
      <c r="J10" t="s">
        <v>3742</v>
      </c>
      <c r="K10" t="s">
        <v>225</v>
      </c>
      <c r="L10" t="s">
        <v>265</v>
      </c>
      <c r="M10" t="str">
        <f t="shared" ca="1" si="3"/>
        <v>45404205</v>
      </c>
      <c r="N10" t="str">
        <f t="shared" ca="1" si="4"/>
        <v>497471123</v>
      </c>
      <c r="O10" t="str">
        <f t="shared" ca="1" si="4"/>
        <v>598470804</v>
      </c>
      <c r="P10" t="str" cm="1">
        <f t="array" aca="1" ref="P10" ca="1">9 &amp; INDEX($AH$3:$AH$6,Y10)&amp; TEXT(RANDBETWEEN(0,9999999),"0000000")</f>
        <v>939891674</v>
      </c>
      <c r="Q10" t="str" cm="1">
        <f t="array" aca="1" ref="Q10" ca="1">LOWER(B10) &amp; INDEX($AH$9:$AH$11,Z10)</f>
        <v>rec009@hospital.upskill.com</v>
      </c>
      <c r="R10" t="str">
        <f t="shared" si="5"/>
        <v>rec009.jpg</v>
      </c>
      <c r="S10" s="8"/>
      <c r="V10" s="4"/>
      <c r="X10">
        <f ca="1">RANDBETWEEN(2,COUNTA(rua_cod!A:A))</f>
        <v>18</v>
      </c>
      <c r="Y10">
        <f t="shared" ca="1" si="6"/>
        <v>3</v>
      </c>
      <c r="Z10">
        <f t="shared" ca="1" si="7"/>
        <v>2</v>
      </c>
      <c r="AA10">
        <f t="shared" ca="1" si="8"/>
        <v>1953</v>
      </c>
      <c r="AB10">
        <f t="shared" ca="1" si="9"/>
        <v>7</v>
      </c>
      <c r="AC10">
        <f t="shared" ca="1" si="10"/>
        <v>12</v>
      </c>
      <c r="AD10">
        <f t="shared" ca="1" si="11"/>
        <v>67</v>
      </c>
      <c r="AH10" s="5" t="s">
        <v>340</v>
      </c>
    </row>
    <row r="11" spans="1:34" x14ac:dyDescent="0.25">
      <c r="A11">
        <v>10</v>
      </c>
      <c r="B11" t="str">
        <f t="shared" si="0"/>
        <v>rec010</v>
      </c>
      <c r="C11" t="str">
        <f t="shared" si="1"/>
        <v>pswrec010</v>
      </c>
      <c r="D11" t="str">
        <f ca="1">Nomes!T59</f>
        <v>Sofia Lara Gonçalves Mota</v>
      </c>
      <c r="E11" t="str">
        <f ca="1">Nomes!S59</f>
        <v>Feminino</v>
      </c>
      <c r="F11" s="2">
        <f t="shared" ca="1" si="2"/>
        <v>26756</v>
      </c>
      <c r="G11" t="str" cm="1">
        <f t="array" aca="1" ref="G11" ca="1">INDEX(rua_cod!$F:$F,RANDBETWEEN(2,COUNTA(rua_cod!F:F)))</f>
        <v>Rua Augusta</v>
      </c>
      <c r="H11" t="str" cm="1">
        <f t="array" aca="1" ref="H11" ca="1">INDEX(rua_cod!$A:$A,Receptionist!X11) &amp; "-" &amp; TEXT(RANDBETWEEN(0,999),"000")</f>
        <v>2004-734</v>
      </c>
      <c r="I11" t="str" cm="1">
        <f t="array" aca="1" ref="I11" ca="1">INDEX(rua_cod!$B:$B,Receptionist!X11)</f>
        <v>Santarém</v>
      </c>
      <c r="J11" t="s">
        <v>3742</v>
      </c>
      <c r="K11" t="s">
        <v>225</v>
      </c>
      <c r="L11" t="s">
        <v>265</v>
      </c>
      <c r="M11" t="str">
        <f t="shared" ca="1" si="3"/>
        <v>97035291</v>
      </c>
      <c r="N11" t="str">
        <f t="shared" ca="1" si="4"/>
        <v>688967582</v>
      </c>
      <c r="O11" t="str">
        <f t="shared" ca="1" si="4"/>
        <v>839582804</v>
      </c>
      <c r="P11" t="str" cm="1">
        <f t="array" aca="1" ref="P11" ca="1">9 &amp; INDEX($AH$3:$AH$6,Y11)&amp; TEXT(RANDBETWEEN(0,9999999),"0000000")</f>
        <v>916597440</v>
      </c>
      <c r="Q11" t="str" cm="1">
        <f t="array" aca="1" ref="Q11" ca="1">LOWER(B11) &amp; INDEX($AH$9:$AH$11,Z11)</f>
        <v>rec010@hospital.upskill.com</v>
      </c>
      <c r="R11" t="str">
        <f t="shared" si="5"/>
        <v>rec010.jpg</v>
      </c>
      <c r="S11" s="8"/>
      <c r="V11" s="4"/>
      <c r="X11">
        <f ca="1">RANDBETWEEN(2,COUNTA(rua_cod!A:A))</f>
        <v>94</v>
      </c>
      <c r="Y11">
        <f t="shared" ca="1" si="6"/>
        <v>1</v>
      </c>
      <c r="Z11">
        <f t="shared" ca="1" si="7"/>
        <v>3</v>
      </c>
      <c r="AA11">
        <f t="shared" ca="1" si="8"/>
        <v>1973</v>
      </c>
      <c r="AB11">
        <f t="shared" ca="1" si="9"/>
        <v>4</v>
      </c>
      <c r="AC11">
        <f t="shared" ca="1" si="10"/>
        <v>2</v>
      </c>
      <c r="AD11">
        <f t="shared" ca="1" si="11"/>
        <v>47</v>
      </c>
      <c r="AH11" s="5" t="s">
        <v>340</v>
      </c>
    </row>
    <row r="12" spans="1:34" x14ac:dyDescent="0.25">
      <c r="F12" s="2"/>
      <c r="V12" s="4"/>
    </row>
    <row r="13" spans="1:34" x14ac:dyDescent="0.25">
      <c r="V13" s="4"/>
    </row>
    <row r="14" spans="1:34" x14ac:dyDescent="0.25">
      <c r="V14" s="4"/>
    </row>
    <row r="15" spans="1:34" x14ac:dyDescent="0.25">
      <c r="V15" s="4"/>
    </row>
    <row r="16" spans="1:34" x14ac:dyDescent="0.25">
      <c r="V16" s="4"/>
    </row>
    <row r="17" spans="22:22" x14ac:dyDescent="0.25">
      <c r="V17" s="4"/>
    </row>
    <row r="18" spans="22:22" x14ac:dyDescent="0.25">
      <c r="V18" s="4"/>
    </row>
    <row r="19" spans="22:22" x14ac:dyDescent="0.25">
      <c r="V19" s="4"/>
    </row>
    <row r="20" spans="22:22" x14ac:dyDescent="0.25">
      <c r="V20" s="4"/>
    </row>
    <row r="21" spans="22:22" x14ac:dyDescent="0.25">
      <c r="V21" s="4"/>
    </row>
    <row r="22" spans="22:22" x14ac:dyDescent="0.25">
      <c r="V22" s="4"/>
    </row>
    <row r="23" spans="22:22" x14ac:dyDescent="0.25">
      <c r="V23" s="4"/>
    </row>
    <row r="24" spans="22:22" x14ac:dyDescent="0.25">
      <c r="V24" s="4"/>
    </row>
    <row r="25" spans="22:22" x14ac:dyDescent="0.25">
      <c r="V25" s="4"/>
    </row>
    <row r="26" spans="22:22" x14ac:dyDescent="0.25">
      <c r="V26" s="4"/>
    </row>
    <row r="27" spans="22:22" x14ac:dyDescent="0.25">
      <c r="V27" s="4"/>
    </row>
    <row r="28" spans="22:22" x14ac:dyDescent="0.25">
      <c r="V28" s="4"/>
    </row>
    <row r="29" spans="22:22" x14ac:dyDescent="0.25">
      <c r="V29" s="4"/>
    </row>
    <row r="30" spans="22:22" x14ac:dyDescent="0.25">
      <c r="V30" s="4"/>
    </row>
    <row r="31" spans="22:22" x14ac:dyDescent="0.25">
      <c r="V31" s="4"/>
    </row>
    <row r="32" spans="22:22" x14ac:dyDescent="0.25">
      <c r="V32" s="4"/>
    </row>
    <row r="33" spans="22:22" x14ac:dyDescent="0.25">
      <c r="V33" s="4"/>
    </row>
    <row r="34" spans="22:22" x14ac:dyDescent="0.25">
      <c r="V34" s="4"/>
    </row>
    <row r="35" spans="22:22" x14ac:dyDescent="0.25">
      <c r="V35" s="4"/>
    </row>
    <row r="36" spans="22:22" x14ac:dyDescent="0.25">
      <c r="V36" s="4"/>
    </row>
    <row r="37" spans="22:22" x14ac:dyDescent="0.25">
      <c r="V37" s="4"/>
    </row>
    <row r="38" spans="22:22" x14ac:dyDescent="0.25">
      <c r="V38" s="4"/>
    </row>
    <row r="39" spans="22:22" x14ac:dyDescent="0.25">
      <c r="V39" s="4"/>
    </row>
    <row r="40" spans="22:22" x14ac:dyDescent="0.25">
      <c r="V40" s="4"/>
    </row>
    <row r="41" spans="22:22" x14ac:dyDescent="0.25">
      <c r="V41" s="4"/>
    </row>
    <row r="42" spans="22:22" x14ac:dyDescent="0.25">
      <c r="V42" s="4"/>
    </row>
    <row r="43" spans="22:22" x14ac:dyDescent="0.25">
      <c r="V43" s="4"/>
    </row>
    <row r="44" spans="22:22" x14ac:dyDescent="0.25">
      <c r="V44" s="4"/>
    </row>
    <row r="45" spans="22:22" x14ac:dyDescent="0.25">
      <c r="V45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65253-D333-46F6-8CAA-3DE07225AB3A}">
  <dimension ref="A4:D191"/>
  <sheetViews>
    <sheetView workbookViewId="0">
      <selection activeCell="B154" sqref="B4:B154"/>
    </sheetView>
  </sheetViews>
  <sheetFormatPr defaultRowHeight="15" x14ac:dyDescent="0.25"/>
  <sheetData>
    <row r="4" spans="1:4" x14ac:dyDescent="0.25">
      <c r="A4" t="s">
        <v>3723</v>
      </c>
      <c r="B4" t="s">
        <v>3724</v>
      </c>
      <c r="D4" s="5" t="s">
        <v>3725</v>
      </c>
    </row>
    <row r="5" spans="1:4" x14ac:dyDescent="0.25">
      <c r="A5">
        <v>1</v>
      </c>
      <c r="B5">
        <v>1</v>
      </c>
      <c r="D5" t="str">
        <f>"VALUES ('"&amp;A5&amp;"', '"&amp;B5&amp;"'),"</f>
        <v>VALUES ('1', '1'),</v>
      </c>
    </row>
    <row r="6" spans="1:4" x14ac:dyDescent="0.25">
      <c r="A6">
        <v>2</v>
      </c>
      <c r="B6">
        <v>2</v>
      </c>
      <c r="D6" t="str">
        <f>"('"&amp;A6&amp;"', '"&amp;B6&amp;"'),"</f>
        <v>('2', '2'),</v>
      </c>
    </row>
    <row r="7" spans="1:4" x14ac:dyDescent="0.25">
      <c r="A7">
        <v>3</v>
      </c>
      <c r="B7">
        <v>3</v>
      </c>
      <c r="D7" t="str">
        <f t="shared" ref="D7:D70" si="0">"('"&amp;A7&amp;"', '"&amp;B7&amp;"'),"</f>
        <v>('3', '3'),</v>
      </c>
    </row>
    <row r="8" spans="1:4" x14ac:dyDescent="0.25">
      <c r="A8">
        <v>4</v>
      </c>
      <c r="B8">
        <v>4</v>
      </c>
      <c r="D8" t="str">
        <f t="shared" si="0"/>
        <v>('4', '4'),</v>
      </c>
    </row>
    <row r="9" spans="1:4" x14ac:dyDescent="0.25">
      <c r="A9">
        <v>5</v>
      </c>
      <c r="B9">
        <v>5</v>
      </c>
      <c r="D9" t="str">
        <f t="shared" si="0"/>
        <v>('5', '5'),</v>
      </c>
    </row>
    <row r="10" spans="1:4" x14ac:dyDescent="0.25">
      <c r="A10">
        <v>6</v>
      </c>
      <c r="B10">
        <v>6</v>
      </c>
      <c r="D10" t="str">
        <f t="shared" si="0"/>
        <v>('6', '6'),</v>
      </c>
    </row>
    <row r="11" spans="1:4" x14ac:dyDescent="0.25">
      <c r="A11">
        <v>7</v>
      </c>
      <c r="B11">
        <v>7</v>
      </c>
      <c r="D11" t="str">
        <f t="shared" si="0"/>
        <v>('7', '7'),</v>
      </c>
    </row>
    <row r="12" spans="1:4" x14ac:dyDescent="0.25">
      <c r="A12">
        <v>8</v>
      </c>
      <c r="B12">
        <v>8</v>
      </c>
      <c r="D12" t="str">
        <f t="shared" si="0"/>
        <v>('8', '8'),</v>
      </c>
    </row>
    <row r="13" spans="1:4" x14ac:dyDescent="0.25">
      <c r="A13">
        <v>9</v>
      </c>
      <c r="B13">
        <v>9</v>
      </c>
      <c r="D13" t="str">
        <f t="shared" si="0"/>
        <v>('9', '9'),</v>
      </c>
    </row>
    <row r="14" spans="1:4" x14ac:dyDescent="0.25">
      <c r="A14">
        <v>10</v>
      </c>
      <c r="B14">
        <v>10</v>
      </c>
      <c r="D14" t="str">
        <f t="shared" si="0"/>
        <v>('10', '10'),</v>
      </c>
    </row>
    <row r="15" spans="1:4" x14ac:dyDescent="0.25">
      <c r="A15">
        <v>11</v>
      </c>
      <c r="B15">
        <v>11</v>
      </c>
      <c r="D15" t="str">
        <f t="shared" si="0"/>
        <v>('11', '11'),</v>
      </c>
    </row>
    <row r="16" spans="1:4" x14ac:dyDescent="0.25">
      <c r="A16">
        <v>12</v>
      </c>
      <c r="B16">
        <v>12</v>
      </c>
      <c r="D16" t="str">
        <f t="shared" si="0"/>
        <v>('12', '12'),</v>
      </c>
    </row>
    <row r="17" spans="1:4" x14ac:dyDescent="0.25">
      <c r="A17">
        <v>13</v>
      </c>
      <c r="B17">
        <v>13</v>
      </c>
      <c r="D17" t="str">
        <f t="shared" si="0"/>
        <v>('13', '13'),</v>
      </c>
    </row>
    <row r="18" spans="1:4" x14ac:dyDescent="0.25">
      <c r="A18">
        <v>14</v>
      </c>
      <c r="B18">
        <v>14</v>
      </c>
      <c r="D18" t="str">
        <f t="shared" si="0"/>
        <v>('14', '14'),</v>
      </c>
    </row>
    <row r="19" spans="1:4" x14ac:dyDescent="0.25">
      <c r="A19">
        <v>15</v>
      </c>
      <c r="B19">
        <v>15</v>
      </c>
      <c r="D19" t="str">
        <f t="shared" si="0"/>
        <v>('15', '15'),</v>
      </c>
    </row>
    <row r="20" spans="1:4" x14ac:dyDescent="0.25">
      <c r="A20">
        <v>16</v>
      </c>
      <c r="B20">
        <v>16</v>
      </c>
      <c r="D20" t="str">
        <f t="shared" si="0"/>
        <v>('16', '16'),</v>
      </c>
    </row>
    <row r="21" spans="1:4" x14ac:dyDescent="0.25">
      <c r="A21">
        <v>17</v>
      </c>
      <c r="B21">
        <v>17</v>
      </c>
      <c r="D21" t="str">
        <f t="shared" si="0"/>
        <v>('17', '17'),</v>
      </c>
    </row>
    <row r="22" spans="1:4" x14ac:dyDescent="0.25">
      <c r="A22">
        <v>18</v>
      </c>
      <c r="B22">
        <v>18</v>
      </c>
      <c r="D22" t="str">
        <f t="shared" si="0"/>
        <v>('18', '18'),</v>
      </c>
    </row>
    <row r="23" spans="1:4" x14ac:dyDescent="0.25">
      <c r="A23">
        <v>19</v>
      </c>
      <c r="B23">
        <v>19</v>
      </c>
      <c r="D23" t="str">
        <f t="shared" si="0"/>
        <v>('19', '19'),</v>
      </c>
    </row>
    <row r="24" spans="1:4" x14ac:dyDescent="0.25">
      <c r="A24">
        <v>20</v>
      </c>
      <c r="B24">
        <v>20</v>
      </c>
      <c r="D24" t="str">
        <f t="shared" si="0"/>
        <v>('20', '20'),</v>
      </c>
    </row>
    <row r="25" spans="1:4" x14ac:dyDescent="0.25">
      <c r="A25">
        <v>21</v>
      </c>
      <c r="B25">
        <v>21</v>
      </c>
      <c r="D25" t="str">
        <f t="shared" si="0"/>
        <v>('21', '21'),</v>
      </c>
    </row>
    <row r="26" spans="1:4" x14ac:dyDescent="0.25">
      <c r="A26">
        <v>22</v>
      </c>
      <c r="B26">
        <v>22</v>
      </c>
      <c r="D26" t="str">
        <f t="shared" si="0"/>
        <v>('22', '22'),</v>
      </c>
    </row>
    <row r="27" spans="1:4" x14ac:dyDescent="0.25">
      <c r="A27">
        <v>23</v>
      </c>
      <c r="B27">
        <v>23</v>
      </c>
      <c r="D27" t="str">
        <f t="shared" si="0"/>
        <v>('23', '23'),</v>
      </c>
    </row>
    <row r="28" spans="1:4" x14ac:dyDescent="0.25">
      <c r="A28">
        <v>24</v>
      </c>
      <c r="B28">
        <v>24</v>
      </c>
      <c r="D28" t="str">
        <f t="shared" si="0"/>
        <v>('24', '24'),</v>
      </c>
    </row>
    <row r="29" spans="1:4" x14ac:dyDescent="0.25">
      <c r="A29">
        <v>25</v>
      </c>
      <c r="B29">
        <v>25</v>
      </c>
      <c r="D29" t="str">
        <f t="shared" si="0"/>
        <v>('25', '25'),</v>
      </c>
    </row>
    <row r="30" spans="1:4" x14ac:dyDescent="0.25">
      <c r="A30">
        <v>26</v>
      </c>
      <c r="B30">
        <v>26</v>
      </c>
      <c r="D30" t="str">
        <f t="shared" si="0"/>
        <v>('26', '26'),</v>
      </c>
    </row>
    <row r="31" spans="1:4" x14ac:dyDescent="0.25">
      <c r="A31">
        <v>27</v>
      </c>
      <c r="B31">
        <v>27</v>
      </c>
      <c r="D31" t="str">
        <f t="shared" si="0"/>
        <v>('27', '27'),</v>
      </c>
    </row>
    <row r="32" spans="1:4" x14ac:dyDescent="0.25">
      <c r="A32">
        <v>28</v>
      </c>
      <c r="B32">
        <v>28</v>
      </c>
      <c r="D32" t="str">
        <f t="shared" si="0"/>
        <v>('28', '28'),</v>
      </c>
    </row>
    <row r="33" spans="1:4" x14ac:dyDescent="0.25">
      <c r="A33">
        <v>29</v>
      </c>
      <c r="B33">
        <v>29</v>
      </c>
      <c r="D33" t="str">
        <f t="shared" si="0"/>
        <v>('29', '29'),</v>
      </c>
    </row>
    <row r="34" spans="1:4" x14ac:dyDescent="0.25">
      <c r="A34">
        <v>30</v>
      </c>
      <c r="B34">
        <v>30</v>
      </c>
      <c r="D34" t="str">
        <f t="shared" si="0"/>
        <v>('30', '30'),</v>
      </c>
    </row>
    <row r="35" spans="1:4" x14ac:dyDescent="0.25">
      <c r="A35">
        <v>31</v>
      </c>
      <c r="B35">
        <v>31</v>
      </c>
      <c r="D35" t="str">
        <f t="shared" si="0"/>
        <v>('31', '31'),</v>
      </c>
    </row>
    <row r="36" spans="1:4" x14ac:dyDescent="0.25">
      <c r="A36">
        <v>32</v>
      </c>
      <c r="B36">
        <v>32</v>
      </c>
      <c r="D36" t="str">
        <f t="shared" si="0"/>
        <v>('32', '32'),</v>
      </c>
    </row>
    <row r="37" spans="1:4" x14ac:dyDescent="0.25">
      <c r="A37">
        <v>33</v>
      </c>
      <c r="B37">
        <v>33</v>
      </c>
      <c r="D37" t="str">
        <f t="shared" si="0"/>
        <v>('33', '33'),</v>
      </c>
    </row>
    <row r="38" spans="1:4" x14ac:dyDescent="0.25">
      <c r="A38">
        <v>34</v>
      </c>
      <c r="B38">
        <v>34</v>
      </c>
      <c r="D38" t="str">
        <f t="shared" si="0"/>
        <v>('34', '34'),</v>
      </c>
    </row>
    <row r="39" spans="1:4" x14ac:dyDescent="0.25">
      <c r="A39">
        <v>35</v>
      </c>
      <c r="B39">
        <v>35</v>
      </c>
      <c r="D39" t="str">
        <f t="shared" si="0"/>
        <v>('35', '35'),</v>
      </c>
    </row>
    <row r="40" spans="1:4" x14ac:dyDescent="0.25">
      <c r="A40">
        <v>36</v>
      </c>
      <c r="B40">
        <v>36</v>
      </c>
      <c r="D40" t="str">
        <f t="shared" si="0"/>
        <v>('36', '36'),</v>
      </c>
    </row>
    <row r="41" spans="1:4" x14ac:dyDescent="0.25">
      <c r="A41">
        <v>37</v>
      </c>
      <c r="B41">
        <v>37</v>
      </c>
      <c r="D41" t="str">
        <f t="shared" si="0"/>
        <v>('37', '37'),</v>
      </c>
    </row>
    <row r="42" spans="1:4" x14ac:dyDescent="0.25">
      <c r="A42">
        <v>38</v>
      </c>
      <c r="B42">
        <v>38</v>
      </c>
      <c r="D42" t="str">
        <f t="shared" si="0"/>
        <v>('38', '38'),</v>
      </c>
    </row>
    <row r="43" spans="1:4" x14ac:dyDescent="0.25">
      <c r="A43">
        <v>39</v>
      </c>
      <c r="B43">
        <v>39</v>
      </c>
      <c r="D43" t="str">
        <f t="shared" si="0"/>
        <v>('39', '39'),</v>
      </c>
    </row>
    <row r="44" spans="1:4" x14ac:dyDescent="0.25">
      <c r="A44">
        <v>40</v>
      </c>
      <c r="B44">
        <v>40</v>
      </c>
      <c r="D44" t="str">
        <f t="shared" si="0"/>
        <v>('40', '40'),</v>
      </c>
    </row>
    <row r="45" spans="1:4" x14ac:dyDescent="0.25">
      <c r="A45">
        <v>41</v>
      </c>
      <c r="B45">
        <v>41</v>
      </c>
      <c r="D45" t="str">
        <f t="shared" si="0"/>
        <v>('41', '41'),</v>
      </c>
    </row>
    <row r="46" spans="1:4" x14ac:dyDescent="0.25">
      <c r="A46">
        <v>42</v>
      </c>
      <c r="B46">
        <v>42</v>
      </c>
      <c r="D46" t="str">
        <f t="shared" si="0"/>
        <v>('42', '42'),</v>
      </c>
    </row>
    <row r="47" spans="1:4" x14ac:dyDescent="0.25">
      <c r="A47">
        <v>43</v>
      </c>
      <c r="B47">
        <v>43</v>
      </c>
      <c r="D47" t="str">
        <f t="shared" si="0"/>
        <v>('43', '43'),</v>
      </c>
    </row>
    <row r="48" spans="1:4" x14ac:dyDescent="0.25">
      <c r="A48">
        <v>44</v>
      </c>
      <c r="B48">
        <v>44</v>
      </c>
      <c r="D48" t="str">
        <f t="shared" si="0"/>
        <v>('44', '44'),</v>
      </c>
    </row>
    <row r="49" spans="1:4" x14ac:dyDescent="0.25">
      <c r="A49">
        <v>45</v>
      </c>
      <c r="B49">
        <v>45</v>
      </c>
      <c r="D49" t="str">
        <f t="shared" si="0"/>
        <v>('45', '45'),</v>
      </c>
    </row>
    <row r="50" spans="1:4" x14ac:dyDescent="0.25">
      <c r="A50">
        <v>46</v>
      </c>
      <c r="B50">
        <v>46</v>
      </c>
      <c r="D50" t="str">
        <f t="shared" si="0"/>
        <v>('46', '46'),</v>
      </c>
    </row>
    <row r="51" spans="1:4" x14ac:dyDescent="0.25">
      <c r="A51">
        <v>47</v>
      </c>
      <c r="B51">
        <v>47</v>
      </c>
      <c r="D51" t="str">
        <f t="shared" si="0"/>
        <v>('47', '47'),</v>
      </c>
    </row>
    <row r="52" spans="1:4" x14ac:dyDescent="0.25">
      <c r="A52">
        <v>48</v>
      </c>
      <c r="B52">
        <v>48</v>
      </c>
      <c r="D52" t="str">
        <f t="shared" si="0"/>
        <v>('48', '48'),</v>
      </c>
    </row>
    <row r="53" spans="1:4" x14ac:dyDescent="0.25">
      <c r="A53">
        <v>49</v>
      </c>
      <c r="B53">
        <v>49</v>
      </c>
      <c r="D53" t="str">
        <f t="shared" si="0"/>
        <v>('49', '49'),</v>
      </c>
    </row>
    <row r="54" spans="1:4" x14ac:dyDescent="0.25">
      <c r="A54">
        <v>50</v>
      </c>
      <c r="B54">
        <v>50</v>
      </c>
      <c r="D54" t="str">
        <f t="shared" si="0"/>
        <v>('50', '50'),</v>
      </c>
    </row>
    <row r="55" spans="1:4" x14ac:dyDescent="0.25">
      <c r="A55">
        <v>51</v>
      </c>
      <c r="B55">
        <v>1</v>
      </c>
      <c r="D55" t="str">
        <f t="shared" si="0"/>
        <v>('51', '1'),</v>
      </c>
    </row>
    <row r="56" spans="1:4" x14ac:dyDescent="0.25">
      <c r="A56">
        <v>52</v>
      </c>
      <c r="B56">
        <v>2</v>
      </c>
      <c r="D56" t="str">
        <f t="shared" si="0"/>
        <v>('52', '2'),</v>
      </c>
    </row>
    <row r="57" spans="1:4" x14ac:dyDescent="0.25">
      <c r="A57">
        <v>53</v>
      </c>
      <c r="B57">
        <v>3</v>
      </c>
      <c r="D57" t="str">
        <f t="shared" si="0"/>
        <v>('53', '3'),</v>
      </c>
    </row>
    <row r="58" spans="1:4" x14ac:dyDescent="0.25">
      <c r="A58">
        <v>54</v>
      </c>
      <c r="B58">
        <v>4</v>
      </c>
      <c r="D58" t="str">
        <f t="shared" si="0"/>
        <v>('54', '4'),</v>
      </c>
    </row>
    <row r="59" spans="1:4" x14ac:dyDescent="0.25">
      <c r="A59">
        <v>55</v>
      </c>
      <c r="B59">
        <v>5</v>
      </c>
      <c r="D59" t="str">
        <f t="shared" si="0"/>
        <v>('55', '5'),</v>
      </c>
    </row>
    <row r="60" spans="1:4" x14ac:dyDescent="0.25">
      <c r="A60">
        <v>56</v>
      </c>
      <c r="B60">
        <v>6</v>
      </c>
      <c r="D60" t="str">
        <f t="shared" si="0"/>
        <v>('56', '6'),</v>
      </c>
    </row>
    <row r="61" spans="1:4" x14ac:dyDescent="0.25">
      <c r="A61">
        <v>57</v>
      </c>
      <c r="B61">
        <v>7</v>
      </c>
      <c r="D61" t="str">
        <f t="shared" si="0"/>
        <v>('57', '7'),</v>
      </c>
    </row>
    <row r="62" spans="1:4" x14ac:dyDescent="0.25">
      <c r="A62">
        <v>58</v>
      </c>
      <c r="B62">
        <v>8</v>
      </c>
      <c r="D62" t="str">
        <f t="shared" si="0"/>
        <v>('58', '8'),</v>
      </c>
    </row>
    <row r="63" spans="1:4" x14ac:dyDescent="0.25">
      <c r="A63">
        <v>59</v>
      </c>
      <c r="B63">
        <v>9</v>
      </c>
      <c r="D63" t="str">
        <f t="shared" si="0"/>
        <v>('59', '9'),</v>
      </c>
    </row>
    <row r="64" spans="1:4" x14ac:dyDescent="0.25">
      <c r="A64">
        <v>60</v>
      </c>
      <c r="B64">
        <v>10</v>
      </c>
      <c r="D64" t="str">
        <f t="shared" si="0"/>
        <v>('60', '10'),</v>
      </c>
    </row>
    <row r="65" spans="1:4" x14ac:dyDescent="0.25">
      <c r="A65">
        <v>61</v>
      </c>
      <c r="B65">
        <v>11</v>
      </c>
      <c r="D65" t="str">
        <f t="shared" si="0"/>
        <v>('61', '11'),</v>
      </c>
    </row>
    <row r="66" spans="1:4" x14ac:dyDescent="0.25">
      <c r="A66">
        <v>62</v>
      </c>
      <c r="B66">
        <v>12</v>
      </c>
      <c r="D66" t="str">
        <f t="shared" si="0"/>
        <v>('62', '12'),</v>
      </c>
    </row>
    <row r="67" spans="1:4" x14ac:dyDescent="0.25">
      <c r="A67">
        <v>63</v>
      </c>
      <c r="B67">
        <v>13</v>
      </c>
      <c r="D67" t="str">
        <f t="shared" si="0"/>
        <v>('63', '13'),</v>
      </c>
    </row>
    <row r="68" spans="1:4" x14ac:dyDescent="0.25">
      <c r="A68">
        <v>64</v>
      </c>
      <c r="B68">
        <v>14</v>
      </c>
      <c r="D68" t="str">
        <f t="shared" si="0"/>
        <v>('64', '14'),</v>
      </c>
    </row>
    <row r="69" spans="1:4" x14ac:dyDescent="0.25">
      <c r="A69">
        <v>65</v>
      </c>
      <c r="B69">
        <v>15</v>
      </c>
      <c r="D69" t="str">
        <f t="shared" si="0"/>
        <v>('65', '15'),</v>
      </c>
    </row>
    <row r="70" spans="1:4" x14ac:dyDescent="0.25">
      <c r="A70">
        <v>66</v>
      </c>
      <c r="B70">
        <v>16</v>
      </c>
      <c r="D70" t="str">
        <f t="shared" si="0"/>
        <v>('66', '16'),</v>
      </c>
    </row>
    <row r="71" spans="1:4" x14ac:dyDescent="0.25">
      <c r="A71">
        <v>67</v>
      </c>
      <c r="B71">
        <v>17</v>
      </c>
      <c r="D71" t="str">
        <f t="shared" ref="D71:D134" si="1">"('"&amp;A71&amp;"', '"&amp;B71&amp;"'),"</f>
        <v>('67', '17'),</v>
      </c>
    </row>
    <row r="72" spans="1:4" x14ac:dyDescent="0.25">
      <c r="A72">
        <v>68</v>
      </c>
      <c r="B72">
        <v>18</v>
      </c>
      <c r="D72" t="str">
        <f t="shared" si="1"/>
        <v>('68', '18'),</v>
      </c>
    </row>
    <row r="73" spans="1:4" x14ac:dyDescent="0.25">
      <c r="A73">
        <v>69</v>
      </c>
      <c r="B73">
        <v>19</v>
      </c>
      <c r="D73" t="str">
        <f t="shared" si="1"/>
        <v>('69', '19'),</v>
      </c>
    </row>
    <row r="74" spans="1:4" x14ac:dyDescent="0.25">
      <c r="A74">
        <v>70</v>
      </c>
      <c r="B74">
        <v>20</v>
      </c>
      <c r="D74" t="str">
        <f t="shared" si="1"/>
        <v>('70', '20'),</v>
      </c>
    </row>
    <row r="75" spans="1:4" x14ac:dyDescent="0.25">
      <c r="A75">
        <v>71</v>
      </c>
      <c r="B75">
        <v>21</v>
      </c>
      <c r="D75" t="str">
        <f t="shared" si="1"/>
        <v>('71', '21'),</v>
      </c>
    </row>
    <row r="76" spans="1:4" x14ac:dyDescent="0.25">
      <c r="A76">
        <v>72</v>
      </c>
      <c r="B76">
        <v>22</v>
      </c>
      <c r="D76" t="str">
        <f t="shared" si="1"/>
        <v>('72', '22'),</v>
      </c>
    </row>
    <row r="77" spans="1:4" x14ac:dyDescent="0.25">
      <c r="A77">
        <v>73</v>
      </c>
      <c r="B77">
        <v>23</v>
      </c>
      <c r="D77" t="str">
        <f t="shared" si="1"/>
        <v>('73', '23'),</v>
      </c>
    </row>
    <row r="78" spans="1:4" x14ac:dyDescent="0.25">
      <c r="A78">
        <v>74</v>
      </c>
      <c r="B78">
        <v>24</v>
      </c>
      <c r="D78" t="str">
        <f t="shared" si="1"/>
        <v>('74', '24'),</v>
      </c>
    </row>
    <row r="79" spans="1:4" x14ac:dyDescent="0.25">
      <c r="A79">
        <v>75</v>
      </c>
      <c r="B79">
        <v>25</v>
      </c>
      <c r="D79" t="str">
        <f t="shared" si="1"/>
        <v>('75', '25'),</v>
      </c>
    </row>
    <row r="80" spans="1:4" x14ac:dyDescent="0.25">
      <c r="A80">
        <v>76</v>
      </c>
      <c r="B80">
        <v>26</v>
      </c>
      <c r="D80" t="str">
        <f t="shared" si="1"/>
        <v>('76', '26'),</v>
      </c>
    </row>
    <row r="81" spans="1:4" x14ac:dyDescent="0.25">
      <c r="A81">
        <v>77</v>
      </c>
      <c r="B81">
        <v>27</v>
      </c>
      <c r="D81" t="str">
        <f t="shared" si="1"/>
        <v>('77', '27'),</v>
      </c>
    </row>
    <row r="82" spans="1:4" x14ac:dyDescent="0.25">
      <c r="A82">
        <v>78</v>
      </c>
      <c r="B82">
        <v>28</v>
      </c>
      <c r="D82" t="str">
        <f t="shared" si="1"/>
        <v>('78', '28'),</v>
      </c>
    </row>
    <row r="83" spans="1:4" x14ac:dyDescent="0.25">
      <c r="A83">
        <v>79</v>
      </c>
      <c r="B83">
        <v>29</v>
      </c>
      <c r="D83" t="str">
        <f t="shared" si="1"/>
        <v>('79', '29'),</v>
      </c>
    </row>
    <row r="84" spans="1:4" x14ac:dyDescent="0.25">
      <c r="A84">
        <v>80</v>
      </c>
      <c r="B84">
        <v>30</v>
      </c>
      <c r="D84" t="str">
        <f t="shared" si="1"/>
        <v>('80', '30'),</v>
      </c>
    </row>
    <row r="85" spans="1:4" x14ac:dyDescent="0.25">
      <c r="A85">
        <v>81</v>
      </c>
      <c r="B85">
        <v>31</v>
      </c>
      <c r="D85" t="str">
        <f t="shared" si="1"/>
        <v>('81', '31'),</v>
      </c>
    </row>
    <row r="86" spans="1:4" x14ac:dyDescent="0.25">
      <c r="A86">
        <v>82</v>
      </c>
      <c r="B86">
        <v>32</v>
      </c>
      <c r="D86" t="str">
        <f t="shared" si="1"/>
        <v>('82', '32'),</v>
      </c>
    </row>
    <row r="87" spans="1:4" x14ac:dyDescent="0.25">
      <c r="A87">
        <v>83</v>
      </c>
      <c r="B87">
        <v>33</v>
      </c>
      <c r="D87" t="str">
        <f t="shared" si="1"/>
        <v>('83', '33'),</v>
      </c>
    </row>
    <row r="88" spans="1:4" x14ac:dyDescent="0.25">
      <c r="A88">
        <v>84</v>
      </c>
      <c r="B88">
        <v>34</v>
      </c>
      <c r="D88" t="str">
        <f t="shared" si="1"/>
        <v>('84', '34'),</v>
      </c>
    </row>
    <row r="89" spans="1:4" x14ac:dyDescent="0.25">
      <c r="A89">
        <v>85</v>
      </c>
      <c r="B89">
        <v>35</v>
      </c>
      <c r="D89" t="str">
        <f t="shared" si="1"/>
        <v>('85', '35'),</v>
      </c>
    </row>
    <row r="90" spans="1:4" x14ac:dyDescent="0.25">
      <c r="A90">
        <v>86</v>
      </c>
      <c r="B90">
        <v>36</v>
      </c>
      <c r="D90" t="str">
        <f t="shared" si="1"/>
        <v>('86', '36'),</v>
      </c>
    </row>
    <row r="91" spans="1:4" x14ac:dyDescent="0.25">
      <c r="A91">
        <v>87</v>
      </c>
      <c r="B91">
        <v>37</v>
      </c>
      <c r="D91" t="str">
        <f t="shared" si="1"/>
        <v>('87', '37'),</v>
      </c>
    </row>
    <row r="92" spans="1:4" x14ac:dyDescent="0.25">
      <c r="A92">
        <v>88</v>
      </c>
      <c r="B92">
        <v>38</v>
      </c>
      <c r="D92" t="str">
        <f t="shared" si="1"/>
        <v>('88', '38'),</v>
      </c>
    </row>
    <row r="93" spans="1:4" x14ac:dyDescent="0.25">
      <c r="A93">
        <v>89</v>
      </c>
      <c r="B93">
        <v>39</v>
      </c>
      <c r="D93" t="str">
        <f t="shared" si="1"/>
        <v>('89', '39'),</v>
      </c>
    </row>
    <row r="94" spans="1:4" x14ac:dyDescent="0.25">
      <c r="A94">
        <v>90</v>
      </c>
      <c r="B94">
        <v>40</v>
      </c>
      <c r="D94" t="str">
        <f t="shared" si="1"/>
        <v>('90', '40'),</v>
      </c>
    </row>
    <row r="95" spans="1:4" x14ac:dyDescent="0.25">
      <c r="A95">
        <v>91</v>
      </c>
      <c r="B95">
        <v>41</v>
      </c>
      <c r="D95" t="str">
        <f t="shared" si="1"/>
        <v>('91', '41'),</v>
      </c>
    </row>
    <row r="96" spans="1:4" x14ac:dyDescent="0.25">
      <c r="A96">
        <v>92</v>
      </c>
      <c r="B96">
        <v>42</v>
      </c>
      <c r="D96" t="str">
        <f t="shared" si="1"/>
        <v>('92', '42'),</v>
      </c>
    </row>
    <row r="97" spans="1:4" x14ac:dyDescent="0.25">
      <c r="A97">
        <v>93</v>
      </c>
      <c r="B97">
        <v>43</v>
      </c>
      <c r="D97" t="str">
        <f t="shared" si="1"/>
        <v>('93', '43'),</v>
      </c>
    </row>
    <row r="98" spans="1:4" x14ac:dyDescent="0.25">
      <c r="A98">
        <v>94</v>
      </c>
      <c r="B98">
        <v>44</v>
      </c>
      <c r="D98" t="str">
        <f t="shared" si="1"/>
        <v>('94', '44'),</v>
      </c>
    </row>
    <row r="99" spans="1:4" x14ac:dyDescent="0.25">
      <c r="A99">
        <v>95</v>
      </c>
      <c r="B99">
        <v>45</v>
      </c>
      <c r="D99" t="str">
        <f t="shared" si="1"/>
        <v>('95', '45'),</v>
      </c>
    </row>
    <row r="100" spans="1:4" x14ac:dyDescent="0.25">
      <c r="A100">
        <v>96</v>
      </c>
      <c r="B100">
        <v>46</v>
      </c>
      <c r="D100" t="str">
        <f t="shared" si="1"/>
        <v>('96', '46'),</v>
      </c>
    </row>
    <row r="101" spans="1:4" x14ac:dyDescent="0.25">
      <c r="A101">
        <v>97</v>
      </c>
      <c r="B101">
        <v>47</v>
      </c>
      <c r="D101" t="str">
        <f t="shared" si="1"/>
        <v>('97', '47'),</v>
      </c>
    </row>
    <row r="102" spans="1:4" x14ac:dyDescent="0.25">
      <c r="A102">
        <v>98</v>
      </c>
      <c r="B102">
        <v>48</v>
      </c>
      <c r="D102" t="str">
        <f t="shared" si="1"/>
        <v>('98', '48'),</v>
      </c>
    </row>
    <row r="103" spans="1:4" x14ac:dyDescent="0.25">
      <c r="A103">
        <v>99</v>
      </c>
      <c r="B103">
        <v>49</v>
      </c>
      <c r="D103" t="str">
        <f t="shared" si="1"/>
        <v>('99', '49'),</v>
      </c>
    </row>
    <row r="104" spans="1:4" x14ac:dyDescent="0.25">
      <c r="A104">
        <v>100</v>
      </c>
      <c r="B104">
        <v>50</v>
      </c>
      <c r="D104" t="str">
        <f t="shared" si="1"/>
        <v>('100', '50'),</v>
      </c>
    </row>
    <row r="105" spans="1:4" x14ac:dyDescent="0.25">
      <c r="A105">
        <v>101</v>
      </c>
      <c r="B105">
        <v>1</v>
      </c>
      <c r="D105" t="str">
        <f t="shared" si="1"/>
        <v>('101', '1'),</v>
      </c>
    </row>
    <row r="106" spans="1:4" x14ac:dyDescent="0.25">
      <c r="A106">
        <v>102</v>
      </c>
      <c r="B106">
        <v>2</v>
      </c>
      <c r="D106" t="str">
        <f t="shared" si="1"/>
        <v>('102', '2'),</v>
      </c>
    </row>
    <row r="107" spans="1:4" x14ac:dyDescent="0.25">
      <c r="A107">
        <v>103</v>
      </c>
      <c r="B107">
        <v>3</v>
      </c>
      <c r="D107" t="str">
        <f t="shared" si="1"/>
        <v>('103', '3'),</v>
      </c>
    </row>
    <row r="108" spans="1:4" x14ac:dyDescent="0.25">
      <c r="A108">
        <v>104</v>
      </c>
      <c r="B108">
        <v>4</v>
      </c>
      <c r="D108" t="str">
        <f t="shared" si="1"/>
        <v>('104', '4'),</v>
      </c>
    </row>
    <row r="109" spans="1:4" x14ac:dyDescent="0.25">
      <c r="A109">
        <v>105</v>
      </c>
      <c r="B109">
        <v>5</v>
      </c>
      <c r="D109" t="str">
        <f t="shared" si="1"/>
        <v>('105', '5'),</v>
      </c>
    </row>
    <row r="110" spans="1:4" x14ac:dyDescent="0.25">
      <c r="A110">
        <v>106</v>
      </c>
      <c r="B110">
        <v>6</v>
      </c>
      <c r="D110" t="str">
        <f t="shared" si="1"/>
        <v>('106', '6'),</v>
      </c>
    </row>
    <row r="111" spans="1:4" x14ac:dyDescent="0.25">
      <c r="A111">
        <v>107</v>
      </c>
      <c r="B111">
        <v>7</v>
      </c>
      <c r="D111" t="str">
        <f t="shared" si="1"/>
        <v>('107', '7'),</v>
      </c>
    </row>
    <row r="112" spans="1:4" x14ac:dyDescent="0.25">
      <c r="A112">
        <v>108</v>
      </c>
      <c r="B112">
        <v>8</v>
      </c>
      <c r="D112" t="str">
        <f t="shared" si="1"/>
        <v>('108', '8'),</v>
      </c>
    </row>
    <row r="113" spans="1:4" x14ac:dyDescent="0.25">
      <c r="A113">
        <v>109</v>
      </c>
      <c r="B113">
        <v>9</v>
      </c>
      <c r="D113" t="str">
        <f t="shared" si="1"/>
        <v>('109', '9'),</v>
      </c>
    </row>
    <row r="114" spans="1:4" x14ac:dyDescent="0.25">
      <c r="A114">
        <v>110</v>
      </c>
      <c r="B114">
        <v>10</v>
      </c>
      <c r="D114" t="str">
        <f t="shared" si="1"/>
        <v>('110', '10'),</v>
      </c>
    </row>
    <row r="115" spans="1:4" x14ac:dyDescent="0.25">
      <c r="A115">
        <v>111</v>
      </c>
      <c r="B115">
        <v>11</v>
      </c>
      <c r="D115" t="str">
        <f t="shared" si="1"/>
        <v>('111', '11'),</v>
      </c>
    </row>
    <row r="116" spans="1:4" x14ac:dyDescent="0.25">
      <c r="A116">
        <v>112</v>
      </c>
      <c r="B116">
        <v>12</v>
      </c>
      <c r="D116" t="str">
        <f t="shared" si="1"/>
        <v>('112', '12'),</v>
      </c>
    </row>
    <row r="117" spans="1:4" x14ac:dyDescent="0.25">
      <c r="A117">
        <v>113</v>
      </c>
      <c r="B117">
        <v>13</v>
      </c>
      <c r="D117" t="str">
        <f t="shared" si="1"/>
        <v>('113', '13'),</v>
      </c>
    </row>
    <row r="118" spans="1:4" x14ac:dyDescent="0.25">
      <c r="A118">
        <v>114</v>
      </c>
      <c r="B118">
        <v>14</v>
      </c>
      <c r="D118" t="str">
        <f t="shared" si="1"/>
        <v>('114', '14'),</v>
      </c>
    </row>
    <row r="119" spans="1:4" x14ac:dyDescent="0.25">
      <c r="A119">
        <v>115</v>
      </c>
      <c r="B119">
        <v>15</v>
      </c>
      <c r="D119" t="str">
        <f t="shared" si="1"/>
        <v>('115', '15'),</v>
      </c>
    </row>
    <row r="120" spans="1:4" x14ac:dyDescent="0.25">
      <c r="A120">
        <v>116</v>
      </c>
      <c r="B120">
        <v>16</v>
      </c>
      <c r="D120" t="str">
        <f t="shared" si="1"/>
        <v>('116', '16'),</v>
      </c>
    </row>
    <row r="121" spans="1:4" x14ac:dyDescent="0.25">
      <c r="A121">
        <v>117</v>
      </c>
      <c r="B121">
        <v>17</v>
      </c>
      <c r="D121" t="str">
        <f t="shared" si="1"/>
        <v>('117', '17'),</v>
      </c>
    </row>
    <row r="122" spans="1:4" x14ac:dyDescent="0.25">
      <c r="A122">
        <v>118</v>
      </c>
      <c r="B122">
        <v>18</v>
      </c>
      <c r="D122" t="str">
        <f t="shared" si="1"/>
        <v>('118', '18'),</v>
      </c>
    </row>
    <row r="123" spans="1:4" x14ac:dyDescent="0.25">
      <c r="A123">
        <v>119</v>
      </c>
      <c r="B123">
        <v>19</v>
      </c>
      <c r="D123" t="str">
        <f t="shared" si="1"/>
        <v>('119', '19'),</v>
      </c>
    </row>
    <row r="124" spans="1:4" x14ac:dyDescent="0.25">
      <c r="A124">
        <v>120</v>
      </c>
      <c r="B124">
        <v>20</v>
      </c>
      <c r="D124" t="str">
        <f t="shared" si="1"/>
        <v>('120', '20'),</v>
      </c>
    </row>
    <row r="125" spans="1:4" x14ac:dyDescent="0.25">
      <c r="A125">
        <v>121</v>
      </c>
      <c r="B125">
        <v>21</v>
      </c>
      <c r="D125" t="str">
        <f t="shared" si="1"/>
        <v>('121', '21'),</v>
      </c>
    </row>
    <row r="126" spans="1:4" x14ac:dyDescent="0.25">
      <c r="A126">
        <v>122</v>
      </c>
      <c r="B126">
        <v>22</v>
      </c>
      <c r="D126" t="str">
        <f t="shared" si="1"/>
        <v>('122', '22'),</v>
      </c>
    </row>
    <row r="127" spans="1:4" x14ac:dyDescent="0.25">
      <c r="A127">
        <v>123</v>
      </c>
      <c r="B127">
        <v>23</v>
      </c>
      <c r="D127" t="str">
        <f t="shared" si="1"/>
        <v>('123', '23'),</v>
      </c>
    </row>
    <row r="128" spans="1:4" x14ac:dyDescent="0.25">
      <c r="A128">
        <v>124</v>
      </c>
      <c r="B128">
        <v>24</v>
      </c>
      <c r="D128" t="str">
        <f t="shared" si="1"/>
        <v>('124', '24'),</v>
      </c>
    </row>
    <row r="129" spans="1:4" x14ac:dyDescent="0.25">
      <c r="A129">
        <v>125</v>
      </c>
      <c r="B129">
        <v>25</v>
      </c>
      <c r="D129" t="str">
        <f t="shared" si="1"/>
        <v>('125', '25'),</v>
      </c>
    </row>
    <row r="130" spans="1:4" x14ac:dyDescent="0.25">
      <c r="A130">
        <v>126</v>
      </c>
      <c r="B130">
        <v>26</v>
      </c>
      <c r="D130" t="str">
        <f t="shared" si="1"/>
        <v>('126', '26'),</v>
      </c>
    </row>
    <row r="131" spans="1:4" x14ac:dyDescent="0.25">
      <c r="A131">
        <v>127</v>
      </c>
      <c r="B131">
        <v>27</v>
      </c>
      <c r="D131" t="str">
        <f t="shared" si="1"/>
        <v>('127', '27'),</v>
      </c>
    </row>
    <row r="132" spans="1:4" x14ac:dyDescent="0.25">
      <c r="A132">
        <v>128</v>
      </c>
      <c r="B132">
        <v>28</v>
      </c>
      <c r="D132" t="str">
        <f t="shared" si="1"/>
        <v>('128', '28'),</v>
      </c>
    </row>
    <row r="133" spans="1:4" x14ac:dyDescent="0.25">
      <c r="A133">
        <v>129</v>
      </c>
      <c r="B133">
        <v>29</v>
      </c>
      <c r="D133" t="str">
        <f t="shared" si="1"/>
        <v>('129', '29'),</v>
      </c>
    </row>
    <row r="134" spans="1:4" x14ac:dyDescent="0.25">
      <c r="A134">
        <v>130</v>
      </c>
      <c r="B134">
        <v>30</v>
      </c>
      <c r="D134" t="str">
        <f t="shared" si="1"/>
        <v>('130', '30'),</v>
      </c>
    </row>
    <row r="135" spans="1:4" x14ac:dyDescent="0.25">
      <c r="A135">
        <v>131</v>
      </c>
      <c r="B135">
        <v>31</v>
      </c>
      <c r="D135" t="str">
        <f t="shared" ref="D135:D190" si="2">"('"&amp;A135&amp;"', '"&amp;B135&amp;"'),"</f>
        <v>('131', '31'),</v>
      </c>
    </row>
    <row r="136" spans="1:4" x14ac:dyDescent="0.25">
      <c r="A136">
        <v>132</v>
      </c>
      <c r="B136">
        <v>32</v>
      </c>
      <c r="D136" t="str">
        <f t="shared" si="2"/>
        <v>('132', '32'),</v>
      </c>
    </row>
    <row r="137" spans="1:4" x14ac:dyDescent="0.25">
      <c r="A137">
        <v>133</v>
      </c>
      <c r="B137">
        <v>33</v>
      </c>
      <c r="D137" t="str">
        <f t="shared" si="2"/>
        <v>('133', '33'),</v>
      </c>
    </row>
    <row r="138" spans="1:4" x14ac:dyDescent="0.25">
      <c r="A138">
        <v>134</v>
      </c>
      <c r="B138">
        <v>34</v>
      </c>
      <c r="D138" t="str">
        <f t="shared" si="2"/>
        <v>('134', '34'),</v>
      </c>
    </row>
    <row r="139" spans="1:4" x14ac:dyDescent="0.25">
      <c r="A139">
        <v>135</v>
      </c>
      <c r="B139">
        <v>35</v>
      </c>
      <c r="D139" t="str">
        <f t="shared" si="2"/>
        <v>('135', '35'),</v>
      </c>
    </row>
    <row r="140" spans="1:4" x14ac:dyDescent="0.25">
      <c r="A140">
        <v>136</v>
      </c>
      <c r="B140">
        <v>36</v>
      </c>
      <c r="D140" t="str">
        <f t="shared" si="2"/>
        <v>('136', '36'),</v>
      </c>
    </row>
    <row r="141" spans="1:4" x14ac:dyDescent="0.25">
      <c r="A141">
        <v>137</v>
      </c>
      <c r="B141">
        <v>37</v>
      </c>
      <c r="D141" t="str">
        <f t="shared" si="2"/>
        <v>('137', '37'),</v>
      </c>
    </row>
    <row r="142" spans="1:4" x14ac:dyDescent="0.25">
      <c r="A142">
        <v>138</v>
      </c>
      <c r="B142">
        <v>38</v>
      </c>
      <c r="D142" t="str">
        <f t="shared" si="2"/>
        <v>('138', '38'),</v>
      </c>
    </row>
    <row r="143" spans="1:4" x14ac:dyDescent="0.25">
      <c r="A143">
        <v>139</v>
      </c>
      <c r="B143">
        <v>39</v>
      </c>
      <c r="D143" t="str">
        <f t="shared" si="2"/>
        <v>('139', '39'),</v>
      </c>
    </row>
    <row r="144" spans="1:4" x14ac:dyDescent="0.25">
      <c r="A144">
        <v>140</v>
      </c>
      <c r="B144">
        <v>40</v>
      </c>
      <c r="D144" t="str">
        <f t="shared" si="2"/>
        <v>('140', '40'),</v>
      </c>
    </row>
    <row r="145" spans="1:4" x14ac:dyDescent="0.25">
      <c r="A145">
        <v>141</v>
      </c>
      <c r="B145">
        <v>41</v>
      </c>
      <c r="D145" t="str">
        <f t="shared" si="2"/>
        <v>('141', '41'),</v>
      </c>
    </row>
    <row r="146" spans="1:4" x14ac:dyDescent="0.25">
      <c r="A146">
        <v>142</v>
      </c>
      <c r="B146">
        <v>42</v>
      </c>
      <c r="D146" t="str">
        <f t="shared" si="2"/>
        <v>('142', '42'),</v>
      </c>
    </row>
    <row r="147" spans="1:4" x14ac:dyDescent="0.25">
      <c r="A147">
        <v>143</v>
      </c>
      <c r="B147">
        <v>43</v>
      </c>
      <c r="D147" t="str">
        <f t="shared" si="2"/>
        <v>('143', '43'),</v>
      </c>
    </row>
    <row r="148" spans="1:4" x14ac:dyDescent="0.25">
      <c r="A148">
        <v>144</v>
      </c>
      <c r="B148">
        <v>44</v>
      </c>
      <c r="D148" t="str">
        <f t="shared" si="2"/>
        <v>('144', '44'),</v>
      </c>
    </row>
    <row r="149" spans="1:4" x14ac:dyDescent="0.25">
      <c r="A149">
        <v>145</v>
      </c>
      <c r="B149">
        <v>45</v>
      </c>
      <c r="D149" t="str">
        <f t="shared" si="2"/>
        <v>('145', '45'),</v>
      </c>
    </row>
    <row r="150" spans="1:4" x14ac:dyDescent="0.25">
      <c r="A150">
        <v>146</v>
      </c>
      <c r="B150">
        <v>46</v>
      </c>
      <c r="D150" t="str">
        <f t="shared" si="2"/>
        <v>('146', '46'),</v>
      </c>
    </row>
    <row r="151" spans="1:4" x14ac:dyDescent="0.25">
      <c r="A151">
        <v>147</v>
      </c>
      <c r="B151">
        <v>47</v>
      </c>
      <c r="D151" t="str">
        <f t="shared" si="2"/>
        <v>('147', '47'),</v>
      </c>
    </row>
    <row r="152" spans="1:4" x14ac:dyDescent="0.25">
      <c r="A152">
        <v>148</v>
      </c>
      <c r="B152">
        <v>48</v>
      </c>
      <c r="D152" t="str">
        <f t="shared" si="2"/>
        <v>('148', '48'),</v>
      </c>
    </row>
    <row r="153" spans="1:4" x14ac:dyDescent="0.25">
      <c r="A153">
        <v>149</v>
      </c>
      <c r="B153">
        <v>49</v>
      </c>
      <c r="D153" t="str">
        <f t="shared" si="2"/>
        <v>('149', '49'),</v>
      </c>
    </row>
    <row r="154" spans="1:4" x14ac:dyDescent="0.25">
      <c r="A154">
        <v>150</v>
      </c>
      <c r="B154">
        <v>50</v>
      </c>
      <c r="D154" t="str">
        <f t="shared" si="2"/>
        <v>('150', '50'),</v>
      </c>
    </row>
    <row r="155" spans="1:4" x14ac:dyDescent="0.25">
      <c r="A155">
        <v>151</v>
      </c>
      <c r="B155">
        <v>1</v>
      </c>
      <c r="D155" t="str">
        <f t="shared" si="2"/>
        <v>('151', '1'),</v>
      </c>
    </row>
    <row r="156" spans="1:4" x14ac:dyDescent="0.25">
      <c r="A156">
        <v>152</v>
      </c>
      <c r="B156">
        <v>2</v>
      </c>
      <c r="D156" t="str">
        <f t="shared" si="2"/>
        <v>('152', '2'),</v>
      </c>
    </row>
    <row r="157" spans="1:4" x14ac:dyDescent="0.25">
      <c r="A157">
        <v>153</v>
      </c>
      <c r="B157">
        <v>3</v>
      </c>
      <c r="D157" t="str">
        <f t="shared" si="2"/>
        <v>('153', '3'),</v>
      </c>
    </row>
    <row r="158" spans="1:4" x14ac:dyDescent="0.25">
      <c r="A158">
        <v>154</v>
      </c>
      <c r="B158">
        <v>4</v>
      </c>
      <c r="D158" t="str">
        <f t="shared" si="2"/>
        <v>('154', '4'),</v>
      </c>
    </row>
    <row r="159" spans="1:4" x14ac:dyDescent="0.25">
      <c r="A159">
        <v>155</v>
      </c>
      <c r="B159">
        <v>5</v>
      </c>
      <c r="D159" t="str">
        <f t="shared" si="2"/>
        <v>('155', '5'),</v>
      </c>
    </row>
    <row r="160" spans="1:4" x14ac:dyDescent="0.25">
      <c r="A160">
        <v>156</v>
      </c>
      <c r="B160">
        <v>6</v>
      </c>
      <c r="D160" t="str">
        <f t="shared" si="2"/>
        <v>('156', '6'),</v>
      </c>
    </row>
    <row r="161" spans="1:4" x14ac:dyDescent="0.25">
      <c r="A161">
        <v>157</v>
      </c>
      <c r="B161">
        <v>7</v>
      </c>
      <c r="D161" t="str">
        <f t="shared" si="2"/>
        <v>('157', '7'),</v>
      </c>
    </row>
    <row r="162" spans="1:4" x14ac:dyDescent="0.25">
      <c r="A162">
        <v>158</v>
      </c>
      <c r="B162">
        <v>8</v>
      </c>
      <c r="D162" t="str">
        <f t="shared" si="2"/>
        <v>('158', '8'),</v>
      </c>
    </row>
    <row r="163" spans="1:4" x14ac:dyDescent="0.25">
      <c r="A163">
        <v>159</v>
      </c>
      <c r="B163">
        <v>9</v>
      </c>
      <c r="D163" t="str">
        <f t="shared" si="2"/>
        <v>('159', '9'),</v>
      </c>
    </row>
    <row r="164" spans="1:4" x14ac:dyDescent="0.25">
      <c r="A164">
        <v>160</v>
      </c>
      <c r="B164">
        <v>10</v>
      </c>
      <c r="D164" t="str">
        <f t="shared" si="2"/>
        <v>('160', '10'),</v>
      </c>
    </row>
    <row r="165" spans="1:4" x14ac:dyDescent="0.25">
      <c r="A165">
        <v>161</v>
      </c>
      <c r="B165">
        <v>11</v>
      </c>
      <c r="D165" t="str">
        <f t="shared" si="2"/>
        <v>('161', '11'),</v>
      </c>
    </row>
    <row r="166" spans="1:4" x14ac:dyDescent="0.25">
      <c r="A166">
        <v>162</v>
      </c>
      <c r="B166">
        <v>12</v>
      </c>
      <c r="D166" t="str">
        <f t="shared" si="2"/>
        <v>('162', '12'),</v>
      </c>
    </row>
    <row r="167" spans="1:4" x14ac:dyDescent="0.25">
      <c r="A167">
        <v>163</v>
      </c>
      <c r="B167">
        <v>13</v>
      </c>
      <c r="D167" t="str">
        <f t="shared" si="2"/>
        <v>('163', '13'),</v>
      </c>
    </row>
    <row r="168" spans="1:4" x14ac:dyDescent="0.25">
      <c r="A168">
        <v>164</v>
      </c>
      <c r="B168">
        <v>14</v>
      </c>
      <c r="D168" t="str">
        <f t="shared" si="2"/>
        <v>('164', '14'),</v>
      </c>
    </row>
    <row r="169" spans="1:4" x14ac:dyDescent="0.25">
      <c r="A169">
        <v>165</v>
      </c>
      <c r="B169">
        <v>15</v>
      </c>
      <c r="D169" t="str">
        <f t="shared" si="2"/>
        <v>('165', '15'),</v>
      </c>
    </row>
    <row r="170" spans="1:4" x14ac:dyDescent="0.25">
      <c r="A170">
        <v>166</v>
      </c>
      <c r="B170">
        <v>16</v>
      </c>
      <c r="D170" t="str">
        <f t="shared" si="2"/>
        <v>('166', '16'),</v>
      </c>
    </row>
    <row r="171" spans="1:4" x14ac:dyDescent="0.25">
      <c r="A171">
        <v>167</v>
      </c>
      <c r="B171">
        <v>17</v>
      </c>
      <c r="D171" t="str">
        <f t="shared" si="2"/>
        <v>('167', '17'),</v>
      </c>
    </row>
    <row r="172" spans="1:4" x14ac:dyDescent="0.25">
      <c r="A172">
        <v>168</v>
      </c>
      <c r="B172">
        <v>18</v>
      </c>
      <c r="D172" t="str">
        <f t="shared" si="2"/>
        <v>('168', '18'),</v>
      </c>
    </row>
    <row r="173" spans="1:4" x14ac:dyDescent="0.25">
      <c r="A173">
        <v>169</v>
      </c>
      <c r="B173">
        <v>19</v>
      </c>
      <c r="D173" t="str">
        <f t="shared" si="2"/>
        <v>('169', '19'),</v>
      </c>
    </row>
    <row r="174" spans="1:4" x14ac:dyDescent="0.25">
      <c r="A174">
        <v>170</v>
      </c>
      <c r="B174">
        <v>20</v>
      </c>
      <c r="D174" t="str">
        <f t="shared" si="2"/>
        <v>('170', '20'),</v>
      </c>
    </row>
    <row r="175" spans="1:4" x14ac:dyDescent="0.25">
      <c r="A175">
        <v>171</v>
      </c>
      <c r="B175">
        <v>21</v>
      </c>
      <c r="D175" t="str">
        <f t="shared" si="2"/>
        <v>('171', '21'),</v>
      </c>
    </row>
    <row r="176" spans="1:4" x14ac:dyDescent="0.25">
      <c r="A176">
        <v>172</v>
      </c>
      <c r="B176">
        <v>22</v>
      </c>
      <c r="D176" t="str">
        <f t="shared" si="2"/>
        <v>('172', '22'),</v>
      </c>
    </row>
    <row r="177" spans="1:4" x14ac:dyDescent="0.25">
      <c r="A177">
        <v>173</v>
      </c>
      <c r="B177">
        <v>23</v>
      </c>
      <c r="D177" t="str">
        <f t="shared" si="2"/>
        <v>('173', '23'),</v>
      </c>
    </row>
    <row r="178" spans="1:4" x14ac:dyDescent="0.25">
      <c r="A178">
        <v>174</v>
      </c>
      <c r="B178">
        <v>24</v>
      </c>
      <c r="D178" t="str">
        <f t="shared" si="2"/>
        <v>('174', '24'),</v>
      </c>
    </row>
    <row r="179" spans="1:4" x14ac:dyDescent="0.25">
      <c r="A179">
        <v>175</v>
      </c>
      <c r="B179">
        <v>25</v>
      </c>
      <c r="D179" t="str">
        <f t="shared" si="2"/>
        <v>('175', '25'),</v>
      </c>
    </row>
    <row r="180" spans="1:4" x14ac:dyDescent="0.25">
      <c r="A180">
        <v>176</v>
      </c>
      <c r="B180">
        <v>26</v>
      </c>
      <c r="D180" t="str">
        <f t="shared" si="2"/>
        <v>('176', '26'),</v>
      </c>
    </row>
    <row r="181" spans="1:4" x14ac:dyDescent="0.25">
      <c r="A181">
        <v>177</v>
      </c>
      <c r="B181">
        <v>27</v>
      </c>
      <c r="D181" t="str">
        <f t="shared" si="2"/>
        <v>('177', '27'),</v>
      </c>
    </row>
    <row r="182" spans="1:4" x14ac:dyDescent="0.25">
      <c r="A182">
        <v>178</v>
      </c>
      <c r="B182">
        <v>28</v>
      </c>
      <c r="D182" t="str">
        <f t="shared" si="2"/>
        <v>('178', '28'),</v>
      </c>
    </row>
    <row r="183" spans="1:4" x14ac:dyDescent="0.25">
      <c r="A183">
        <v>179</v>
      </c>
      <c r="B183">
        <v>29</v>
      </c>
      <c r="D183" t="str">
        <f t="shared" si="2"/>
        <v>('179', '29'),</v>
      </c>
    </row>
    <row r="184" spans="1:4" x14ac:dyDescent="0.25">
      <c r="A184">
        <v>180</v>
      </c>
      <c r="B184">
        <v>30</v>
      </c>
      <c r="D184" t="str">
        <f t="shared" si="2"/>
        <v>('180', '30'),</v>
      </c>
    </row>
    <row r="185" spans="1:4" x14ac:dyDescent="0.25">
      <c r="A185">
        <v>181</v>
      </c>
      <c r="B185">
        <v>31</v>
      </c>
      <c r="D185" t="str">
        <f t="shared" si="2"/>
        <v>('181', '31'),</v>
      </c>
    </row>
    <row r="186" spans="1:4" x14ac:dyDescent="0.25">
      <c r="A186">
        <v>182</v>
      </c>
      <c r="B186">
        <v>32</v>
      </c>
      <c r="D186" t="str">
        <f t="shared" si="2"/>
        <v>('182', '32'),</v>
      </c>
    </row>
    <row r="187" spans="1:4" x14ac:dyDescent="0.25">
      <c r="A187">
        <v>183</v>
      </c>
      <c r="B187">
        <v>33</v>
      </c>
      <c r="D187" t="str">
        <f t="shared" si="2"/>
        <v>('183', '33'),</v>
      </c>
    </row>
    <row r="188" spans="1:4" x14ac:dyDescent="0.25">
      <c r="A188">
        <v>184</v>
      </c>
      <c r="B188">
        <v>34</v>
      </c>
      <c r="D188" t="str">
        <f t="shared" si="2"/>
        <v>('184', '34'),</v>
      </c>
    </row>
    <row r="189" spans="1:4" x14ac:dyDescent="0.25">
      <c r="A189">
        <v>185</v>
      </c>
      <c r="B189">
        <v>35</v>
      </c>
      <c r="D189" t="str">
        <f t="shared" si="2"/>
        <v>('185', '35'),</v>
      </c>
    </row>
    <row r="190" spans="1:4" x14ac:dyDescent="0.25">
      <c r="A190">
        <v>186</v>
      </c>
      <c r="B190">
        <v>36</v>
      </c>
      <c r="D190" t="str">
        <f t="shared" si="2"/>
        <v>('186', '36'),</v>
      </c>
    </row>
    <row r="191" spans="1:4" x14ac:dyDescent="0.25">
      <c r="A191">
        <v>187</v>
      </c>
      <c r="B191">
        <v>37</v>
      </c>
      <c r="D191" t="str">
        <f>"('"&amp;A191&amp;"', '"&amp;B191&amp;"');"</f>
        <v>('187', '37');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12AF-74ED-4EDB-8AB6-99D484B8D99C}">
  <dimension ref="A1:V199"/>
  <sheetViews>
    <sheetView topLeftCell="A150" workbookViewId="0">
      <selection activeCell="R150" sqref="R150"/>
    </sheetView>
  </sheetViews>
  <sheetFormatPr defaultRowHeight="15" x14ac:dyDescent="0.25"/>
  <cols>
    <col min="6" max="6" width="10.7109375" bestFit="1" customWidth="1"/>
  </cols>
  <sheetData>
    <row r="1" spans="1:2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338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339</v>
      </c>
      <c r="U1" s="5" t="s">
        <v>3734</v>
      </c>
      <c r="V1" s="5" t="s">
        <v>3733</v>
      </c>
    </row>
    <row r="2" spans="1:22" x14ac:dyDescent="0.25">
      <c r="A2">
        <v>188</v>
      </c>
      <c r="B2" t="s">
        <v>2026</v>
      </c>
      <c r="C2" t="s">
        <v>2027</v>
      </c>
      <c r="D2" t="s">
        <v>69</v>
      </c>
      <c r="E2" t="s">
        <v>66</v>
      </c>
      <c r="F2" s="7">
        <v>34816</v>
      </c>
      <c r="G2" t="s">
        <v>254</v>
      </c>
      <c r="H2" t="s">
        <v>2028</v>
      </c>
      <c r="I2" t="s">
        <v>211</v>
      </c>
      <c r="J2" t="s">
        <v>3727</v>
      </c>
      <c r="K2" t="s">
        <v>225</v>
      </c>
      <c r="L2" t="s">
        <v>265</v>
      </c>
      <c r="M2" t="s">
        <v>2029</v>
      </c>
      <c r="N2" t="s">
        <v>2030</v>
      </c>
      <c r="O2" t="s">
        <v>2031</v>
      </c>
      <c r="P2" t="s">
        <v>2032</v>
      </c>
      <c r="Q2" t="s">
        <v>2033</v>
      </c>
      <c r="R2" s="3" t="s">
        <v>3730</v>
      </c>
      <c r="U2" t="str">
        <f>"VALUES (" &amp; A2 &amp;",'"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(188,'matboa1998', 'pswmatboa1998', 'Matilde', 'Feminino', '1995-04-27', 'Rua do Sacramento à Lapa', '1998-797', 'Lisboa', 'Utente', 'Portuguesa', 'Bilhete de Identidade', '78624754', '451928972', '234765887', '968240344', 'matboa1998@outlook.com', 'matboa1998.jpg'),</v>
      </c>
      <c r="V2" t="str">
        <f>"VALUES (" &amp; A2 &amp;"),"</f>
        <v>VALUES (188),</v>
      </c>
    </row>
    <row r="3" spans="1:22" x14ac:dyDescent="0.25">
      <c r="A3">
        <v>189</v>
      </c>
      <c r="B3" t="s">
        <v>2034</v>
      </c>
      <c r="C3" t="s">
        <v>2035</v>
      </c>
      <c r="D3" t="s">
        <v>76</v>
      </c>
      <c r="E3" t="s">
        <v>66</v>
      </c>
      <c r="F3" s="7">
        <v>23831</v>
      </c>
      <c r="G3" t="s">
        <v>249</v>
      </c>
      <c r="H3" t="s">
        <v>2036</v>
      </c>
      <c r="I3" t="s">
        <v>211</v>
      </c>
      <c r="J3" t="s">
        <v>3727</v>
      </c>
      <c r="K3" t="s">
        <v>225</v>
      </c>
      <c r="L3" t="s">
        <v>265</v>
      </c>
      <c r="M3" t="s">
        <v>2037</v>
      </c>
      <c r="N3" t="s">
        <v>2038</v>
      </c>
      <c r="O3" t="s">
        <v>2039</v>
      </c>
      <c r="P3" t="s">
        <v>2040</v>
      </c>
      <c r="Q3" t="s">
        <v>2041</v>
      </c>
      <c r="R3" t="str">
        <f t="shared" ref="R3:R66" si="0">IF(E3="Feminino","user-female.jpg","user-male.jpg")</f>
        <v>user-female.jpg</v>
      </c>
      <c r="U3" t="str">
        <f>"(" &amp; A3 &amp;",'"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(189,'ineboa1149', 'pswineboa1149', 'Inês', 'Feminino', '1965-03-30', 'Rua Júlio César Machado', '1149-717', 'Lisboa', 'Utente', 'Portuguesa', 'Bilhete de Identidade', '41331330', '663836367', '188647465', '933180718', 'ineboa1149@sapo.pt', 'user-female.jpg'),</v>
      </c>
      <c r="V3" t="str">
        <f>"(" &amp; A3 &amp;"),"</f>
        <v>(189),</v>
      </c>
    </row>
    <row r="4" spans="1:22" x14ac:dyDescent="0.25">
      <c r="A4">
        <v>190</v>
      </c>
      <c r="B4" t="s">
        <v>2042</v>
      </c>
      <c r="C4" t="s">
        <v>2043</v>
      </c>
      <c r="D4" t="s">
        <v>85</v>
      </c>
      <c r="E4" t="s">
        <v>66</v>
      </c>
      <c r="F4" s="7">
        <v>26848</v>
      </c>
      <c r="G4" t="s">
        <v>255</v>
      </c>
      <c r="H4" t="s">
        <v>2044</v>
      </c>
      <c r="I4" t="s">
        <v>208</v>
      </c>
      <c r="J4" t="s">
        <v>3727</v>
      </c>
      <c r="K4" t="s">
        <v>225</v>
      </c>
      <c r="L4" t="s">
        <v>265</v>
      </c>
      <c r="M4" t="s">
        <v>2045</v>
      </c>
      <c r="N4" t="s">
        <v>2046</v>
      </c>
      <c r="O4" t="s">
        <v>2047</v>
      </c>
      <c r="P4" t="s">
        <v>2048</v>
      </c>
      <c r="Q4" t="s">
        <v>2049</v>
      </c>
      <c r="R4" t="str">
        <f t="shared" si="0"/>
        <v>user-female.jpg</v>
      </c>
      <c r="U4" t="str">
        <f t="shared" ref="U4:U67" si="1">"(" &amp; A4 &amp;",'"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(190,'catbal2900', 'pswcatbal2900', 'Catarina', 'Feminino', '1973-07-03', 'Rua de São Bento', '2900-035', 'Setúbal', 'Utente', 'Portuguesa', 'Bilhete de Identidade', '33811622', '771288542', '593706337', '926958025', 'catbal2900@gmail.com', 'user-female.jpg'),</v>
      </c>
      <c r="V4" t="str">
        <f t="shared" ref="V4:V67" si="2">"(" &amp; A4 &amp;"),"</f>
        <v>(190),</v>
      </c>
    </row>
    <row r="5" spans="1:22" x14ac:dyDescent="0.25">
      <c r="A5">
        <v>191</v>
      </c>
      <c r="B5" t="s">
        <v>2050</v>
      </c>
      <c r="C5" t="s">
        <v>2051</v>
      </c>
      <c r="D5" t="s">
        <v>54</v>
      </c>
      <c r="E5" t="s">
        <v>53</v>
      </c>
      <c r="F5" s="7">
        <v>34485</v>
      </c>
      <c r="G5" t="s">
        <v>250</v>
      </c>
      <c r="H5" t="s">
        <v>2052</v>
      </c>
      <c r="I5" t="s">
        <v>223</v>
      </c>
      <c r="J5" t="s">
        <v>3727</v>
      </c>
      <c r="K5" t="s">
        <v>225</v>
      </c>
      <c r="L5" t="s">
        <v>265</v>
      </c>
      <c r="M5" t="s">
        <v>2053</v>
      </c>
      <c r="N5" t="s">
        <v>2054</v>
      </c>
      <c r="O5" t="s">
        <v>2055</v>
      </c>
      <c r="P5" t="s">
        <v>2056</v>
      </c>
      <c r="Q5" t="s">
        <v>2057</v>
      </c>
      <c r="R5" t="str">
        <f t="shared" si="0"/>
        <v>user-male.jpg</v>
      </c>
      <c r="U5" t="str">
        <f t="shared" si="1"/>
        <v>(191,'sanira2659', 'pswsanira2659', 'Santiago', 'Masculino', '1994-05-31', 'Rua Nova do Almada', '2659-635', 'Ericeira', 'Utente', 'Portuguesa', 'Bilhete de Identidade', '50701579', '542975440', '356688422', '968126436', 'sanira2659@gmail.com', 'user-male.jpg'),</v>
      </c>
      <c r="V5" t="str">
        <f t="shared" si="2"/>
        <v>(191),</v>
      </c>
    </row>
    <row r="6" spans="1:22" x14ac:dyDescent="0.25">
      <c r="A6">
        <v>192</v>
      </c>
      <c r="B6" t="s">
        <v>284</v>
      </c>
      <c r="C6" t="s">
        <v>285</v>
      </c>
      <c r="D6" t="s">
        <v>60</v>
      </c>
      <c r="E6" t="s">
        <v>53</v>
      </c>
      <c r="F6" s="7">
        <v>25317</v>
      </c>
      <c r="G6" t="s">
        <v>253</v>
      </c>
      <c r="H6" t="s">
        <v>2058</v>
      </c>
      <c r="I6" t="s">
        <v>211</v>
      </c>
      <c r="J6" t="s">
        <v>3727</v>
      </c>
      <c r="K6" t="s">
        <v>225</v>
      </c>
      <c r="L6" t="s">
        <v>265</v>
      </c>
      <c r="M6" t="s">
        <v>2059</v>
      </c>
      <c r="N6" t="s">
        <v>2060</v>
      </c>
      <c r="O6" t="s">
        <v>2061</v>
      </c>
      <c r="P6" t="s">
        <v>2062</v>
      </c>
      <c r="Q6" t="s">
        <v>2063</v>
      </c>
      <c r="R6" t="str">
        <f t="shared" si="0"/>
        <v>user-male.jpg</v>
      </c>
      <c r="U6" t="str">
        <f t="shared" si="1"/>
        <v>(192,'tomboa1199', 'pswtomboa1199', 'Tomás', 'Masculino', '1969-04-24', 'Rua de São Mamede', '1199-516', 'Lisboa', 'Utente', 'Portuguesa', 'Bilhete de Identidade', '97453109', '176544640', '222840086', '966272040', 'tomboa1199@gmail.com', 'user-male.jpg'),</v>
      </c>
      <c r="V6" t="str">
        <f t="shared" si="2"/>
        <v>(192),</v>
      </c>
    </row>
    <row r="7" spans="1:22" x14ac:dyDescent="0.25">
      <c r="A7">
        <v>193</v>
      </c>
      <c r="B7" t="s">
        <v>2064</v>
      </c>
      <c r="C7" t="s">
        <v>2065</v>
      </c>
      <c r="D7" t="s">
        <v>87</v>
      </c>
      <c r="E7" t="s">
        <v>66</v>
      </c>
      <c r="F7" s="7">
        <v>25448</v>
      </c>
      <c r="G7" t="s">
        <v>226</v>
      </c>
      <c r="H7" t="s">
        <v>2066</v>
      </c>
      <c r="I7" t="s">
        <v>211</v>
      </c>
      <c r="J7" t="s">
        <v>3727</v>
      </c>
      <c r="K7" t="s">
        <v>225</v>
      </c>
      <c r="L7" t="s">
        <v>265</v>
      </c>
      <c r="M7" t="s">
        <v>2067</v>
      </c>
      <c r="N7" t="s">
        <v>2068</v>
      </c>
      <c r="O7" t="s">
        <v>2069</v>
      </c>
      <c r="P7" t="s">
        <v>2070</v>
      </c>
      <c r="Q7" t="s">
        <v>2071</v>
      </c>
      <c r="R7" t="str">
        <f t="shared" si="0"/>
        <v>user-female.jpg</v>
      </c>
      <c r="U7" t="str">
        <f t="shared" si="1"/>
        <v>(193,'danboa1500', 'pswdanboa1500', 'Daniela', 'Feminino', '1969-09-02', 'Rua do Arsenal', '1500-766', 'Lisboa', 'Utente', 'Portuguesa', 'Bilhete de Identidade', '40209340', '295159011', '349852642', '965184474', 'danboa1500@gmail.com', 'user-female.jpg'),</v>
      </c>
      <c r="V7" t="str">
        <f t="shared" si="2"/>
        <v>(193),</v>
      </c>
    </row>
    <row r="8" spans="1:22" x14ac:dyDescent="0.25">
      <c r="A8">
        <v>194</v>
      </c>
      <c r="B8" t="s">
        <v>304</v>
      </c>
      <c r="C8" t="s">
        <v>305</v>
      </c>
      <c r="D8" t="s">
        <v>83</v>
      </c>
      <c r="E8" t="s">
        <v>53</v>
      </c>
      <c r="F8" s="7">
        <v>26214</v>
      </c>
      <c r="G8" t="s">
        <v>232</v>
      </c>
      <c r="H8" t="s">
        <v>2072</v>
      </c>
      <c r="I8" t="s">
        <v>211</v>
      </c>
      <c r="J8" t="s">
        <v>3727</v>
      </c>
      <c r="K8" t="s">
        <v>225</v>
      </c>
      <c r="L8" t="s">
        <v>265</v>
      </c>
      <c r="M8" t="s">
        <v>2073</v>
      </c>
      <c r="N8" t="s">
        <v>2074</v>
      </c>
      <c r="O8" t="s">
        <v>2075</v>
      </c>
      <c r="P8" t="s">
        <v>2076</v>
      </c>
      <c r="Q8" t="s">
        <v>2077</v>
      </c>
      <c r="R8" t="str">
        <f t="shared" si="0"/>
        <v>user-male.jpg</v>
      </c>
      <c r="U8" t="str">
        <f t="shared" si="1"/>
        <v>(194,'luiboa1300', 'pswluiboa1300', 'Luís', 'Masculino', '1971-10-08', 'Rua Garrett', '1300-689', 'Lisboa', 'Utente', 'Portuguesa', 'Bilhete de Identidade', '85307322', '526431410', '409443020', '929766199', 'luiboa1300@gmail.com', 'user-male.jpg'),</v>
      </c>
      <c r="V8" t="str">
        <f t="shared" si="2"/>
        <v>(194),</v>
      </c>
    </row>
    <row r="9" spans="1:22" x14ac:dyDescent="0.25">
      <c r="A9">
        <v>195</v>
      </c>
      <c r="B9" t="s">
        <v>2078</v>
      </c>
      <c r="C9" t="s">
        <v>2079</v>
      </c>
      <c r="D9" t="s">
        <v>87</v>
      </c>
      <c r="E9" t="s">
        <v>66</v>
      </c>
      <c r="F9" s="7">
        <v>41662</v>
      </c>
      <c r="G9" t="s">
        <v>246</v>
      </c>
      <c r="H9" t="s">
        <v>2080</v>
      </c>
      <c r="I9" t="s">
        <v>211</v>
      </c>
      <c r="J9" t="s">
        <v>3727</v>
      </c>
      <c r="K9" t="s">
        <v>225</v>
      </c>
      <c r="L9" t="s">
        <v>265</v>
      </c>
      <c r="M9" t="s">
        <v>2081</v>
      </c>
      <c r="N9" t="s">
        <v>2082</v>
      </c>
      <c r="O9" t="s">
        <v>2083</v>
      </c>
      <c r="P9" t="s">
        <v>2084</v>
      </c>
      <c r="Q9" t="s">
        <v>2085</v>
      </c>
      <c r="R9" t="str">
        <f t="shared" si="0"/>
        <v>user-female.jpg</v>
      </c>
      <c r="U9" t="str">
        <f t="shared" si="1"/>
        <v>(195,'danboa1068', 'pswdanboa1068', 'Daniela', 'Feminino', '2014-01-23', 'Rua do Guarda-Mor', '1068-338', 'Lisboa', 'Utente', 'Portuguesa', 'Bilhete de Identidade', '21664050', '402086217', '186375197', '926770275', 'danboa1068@sapo.pt', 'user-female.jpg'),</v>
      </c>
      <c r="V9" t="str">
        <f t="shared" si="2"/>
        <v>(195),</v>
      </c>
    </row>
    <row r="10" spans="1:22" x14ac:dyDescent="0.25">
      <c r="A10">
        <v>196</v>
      </c>
      <c r="B10" t="s">
        <v>2086</v>
      </c>
      <c r="C10" t="s">
        <v>2087</v>
      </c>
      <c r="D10" t="s">
        <v>78</v>
      </c>
      <c r="E10" t="s">
        <v>53</v>
      </c>
      <c r="F10" s="7">
        <v>28055</v>
      </c>
      <c r="G10" t="s">
        <v>238</v>
      </c>
      <c r="H10" t="s">
        <v>2088</v>
      </c>
      <c r="I10" t="s">
        <v>202</v>
      </c>
      <c r="J10" t="s">
        <v>3727</v>
      </c>
      <c r="K10" t="s">
        <v>225</v>
      </c>
      <c r="L10" t="s">
        <v>265</v>
      </c>
      <c r="M10" t="s">
        <v>2089</v>
      </c>
      <c r="N10" t="s">
        <v>2090</v>
      </c>
      <c r="O10" t="s">
        <v>2091</v>
      </c>
      <c r="P10" t="s">
        <v>2092</v>
      </c>
      <c r="Q10" t="s">
        <v>2093</v>
      </c>
      <c r="R10" t="str">
        <f t="shared" si="0"/>
        <v>user-male.jpg</v>
      </c>
      <c r="U10" t="str">
        <f t="shared" si="1"/>
        <v>(196,'tiamar2300', 'pswtiamar2300', 'Tiago', 'Masculino', '1976-10-22', 'Calçada do Moinho de Vento', '2300-606', 'Tomar', 'Utente', 'Portuguesa', 'Bilhete de Identidade', '30377138', '725527120', '204508046', '928672436', 'tiamar2300@gmail.com', 'user-male.jpg'),</v>
      </c>
      <c r="V10" t="str">
        <f t="shared" si="2"/>
        <v>(196),</v>
      </c>
    </row>
    <row r="11" spans="1:22" x14ac:dyDescent="0.25">
      <c r="A11">
        <v>197</v>
      </c>
      <c r="B11" t="s">
        <v>2094</v>
      </c>
      <c r="C11" t="s">
        <v>2095</v>
      </c>
      <c r="D11" t="s">
        <v>87</v>
      </c>
      <c r="E11" t="s">
        <v>66</v>
      </c>
      <c r="F11" s="7">
        <v>30531</v>
      </c>
      <c r="G11" t="s">
        <v>232</v>
      </c>
      <c r="H11" t="s">
        <v>2096</v>
      </c>
      <c r="I11" t="s">
        <v>201</v>
      </c>
      <c r="J11" t="s">
        <v>3727</v>
      </c>
      <c r="K11" t="s">
        <v>225</v>
      </c>
      <c r="L11" t="s">
        <v>265</v>
      </c>
      <c r="M11" t="s">
        <v>2097</v>
      </c>
      <c r="N11" t="s">
        <v>2098</v>
      </c>
      <c r="O11" t="s">
        <v>2099</v>
      </c>
      <c r="P11" t="s">
        <v>2100</v>
      </c>
      <c r="Q11" t="s">
        <v>2101</v>
      </c>
      <c r="R11" t="str">
        <f t="shared" si="0"/>
        <v>user-female.jpg</v>
      </c>
      <c r="U11" t="str">
        <f t="shared" si="1"/>
        <v>(197,'danria2410', 'pswdanria2410', 'Daniela', 'Feminino', '1983-08-03', 'Rua Garrett', '2410-777', 'Leiria', 'Utente', 'Portuguesa', 'Bilhete de Identidade', '53687911', '311877594', '697156304', '917651006', 'danria2410@gmail.com', 'user-female.jpg'),</v>
      </c>
      <c r="V11" t="str">
        <f t="shared" si="2"/>
        <v>(197),</v>
      </c>
    </row>
    <row r="12" spans="1:22" x14ac:dyDescent="0.25">
      <c r="A12">
        <v>198</v>
      </c>
      <c r="B12" t="s">
        <v>3738</v>
      </c>
      <c r="C12" t="s">
        <v>2103</v>
      </c>
      <c r="D12" t="s">
        <v>76</v>
      </c>
      <c r="E12" t="s">
        <v>66</v>
      </c>
      <c r="F12" s="7">
        <v>10192</v>
      </c>
      <c r="G12" t="s">
        <v>237</v>
      </c>
      <c r="H12" t="s">
        <v>2104</v>
      </c>
      <c r="I12" t="s">
        <v>209</v>
      </c>
      <c r="J12" t="s">
        <v>3727</v>
      </c>
      <c r="K12" t="s">
        <v>225</v>
      </c>
      <c r="L12" t="s">
        <v>265</v>
      </c>
      <c r="M12" t="s">
        <v>2105</v>
      </c>
      <c r="N12" t="s">
        <v>2106</v>
      </c>
      <c r="O12" t="s">
        <v>2107</v>
      </c>
      <c r="P12" t="s">
        <v>2108</v>
      </c>
      <c r="Q12" t="s">
        <v>2109</v>
      </c>
      <c r="R12" t="str">
        <f t="shared" si="0"/>
        <v>user-female.jpg</v>
      </c>
      <c r="U12" t="str">
        <f t="shared" si="1"/>
        <v>(198,'ineada2810w', 'pswineada2810', 'Inês', 'Feminino', '1927-11-26', 'Calçada Marquês de Abrantes', '2810-929', 'Almada', 'Utente', 'Portuguesa', 'Bilhete de Identidade', '97254696', '875221726', '236245090', '968453282', 'ineada2810@sapo.pt', 'user-female.jpg'),</v>
      </c>
      <c r="V12" t="str">
        <f t="shared" si="2"/>
        <v>(198),</v>
      </c>
    </row>
    <row r="13" spans="1:22" x14ac:dyDescent="0.25">
      <c r="A13">
        <v>199</v>
      </c>
      <c r="B13" t="s">
        <v>2110</v>
      </c>
      <c r="C13" t="s">
        <v>2111</v>
      </c>
      <c r="D13" t="s">
        <v>2112</v>
      </c>
      <c r="E13" t="s">
        <v>53</v>
      </c>
      <c r="F13" s="7">
        <v>11987</v>
      </c>
      <c r="G13" t="s">
        <v>252</v>
      </c>
      <c r="H13" t="s">
        <v>2113</v>
      </c>
      <c r="I13" t="s">
        <v>223</v>
      </c>
      <c r="J13" t="s">
        <v>3727</v>
      </c>
      <c r="K13" t="s">
        <v>225</v>
      </c>
      <c r="L13" t="s">
        <v>265</v>
      </c>
      <c r="M13" t="s">
        <v>2114</v>
      </c>
      <c r="N13" t="s">
        <v>2115</v>
      </c>
      <c r="O13" t="s">
        <v>2116</v>
      </c>
      <c r="P13" t="s">
        <v>2117</v>
      </c>
      <c r="Q13" t="s">
        <v>2118</v>
      </c>
      <c r="R13" t="str">
        <f t="shared" si="0"/>
        <v>user-male.jpg</v>
      </c>
      <c r="U13" t="str">
        <f t="shared" si="1"/>
        <v>(199,'tomira2659', 'pswtomira2659', 'Tomás Alves', 'Masculino', '1932-10-25', 'Rua de São Julião', '2659-411', 'Ericeira', 'Utente', 'Portuguesa', 'Bilhete de Identidade', '49353265', '863169869', '662412241', '939034152', 'tomira2659@outlook.com', 'user-male.jpg'),</v>
      </c>
      <c r="V13" t="str">
        <f t="shared" si="2"/>
        <v>(199),</v>
      </c>
    </row>
    <row r="14" spans="1:22" x14ac:dyDescent="0.25">
      <c r="A14">
        <v>200</v>
      </c>
      <c r="B14" t="s">
        <v>2119</v>
      </c>
      <c r="C14" t="s">
        <v>2120</v>
      </c>
      <c r="D14" t="s">
        <v>2121</v>
      </c>
      <c r="E14" t="s">
        <v>53</v>
      </c>
      <c r="F14" s="7">
        <v>28287</v>
      </c>
      <c r="G14" t="s">
        <v>241</v>
      </c>
      <c r="H14" t="s">
        <v>2122</v>
      </c>
      <c r="I14" t="s">
        <v>211</v>
      </c>
      <c r="J14" t="s">
        <v>3727</v>
      </c>
      <c r="K14" t="s">
        <v>225</v>
      </c>
      <c r="L14" t="s">
        <v>265</v>
      </c>
      <c r="M14" t="s">
        <v>2123</v>
      </c>
      <c r="N14" t="s">
        <v>2124</v>
      </c>
      <c r="O14" t="s">
        <v>2125</v>
      </c>
      <c r="P14" t="s">
        <v>2126</v>
      </c>
      <c r="Q14" t="s">
        <v>2127</v>
      </c>
      <c r="R14" t="str">
        <f t="shared" si="0"/>
        <v>user-male.jpg</v>
      </c>
      <c r="U14" t="str">
        <f t="shared" si="1"/>
        <v>(200,'andboa1070', 'pswandboa1070', 'André Fernandes', 'Masculino', '1977-06-11', 'Rua da Prata', '1070-732', 'Lisboa', 'Utente', 'Portuguesa', 'Bilhete de Identidade', '93244153', '323457686', '960855137', '961670040', 'andboa1070@gmail.com', 'user-male.jpg'),</v>
      </c>
      <c r="V14" t="str">
        <f t="shared" si="2"/>
        <v>(200),</v>
      </c>
    </row>
    <row r="15" spans="1:22" x14ac:dyDescent="0.25">
      <c r="A15">
        <v>201</v>
      </c>
      <c r="B15" t="s">
        <v>2128</v>
      </c>
      <c r="C15" t="s">
        <v>2129</v>
      </c>
      <c r="D15" t="s">
        <v>2130</v>
      </c>
      <c r="E15" t="s">
        <v>66</v>
      </c>
      <c r="F15" s="7">
        <v>26925</v>
      </c>
      <c r="G15" t="s">
        <v>262</v>
      </c>
      <c r="H15" t="s">
        <v>2131</v>
      </c>
      <c r="I15" t="s">
        <v>211</v>
      </c>
      <c r="J15" t="s">
        <v>3727</v>
      </c>
      <c r="K15" t="s">
        <v>225</v>
      </c>
      <c r="L15" t="s">
        <v>265</v>
      </c>
      <c r="M15" t="s">
        <v>2132</v>
      </c>
      <c r="N15" t="s">
        <v>2133</v>
      </c>
      <c r="O15" t="s">
        <v>2134</v>
      </c>
      <c r="P15" t="s">
        <v>2135</v>
      </c>
      <c r="Q15" t="s">
        <v>2136</v>
      </c>
      <c r="R15" t="str">
        <f t="shared" si="0"/>
        <v>user-female.jpg</v>
      </c>
      <c r="U15" t="str">
        <f t="shared" si="1"/>
        <v>(201,'sarboa1748', 'pswsarboa1748', 'Sara Fonseca', 'Feminino', '1973-09-18', 'Estrada Militar', '1748-007', 'Lisboa', 'Utente', 'Portuguesa', 'Bilhete de Identidade', '42668010', '447668216', '671355240', '917457301', 'sarboa1748@outlook.com', 'user-female.jpg'),</v>
      </c>
      <c r="V15" t="str">
        <f t="shared" si="2"/>
        <v>(201),</v>
      </c>
    </row>
    <row r="16" spans="1:22" x14ac:dyDescent="0.25">
      <c r="A16">
        <v>202</v>
      </c>
      <c r="B16" t="s">
        <v>2137</v>
      </c>
      <c r="C16" t="s">
        <v>2138</v>
      </c>
      <c r="D16" t="s">
        <v>2139</v>
      </c>
      <c r="E16" t="s">
        <v>66</v>
      </c>
      <c r="F16" s="7">
        <v>21109</v>
      </c>
      <c r="G16" t="s">
        <v>257</v>
      </c>
      <c r="H16" t="s">
        <v>2140</v>
      </c>
      <c r="I16" t="s">
        <v>211</v>
      </c>
      <c r="J16" t="s">
        <v>3727</v>
      </c>
      <c r="K16" t="s">
        <v>225</v>
      </c>
      <c r="L16" t="s">
        <v>265</v>
      </c>
      <c r="M16" t="s">
        <v>2141</v>
      </c>
      <c r="N16" t="s">
        <v>2142</v>
      </c>
      <c r="O16" t="s">
        <v>2143</v>
      </c>
      <c r="P16" t="s">
        <v>2144</v>
      </c>
      <c r="Q16" t="s">
        <v>2145</v>
      </c>
      <c r="R16" t="str">
        <f t="shared" si="0"/>
        <v>user-female.jpg</v>
      </c>
      <c r="U16" t="str">
        <f t="shared" si="1"/>
        <v>(202,'sofboa1149', 'pswsofboa1149', 'Sofia Monteiro', 'Feminino', '1957-10-16', 'Rua do Sol a Santana', '1149-593', 'Lisboa', 'Utente', 'Portuguesa', 'Bilhete de Identidade', '44704014', '972591702', '709129991', '969025575', 'sofboa1149@outlook.com', 'user-female.jpg'),</v>
      </c>
      <c r="V16" t="str">
        <f t="shared" si="2"/>
        <v>(202),</v>
      </c>
    </row>
    <row r="17" spans="1:22" x14ac:dyDescent="0.25">
      <c r="A17">
        <v>203</v>
      </c>
      <c r="B17" t="s">
        <v>2146</v>
      </c>
      <c r="C17" t="s">
        <v>2147</v>
      </c>
      <c r="D17" t="s">
        <v>2148</v>
      </c>
      <c r="E17" t="s">
        <v>53</v>
      </c>
      <c r="F17" s="7">
        <v>31299</v>
      </c>
      <c r="G17" t="s">
        <v>244</v>
      </c>
      <c r="H17" t="s">
        <v>2149</v>
      </c>
      <c r="I17" t="s">
        <v>203</v>
      </c>
      <c r="J17" t="s">
        <v>3727</v>
      </c>
      <c r="K17" t="s">
        <v>225</v>
      </c>
      <c r="L17" t="s">
        <v>265</v>
      </c>
      <c r="M17" t="s">
        <v>2150</v>
      </c>
      <c r="N17" t="s">
        <v>2151</v>
      </c>
      <c r="O17" t="s">
        <v>2152</v>
      </c>
      <c r="P17" t="s">
        <v>2153</v>
      </c>
      <c r="Q17" t="s">
        <v>2154</v>
      </c>
      <c r="R17" t="str">
        <f t="shared" si="0"/>
        <v>user-male.jpg</v>
      </c>
      <c r="U17" t="str">
        <f t="shared" si="1"/>
        <v>(203,'afovas2350', 'pswafovas2350', 'Afonso Lopes', 'Masculino', '1985-09-09', 'Rua da Betesga', '2350-352', 'Torres Novas', 'Utente', 'Portuguesa', 'Bilhete de Identidade', '13602453', '428893392', '724663676', '966203362', 'afovas2350@gmail.com', 'user-male.jpg'),</v>
      </c>
      <c r="V17" t="str">
        <f t="shared" si="2"/>
        <v>(203),</v>
      </c>
    </row>
    <row r="18" spans="1:22" x14ac:dyDescent="0.25">
      <c r="A18">
        <v>204</v>
      </c>
      <c r="B18" t="s">
        <v>2155</v>
      </c>
      <c r="C18" t="s">
        <v>2156</v>
      </c>
      <c r="D18" t="s">
        <v>2157</v>
      </c>
      <c r="E18" t="s">
        <v>66</v>
      </c>
      <c r="F18" s="7">
        <v>22764</v>
      </c>
      <c r="G18" t="s">
        <v>241</v>
      </c>
      <c r="H18" t="s">
        <v>2158</v>
      </c>
      <c r="I18" t="s">
        <v>210</v>
      </c>
      <c r="J18" t="s">
        <v>3727</v>
      </c>
      <c r="K18" t="s">
        <v>225</v>
      </c>
      <c r="L18" t="s">
        <v>265</v>
      </c>
      <c r="M18" t="s">
        <v>2159</v>
      </c>
      <c r="N18" t="s">
        <v>2160</v>
      </c>
      <c r="O18" t="s">
        <v>2161</v>
      </c>
      <c r="P18" t="s">
        <v>2162</v>
      </c>
      <c r="Q18" t="s">
        <v>2163</v>
      </c>
      <c r="R18" t="str">
        <f t="shared" si="0"/>
        <v>user-female.jpg</v>
      </c>
      <c r="U18" t="str">
        <f t="shared" si="1"/>
        <v>(204,'sofora2720', 'pswsofora2720', 'Sofia Araújo', 'Feminino', '1962-04-28', 'Rua da Prata', '2720-006', 'Amadora', 'Utente', 'Portuguesa', 'Bilhete de Identidade', '19962455', '250402701', '958712719', '939919167', 'sofora2720@sapo.pt', 'user-female.jpg'),</v>
      </c>
      <c r="V18" t="str">
        <f t="shared" si="2"/>
        <v>(204),</v>
      </c>
    </row>
    <row r="19" spans="1:22" x14ac:dyDescent="0.25">
      <c r="A19">
        <v>205</v>
      </c>
      <c r="B19" t="s">
        <v>2164</v>
      </c>
      <c r="C19" t="s">
        <v>2165</v>
      </c>
      <c r="D19" t="s">
        <v>2166</v>
      </c>
      <c r="E19" t="s">
        <v>53</v>
      </c>
      <c r="F19" s="7">
        <v>23791</v>
      </c>
      <c r="G19" t="s">
        <v>234</v>
      </c>
      <c r="H19" t="s">
        <v>2167</v>
      </c>
      <c r="I19" t="s">
        <v>211</v>
      </c>
      <c r="J19" t="s">
        <v>3727</v>
      </c>
      <c r="K19" t="s">
        <v>225</v>
      </c>
      <c r="L19" t="s">
        <v>265</v>
      </c>
      <c r="M19" t="s">
        <v>2168</v>
      </c>
      <c r="N19" t="s">
        <v>2169</v>
      </c>
      <c r="O19" t="s">
        <v>2170</v>
      </c>
      <c r="P19" t="s">
        <v>2171</v>
      </c>
      <c r="Q19" t="s">
        <v>2172</v>
      </c>
      <c r="R19" s="3" t="s">
        <v>3729</v>
      </c>
      <c r="U19" t="str">
        <f t="shared" si="1"/>
        <v>(205,'dioboa1549', 'pswdioboa1549', 'Diogo Marques', 'Masculino', '1965-02-18', 'Rua do Instituto Bacteriológico', '1549-225', 'Lisboa', 'Utente', 'Portuguesa', 'Bilhete de Identidade', '13530939', '514260555', '661991618', '929195602', 'dioboa1549@gmail.com', 'dioboa1549.jpg'),</v>
      </c>
      <c r="V19" t="str">
        <f t="shared" si="2"/>
        <v>(205),</v>
      </c>
    </row>
    <row r="20" spans="1:22" x14ac:dyDescent="0.25">
      <c r="A20">
        <v>206</v>
      </c>
      <c r="B20" t="s">
        <v>2173</v>
      </c>
      <c r="C20" t="s">
        <v>2174</v>
      </c>
      <c r="D20" t="s">
        <v>2175</v>
      </c>
      <c r="E20" t="s">
        <v>66</v>
      </c>
      <c r="F20" s="7">
        <v>10827</v>
      </c>
      <c r="G20" t="s">
        <v>245</v>
      </c>
      <c r="H20" t="s">
        <v>2176</v>
      </c>
      <c r="I20" t="s">
        <v>211</v>
      </c>
      <c r="J20" t="s">
        <v>3727</v>
      </c>
      <c r="K20" t="s">
        <v>225</v>
      </c>
      <c r="L20" t="s">
        <v>265</v>
      </c>
      <c r="M20" t="s">
        <v>2177</v>
      </c>
      <c r="N20" t="s">
        <v>2178</v>
      </c>
      <c r="O20" t="s">
        <v>2179</v>
      </c>
      <c r="P20" t="s">
        <v>2180</v>
      </c>
      <c r="Q20" t="s">
        <v>2181</v>
      </c>
      <c r="R20" t="str">
        <f t="shared" si="0"/>
        <v>user-female.jpg</v>
      </c>
      <c r="U20" t="str">
        <f t="shared" si="1"/>
        <v>(206,'verboa1449', 'pswverboa1449', 'Vera Guerreiro', 'Feminino', '1929-08-22', 'Rua do Comércio', '1449-554', 'Lisboa', 'Utente', 'Portuguesa', 'Bilhete de Identidade', '99736925', '206120516', '654314148', '920829499', 'verboa1449@gmail.com', 'user-female.jpg'),</v>
      </c>
      <c r="V20" t="str">
        <f t="shared" si="2"/>
        <v>(206),</v>
      </c>
    </row>
    <row r="21" spans="1:22" x14ac:dyDescent="0.25">
      <c r="A21">
        <v>207</v>
      </c>
      <c r="B21" t="s">
        <v>2182</v>
      </c>
      <c r="C21" t="s">
        <v>2183</v>
      </c>
      <c r="D21" t="s">
        <v>2184</v>
      </c>
      <c r="E21" t="s">
        <v>53</v>
      </c>
      <c r="F21" s="7">
        <v>29267</v>
      </c>
      <c r="G21" t="s">
        <v>262</v>
      </c>
      <c r="H21" t="s">
        <v>2185</v>
      </c>
      <c r="I21" t="s">
        <v>212</v>
      </c>
      <c r="J21" t="s">
        <v>3727</v>
      </c>
      <c r="K21" t="s">
        <v>225</v>
      </c>
      <c r="L21" t="s">
        <v>265</v>
      </c>
      <c r="M21" t="s">
        <v>2186</v>
      </c>
      <c r="N21" t="s">
        <v>2187</v>
      </c>
      <c r="O21" t="s">
        <v>2188</v>
      </c>
      <c r="P21" t="s">
        <v>2189</v>
      </c>
      <c r="Q21" t="s">
        <v>2190</v>
      </c>
      <c r="R21" t="str">
        <f t="shared" si="0"/>
        <v>user-male.jpg</v>
      </c>
      <c r="U21" t="str">
        <f t="shared" si="1"/>
        <v>(207,'luires2674', 'pswluires2674', 'Luís Moura', 'Masculino', '1980-02-16', 'Estrada Militar', '2674-161', 'Loures', 'Utente', 'Portuguesa', 'Bilhete de Identidade', '48547393', '829232999', '742534559', '935089632', 'luires2674@outlook.com', 'user-male.jpg'),</v>
      </c>
      <c r="V21" t="str">
        <f t="shared" si="2"/>
        <v>(207),</v>
      </c>
    </row>
    <row r="22" spans="1:22" x14ac:dyDescent="0.25">
      <c r="A22">
        <v>208</v>
      </c>
      <c r="B22" t="s">
        <v>2191</v>
      </c>
      <c r="C22" t="s">
        <v>2192</v>
      </c>
      <c r="D22" t="s">
        <v>2193</v>
      </c>
      <c r="E22" t="s">
        <v>66</v>
      </c>
      <c r="F22" s="7">
        <v>12111</v>
      </c>
      <c r="G22" t="s">
        <v>248</v>
      </c>
      <c r="H22" t="s">
        <v>2194</v>
      </c>
      <c r="I22" t="s">
        <v>211</v>
      </c>
      <c r="J22" t="s">
        <v>3727</v>
      </c>
      <c r="K22" t="s">
        <v>225</v>
      </c>
      <c r="L22" t="s">
        <v>265</v>
      </c>
      <c r="M22" t="s">
        <v>2195</v>
      </c>
      <c r="N22" t="s">
        <v>2196</v>
      </c>
      <c r="O22" t="s">
        <v>2197</v>
      </c>
      <c r="P22" t="s">
        <v>2198</v>
      </c>
      <c r="Q22" t="s">
        <v>2199</v>
      </c>
      <c r="R22" t="str">
        <f t="shared" si="0"/>
        <v>user-female.jpg</v>
      </c>
      <c r="U22" t="str">
        <f t="shared" si="1"/>
        <v>(208,'beaboa1250', 'pswbeaboa1250', 'Beatriz Rodrigues', 'Feminino', '1933-02-26', 'Rua General Morais Sarmento', '1250-099', 'Lisboa', 'Utente', 'Portuguesa', 'Bilhete de Identidade', '54553248', '787624174', '279413108', '933692996', 'beaboa1250@outlook.com', 'user-female.jpg'),</v>
      </c>
      <c r="V22" t="str">
        <f t="shared" si="2"/>
        <v>(208),</v>
      </c>
    </row>
    <row r="23" spans="1:22" x14ac:dyDescent="0.25">
      <c r="A23">
        <v>209</v>
      </c>
      <c r="B23" t="s">
        <v>2200</v>
      </c>
      <c r="C23" t="s">
        <v>2201</v>
      </c>
      <c r="D23" t="s">
        <v>2202</v>
      </c>
      <c r="E23" t="s">
        <v>53</v>
      </c>
      <c r="F23" s="7">
        <v>22513</v>
      </c>
      <c r="G23" t="s">
        <v>241</v>
      </c>
      <c r="H23" t="s">
        <v>2203</v>
      </c>
      <c r="I23" t="s">
        <v>216</v>
      </c>
      <c r="J23" t="s">
        <v>3727</v>
      </c>
      <c r="K23" t="s">
        <v>225</v>
      </c>
      <c r="L23" t="s">
        <v>265</v>
      </c>
      <c r="M23" t="s">
        <v>2204</v>
      </c>
      <c r="N23" t="s">
        <v>2205</v>
      </c>
      <c r="O23" t="s">
        <v>2206</v>
      </c>
      <c r="P23" t="s">
        <v>2207</v>
      </c>
      <c r="Q23" t="s">
        <v>2208</v>
      </c>
      <c r="R23" t="str">
        <f t="shared" si="0"/>
        <v>user-male.jpg</v>
      </c>
      <c r="U23" t="str">
        <f t="shared" si="1"/>
        <v>(209,'tomiro2830', 'pswtomiro2830', 'Tomás Antunes', 'Masculino', '1961-08-20', 'Rua da Prata', '2830-356', 'Barreiro', 'Utente', 'Portuguesa', 'Bilhete de Identidade', '83954885', '610817157', '131311426', '932240266', 'tomiro2830@gmail.com', 'user-male.jpg'),</v>
      </c>
      <c r="V23" t="str">
        <f t="shared" si="2"/>
        <v>(209),</v>
      </c>
    </row>
    <row r="24" spans="1:22" x14ac:dyDescent="0.25">
      <c r="A24">
        <v>210</v>
      </c>
      <c r="B24" t="s">
        <v>2209</v>
      </c>
      <c r="C24" t="s">
        <v>2210</v>
      </c>
      <c r="D24" t="s">
        <v>2211</v>
      </c>
      <c r="E24" t="s">
        <v>66</v>
      </c>
      <c r="F24" s="7">
        <v>22253</v>
      </c>
      <c r="G24" t="s">
        <v>244</v>
      </c>
      <c r="H24" t="s">
        <v>2212</v>
      </c>
      <c r="I24" t="s">
        <v>211</v>
      </c>
      <c r="J24" t="s">
        <v>3727</v>
      </c>
      <c r="K24" t="s">
        <v>225</v>
      </c>
      <c r="L24" t="s">
        <v>265</v>
      </c>
      <c r="M24" t="s">
        <v>2213</v>
      </c>
      <c r="N24" t="s">
        <v>2214</v>
      </c>
      <c r="O24" t="s">
        <v>2215</v>
      </c>
      <c r="P24" t="s">
        <v>2216</v>
      </c>
      <c r="Q24" t="s">
        <v>2217</v>
      </c>
      <c r="R24" t="str">
        <f t="shared" si="0"/>
        <v>user-female.jpg</v>
      </c>
      <c r="U24" t="str">
        <f t="shared" si="1"/>
        <v>(210,'marboa1449', 'pswmarboa1449', 'Maria Gonçalves', 'Feminino', '1960-12-03', 'Rua da Betesga', '1449-773', 'Lisboa', 'Utente', 'Portuguesa', 'Bilhete de Identidade', '97208417', '280167680', '841088729', '966458655', 'marboa1449@sapo.pt', 'user-female.jpg'),</v>
      </c>
      <c r="V24" t="str">
        <f t="shared" si="2"/>
        <v>(210),</v>
      </c>
    </row>
    <row r="25" spans="1:22" x14ac:dyDescent="0.25">
      <c r="A25">
        <v>211</v>
      </c>
      <c r="B25" t="s">
        <v>2218</v>
      </c>
      <c r="C25" t="s">
        <v>2219</v>
      </c>
      <c r="D25" t="s">
        <v>2220</v>
      </c>
      <c r="E25" t="s">
        <v>66</v>
      </c>
      <c r="F25" s="7">
        <v>14100</v>
      </c>
      <c r="G25" t="s">
        <v>240</v>
      </c>
      <c r="H25" t="s">
        <v>2221</v>
      </c>
      <c r="I25" t="s">
        <v>210</v>
      </c>
      <c r="J25" t="s">
        <v>3727</v>
      </c>
      <c r="K25" t="s">
        <v>225</v>
      </c>
      <c r="L25" t="s">
        <v>265</v>
      </c>
      <c r="M25" t="s">
        <v>2222</v>
      </c>
      <c r="N25" t="s">
        <v>2223</v>
      </c>
      <c r="O25" t="s">
        <v>2224</v>
      </c>
      <c r="P25" t="s">
        <v>2225</v>
      </c>
      <c r="Q25" t="s">
        <v>2226</v>
      </c>
      <c r="R25" t="str">
        <f t="shared" si="0"/>
        <v>user-female.jpg</v>
      </c>
      <c r="U25" t="str">
        <f t="shared" si="1"/>
        <v>(211,'lurora2614', 'pswlurora2614', 'Lurdes Anjos', 'Feminino', '1938-08-08', 'Calçada do Poço dos Mouros', '2614-558', 'Amadora', 'Utente', 'Portuguesa', 'Bilhete de Identidade', '52766014', '587768332', '921851723', '963669868', 'lurora2614@gmail.com', 'user-female.jpg'),</v>
      </c>
      <c r="V25" t="str">
        <f t="shared" si="2"/>
        <v>(211),</v>
      </c>
    </row>
    <row r="26" spans="1:22" x14ac:dyDescent="0.25">
      <c r="A26">
        <v>212</v>
      </c>
      <c r="B26" t="s">
        <v>2227</v>
      </c>
      <c r="C26" t="s">
        <v>2228</v>
      </c>
      <c r="D26" t="s">
        <v>2229</v>
      </c>
      <c r="E26" t="s">
        <v>53</v>
      </c>
      <c r="F26" s="7">
        <v>14176</v>
      </c>
      <c r="G26" t="s">
        <v>246</v>
      </c>
      <c r="H26" t="s">
        <v>2230</v>
      </c>
      <c r="I26" t="s">
        <v>202</v>
      </c>
      <c r="J26" t="s">
        <v>3727</v>
      </c>
      <c r="K26" t="s">
        <v>225</v>
      </c>
      <c r="L26" t="s">
        <v>265</v>
      </c>
      <c r="M26" t="s">
        <v>2231</v>
      </c>
      <c r="N26" t="s">
        <v>2232</v>
      </c>
      <c r="O26" t="s">
        <v>2233</v>
      </c>
      <c r="P26" t="s">
        <v>2234</v>
      </c>
      <c r="Q26" t="s">
        <v>2235</v>
      </c>
      <c r="R26" t="str">
        <f t="shared" si="0"/>
        <v>user-male.jpg</v>
      </c>
      <c r="U26" t="str">
        <f t="shared" si="1"/>
        <v>(212,'brumar2300', 'pswbrumar2300', 'Bruno Cardoso', 'Masculino', '1938-10-23', 'Rua do Guarda-Mor', '2300-648', 'Tomar', 'Utente', 'Portuguesa', 'Bilhete de Identidade', '49434863', '901014406', '771910521', '911763111', 'brumar2300@gmail.com', 'user-male.jpg'),</v>
      </c>
      <c r="V26" t="str">
        <f t="shared" si="2"/>
        <v>(212),</v>
      </c>
    </row>
    <row r="27" spans="1:22" x14ac:dyDescent="0.25">
      <c r="A27">
        <v>213</v>
      </c>
      <c r="B27" t="s">
        <v>2236</v>
      </c>
      <c r="C27" t="s">
        <v>2237</v>
      </c>
      <c r="D27" t="s">
        <v>2238</v>
      </c>
      <c r="E27" t="s">
        <v>53</v>
      </c>
      <c r="F27" s="7">
        <v>15060</v>
      </c>
      <c r="G27" t="s">
        <v>230</v>
      </c>
      <c r="H27" t="s">
        <v>2239</v>
      </c>
      <c r="I27" t="s">
        <v>208</v>
      </c>
      <c r="J27" t="s">
        <v>3727</v>
      </c>
      <c r="K27" t="s">
        <v>225</v>
      </c>
      <c r="L27" t="s">
        <v>265</v>
      </c>
      <c r="M27" t="s">
        <v>2240</v>
      </c>
      <c r="N27" t="s">
        <v>2241</v>
      </c>
      <c r="O27" t="s">
        <v>2242</v>
      </c>
      <c r="P27" t="s">
        <v>2243</v>
      </c>
      <c r="Q27" t="s">
        <v>2244</v>
      </c>
      <c r="R27" t="str">
        <f t="shared" si="0"/>
        <v>user-male.jpg</v>
      </c>
      <c r="U27" t="str">
        <f t="shared" si="1"/>
        <v>(213,'luibal2900', 'pswluibal2900', 'Luís Vaz', 'Masculino', '1941-03-25', 'Estrada da Circunvalação de Lisboa', '2900-389', 'Setúbal', 'Utente', 'Portuguesa', 'Bilhete de Identidade', '90881305', '871142470', '119341641', '912739528', 'luibal2900@gmail.com', 'user-male.jpg'),</v>
      </c>
      <c r="V27" t="str">
        <f t="shared" si="2"/>
        <v>(213),</v>
      </c>
    </row>
    <row r="28" spans="1:22" x14ac:dyDescent="0.25">
      <c r="A28">
        <v>214</v>
      </c>
      <c r="B28" t="s">
        <v>2245</v>
      </c>
      <c r="C28" t="s">
        <v>2246</v>
      </c>
      <c r="D28" t="s">
        <v>2247</v>
      </c>
      <c r="E28" t="s">
        <v>53</v>
      </c>
      <c r="F28" s="7">
        <v>32317</v>
      </c>
      <c r="G28" t="s">
        <v>240</v>
      </c>
      <c r="H28" t="s">
        <v>2248</v>
      </c>
      <c r="I28" t="s">
        <v>211</v>
      </c>
      <c r="J28" t="s">
        <v>3727</v>
      </c>
      <c r="K28" t="s">
        <v>225</v>
      </c>
      <c r="L28" t="s">
        <v>265</v>
      </c>
      <c r="M28" t="s">
        <v>2249</v>
      </c>
      <c r="N28" t="s">
        <v>2250</v>
      </c>
      <c r="O28" t="s">
        <v>2251</v>
      </c>
      <c r="P28" t="s">
        <v>2252</v>
      </c>
      <c r="Q28" t="s">
        <v>2253</v>
      </c>
      <c r="R28" t="str">
        <f t="shared" si="0"/>
        <v>user-male.jpg</v>
      </c>
      <c r="U28" t="str">
        <f t="shared" si="1"/>
        <v>(214,'migboa1069', 'pswmigboa1069', 'Miguel Henriques', 'Masculino', '1988-06-23', 'Calçada do Poço dos Mouros', '1069-220', 'Lisboa', 'Utente', 'Portuguesa', 'Bilhete de Identidade', '98240797', '748524936', '639542463', '913254788', 'migboa1069@gmail.com', 'user-male.jpg'),</v>
      </c>
      <c r="V28" t="str">
        <f t="shared" si="2"/>
        <v>(214),</v>
      </c>
    </row>
    <row r="29" spans="1:22" x14ac:dyDescent="0.25">
      <c r="A29">
        <v>215</v>
      </c>
      <c r="B29" t="s">
        <v>2254</v>
      </c>
      <c r="C29" t="s">
        <v>2255</v>
      </c>
      <c r="D29" t="s">
        <v>2256</v>
      </c>
      <c r="E29" t="s">
        <v>66</v>
      </c>
      <c r="F29" s="7">
        <v>31298</v>
      </c>
      <c r="G29" t="s">
        <v>254</v>
      </c>
      <c r="H29" t="s">
        <v>2257</v>
      </c>
      <c r="I29" t="s">
        <v>211</v>
      </c>
      <c r="J29" t="s">
        <v>3727</v>
      </c>
      <c r="K29" t="s">
        <v>225</v>
      </c>
      <c r="L29" t="s">
        <v>265</v>
      </c>
      <c r="M29" t="s">
        <v>2258</v>
      </c>
      <c r="N29" t="s">
        <v>2259</v>
      </c>
      <c r="O29" t="s">
        <v>2260</v>
      </c>
      <c r="P29" t="s">
        <v>2261</v>
      </c>
      <c r="Q29" t="s">
        <v>2262</v>
      </c>
      <c r="R29" s="3" t="s">
        <v>3728</v>
      </c>
      <c r="U29" t="str">
        <f t="shared" si="1"/>
        <v>(215,'anaboa1069', 'pswanaboa1069', 'Ana Ribeiro', 'Feminino', '1985-09-08', 'Rua do Sacramento à Lapa', '1069-339', 'Lisboa', 'Utente', 'Portuguesa', 'Bilhete de Identidade', '92832000', '764495194', '310908090', '964115155', 'anaboa1069@outlook.com', 'anaboa1069.jpg'),</v>
      </c>
      <c r="V29" t="str">
        <f t="shared" si="2"/>
        <v>(215),</v>
      </c>
    </row>
    <row r="30" spans="1:22" x14ac:dyDescent="0.25">
      <c r="A30">
        <v>216</v>
      </c>
      <c r="B30" t="s">
        <v>296</v>
      </c>
      <c r="C30" t="s">
        <v>297</v>
      </c>
      <c r="D30" t="s">
        <v>2263</v>
      </c>
      <c r="E30" t="s">
        <v>66</v>
      </c>
      <c r="F30" s="7">
        <v>20622</v>
      </c>
      <c r="G30" t="s">
        <v>247</v>
      </c>
      <c r="H30" t="s">
        <v>2264</v>
      </c>
      <c r="I30" t="s">
        <v>220</v>
      </c>
      <c r="J30" t="s">
        <v>3727</v>
      </c>
      <c r="K30" t="s">
        <v>225</v>
      </c>
      <c r="L30" t="s">
        <v>265</v>
      </c>
      <c r="M30" t="s">
        <v>2265</v>
      </c>
      <c r="N30" t="s">
        <v>2266</v>
      </c>
      <c r="O30" t="s">
        <v>2267</v>
      </c>
      <c r="P30" t="s">
        <v>2268</v>
      </c>
      <c r="Q30" t="s">
        <v>317</v>
      </c>
      <c r="R30" t="str">
        <f t="shared" si="0"/>
        <v>user-female.jpg</v>
      </c>
      <c r="U30" t="str">
        <f t="shared" si="1"/>
        <v>(216,'marais2754', 'pswmarais2754', 'Maria Ferreira', 'Feminino', '1956-06-16', 'Rua Ferreira Lapa', '2754-094', 'Cascais', 'Utente', 'Portuguesa', 'Bilhete de Identidade', '71545317', '950173863', '332168392', '968892766', 'marais2754@gmail.com', 'user-female.jpg'),</v>
      </c>
      <c r="V30" t="str">
        <f t="shared" si="2"/>
        <v>(216),</v>
      </c>
    </row>
    <row r="31" spans="1:22" x14ac:dyDescent="0.25">
      <c r="A31">
        <v>217</v>
      </c>
      <c r="B31" t="s">
        <v>2269</v>
      </c>
      <c r="C31" t="s">
        <v>2270</v>
      </c>
      <c r="D31" t="s">
        <v>2271</v>
      </c>
      <c r="E31" t="s">
        <v>66</v>
      </c>
      <c r="F31" s="7">
        <v>15242</v>
      </c>
      <c r="G31" t="s">
        <v>230</v>
      </c>
      <c r="H31" t="s">
        <v>2272</v>
      </c>
      <c r="I31" t="s">
        <v>219</v>
      </c>
      <c r="J31" t="s">
        <v>3727</v>
      </c>
      <c r="K31" t="s">
        <v>225</v>
      </c>
      <c r="L31" t="s">
        <v>265</v>
      </c>
      <c r="M31" t="s">
        <v>2273</v>
      </c>
      <c r="N31" t="s">
        <v>2274</v>
      </c>
      <c r="O31" t="s">
        <v>2275</v>
      </c>
      <c r="P31" t="s">
        <v>2276</v>
      </c>
      <c r="Q31" t="s">
        <v>2277</v>
      </c>
      <c r="R31" t="str">
        <f t="shared" si="0"/>
        <v>user-female.jpg</v>
      </c>
      <c r="U31" t="str">
        <f t="shared" si="1"/>
        <v>(217,'fraide2794', 'pswfraide2794', 'Francisca Raposo', 'Feminino', '1941-09-23', 'Estrada da Circunvalação de Lisboa', '2794-864', 'Carnaxide', 'Utente', 'Portuguesa', 'Bilhete de Identidade', '83796504', '120828074', '769360947', '915574498', 'fraide2794@outlook.com', 'user-female.jpg'),</v>
      </c>
      <c r="V31" t="str">
        <f t="shared" si="2"/>
        <v>(217),</v>
      </c>
    </row>
    <row r="32" spans="1:22" x14ac:dyDescent="0.25">
      <c r="A32">
        <v>218</v>
      </c>
      <c r="B32" t="s">
        <v>2278</v>
      </c>
      <c r="C32" t="s">
        <v>2279</v>
      </c>
      <c r="D32" t="s">
        <v>2280</v>
      </c>
      <c r="E32" t="s">
        <v>53</v>
      </c>
      <c r="F32" s="7">
        <v>38538</v>
      </c>
      <c r="G32" t="s">
        <v>260</v>
      </c>
      <c r="H32" t="s">
        <v>2281</v>
      </c>
      <c r="I32" t="s">
        <v>211</v>
      </c>
      <c r="J32" t="s">
        <v>3727</v>
      </c>
      <c r="K32" t="s">
        <v>225</v>
      </c>
      <c r="L32" t="s">
        <v>265</v>
      </c>
      <c r="M32" t="s">
        <v>2282</v>
      </c>
      <c r="N32" t="s">
        <v>2283</v>
      </c>
      <c r="O32" t="s">
        <v>2284</v>
      </c>
      <c r="P32" t="s">
        <v>2285</v>
      </c>
      <c r="Q32" t="s">
        <v>2286</v>
      </c>
      <c r="R32" t="str">
        <f t="shared" si="0"/>
        <v>user-male.jpg</v>
      </c>
      <c r="U32" t="str">
        <f t="shared" si="1"/>
        <v>(218,'luiboa1200', 'pswluiboa1200', 'Luís Lima', 'Masculino', '2005-07-05', 'Rua Augusta', '1200-936', 'Lisboa', 'Utente', 'Portuguesa', 'Bilhete de Identidade', '10780788', '629677497', '909190085', '936801172', 'luiboa1200@sapo.pt', 'user-male.jpg'),</v>
      </c>
      <c r="V32" t="str">
        <f t="shared" si="2"/>
        <v>(218),</v>
      </c>
    </row>
    <row r="33" spans="1:22" x14ac:dyDescent="0.25">
      <c r="A33">
        <v>219</v>
      </c>
      <c r="B33" t="s">
        <v>2287</v>
      </c>
      <c r="C33" t="s">
        <v>2288</v>
      </c>
      <c r="D33" t="s">
        <v>2289</v>
      </c>
      <c r="E33" t="s">
        <v>66</v>
      </c>
      <c r="F33" s="7">
        <v>22147</v>
      </c>
      <c r="G33" t="s">
        <v>243</v>
      </c>
      <c r="H33" t="s">
        <v>2290</v>
      </c>
      <c r="I33" t="s">
        <v>211</v>
      </c>
      <c r="J33" t="s">
        <v>3727</v>
      </c>
      <c r="K33" t="s">
        <v>225</v>
      </c>
      <c r="L33" t="s">
        <v>265</v>
      </c>
      <c r="M33" t="s">
        <v>2291</v>
      </c>
      <c r="N33" t="s">
        <v>2292</v>
      </c>
      <c r="O33" t="s">
        <v>2293</v>
      </c>
      <c r="P33" t="s">
        <v>2294</v>
      </c>
      <c r="Q33" t="s">
        <v>2295</v>
      </c>
      <c r="R33" t="str">
        <f t="shared" si="0"/>
        <v>user-female.jpg</v>
      </c>
      <c r="U33" t="str">
        <f t="shared" si="1"/>
        <v>(219,'carboa1849', 'pswcarboa1849', 'Carolina Ribeiro', 'Feminino', '1960-08-19', 'Rua Roberto Duarte Silva', '1849-970', 'Lisboa', 'Utente', 'Portuguesa', 'Bilhete de Identidade', '66745495', '333029176', '230345618', '915047705', 'carboa1849@sapo.pt', 'user-female.jpg'),</v>
      </c>
      <c r="V33" t="str">
        <f t="shared" si="2"/>
        <v>(219),</v>
      </c>
    </row>
    <row r="34" spans="1:22" x14ac:dyDescent="0.25">
      <c r="A34">
        <v>220</v>
      </c>
      <c r="B34" t="s">
        <v>2296</v>
      </c>
      <c r="C34" t="s">
        <v>2297</v>
      </c>
      <c r="D34" t="s">
        <v>2298</v>
      </c>
      <c r="E34" t="s">
        <v>66</v>
      </c>
      <c r="F34" s="7">
        <v>26345</v>
      </c>
      <c r="G34" t="s">
        <v>241</v>
      </c>
      <c r="H34" t="s">
        <v>2299</v>
      </c>
      <c r="I34" t="s">
        <v>207</v>
      </c>
      <c r="J34" t="s">
        <v>3727</v>
      </c>
      <c r="K34" t="s">
        <v>225</v>
      </c>
      <c r="L34" t="s">
        <v>265</v>
      </c>
      <c r="M34" t="s">
        <v>2300</v>
      </c>
      <c r="N34" t="s">
        <v>2301</v>
      </c>
      <c r="O34" t="s">
        <v>2302</v>
      </c>
      <c r="P34" t="s">
        <v>2303</v>
      </c>
      <c r="Q34" t="s">
        <v>2304</v>
      </c>
      <c r="R34" t="str">
        <f t="shared" si="0"/>
        <v>user-female.jpg</v>
      </c>
      <c r="U34" t="str">
        <f t="shared" si="1"/>
        <v>(220,'danluz2745', 'pswdanluz2745', 'Daniela Nascimento Oliveira', 'Feminino', '1972-02-16', 'Rua da Prata', '2745-127', 'Queluz', 'Utente', 'Portuguesa', 'Bilhete de Identidade', '42551173', '354429799', '778997333', '936973199', 'danluz2745@outlook.com', 'user-female.jpg'),</v>
      </c>
      <c r="V34" t="str">
        <f t="shared" si="2"/>
        <v>(220),</v>
      </c>
    </row>
    <row r="35" spans="1:22" x14ac:dyDescent="0.25">
      <c r="A35">
        <v>221</v>
      </c>
      <c r="B35" t="s">
        <v>2305</v>
      </c>
      <c r="C35" t="s">
        <v>2306</v>
      </c>
      <c r="D35" t="s">
        <v>2307</v>
      </c>
      <c r="E35" t="s">
        <v>53</v>
      </c>
      <c r="F35" s="7">
        <v>24701</v>
      </c>
      <c r="G35" t="s">
        <v>256</v>
      </c>
      <c r="H35" t="s">
        <v>2308</v>
      </c>
      <c r="I35" t="s">
        <v>211</v>
      </c>
      <c r="J35" t="s">
        <v>3727</v>
      </c>
      <c r="K35" t="s">
        <v>225</v>
      </c>
      <c r="L35" t="s">
        <v>265</v>
      </c>
      <c r="M35" t="s">
        <v>2309</v>
      </c>
      <c r="N35" t="s">
        <v>2310</v>
      </c>
      <c r="O35" t="s">
        <v>2311</v>
      </c>
      <c r="P35" t="s">
        <v>2312</v>
      </c>
      <c r="Q35" t="s">
        <v>2313</v>
      </c>
      <c r="R35" t="str">
        <f t="shared" si="0"/>
        <v>user-male.jpg</v>
      </c>
      <c r="U35" t="str">
        <f t="shared" si="1"/>
        <v>(221,'luiboa1950', 'pswluiboa1950', 'Luís Cruz Simões', 'Masculino', '1967-08-17', 'Travessa de São João da Praça', '1950-476', 'Lisboa', 'Utente', 'Portuguesa', 'Bilhete de Identidade', '13966838', '179399141', '100041004', '914502172', 'luiboa1950@sapo.pt', 'user-male.jpg'),</v>
      </c>
      <c r="V35" t="str">
        <f t="shared" si="2"/>
        <v>(221),</v>
      </c>
    </row>
    <row r="36" spans="1:22" x14ac:dyDescent="0.25">
      <c r="A36">
        <v>222</v>
      </c>
      <c r="B36" t="s">
        <v>2314</v>
      </c>
      <c r="C36" t="s">
        <v>2315</v>
      </c>
      <c r="D36" t="s">
        <v>2316</v>
      </c>
      <c r="E36" t="s">
        <v>66</v>
      </c>
      <c r="F36" s="7">
        <v>36840</v>
      </c>
      <c r="G36" t="s">
        <v>246</v>
      </c>
      <c r="H36" t="s">
        <v>2317</v>
      </c>
      <c r="I36" t="s">
        <v>220</v>
      </c>
      <c r="J36" t="s">
        <v>3727</v>
      </c>
      <c r="K36" t="s">
        <v>225</v>
      </c>
      <c r="L36" t="s">
        <v>265</v>
      </c>
      <c r="M36" t="s">
        <v>2318</v>
      </c>
      <c r="N36" t="s">
        <v>2319</v>
      </c>
      <c r="O36" t="s">
        <v>2320</v>
      </c>
      <c r="P36" t="s">
        <v>2321</v>
      </c>
      <c r="Q36" t="s">
        <v>2322</v>
      </c>
      <c r="R36" t="str">
        <f t="shared" si="0"/>
        <v>user-female.jpg</v>
      </c>
      <c r="U36" t="str">
        <f t="shared" si="1"/>
        <v>(222,'joaais2750', 'pswjoaais2750', 'Joana Pinho Rocha', 'Feminino', '2000-11-10', 'Rua do Guarda-Mor', '2750-029', 'Cascais', 'Utente', 'Portuguesa', 'Bilhete de Identidade', '92754268', '690270684', '140405514', '964111504', 'joaais2750@sapo.pt', 'user-female.jpg'),</v>
      </c>
      <c r="V36" t="str">
        <f t="shared" si="2"/>
        <v>(222),</v>
      </c>
    </row>
    <row r="37" spans="1:22" x14ac:dyDescent="0.25">
      <c r="A37">
        <v>223</v>
      </c>
      <c r="B37" t="s">
        <v>2323</v>
      </c>
      <c r="C37" t="s">
        <v>2324</v>
      </c>
      <c r="D37" t="s">
        <v>2325</v>
      </c>
      <c r="E37" t="s">
        <v>53</v>
      </c>
      <c r="F37" s="7">
        <v>40951</v>
      </c>
      <c r="G37" t="s">
        <v>238</v>
      </c>
      <c r="H37" t="s">
        <v>2326</v>
      </c>
      <c r="I37" t="s">
        <v>211</v>
      </c>
      <c r="J37" t="s">
        <v>3727</v>
      </c>
      <c r="K37" t="s">
        <v>225</v>
      </c>
      <c r="L37" t="s">
        <v>265</v>
      </c>
      <c r="M37" t="s">
        <v>2327</v>
      </c>
      <c r="N37" t="s">
        <v>2328</v>
      </c>
      <c r="O37" t="s">
        <v>2329</v>
      </c>
      <c r="P37" t="s">
        <v>2330</v>
      </c>
      <c r="Q37" t="s">
        <v>2331</v>
      </c>
      <c r="R37" t="str">
        <f t="shared" si="0"/>
        <v>user-male.jpg</v>
      </c>
      <c r="U37" t="str">
        <f t="shared" si="1"/>
        <v>(223,'josboa1350', 'pswjosboa1350', 'José Machado Anjos', 'Masculino', '2012-02-12', 'Calçada do Moinho de Vento', '1350-896', 'Lisboa', 'Utente', 'Portuguesa', 'Bilhete de Identidade', '44449557', '897333196', '879565568', '960006116', 'josboa1350@outlook.com', 'user-male.jpg'),</v>
      </c>
      <c r="V37" t="str">
        <f t="shared" si="2"/>
        <v>(223),</v>
      </c>
    </row>
    <row r="38" spans="1:22" x14ac:dyDescent="0.25">
      <c r="A38">
        <v>224</v>
      </c>
      <c r="B38" t="s">
        <v>2332</v>
      </c>
      <c r="C38" t="s">
        <v>2333</v>
      </c>
      <c r="D38" t="s">
        <v>2334</v>
      </c>
      <c r="E38" t="s">
        <v>53</v>
      </c>
      <c r="F38" s="7">
        <v>43838</v>
      </c>
      <c r="G38" t="s">
        <v>257</v>
      </c>
      <c r="H38" t="s">
        <v>2335</v>
      </c>
      <c r="I38" t="s">
        <v>209</v>
      </c>
      <c r="J38" t="s">
        <v>3727</v>
      </c>
      <c r="K38" t="s">
        <v>225</v>
      </c>
      <c r="L38" t="s">
        <v>265</v>
      </c>
      <c r="M38" t="s">
        <v>2336</v>
      </c>
      <c r="N38" t="s">
        <v>2337</v>
      </c>
      <c r="O38" t="s">
        <v>2338</v>
      </c>
      <c r="P38" t="s">
        <v>2339</v>
      </c>
      <c r="Q38" t="s">
        <v>2340</v>
      </c>
      <c r="R38" t="str">
        <f t="shared" si="0"/>
        <v>user-male.jpg</v>
      </c>
      <c r="U38" t="str">
        <f t="shared" si="1"/>
        <v>(224,'afoada2800', 'pswafoada2800', 'Afonso Freitas Simões', 'Masculino', '2020-01-08', 'Rua do Sol a Santana', '2800-543', 'Almada', 'Utente', 'Portuguesa', 'Bilhete de Identidade', '48775692', '442766446', '168068537', '938282700', 'afoada2800@gmail.com', 'user-male.jpg'),</v>
      </c>
      <c r="V38" t="str">
        <f t="shared" si="2"/>
        <v>(224),</v>
      </c>
    </row>
    <row r="39" spans="1:22" x14ac:dyDescent="0.25">
      <c r="A39">
        <v>225</v>
      </c>
      <c r="B39" t="s">
        <v>2341</v>
      </c>
      <c r="C39" t="s">
        <v>2342</v>
      </c>
      <c r="D39" t="s">
        <v>2343</v>
      </c>
      <c r="E39" t="s">
        <v>53</v>
      </c>
      <c r="F39" s="7">
        <v>13937</v>
      </c>
      <c r="G39" t="s">
        <v>245</v>
      </c>
      <c r="H39" t="s">
        <v>2344</v>
      </c>
      <c r="I39" t="s">
        <v>222</v>
      </c>
      <c r="J39" t="s">
        <v>3727</v>
      </c>
      <c r="K39" t="s">
        <v>225</v>
      </c>
      <c r="L39" t="s">
        <v>265</v>
      </c>
      <c r="M39" t="s">
        <v>2345</v>
      </c>
      <c r="N39" t="s">
        <v>2346</v>
      </c>
      <c r="O39" t="s">
        <v>2347</v>
      </c>
      <c r="P39" t="s">
        <v>2348</v>
      </c>
      <c r="Q39" t="s">
        <v>2349</v>
      </c>
      <c r="R39" t="str">
        <f t="shared" si="0"/>
        <v>user-male.jpg</v>
      </c>
      <c r="U39" t="str">
        <f t="shared" si="1"/>
        <v>(225,'luinto2330', 'pswluinto2330', 'Luís Campos Neto', 'Masculino', '1938-02-26', 'Rua do Comércio', '2330-347', 'Entroncamento', 'Utente', 'Portuguesa', 'Bilhete de Identidade', '19645770', '215593110', '740344092', '935815866', 'luinto2330@gmail.com', 'user-male.jpg'),</v>
      </c>
      <c r="V39" t="str">
        <f t="shared" si="2"/>
        <v>(225),</v>
      </c>
    </row>
    <row r="40" spans="1:22" x14ac:dyDescent="0.25">
      <c r="A40">
        <v>226</v>
      </c>
      <c r="B40" t="s">
        <v>2350</v>
      </c>
      <c r="C40" t="s">
        <v>2351</v>
      </c>
      <c r="D40" t="s">
        <v>2352</v>
      </c>
      <c r="E40" t="s">
        <v>53</v>
      </c>
      <c r="F40" s="7">
        <v>32387</v>
      </c>
      <c r="G40" t="s">
        <v>254</v>
      </c>
      <c r="H40" t="s">
        <v>2353</v>
      </c>
      <c r="I40" t="s">
        <v>223</v>
      </c>
      <c r="J40" t="s">
        <v>3727</v>
      </c>
      <c r="K40" t="s">
        <v>225</v>
      </c>
      <c r="L40" t="s">
        <v>265</v>
      </c>
      <c r="M40" t="s">
        <v>2354</v>
      </c>
      <c r="N40" t="s">
        <v>2355</v>
      </c>
      <c r="O40" t="s">
        <v>2356</v>
      </c>
      <c r="P40" t="s">
        <v>2357</v>
      </c>
      <c r="Q40" t="s">
        <v>2358</v>
      </c>
      <c r="R40" t="str">
        <f t="shared" si="0"/>
        <v>user-male.jpg</v>
      </c>
      <c r="U40" t="str">
        <f t="shared" si="1"/>
        <v>(226,'josira2659', 'pswjosira2659', 'José Garcia Ribeiro', 'Masculino', '1988-09-01', 'Rua do Sacramento à Lapa', '2659-254', 'Ericeira', 'Utente', 'Portuguesa', 'Bilhete de Identidade', '33862797', '617202739', '442156607', '921610847', 'josira2659@outlook.com', 'user-male.jpg'),</v>
      </c>
      <c r="V40" t="str">
        <f t="shared" si="2"/>
        <v>(226),</v>
      </c>
    </row>
    <row r="41" spans="1:22" x14ac:dyDescent="0.25">
      <c r="A41">
        <v>227</v>
      </c>
      <c r="B41" t="s">
        <v>2359</v>
      </c>
      <c r="C41" t="s">
        <v>2360</v>
      </c>
      <c r="D41" t="s">
        <v>2361</v>
      </c>
      <c r="E41" t="s">
        <v>53</v>
      </c>
      <c r="F41" s="7">
        <v>10615</v>
      </c>
      <c r="G41" t="s">
        <v>227</v>
      </c>
      <c r="H41" t="s">
        <v>2362</v>
      </c>
      <c r="I41" t="s">
        <v>200</v>
      </c>
      <c r="J41" t="s">
        <v>3727</v>
      </c>
      <c r="K41" t="s">
        <v>225</v>
      </c>
      <c r="L41" t="s">
        <v>265</v>
      </c>
      <c r="M41" t="s">
        <v>2363</v>
      </c>
      <c r="N41" t="s">
        <v>2364</v>
      </c>
      <c r="O41" t="s">
        <v>2365</v>
      </c>
      <c r="P41" t="s">
        <v>2366</v>
      </c>
      <c r="Q41" t="s">
        <v>2367</v>
      </c>
      <c r="R41" t="str">
        <f t="shared" si="0"/>
        <v>user-male.jpg</v>
      </c>
      <c r="U41" t="str">
        <f t="shared" si="1"/>
        <v>(227,'josbra3000', 'pswjosbra3000', 'José Gonçalves Esteves', 'Masculino', '1929-01-22', 'Rua dos Bacalhoeiros', '3000-307', 'Coimbra', 'Utente', 'Portuguesa', 'Bilhete de Identidade', '57372394', '511532615', '173062103', '966368981', 'josbra3000@sapo.pt', 'user-male.jpg'),</v>
      </c>
      <c r="V41" t="str">
        <f t="shared" si="2"/>
        <v>(227),</v>
      </c>
    </row>
    <row r="42" spans="1:22" x14ac:dyDescent="0.25">
      <c r="A42">
        <v>228</v>
      </c>
      <c r="B42" t="s">
        <v>2368</v>
      </c>
      <c r="C42" t="s">
        <v>2369</v>
      </c>
      <c r="D42" t="s">
        <v>2370</v>
      </c>
      <c r="E42" t="s">
        <v>53</v>
      </c>
      <c r="F42" s="7">
        <v>28753</v>
      </c>
      <c r="G42" t="s">
        <v>256</v>
      </c>
      <c r="H42" t="s">
        <v>2371</v>
      </c>
      <c r="I42" t="s">
        <v>211</v>
      </c>
      <c r="J42" t="s">
        <v>3727</v>
      </c>
      <c r="K42" t="s">
        <v>225</v>
      </c>
      <c r="L42" t="s">
        <v>265</v>
      </c>
      <c r="M42" t="s">
        <v>2372</v>
      </c>
      <c r="N42" t="s">
        <v>2373</v>
      </c>
      <c r="O42" t="s">
        <v>2374</v>
      </c>
      <c r="P42" t="s">
        <v>2375</v>
      </c>
      <c r="Q42" t="s">
        <v>2376</v>
      </c>
      <c r="R42" t="str">
        <f t="shared" si="0"/>
        <v>user-male.jpg</v>
      </c>
      <c r="U42" t="str">
        <f t="shared" si="1"/>
        <v>(228,'tiaboa1269', 'pswtiaboa1269', 'Tiago Sá Lourenço', 'Masculino', '1978-09-20', 'Travessa de São João da Praça', '1269-310', 'Lisboa', 'Utente', 'Portuguesa', 'Bilhete de Identidade', '71488926', '213552044', '186167308', '935138223', 'tiaboa1269@outlook.com', 'user-male.jpg'),</v>
      </c>
      <c r="V42" t="str">
        <f t="shared" si="2"/>
        <v>(228),</v>
      </c>
    </row>
    <row r="43" spans="1:22" x14ac:dyDescent="0.25">
      <c r="A43">
        <v>229</v>
      </c>
      <c r="B43" t="s">
        <v>2377</v>
      </c>
      <c r="C43" t="s">
        <v>2378</v>
      </c>
      <c r="D43" t="s">
        <v>2379</v>
      </c>
      <c r="E43" t="s">
        <v>53</v>
      </c>
      <c r="F43" s="7">
        <v>20196</v>
      </c>
      <c r="G43" t="s">
        <v>246</v>
      </c>
      <c r="H43" t="s">
        <v>2380</v>
      </c>
      <c r="I43" t="s">
        <v>223</v>
      </c>
      <c r="J43" t="s">
        <v>3727</v>
      </c>
      <c r="K43" t="s">
        <v>225</v>
      </c>
      <c r="L43" t="s">
        <v>265</v>
      </c>
      <c r="M43" t="s">
        <v>2381</v>
      </c>
      <c r="N43" t="s">
        <v>2382</v>
      </c>
      <c r="O43" t="s">
        <v>2383</v>
      </c>
      <c r="P43" t="s">
        <v>2384</v>
      </c>
      <c r="Q43" t="s">
        <v>2385</v>
      </c>
      <c r="R43" t="str">
        <f t="shared" si="0"/>
        <v>user-male.jpg</v>
      </c>
      <c r="U43" t="str">
        <f t="shared" si="1"/>
        <v>(229,'gabira2655', 'pswgabira2655', 'Gabriel Ribeiro Tavares', 'Masculino', '1955-04-17', 'Rua do Guarda-Mor', '2655-193', 'Ericeira', 'Utente', 'Portuguesa', 'Bilhete de Identidade', '23463815', '539397928', '338201319', '934988076', 'gabira2655@gmail.com', 'user-male.jpg'),</v>
      </c>
      <c r="V43" t="str">
        <f t="shared" si="2"/>
        <v>(229),</v>
      </c>
    </row>
    <row r="44" spans="1:22" x14ac:dyDescent="0.25">
      <c r="A44">
        <v>230</v>
      </c>
      <c r="B44" t="s">
        <v>2386</v>
      </c>
      <c r="C44" t="s">
        <v>2387</v>
      </c>
      <c r="D44" t="s">
        <v>2388</v>
      </c>
      <c r="E44" t="s">
        <v>53</v>
      </c>
      <c r="F44" s="7">
        <v>28461</v>
      </c>
      <c r="G44" t="s">
        <v>240</v>
      </c>
      <c r="H44" t="s">
        <v>2389</v>
      </c>
      <c r="I44" t="s">
        <v>211</v>
      </c>
      <c r="J44" t="s">
        <v>3727</v>
      </c>
      <c r="K44" t="s">
        <v>225</v>
      </c>
      <c r="L44" t="s">
        <v>265</v>
      </c>
      <c r="M44" t="s">
        <v>2390</v>
      </c>
      <c r="N44" t="s">
        <v>2391</v>
      </c>
      <c r="O44" t="s">
        <v>2392</v>
      </c>
      <c r="P44" t="s">
        <v>2393</v>
      </c>
      <c r="Q44" t="s">
        <v>2394</v>
      </c>
      <c r="R44" s="3" t="s">
        <v>3731</v>
      </c>
      <c r="U44" t="str">
        <f t="shared" si="1"/>
        <v>(230,'migboa1900', 'pswmigboa1900', 'Miguel Pereira Morais', 'Masculino', '1977-12-02', 'Calçada do Poço dos Mouros', '1900-943', 'Lisboa', 'Utente', 'Portuguesa', 'Bilhete de Identidade', '68951616', '422440781', '354331457', '922667954', 'migboa1900@outlook.com', 'migboa1900.jpg'),</v>
      </c>
      <c r="V44" t="str">
        <f t="shared" si="2"/>
        <v>(230),</v>
      </c>
    </row>
    <row r="45" spans="1:22" x14ac:dyDescent="0.25">
      <c r="A45">
        <v>231</v>
      </c>
      <c r="B45" t="s">
        <v>291</v>
      </c>
      <c r="C45" t="s">
        <v>292</v>
      </c>
      <c r="D45" t="s">
        <v>2395</v>
      </c>
      <c r="E45" t="s">
        <v>53</v>
      </c>
      <c r="F45" s="7">
        <v>36293</v>
      </c>
      <c r="G45" t="s">
        <v>259</v>
      </c>
      <c r="H45" t="s">
        <v>2396</v>
      </c>
      <c r="I45" t="s">
        <v>223</v>
      </c>
      <c r="J45" t="s">
        <v>3727</v>
      </c>
      <c r="K45" t="s">
        <v>225</v>
      </c>
      <c r="L45" t="s">
        <v>265</v>
      </c>
      <c r="M45" t="s">
        <v>2397</v>
      </c>
      <c r="N45" t="s">
        <v>2398</v>
      </c>
      <c r="O45" t="s">
        <v>2399</v>
      </c>
      <c r="P45" t="s">
        <v>2400</v>
      </c>
      <c r="Q45" t="s">
        <v>293</v>
      </c>
      <c r="R45" t="str">
        <f t="shared" si="0"/>
        <v>user-male.jpg</v>
      </c>
      <c r="U45" t="str">
        <f t="shared" si="1"/>
        <v>(231,'marira2655', 'pswmarira2655', 'Marco Ribeiro Valente', 'Masculino', '1999-05-13', 'Rua da Alfândega', '2655-578', 'Ericeira', 'Utente', 'Portuguesa', 'Bilhete de Identidade', '54893103', '306189858', '546065255', '919985800', 'marira2655@sapo.pt', 'user-male.jpg'),</v>
      </c>
      <c r="V45" t="str">
        <f t="shared" si="2"/>
        <v>(231),</v>
      </c>
    </row>
    <row r="46" spans="1:22" x14ac:dyDescent="0.25">
      <c r="A46">
        <v>232</v>
      </c>
      <c r="B46" t="s">
        <v>2401</v>
      </c>
      <c r="C46" t="s">
        <v>2402</v>
      </c>
      <c r="D46" t="s">
        <v>2403</v>
      </c>
      <c r="E46" t="s">
        <v>53</v>
      </c>
      <c r="F46" s="7">
        <v>14532</v>
      </c>
      <c r="G46" t="s">
        <v>251</v>
      </c>
      <c r="H46" t="s">
        <v>2404</v>
      </c>
      <c r="I46" t="s">
        <v>223</v>
      </c>
      <c r="J46" t="s">
        <v>3727</v>
      </c>
      <c r="K46" t="s">
        <v>225</v>
      </c>
      <c r="L46" t="s">
        <v>265</v>
      </c>
      <c r="M46" t="s">
        <v>2405</v>
      </c>
      <c r="N46" t="s">
        <v>2406</v>
      </c>
      <c r="O46" t="s">
        <v>2407</v>
      </c>
      <c r="P46" t="s">
        <v>2408</v>
      </c>
      <c r="Q46" t="s">
        <v>2409</v>
      </c>
      <c r="R46" t="str">
        <f t="shared" si="0"/>
        <v>user-male.jpg</v>
      </c>
      <c r="U46" t="str">
        <f t="shared" si="1"/>
        <v>(232,'marira2659', 'pswmarira2659', 'Marco Ferreira Sá', 'Masculino', '1939-10-14', 'Rua do Salitre', '2659-641', 'Ericeira', 'Utente', 'Portuguesa', 'Bilhete de Identidade', '43097415', '397180680', '639860952', '934979602', 'marira2659@gmail.com', 'user-male.jpg'),</v>
      </c>
      <c r="V46" t="str">
        <f t="shared" si="2"/>
        <v>(232),</v>
      </c>
    </row>
    <row r="47" spans="1:22" x14ac:dyDescent="0.25">
      <c r="A47">
        <v>233</v>
      </c>
      <c r="B47" t="s">
        <v>2410</v>
      </c>
      <c r="C47" t="s">
        <v>2411</v>
      </c>
      <c r="D47" t="s">
        <v>2412</v>
      </c>
      <c r="E47" t="s">
        <v>53</v>
      </c>
      <c r="F47" s="7">
        <v>41931</v>
      </c>
      <c r="G47" t="s">
        <v>243</v>
      </c>
      <c r="H47" t="s">
        <v>2413</v>
      </c>
      <c r="I47" t="s">
        <v>201</v>
      </c>
      <c r="J47" t="s">
        <v>3727</v>
      </c>
      <c r="K47" t="s">
        <v>225</v>
      </c>
      <c r="L47" t="s">
        <v>265</v>
      </c>
      <c r="M47" t="s">
        <v>2414</v>
      </c>
      <c r="N47" t="s">
        <v>2415</v>
      </c>
      <c r="O47" t="s">
        <v>2416</v>
      </c>
      <c r="P47" t="s">
        <v>2417</v>
      </c>
      <c r="Q47" t="s">
        <v>2418</v>
      </c>
      <c r="R47" t="str">
        <f t="shared" si="0"/>
        <v>user-male.jpg</v>
      </c>
      <c r="U47" t="str">
        <f t="shared" si="1"/>
        <v>(233,'aforia2419', 'pswaforia2419', 'Afonso Miranda Torres', 'Masculino', '2014-10-19', 'Rua Roberto Duarte Silva', '2419-959', 'Leiria', 'Utente', 'Portuguesa', 'Bilhete de Identidade', '20203894', '856997536', '361264062', '912840680', 'aforia2419@gmail.com', 'user-male.jpg'),</v>
      </c>
      <c r="V47" t="str">
        <f t="shared" si="2"/>
        <v>(233),</v>
      </c>
    </row>
    <row r="48" spans="1:22" x14ac:dyDescent="0.25">
      <c r="A48">
        <v>234</v>
      </c>
      <c r="B48" t="s">
        <v>2419</v>
      </c>
      <c r="C48" t="s">
        <v>2420</v>
      </c>
      <c r="D48" t="s">
        <v>2421</v>
      </c>
      <c r="E48" t="s">
        <v>53</v>
      </c>
      <c r="F48" s="7">
        <v>42843</v>
      </c>
      <c r="G48" t="s">
        <v>254</v>
      </c>
      <c r="H48" t="s">
        <v>2422</v>
      </c>
      <c r="I48" t="s">
        <v>211</v>
      </c>
      <c r="J48" t="s">
        <v>3727</v>
      </c>
      <c r="K48" t="s">
        <v>225</v>
      </c>
      <c r="L48" t="s">
        <v>265</v>
      </c>
      <c r="M48" t="s">
        <v>2423</v>
      </c>
      <c r="N48" t="s">
        <v>2424</v>
      </c>
      <c r="O48" t="s">
        <v>2425</v>
      </c>
      <c r="P48" t="s">
        <v>2426</v>
      </c>
      <c r="Q48" t="s">
        <v>2427</v>
      </c>
      <c r="R48" t="str">
        <f t="shared" si="0"/>
        <v>user-male.jpg</v>
      </c>
      <c r="U48" t="str">
        <f t="shared" si="1"/>
        <v>(234,'sanboa1950', 'pswsanboa1950', 'Santiago Leal Matias', 'Masculino', '2017-04-18', 'Rua do Sacramento à Lapa', '1950-487', 'Lisboa', 'Utente', 'Portuguesa', 'Bilhete de Identidade', '75538337', '984301341', '157425709', '918595256', 'sanboa1950@sapo.pt', 'user-male.jpg'),</v>
      </c>
      <c r="V48" t="str">
        <f t="shared" si="2"/>
        <v>(234),</v>
      </c>
    </row>
    <row r="49" spans="1:22" x14ac:dyDescent="0.25">
      <c r="A49">
        <v>235</v>
      </c>
      <c r="B49" t="s">
        <v>2428</v>
      </c>
      <c r="C49" t="s">
        <v>2429</v>
      </c>
      <c r="D49" t="s">
        <v>2430</v>
      </c>
      <c r="E49" t="s">
        <v>66</v>
      </c>
      <c r="F49" s="7">
        <v>25752</v>
      </c>
      <c r="G49" t="s">
        <v>236</v>
      </c>
      <c r="H49" t="s">
        <v>2431</v>
      </c>
      <c r="I49" t="s">
        <v>211</v>
      </c>
      <c r="J49" t="s">
        <v>3727</v>
      </c>
      <c r="K49" t="s">
        <v>225</v>
      </c>
      <c r="L49" t="s">
        <v>265</v>
      </c>
      <c r="M49" t="s">
        <v>2432</v>
      </c>
      <c r="N49" t="s">
        <v>2433</v>
      </c>
      <c r="O49" t="s">
        <v>2434</v>
      </c>
      <c r="P49" t="s">
        <v>2435</v>
      </c>
      <c r="Q49" t="s">
        <v>2436</v>
      </c>
      <c r="R49" t="str">
        <f t="shared" si="0"/>
        <v>user-female.jpg</v>
      </c>
      <c r="U49" t="str">
        <f t="shared" si="1"/>
        <v>(235,'joaboa1067', 'pswjoaboa1067', 'Joana Campos Branco', 'Feminino', '1970-07-03', 'Rua da Madalena', '1067-714', 'Lisboa', 'Utente', 'Portuguesa', 'Bilhete de Identidade', '30500099', '427227460', '445110718', '964417168', 'joaboa1067@outlook.com', 'user-female.jpg'),</v>
      </c>
      <c r="V49" t="str">
        <f t="shared" si="2"/>
        <v>(235),</v>
      </c>
    </row>
    <row r="50" spans="1:22" x14ac:dyDescent="0.25">
      <c r="A50">
        <v>236</v>
      </c>
      <c r="B50" t="s">
        <v>2437</v>
      </c>
      <c r="C50" t="s">
        <v>2438</v>
      </c>
      <c r="D50" t="s">
        <v>2439</v>
      </c>
      <c r="E50" t="s">
        <v>66</v>
      </c>
      <c r="F50" s="7">
        <v>23798</v>
      </c>
      <c r="G50" t="s">
        <v>237</v>
      </c>
      <c r="H50" t="s">
        <v>2440</v>
      </c>
      <c r="I50" t="s">
        <v>208</v>
      </c>
      <c r="J50" t="s">
        <v>3727</v>
      </c>
      <c r="K50" t="s">
        <v>225</v>
      </c>
      <c r="L50" t="s">
        <v>265</v>
      </c>
      <c r="M50" t="s">
        <v>2441</v>
      </c>
      <c r="N50" t="s">
        <v>2442</v>
      </c>
      <c r="O50" t="s">
        <v>2443</v>
      </c>
      <c r="P50" t="s">
        <v>2444</v>
      </c>
      <c r="Q50" t="s">
        <v>2445</v>
      </c>
      <c r="R50" t="str">
        <f t="shared" si="0"/>
        <v>user-female.jpg</v>
      </c>
      <c r="U50" t="str">
        <f t="shared" si="1"/>
        <v>(236,'beabal2914', 'pswbeabal2914', 'Beatriz Baptista Campos', 'Feminino', '1965-02-25', 'Calçada Marquês de Abrantes', '2914-096', 'Setúbal', 'Utente', 'Portuguesa', 'Bilhete de Identidade', '83156191', '435528525', '820723227', '921681363', 'beabal2914@sapo.pt', 'user-female.jpg'),</v>
      </c>
      <c r="V50" t="str">
        <f t="shared" si="2"/>
        <v>(236),</v>
      </c>
    </row>
    <row r="51" spans="1:22" x14ac:dyDescent="0.25">
      <c r="A51">
        <v>237</v>
      </c>
      <c r="B51" t="s">
        <v>2446</v>
      </c>
      <c r="C51" t="s">
        <v>2447</v>
      </c>
      <c r="D51" t="s">
        <v>2448</v>
      </c>
      <c r="E51" t="s">
        <v>53</v>
      </c>
      <c r="F51" s="7">
        <v>10175</v>
      </c>
      <c r="G51" t="s">
        <v>246</v>
      </c>
      <c r="H51" t="s">
        <v>2449</v>
      </c>
      <c r="I51" t="s">
        <v>221</v>
      </c>
      <c r="J51" t="s">
        <v>3727</v>
      </c>
      <c r="K51" t="s">
        <v>225</v>
      </c>
      <c r="L51" t="s">
        <v>265</v>
      </c>
      <c r="M51" t="s">
        <v>2450</v>
      </c>
      <c r="N51" t="s">
        <v>2451</v>
      </c>
      <c r="O51" t="s">
        <v>2452</v>
      </c>
      <c r="P51" t="s">
        <v>2453</v>
      </c>
      <c r="Q51" t="s">
        <v>2454</v>
      </c>
      <c r="R51" t="str">
        <f t="shared" si="0"/>
        <v>user-male.jpg</v>
      </c>
      <c r="U51" t="str">
        <f t="shared" si="1"/>
        <v>(237,'afoica2825', 'pswafoica2825', 'Afonso José Carvalho Costa', 'Masculino', '1927-11-09', 'Rua do Guarda-Mor', '2825-490', 'Costa de Caparica', 'Utente', 'Portuguesa', 'Bilhete de Identidade', '62799668', '641004413', '470837378', '937455457', 'afoica2825@sapo.pt', 'user-male.jpg'),</v>
      </c>
      <c r="V51" t="str">
        <f t="shared" si="2"/>
        <v>(237),</v>
      </c>
    </row>
    <row r="52" spans="1:22" x14ac:dyDescent="0.25">
      <c r="A52">
        <v>238</v>
      </c>
      <c r="B52" t="s">
        <v>2455</v>
      </c>
      <c r="C52" t="s">
        <v>2456</v>
      </c>
      <c r="D52" t="s">
        <v>2457</v>
      </c>
      <c r="E52" t="s">
        <v>53</v>
      </c>
      <c r="F52" s="7">
        <v>16409</v>
      </c>
      <c r="G52" t="s">
        <v>252</v>
      </c>
      <c r="H52" t="s">
        <v>2458</v>
      </c>
      <c r="I52" t="s">
        <v>211</v>
      </c>
      <c r="J52" t="s">
        <v>3727</v>
      </c>
      <c r="K52" t="s">
        <v>225</v>
      </c>
      <c r="L52" t="s">
        <v>265</v>
      </c>
      <c r="M52" t="s">
        <v>2459</v>
      </c>
      <c r="N52" t="s">
        <v>2460</v>
      </c>
      <c r="O52" t="s">
        <v>2461</v>
      </c>
      <c r="P52" t="s">
        <v>2462</v>
      </c>
      <c r="Q52" t="s">
        <v>2463</v>
      </c>
      <c r="R52" t="str">
        <f t="shared" si="0"/>
        <v>user-male.jpg</v>
      </c>
      <c r="U52" t="str">
        <f t="shared" si="1"/>
        <v>(238,'rodboa1349', 'pswrodboa1349', 'Rodrigo Mariana Esteves Ramos', 'Masculino', '1944-12-03', 'Rua de São Julião', '1349-048', 'Lisboa', 'Utente', 'Portuguesa', 'Bilhete de Identidade', '64868411', '337840802', '749755057', '918051060', 'rodboa1349@sapo.pt', 'user-male.jpg'),</v>
      </c>
      <c r="V52" t="str">
        <f t="shared" si="2"/>
        <v>(238),</v>
      </c>
    </row>
    <row r="53" spans="1:22" x14ac:dyDescent="0.25">
      <c r="A53">
        <v>239</v>
      </c>
      <c r="B53" t="s">
        <v>2464</v>
      </c>
      <c r="C53" t="s">
        <v>2465</v>
      </c>
      <c r="D53" t="s">
        <v>2466</v>
      </c>
      <c r="E53" t="s">
        <v>66</v>
      </c>
      <c r="F53" s="7">
        <v>44012</v>
      </c>
      <c r="G53" t="s">
        <v>228</v>
      </c>
      <c r="H53" t="s">
        <v>2467</v>
      </c>
      <c r="I53" t="s">
        <v>211</v>
      </c>
      <c r="J53" t="s">
        <v>3727</v>
      </c>
      <c r="K53" t="s">
        <v>225</v>
      </c>
      <c r="L53" t="s">
        <v>265</v>
      </c>
      <c r="M53" t="s">
        <v>2468</v>
      </c>
      <c r="N53" t="s">
        <v>2469</v>
      </c>
      <c r="O53" t="s">
        <v>2470</v>
      </c>
      <c r="P53" t="s">
        <v>2471</v>
      </c>
      <c r="Q53" t="s">
        <v>2472</v>
      </c>
      <c r="R53" t="str">
        <f t="shared" si="0"/>
        <v>user-female.jpg</v>
      </c>
      <c r="U53" t="str">
        <f t="shared" si="1"/>
        <v>(239,'matboa1200', 'pswmatboa1200', 'Matilde Sara Lourenço Baptista', 'Feminino', '2020-06-30', 'Calçada de Carriche', '1200-458', 'Lisboa', 'Utente', 'Portuguesa', 'Bilhete de Identidade', '69912205', '747613461', '234972868', '917611732', 'matboa1200@outlook.com', 'user-female.jpg'),</v>
      </c>
      <c r="V53" t="str">
        <f t="shared" si="2"/>
        <v>(239),</v>
      </c>
    </row>
    <row r="54" spans="1:22" x14ac:dyDescent="0.25">
      <c r="A54">
        <v>240</v>
      </c>
      <c r="B54" t="s">
        <v>2473</v>
      </c>
      <c r="C54" t="s">
        <v>2474</v>
      </c>
      <c r="D54" t="s">
        <v>2475</v>
      </c>
      <c r="E54" t="s">
        <v>53</v>
      </c>
      <c r="F54" s="7">
        <v>21337</v>
      </c>
      <c r="G54" t="s">
        <v>244</v>
      </c>
      <c r="H54" t="s">
        <v>2476</v>
      </c>
      <c r="I54" t="s">
        <v>205</v>
      </c>
      <c r="J54" t="s">
        <v>3727</v>
      </c>
      <c r="K54" t="s">
        <v>225</v>
      </c>
      <c r="L54" t="s">
        <v>265</v>
      </c>
      <c r="M54" t="s">
        <v>2477</v>
      </c>
      <c r="N54" t="s">
        <v>2478</v>
      </c>
      <c r="O54" t="s">
        <v>2479</v>
      </c>
      <c r="P54" t="s">
        <v>2480</v>
      </c>
      <c r="Q54" t="s">
        <v>2481</v>
      </c>
      <c r="R54" t="str">
        <f t="shared" si="0"/>
        <v>user-male.jpg</v>
      </c>
      <c r="U54" t="str">
        <f t="shared" si="1"/>
        <v>(240,'frarem2000', 'pswfrarem2000', 'Francisco Diogo Lourenço Mendes', 'Masculino', '1958-06-01', 'Rua da Betesga', '2000-828', 'Santarém', 'Utente', 'Portuguesa', 'Bilhete de Identidade', '33792897', '660525990', '207286044', '962900518', 'frarem2000@outlook.com', 'user-male.jpg'),</v>
      </c>
      <c r="V54" t="str">
        <f t="shared" si="2"/>
        <v>(240),</v>
      </c>
    </row>
    <row r="55" spans="1:22" x14ac:dyDescent="0.25">
      <c r="A55">
        <v>241</v>
      </c>
      <c r="B55" t="s">
        <v>2482</v>
      </c>
      <c r="C55" t="s">
        <v>2483</v>
      </c>
      <c r="D55" t="s">
        <v>2484</v>
      </c>
      <c r="E55" t="s">
        <v>53</v>
      </c>
      <c r="F55" s="7">
        <v>35631</v>
      </c>
      <c r="G55" t="s">
        <v>255</v>
      </c>
      <c r="H55" t="s">
        <v>2485</v>
      </c>
      <c r="I55" t="s">
        <v>216</v>
      </c>
      <c r="J55" t="s">
        <v>3727</v>
      </c>
      <c r="K55" t="s">
        <v>225</v>
      </c>
      <c r="L55" t="s">
        <v>265</v>
      </c>
      <c r="M55" t="s">
        <v>2486</v>
      </c>
      <c r="N55" t="s">
        <v>2487</v>
      </c>
      <c r="O55" t="s">
        <v>2488</v>
      </c>
      <c r="P55" t="s">
        <v>2489</v>
      </c>
      <c r="Q55" t="s">
        <v>2490</v>
      </c>
      <c r="R55" t="str">
        <f t="shared" si="0"/>
        <v>user-male.jpg</v>
      </c>
      <c r="U55" t="str">
        <f t="shared" si="1"/>
        <v>(241,'tiairo2834', 'pswtiairo2834', 'Tiago João Pereira Gomes', 'Masculino', '1997-07-20', 'Rua de São Bento', '2834-975', 'Barreiro', 'Utente', 'Portuguesa', 'Bilhete de Identidade', '10425363', '973493124', '886445606', '939819443', 'tiairo2834@outlook.com', 'user-male.jpg'),</v>
      </c>
      <c r="V55" t="str">
        <f t="shared" si="2"/>
        <v>(241),</v>
      </c>
    </row>
    <row r="56" spans="1:22" x14ac:dyDescent="0.25">
      <c r="A56">
        <v>242</v>
      </c>
      <c r="B56" t="s">
        <v>2491</v>
      </c>
      <c r="C56" t="s">
        <v>2492</v>
      </c>
      <c r="D56" t="s">
        <v>2493</v>
      </c>
      <c r="E56" t="s">
        <v>53</v>
      </c>
      <c r="F56" s="7">
        <v>14541</v>
      </c>
      <c r="G56" t="s">
        <v>237</v>
      </c>
      <c r="H56" t="s">
        <v>2494</v>
      </c>
      <c r="I56" t="s">
        <v>222</v>
      </c>
      <c r="J56" t="s">
        <v>3727</v>
      </c>
      <c r="K56" t="s">
        <v>225</v>
      </c>
      <c r="L56" t="s">
        <v>265</v>
      </c>
      <c r="M56" t="s">
        <v>2495</v>
      </c>
      <c r="N56" t="s">
        <v>2496</v>
      </c>
      <c r="O56" t="s">
        <v>2497</v>
      </c>
      <c r="P56" t="s">
        <v>2498</v>
      </c>
      <c r="Q56" t="s">
        <v>2499</v>
      </c>
      <c r="R56" t="str">
        <f t="shared" si="0"/>
        <v>user-male.jpg</v>
      </c>
      <c r="U56" t="str">
        <f t="shared" si="1"/>
        <v>(242,'pednto2334', 'pswpednto2334', 'Pedro João Castro Rodrigues', 'Masculino', '1939-10-23', 'Calçada Marquês de Abrantes', '2334-340', 'Entroncamento', 'Utente', 'Portuguesa', 'Bilhete de Identidade', '59547809', '664564164', '518520759', '914035074', 'pednto2334@gmail.com', 'user-male.jpg'),</v>
      </c>
      <c r="V56" t="str">
        <f t="shared" si="2"/>
        <v>(242),</v>
      </c>
    </row>
    <row r="57" spans="1:22" x14ac:dyDescent="0.25">
      <c r="A57">
        <v>243</v>
      </c>
      <c r="B57" t="s">
        <v>2500</v>
      </c>
      <c r="C57" t="s">
        <v>2501</v>
      </c>
      <c r="D57" t="s">
        <v>2502</v>
      </c>
      <c r="E57" t="s">
        <v>66</v>
      </c>
      <c r="F57" s="7">
        <v>10289</v>
      </c>
      <c r="G57" t="s">
        <v>252</v>
      </c>
      <c r="H57" t="s">
        <v>2503</v>
      </c>
      <c r="I57" t="s">
        <v>203</v>
      </c>
      <c r="J57" t="s">
        <v>3727</v>
      </c>
      <c r="K57" t="s">
        <v>225</v>
      </c>
      <c r="L57" t="s">
        <v>265</v>
      </c>
      <c r="M57" t="s">
        <v>2504</v>
      </c>
      <c r="N57" t="s">
        <v>2505</v>
      </c>
      <c r="O57" t="s">
        <v>2506</v>
      </c>
      <c r="P57" t="s">
        <v>2507</v>
      </c>
      <c r="Q57" t="s">
        <v>2508</v>
      </c>
      <c r="R57" t="str">
        <f t="shared" si="0"/>
        <v>user-female.jpg</v>
      </c>
      <c r="U57" t="str">
        <f t="shared" si="1"/>
        <v>(243,'fravas2350', 'pswfravas2350', 'Francisca João Machado Miranda', 'Feminino', '1928-03-02', 'Rua de São Julião', '2350-102', 'Torres Novas', 'Utente', 'Portuguesa', 'Bilhete de Identidade', '74854183', '469543594', '960999999', '911579295', 'fravas2350@gmail.com', 'user-female.jpg'),</v>
      </c>
      <c r="V57" t="str">
        <f t="shared" si="2"/>
        <v>(243),</v>
      </c>
    </row>
    <row r="58" spans="1:22" x14ac:dyDescent="0.25">
      <c r="A58">
        <v>244</v>
      </c>
      <c r="B58" t="s">
        <v>2509</v>
      </c>
      <c r="C58" t="s">
        <v>2510</v>
      </c>
      <c r="D58" t="s">
        <v>2511</v>
      </c>
      <c r="E58" t="s">
        <v>53</v>
      </c>
      <c r="F58" s="7">
        <v>30780</v>
      </c>
      <c r="G58" t="s">
        <v>254</v>
      </c>
      <c r="H58" t="s">
        <v>2512</v>
      </c>
      <c r="I58" t="s">
        <v>209</v>
      </c>
      <c r="J58" t="s">
        <v>3727</v>
      </c>
      <c r="K58" t="s">
        <v>225</v>
      </c>
      <c r="L58" t="s">
        <v>265</v>
      </c>
      <c r="M58" t="s">
        <v>2513</v>
      </c>
      <c r="N58" t="s">
        <v>2514</v>
      </c>
      <c r="O58" t="s">
        <v>2515</v>
      </c>
      <c r="P58" t="s">
        <v>2516</v>
      </c>
      <c r="Q58" t="s">
        <v>2517</v>
      </c>
      <c r="R58" t="str">
        <f t="shared" si="0"/>
        <v>user-male.jpg</v>
      </c>
      <c r="U58" t="str">
        <f t="shared" si="1"/>
        <v>(244,'joaada2814', 'pswjoaada2814', 'João Ana Lima Loureiro', 'Masculino', '1984-04-08', 'Rua do Sacramento à Lapa', '2814-011', 'Almada', 'Utente', 'Portuguesa', 'Bilhete de Identidade', '85830291', '493126874', '672575891', '922466068', 'joaada2814@outlook.com', 'user-male.jpg'),</v>
      </c>
      <c r="V58" t="str">
        <f t="shared" si="2"/>
        <v>(244),</v>
      </c>
    </row>
    <row r="59" spans="1:22" x14ac:dyDescent="0.25">
      <c r="A59">
        <v>245</v>
      </c>
      <c r="B59" t="s">
        <v>2518</v>
      </c>
      <c r="C59" t="s">
        <v>2519</v>
      </c>
      <c r="D59" t="s">
        <v>2520</v>
      </c>
      <c r="E59" t="s">
        <v>53</v>
      </c>
      <c r="F59" s="7">
        <v>37531</v>
      </c>
      <c r="G59" t="s">
        <v>232</v>
      </c>
      <c r="H59" t="s">
        <v>2521</v>
      </c>
      <c r="I59" t="s">
        <v>205</v>
      </c>
      <c r="J59" t="s">
        <v>3727</v>
      </c>
      <c r="K59" t="s">
        <v>225</v>
      </c>
      <c r="L59" t="s">
        <v>265</v>
      </c>
      <c r="M59" t="s">
        <v>2522</v>
      </c>
      <c r="N59" t="s">
        <v>2523</v>
      </c>
      <c r="O59" t="s">
        <v>2524</v>
      </c>
      <c r="P59" t="s">
        <v>2525</v>
      </c>
      <c r="Q59" t="s">
        <v>2526</v>
      </c>
      <c r="R59" t="str">
        <f t="shared" si="0"/>
        <v>user-male.jpg</v>
      </c>
      <c r="U59" t="str">
        <f t="shared" si="1"/>
        <v>(245,'migrem2009', 'pswmigrem2009', 'Miguel Leonor Domingues Magalhães', 'Masculino', '2002-10-02', 'Rua Garrett', '2009-064', 'Santarém', 'Utente', 'Portuguesa', 'Bilhete de Identidade', '21871432', '353531528', '119959009', '968897222', 'migrem2009@gmail.com', 'user-male.jpg'),</v>
      </c>
      <c r="V59" t="str">
        <f t="shared" si="2"/>
        <v>(245),</v>
      </c>
    </row>
    <row r="60" spans="1:22" x14ac:dyDescent="0.25">
      <c r="A60">
        <v>246</v>
      </c>
      <c r="B60" t="s">
        <v>2527</v>
      </c>
      <c r="C60" t="s">
        <v>2528</v>
      </c>
      <c r="D60" t="s">
        <v>2529</v>
      </c>
      <c r="E60" t="s">
        <v>53</v>
      </c>
      <c r="F60" s="7">
        <v>43428</v>
      </c>
      <c r="G60" t="s">
        <v>232</v>
      </c>
      <c r="H60" t="s">
        <v>2530</v>
      </c>
      <c r="I60" t="s">
        <v>211</v>
      </c>
      <c r="J60" t="s">
        <v>3727</v>
      </c>
      <c r="K60" t="s">
        <v>225</v>
      </c>
      <c r="L60" t="s">
        <v>265</v>
      </c>
      <c r="M60" t="s">
        <v>2531</v>
      </c>
      <c r="N60" t="s">
        <v>2532</v>
      </c>
      <c r="O60" t="s">
        <v>2533</v>
      </c>
      <c r="P60" t="s">
        <v>2534</v>
      </c>
      <c r="Q60" t="s">
        <v>2535</v>
      </c>
      <c r="R60" t="str">
        <f t="shared" si="0"/>
        <v>user-male.jpg</v>
      </c>
      <c r="U60" t="str">
        <f t="shared" si="1"/>
        <v>(246,'luiboa1350', 'pswluiboa1350', 'Luís Sofia Torres Lopes', 'Masculino', '2018-11-24', 'Rua Garrett', '1350-111', 'Lisboa', 'Utente', 'Portuguesa', 'Bilhete de Identidade', '69618503', '247460069', '532697613', '919441524', 'luiboa1350@sapo.pt', 'user-male.jpg'),</v>
      </c>
      <c r="V60" t="str">
        <f t="shared" si="2"/>
        <v>(246),</v>
      </c>
    </row>
    <row r="61" spans="1:22" x14ac:dyDescent="0.25">
      <c r="A61">
        <v>247</v>
      </c>
      <c r="B61" t="s">
        <v>2536</v>
      </c>
      <c r="C61" t="s">
        <v>2537</v>
      </c>
      <c r="D61" t="s">
        <v>2538</v>
      </c>
      <c r="E61" t="s">
        <v>53</v>
      </c>
      <c r="F61" s="7">
        <v>27744</v>
      </c>
      <c r="G61" t="s">
        <v>250</v>
      </c>
      <c r="H61" t="s">
        <v>2539</v>
      </c>
      <c r="I61" t="s">
        <v>211</v>
      </c>
      <c r="J61" t="s">
        <v>3727</v>
      </c>
      <c r="K61" t="s">
        <v>225</v>
      </c>
      <c r="L61" t="s">
        <v>265</v>
      </c>
      <c r="M61" t="s">
        <v>2540</v>
      </c>
      <c r="N61" t="s">
        <v>2541</v>
      </c>
      <c r="O61" t="s">
        <v>2542</v>
      </c>
      <c r="P61" t="s">
        <v>2543</v>
      </c>
      <c r="Q61" t="s">
        <v>2544</v>
      </c>
      <c r="R61" t="str">
        <f t="shared" si="0"/>
        <v>user-male.jpg</v>
      </c>
      <c r="U61" t="str">
        <f t="shared" si="1"/>
        <v>(247,'duaboa1959', 'pswduaboa1959', 'Duarte Luís Moura Rodrigues', 'Masculino', '1975-12-16', 'Rua Nova do Almada', '1959-924', 'Lisboa', 'Utente', 'Portuguesa', 'Bilhete de Identidade', '13218009', '232244867', '871297708', '929109147', 'duaboa1959@gmail.com', 'user-male.jpg'),</v>
      </c>
      <c r="V61" t="str">
        <f t="shared" si="2"/>
        <v>(247),</v>
      </c>
    </row>
    <row r="62" spans="1:22" x14ac:dyDescent="0.25">
      <c r="A62">
        <v>248</v>
      </c>
      <c r="B62" t="s">
        <v>2545</v>
      </c>
      <c r="C62" t="s">
        <v>2546</v>
      </c>
      <c r="D62" t="s">
        <v>2547</v>
      </c>
      <c r="E62" t="s">
        <v>66</v>
      </c>
      <c r="F62" s="7">
        <v>39695</v>
      </c>
      <c r="G62" t="s">
        <v>257</v>
      </c>
      <c r="H62" t="s">
        <v>2548</v>
      </c>
      <c r="I62" t="s">
        <v>216</v>
      </c>
      <c r="J62" t="s">
        <v>3727</v>
      </c>
      <c r="K62" t="s">
        <v>225</v>
      </c>
      <c r="L62" t="s">
        <v>265</v>
      </c>
      <c r="M62" t="s">
        <v>2549</v>
      </c>
      <c r="N62" t="s">
        <v>2550</v>
      </c>
      <c r="O62" t="s">
        <v>2551</v>
      </c>
      <c r="P62" t="s">
        <v>2552</v>
      </c>
      <c r="Q62" t="s">
        <v>2553</v>
      </c>
      <c r="R62" t="str">
        <f t="shared" si="0"/>
        <v>user-female.jpg</v>
      </c>
      <c r="U62" t="str">
        <f t="shared" si="1"/>
        <v>(248,'catiro2834', 'pswcatiro2834', 'Catarina Carolina Amaral Oliveira', 'Feminino', '2008-09-04', 'Rua do Sol a Santana', '2834-596', 'Barreiro', 'Utente', 'Portuguesa', 'Bilhete de Identidade', '34484776', '413715646', '168313102', '925246416', 'catiro2834@sapo.pt', 'user-female.jpg'),</v>
      </c>
      <c r="V62" t="str">
        <f t="shared" si="2"/>
        <v>(248),</v>
      </c>
    </row>
    <row r="63" spans="1:22" x14ac:dyDescent="0.25">
      <c r="A63">
        <v>249</v>
      </c>
      <c r="B63" t="s">
        <v>2554</v>
      </c>
      <c r="C63" t="s">
        <v>2555</v>
      </c>
      <c r="D63" t="s">
        <v>2556</v>
      </c>
      <c r="E63" t="s">
        <v>53</v>
      </c>
      <c r="F63" s="7">
        <v>30630</v>
      </c>
      <c r="G63" t="s">
        <v>262</v>
      </c>
      <c r="H63" t="s">
        <v>2557</v>
      </c>
      <c r="I63" t="s">
        <v>211</v>
      </c>
      <c r="J63" t="s">
        <v>3727</v>
      </c>
      <c r="K63" t="s">
        <v>225</v>
      </c>
      <c r="L63" t="s">
        <v>265</v>
      </c>
      <c r="M63" t="s">
        <v>2558</v>
      </c>
      <c r="N63" t="s">
        <v>2559</v>
      </c>
      <c r="O63" t="s">
        <v>2560</v>
      </c>
      <c r="P63" t="s">
        <v>2561</v>
      </c>
      <c r="Q63" t="s">
        <v>2562</v>
      </c>
      <c r="R63" t="str">
        <f t="shared" si="0"/>
        <v>user-male.jpg</v>
      </c>
      <c r="U63" t="str">
        <f t="shared" si="1"/>
        <v>(249,'josboa1449', 'pswjosboa1449', 'José Catarina Pinho Neves', 'Masculino', '1983-11-10', 'Estrada Militar', '1449-678', 'Lisboa', 'Utente', 'Portuguesa', 'Bilhete de Identidade', '65057586', '291257924', '509744507', '937693125', 'josboa1449@outlook.com', 'user-male.jpg'),</v>
      </c>
      <c r="V63" t="str">
        <f t="shared" si="2"/>
        <v>(249),</v>
      </c>
    </row>
    <row r="64" spans="1:22" x14ac:dyDescent="0.25">
      <c r="A64">
        <v>250</v>
      </c>
      <c r="B64" t="s">
        <v>2563</v>
      </c>
      <c r="C64" t="s">
        <v>2564</v>
      </c>
      <c r="D64" t="s">
        <v>2565</v>
      </c>
      <c r="E64" t="s">
        <v>66</v>
      </c>
      <c r="F64" s="7">
        <v>12753</v>
      </c>
      <c r="G64" t="s">
        <v>238</v>
      </c>
      <c r="H64" t="s">
        <v>2566</v>
      </c>
      <c r="I64" t="s">
        <v>211</v>
      </c>
      <c r="J64" t="s">
        <v>3727</v>
      </c>
      <c r="K64" t="s">
        <v>225</v>
      </c>
      <c r="L64" t="s">
        <v>265</v>
      </c>
      <c r="M64" t="s">
        <v>2567</v>
      </c>
      <c r="N64" t="s">
        <v>2568</v>
      </c>
      <c r="O64" t="s">
        <v>2569</v>
      </c>
      <c r="P64" t="s">
        <v>2570</v>
      </c>
      <c r="Q64" t="s">
        <v>2571</v>
      </c>
      <c r="R64" t="str">
        <f t="shared" si="0"/>
        <v>user-female.jpg</v>
      </c>
      <c r="U64" t="str">
        <f t="shared" si="1"/>
        <v>(250,'marboa1200', 'pswmarboa1200', 'Mariana Carolina Vicente Batista', 'Feminino', '1934-11-30', 'Calçada do Moinho de Vento', '1200-175', 'Lisboa', 'Utente', 'Portuguesa', 'Bilhete de Identidade', '45968953', '371761884', '684555582', '914412029', 'marboa1200@outlook.com', 'user-female.jpg'),</v>
      </c>
      <c r="V64" t="str">
        <f t="shared" si="2"/>
        <v>(250),</v>
      </c>
    </row>
    <row r="65" spans="1:22" x14ac:dyDescent="0.25">
      <c r="A65">
        <v>251</v>
      </c>
      <c r="B65" t="s">
        <v>2572</v>
      </c>
      <c r="C65" t="s">
        <v>2573</v>
      </c>
      <c r="D65" t="s">
        <v>2574</v>
      </c>
      <c r="E65" t="s">
        <v>66</v>
      </c>
      <c r="F65" s="7">
        <v>13063</v>
      </c>
      <c r="G65" t="s">
        <v>256</v>
      </c>
      <c r="H65" t="s">
        <v>2575</v>
      </c>
      <c r="I65" t="s">
        <v>201</v>
      </c>
      <c r="J65" t="s">
        <v>3727</v>
      </c>
      <c r="K65" t="s">
        <v>225</v>
      </c>
      <c r="L65" t="s">
        <v>265</v>
      </c>
      <c r="M65" t="s">
        <v>2576</v>
      </c>
      <c r="N65" t="s">
        <v>2577</v>
      </c>
      <c r="O65" t="s">
        <v>2578</v>
      </c>
      <c r="P65" t="s">
        <v>2579</v>
      </c>
      <c r="Q65" t="s">
        <v>2580</v>
      </c>
      <c r="R65" t="str">
        <f t="shared" si="0"/>
        <v>user-female.jpg</v>
      </c>
      <c r="U65" t="str">
        <f t="shared" si="1"/>
        <v>(251,'fraria2410', 'pswfraria2410', 'Francisca Diana Abreu Ferreira', 'Feminino', '1935-10-06', 'Travessa de São João da Praça', '2410-428', 'Leiria', 'Utente', 'Portuguesa', 'Bilhete de Identidade', '39448996', '249003570', '797346733', '962988085', 'fraria2410@outlook.com', 'user-female.jpg'),</v>
      </c>
      <c r="V65" t="str">
        <f t="shared" si="2"/>
        <v>(251),</v>
      </c>
    </row>
    <row r="66" spans="1:22" x14ac:dyDescent="0.25">
      <c r="A66">
        <v>252</v>
      </c>
      <c r="B66" t="s">
        <v>2581</v>
      </c>
      <c r="C66" t="s">
        <v>2582</v>
      </c>
      <c r="D66" t="s">
        <v>2583</v>
      </c>
      <c r="E66" t="s">
        <v>53</v>
      </c>
      <c r="F66" s="7">
        <v>37114</v>
      </c>
      <c r="G66" t="s">
        <v>241</v>
      </c>
      <c r="H66" t="s">
        <v>2584</v>
      </c>
      <c r="I66" t="s">
        <v>201</v>
      </c>
      <c r="J66" t="s">
        <v>3727</v>
      </c>
      <c r="K66" t="s">
        <v>225</v>
      </c>
      <c r="L66" t="s">
        <v>265</v>
      </c>
      <c r="M66" t="s">
        <v>2585</v>
      </c>
      <c r="N66" t="s">
        <v>2586</v>
      </c>
      <c r="O66" t="s">
        <v>2587</v>
      </c>
      <c r="P66" t="s">
        <v>2588</v>
      </c>
      <c r="Q66" t="s">
        <v>2589</v>
      </c>
      <c r="R66" t="str">
        <f t="shared" si="0"/>
        <v>user-male.jpg</v>
      </c>
      <c r="U66" t="str">
        <f t="shared" si="1"/>
        <v>(252,'rodria2415', 'pswrodria2415', 'Rodrigo Rodrigo Loureiro Teixeira', 'Masculino', '2001-08-11', 'Rua da Prata', '2415-072', 'Leiria', 'Utente', 'Portuguesa', 'Bilhete de Identidade', '53877334', '984350026', '793770092', '934540642', 'rodria2415@gmail.com', 'user-male.jpg'),</v>
      </c>
      <c r="V66" t="str">
        <f t="shared" si="2"/>
        <v>(252),</v>
      </c>
    </row>
    <row r="67" spans="1:22" x14ac:dyDescent="0.25">
      <c r="A67">
        <v>253</v>
      </c>
      <c r="B67" t="s">
        <v>2590</v>
      </c>
      <c r="C67" t="s">
        <v>2591</v>
      </c>
      <c r="D67" t="s">
        <v>2592</v>
      </c>
      <c r="E67" t="s">
        <v>66</v>
      </c>
      <c r="F67" s="7">
        <v>19832</v>
      </c>
      <c r="G67" t="s">
        <v>253</v>
      </c>
      <c r="H67" t="s">
        <v>2593</v>
      </c>
      <c r="I67" t="s">
        <v>211</v>
      </c>
      <c r="J67" t="s">
        <v>3727</v>
      </c>
      <c r="K67" t="s">
        <v>225</v>
      </c>
      <c r="L67" t="s">
        <v>265</v>
      </c>
      <c r="M67" t="s">
        <v>2594</v>
      </c>
      <c r="N67" t="s">
        <v>2595</v>
      </c>
      <c r="O67" t="s">
        <v>2596</v>
      </c>
      <c r="P67" t="s">
        <v>2597</v>
      </c>
      <c r="Q67" t="s">
        <v>2598</v>
      </c>
      <c r="R67" t="str">
        <f t="shared" ref="R67:R130" si="3">IF(E67="Feminino","user-female.jpg","user-male.jpg")</f>
        <v>user-female.jpg</v>
      </c>
      <c r="U67" t="str">
        <f t="shared" si="1"/>
        <v>(253,'carboa1700', 'pswcarboa1700', 'Carolina Catarina Araújo Mendes', 'Feminino', '1954-04-18', 'Rua de São Mamede', '1700-374', 'Lisboa', 'Utente', 'Portuguesa', 'Bilhete de Identidade', '29520487', '851741642', '368426765', '921433280', 'carboa1700@gmail.com', 'user-female.jpg'),</v>
      </c>
      <c r="V67" t="str">
        <f t="shared" si="2"/>
        <v>(253),</v>
      </c>
    </row>
    <row r="68" spans="1:22" x14ac:dyDescent="0.25">
      <c r="A68">
        <v>254</v>
      </c>
      <c r="B68" t="s">
        <v>2599</v>
      </c>
      <c r="C68" t="s">
        <v>2600</v>
      </c>
      <c r="D68" t="s">
        <v>2601</v>
      </c>
      <c r="E68" t="s">
        <v>66</v>
      </c>
      <c r="F68" s="7">
        <v>11481</v>
      </c>
      <c r="G68" t="s">
        <v>259</v>
      </c>
      <c r="H68" t="s">
        <v>2602</v>
      </c>
      <c r="I68" t="s">
        <v>211</v>
      </c>
      <c r="J68" t="s">
        <v>3727</v>
      </c>
      <c r="K68" t="s">
        <v>225</v>
      </c>
      <c r="L68" t="s">
        <v>265</v>
      </c>
      <c r="M68" t="s">
        <v>2603</v>
      </c>
      <c r="N68" t="s">
        <v>2604</v>
      </c>
      <c r="O68" t="s">
        <v>2605</v>
      </c>
      <c r="P68" t="s">
        <v>2606</v>
      </c>
      <c r="Q68" t="s">
        <v>2607</v>
      </c>
      <c r="R68" t="str">
        <f t="shared" si="3"/>
        <v>user-female.jpg</v>
      </c>
      <c r="U68" t="str">
        <f t="shared" ref="U68:U131" si="4">"(" &amp; A68 &amp;",'"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(254,'leoboa1949', 'pswleoboa1949', 'Leonor Rodrigo Rocha Vaz', 'Feminino', '1931-06-07', 'Rua da Alfândega', '1949-190', 'Lisboa', 'Utente', 'Portuguesa', 'Bilhete de Identidade', '65695082', '814800647', '744117582', '964307079', 'leoboa1949@gmail.com', 'user-female.jpg'),</v>
      </c>
      <c r="V68" t="str">
        <f t="shared" ref="V68:V131" si="5">"(" &amp; A68 &amp;"),"</f>
        <v>(254),</v>
      </c>
    </row>
    <row r="69" spans="1:22" x14ac:dyDescent="0.25">
      <c r="A69">
        <v>255</v>
      </c>
      <c r="B69" t="s">
        <v>329</v>
      </c>
      <c r="C69" t="s">
        <v>330</v>
      </c>
      <c r="D69" t="s">
        <v>2608</v>
      </c>
      <c r="E69" t="s">
        <v>66</v>
      </c>
      <c r="F69" s="7">
        <v>19996</v>
      </c>
      <c r="G69" t="s">
        <v>255</v>
      </c>
      <c r="H69" t="s">
        <v>2609</v>
      </c>
      <c r="I69" t="s">
        <v>202</v>
      </c>
      <c r="J69" t="s">
        <v>3727</v>
      </c>
      <c r="K69" t="s">
        <v>225</v>
      </c>
      <c r="L69" t="s">
        <v>265</v>
      </c>
      <c r="M69" t="s">
        <v>2610</v>
      </c>
      <c r="N69" t="s">
        <v>2611</v>
      </c>
      <c r="O69" t="s">
        <v>2612</v>
      </c>
      <c r="P69" t="s">
        <v>2613</v>
      </c>
      <c r="Q69" t="s">
        <v>2614</v>
      </c>
      <c r="R69" t="str">
        <f t="shared" si="3"/>
        <v>user-female.jpg</v>
      </c>
      <c r="U69" t="str">
        <f t="shared" si="4"/>
        <v>(255,'marmar2300', 'pswmarmar2300', 'Mariana Santiago Amorim Gomes', 'Feminino', '1954-09-29', 'Rua de São Bento', '2300-556', 'Tomar', 'Utente', 'Portuguesa', 'Bilhete de Identidade', '33595034', '686409605', '685186190', '966373581', 'marmar2300@gmail.com', 'user-female.jpg'),</v>
      </c>
      <c r="V69" t="str">
        <f t="shared" si="5"/>
        <v>(255),</v>
      </c>
    </row>
    <row r="70" spans="1:22" x14ac:dyDescent="0.25">
      <c r="A70">
        <v>256</v>
      </c>
      <c r="B70" t="s">
        <v>2615</v>
      </c>
      <c r="C70" t="s">
        <v>2616</v>
      </c>
      <c r="D70" t="s">
        <v>2617</v>
      </c>
      <c r="E70" t="s">
        <v>66</v>
      </c>
      <c r="F70" s="7">
        <v>9739</v>
      </c>
      <c r="G70" t="s">
        <v>251</v>
      </c>
      <c r="H70" t="s">
        <v>2618</v>
      </c>
      <c r="I70" t="s">
        <v>217</v>
      </c>
      <c r="J70" t="s">
        <v>3727</v>
      </c>
      <c r="K70" t="s">
        <v>225</v>
      </c>
      <c r="L70" t="s">
        <v>265</v>
      </c>
      <c r="M70" t="s">
        <v>2619</v>
      </c>
      <c r="N70" t="s">
        <v>2620</v>
      </c>
      <c r="O70" t="s">
        <v>2621</v>
      </c>
      <c r="P70" t="s">
        <v>2622</v>
      </c>
      <c r="Q70" t="s">
        <v>2623</v>
      </c>
      <c r="R70" t="str">
        <f t="shared" si="3"/>
        <v>user-female.jpg</v>
      </c>
      <c r="U70" t="str">
        <f t="shared" si="4"/>
        <v>(256,'catica2825', 'pswcatica2825', 'Catarina Francisco Cruz Barbosa', 'Feminino', '1926-08-30', 'Rua do Salitre', '2825-147', 'Caparica', 'Utente', 'Portuguesa', 'Bilhete de Identidade', '78421506', '831345399', '570197220', '938165259', 'catica2825@outlook.com', 'user-female.jpg'),</v>
      </c>
      <c r="V70" t="str">
        <f t="shared" si="5"/>
        <v>(256),</v>
      </c>
    </row>
    <row r="71" spans="1:22" x14ac:dyDescent="0.25">
      <c r="A71">
        <v>257</v>
      </c>
      <c r="B71" t="s">
        <v>2624</v>
      </c>
      <c r="C71" t="s">
        <v>2625</v>
      </c>
      <c r="D71" t="s">
        <v>2626</v>
      </c>
      <c r="E71" t="s">
        <v>66</v>
      </c>
      <c r="F71" s="7">
        <v>19419</v>
      </c>
      <c r="G71" t="s">
        <v>250</v>
      </c>
      <c r="H71" t="s">
        <v>2627</v>
      </c>
      <c r="I71" t="s">
        <v>211</v>
      </c>
      <c r="J71" t="s">
        <v>3727</v>
      </c>
      <c r="K71" t="s">
        <v>225</v>
      </c>
      <c r="L71" t="s">
        <v>265</v>
      </c>
      <c r="M71" t="s">
        <v>2628</v>
      </c>
      <c r="N71" t="s">
        <v>2629</v>
      </c>
      <c r="O71" t="s">
        <v>2630</v>
      </c>
      <c r="P71" t="s">
        <v>2631</v>
      </c>
      <c r="Q71" t="s">
        <v>2632</v>
      </c>
      <c r="R71" t="str">
        <f t="shared" si="3"/>
        <v>user-female.jpg</v>
      </c>
      <c r="U71" t="str">
        <f t="shared" si="4"/>
        <v>(257,'matboa1950', 'pswmatboa1950', 'Matilde Lurdes Castro Loureiro', 'Feminino', '1953-03-01', 'Rua Nova do Almada', '1950-362', 'Lisboa', 'Utente', 'Portuguesa', 'Bilhete de Identidade', '34599081', '387905069', '673482981', '913492766', 'matboa1950@gmail.com', 'user-female.jpg'),</v>
      </c>
      <c r="V71" t="str">
        <f t="shared" si="5"/>
        <v>(257),</v>
      </c>
    </row>
    <row r="72" spans="1:22" x14ac:dyDescent="0.25">
      <c r="A72">
        <v>258</v>
      </c>
      <c r="B72" t="s">
        <v>2633</v>
      </c>
      <c r="C72" t="s">
        <v>2634</v>
      </c>
      <c r="D72" t="s">
        <v>2635</v>
      </c>
      <c r="E72" t="s">
        <v>53</v>
      </c>
      <c r="F72" s="7">
        <v>36001</v>
      </c>
      <c r="G72" t="s">
        <v>230</v>
      </c>
      <c r="H72" t="s">
        <v>2636</v>
      </c>
      <c r="I72" t="s">
        <v>211</v>
      </c>
      <c r="J72" t="s">
        <v>3727</v>
      </c>
      <c r="K72" t="s">
        <v>225</v>
      </c>
      <c r="L72" t="s">
        <v>265</v>
      </c>
      <c r="M72" t="s">
        <v>2637</v>
      </c>
      <c r="N72" t="s">
        <v>2638</v>
      </c>
      <c r="O72" t="s">
        <v>2639</v>
      </c>
      <c r="P72" t="s">
        <v>2640</v>
      </c>
      <c r="Q72" t="s">
        <v>2641</v>
      </c>
      <c r="R72" t="str">
        <f t="shared" si="3"/>
        <v>user-male.jpg</v>
      </c>
      <c r="U72" t="str">
        <f t="shared" si="4"/>
        <v>(258,'fraboa1950', 'pswfraboa1950', 'Francisco Tiago Cardoso Simões', 'Masculino', '1998-07-25', 'Estrada da Circunvalação de Lisboa', '1950-000', 'Lisboa', 'Utente', 'Portuguesa', 'Bilhete de Identidade', '50548726', '832091637', '292579801', '935848306', 'fraboa1950@sapo.pt', 'user-male.jpg'),</v>
      </c>
      <c r="V72" t="str">
        <f t="shared" si="5"/>
        <v>(258),</v>
      </c>
    </row>
    <row r="73" spans="1:22" x14ac:dyDescent="0.25">
      <c r="A73">
        <v>259</v>
      </c>
      <c r="B73" t="s">
        <v>2642</v>
      </c>
      <c r="C73" t="s">
        <v>2643</v>
      </c>
      <c r="D73" t="s">
        <v>2644</v>
      </c>
      <c r="E73" t="s">
        <v>53</v>
      </c>
      <c r="F73" s="7">
        <v>42853</v>
      </c>
      <c r="G73" t="s">
        <v>227</v>
      </c>
      <c r="H73" t="s">
        <v>2645</v>
      </c>
      <c r="I73" t="s">
        <v>208</v>
      </c>
      <c r="J73" t="s">
        <v>3727</v>
      </c>
      <c r="K73" t="s">
        <v>225</v>
      </c>
      <c r="L73" t="s">
        <v>265</v>
      </c>
      <c r="M73" t="s">
        <v>2646</v>
      </c>
      <c r="N73" t="s">
        <v>2647</v>
      </c>
      <c r="O73" t="s">
        <v>2648</v>
      </c>
      <c r="P73" t="s">
        <v>2649</v>
      </c>
      <c r="Q73" t="s">
        <v>2650</v>
      </c>
      <c r="R73" t="str">
        <f t="shared" si="3"/>
        <v>user-male.jpg</v>
      </c>
      <c r="U73" t="str">
        <f t="shared" si="4"/>
        <v>(259,'migbal2914', 'pswmigbal2914', 'Miguel Diogo Fernandes Pacheco', 'Masculino', '2017-04-28', 'Rua dos Bacalhoeiros', '2914-639', 'Setúbal', 'Utente', 'Portuguesa', 'Bilhete de Identidade', '30983600', '782031457', '987701621', '967137122', 'migbal2914@sapo.pt', 'user-male.jpg'),</v>
      </c>
      <c r="V73" t="str">
        <f t="shared" si="5"/>
        <v>(259),</v>
      </c>
    </row>
    <row r="74" spans="1:22" x14ac:dyDescent="0.25">
      <c r="A74">
        <v>260</v>
      </c>
      <c r="B74" t="s">
        <v>2651</v>
      </c>
      <c r="C74" t="s">
        <v>2652</v>
      </c>
      <c r="D74" t="s">
        <v>2653</v>
      </c>
      <c r="E74" t="s">
        <v>53</v>
      </c>
      <c r="F74" s="7">
        <v>38941</v>
      </c>
      <c r="G74" t="s">
        <v>256</v>
      </c>
      <c r="H74" t="s">
        <v>2654</v>
      </c>
      <c r="I74" t="s">
        <v>223</v>
      </c>
      <c r="J74" t="s">
        <v>3727</v>
      </c>
      <c r="K74" t="s">
        <v>225</v>
      </c>
      <c r="L74" t="s">
        <v>265</v>
      </c>
      <c r="M74" t="s">
        <v>2655</v>
      </c>
      <c r="N74" t="s">
        <v>2656</v>
      </c>
      <c r="O74" t="s">
        <v>2657</v>
      </c>
      <c r="P74" t="s">
        <v>2658</v>
      </c>
      <c r="Q74" t="s">
        <v>2659</v>
      </c>
      <c r="R74" t="str">
        <f t="shared" si="3"/>
        <v>user-male.jpg</v>
      </c>
      <c r="U74" t="str">
        <f t="shared" si="4"/>
        <v>(260,'tiaira2659', 'pswtiaira2659', 'Tiago André Carvalho Santos', 'Masculino', '2006-08-12', 'Travessa de São João da Praça', '2659-512', 'Ericeira', 'Utente', 'Portuguesa', 'Bilhete de Identidade', '89182166', '990347869', '274347664', '931766194', 'tiaira2659@gmail.com', 'user-male.jpg'),</v>
      </c>
      <c r="V74" t="str">
        <f t="shared" si="5"/>
        <v>(260),</v>
      </c>
    </row>
    <row r="75" spans="1:22" x14ac:dyDescent="0.25">
      <c r="A75">
        <v>261</v>
      </c>
      <c r="B75" t="s">
        <v>2660</v>
      </c>
      <c r="C75" t="s">
        <v>2661</v>
      </c>
      <c r="D75" t="s">
        <v>2662</v>
      </c>
      <c r="E75" t="s">
        <v>53</v>
      </c>
      <c r="F75" s="7">
        <v>19821</v>
      </c>
      <c r="G75" t="s">
        <v>231</v>
      </c>
      <c r="H75" t="s">
        <v>2663</v>
      </c>
      <c r="I75" t="s">
        <v>211</v>
      </c>
      <c r="J75" t="s">
        <v>3727</v>
      </c>
      <c r="K75" t="s">
        <v>225</v>
      </c>
      <c r="L75" t="s">
        <v>265</v>
      </c>
      <c r="M75" t="s">
        <v>2664</v>
      </c>
      <c r="N75" t="s">
        <v>2665</v>
      </c>
      <c r="O75" t="s">
        <v>2666</v>
      </c>
      <c r="P75" t="s">
        <v>2667</v>
      </c>
      <c r="Q75" t="s">
        <v>2668</v>
      </c>
      <c r="R75" t="str">
        <f t="shared" si="3"/>
        <v>user-male.jpg</v>
      </c>
      <c r="U75" t="str">
        <f t="shared" si="4"/>
        <v>(261,'fraboa1349', 'pswfraboa1349', 'Francisco Vera Melo Henriques', 'Masculino', '1954-04-07', 'Rua dos Fanqueiros', '1349-185', 'Lisboa', 'Utente', 'Portuguesa', 'Bilhete de Identidade', '11083959', '745670841', '991060898', '929725107', 'fraboa1349@outlook.com', 'user-male.jpg'),</v>
      </c>
      <c r="V75" t="str">
        <f t="shared" si="5"/>
        <v>(261),</v>
      </c>
    </row>
    <row r="76" spans="1:22" x14ac:dyDescent="0.25">
      <c r="A76">
        <v>262</v>
      </c>
      <c r="B76" t="s">
        <v>2419</v>
      </c>
      <c r="C76" t="s">
        <v>2420</v>
      </c>
      <c r="D76" t="s">
        <v>2669</v>
      </c>
      <c r="E76" t="s">
        <v>53</v>
      </c>
      <c r="F76" s="7">
        <v>41522</v>
      </c>
      <c r="G76" t="s">
        <v>229</v>
      </c>
      <c r="H76" t="s">
        <v>2670</v>
      </c>
      <c r="I76" t="s">
        <v>211</v>
      </c>
      <c r="J76" t="s">
        <v>3727</v>
      </c>
      <c r="K76" t="s">
        <v>225</v>
      </c>
      <c r="L76" t="s">
        <v>265</v>
      </c>
      <c r="M76" t="s">
        <v>2671</v>
      </c>
      <c r="N76" t="s">
        <v>2672</v>
      </c>
      <c r="O76" t="s">
        <v>2673</v>
      </c>
      <c r="P76" t="s">
        <v>2674</v>
      </c>
      <c r="Q76" t="s">
        <v>2427</v>
      </c>
      <c r="R76" t="str">
        <f t="shared" si="3"/>
        <v>user-male.jpg</v>
      </c>
      <c r="U76" t="str">
        <f t="shared" si="4"/>
        <v>(262,'sanboa1950', 'pswsanboa1950', 'Santiago Marco Cruz Nunes', 'Masculino', '2013-09-05', 'Rua Cidade de Bolama', '1950-801', 'Lisboa', 'Utente', 'Portuguesa', 'Bilhete de Identidade', '49137072', '140066375', '950365806', '965651052', 'sanboa1950@sapo.pt', 'user-male.jpg'),</v>
      </c>
      <c r="V76" t="str">
        <f t="shared" si="5"/>
        <v>(262),</v>
      </c>
    </row>
    <row r="77" spans="1:22" x14ac:dyDescent="0.25">
      <c r="A77">
        <v>263</v>
      </c>
      <c r="B77" t="s">
        <v>2675</v>
      </c>
      <c r="C77" t="s">
        <v>2676</v>
      </c>
      <c r="D77" t="s">
        <v>2677</v>
      </c>
      <c r="E77" t="s">
        <v>66</v>
      </c>
      <c r="F77" s="7">
        <v>24620</v>
      </c>
      <c r="G77" t="s">
        <v>257</v>
      </c>
      <c r="H77" t="s">
        <v>2678</v>
      </c>
      <c r="I77" t="s">
        <v>211</v>
      </c>
      <c r="J77" t="s">
        <v>3727</v>
      </c>
      <c r="K77" t="s">
        <v>225</v>
      </c>
      <c r="L77" t="s">
        <v>265</v>
      </c>
      <c r="M77" t="s">
        <v>2679</v>
      </c>
      <c r="N77" t="s">
        <v>2680</v>
      </c>
      <c r="O77" t="s">
        <v>2681</v>
      </c>
      <c r="P77" t="s">
        <v>2682</v>
      </c>
      <c r="Q77" t="s">
        <v>2683</v>
      </c>
      <c r="R77" t="str">
        <f t="shared" si="3"/>
        <v>user-female.jpg</v>
      </c>
      <c r="U77" t="str">
        <f t="shared" si="4"/>
        <v>(263,'leoboa1250', 'pswleoboa1250', 'Leonor Duarte Ramos Melo', 'Feminino', '1967-05-28', 'Rua do Sol a Santana', '1250-748', 'Lisboa', 'Utente', 'Portuguesa', 'Bilhete de Identidade', '31648782', '223691792', '765925446', '923596358', 'leoboa1250@sapo.pt', 'user-female.jpg'),</v>
      </c>
      <c r="V77" t="str">
        <f t="shared" si="5"/>
        <v>(263),</v>
      </c>
    </row>
    <row r="78" spans="1:22" x14ac:dyDescent="0.25">
      <c r="A78">
        <v>264</v>
      </c>
      <c r="B78" t="s">
        <v>2684</v>
      </c>
      <c r="C78" t="s">
        <v>2685</v>
      </c>
      <c r="D78" t="s">
        <v>2686</v>
      </c>
      <c r="E78" t="s">
        <v>66</v>
      </c>
      <c r="F78" s="7">
        <v>24983</v>
      </c>
      <c r="G78" t="s">
        <v>238</v>
      </c>
      <c r="H78" t="s">
        <v>2687</v>
      </c>
      <c r="I78" t="s">
        <v>210</v>
      </c>
      <c r="J78" t="s">
        <v>3727</v>
      </c>
      <c r="K78" t="s">
        <v>225</v>
      </c>
      <c r="L78" t="s">
        <v>265</v>
      </c>
      <c r="M78" t="s">
        <v>2688</v>
      </c>
      <c r="N78" t="s">
        <v>2689</v>
      </c>
      <c r="O78" t="s">
        <v>2690</v>
      </c>
      <c r="P78" t="s">
        <v>2691</v>
      </c>
      <c r="Q78" t="s">
        <v>2692</v>
      </c>
      <c r="R78" t="str">
        <f t="shared" si="3"/>
        <v>user-female.jpg</v>
      </c>
      <c r="U78" t="str">
        <f t="shared" si="4"/>
        <v>(264,'beaora2614', 'pswbeaora2614', 'Beatriz Diogo Cruz Ramos', 'Feminino', '1968-05-25', 'Calçada do Moinho de Vento', '2614-324', 'Amadora', 'Utente', 'Portuguesa', 'Bilhete de Identidade', '61347923', '756211029', '420846106', '934209642', 'beaora2614@outlook.com', 'user-female.jpg'),</v>
      </c>
      <c r="V78" t="str">
        <f t="shared" si="5"/>
        <v>(264),</v>
      </c>
    </row>
    <row r="79" spans="1:22" x14ac:dyDescent="0.25">
      <c r="A79">
        <v>265</v>
      </c>
      <c r="B79" t="s">
        <v>2693</v>
      </c>
      <c r="C79" t="s">
        <v>2694</v>
      </c>
      <c r="D79" t="s">
        <v>2695</v>
      </c>
      <c r="E79" t="s">
        <v>66</v>
      </c>
      <c r="F79" s="7">
        <v>28641</v>
      </c>
      <c r="G79" t="s">
        <v>240</v>
      </c>
      <c r="H79" t="s">
        <v>2696</v>
      </c>
      <c r="I79" t="s">
        <v>211</v>
      </c>
      <c r="J79" t="s">
        <v>3727</v>
      </c>
      <c r="K79" t="s">
        <v>225</v>
      </c>
      <c r="L79" t="s">
        <v>265</v>
      </c>
      <c r="M79" t="s">
        <v>2697</v>
      </c>
      <c r="N79" t="s">
        <v>2698</v>
      </c>
      <c r="O79" t="s">
        <v>2699</v>
      </c>
      <c r="P79" t="s">
        <v>2700</v>
      </c>
      <c r="Q79" t="s">
        <v>2701</v>
      </c>
      <c r="R79" t="str">
        <f t="shared" si="3"/>
        <v>user-female.jpg</v>
      </c>
      <c r="U79" t="str">
        <f t="shared" si="4"/>
        <v>(265,'anaboa1998', 'pswanaboa1998', 'Ana Tiago Barbosa Leal', 'Feminino', '1978-05-31', 'Calçada do Poço dos Mouros', '1998-961', 'Lisboa', 'Utente', 'Portuguesa', 'Bilhete de Identidade', '86981754', '379660272', '916521813', '914723656', 'anaboa1998@sapo.pt', 'user-female.jpg'),</v>
      </c>
      <c r="V79" t="str">
        <f t="shared" si="5"/>
        <v>(265),</v>
      </c>
    </row>
    <row r="80" spans="1:22" x14ac:dyDescent="0.25">
      <c r="A80">
        <v>266</v>
      </c>
      <c r="B80" t="s">
        <v>2702</v>
      </c>
      <c r="C80" t="s">
        <v>2703</v>
      </c>
      <c r="D80" t="s">
        <v>2704</v>
      </c>
      <c r="E80" t="s">
        <v>66</v>
      </c>
      <c r="F80" s="7">
        <v>35043</v>
      </c>
      <c r="G80" t="s">
        <v>229</v>
      </c>
      <c r="H80" t="s">
        <v>2705</v>
      </c>
      <c r="I80" t="s">
        <v>211</v>
      </c>
      <c r="J80" t="s">
        <v>3727</v>
      </c>
      <c r="K80" t="s">
        <v>225</v>
      </c>
      <c r="L80" t="s">
        <v>265</v>
      </c>
      <c r="M80" t="s">
        <v>2706</v>
      </c>
      <c r="N80" t="s">
        <v>2707</v>
      </c>
      <c r="O80" t="s">
        <v>2708</v>
      </c>
      <c r="P80" t="s">
        <v>2709</v>
      </c>
      <c r="Q80" t="s">
        <v>2710</v>
      </c>
      <c r="R80" t="str">
        <f t="shared" si="3"/>
        <v>user-female.jpg</v>
      </c>
      <c r="U80" t="str">
        <f t="shared" si="4"/>
        <v>(266,'beaboa1649', 'pswbeaboa1649', 'Beatriz Mariana Matias Ribeiro', 'Feminino', '1995-12-10', 'Rua Cidade de Bolama', '1649-363', 'Lisboa', 'Utente', 'Portuguesa', 'Bilhete de Identidade', '82588701', '809412821', '261516683', '933312523', 'beaboa1649@sapo.pt', 'user-female.jpg'),</v>
      </c>
      <c r="V80" t="str">
        <f t="shared" si="5"/>
        <v>(266),</v>
      </c>
    </row>
    <row r="81" spans="1:22" x14ac:dyDescent="0.25">
      <c r="A81">
        <v>267</v>
      </c>
      <c r="B81" t="s">
        <v>2711</v>
      </c>
      <c r="C81" t="s">
        <v>2712</v>
      </c>
      <c r="D81" t="s">
        <v>2713</v>
      </c>
      <c r="E81" t="s">
        <v>53</v>
      </c>
      <c r="F81" s="7">
        <v>22527</v>
      </c>
      <c r="G81" t="s">
        <v>240</v>
      </c>
      <c r="H81" t="s">
        <v>2714</v>
      </c>
      <c r="I81" t="s">
        <v>205</v>
      </c>
      <c r="J81" t="s">
        <v>3727</v>
      </c>
      <c r="K81" t="s">
        <v>225</v>
      </c>
      <c r="L81" t="s">
        <v>265</v>
      </c>
      <c r="M81" t="s">
        <v>2715</v>
      </c>
      <c r="N81" t="s">
        <v>2716</v>
      </c>
      <c r="O81" t="s">
        <v>2717</v>
      </c>
      <c r="P81" t="s">
        <v>2718</v>
      </c>
      <c r="Q81" t="s">
        <v>2719</v>
      </c>
      <c r="R81" t="str">
        <f t="shared" si="3"/>
        <v>user-male.jpg</v>
      </c>
      <c r="U81" t="str">
        <f t="shared" si="4"/>
        <v>(267,'rodrem2009', 'pswrodrem2009', 'Rodrigo Diana Pires Neves', 'Masculino', '1961-09-03', 'Calçada do Poço dos Mouros', '2009-773', 'Santarém', 'Utente', 'Portuguesa', 'Bilhete de Identidade', '45090103', '369831948', '402334743', '932942747', 'rodrem2009@sapo.pt', 'user-male.jpg'),</v>
      </c>
      <c r="V81" t="str">
        <f t="shared" si="5"/>
        <v>(267),</v>
      </c>
    </row>
    <row r="82" spans="1:22" x14ac:dyDescent="0.25">
      <c r="A82">
        <v>268</v>
      </c>
      <c r="B82" t="s">
        <v>2720</v>
      </c>
      <c r="C82" t="s">
        <v>2721</v>
      </c>
      <c r="D82" t="s">
        <v>2722</v>
      </c>
      <c r="E82" t="s">
        <v>53</v>
      </c>
      <c r="F82" s="7">
        <v>12686</v>
      </c>
      <c r="G82" t="s">
        <v>250</v>
      </c>
      <c r="H82" t="s">
        <v>2723</v>
      </c>
      <c r="I82" t="s">
        <v>211</v>
      </c>
      <c r="J82" t="s">
        <v>3727</v>
      </c>
      <c r="K82" t="s">
        <v>225</v>
      </c>
      <c r="L82" t="s">
        <v>265</v>
      </c>
      <c r="M82" t="s">
        <v>2724</v>
      </c>
      <c r="N82" t="s">
        <v>2725</v>
      </c>
      <c r="O82" t="s">
        <v>2726</v>
      </c>
      <c r="P82" t="s">
        <v>2727</v>
      </c>
      <c r="Q82" t="s">
        <v>2728</v>
      </c>
      <c r="R82" t="str">
        <f t="shared" si="3"/>
        <v>user-male.jpg</v>
      </c>
      <c r="U82" t="str">
        <f t="shared" si="4"/>
        <v>(268,'bruboa1300', 'pswbruboa1300', 'Bruno Joana Gaspar Melo', 'Masculino', '1934-09-24', 'Rua Nova do Almada', '1300-732', 'Lisboa', 'Utente', 'Portuguesa', 'Bilhete de Identidade', '98303307', '240948186', '337872997', '968774378', 'bruboa1300@outlook.com', 'user-male.jpg'),</v>
      </c>
      <c r="V82" t="str">
        <f t="shared" si="5"/>
        <v>(268),</v>
      </c>
    </row>
    <row r="83" spans="1:22" x14ac:dyDescent="0.25">
      <c r="A83">
        <v>269</v>
      </c>
      <c r="B83" t="s">
        <v>2729</v>
      </c>
      <c r="C83" t="s">
        <v>2730</v>
      </c>
      <c r="D83" t="s">
        <v>2731</v>
      </c>
      <c r="E83" t="s">
        <v>66</v>
      </c>
      <c r="F83" s="7">
        <v>36263</v>
      </c>
      <c r="G83" t="s">
        <v>241</v>
      </c>
      <c r="H83" t="s">
        <v>2732</v>
      </c>
      <c r="I83" t="s">
        <v>211</v>
      </c>
      <c r="J83" t="s">
        <v>3727</v>
      </c>
      <c r="K83" t="s">
        <v>225</v>
      </c>
      <c r="L83" t="s">
        <v>265</v>
      </c>
      <c r="M83" t="s">
        <v>2733</v>
      </c>
      <c r="N83" t="s">
        <v>2734</v>
      </c>
      <c r="O83" t="s">
        <v>2735</v>
      </c>
      <c r="P83" t="s">
        <v>2736</v>
      </c>
      <c r="Q83" t="s">
        <v>2737</v>
      </c>
      <c r="R83" t="str">
        <f t="shared" si="3"/>
        <v>user-female.jpg</v>
      </c>
      <c r="U83" t="str">
        <f t="shared" si="4"/>
        <v>(269,'fraboa1050', 'pswfraboa1050', 'Francisca Mariana Coelho Marques', 'Feminino', '1999-04-13', 'Rua da Prata', '1050-941', 'Lisboa', 'Utente', 'Portuguesa', 'Bilhete de Identidade', '43492331', '431037997', '921083994', '963132795', 'fraboa1050@sapo.pt', 'user-female.jpg'),</v>
      </c>
      <c r="V83" t="str">
        <f t="shared" si="5"/>
        <v>(269),</v>
      </c>
    </row>
    <row r="84" spans="1:22" x14ac:dyDescent="0.25">
      <c r="A84">
        <v>270</v>
      </c>
      <c r="B84" t="s">
        <v>326</v>
      </c>
      <c r="C84" t="s">
        <v>327</v>
      </c>
      <c r="D84" t="s">
        <v>2738</v>
      </c>
      <c r="E84" t="s">
        <v>53</v>
      </c>
      <c r="F84" s="7">
        <v>13617</v>
      </c>
      <c r="G84" t="s">
        <v>228</v>
      </c>
      <c r="H84" t="s">
        <v>2739</v>
      </c>
      <c r="I84" t="s">
        <v>218</v>
      </c>
      <c r="J84" t="s">
        <v>3727</v>
      </c>
      <c r="K84" t="s">
        <v>225</v>
      </c>
      <c r="L84" t="s">
        <v>265</v>
      </c>
      <c r="M84" t="s">
        <v>2740</v>
      </c>
      <c r="N84" t="s">
        <v>2741</v>
      </c>
      <c r="O84" t="s">
        <v>2742</v>
      </c>
      <c r="P84" t="s">
        <v>2743</v>
      </c>
      <c r="Q84" t="s">
        <v>2744</v>
      </c>
      <c r="R84" t="str">
        <f t="shared" si="3"/>
        <v>user-male.jpg</v>
      </c>
      <c r="U84" t="str">
        <f t="shared" si="4"/>
        <v>(270,'marlos2775', 'pswmarlos2775', 'Martim Bruno Raposo Borges', 'Masculino', '1937-04-12', 'Calçada de Carriche', '2775-293', 'Carcavelos', 'Utente', 'Portuguesa', 'Bilhete de Identidade', '28171783', '488007815', '504591008', '920120892', 'marlos2775@outlook.com', 'user-male.jpg'),</v>
      </c>
      <c r="V84" t="str">
        <f t="shared" si="5"/>
        <v>(270),</v>
      </c>
    </row>
    <row r="85" spans="1:22" x14ac:dyDescent="0.25">
      <c r="A85">
        <v>271</v>
      </c>
      <c r="B85" t="s">
        <v>2745</v>
      </c>
      <c r="C85" t="s">
        <v>2746</v>
      </c>
      <c r="D85" t="s">
        <v>2747</v>
      </c>
      <c r="E85" t="s">
        <v>53</v>
      </c>
      <c r="F85" s="7">
        <v>41552</v>
      </c>
      <c r="G85" t="s">
        <v>247</v>
      </c>
      <c r="H85" t="s">
        <v>2748</v>
      </c>
      <c r="I85" t="s">
        <v>222</v>
      </c>
      <c r="J85" t="s">
        <v>3727</v>
      </c>
      <c r="K85" t="s">
        <v>225</v>
      </c>
      <c r="L85" t="s">
        <v>265</v>
      </c>
      <c r="M85" t="s">
        <v>2749</v>
      </c>
      <c r="N85" t="s">
        <v>2750</v>
      </c>
      <c r="O85" t="s">
        <v>2751</v>
      </c>
      <c r="P85" t="s">
        <v>2752</v>
      </c>
      <c r="Q85" t="s">
        <v>2753</v>
      </c>
      <c r="R85" t="str">
        <f t="shared" si="3"/>
        <v>user-male.jpg</v>
      </c>
      <c r="U85" t="str">
        <f t="shared" si="4"/>
        <v>(271,'gabnto2330', 'pswgabnto2330', 'Gabriel Sara Morais Leal', 'Masculino', '2013-10-05', 'Rua Ferreira Lapa', '2330-562', 'Entroncamento', 'Utente', 'Portuguesa', 'Bilhete de Identidade', '48786129', '352590238', '443229053', '965921199', 'gabnto2330@outlook.com', 'user-male.jpg'),</v>
      </c>
      <c r="V85" t="str">
        <f t="shared" si="5"/>
        <v>(271),</v>
      </c>
    </row>
    <row r="86" spans="1:22" x14ac:dyDescent="0.25">
      <c r="A86">
        <v>272</v>
      </c>
      <c r="B86" t="s">
        <v>2754</v>
      </c>
      <c r="C86" t="s">
        <v>2755</v>
      </c>
      <c r="D86" t="s">
        <v>2756</v>
      </c>
      <c r="E86" t="s">
        <v>66</v>
      </c>
      <c r="F86" s="7">
        <v>27773</v>
      </c>
      <c r="G86" t="s">
        <v>242</v>
      </c>
      <c r="H86" t="s">
        <v>2757</v>
      </c>
      <c r="I86" t="s">
        <v>211</v>
      </c>
      <c r="J86" t="s">
        <v>3727</v>
      </c>
      <c r="K86" t="s">
        <v>225</v>
      </c>
      <c r="L86" t="s">
        <v>265</v>
      </c>
      <c r="M86" t="s">
        <v>2758</v>
      </c>
      <c r="N86" t="s">
        <v>2759</v>
      </c>
      <c r="O86" t="s">
        <v>2760</v>
      </c>
      <c r="P86" t="s">
        <v>2761</v>
      </c>
      <c r="Q86" t="s">
        <v>2762</v>
      </c>
      <c r="R86" t="str">
        <f t="shared" si="3"/>
        <v>user-female.jpg</v>
      </c>
      <c r="U86" t="str">
        <f t="shared" si="4"/>
        <v>(272,'beaboa1098', 'pswbeaboa1098', 'Beatriz Afonso Santos Ferreira', 'Feminino', '1976-01-14', 'Avenida Ressano Garcia', '1098-551', 'Lisboa', 'Utente', 'Portuguesa', 'Bilhete de Identidade', '48105884', '553368744', '518588077', '927776976', 'beaboa1098@outlook.com', 'user-female.jpg'),</v>
      </c>
      <c r="V86" t="str">
        <f t="shared" si="5"/>
        <v>(272),</v>
      </c>
    </row>
    <row r="87" spans="1:22" x14ac:dyDescent="0.25">
      <c r="A87">
        <v>273</v>
      </c>
      <c r="B87" t="s">
        <v>2763</v>
      </c>
      <c r="C87" t="s">
        <v>2764</v>
      </c>
      <c r="D87" t="s">
        <v>2765</v>
      </c>
      <c r="E87" t="s">
        <v>53</v>
      </c>
      <c r="F87" s="7">
        <v>27273</v>
      </c>
      <c r="G87" t="s">
        <v>240</v>
      </c>
      <c r="H87" t="s">
        <v>2766</v>
      </c>
      <c r="I87" t="s">
        <v>205</v>
      </c>
      <c r="J87" t="s">
        <v>3727</v>
      </c>
      <c r="K87" t="s">
        <v>225</v>
      </c>
      <c r="L87" t="s">
        <v>265</v>
      </c>
      <c r="M87" t="s">
        <v>2767</v>
      </c>
      <c r="N87" t="s">
        <v>2768</v>
      </c>
      <c r="O87" t="s">
        <v>2769</v>
      </c>
      <c r="P87" t="s">
        <v>2770</v>
      </c>
      <c r="Q87" t="s">
        <v>2771</v>
      </c>
      <c r="R87" t="str">
        <f t="shared" si="3"/>
        <v>user-male.jpg</v>
      </c>
      <c r="U87" t="str">
        <f t="shared" si="4"/>
        <v>(273,'gabrem2009', 'pswgabrem2009', 'Gabriel Duarte Pinto Amaral', 'Masculino', '1974-09-01', 'Calçada do Poço dos Mouros', '2009-265', 'Santarém', 'Utente', 'Portuguesa', 'Bilhete de Identidade', '68519616', '382546816', '227789291', '963869258', 'gabrem2009@sapo.pt', 'user-male.jpg'),</v>
      </c>
      <c r="V87" t="str">
        <f t="shared" si="5"/>
        <v>(273),</v>
      </c>
    </row>
    <row r="88" spans="1:22" x14ac:dyDescent="0.25">
      <c r="A88">
        <v>274</v>
      </c>
      <c r="B88" t="s">
        <v>2772</v>
      </c>
      <c r="C88" t="s">
        <v>2773</v>
      </c>
      <c r="D88" t="s">
        <v>2774</v>
      </c>
      <c r="E88" t="s">
        <v>53</v>
      </c>
      <c r="F88" s="7">
        <v>33962</v>
      </c>
      <c r="G88" t="s">
        <v>239</v>
      </c>
      <c r="H88" t="s">
        <v>2775</v>
      </c>
      <c r="I88" t="s">
        <v>211</v>
      </c>
      <c r="J88" t="s">
        <v>3727</v>
      </c>
      <c r="K88" t="s">
        <v>225</v>
      </c>
      <c r="L88" t="s">
        <v>265</v>
      </c>
      <c r="M88" t="s">
        <v>2776</v>
      </c>
      <c r="N88" t="s">
        <v>2777</v>
      </c>
      <c r="O88" t="s">
        <v>2778</v>
      </c>
      <c r="P88" t="s">
        <v>2779</v>
      </c>
      <c r="Q88" t="s">
        <v>2780</v>
      </c>
      <c r="R88" t="str">
        <f t="shared" si="3"/>
        <v>user-male.jpg</v>
      </c>
      <c r="U88" t="str">
        <f t="shared" si="4"/>
        <v>(274,'fraboa1067', 'pswfraboa1067', 'Francisco Mariana Matias Miranda', 'Masculino', '1992-12-24', 'Rua da Oliveira ao Carmo', '1067-738', 'Lisboa', 'Utente', 'Portuguesa', 'Bilhete de Identidade', '38012101', '634216481', '530225478', '963908101', 'fraboa1067@sapo.pt', 'user-male.jpg'),</v>
      </c>
      <c r="V88" t="str">
        <f t="shared" si="5"/>
        <v>(274),</v>
      </c>
    </row>
    <row r="89" spans="1:22" x14ac:dyDescent="0.25">
      <c r="A89">
        <v>275</v>
      </c>
      <c r="B89" t="s">
        <v>2781</v>
      </c>
      <c r="C89" t="s">
        <v>2782</v>
      </c>
      <c r="D89" t="s">
        <v>2783</v>
      </c>
      <c r="E89" t="s">
        <v>66</v>
      </c>
      <c r="F89" s="7">
        <v>16313</v>
      </c>
      <c r="G89" t="s">
        <v>238</v>
      </c>
      <c r="H89" t="s">
        <v>2784</v>
      </c>
      <c r="I89" t="s">
        <v>218</v>
      </c>
      <c r="J89" t="s">
        <v>3727</v>
      </c>
      <c r="K89" t="s">
        <v>225</v>
      </c>
      <c r="L89" t="s">
        <v>265</v>
      </c>
      <c r="M89" t="s">
        <v>2785</v>
      </c>
      <c r="N89" t="s">
        <v>2786</v>
      </c>
      <c r="O89" t="s">
        <v>2787</v>
      </c>
      <c r="P89" t="s">
        <v>2788</v>
      </c>
      <c r="Q89" t="s">
        <v>2789</v>
      </c>
      <c r="R89" t="str">
        <f t="shared" si="3"/>
        <v>user-female.jpg</v>
      </c>
      <c r="U89" t="str">
        <f t="shared" si="4"/>
        <v>(275,'carlos2775', 'pswcarlos2775', 'Carolina André Anjos Santos', 'Feminino', '1944-08-29', 'Calçada do Moinho de Vento', '2775-985', 'Carcavelos', 'Utente', 'Portuguesa', 'Bilhete de Identidade', '65809207', '717350049', '258512815', '936684178', 'carlos2775@outlook.com', 'user-female.jpg'),</v>
      </c>
      <c r="V89" t="str">
        <f t="shared" si="5"/>
        <v>(275),</v>
      </c>
    </row>
    <row r="90" spans="1:22" x14ac:dyDescent="0.25">
      <c r="A90">
        <v>276</v>
      </c>
      <c r="B90" t="s">
        <v>294</v>
      </c>
      <c r="C90" t="s">
        <v>295</v>
      </c>
      <c r="D90" t="s">
        <v>2790</v>
      </c>
      <c r="E90" t="s">
        <v>53</v>
      </c>
      <c r="F90" s="7">
        <v>40133</v>
      </c>
      <c r="G90" t="s">
        <v>254</v>
      </c>
      <c r="H90" t="s">
        <v>2791</v>
      </c>
      <c r="I90" t="s">
        <v>211</v>
      </c>
      <c r="J90" t="s">
        <v>3727</v>
      </c>
      <c r="K90" t="s">
        <v>225</v>
      </c>
      <c r="L90" t="s">
        <v>265</v>
      </c>
      <c r="M90" t="s">
        <v>2792</v>
      </c>
      <c r="N90" t="s">
        <v>2793</v>
      </c>
      <c r="O90" t="s">
        <v>2794</v>
      </c>
      <c r="P90" t="s">
        <v>2795</v>
      </c>
      <c r="Q90" t="s">
        <v>2796</v>
      </c>
      <c r="R90" t="str">
        <f t="shared" si="3"/>
        <v>user-male.jpg</v>
      </c>
      <c r="U90" t="str">
        <f t="shared" si="4"/>
        <v>(276,'marboa1000', 'pswmarboa1000', 'Martim Ana Baptista Azevedo', 'Masculino', '2009-11-16', 'Rua do Sacramento à Lapa', '1000-426', 'Lisboa', 'Utente', 'Portuguesa', 'Bilhete de Identidade', '15569997', '580040177', '446008100', '911166669', 'marboa1000@outlook.com', 'user-male.jpg'),</v>
      </c>
      <c r="V90" t="str">
        <f t="shared" si="5"/>
        <v>(276),</v>
      </c>
    </row>
    <row r="91" spans="1:22" x14ac:dyDescent="0.25">
      <c r="A91">
        <v>277</v>
      </c>
      <c r="B91" t="s">
        <v>2797</v>
      </c>
      <c r="C91" t="s">
        <v>2798</v>
      </c>
      <c r="D91" t="s">
        <v>2799</v>
      </c>
      <c r="E91" t="s">
        <v>53</v>
      </c>
      <c r="F91" s="7">
        <v>16302</v>
      </c>
      <c r="G91" t="s">
        <v>236</v>
      </c>
      <c r="H91" t="s">
        <v>2800</v>
      </c>
      <c r="I91" t="s">
        <v>211</v>
      </c>
      <c r="J91" t="s">
        <v>3727</v>
      </c>
      <c r="K91" t="s">
        <v>225</v>
      </c>
      <c r="L91" t="s">
        <v>265</v>
      </c>
      <c r="M91" t="s">
        <v>2801</v>
      </c>
      <c r="N91" t="s">
        <v>2802</v>
      </c>
      <c r="O91" t="s">
        <v>2803</v>
      </c>
      <c r="P91" t="s">
        <v>2804</v>
      </c>
      <c r="Q91" t="s">
        <v>2805</v>
      </c>
      <c r="R91" t="str">
        <f t="shared" si="3"/>
        <v>user-male.jpg</v>
      </c>
      <c r="U91" t="str">
        <f t="shared" si="4"/>
        <v>(277,'dioboa1700', 'pswdioboa1700', 'Diogo Maria Fonseca Simões', 'Masculino', '1944-08-18', 'Rua da Madalena', '1700-520', 'Lisboa', 'Utente', 'Portuguesa', 'Bilhete de Identidade', '67409293', '290784725', '388843721', '932975765', 'dioboa1700@outlook.com', 'user-male.jpg'),</v>
      </c>
      <c r="V91" t="str">
        <f t="shared" si="5"/>
        <v>(277),</v>
      </c>
    </row>
    <row r="92" spans="1:22" x14ac:dyDescent="0.25">
      <c r="A92">
        <v>278</v>
      </c>
      <c r="B92" t="s">
        <v>2806</v>
      </c>
      <c r="C92" t="s">
        <v>2807</v>
      </c>
      <c r="D92" t="s">
        <v>2808</v>
      </c>
      <c r="E92" t="s">
        <v>53</v>
      </c>
      <c r="F92" s="7">
        <v>15230</v>
      </c>
      <c r="G92" t="s">
        <v>243</v>
      </c>
      <c r="H92" t="s">
        <v>2809</v>
      </c>
      <c r="I92" t="s">
        <v>211</v>
      </c>
      <c r="J92" t="s">
        <v>3727</v>
      </c>
      <c r="K92" t="s">
        <v>225</v>
      </c>
      <c r="L92" t="s">
        <v>265</v>
      </c>
      <c r="M92" t="s">
        <v>2810</v>
      </c>
      <c r="N92" t="s">
        <v>2811</v>
      </c>
      <c r="O92" t="s">
        <v>2812</v>
      </c>
      <c r="P92" t="s">
        <v>2813</v>
      </c>
      <c r="Q92" t="s">
        <v>2814</v>
      </c>
      <c r="R92" t="str">
        <f t="shared" si="3"/>
        <v>user-male.jpg</v>
      </c>
      <c r="U92" t="str">
        <f t="shared" si="4"/>
        <v>(278,'migboa1800', 'pswmigboa1800', 'Miguel Daniela Magalhães Cunha', 'Masculino', '1941-09-11', 'Rua Roberto Duarte Silva', '1800-402', 'Lisboa', 'Utente', 'Portuguesa', 'Bilhete de Identidade', '47329405', '267283310', '894552170', '915242913', 'migboa1800@gmail.com', 'user-male.jpg'),</v>
      </c>
      <c r="V92" t="str">
        <f t="shared" si="5"/>
        <v>(278),</v>
      </c>
    </row>
    <row r="93" spans="1:22" x14ac:dyDescent="0.25">
      <c r="A93">
        <v>279</v>
      </c>
      <c r="B93" t="s">
        <v>2815</v>
      </c>
      <c r="C93" t="s">
        <v>2816</v>
      </c>
      <c r="D93" t="s">
        <v>2817</v>
      </c>
      <c r="E93" t="s">
        <v>66</v>
      </c>
      <c r="F93" s="7">
        <v>33682</v>
      </c>
      <c r="G93" t="s">
        <v>261</v>
      </c>
      <c r="H93" t="s">
        <v>2818</v>
      </c>
      <c r="I93" t="s">
        <v>216</v>
      </c>
      <c r="J93" t="s">
        <v>3727</v>
      </c>
      <c r="K93" t="s">
        <v>225</v>
      </c>
      <c r="L93" t="s">
        <v>265</v>
      </c>
      <c r="M93" t="s">
        <v>2819</v>
      </c>
      <c r="N93" t="s">
        <v>2820</v>
      </c>
      <c r="O93" t="s">
        <v>2821</v>
      </c>
      <c r="P93" t="s">
        <v>2822</v>
      </c>
      <c r="Q93" t="s">
        <v>2823</v>
      </c>
      <c r="R93" t="str">
        <f t="shared" si="3"/>
        <v>user-female.jpg</v>
      </c>
      <c r="U93" t="str">
        <f t="shared" si="4"/>
        <v>(279,'daniro2830', 'pswdaniro2830', 'Daniela Marco Baptista Amorim', 'Feminino', '1992-03-19', 'Rua do Carmo', '2830-495', 'Barreiro', 'Utente', 'Portuguesa', 'Bilhete de Identidade', '69916772', '503233287', '549369637', '928355989', 'daniro2830@outlook.com', 'user-female.jpg'),</v>
      </c>
      <c r="V93" t="str">
        <f t="shared" si="5"/>
        <v>(279),</v>
      </c>
    </row>
    <row r="94" spans="1:22" x14ac:dyDescent="0.25">
      <c r="A94">
        <v>280</v>
      </c>
      <c r="B94" t="s">
        <v>332</v>
      </c>
      <c r="C94" t="s">
        <v>333</v>
      </c>
      <c r="D94" t="s">
        <v>2824</v>
      </c>
      <c r="E94" t="s">
        <v>53</v>
      </c>
      <c r="F94" s="7">
        <v>19081</v>
      </c>
      <c r="G94" t="s">
        <v>238</v>
      </c>
      <c r="H94" t="s">
        <v>2825</v>
      </c>
      <c r="I94" t="s">
        <v>205</v>
      </c>
      <c r="J94" t="s">
        <v>3727</v>
      </c>
      <c r="K94" t="s">
        <v>225</v>
      </c>
      <c r="L94" t="s">
        <v>265</v>
      </c>
      <c r="M94" t="s">
        <v>2826</v>
      </c>
      <c r="N94" t="s">
        <v>2827</v>
      </c>
      <c r="O94" t="s">
        <v>2828</v>
      </c>
      <c r="P94" t="s">
        <v>2829</v>
      </c>
      <c r="Q94" t="s">
        <v>2830</v>
      </c>
      <c r="R94" t="str">
        <f t="shared" si="3"/>
        <v>user-male.jpg</v>
      </c>
      <c r="U94" t="str">
        <f t="shared" si="4"/>
        <v>(280,'aforem2009', 'pswaforem2009', 'Afonso Luís Simões Carneiro', 'Masculino', '1952-03-28', 'Calçada do Moinho de Vento', '2009-419', 'Santarém', 'Utente', 'Portuguesa', 'Bilhete de Identidade', '26756588', '924103404', '672391278', '928000701', 'aforem2009@sapo.pt', 'user-male.jpg'),</v>
      </c>
      <c r="V94" t="str">
        <f t="shared" si="5"/>
        <v>(280),</v>
      </c>
    </row>
    <row r="95" spans="1:22" x14ac:dyDescent="0.25">
      <c r="A95">
        <v>281</v>
      </c>
      <c r="B95" t="s">
        <v>2831</v>
      </c>
      <c r="C95" t="s">
        <v>2832</v>
      </c>
      <c r="D95" t="s">
        <v>2833</v>
      </c>
      <c r="E95" t="s">
        <v>53</v>
      </c>
      <c r="F95" s="7">
        <v>28822</v>
      </c>
      <c r="G95" t="s">
        <v>259</v>
      </c>
      <c r="H95" t="s">
        <v>2834</v>
      </c>
      <c r="I95" t="s">
        <v>222</v>
      </c>
      <c r="J95" t="s">
        <v>3727</v>
      </c>
      <c r="K95" t="s">
        <v>225</v>
      </c>
      <c r="L95" t="s">
        <v>265</v>
      </c>
      <c r="M95" t="s">
        <v>2835</v>
      </c>
      <c r="N95" t="s">
        <v>2836</v>
      </c>
      <c r="O95" t="s">
        <v>2837</v>
      </c>
      <c r="P95" t="s">
        <v>2838</v>
      </c>
      <c r="Q95" t="s">
        <v>2839</v>
      </c>
      <c r="R95" t="str">
        <f t="shared" si="3"/>
        <v>user-male.jpg</v>
      </c>
      <c r="U95" t="str">
        <f t="shared" si="4"/>
        <v>(281,'dionto2334', 'pswdionto2334', 'Diogo Gabriel Ramos Anjos', 'Masculino', '1978-11-28', 'Rua da Alfândega', '2334-315', 'Entroncamento', 'Utente', 'Portuguesa', 'Bilhete de Identidade', '62971663', '427176925', '667579135', '934951508', 'dionto2334@outlook.com', 'user-male.jpg'),</v>
      </c>
      <c r="V95" t="str">
        <f t="shared" si="5"/>
        <v>(281),</v>
      </c>
    </row>
    <row r="96" spans="1:22" x14ac:dyDescent="0.25">
      <c r="A96">
        <v>282</v>
      </c>
      <c r="B96" t="s">
        <v>2840</v>
      </c>
      <c r="C96" t="s">
        <v>2841</v>
      </c>
      <c r="D96" t="s">
        <v>2842</v>
      </c>
      <c r="E96" t="s">
        <v>53</v>
      </c>
      <c r="F96" s="7">
        <v>23243</v>
      </c>
      <c r="G96" t="s">
        <v>256</v>
      </c>
      <c r="H96" t="s">
        <v>2843</v>
      </c>
      <c r="I96" t="s">
        <v>218</v>
      </c>
      <c r="J96" t="s">
        <v>3727</v>
      </c>
      <c r="K96" t="s">
        <v>225</v>
      </c>
      <c r="L96" t="s">
        <v>265</v>
      </c>
      <c r="M96" t="s">
        <v>2844</v>
      </c>
      <c r="N96" t="s">
        <v>2845</v>
      </c>
      <c r="O96" t="s">
        <v>2846</v>
      </c>
      <c r="P96" t="s">
        <v>2847</v>
      </c>
      <c r="Q96" t="s">
        <v>2848</v>
      </c>
      <c r="R96" t="str">
        <f t="shared" si="3"/>
        <v>user-male.jpg</v>
      </c>
      <c r="U96" t="str">
        <f t="shared" si="4"/>
        <v>(282,'tomlos2779', 'pswtomlos2779', 'Tomás Francisca Neto Melo', 'Masculino', '1963-08-20', 'Travessa de São João da Praça', '2779-721', 'Carcavelos', 'Utente', 'Portuguesa', 'Bilhete de Identidade', '72149185', '450508641', '141310846', '920167738', 'tomlos2779@sapo.pt', 'user-male.jpg'),</v>
      </c>
      <c r="V96" t="str">
        <f t="shared" si="5"/>
        <v>(282),</v>
      </c>
    </row>
    <row r="97" spans="1:22" x14ac:dyDescent="0.25">
      <c r="A97">
        <v>283</v>
      </c>
      <c r="B97" t="s">
        <v>2849</v>
      </c>
      <c r="C97" t="s">
        <v>2850</v>
      </c>
      <c r="D97" t="s">
        <v>2851</v>
      </c>
      <c r="E97" t="s">
        <v>53</v>
      </c>
      <c r="F97" s="7">
        <v>18576</v>
      </c>
      <c r="G97" t="s">
        <v>229</v>
      </c>
      <c r="H97" t="s">
        <v>2852</v>
      </c>
      <c r="I97" t="s">
        <v>211</v>
      </c>
      <c r="J97" t="s">
        <v>3727</v>
      </c>
      <c r="K97" t="s">
        <v>225</v>
      </c>
      <c r="L97" t="s">
        <v>265</v>
      </c>
      <c r="M97" t="s">
        <v>2853</v>
      </c>
      <c r="N97" t="s">
        <v>2854</v>
      </c>
      <c r="O97" t="s">
        <v>2855</v>
      </c>
      <c r="P97" t="s">
        <v>2856</v>
      </c>
      <c r="Q97" t="s">
        <v>2857</v>
      </c>
      <c r="R97" t="str">
        <f t="shared" si="3"/>
        <v>user-male.jpg</v>
      </c>
      <c r="U97" t="str">
        <f t="shared" si="4"/>
        <v>(283,'ricboa1748', 'pswricboa1748', 'Ricardo Carolina Guerreiro Castro', 'Masculino', '1950-11-09', 'Rua Cidade de Bolama', '1748-656', 'Lisboa', 'Utente', 'Portuguesa', 'Bilhete de Identidade', '20884004', '192156124', '610290081', '924488501', 'ricboa1748@outlook.com', 'user-male.jpg'),</v>
      </c>
      <c r="V97" t="str">
        <f t="shared" si="5"/>
        <v>(283),</v>
      </c>
    </row>
    <row r="98" spans="1:22" x14ac:dyDescent="0.25">
      <c r="A98">
        <v>284</v>
      </c>
      <c r="B98" t="s">
        <v>2858</v>
      </c>
      <c r="C98" t="s">
        <v>2859</v>
      </c>
      <c r="D98" t="s">
        <v>2860</v>
      </c>
      <c r="E98" t="s">
        <v>66</v>
      </c>
      <c r="F98" s="7">
        <v>36577</v>
      </c>
      <c r="G98" t="s">
        <v>255</v>
      </c>
      <c r="H98" t="s">
        <v>2861</v>
      </c>
      <c r="I98" t="s">
        <v>210</v>
      </c>
      <c r="J98" t="s">
        <v>3727</v>
      </c>
      <c r="K98" t="s">
        <v>225</v>
      </c>
      <c r="L98" t="s">
        <v>265</v>
      </c>
      <c r="M98" t="s">
        <v>2862</v>
      </c>
      <c r="N98" t="s">
        <v>2863</v>
      </c>
      <c r="O98" t="s">
        <v>2864</v>
      </c>
      <c r="P98" t="s">
        <v>2865</v>
      </c>
      <c r="Q98" t="s">
        <v>2866</v>
      </c>
      <c r="R98" t="str">
        <f t="shared" si="3"/>
        <v>user-female.jpg</v>
      </c>
      <c r="U98" t="str">
        <f t="shared" si="4"/>
        <v>(284,'marora2654', 'pswmarora2654', 'Maria Martim Barbosa Esteves', 'Feminino', '2000-02-21', 'Rua de São Bento', '2654-424', 'Amadora', 'Utente', 'Portuguesa', 'Bilhete de Identidade', '74062576', '855669267', '444267404', '964648106', 'marora2654@sapo.pt', 'user-female.jpg'),</v>
      </c>
      <c r="V98" t="str">
        <f t="shared" si="5"/>
        <v>(284),</v>
      </c>
    </row>
    <row r="99" spans="1:22" x14ac:dyDescent="0.25">
      <c r="A99">
        <v>285</v>
      </c>
      <c r="B99" t="s">
        <v>2867</v>
      </c>
      <c r="C99" t="s">
        <v>2868</v>
      </c>
      <c r="D99" t="s">
        <v>2869</v>
      </c>
      <c r="E99" t="s">
        <v>53</v>
      </c>
      <c r="F99" s="7">
        <v>18365</v>
      </c>
      <c r="G99" t="s">
        <v>241</v>
      </c>
      <c r="H99" t="s">
        <v>2870</v>
      </c>
      <c r="I99" t="s">
        <v>211</v>
      </c>
      <c r="J99" t="s">
        <v>3727</v>
      </c>
      <c r="K99" t="s">
        <v>225</v>
      </c>
      <c r="L99" t="s">
        <v>265</v>
      </c>
      <c r="M99" t="s">
        <v>2871</v>
      </c>
      <c r="N99" t="s">
        <v>2872</v>
      </c>
      <c r="O99" t="s">
        <v>2873</v>
      </c>
      <c r="P99" t="s">
        <v>2874</v>
      </c>
      <c r="Q99" t="s">
        <v>2875</v>
      </c>
      <c r="R99" t="str">
        <f t="shared" si="3"/>
        <v>user-male.jpg</v>
      </c>
      <c r="U99" t="str">
        <f t="shared" si="4"/>
        <v>(285,'migboa1150', 'pswmigboa1150', 'Miguel Santiago Henriques Lourenço', 'Masculino', '1950-04-12', 'Rua da Prata', '1150-942', 'Lisboa', 'Utente', 'Portuguesa', 'Bilhete de Identidade', '90593281', '117590197', '191079042', '934524575', 'migboa1150@sapo.pt', 'user-male.jpg'),</v>
      </c>
      <c r="V99" t="str">
        <f t="shared" si="5"/>
        <v>(285),</v>
      </c>
    </row>
    <row r="100" spans="1:22" x14ac:dyDescent="0.25">
      <c r="A100">
        <v>286</v>
      </c>
      <c r="B100" t="s">
        <v>2876</v>
      </c>
      <c r="C100" t="s">
        <v>2877</v>
      </c>
      <c r="D100" t="s">
        <v>2878</v>
      </c>
      <c r="E100" t="s">
        <v>53</v>
      </c>
      <c r="F100" s="7">
        <v>31062</v>
      </c>
      <c r="G100" t="s">
        <v>238</v>
      </c>
      <c r="H100" t="s">
        <v>2879</v>
      </c>
      <c r="I100" t="s">
        <v>201</v>
      </c>
      <c r="J100" t="s">
        <v>3727</v>
      </c>
      <c r="K100" t="s">
        <v>225</v>
      </c>
      <c r="L100" t="s">
        <v>265</v>
      </c>
      <c r="M100" t="s">
        <v>2880</v>
      </c>
      <c r="N100" t="s">
        <v>2881</v>
      </c>
      <c r="O100" t="s">
        <v>2882</v>
      </c>
      <c r="P100" t="s">
        <v>2883</v>
      </c>
      <c r="Q100" t="s">
        <v>2884</v>
      </c>
      <c r="R100" t="str">
        <f t="shared" si="3"/>
        <v>user-male.jpg</v>
      </c>
      <c r="U100" t="str">
        <f t="shared" si="4"/>
        <v>(286,'andria2424', 'pswandria2424', 'André Rodrigo Henriques Ferreira', 'Masculino', '1985-01-15', 'Calçada do Moinho de Vento', '2424-183', 'Leiria', 'Utente', 'Portuguesa', 'Bilhete de Identidade', '28462968', '354575196', '787232012', '914514262', 'andria2424@sapo.pt', 'user-male.jpg'),</v>
      </c>
      <c r="V100" t="str">
        <f t="shared" si="5"/>
        <v>(286),</v>
      </c>
    </row>
    <row r="101" spans="1:22" x14ac:dyDescent="0.25">
      <c r="A101">
        <v>287</v>
      </c>
      <c r="B101" t="s">
        <v>2885</v>
      </c>
      <c r="C101" t="s">
        <v>2886</v>
      </c>
      <c r="D101" t="s">
        <v>2887</v>
      </c>
      <c r="E101" t="s">
        <v>53</v>
      </c>
      <c r="F101" s="7">
        <v>37490</v>
      </c>
      <c r="G101" t="s">
        <v>226</v>
      </c>
      <c r="H101" t="s">
        <v>2888</v>
      </c>
      <c r="I101" t="s">
        <v>211</v>
      </c>
      <c r="J101" t="s">
        <v>3727</v>
      </c>
      <c r="K101" t="s">
        <v>225</v>
      </c>
      <c r="L101" t="s">
        <v>265</v>
      </c>
      <c r="M101" t="s">
        <v>2889</v>
      </c>
      <c r="N101" t="s">
        <v>2890</v>
      </c>
      <c r="O101" t="s">
        <v>2891</v>
      </c>
      <c r="P101" t="s">
        <v>2892</v>
      </c>
      <c r="Q101" t="s">
        <v>2893</v>
      </c>
      <c r="R101" t="str">
        <f t="shared" si="3"/>
        <v>user-male.jpg</v>
      </c>
      <c r="U101" t="str">
        <f t="shared" si="4"/>
        <v>(287,'duaboa1949', 'pswduaboa1949', 'Duarte Duarte Gaspar Pereira', 'Masculino', '2002-08-22', 'Rua do Arsenal', '1949-765', 'Lisboa', 'Utente', 'Portuguesa', 'Bilhete de Identidade', '54510803', '681076498', '756758558', '910689905', 'duaboa1949@sapo.pt', 'user-male.jpg'),</v>
      </c>
      <c r="V101" t="str">
        <f t="shared" si="5"/>
        <v>(287),</v>
      </c>
    </row>
    <row r="102" spans="1:22" x14ac:dyDescent="0.25">
      <c r="A102">
        <v>288</v>
      </c>
      <c r="B102" t="s">
        <v>2323</v>
      </c>
      <c r="C102" t="s">
        <v>2324</v>
      </c>
      <c r="D102" t="s">
        <v>2894</v>
      </c>
      <c r="E102" t="s">
        <v>53</v>
      </c>
      <c r="F102" s="7">
        <v>23523</v>
      </c>
      <c r="G102" t="s">
        <v>238</v>
      </c>
      <c r="H102" t="s">
        <v>2895</v>
      </c>
      <c r="I102" t="s">
        <v>211</v>
      </c>
      <c r="J102" t="s">
        <v>3727</v>
      </c>
      <c r="K102" t="s">
        <v>225</v>
      </c>
      <c r="L102" t="s">
        <v>265</v>
      </c>
      <c r="M102" t="s">
        <v>2896</v>
      </c>
      <c r="N102" t="s">
        <v>2897</v>
      </c>
      <c r="O102" t="s">
        <v>2898</v>
      </c>
      <c r="P102" t="s">
        <v>2899</v>
      </c>
      <c r="Q102" t="s">
        <v>2331</v>
      </c>
      <c r="R102" t="str">
        <f t="shared" si="3"/>
        <v>user-male.jpg</v>
      </c>
      <c r="U102" t="str">
        <f t="shared" si="4"/>
        <v>(288,'josboa1350', 'pswjosboa1350', 'José Tomás Carneiro Leite', 'Masculino', '1964-05-26', 'Calçada do Moinho de Vento', '1350-725', 'Lisboa', 'Utente', 'Portuguesa', 'Bilhete de Identidade', '51361023', '764266216', '409687848', '910640335', 'josboa1350@outlook.com', 'user-male.jpg'),</v>
      </c>
      <c r="V102" t="str">
        <f t="shared" si="5"/>
        <v>(288),</v>
      </c>
    </row>
    <row r="103" spans="1:22" x14ac:dyDescent="0.25">
      <c r="A103">
        <v>289</v>
      </c>
      <c r="B103" t="s">
        <v>2900</v>
      </c>
      <c r="C103" t="s">
        <v>2901</v>
      </c>
      <c r="D103" t="s">
        <v>2902</v>
      </c>
      <c r="E103" t="s">
        <v>53</v>
      </c>
      <c r="F103" s="7">
        <v>43571</v>
      </c>
      <c r="G103" t="s">
        <v>242</v>
      </c>
      <c r="H103" t="s">
        <v>2903</v>
      </c>
      <c r="I103" t="s">
        <v>211</v>
      </c>
      <c r="J103" t="s">
        <v>3727</v>
      </c>
      <c r="K103" t="s">
        <v>225</v>
      </c>
      <c r="L103" t="s">
        <v>265</v>
      </c>
      <c r="M103" t="s">
        <v>2904</v>
      </c>
      <c r="N103" t="s">
        <v>2905</v>
      </c>
      <c r="O103" t="s">
        <v>2906</v>
      </c>
      <c r="P103" t="s">
        <v>2907</v>
      </c>
      <c r="Q103" t="s">
        <v>2908</v>
      </c>
      <c r="R103" t="str">
        <f t="shared" si="3"/>
        <v>user-male.jpg</v>
      </c>
      <c r="U103" t="str">
        <f t="shared" si="4"/>
        <v>(289,'rodboa1049', 'pswrodboa1049', 'Rodrigo Inês Branco Costa', 'Masculino', '2019-04-16', 'Avenida Ressano Garcia', '1049-723', 'Lisboa', 'Utente', 'Portuguesa', 'Bilhete de Identidade', '78646074', '514876207', '259239344', '926934449', 'rodboa1049@sapo.pt', 'user-male.jpg'),</v>
      </c>
      <c r="V103" t="str">
        <f t="shared" si="5"/>
        <v>(289),</v>
      </c>
    </row>
    <row r="104" spans="1:22" x14ac:dyDescent="0.25">
      <c r="A104">
        <v>290</v>
      </c>
      <c r="B104" t="s">
        <v>2909</v>
      </c>
      <c r="C104" t="s">
        <v>2910</v>
      </c>
      <c r="D104" t="s">
        <v>2911</v>
      </c>
      <c r="E104" t="s">
        <v>66</v>
      </c>
      <c r="F104" s="7">
        <v>35936</v>
      </c>
      <c r="G104" t="s">
        <v>252</v>
      </c>
      <c r="H104" t="s">
        <v>2912</v>
      </c>
      <c r="I104" t="s">
        <v>217</v>
      </c>
      <c r="J104" t="s">
        <v>3727</v>
      </c>
      <c r="K104" t="s">
        <v>225</v>
      </c>
      <c r="L104" t="s">
        <v>265</v>
      </c>
      <c r="M104" t="s">
        <v>2913</v>
      </c>
      <c r="N104" t="s">
        <v>2914</v>
      </c>
      <c r="O104" t="s">
        <v>2915</v>
      </c>
      <c r="P104" t="s">
        <v>2916</v>
      </c>
      <c r="Q104" t="s">
        <v>2917</v>
      </c>
      <c r="R104" t="str">
        <f t="shared" si="3"/>
        <v>user-female.jpg</v>
      </c>
      <c r="U104" t="str">
        <f t="shared" si="4"/>
        <v>(290,'danica2825', 'pswdanica2825', 'Daniela Tiago Araújo Castro', 'Feminino', '1998-05-21', 'Rua de São Julião', '2825-805', 'Caparica', 'Utente', 'Portuguesa', 'Bilhete de Identidade', '84411572', '544762038', '490453735', '914385256', 'danica2825@outlook.com', 'user-female.jpg'),</v>
      </c>
      <c r="V104" t="str">
        <f t="shared" si="5"/>
        <v>(290),</v>
      </c>
    </row>
    <row r="105" spans="1:22" x14ac:dyDescent="0.25">
      <c r="A105">
        <v>291</v>
      </c>
      <c r="B105" t="s">
        <v>2918</v>
      </c>
      <c r="C105" t="s">
        <v>2919</v>
      </c>
      <c r="D105" t="s">
        <v>2920</v>
      </c>
      <c r="E105" t="s">
        <v>53</v>
      </c>
      <c r="F105" s="7">
        <v>33299</v>
      </c>
      <c r="G105" t="s">
        <v>244</v>
      </c>
      <c r="H105" t="s">
        <v>2921</v>
      </c>
      <c r="I105" t="s">
        <v>217</v>
      </c>
      <c r="J105" t="s">
        <v>3727</v>
      </c>
      <c r="K105" t="s">
        <v>225</v>
      </c>
      <c r="L105" t="s">
        <v>265</v>
      </c>
      <c r="M105" t="s">
        <v>2922</v>
      </c>
      <c r="N105" t="s">
        <v>2923</v>
      </c>
      <c r="O105" t="s">
        <v>2924</v>
      </c>
      <c r="P105" t="s">
        <v>2925</v>
      </c>
      <c r="Q105" t="s">
        <v>2926</v>
      </c>
      <c r="R105" t="str">
        <f t="shared" si="3"/>
        <v>user-male.jpg</v>
      </c>
      <c r="U105" t="str">
        <f t="shared" si="4"/>
        <v>(291,'duaica2825', 'pswduaica2825', 'Duarte Inês Lopes Mota', 'Masculino', '1991-03-02', 'Rua da Betesga', '2825-682', 'Caparica', 'Utente', 'Portuguesa', 'Bilhete de Identidade', '14596302', '803494779', '588915303', '963104327', 'duaica2825@gmail.com', 'user-male.jpg'),</v>
      </c>
      <c r="V105" t="str">
        <f t="shared" si="5"/>
        <v>(291),</v>
      </c>
    </row>
    <row r="106" spans="1:22" x14ac:dyDescent="0.25">
      <c r="A106">
        <v>292</v>
      </c>
      <c r="B106" t="s">
        <v>2927</v>
      </c>
      <c r="C106" t="s">
        <v>2928</v>
      </c>
      <c r="D106" t="s">
        <v>2929</v>
      </c>
      <c r="E106" t="s">
        <v>66</v>
      </c>
      <c r="F106" s="7">
        <v>12890</v>
      </c>
      <c r="G106" t="s">
        <v>236</v>
      </c>
      <c r="H106" t="s">
        <v>2930</v>
      </c>
      <c r="I106" t="s">
        <v>215</v>
      </c>
      <c r="J106" t="s">
        <v>3727</v>
      </c>
      <c r="K106" t="s">
        <v>225</v>
      </c>
      <c r="L106" t="s">
        <v>265</v>
      </c>
      <c r="M106" t="s">
        <v>2931</v>
      </c>
      <c r="N106" t="s">
        <v>2932</v>
      </c>
      <c r="O106" t="s">
        <v>2933</v>
      </c>
      <c r="P106" t="s">
        <v>2934</v>
      </c>
      <c r="Q106" t="s">
        <v>2935</v>
      </c>
      <c r="R106" t="str">
        <f t="shared" si="3"/>
        <v>user-female.jpg</v>
      </c>
      <c r="U106" t="str">
        <f t="shared" si="4"/>
        <v>(292,'fraras2784', 'pswfraras2784', 'Francisca Diana Valente Silva', 'Feminino', '1935-04-16', 'Rua da Madalena', '2784-536', 'Oeiras', 'Utente', 'Portuguesa', 'Bilhete de Identidade', '79126318', '564938610', '662560850', '938667475', 'fraras2784@outlook.com', 'user-female.jpg'),</v>
      </c>
      <c r="V106" t="str">
        <f t="shared" si="5"/>
        <v>(292),</v>
      </c>
    </row>
    <row r="107" spans="1:22" x14ac:dyDescent="0.25">
      <c r="A107">
        <v>293</v>
      </c>
      <c r="B107" t="s">
        <v>326</v>
      </c>
      <c r="C107" t="s">
        <v>327</v>
      </c>
      <c r="D107" t="s">
        <v>2936</v>
      </c>
      <c r="E107" t="s">
        <v>53</v>
      </c>
      <c r="F107" s="7">
        <v>39911</v>
      </c>
      <c r="G107" t="s">
        <v>247</v>
      </c>
      <c r="H107" t="s">
        <v>2937</v>
      </c>
      <c r="I107" t="s">
        <v>218</v>
      </c>
      <c r="J107" t="s">
        <v>3727</v>
      </c>
      <c r="K107" t="s">
        <v>225</v>
      </c>
      <c r="L107" t="s">
        <v>265</v>
      </c>
      <c r="M107" t="s">
        <v>2938</v>
      </c>
      <c r="N107" t="s">
        <v>2939</v>
      </c>
      <c r="O107" t="s">
        <v>2940</v>
      </c>
      <c r="P107" t="s">
        <v>2941</v>
      </c>
      <c r="Q107" t="s">
        <v>328</v>
      </c>
      <c r="R107" t="str">
        <f t="shared" si="3"/>
        <v>user-male.jpg</v>
      </c>
      <c r="U107" t="str">
        <f t="shared" si="4"/>
        <v>(293,'marlos2775', 'pswmarlos2775', 'Marco Joana Santos Amaral', 'Masculino', '2009-04-08', 'Rua Ferreira Lapa', '2775-044', 'Carcavelos', 'Utente', 'Portuguesa', 'Bilhete de Identidade', '37481992', '599909838', '811205411', '932911610', 'marlos2775@gmail.com', 'user-male.jpg'),</v>
      </c>
      <c r="V107" t="str">
        <f t="shared" si="5"/>
        <v>(293),</v>
      </c>
    </row>
    <row r="108" spans="1:22" x14ac:dyDescent="0.25">
      <c r="A108">
        <v>294</v>
      </c>
      <c r="B108" t="s">
        <v>2942</v>
      </c>
      <c r="C108" t="s">
        <v>2943</v>
      </c>
      <c r="D108" t="s">
        <v>2944</v>
      </c>
      <c r="E108" t="s">
        <v>53</v>
      </c>
      <c r="F108" s="7">
        <v>24416</v>
      </c>
      <c r="G108" t="s">
        <v>250</v>
      </c>
      <c r="H108" t="s">
        <v>2945</v>
      </c>
      <c r="I108" t="s">
        <v>210</v>
      </c>
      <c r="J108" t="s">
        <v>3727</v>
      </c>
      <c r="K108" t="s">
        <v>225</v>
      </c>
      <c r="L108" t="s">
        <v>265</v>
      </c>
      <c r="M108" t="s">
        <v>2946</v>
      </c>
      <c r="N108" t="s">
        <v>2947</v>
      </c>
      <c r="O108" t="s">
        <v>2948</v>
      </c>
      <c r="P108" t="s">
        <v>2949</v>
      </c>
      <c r="Q108" t="s">
        <v>2950</v>
      </c>
      <c r="R108" t="str">
        <f t="shared" si="3"/>
        <v>user-male.jpg</v>
      </c>
      <c r="U108" t="str">
        <f t="shared" si="4"/>
        <v>(294,'tiaora2724', 'pswtiaora2724', 'Tiago Matilde Pinho Barbosa', 'Masculino', '1966-11-05', 'Rua Nova do Almada', '2724-914', 'Amadora', 'Utente', 'Portuguesa', 'Bilhete de Identidade', '31527788', '160549843', '760081408', '961727025', 'tiaora2724@sapo.pt', 'user-male.jpg'),</v>
      </c>
      <c r="V108" t="str">
        <f t="shared" si="5"/>
        <v>(294),</v>
      </c>
    </row>
    <row r="109" spans="1:22" x14ac:dyDescent="0.25">
      <c r="A109">
        <v>295</v>
      </c>
      <c r="B109" t="s">
        <v>2951</v>
      </c>
      <c r="C109" t="s">
        <v>2952</v>
      </c>
      <c r="D109" t="s">
        <v>2953</v>
      </c>
      <c r="E109" t="s">
        <v>53</v>
      </c>
      <c r="F109" s="7">
        <v>33423</v>
      </c>
      <c r="G109" t="s">
        <v>246</v>
      </c>
      <c r="H109" t="s">
        <v>2954</v>
      </c>
      <c r="I109" t="s">
        <v>211</v>
      </c>
      <c r="J109" t="s">
        <v>3727</v>
      </c>
      <c r="K109" t="s">
        <v>225</v>
      </c>
      <c r="L109" t="s">
        <v>265</v>
      </c>
      <c r="M109" t="s">
        <v>2955</v>
      </c>
      <c r="N109" t="s">
        <v>2956</v>
      </c>
      <c r="O109" t="s">
        <v>2957</v>
      </c>
      <c r="P109" t="s">
        <v>2958</v>
      </c>
      <c r="Q109" t="s">
        <v>2959</v>
      </c>
      <c r="R109" t="str">
        <f t="shared" si="3"/>
        <v>user-male.jpg</v>
      </c>
      <c r="U109" t="str">
        <f t="shared" si="4"/>
        <v>(295,'fraboa1149', 'pswfraboa1149', 'Francisco Sofia Paiva Lopes', 'Masculino', '1991-07-04', 'Rua do Guarda-Mor', '1149-929', 'Lisboa', 'Utente', 'Portuguesa', 'Bilhete de Identidade', '82096017', '253583690', '254195373', '916192739', 'fraboa1149@gmail.com', 'user-male.jpg'),</v>
      </c>
      <c r="V109" t="str">
        <f t="shared" si="5"/>
        <v>(295),</v>
      </c>
    </row>
    <row r="110" spans="1:22" x14ac:dyDescent="0.25">
      <c r="A110">
        <v>296</v>
      </c>
      <c r="B110" t="s">
        <v>2960</v>
      </c>
      <c r="C110" t="s">
        <v>2961</v>
      </c>
      <c r="D110" t="s">
        <v>2962</v>
      </c>
      <c r="E110" t="s">
        <v>66</v>
      </c>
      <c r="F110" s="7">
        <v>9013</v>
      </c>
      <c r="G110" t="s">
        <v>263</v>
      </c>
      <c r="H110" t="s">
        <v>2963</v>
      </c>
      <c r="I110" t="s">
        <v>211</v>
      </c>
      <c r="J110" t="s">
        <v>3727</v>
      </c>
      <c r="K110" t="s">
        <v>225</v>
      </c>
      <c r="L110" t="s">
        <v>265</v>
      </c>
      <c r="M110" t="s">
        <v>2964</v>
      </c>
      <c r="N110" t="s">
        <v>2965</v>
      </c>
      <c r="O110" t="s">
        <v>2966</v>
      </c>
      <c r="P110" t="s">
        <v>2967</v>
      </c>
      <c r="Q110" t="s">
        <v>2968</v>
      </c>
      <c r="R110" t="str">
        <f t="shared" si="3"/>
        <v>user-female.jpg</v>
      </c>
      <c r="U110" t="str">
        <f t="shared" si="4"/>
        <v>(296,'anaboa1099', 'pswanaboa1099', 'Ana Daniela Ribeiro Machado', 'Feminino', '1924-09-03', 'Rua da Junqueira', '1099-453', 'Lisboa', 'Utente', 'Portuguesa', 'Bilhete de Identidade', '83892096', '776838870', '634355915', '923906466', 'anaboa1099@sapo.pt', 'user-female.jpg'),</v>
      </c>
      <c r="V110" t="str">
        <f t="shared" si="5"/>
        <v>(296),</v>
      </c>
    </row>
    <row r="111" spans="1:22" x14ac:dyDescent="0.25">
      <c r="A111">
        <v>297</v>
      </c>
      <c r="B111" t="s">
        <v>301</v>
      </c>
      <c r="C111" t="s">
        <v>302</v>
      </c>
      <c r="D111" t="s">
        <v>2969</v>
      </c>
      <c r="E111" t="s">
        <v>53</v>
      </c>
      <c r="F111" s="7">
        <v>34653</v>
      </c>
      <c r="G111" t="s">
        <v>254</v>
      </c>
      <c r="H111" t="s">
        <v>2970</v>
      </c>
      <c r="I111" t="s">
        <v>211</v>
      </c>
      <c r="J111" t="s">
        <v>3727</v>
      </c>
      <c r="K111" t="s">
        <v>225</v>
      </c>
      <c r="L111" t="s">
        <v>265</v>
      </c>
      <c r="M111" t="s">
        <v>2971</v>
      </c>
      <c r="N111" t="s">
        <v>2972</v>
      </c>
      <c r="O111" t="s">
        <v>2973</v>
      </c>
      <c r="P111" t="s">
        <v>2974</v>
      </c>
      <c r="Q111" t="s">
        <v>303</v>
      </c>
      <c r="R111" t="str">
        <f t="shared" si="3"/>
        <v>user-male.jpg</v>
      </c>
      <c r="U111" t="str">
        <f t="shared" si="4"/>
        <v>(297,'tiaboa1549', 'pswtiaboa1549', 'Tiago Marco Gonçalves Brito', 'Masculino', '1994-11-15', 'Rua do Sacramento à Lapa', '1549-631', 'Lisboa', 'Utente', 'Portuguesa', 'Bilhete de Identidade', '15196191', '473674266', '151423782', '963589494', 'tiaboa1549@sapo.pt', 'user-male.jpg'),</v>
      </c>
      <c r="V111" t="str">
        <f t="shared" si="5"/>
        <v>(297),</v>
      </c>
    </row>
    <row r="112" spans="1:22" x14ac:dyDescent="0.25">
      <c r="A112">
        <v>298</v>
      </c>
      <c r="B112" t="s">
        <v>2034</v>
      </c>
      <c r="C112" t="s">
        <v>2035</v>
      </c>
      <c r="D112" t="s">
        <v>2975</v>
      </c>
      <c r="E112" t="s">
        <v>66</v>
      </c>
      <c r="F112" s="7">
        <v>11305</v>
      </c>
      <c r="G112" t="s">
        <v>249</v>
      </c>
      <c r="H112" t="s">
        <v>2976</v>
      </c>
      <c r="I112" t="s">
        <v>211</v>
      </c>
      <c r="J112" t="s">
        <v>3727</v>
      </c>
      <c r="K112" t="s">
        <v>225</v>
      </c>
      <c r="L112" t="s">
        <v>265</v>
      </c>
      <c r="M112" t="s">
        <v>2977</v>
      </c>
      <c r="N112" t="s">
        <v>2978</v>
      </c>
      <c r="O112" t="s">
        <v>2979</v>
      </c>
      <c r="P112" t="s">
        <v>2980</v>
      </c>
      <c r="Q112" t="s">
        <v>2981</v>
      </c>
      <c r="R112" t="str">
        <f t="shared" si="3"/>
        <v>user-female.jpg</v>
      </c>
      <c r="U112" t="str">
        <f t="shared" si="4"/>
        <v>(298,'ineboa1149', 'pswineboa1149', 'Inês André Correia Cunha', 'Feminino', '1930-12-13', 'Rua Júlio César Machado', '1149-564', 'Lisboa', 'Utente', 'Portuguesa', 'Bilhete de Identidade', '66776420', '602128942', '332510232', '966818271', 'ineboa1149@outlook.com', 'user-female.jpg'),</v>
      </c>
      <c r="V112" t="str">
        <f t="shared" si="5"/>
        <v>(298),</v>
      </c>
    </row>
    <row r="113" spans="1:22" x14ac:dyDescent="0.25">
      <c r="A113">
        <v>299</v>
      </c>
      <c r="B113" t="s">
        <v>2982</v>
      </c>
      <c r="C113" t="s">
        <v>2983</v>
      </c>
      <c r="D113" t="s">
        <v>2984</v>
      </c>
      <c r="E113" t="s">
        <v>66</v>
      </c>
      <c r="F113" s="7">
        <v>13043</v>
      </c>
      <c r="G113" t="s">
        <v>232</v>
      </c>
      <c r="H113" t="s">
        <v>2985</v>
      </c>
      <c r="I113" t="s">
        <v>211</v>
      </c>
      <c r="J113" t="s">
        <v>3727</v>
      </c>
      <c r="K113" t="s">
        <v>225</v>
      </c>
      <c r="L113" t="s">
        <v>265</v>
      </c>
      <c r="M113" t="s">
        <v>2986</v>
      </c>
      <c r="N113" t="s">
        <v>2987</v>
      </c>
      <c r="O113" t="s">
        <v>2988</v>
      </c>
      <c r="P113" t="s">
        <v>2989</v>
      </c>
      <c r="Q113" t="s">
        <v>2990</v>
      </c>
      <c r="R113" t="str">
        <f t="shared" si="3"/>
        <v>user-female.jpg</v>
      </c>
      <c r="U113" t="str">
        <f t="shared" si="4"/>
        <v>(299,'carboa1769', 'pswcarboa1769', 'Carolina Ana Tavares Pacheco', 'Feminino', '1935-09-16', 'Rua Garrett', '1769-433', 'Lisboa', 'Utente', 'Portuguesa', 'Bilhete de Identidade', '72952531', '674503967', '286222242', '911249295', 'carboa1769@sapo.pt', 'user-female.jpg'),</v>
      </c>
      <c r="V113" t="str">
        <f t="shared" si="5"/>
        <v>(299),</v>
      </c>
    </row>
    <row r="114" spans="1:22" x14ac:dyDescent="0.25">
      <c r="A114">
        <v>300</v>
      </c>
      <c r="B114" t="s">
        <v>2991</v>
      </c>
      <c r="C114" t="s">
        <v>2992</v>
      </c>
      <c r="D114" t="s">
        <v>2993</v>
      </c>
      <c r="E114" t="s">
        <v>66</v>
      </c>
      <c r="F114" s="7">
        <v>43678</v>
      </c>
      <c r="G114" t="s">
        <v>244</v>
      </c>
      <c r="H114" t="s">
        <v>2994</v>
      </c>
      <c r="I114" t="s">
        <v>211</v>
      </c>
      <c r="J114" t="s">
        <v>3727</v>
      </c>
      <c r="K114" t="s">
        <v>225</v>
      </c>
      <c r="L114" t="s">
        <v>265</v>
      </c>
      <c r="M114" t="s">
        <v>2995</v>
      </c>
      <c r="N114" t="s">
        <v>2996</v>
      </c>
      <c r="O114" t="s">
        <v>2997</v>
      </c>
      <c r="P114" t="s">
        <v>2998</v>
      </c>
      <c r="Q114" t="s">
        <v>2999</v>
      </c>
      <c r="R114" t="str">
        <f t="shared" si="3"/>
        <v>user-female.jpg</v>
      </c>
      <c r="U114" t="str">
        <f t="shared" si="4"/>
        <v>(300,'danboa1949', 'pswdanboa1949', 'Daniela Lurdes Lopes Cruz', 'Feminino', '2019-08-01', 'Rua da Betesga', '1949-685', 'Lisboa', 'Utente', 'Portuguesa', 'Bilhete de Identidade', '70522021', '422758230', '322543312', '918516524', 'danboa1949@outlook.com', 'user-female.jpg'),</v>
      </c>
      <c r="V114" t="str">
        <f t="shared" si="5"/>
        <v>(300),</v>
      </c>
    </row>
    <row r="115" spans="1:22" x14ac:dyDescent="0.25">
      <c r="A115">
        <v>301</v>
      </c>
      <c r="B115" t="s">
        <v>3000</v>
      </c>
      <c r="C115" t="s">
        <v>3001</v>
      </c>
      <c r="D115" t="s">
        <v>3002</v>
      </c>
      <c r="E115" t="s">
        <v>66</v>
      </c>
      <c r="F115" s="7">
        <v>16742</v>
      </c>
      <c r="G115" t="s">
        <v>256</v>
      </c>
      <c r="H115" t="s">
        <v>3003</v>
      </c>
      <c r="I115" t="s">
        <v>211</v>
      </c>
      <c r="J115" t="s">
        <v>3727</v>
      </c>
      <c r="K115" t="s">
        <v>225</v>
      </c>
      <c r="L115" t="s">
        <v>265</v>
      </c>
      <c r="M115" t="s">
        <v>3004</v>
      </c>
      <c r="N115" t="s">
        <v>3005</v>
      </c>
      <c r="O115" t="s">
        <v>3006</v>
      </c>
      <c r="P115" t="s">
        <v>3007</v>
      </c>
      <c r="Q115" t="s">
        <v>3008</v>
      </c>
      <c r="R115" t="str">
        <f t="shared" si="3"/>
        <v>user-female.jpg</v>
      </c>
      <c r="U115" t="str">
        <f t="shared" si="4"/>
        <v>(301,'carboa1067', 'pswcarboa1067', 'Carolina Lurdes Carvalho Ferreira', 'Feminino', '1945-11-01', 'Travessa de São João da Praça', '1067-153', 'Lisboa', 'Utente', 'Portuguesa', 'Bilhete de Identidade', '80166644', '991769177', '964048807', '928479997', 'carboa1067@gmail.com', 'user-female.jpg'),</v>
      </c>
      <c r="V115" t="str">
        <f t="shared" si="5"/>
        <v>(301),</v>
      </c>
    </row>
    <row r="116" spans="1:22" x14ac:dyDescent="0.25">
      <c r="A116">
        <v>302</v>
      </c>
      <c r="B116" t="s">
        <v>3009</v>
      </c>
      <c r="C116" t="s">
        <v>3010</v>
      </c>
      <c r="D116" t="s">
        <v>3011</v>
      </c>
      <c r="E116" t="s">
        <v>66</v>
      </c>
      <c r="F116" s="7">
        <v>31845</v>
      </c>
      <c r="G116" t="s">
        <v>250</v>
      </c>
      <c r="H116" t="s">
        <v>3012</v>
      </c>
      <c r="I116" t="s">
        <v>211</v>
      </c>
      <c r="J116" t="s">
        <v>3727</v>
      </c>
      <c r="K116" t="s">
        <v>225</v>
      </c>
      <c r="L116" t="s">
        <v>265</v>
      </c>
      <c r="M116" t="s">
        <v>3013</v>
      </c>
      <c r="N116" t="s">
        <v>3014</v>
      </c>
      <c r="O116" t="s">
        <v>3015</v>
      </c>
      <c r="P116" t="s">
        <v>3016</v>
      </c>
      <c r="Q116" t="s">
        <v>3017</v>
      </c>
      <c r="R116" t="str">
        <f t="shared" si="3"/>
        <v>user-female.jpg</v>
      </c>
      <c r="U116" t="str">
        <f t="shared" si="4"/>
        <v>(302,'ineboa1649', 'pswineboa1649', 'Inês Inês Moreira Barbosa', 'Feminino', '1987-03-09', 'Rua Nova do Almada', '1649-818', 'Lisboa', 'Utente', 'Portuguesa', 'Bilhete de Identidade', '74789929', '708753378', '310207550', '967589975', 'ineboa1649@outlook.com', 'user-female.jpg'),</v>
      </c>
      <c r="V116" t="str">
        <f t="shared" si="5"/>
        <v>(302),</v>
      </c>
    </row>
    <row r="117" spans="1:22" x14ac:dyDescent="0.25">
      <c r="A117">
        <v>303</v>
      </c>
      <c r="B117" t="s">
        <v>3018</v>
      </c>
      <c r="C117" t="s">
        <v>3019</v>
      </c>
      <c r="D117" t="s">
        <v>3020</v>
      </c>
      <c r="E117" t="s">
        <v>66</v>
      </c>
      <c r="F117" s="7">
        <v>13451</v>
      </c>
      <c r="G117" t="s">
        <v>260</v>
      </c>
      <c r="H117" t="s">
        <v>3021</v>
      </c>
      <c r="I117" t="s">
        <v>208</v>
      </c>
      <c r="J117" t="s">
        <v>3727</v>
      </c>
      <c r="K117" t="s">
        <v>225</v>
      </c>
      <c r="L117" t="s">
        <v>265</v>
      </c>
      <c r="M117" t="s">
        <v>3022</v>
      </c>
      <c r="N117" t="s">
        <v>3023</v>
      </c>
      <c r="O117" t="s">
        <v>3024</v>
      </c>
      <c r="P117" t="s">
        <v>3025</v>
      </c>
      <c r="Q117" t="s">
        <v>3026</v>
      </c>
      <c r="R117" t="str">
        <f t="shared" si="3"/>
        <v>user-female.jpg</v>
      </c>
      <c r="U117" t="str">
        <f t="shared" si="4"/>
        <v>(303,'verbal2910', 'pswverbal2910', 'Vera Pedro Alves Miranda', 'Feminino', '1936-10-28', 'Rua Augusta', '2910-225', 'Setúbal', 'Utente', 'Portuguesa', 'Bilhete de Identidade', '53185592', '151164518', '348217564', '934576202', 'verbal2910@outlook.com', 'user-female.jpg'),</v>
      </c>
      <c r="V117" t="str">
        <f t="shared" si="5"/>
        <v>(303),</v>
      </c>
    </row>
    <row r="118" spans="1:22" x14ac:dyDescent="0.25">
      <c r="A118">
        <v>304</v>
      </c>
      <c r="B118" t="s">
        <v>304</v>
      </c>
      <c r="C118" t="s">
        <v>305</v>
      </c>
      <c r="D118" t="s">
        <v>3027</v>
      </c>
      <c r="E118" t="s">
        <v>53</v>
      </c>
      <c r="F118" s="7">
        <v>13647</v>
      </c>
      <c r="G118" t="s">
        <v>242</v>
      </c>
      <c r="H118" t="s">
        <v>3028</v>
      </c>
      <c r="I118" t="s">
        <v>211</v>
      </c>
      <c r="J118" t="s">
        <v>3727</v>
      </c>
      <c r="K118" t="s">
        <v>225</v>
      </c>
      <c r="L118" t="s">
        <v>265</v>
      </c>
      <c r="M118" t="s">
        <v>3029</v>
      </c>
      <c r="N118" t="s">
        <v>3030</v>
      </c>
      <c r="O118" t="s">
        <v>3031</v>
      </c>
      <c r="P118" t="s">
        <v>3032</v>
      </c>
      <c r="Q118" t="s">
        <v>306</v>
      </c>
      <c r="R118" t="str">
        <f t="shared" si="3"/>
        <v>user-male.jpg</v>
      </c>
      <c r="U118" t="str">
        <f t="shared" si="4"/>
        <v>(304,'luiboa1300', 'pswluiboa1300', 'Luís Ana Soares Anjos', 'Masculino', '1937-05-12', 'Avenida Ressano Garcia', '1300-953', 'Lisboa', 'Utente', 'Portuguesa', 'Bilhete de Identidade', '25342480', '770752531', '255580168', '929484323', 'luiboa1300@sapo.pt', 'user-male.jpg'),</v>
      </c>
      <c r="V118" t="str">
        <f t="shared" si="5"/>
        <v>(304),</v>
      </c>
    </row>
    <row r="119" spans="1:22" x14ac:dyDescent="0.25">
      <c r="A119">
        <v>305</v>
      </c>
      <c r="B119" t="s">
        <v>315</v>
      </c>
      <c r="C119" t="s">
        <v>316</v>
      </c>
      <c r="D119" t="s">
        <v>3033</v>
      </c>
      <c r="E119" t="s">
        <v>53</v>
      </c>
      <c r="F119" s="7">
        <v>33045</v>
      </c>
      <c r="G119" t="s">
        <v>244</v>
      </c>
      <c r="H119" t="s">
        <v>3034</v>
      </c>
      <c r="I119" t="s">
        <v>216</v>
      </c>
      <c r="J119" t="s">
        <v>3727</v>
      </c>
      <c r="K119" t="s">
        <v>225</v>
      </c>
      <c r="L119" t="s">
        <v>265</v>
      </c>
      <c r="M119" t="s">
        <v>3035</v>
      </c>
      <c r="N119" t="s">
        <v>3036</v>
      </c>
      <c r="O119" t="s">
        <v>3037</v>
      </c>
      <c r="P119" t="s">
        <v>3038</v>
      </c>
      <c r="Q119" t="s">
        <v>3039</v>
      </c>
      <c r="R119" t="str">
        <f t="shared" si="3"/>
        <v>user-male.jpg</v>
      </c>
      <c r="U119" t="str">
        <f t="shared" si="4"/>
        <v>(305,'tomiro2834', 'pswtomiro2834', 'Tomás Vera Garcia Ferreira', 'Masculino', '1990-06-21', 'Rua da Betesga', '2834-922', 'Barreiro', 'Utente', 'Portuguesa', 'Bilhete de Identidade', '76562059', '255285859', '576781958', '921957705', 'tomiro2834@sapo.pt', 'user-male.jpg'),</v>
      </c>
      <c r="V119" t="str">
        <f t="shared" si="5"/>
        <v>(305),</v>
      </c>
    </row>
    <row r="120" spans="1:22" x14ac:dyDescent="0.25">
      <c r="A120">
        <v>306</v>
      </c>
      <c r="B120" t="s">
        <v>3040</v>
      </c>
      <c r="C120" t="s">
        <v>3041</v>
      </c>
      <c r="D120" t="s">
        <v>3042</v>
      </c>
      <c r="E120" t="s">
        <v>53</v>
      </c>
      <c r="F120" s="7">
        <v>18446</v>
      </c>
      <c r="G120" t="s">
        <v>253</v>
      </c>
      <c r="H120" t="s">
        <v>3043</v>
      </c>
      <c r="I120" t="s">
        <v>208</v>
      </c>
      <c r="J120" t="s">
        <v>3727</v>
      </c>
      <c r="K120" t="s">
        <v>225</v>
      </c>
      <c r="L120" t="s">
        <v>265</v>
      </c>
      <c r="M120" t="s">
        <v>3044</v>
      </c>
      <c r="N120" t="s">
        <v>3045</v>
      </c>
      <c r="O120" t="s">
        <v>3046</v>
      </c>
      <c r="P120" t="s">
        <v>3047</v>
      </c>
      <c r="Q120" t="s">
        <v>3048</v>
      </c>
      <c r="R120" t="str">
        <f t="shared" si="3"/>
        <v>user-male.jpg</v>
      </c>
      <c r="U120" t="str">
        <f t="shared" si="4"/>
        <v>(306,'gabbal2904', 'pswgabbal2904', 'Gabriel Leonor Guerreiro Antunes', 'Masculino', '1950-07-02', 'Rua de São Mamede', '2904-627', 'Setúbal', 'Utente', 'Portuguesa', 'Bilhete de Identidade', '10770425', '561060367', '717220070', '915947328', 'gabbal2904@outlook.com', 'user-male.jpg'),</v>
      </c>
      <c r="V120" t="str">
        <f t="shared" si="5"/>
        <v>(306),</v>
      </c>
    </row>
    <row r="121" spans="1:22" x14ac:dyDescent="0.25">
      <c r="A121">
        <v>307</v>
      </c>
      <c r="B121" t="s">
        <v>3049</v>
      </c>
      <c r="C121" t="s">
        <v>3050</v>
      </c>
      <c r="D121" t="s">
        <v>3051</v>
      </c>
      <c r="E121" t="s">
        <v>66</v>
      </c>
      <c r="F121" s="7">
        <v>28450</v>
      </c>
      <c r="G121" t="s">
        <v>237</v>
      </c>
      <c r="H121" t="s">
        <v>3052</v>
      </c>
      <c r="I121" t="s">
        <v>211</v>
      </c>
      <c r="J121" t="s">
        <v>3727</v>
      </c>
      <c r="K121" t="s">
        <v>225</v>
      </c>
      <c r="L121" t="s">
        <v>265</v>
      </c>
      <c r="M121" t="s">
        <v>3053</v>
      </c>
      <c r="N121" t="s">
        <v>3054</v>
      </c>
      <c r="O121" t="s">
        <v>3055</v>
      </c>
      <c r="P121" t="s">
        <v>3056</v>
      </c>
      <c r="Q121" t="s">
        <v>3057</v>
      </c>
      <c r="R121" t="str">
        <f t="shared" si="3"/>
        <v>user-female.jpg</v>
      </c>
      <c r="U121" t="str">
        <f t="shared" si="4"/>
        <v>(307,'beaboa1500', 'pswbeaboa1500', 'Beatriz Sara Gonçalves Jesus', 'Feminino', '1977-11-21', 'Calçada Marquês de Abrantes', '1500-531', 'Lisboa', 'Utente', 'Portuguesa', 'Bilhete de Identidade', '42144185', '715395823', '732306221', '937567411', 'beaboa1500@outlook.com', 'user-female.jpg'),</v>
      </c>
      <c r="V121" t="str">
        <f t="shared" si="5"/>
        <v>(307),</v>
      </c>
    </row>
    <row r="122" spans="1:22" x14ac:dyDescent="0.25">
      <c r="A122">
        <v>308</v>
      </c>
      <c r="B122" t="s">
        <v>3058</v>
      </c>
      <c r="C122" t="s">
        <v>3059</v>
      </c>
      <c r="D122" t="s">
        <v>3060</v>
      </c>
      <c r="E122" t="s">
        <v>53</v>
      </c>
      <c r="F122" s="7">
        <v>42428</v>
      </c>
      <c r="G122" t="s">
        <v>229</v>
      </c>
      <c r="H122" t="s">
        <v>3061</v>
      </c>
      <c r="I122" t="s">
        <v>201</v>
      </c>
      <c r="J122" t="s">
        <v>3727</v>
      </c>
      <c r="K122" t="s">
        <v>225</v>
      </c>
      <c r="L122" t="s">
        <v>265</v>
      </c>
      <c r="M122" t="s">
        <v>3062</v>
      </c>
      <c r="N122" t="s">
        <v>3063</v>
      </c>
      <c r="O122" t="s">
        <v>3064</v>
      </c>
      <c r="P122" t="s">
        <v>3065</v>
      </c>
      <c r="Q122" t="s">
        <v>3066</v>
      </c>
      <c r="R122" t="str">
        <f t="shared" si="3"/>
        <v>user-male.jpg</v>
      </c>
      <c r="U122" t="str">
        <f t="shared" si="4"/>
        <v>(308,'fraria2424', 'pswfraria2424', 'Francisco Tomás Barros Pinto', 'Masculino', '2016-02-28', 'Rua Cidade de Bolama', '2424-967', 'Leiria', 'Utente', 'Portuguesa', 'Bilhete de Identidade', '18762619', '645711655', '407138067', '963280705', 'fraria2424@outlook.com', 'user-male.jpg'),</v>
      </c>
      <c r="V122" t="str">
        <f t="shared" si="5"/>
        <v>(308),</v>
      </c>
    </row>
    <row r="123" spans="1:22" x14ac:dyDescent="0.25">
      <c r="A123">
        <v>309</v>
      </c>
      <c r="B123" t="s">
        <v>3067</v>
      </c>
      <c r="C123" t="s">
        <v>3068</v>
      </c>
      <c r="D123" t="s">
        <v>3069</v>
      </c>
      <c r="E123" t="s">
        <v>66</v>
      </c>
      <c r="F123" s="7">
        <v>43463</v>
      </c>
      <c r="G123" t="s">
        <v>235</v>
      </c>
      <c r="H123" t="s">
        <v>3070</v>
      </c>
      <c r="I123" t="s">
        <v>205</v>
      </c>
      <c r="J123" t="s">
        <v>3727</v>
      </c>
      <c r="K123" t="s">
        <v>225</v>
      </c>
      <c r="L123" t="s">
        <v>265</v>
      </c>
      <c r="M123" t="s">
        <v>3071</v>
      </c>
      <c r="N123" t="s">
        <v>3072</v>
      </c>
      <c r="O123" t="s">
        <v>3073</v>
      </c>
      <c r="P123" t="s">
        <v>3074</v>
      </c>
      <c r="Q123" t="s">
        <v>3075</v>
      </c>
      <c r="R123" t="str">
        <f t="shared" si="3"/>
        <v>user-female.jpg</v>
      </c>
      <c r="U123" t="str">
        <f t="shared" si="4"/>
        <v>(309,'bearem2004', 'pswbearem2004', 'Beatriz Leonor Morais Vaz', 'Feminino', '2018-12-29', 'Estrada das Laranjeiras', '2004-604', 'Santarém', 'Utente', 'Portuguesa', 'Bilhete de Identidade', '38182479', '359027838', '114288819', '929944404', 'bearem2004@outlook.com', 'user-female.jpg'),</v>
      </c>
      <c r="V123" t="str">
        <f t="shared" si="5"/>
        <v>(309),</v>
      </c>
    </row>
    <row r="124" spans="1:22" x14ac:dyDescent="0.25">
      <c r="A124">
        <v>310</v>
      </c>
      <c r="B124" t="s">
        <v>3076</v>
      </c>
      <c r="C124" t="s">
        <v>3077</v>
      </c>
      <c r="D124" t="s">
        <v>3078</v>
      </c>
      <c r="E124" t="s">
        <v>53</v>
      </c>
      <c r="F124" s="7">
        <v>8971</v>
      </c>
      <c r="G124" t="s">
        <v>228</v>
      </c>
      <c r="H124" t="s">
        <v>3079</v>
      </c>
      <c r="I124" t="s">
        <v>210</v>
      </c>
      <c r="J124" t="s">
        <v>3727</v>
      </c>
      <c r="K124" t="s">
        <v>225</v>
      </c>
      <c r="L124" t="s">
        <v>265</v>
      </c>
      <c r="M124" t="s">
        <v>3080</v>
      </c>
      <c r="N124" t="s">
        <v>3081</v>
      </c>
      <c r="O124" t="s">
        <v>3082</v>
      </c>
      <c r="P124" t="s">
        <v>3083</v>
      </c>
      <c r="Q124" t="s">
        <v>3084</v>
      </c>
      <c r="R124" t="str">
        <f t="shared" si="3"/>
        <v>user-male.jpg</v>
      </c>
      <c r="U124" t="str">
        <f t="shared" si="4"/>
        <v>(310,'andora2654', 'pswandora2654', 'André André Nascimento Esteves', 'Masculino', '1924-07-23', 'Calçada de Carriche', '2654-448', 'Amadora', 'Utente', 'Portuguesa', 'Bilhete de Identidade', '52216879', '376224550', '898316921', '960980279', 'andora2654@gmail.com', 'user-male.jpg'),</v>
      </c>
      <c r="V124" t="str">
        <f t="shared" si="5"/>
        <v>(310),</v>
      </c>
    </row>
    <row r="125" spans="1:22" x14ac:dyDescent="0.25">
      <c r="A125">
        <v>311</v>
      </c>
      <c r="B125" t="s">
        <v>3085</v>
      </c>
      <c r="C125" t="s">
        <v>3086</v>
      </c>
      <c r="D125" t="s">
        <v>3087</v>
      </c>
      <c r="E125" t="s">
        <v>53</v>
      </c>
      <c r="F125" s="7">
        <v>13497</v>
      </c>
      <c r="G125" t="s">
        <v>227</v>
      </c>
      <c r="H125" t="s">
        <v>3088</v>
      </c>
      <c r="I125" t="s">
        <v>215</v>
      </c>
      <c r="J125" t="s">
        <v>3727</v>
      </c>
      <c r="K125" t="s">
        <v>225</v>
      </c>
      <c r="L125" t="s">
        <v>265</v>
      </c>
      <c r="M125" t="s">
        <v>3089</v>
      </c>
      <c r="N125" t="s">
        <v>3090</v>
      </c>
      <c r="O125" t="s">
        <v>3091</v>
      </c>
      <c r="P125" t="s">
        <v>3092</v>
      </c>
      <c r="Q125" t="s">
        <v>3093</v>
      </c>
      <c r="R125" t="str">
        <f t="shared" si="3"/>
        <v>user-male.jpg</v>
      </c>
      <c r="U125" t="str">
        <f t="shared" si="4"/>
        <v>(311,'andras2784', 'pswandras2784', 'André Francisco Teixeira Pacheco', 'Masculino', '1936-12-13', 'Rua dos Bacalhoeiros', '2784-676', 'Oeiras', 'Utente', 'Portuguesa', 'Bilhete de Identidade', '47164559', '116041015', '380145458', '936097684', 'andras2784@gmail.com', 'user-male.jpg'),</v>
      </c>
      <c r="V125" t="str">
        <f t="shared" si="5"/>
        <v>(311),</v>
      </c>
    </row>
    <row r="126" spans="1:22" x14ac:dyDescent="0.25">
      <c r="A126">
        <v>312</v>
      </c>
      <c r="B126" t="s">
        <v>3094</v>
      </c>
      <c r="C126" t="s">
        <v>3095</v>
      </c>
      <c r="D126" t="s">
        <v>3096</v>
      </c>
      <c r="E126" t="s">
        <v>53</v>
      </c>
      <c r="F126" s="7">
        <v>25240</v>
      </c>
      <c r="G126" t="s">
        <v>243</v>
      </c>
      <c r="H126" t="s">
        <v>3097</v>
      </c>
      <c r="I126" t="s">
        <v>210</v>
      </c>
      <c r="J126" t="s">
        <v>3727</v>
      </c>
      <c r="K126" t="s">
        <v>225</v>
      </c>
      <c r="L126" t="s">
        <v>265</v>
      </c>
      <c r="M126" t="s">
        <v>3098</v>
      </c>
      <c r="N126" t="s">
        <v>3099</v>
      </c>
      <c r="O126" t="s">
        <v>3100</v>
      </c>
      <c r="P126" t="s">
        <v>3101</v>
      </c>
      <c r="Q126" t="s">
        <v>3102</v>
      </c>
      <c r="R126" t="str">
        <f t="shared" si="3"/>
        <v>user-male.jpg</v>
      </c>
      <c r="U126" t="str">
        <f t="shared" si="4"/>
        <v>(312,'tomora2704', 'pswtomora2704', 'Tomás Luís Pinto Pinto', 'Masculino', '1969-02-06', 'Rua Roberto Duarte Silva', '2704-228', 'Amadora', 'Utente', 'Portuguesa', 'Bilhete de Identidade', '89995903', '970360811', '889712255', '917650988', 'tomora2704@outlook.com', 'user-male.jpg'),</v>
      </c>
      <c r="V126" t="str">
        <f t="shared" si="5"/>
        <v>(312),</v>
      </c>
    </row>
    <row r="127" spans="1:22" x14ac:dyDescent="0.25">
      <c r="A127">
        <v>313</v>
      </c>
      <c r="B127" t="s">
        <v>3103</v>
      </c>
      <c r="C127" t="s">
        <v>3104</v>
      </c>
      <c r="D127" t="s">
        <v>3105</v>
      </c>
      <c r="E127" t="s">
        <v>66</v>
      </c>
      <c r="F127" s="7">
        <v>16827</v>
      </c>
      <c r="G127" t="s">
        <v>244</v>
      </c>
      <c r="H127" t="s">
        <v>3106</v>
      </c>
      <c r="I127" t="s">
        <v>222</v>
      </c>
      <c r="J127" t="s">
        <v>3727</v>
      </c>
      <c r="K127" t="s">
        <v>225</v>
      </c>
      <c r="L127" t="s">
        <v>265</v>
      </c>
      <c r="M127" t="s">
        <v>3107</v>
      </c>
      <c r="N127" t="s">
        <v>3108</v>
      </c>
      <c r="O127" t="s">
        <v>3109</v>
      </c>
      <c r="P127" t="s">
        <v>3110</v>
      </c>
      <c r="Q127" t="s">
        <v>3111</v>
      </c>
      <c r="R127" t="str">
        <f t="shared" si="3"/>
        <v>user-female.jpg</v>
      </c>
      <c r="U127" t="str">
        <f t="shared" si="4"/>
        <v>(313,'lurnto2334', 'pswlurnto2334', 'Lurdes José Vaz Gomes', 'Feminino', '1946-01-25', 'Rua da Betesga', '2334-933', 'Entroncamento', 'Utente', 'Portuguesa', 'Bilhete de Identidade', '68296409', '693541652', '517374476', '964145554', 'lurnto2334@gmail.com', 'user-female.jpg'),</v>
      </c>
      <c r="V127" t="str">
        <f t="shared" si="5"/>
        <v>(313),</v>
      </c>
    </row>
    <row r="128" spans="1:22" x14ac:dyDescent="0.25">
      <c r="A128">
        <v>314</v>
      </c>
      <c r="B128" t="s">
        <v>3112</v>
      </c>
      <c r="C128" t="s">
        <v>3113</v>
      </c>
      <c r="D128" t="s">
        <v>3114</v>
      </c>
      <c r="E128" t="s">
        <v>66</v>
      </c>
      <c r="F128" s="7">
        <v>14246</v>
      </c>
      <c r="G128" t="s">
        <v>261</v>
      </c>
      <c r="H128" t="s">
        <v>3115</v>
      </c>
      <c r="I128" t="s">
        <v>209</v>
      </c>
      <c r="J128" t="s">
        <v>3727</v>
      </c>
      <c r="K128" t="s">
        <v>225</v>
      </c>
      <c r="L128" t="s">
        <v>265</v>
      </c>
      <c r="M128" t="s">
        <v>3116</v>
      </c>
      <c r="N128" t="s">
        <v>3117</v>
      </c>
      <c r="O128" t="s">
        <v>3118</v>
      </c>
      <c r="P128" t="s">
        <v>3119</v>
      </c>
      <c r="Q128" t="s">
        <v>3120</v>
      </c>
      <c r="R128" t="str">
        <f t="shared" si="3"/>
        <v>user-female.jpg</v>
      </c>
      <c r="U128" t="str">
        <f t="shared" si="4"/>
        <v>(314,'sarada2809', 'pswsarada2809', 'Sara Ana Lopes Anjos', 'Feminino', '1939-01-01', 'Rua do Carmo', '2809-894', 'Almada', 'Utente', 'Portuguesa', 'Bilhete de Identidade', '64375390', '162286423', '180810438', '916181820', 'sarada2809@sapo.pt', 'user-female.jpg'),</v>
      </c>
      <c r="V128" t="str">
        <f t="shared" si="5"/>
        <v>(314),</v>
      </c>
    </row>
    <row r="129" spans="1:22" x14ac:dyDescent="0.25">
      <c r="A129">
        <v>315</v>
      </c>
      <c r="B129" t="s">
        <v>3121</v>
      </c>
      <c r="C129" t="s">
        <v>3122</v>
      </c>
      <c r="D129" t="s">
        <v>3123</v>
      </c>
      <c r="E129" t="s">
        <v>53</v>
      </c>
      <c r="F129" s="7">
        <v>43342</v>
      </c>
      <c r="G129" t="s">
        <v>231</v>
      </c>
      <c r="H129" t="s">
        <v>3124</v>
      </c>
      <c r="I129" t="s">
        <v>223</v>
      </c>
      <c r="J129" t="s">
        <v>3727</v>
      </c>
      <c r="K129" t="s">
        <v>225</v>
      </c>
      <c r="L129" t="s">
        <v>265</v>
      </c>
      <c r="M129" t="s">
        <v>3125</v>
      </c>
      <c r="N129" t="s">
        <v>3126</v>
      </c>
      <c r="O129" t="s">
        <v>3127</v>
      </c>
      <c r="P129" t="s">
        <v>3128</v>
      </c>
      <c r="Q129" t="s">
        <v>3129</v>
      </c>
      <c r="R129" t="str">
        <f t="shared" si="3"/>
        <v>user-male.jpg</v>
      </c>
      <c r="U129" t="str">
        <f t="shared" si="4"/>
        <v>(315,'andira2659', 'pswandira2659', 'André Lurdes Sousa Costa', 'Masculino', '2018-08-30', 'Rua dos Fanqueiros', '2659-854', 'Ericeira', 'Utente', 'Portuguesa', 'Bilhete de Identidade', '86848646', '732820779', '403946902', '933088908', 'andira2659@sapo.pt', 'user-male.jpg'),</v>
      </c>
      <c r="V129" t="str">
        <f t="shared" si="5"/>
        <v>(315),</v>
      </c>
    </row>
    <row r="130" spans="1:22" x14ac:dyDescent="0.25">
      <c r="A130">
        <v>316</v>
      </c>
      <c r="B130" t="s">
        <v>2401</v>
      </c>
      <c r="C130" t="s">
        <v>2402</v>
      </c>
      <c r="D130" t="s">
        <v>3130</v>
      </c>
      <c r="E130" t="s">
        <v>66</v>
      </c>
      <c r="F130" s="7">
        <v>37343</v>
      </c>
      <c r="G130" t="s">
        <v>234</v>
      </c>
      <c r="H130" t="s">
        <v>3131</v>
      </c>
      <c r="I130" t="s">
        <v>223</v>
      </c>
      <c r="J130" t="s">
        <v>3727</v>
      </c>
      <c r="K130" t="s">
        <v>225</v>
      </c>
      <c r="L130" t="s">
        <v>265</v>
      </c>
      <c r="M130" t="s">
        <v>3132</v>
      </c>
      <c r="N130" t="s">
        <v>3133</v>
      </c>
      <c r="O130" t="s">
        <v>3134</v>
      </c>
      <c r="P130" t="s">
        <v>3135</v>
      </c>
      <c r="Q130" t="s">
        <v>3136</v>
      </c>
      <c r="R130" t="str">
        <f t="shared" si="3"/>
        <v>user-female.jpg</v>
      </c>
      <c r="U130" t="str">
        <f t="shared" si="4"/>
        <v>(316,'marira2659', 'pswmarira2659', 'Mariana Rodrigo Alves Brito', 'Feminino', '2002-03-28', 'Rua do Instituto Bacteriológico', '2659-816', 'Ericeira', 'Utente', 'Portuguesa', 'Bilhete de Identidade', '14777420', '949285271', '394959732', '916536497', 'marira2659@sapo.pt', 'user-female.jpg'),</v>
      </c>
      <c r="V130" t="str">
        <f t="shared" si="5"/>
        <v>(316),</v>
      </c>
    </row>
    <row r="131" spans="1:22" x14ac:dyDescent="0.25">
      <c r="A131">
        <v>317</v>
      </c>
      <c r="B131" t="s">
        <v>3137</v>
      </c>
      <c r="C131" t="s">
        <v>3138</v>
      </c>
      <c r="D131" t="s">
        <v>3139</v>
      </c>
      <c r="E131" t="s">
        <v>53</v>
      </c>
      <c r="F131" s="7">
        <v>35503</v>
      </c>
      <c r="G131" t="s">
        <v>254</v>
      </c>
      <c r="H131" t="s">
        <v>3140</v>
      </c>
      <c r="I131" t="s">
        <v>201</v>
      </c>
      <c r="J131" t="s">
        <v>3727</v>
      </c>
      <c r="K131" t="s">
        <v>225</v>
      </c>
      <c r="L131" t="s">
        <v>265</v>
      </c>
      <c r="M131" t="s">
        <v>3141</v>
      </c>
      <c r="N131" t="s">
        <v>3142</v>
      </c>
      <c r="O131" t="s">
        <v>3143</v>
      </c>
      <c r="P131" t="s">
        <v>3144</v>
      </c>
      <c r="Q131" t="s">
        <v>3145</v>
      </c>
      <c r="R131" t="str">
        <f t="shared" ref="R131:R194" si="6">IF(E131="Feminino","user-female.jpg","user-male.jpg")</f>
        <v>user-male.jpg</v>
      </c>
      <c r="U131" t="str">
        <f t="shared" si="4"/>
        <v>(317,'ricria2424', 'pswricria2424', 'Ricardo Martim Borges Matias', 'Masculino', '1997-03-14', 'Rua do Sacramento à Lapa', '2424-262', 'Leiria', 'Utente', 'Portuguesa', 'Bilhete de Identidade', '31444506', '123173843', '886441085', '915289496', 'ricria2424@sapo.pt', 'user-male.jpg'),</v>
      </c>
      <c r="V131" t="str">
        <f t="shared" si="5"/>
        <v>(317),</v>
      </c>
    </row>
    <row r="132" spans="1:22" x14ac:dyDescent="0.25">
      <c r="A132">
        <v>318</v>
      </c>
      <c r="B132" t="s">
        <v>3146</v>
      </c>
      <c r="C132" t="s">
        <v>3147</v>
      </c>
      <c r="D132" t="s">
        <v>3148</v>
      </c>
      <c r="E132" t="s">
        <v>53</v>
      </c>
      <c r="F132" s="7">
        <v>10487</v>
      </c>
      <c r="G132" t="s">
        <v>261</v>
      </c>
      <c r="H132" t="s">
        <v>3149</v>
      </c>
      <c r="I132" t="s">
        <v>211</v>
      </c>
      <c r="J132" t="s">
        <v>3727</v>
      </c>
      <c r="K132" t="s">
        <v>225</v>
      </c>
      <c r="L132" t="s">
        <v>265</v>
      </c>
      <c r="M132" t="s">
        <v>3150</v>
      </c>
      <c r="N132" t="s">
        <v>3151</v>
      </c>
      <c r="O132" t="s">
        <v>3152</v>
      </c>
      <c r="P132" t="s">
        <v>3153</v>
      </c>
      <c r="Q132" t="s">
        <v>3154</v>
      </c>
      <c r="R132" t="str">
        <f t="shared" si="6"/>
        <v>user-male.jpg</v>
      </c>
      <c r="U132" t="str">
        <f t="shared" ref="U132:U195" si="7">"(" &amp; A132 &amp;",'"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(318,'migboa1959', 'pswmigboa1959', 'Miguel Beatriz Amaral Melo', 'Masculino', '1928-09-16', 'Rua do Carmo', '1959-831', 'Lisboa', 'Utente', 'Portuguesa', 'Bilhete de Identidade', '81332627', '841979325', '635135792', '914625530', 'migboa1959@outlook.com', 'user-male.jpg'),</v>
      </c>
      <c r="V132" t="str">
        <f t="shared" ref="V132:V195" si="8">"(" &amp; A132 &amp;"),"</f>
        <v>(318),</v>
      </c>
    </row>
    <row r="133" spans="1:22" x14ac:dyDescent="0.25">
      <c r="A133">
        <v>319</v>
      </c>
      <c r="B133" t="s">
        <v>3155</v>
      </c>
      <c r="C133" t="s">
        <v>3156</v>
      </c>
      <c r="D133" t="s">
        <v>3157</v>
      </c>
      <c r="E133" t="s">
        <v>66</v>
      </c>
      <c r="F133" s="7">
        <v>20453</v>
      </c>
      <c r="G133" t="s">
        <v>245</v>
      </c>
      <c r="H133" t="s">
        <v>3158</v>
      </c>
      <c r="I133" t="s">
        <v>211</v>
      </c>
      <c r="J133" t="s">
        <v>3727</v>
      </c>
      <c r="K133" t="s">
        <v>225</v>
      </c>
      <c r="L133" t="s">
        <v>265</v>
      </c>
      <c r="M133" t="s">
        <v>3159</v>
      </c>
      <c r="N133" t="s">
        <v>3160</v>
      </c>
      <c r="O133" t="s">
        <v>3161</v>
      </c>
      <c r="P133" t="s">
        <v>3162</v>
      </c>
      <c r="Q133" t="s">
        <v>3163</v>
      </c>
      <c r="R133" t="str">
        <f t="shared" si="6"/>
        <v>user-female.jpg</v>
      </c>
      <c r="U133" t="str">
        <f t="shared" si="7"/>
        <v>(319,'fraboa1400', 'pswfraboa1400', 'Francisca Bruno Pacheco Soares', 'Feminino', '1955-12-30', 'Rua do Comércio', '1400-673', 'Lisboa', 'Utente', 'Portuguesa', 'Bilhete de Identidade', '92268478', '703063861', '966739304', '968287168', 'fraboa1400@sapo.pt', 'user-female.jpg'),</v>
      </c>
      <c r="V133" t="str">
        <f t="shared" si="8"/>
        <v>(319),</v>
      </c>
    </row>
    <row r="134" spans="1:22" x14ac:dyDescent="0.25">
      <c r="A134">
        <v>320</v>
      </c>
      <c r="B134" t="s">
        <v>3164</v>
      </c>
      <c r="C134" t="s">
        <v>3165</v>
      </c>
      <c r="D134" t="s">
        <v>3166</v>
      </c>
      <c r="E134" t="s">
        <v>53</v>
      </c>
      <c r="F134" s="7">
        <v>43922</v>
      </c>
      <c r="G134" t="s">
        <v>252</v>
      </c>
      <c r="H134" t="s">
        <v>3167</v>
      </c>
      <c r="I134" t="s">
        <v>211</v>
      </c>
      <c r="J134" t="s">
        <v>3727</v>
      </c>
      <c r="K134" t="s">
        <v>225</v>
      </c>
      <c r="L134" t="s">
        <v>265</v>
      </c>
      <c r="M134" t="s">
        <v>3168</v>
      </c>
      <c r="N134" t="s">
        <v>3169</v>
      </c>
      <c r="O134" t="s">
        <v>3170</v>
      </c>
      <c r="P134" t="s">
        <v>3171</v>
      </c>
      <c r="Q134" t="s">
        <v>3172</v>
      </c>
      <c r="R134" t="str">
        <f t="shared" si="6"/>
        <v>user-male.jpg</v>
      </c>
      <c r="U134" t="str">
        <f t="shared" si="7"/>
        <v>(320,'gabboa1449', 'pswgabboa1449', 'Gabriel Afonso Araújo Rodrigues', 'Masculino', '2020-04-01', 'Rua de São Julião', '1449-313', 'Lisboa', 'Utente', 'Portuguesa', 'Bilhete de Identidade', '47192530', '769100553', '726799093', '939820221', 'gabboa1449@gmail.com', 'user-male.jpg'),</v>
      </c>
      <c r="V134" t="str">
        <f t="shared" si="8"/>
        <v>(320),</v>
      </c>
    </row>
    <row r="135" spans="1:22" x14ac:dyDescent="0.25">
      <c r="A135">
        <v>321</v>
      </c>
      <c r="B135" t="s">
        <v>3173</v>
      </c>
      <c r="C135" t="s">
        <v>3174</v>
      </c>
      <c r="D135" t="s">
        <v>3175</v>
      </c>
      <c r="E135" t="s">
        <v>53</v>
      </c>
      <c r="F135" s="7">
        <v>25320</v>
      </c>
      <c r="G135" t="s">
        <v>260</v>
      </c>
      <c r="H135" t="s">
        <v>3176</v>
      </c>
      <c r="I135" t="s">
        <v>216</v>
      </c>
      <c r="J135" t="s">
        <v>3727</v>
      </c>
      <c r="K135" t="s">
        <v>225</v>
      </c>
      <c r="L135" t="s">
        <v>265</v>
      </c>
      <c r="M135" t="s">
        <v>3177</v>
      </c>
      <c r="N135" t="s">
        <v>3178</v>
      </c>
      <c r="O135" t="s">
        <v>3179</v>
      </c>
      <c r="P135" t="s">
        <v>3180</v>
      </c>
      <c r="Q135" t="s">
        <v>3181</v>
      </c>
      <c r="R135" t="str">
        <f t="shared" si="6"/>
        <v>user-male.jpg</v>
      </c>
      <c r="U135" t="str">
        <f t="shared" si="7"/>
        <v>(321,'bruiro2834', 'pswbruiro2834', 'Bruno Ricardo Baptista Coelho', 'Masculino', '1969-04-27', 'Rua Augusta', '2834-851', 'Barreiro', 'Utente', 'Portuguesa', 'Bilhete de Identidade', '60873204', '265764214', '717496292', '916988867', 'bruiro2834@gmail.com', 'user-male.jpg'),</v>
      </c>
      <c r="V135" t="str">
        <f t="shared" si="8"/>
        <v>(321),</v>
      </c>
    </row>
    <row r="136" spans="1:22" x14ac:dyDescent="0.25">
      <c r="A136">
        <v>322</v>
      </c>
      <c r="B136" t="s">
        <v>323</v>
      </c>
      <c r="C136" t="s">
        <v>324</v>
      </c>
      <c r="D136" t="s">
        <v>3182</v>
      </c>
      <c r="E136" t="s">
        <v>66</v>
      </c>
      <c r="F136" s="7">
        <v>20063</v>
      </c>
      <c r="G136" t="s">
        <v>262</v>
      </c>
      <c r="H136" t="s">
        <v>3183</v>
      </c>
      <c r="I136" t="s">
        <v>211</v>
      </c>
      <c r="J136" t="s">
        <v>3727</v>
      </c>
      <c r="K136" t="s">
        <v>225</v>
      </c>
      <c r="L136" t="s">
        <v>265</v>
      </c>
      <c r="M136" t="s">
        <v>3184</v>
      </c>
      <c r="N136" t="s">
        <v>3185</v>
      </c>
      <c r="O136" t="s">
        <v>3186</v>
      </c>
      <c r="P136" t="s">
        <v>3187</v>
      </c>
      <c r="Q136" t="s">
        <v>325</v>
      </c>
      <c r="R136" t="str">
        <f t="shared" si="6"/>
        <v>user-female.jpg</v>
      </c>
      <c r="U136" t="str">
        <f t="shared" si="7"/>
        <v>(322,'marboa1169', 'pswmarboa1169', 'Mariana João Abreu Barbosa', 'Feminino', '1954-12-05', 'Estrada Militar', '1169-508', 'Lisboa', 'Utente', 'Portuguesa', 'Bilhete de Identidade', '64596374', '794548053', '679670235', '964234135', 'marboa1169@outlook.com', 'user-female.jpg'),</v>
      </c>
      <c r="V136" t="str">
        <f t="shared" si="8"/>
        <v>(322),</v>
      </c>
    </row>
    <row r="137" spans="1:22" x14ac:dyDescent="0.25">
      <c r="A137">
        <v>323</v>
      </c>
      <c r="B137" t="s">
        <v>3188</v>
      </c>
      <c r="C137" t="s">
        <v>3189</v>
      </c>
      <c r="D137" t="s">
        <v>3190</v>
      </c>
      <c r="E137" t="s">
        <v>53</v>
      </c>
      <c r="F137" s="7">
        <v>34756</v>
      </c>
      <c r="G137" t="s">
        <v>242</v>
      </c>
      <c r="H137" t="s">
        <v>3191</v>
      </c>
      <c r="I137" t="s">
        <v>209</v>
      </c>
      <c r="J137" t="s">
        <v>3727</v>
      </c>
      <c r="K137" t="s">
        <v>225</v>
      </c>
      <c r="L137" t="s">
        <v>265</v>
      </c>
      <c r="M137" t="s">
        <v>3192</v>
      </c>
      <c r="N137" t="s">
        <v>3193</v>
      </c>
      <c r="O137" t="s">
        <v>3194</v>
      </c>
      <c r="P137" t="s">
        <v>3195</v>
      </c>
      <c r="Q137" t="s">
        <v>3196</v>
      </c>
      <c r="R137" t="str">
        <f t="shared" si="6"/>
        <v>user-male.jpg</v>
      </c>
      <c r="U137" t="str">
        <f t="shared" si="7"/>
        <v>(323,'gabada2809', 'pswgabada2809', 'Gabriel Francisco Fonseca Nunes', 'Masculino', '1995-02-26', 'Avenida Ressano Garcia', '2809-333', 'Almada', 'Utente', 'Portuguesa', 'Bilhete de Identidade', '46316989', '986370739', '596758409', '926488619', 'gabada2809@gmail.com', 'user-male.jpg'),</v>
      </c>
      <c r="V137" t="str">
        <f t="shared" si="8"/>
        <v>(323),</v>
      </c>
    </row>
    <row r="138" spans="1:22" x14ac:dyDescent="0.25">
      <c r="A138">
        <v>324</v>
      </c>
      <c r="B138" t="s">
        <v>3197</v>
      </c>
      <c r="C138" t="s">
        <v>3198</v>
      </c>
      <c r="D138" t="s">
        <v>3199</v>
      </c>
      <c r="E138" t="s">
        <v>53</v>
      </c>
      <c r="F138" s="7">
        <v>14392</v>
      </c>
      <c r="G138" t="s">
        <v>237</v>
      </c>
      <c r="H138" t="s">
        <v>3200</v>
      </c>
      <c r="I138" t="s">
        <v>211</v>
      </c>
      <c r="J138" t="s">
        <v>3727</v>
      </c>
      <c r="K138" t="s">
        <v>225</v>
      </c>
      <c r="L138" t="s">
        <v>265</v>
      </c>
      <c r="M138" t="s">
        <v>3201</v>
      </c>
      <c r="N138" t="s">
        <v>3202</v>
      </c>
      <c r="O138" t="s">
        <v>3203</v>
      </c>
      <c r="P138" t="s">
        <v>3204</v>
      </c>
      <c r="Q138" t="s">
        <v>3205</v>
      </c>
      <c r="R138" t="str">
        <f t="shared" si="6"/>
        <v>user-male.jpg</v>
      </c>
      <c r="U138" t="str">
        <f t="shared" si="7"/>
        <v>(324,'bruboa1068', 'pswbruboa1068', 'Bruno José Reis Paiva', 'Masculino', '1939-05-27', 'Calçada Marquês de Abrantes', '1068-903', 'Lisboa', 'Utente', 'Portuguesa', 'Bilhete de Identidade', '54412099', '336098380', '773509919', '921527749', 'bruboa1068@outlook.com', 'user-male.jpg'),</v>
      </c>
      <c r="V138" t="str">
        <f t="shared" si="8"/>
        <v>(324),</v>
      </c>
    </row>
    <row r="139" spans="1:22" x14ac:dyDescent="0.25">
      <c r="A139">
        <v>325</v>
      </c>
      <c r="B139" t="s">
        <v>3206</v>
      </c>
      <c r="C139" t="s">
        <v>3207</v>
      </c>
      <c r="D139" t="s">
        <v>3208</v>
      </c>
      <c r="E139" t="s">
        <v>66</v>
      </c>
      <c r="F139" s="7">
        <v>17070</v>
      </c>
      <c r="G139" t="s">
        <v>231</v>
      </c>
      <c r="H139" t="s">
        <v>3209</v>
      </c>
      <c r="I139" t="s">
        <v>205</v>
      </c>
      <c r="J139" t="s">
        <v>3727</v>
      </c>
      <c r="K139" t="s">
        <v>225</v>
      </c>
      <c r="L139" t="s">
        <v>265</v>
      </c>
      <c r="M139" t="s">
        <v>3210</v>
      </c>
      <c r="N139" t="s">
        <v>3211</v>
      </c>
      <c r="O139" t="s">
        <v>3212</v>
      </c>
      <c r="P139" t="s">
        <v>3213</v>
      </c>
      <c r="Q139" t="s">
        <v>3214</v>
      </c>
      <c r="R139" t="str">
        <f t="shared" si="6"/>
        <v>user-female.jpg</v>
      </c>
      <c r="U139" t="str">
        <f t="shared" si="7"/>
        <v>(325,'marrem2009', 'pswmarrem2009', 'Maria Tiago Rodrigues Magalhães', 'Feminino', '1946-09-25', 'Rua dos Fanqueiros', '2009-671', 'Santarém', 'Utente', 'Portuguesa', 'Bilhete de Identidade', '12433037', '620191451', '471596632', '928478954', 'marrem2009@outlook.com', 'user-female.jpg'),</v>
      </c>
      <c r="V139" t="str">
        <f t="shared" si="8"/>
        <v>(325),</v>
      </c>
    </row>
    <row r="140" spans="1:22" x14ac:dyDescent="0.25">
      <c r="A140">
        <v>326</v>
      </c>
      <c r="B140" t="s">
        <v>2563</v>
      </c>
      <c r="C140" t="s">
        <v>2564</v>
      </c>
      <c r="D140" t="s">
        <v>3215</v>
      </c>
      <c r="E140" t="s">
        <v>66</v>
      </c>
      <c r="F140" s="7">
        <v>18282</v>
      </c>
      <c r="G140" t="s">
        <v>244</v>
      </c>
      <c r="H140" t="s">
        <v>3216</v>
      </c>
      <c r="I140" t="s">
        <v>211</v>
      </c>
      <c r="J140" t="s">
        <v>3727</v>
      </c>
      <c r="K140" t="s">
        <v>225</v>
      </c>
      <c r="L140" t="s">
        <v>265</v>
      </c>
      <c r="M140" t="s">
        <v>3217</v>
      </c>
      <c r="N140" t="s">
        <v>3218</v>
      </c>
      <c r="O140" t="s">
        <v>3219</v>
      </c>
      <c r="P140" t="s">
        <v>3220</v>
      </c>
      <c r="Q140" t="s">
        <v>3221</v>
      </c>
      <c r="R140" t="str">
        <f t="shared" si="6"/>
        <v>user-female.jpg</v>
      </c>
      <c r="U140" t="str">
        <f t="shared" si="7"/>
        <v>(326,'marboa1200', 'pswmarboa1200', 'Mariana Mariana Borges Marques', 'Feminino', '1950-01-19', 'Rua da Betesga', '1200-817', 'Lisboa', 'Utente', 'Portuguesa', 'Bilhete de Identidade', '28290563', '322961285', '460934801', '961094604', 'marboa1200@sapo.pt', 'user-female.jpg'),</v>
      </c>
      <c r="V140" t="str">
        <f t="shared" si="8"/>
        <v>(326),</v>
      </c>
    </row>
    <row r="141" spans="1:22" x14ac:dyDescent="0.25">
      <c r="A141">
        <v>327</v>
      </c>
      <c r="B141" t="s">
        <v>286</v>
      </c>
      <c r="C141" t="s">
        <v>287</v>
      </c>
      <c r="D141" t="s">
        <v>3222</v>
      </c>
      <c r="E141" t="s">
        <v>66</v>
      </c>
      <c r="F141" s="7">
        <v>9562</v>
      </c>
      <c r="G141" t="s">
        <v>228</v>
      </c>
      <c r="H141" t="s">
        <v>3223</v>
      </c>
      <c r="I141" t="s">
        <v>211</v>
      </c>
      <c r="J141" t="s">
        <v>3727</v>
      </c>
      <c r="K141" t="s">
        <v>225</v>
      </c>
      <c r="L141" t="s">
        <v>265</v>
      </c>
      <c r="M141" t="s">
        <v>3224</v>
      </c>
      <c r="N141" t="s">
        <v>3225</v>
      </c>
      <c r="O141" t="s">
        <v>3226</v>
      </c>
      <c r="P141" t="s">
        <v>3227</v>
      </c>
      <c r="Q141" t="s">
        <v>3228</v>
      </c>
      <c r="R141" t="str">
        <f t="shared" si="6"/>
        <v>user-female.jpg</v>
      </c>
      <c r="U141" t="str">
        <f t="shared" si="7"/>
        <v>(327,'verboa1949', 'pswverboa1949', 'Vera João Amaral Henriques', 'Feminino', '1926-03-06', 'Calçada de Carriche', '1949-312', 'Lisboa', 'Utente', 'Portuguesa', 'Bilhete de Identidade', '45066879', '406012614', '134901017', '930483686', 'verboa1949@gmail.com', 'user-female.jpg'),</v>
      </c>
      <c r="V141" t="str">
        <f t="shared" si="8"/>
        <v>(327),</v>
      </c>
    </row>
    <row r="142" spans="1:22" x14ac:dyDescent="0.25">
      <c r="A142">
        <v>328</v>
      </c>
      <c r="B142" t="s">
        <v>3229</v>
      </c>
      <c r="C142" t="s">
        <v>3230</v>
      </c>
      <c r="D142" t="s">
        <v>3231</v>
      </c>
      <c r="E142" t="s">
        <v>53</v>
      </c>
      <c r="F142" s="7">
        <v>10733</v>
      </c>
      <c r="G142" t="s">
        <v>244</v>
      </c>
      <c r="H142" t="s">
        <v>3232</v>
      </c>
      <c r="I142" t="s">
        <v>209</v>
      </c>
      <c r="J142" t="s">
        <v>3727</v>
      </c>
      <c r="K142" t="s">
        <v>225</v>
      </c>
      <c r="L142" t="s">
        <v>265</v>
      </c>
      <c r="M142" t="s">
        <v>3233</v>
      </c>
      <c r="N142" t="s">
        <v>3234</v>
      </c>
      <c r="O142" t="s">
        <v>3235</v>
      </c>
      <c r="P142" t="s">
        <v>3236</v>
      </c>
      <c r="Q142" t="s">
        <v>3237</v>
      </c>
      <c r="R142" t="str">
        <f t="shared" si="6"/>
        <v>user-male.jpg</v>
      </c>
      <c r="U142" t="str">
        <f t="shared" si="7"/>
        <v>(328,'afoada2809', 'pswafoada2809', 'Afonso Joana Melo Jesus', 'Masculino', '1929-05-20', 'Rua da Betesga', '2809-231', 'Almada', 'Utente', 'Portuguesa', 'Bilhete de Identidade', '77134988', '136699056', '142662162', '919288249', 'afoada2809@outlook.com', 'user-male.jpg'),</v>
      </c>
      <c r="V142" t="str">
        <f t="shared" si="8"/>
        <v>(328),</v>
      </c>
    </row>
    <row r="143" spans="1:22" x14ac:dyDescent="0.25">
      <c r="A143">
        <v>329</v>
      </c>
      <c r="B143" t="s">
        <v>3238</v>
      </c>
      <c r="C143" t="s">
        <v>3239</v>
      </c>
      <c r="D143" t="s">
        <v>3240</v>
      </c>
      <c r="E143" t="s">
        <v>66</v>
      </c>
      <c r="F143" s="7">
        <v>43003</v>
      </c>
      <c r="G143" t="s">
        <v>252</v>
      </c>
      <c r="H143" t="s">
        <v>3241</v>
      </c>
      <c r="I143" t="s">
        <v>220</v>
      </c>
      <c r="J143" t="s">
        <v>3727</v>
      </c>
      <c r="K143" t="s">
        <v>225</v>
      </c>
      <c r="L143" t="s">
        <v>265</v>
      </c>
      <c r="M143" t="s">
        <v>3242</v>
      </c>
      <c r="N143" t="s">
        <v>3243</v>
      </c>
      <c r="O143" t="s">
        <v>3244</v>
      </c>
      <c r="P143" t="s">
        <v>3245</v>
      </c>
      <c r="Q143" t="s">
        <v>3246</v>
      </c>
      <c r="R143" t="str">
        <f t="shared" si="6"/>
        <v>user-female.jpg</v>
      </c>
      <c r="U143" t="str">
        <f t="shared" si="7"/>
        <v>(329,'catais2754', 'pswcatais2754', 'Catarina Gabriel Pires Henriques', 'Feminino', '2017-09-25', 'Rua de São Julião', '2754-087', 'Cascais', 'Utente', 'Portuguesa', 'Bilhete de Identidade', '87013409', '189012752', '597601384', '930474383', 'catais2754@gmail.com', 'user-female.jpg'),</v>
      </c>
      <c r="V143" t="str">
        <f t="shared" si="8"/>
        <v>(329),</v>
      </c>
    </row>
    <row r="144" spans="1:22" x14ac:dyDescent="0.25">
      <c r="A144">
        <v>330</v>
      </c>
      <c r="B144" t="s">
        <v>3247</v>
      </c>
      <c r="C144" t="s">
        <v>3248</v>
      </c>
      <c r="D144" t="s">
        <v>3249</v>
      </c>
      <c r="E144" t="s">
        <v>66</v>
      </c>
      <c r="F144" s="7">
        <v>29468</v>
      </c>
      <c r="G144" t="s">
        <v>252</v>
      </c>
      <c r="H144" t="s">
        <v>3250</v>
      </c>
      <c r="I144" t="s">
        <v>203</v>
      </c>
      <c r="J144" t="s">
        <v>3727</v>
      </c>
      <c r="K144" t="s">
        <v>225</v>
      </c>
      <c r="L144" t="s">
        <v>265</v>
      </c>
      <c r="M144" t="s">
        <v>3251</v>
      </c>
      <c r="N144" t="s">
        <v>3252</v>
      </c>
      <c r="O144" t="s">
        <v>3253</v>
      </c>
      <c r="P144" t="s">
        <v>3254</v>
      </c>
      <c r="Q144" t="s">
        <v>3255</v>
      </c>
      <c r="R144" t="str">
        <f t="shared" si="6"/>
        <v>user-female.jpg</v>
      </c>
      <c r="U144" t="str">
        <f t="shared" si="7"/>
        <v>(330,'marvas2350', 'pswmarvas2350', 'Maria Diogo Pacheco Costa', 'Feminino', '1980-09-04', 'Rua de São Julião', '2350-172', 'Torres Novas', 'Utente', 'Portuguesa', 'Bilhete de Identidade', '32368574', '896618041', '416069363', '931792325', 'marvas2350@outlook.com', 'user-female.jpg'),</v>
      </c>
      <c r="V144" t="str">
        <f t="shared" si="8"/>
        <v>(330),</v>
      </c>
    </row>
    <row r="145" spans="1:22" x14ac:dyDescent="0.25">
      <c r="A145">
        <v>331</v>
      </c>
      <c r="B145" t="s">
        <v>3256</v>
      </c>
      <c r="C145" t="s">
        <v>3257</v>
      </c>
      <c r="D145" t="s">
        <v>3258</v>
      </c>
      <c r="E145" t="s">
        <v>66</v>
      </c>
      <c r="F145" s="7">
        <v>26648</v>
      </c>
      <c r="G145" t="s">
        <v>245</v>
      </c>
      <c r="H145" t="s">
        <v>3259</v>
      </c>
      <c r="I145" t="s">
        <v>211</v>
      </c>
      <c r="J145" t="s">
        <v>3727</v>
      </c>
      <c r="K145" t="s">
        <v>225</v>
      </c>
      <c r="L145" t="s">
        <v>265</v>
      </c>
      <c r="M145" t="s">
        <v>3260</v>
      </c>
      <c r="N145" t="s">
        <v>3261</v>
      </c>
      <c r="O145" t="s">
        <v>3262</v>
      </c>
      <c r="P145" t="s">
        <v>3263</v>
      </c>
      <c r="Q145" t="s">
        <v>3264</v>
      </c>
      <c r="R145" t="str">
        <f t="shared" si="6"/>
        <v>user-female.jpg</v>
      </c>
      <c r="U145" t="str">
        <f t="shared" si="7"/>
        <v>(331,'beaboa1949', 'pswbeaboa1949', 'Beatriz Diogo Maia Mota', 'Feminino', '1972-12-15', 'Rua do Comércio', '1949-914', 'Lisboa', 'Utente', 'Portuguesa', 'Bilhete de Identidade', '11582388', '651900553', '394773586', '963946603', 'beaboa1949@sapo.pt', 'user-female.jpg'),</v>
      </c>
      <c r="V145" t="str">
        <f t="shared" si="8"/>
        <v>(331),</v>
      </c>
    </row>
    <row r="146" spans="1:22" x14ac:dyDescent="0.25">
      <c r="A146">
        <v>332</v>
      </c>
      <c r="B146" t="s">
        <v>3265</v>
      </c>
      <c r="C146" t="s">
        <v>3266</v>
      </c>
      <c r="D146" t="s">
        <v>3267</v>
      </c>
      <c r="E146" t="s">
        <v>66</v>
      </c>
      <c r="F146" s="7">
        <v>12366</v>
      </c>
      <c r="G146" t="s">
        <v>233</v>
      </c>
      <c r="H146" t="s">
        <v>3268</v>
      </c>
      <c r="I146" t="s">
        <v>209</v>
      </c>
      <c r="J146" t="s">
        <v>3727</v>
      </c>
      <c r="K146" t="s">
        <v>225</v>
      </c>
      <c r="L146" t="s">
        <v>265</v>
      </c>
      <c r="M146" t="s">
        <v>3269</v>
      </c>
      <c r="N146" t="s">
        <v>3270</v>
      </c>
      <c r="O146" t="s">
        <v>3271</v>
      </c>
      <c r="P146" t="s">
        <v>3272</v>
      </c>
      <c r="Q146" t="s">
        <v>3273</v>
      </c>
      <c r="R146" t="str">
        <f t="shared" si="6"/>
        <v>user-female.jpg</v>
      </c>
      <c r="U146" t="str">
        <f t="shared" si="7"/>
        <v>(332,'beaada2814', 'pswbeaada2814', 'Beatriz Carolina Maia Ribeiro', 'Feminino', '1933-11-08', 'Rua dos Heróis de Quionga', '2814-306', 'Almada', 'Utente', 'Portuguesa', 'Bilhete de Identidade', '42003578', '108309490', '188076333', '922502287', 'beaada2814@sapo.pt', 'user-female.jpg'),</v>
      </c>
      <c r="V146" t="str">
        <f t="shared" si="8"/>
        <v>(332),</v>
      </c>
    </row>
    <row r="147" spans="1:22" x14ac:dyDescent="0.25">
      <c r="A147">
        <v>333</v>
      </c>
      <c r="B147" t="s">
        <v>3274</v>
      </c>
      <c r="C147" t="s">
        <v>3275</v>
      </c>
      <c r="D147" t="s">
        <v>3276</v>
      </c>
      <c r="E147" t="s">
        <v>53</v>
      </c>
      <c r="F147" s="7">
        <v>15788</v>
      </c>
      <c r="G147" t="s">
        <v>246</v>
      </c>
      <c r="H147" t="s">
        <v>3277</v>
      </c>
      <c r="I147" t="s">
        <v>211</v>
      </c>
      <c r="J147" t="s">
        <v>3727</v>
      </c>
      <c r="K147" t="s">
        <v>225</v>
      </c>
      <c r="L147" t="s">
        <v>265</v>
      </c>
      <c r="M147" t="s">
        <v>3278</v>
      </c>
      <c r="N147" t="s">
        <v>3279</v>
      </c>
      <c r="O147" t="s">
        <v>3280</v>
      </c>
      <c r="P147" t="s">
        <v>3281</v>
      </c>
      <c r="Q147" t="s">
        <v>3282</v>
      </c>
      <c r="R147" t="str">
        <f t="shared" si="6"/>
        <v>user-male.jpg</v>
      </c>
      <c r="U147" t="str">
        <f t="shared" si="7"/>
        <v>(333,'joaboa1199', 'pswjoaboa1199', 'João Daniela Vieira Monteiro', 'Masculino', '1943-03-23', 'Rua do Guarda-Mor', '1199-168', 'Lisboa', 'Utente', 'Portuguesa', 'Bilhete de Identidade', '81558036', '770167294', '812687196', '968850583', 'joaboa1199@outlook.com', 'user-male.jpg'),</v>
      </c>
      <c r="V147" t="str">
        <f t="shared" si="8"/>
        <v>(333),</v>
      </c>
    </row>
    <row r="148" spans="1:22" x14ac:dyDescent="0.25">
      <c r="A148">
        <v>334</v>
      </c>
      <c r="B148" t="s">
        <v>3283</v>
      </c>
      <c r="C148" t="s">
        <v>3284</v>
      </c>
      <c r="D148" t="s">
        <v>3285</v>
      </c>
      <c r="E148" t="s">
        <v>53</v>
      </c>
      <c r="F148" s="7">
        <v>37028</v>
      </c>
      <c r="G148" t="s">
        <v>231</v>
      </c>
      <c r="H148" t="s">
        <v>797</v>
      </c>
      <c r="I148" t="s">
        <v>210</v>
      </c>
      <c r="J148" t="s">
        <v>3727</v>
      </c>
      <c r="K148" t="s">
        <v>225</v>
      </c>
      <c r="L148" t="s">
        <v>265</v>
      </c>
      <c r="M148" t="s">
        <v>3286</v>
      </c>
      <c r="N148" t="s">
        <v>3287</v>
      </c>
      <c r="O148" t="s">
        <v>3288</v>
      </c>
      <c r="P148" t="s">
        <v>3289</v>
      </c>
      <c r="Q148" t="s">
        <v>3290</v>
      </c>
      <c r="R148" t="str">
        <f t="shared" si="6"/>
        <v>user-male.jpg</v>
      </c>
      <c r="U148" t="str">
        <f t="shared" si="7"/>
        <v>(334,'rodora2720', 'pswrodora2720', 'Rodrigo Lurdes Nunes Figueiredo', 'Masculino', '2001-05-17', 'Rua dos Fanqueiros', '2720-897', 'Amadora', 'Utente', 'Portuguesa', 'Bilhete de Identidade', '64028134', '631483347', '736010624', '962764356', 'rodora2720@gmail.com', 'user-male.jpg'),</v>
      </c>
      <c r="V148" t="str">
        <f t="shared" si="8"/>
        <v>(334),</v>
      </c>
    </row>
    <row r="149" spans="1:22" x14ac:dyDescent="0.25">
      <c r="A149">
        <v>335</v>
      </c>
      <c r="B149" t="s">
        <v>3291</v>
      </c>
      <c r="C149" t="s">
        <v>3292</v>
      </c>
      <c r="D149" t="s">
        <v>3293</v>
      </c>
      <c r="E149" t="s">
        <v>53</v>
      </c>
      <c r="F149" s="7">
        <v>36735</v>
      </c>
      <c r="G149" t="s">
        <v>235</v>
      </c>
      <c r="H149" t="s">
        <v>3294</v>
      </c>
      <c r="I149" t="s">
        <v>202</v>
      </c>
      <c r="J149" t="s">
        <v>3727</v>
      </c>
      <c r="K149" t="s">
        <v>225</v>
      </c>
      <c r="L149" t="s">
        <v>265</v>
      </c>
      <c r="M149" t="s">
        <v>3295</v>
      </c>
      <c r="N149" t="s">
        <v>3296</v>
      </c>
      <c r="O149" t="s">
        <v>3297</v>
      </c>
      <c r="P149" t="s">
        <v>3298</v>
      </c>
      <c r="Q149" t="s">
        <v>3299</v>
      </c>
      <c r="R149" t="str">
        <f t="shared" si="6"/>
        <v>user-male.jpg</v>
      </c>
      <c r="U149" t="str">
        <f t="shared" si="7"/>
        <v>(335,'andmar2300', 'pswandmar2300', 'André Diogo Garcia Maia', 'Masculino', '2000-07-28', 'Estrada das Laranjeiras', '2300-228', 'Tomar', 'Utente', 'Portuguesa', 'Bilhete de Identidade', '38077000', '498097562', '842070775', '918544897', 'andmar2300@sapo.pt', 'user-male.jpg'),</v>
      </c>
      <c r="V149" t="str">
        <f t="shared" si="8"/>
        <v>(335),</v>
      </c>
    </row>
    <row r="150" spans="1:22" x14ac:dyDescent="0.25">
      <c r="A150">
        <v>336</v>
      </c>
      <c r="B150" t="s">
        <v>3300</v>
      </c>
      <c r="C150" t="s">
        <v>3301</v>
      </c>
      <c r="D150" t="s">
        <v>3302</v>
      </c>
      <c r="E150" t="s">
        <v>66</v>
      </c>
      <c r="F150" s="7">
        <v>29002</v>
      </c>
      <c r="G150" t="s">
        <v>232</v>
      </c>
      <c r="H150" t="s">
        <v>3303</v>
      </c>
      <c r="I150" t="s">
        <v>211</v>
      </c>
      <c r="J150" t="s">
        <v>3727</v>
      </c>
      <c r="K150" t="s">
        <v>225</v>
      </c>
      <c r="L150" t="s">
        <v>265</v>
      </c>
      <c r="M150" t="s">
        <v>3304</v>
      </c>
      <c r="N150" t="s">
        <v>3305</v>
      </c>
      <c r="O150" t="s">
        <v>3306</v>
      </c>
      <c r="P150" t="s">
        <v>3307</v>
      </c>
      <c r="Q150" t="s">
        <v>3308</v>
      </c>
      <c r="R150" t="str">
        <f t="shared" si="6"/>
        <v>user-female.jpg</v>
      </c>
      <c r="U150" t="str">
        <f t="shared" si="7"/>
        <v>(336,'fraboa1990', 'pswfraboa1990', 'Francisca Miguel Campos Almeida', 'Feminino', '1979-05-27', 'Rua Garrett', '1990-703', 'Lisboa', 'Utente', 'Portuguesa', 'Bilhete de Identidade', '78587402', '928730837', '869494064', '925271864', 'fraboa1990@sapo.pt', 'user-female.jpg'),</v>
      </c>
      <c r="V150" t="str">
        <f t="shared" si="8"/>
        <v>(336),</v>
      </c>
    </row>
    <row r="151" spans="1:22" x14ac:dyDescent="0.25">
      <c r="A151">
        <v>337</v>
      </c>
      <c r="B151" t="s">
        <v>3309</v>
      </c>
      <c r="C151" t="s">
        <v>3310</v>
      </c>
      <c r="D151" t="s">
        <v>3311</v>
      </c>
      <c r="E151" t="s">
        <v>53</v>
      </c>
      <c r="F151" s="7">
        <v>41285</v>
      </c>
      <c r="G151" t="s">
        <v>229</v>
      </c>
      <c r="H151" t="s">
        <v>3312</v>
      </c>
      <c r="I151" t="s">
        <v>211</v>
      </c>
      <c r="J151" t="s">
        <v>3727</v>
      </c>
      <c r="K151" t="s">
        <v>225</v>
      </c>
      <c r="L151" t="s">
        <v>265</v>
      </c>
      <c r="M151" t="s">
        <v>3313</v>
      </c>
      <c r="N151" t="s">
        <v>3314</v>
      </c>
      <c r="O151" t="s">
        <v>3315</v>
      </c>
      <c r="P151" t="s">
        <v>3316</v>
      </c>
      <c r="Q151" t="s">
        <v>3317</v>
      </c>
      <c r="R151" t="str">
        <f t="shared" si="6"/>
        <v>user-male.jpg</v>
      </c>
      <c r="U151" t="str">
        <f t="shared" si="7"/>
        <v>(337,'fraboa1749', 'pswfraboa1749', 'Francisco Pedro Monteiro Teixeira', 'Masculino', '2013-01-11', 'Rua Cidade de Bolama', '1749-633', 'Lisboa', 'Utente', 'Portuguesa', 'Bilhete de Identidade', '26903560', '887856633', '357934667', '918748526', 'fraboa1749@gmail.com', 'user-male.jpg'),</v>
      </c>
      <c r="V151" t="str">
        <f t="shared" si="8"/>
        <v>(337),</v>
      </c>
    </row>
    <row r="152" spans="1:22" x14ac:dyDescent="0.25">
      <c r="A152">
        <v>338</v>
      </c>
      <c r="B152" t="s">
        <v>3318</v>
      </c>
      <c r="C152" t="s">
        <v>3319</v>
      </c>
      <c r="D152" t="s">
        <v>3320</v>
      </c>
      <c r="E152" t="s">
        <v>53</v>
      </c>
      <c r="F152" s="7">
        <v>27590</v>
      </c>
      <c r="G152" t="s">
        <v>261</v>
      </c>
      <c r="H152" t="s">
        <v>3321</v>
      </c>
      <c r="I152" t="s">
        <v>221</v>
      </c>
      <c r="J152" t="s">
        <v>3727</v>
      </c>
      <c r="K152" t="s">
        <v>225</v>
      </c>
      <c r="L152" t="s">
        <v>265</v>
      </c>
      <c r="M152" t="s">
        <v>3322</v>
      </c>
      <c r="N152" t="s">
        <v>3323</v>
      </c>
      <c r="O152" t="s">
        <v>3324</v>
      </c>
      <c r="P152" t="s">
        <v>3325</v>
      </c>
      <c r="Q152" t="s">
        <v>3326</v>
      </c>
      <c r="R152" t="str">
        <f t="shared" si="6"/>
        <v>user-male.jpg</v>
      </c>
      <c r="U152" t="str">
        <f t="shared" si="7"/>
        <v>(338,'josica2825', 'pswjosica2825', 'José Francisco Fonseca Teixeira', 'Masculino', '1975-07-15', 'Rua do Carmo', '2825-063', 'Costa de Caparica', 'Utente', 'Portuguesa', 'Bilhete de Identidade', '15106038', '243683277', '126197354', '920564550', 'josica2825@gmail.com', 'user-male.jpg'),</v>
      </c>
      <c r="V152" t="str">
        <f t="shared" si="8"/>
        <v>(338),</v>
      </c>
    </row>
    <row r="153" spans="1:22" x14ac:dyDescent="0.25">
      <c r="A153">
        <v>339</v>
      </c>
      <c r="B153" t="s">
        <v>321</v>
      </c>
      <c r="C153" t="s">
        <v>322</v>
      </c>
      <c r="D153" t="s">
        <v>3327</v>
      </c>
      <c r="E153" t="s">
        <v>53</v>
      </c>
      <c r="F153" s="7">
        <v>30972</v>
      </c>
      <c r="G153" t="s">
        <v>245</v>
      </c>
      <c r="H153" t="s">
        <v>3328</v>
      </c>
      <c r="I153" t="s">
        <v>211</v>
      </c>
      <c r="J153" t="s">
        <v>3727</v>
      </c>
      <c r="K153" t="s">
        <v>225</v>
      </c>
      <c r="L153" t="s">
        <v>265</v>
      </c>
      <c r="M153" t="s">
        <v>3329</v>
      </c>
      <c r="N153" t="s">
        <v>3330</v>
      </c>
      <c r="O153" t="s">
        <v>3331</v>
      </c>
      <c r="P153" t="s">
        <v>3332</v>
      </c>
      <c r="Q153" t="s">
        <v>3333</v>
      </c>
      <c r="R153" t="str">
        <f t="shared" si="6"/>
        <v>user-male.jpg</v>
      </c>
      <c r="U153" t="str">
        <f t="shared" si="7"/>
        <v>(339,'tomboa1449', 'pswtomboa1449', 'Tomás Martim Morais Nascimento', 'Masculino', '1984-10-17', 'Rua do Comércio', '1449-549', 'Lisboa', 'Utente', 'Portuguesa', 'Bilhete de Identidade', '38520440', '268028542', '608685107', '922109990', 'tomboa1449@sapo.pt', 'user-male.jpg'),</v>
      </c>
      <c r="V153" t="str">
        <f t="shared" si="8"/>
        <v>(339),</v>
      </c>
    </row>
    <row r="154" spans="1:22" x14ac:dyDescent="0.25">
      <c r="A154">
        <v>340</v>
      </c>
      <c r="B154" t="s">
        <v>3334</v>
      </c>
      <c r="C154" t="s">
        <v>3335</v>
      </c>
      <c r="D154" t="s">
        <v>3336</v>
      </c>
      <c r="E154" t="s">
        <v>53</v>
      </c>
      <c r="F154" s="7">
        <v>9540</v>
      </c>
      <c r="G154" t="s">
        <v>247</v>
      </c>
      <c r="H154" t="s">
        <v>3337</v>
      </c>
      <c r="I154" t="s">
        <v>211</v>
      </c>
      <c r="J154" t="s">
        <v>3727</v>
      </c>
      <c r="K154" t="s">
        <v>225</v>
      </c>
      <c r="L154" t="s">
        <v>265</v>
      </c>
      <c r="M154" t="s">
        <v>3338</v>
      </c>
      <c r="N154" t="s">
        <v>3339</v>
      </c>
      <c r="O154" t="s">
        <v>3340</v>
      </c>
      <c r="P154" t="s">
        <v>3341</v>
      </c>
      <c r="Q154" t="s">
        <v>3342</v>
      </c>
      <c r="R154" t="str">
        <f t="shared" si="6"/>
        <v>user-male.jpg</v>
      </c>
      <c r="U154" t="str">
        <f t="shared" si="7"/>
        <v>(340,'marboa1998', 'pswmarboa1998', 'Marco Maria Morais Vicente', 'Masculino', '1926-02-12', 'Rua Ferreira Lapa', '1998-506', 'Lisboa', 'Utente', 'Portuguesa', 'Bilhete de Identidade', '82548278', '579014785', '148503876', '919883820', 'marboa1998@sapo.pt', 'user-male.jpg'),</v>
      </c>
      <c r="V154" t="str">
        <f t="shared" si="8"/>
        <v>(340),</v>
      </c>
    </row>
    <row r="155" spans="1:22" x14ac:dyDescent="0.25">
      <c r="A155">
        <v>341</v>
      </c>
      <c r="B155" t="s">
        <v>3343</v>
      </c>
      <c r="C155" t="s">
        <v>3344</v>
      </c>
      <c r="D155" t="s">
        <v>3345</v>
      </c>
      <c r="E155" t="s">
        <v>53</v>
      </c>
      <c r="F155" s="7">
        <v>9785</v>
      </c>
      <c r="G155" t="s">
        <v>257</v>
      </c>
      <c r="H155" t="s">
        <v>3346</v>
      </c>
      <c r="I155" t="s">
        <v>216</v>
      </c>
      <c r="J155" t="s">
        <v>3727</v>
      </c>
      <c r="K155" t="s">
        <v>225</v>
      </c>
      <c r="L155" t="s">
        <v>265</v>
      </c>
      <c r="M155" t="s">
        <v>3347</v>
      </c>
      <c r="N155" t="s">
        <v>3348</v>
      </c>
      <c r="O155" t="s">
        <v>3349</v>
      </c>
      <c r="P155" t="s">
        <v>3350</v>
      </c>
      <c r="Q155" t="s">
        <v>3351</v>
      </c>
      <c r="R155" t="str">
        <f t="shared" si="6"/>
        <v>user-male.jpg</v>
      </c>
      <c r="U155" t="str">
        <f t="shared" si="7"/>
        <v>(341,'mariro2830', 'pswmariro2830', 'Marco Gabriel Garcia Batista', 'Masculino', '1926-10-15', 'Rua do Sol a Santana', '2830-501', 'Barreiro', 'Utente', 'Portuguesa', 'Bilhete de Identidade', '24247996', '620969272', '872559092', '928789478', 'mariro2830@outlook.com', 'user-male.jpg'),</v>
      </c>
      <c r="V155" t="str">
        <f t="shared" si="8"/>
        <v>(341),</v>
      </c>
    </row>
    <row r="156" spans="1:22" x14ac:dyDescent="0.25">
      <c r="A156">
        <v>342</v>
      </c>
      <c r="B156" t="s">
        <v>298</v>
      </c>
      <c r="C156" t="s">
        <v>299</v>
      </c>
      <c r="D156" t="s">
        <v>3352</v>
      </c>
      <c r="E156" t="s">
        <v>53</v>
      </c>
      <c r="F156" s="7">
        <v>26847</v>
      </c>
      <c r="G156" t="s">
        <v>245</v>
      </c>
      <c r="H156" t="s">
        <v>3353</v>
      </c>
      <c r="I156" t="s">
        <v>222</v>
      </c>
      <c r="J156" t="s">
        <v>3727</v>
      </c>
      <c r="K156" t="s">
        <v>225</v>
      </c>
      <c r="L156" t="s">
        <v>265</v>
      </c>
      <c r="M156" t="s">
        <v>3354</v>
      </c>
      <c r="N156" t="s">
        <v>3355</v>
      </c>
      <c r="O156" t="s">
        <v>3356</v>
      </c>
      <c r="P156" t="s">
        <v>3357</v>
      </c>
      <c r="Q156" t="s">
        <v>300</v>
      </c>
      <c r="R156" t="str">
        <f t="shared" si="6"/>
        <v>user-male.jpg</v>
      </c>
      <c r="U156" t="str">
        <f t="shared" si="7"/>
        <v>(342,'rodnto2334', 'pswrodnto2334', 'Rodrigo Pedro Freitas Almeida', 'Masculino', '1973-07-02', 'Rua do Comércio', '2334-211', 'Entroncamento', 'Utente', 'Portuguesa', 'Bilhete de Identidade', '30144429', '876217971', '139435797', '934445942', 'rodnto2334@sapo.pt', 'user-male.jpg'),</v>
      </c>
      <c r="V156" t="str">
        <f t="shared" si="8"/>
        <v>(342),</v>
      </c>
    </row>
    <row r="157" spans="1:22" x14ac:dyDescent="0.25">
      <c r="A157">
        <v>343</v>
      </c>
      <c r="B157" t="s">
        <v>3358</v>
      </c>
      <c r="C157" t="s">
        <v>3359</v>
      </c>
      <c r="D157" t="s">
        <v>3360</v>
      </c>
      <c r="E157" t="s">
        <v>53</v>
      </c>
      <c r="F157" s="7">
        <v>44029</v>
      </c>
      <c r="G157" t="s">
        <v>241</v>
      </c>
      <c r="H157" t="s">
        <v>3361</v>
      </c>
      <c r="I157" t="s">
        <v>211</v>
      </c>
      <c r="J157" t="s">
        <v>3727</v>
      </c>
      <c r="K157" t="s">
        <v>225</v>
      </c>
      <c r="L157" t="s">
        <v>265</v>
      </c>
      <c r="M157" t="s">
        <v>3362</v>
      </c>
      <c r="N157" t="s">
        <v>3363</v>
      </c>
      <c r="O157" t="s">
        <v>3364</v>
      </c>
      <c r="P157" t="s">
        <v>3365</v>
      </c>
      <c r="Q157" t="s">
        <v>3366</v>
      </c>
      <c r="R157" t="str">
        <f t="shared" si="6"/>
        <v>user-male.jpg</v>
      </c>
      <c r="U157" t="str">
        <f t="shared" si="7"/>
        <v>(343,'gabboa1649', 'pswgabboa1649', 'Gabriel João Lourenço Soares', 'Masculino', '2020-07-17', 'Rua da Prata', '1649-341', 'Lisboa', 'Utente', 'Portuguesa', 'Bilhete de Identidade', '82553228', '510436820', '491608450', '968362311', 'gabboa1649@gmail.com', 'user-male.jpg'),</v>
      </c>
      <c r="V157" t="str">
        <f t="shared" si="8"/>
        <v>(343),</v>
      </c>
    </row>
    <row r="158" spans="1:22" x14ac:dyDescent="0.25">
      <c r="A158">
        <v>344</v>
      </c>
      <c r="B158" t="s">
        <v>3367</v>
      </c>
      <c r="C158" t="s">
        <v>3368</v>
      </c>
      <c r="D158" t="s">
        <v>3369</v>
      </c>
      <c r="E158" t="s">
        <v>66</v>
      </c>
      <c r="F158" s="7">
        <v>11043</v>
      </c>
      <c r="G158" t="s">
        <v>243</v>
      </c>
      <c r="H158" t="s">
        <v>3370</v>
      </c>
      <c r="I158" t="s">
        <v>210</v>
      </c>
      <c r="J158" t="s">
        <v>3727</v>
      </c>
      <c r="K158" t="s">
        <v>225</v>
      </c>
      <c r="L158" t="s">
        <v>265</v>
      </c>
      <c r="M158" t="s">
        <v>3371</v>
      </c>
      <c r="N158" t="s">
        <v>3372</v>
      </c>
      <c r="O158" t="s">
        <v>3373</v>
      </c>
      <c r="P158" t="s">
        <v>3374</v>
      </c>
      <c r="Q158" t="s">
        <v>3375</v>
      </c>
      <c r="R158" t="str">
        <f t="shared" si="6"/>
        <v>user-female.jpg</v>
      </c>
      <c r="U158" t="str">
        <f t="shared" si="7"/>
        <v>(344,'danora2650', 'pswdanora2650', 'Daniela Mariana Araújo Simões', 'Feminino', '1930-03-26', 'Rua Roberto Duarte Silva', '2650-924', 'Amadora', 'Utente', 'Portuguesa', 'Bilhete de Identidade', '14726570', '215812825', '958905017', '914540452', 'danora2650@outlook.com', 'user-female.jpg'),</v>
      </c>
      <c r="V158" t="str">
        <f t="shared" si="8"/>
        <v>(344),</v>
      </c>
    </row>
    <row r="159" spans="1:22" x14ac:dyDescent="0.25">
      <c r="A159">
        <v>345</v>
      </c>
      <c r="B159" t="s">
        <v>309</v>
      </c>
      <c r="C159" t="s">
        <v>310</v>
      </c>
      <c r="D159" t="s">
        <v>3376</v>
      </c>
      <c r="E159" t="s">
        <v>53</v>
      </c>
      <c r="F159" s="7">
        <v>28184</v>
      </c>
      <c r="G159" t="s">
        <v>257</v>
      </c>
      <c r="H159" t="s">
        <v>3377</v>
      </c>
      <c r="I159" t="s">
        <v>213</v>
      </c>
      <c r="J159" t="s">
        <v>3727</v>
      </c>
      <c r="K159" t="s">
        <v>225</v>
      </c>
      <c r="L159" t="s">
        <v>265</v>
      </c>
      <c r="M159" t="s">
        <v>3378</v>
      </c>
      <c r="N159" t="s">
        <v>3379</v>
      </c>
      <c r="O159" t="s">
        <v>3380</v>
      </c>
      <c r="P159" t="s">
        <v>3381</v>
      </c>
      <c r="Q159" t="s">
        <v>311</v>
      </c>
      <c r="R159" t="str">
        <f t="shared" si="6"/>
        <v>user-male.jpg</v>
      </c>
      <c r="U159" t="str">
        <f t="shared" si="7"/>
        <v>(345,'brufra2640', 'pswbrufra2640', 'Bruno Catarina Tavares Reis', 'Masculino', '1977-02-28', 'Rua do Sol a Santana', '2640-587', 'Mafra', 'Utente', 'Portuguesa', 'Bilhete de Identidade', '76396255', '768635761', '136961662', '939152914', 'brufra2640@sapo.pt', 'user-male.jpg'),</v>
      </c>
      <c r="V159" t="str">
        <f t="shared" si="8"/>
        <v>(345),</v>
      </c>
    </row>
    <row r="160" spans="1:22" x14ac:dyDescent="0.25">
      <c r="A160">
        <v>346</v>
      </c>
      <c r="B160" t="s">
        <v>3382</v>
      </c>
      <c r="C160" t="s">
        <v>3383</v>
      </c>
      <c r="D160" t="s">
        <v>3384</v>
      </c>
      <c r="E160" t="s">
        <v>66</v>
      </c>
      <c r="F160" s="7">
        <v>20148</v>
      </c>
      <c r="G160" t="s">
        <v>229</v>
      </c>
      <c r="H160" t="s">
        <v>3385</v>
      </c>
      <c r="I160" t="s">
        <v>202</v>
      </c>
      <c r="J160" t="s">
        <v>3727</v>
      </c>
      <c r="K160" t="s">
        <v>225</v>
      </c>
      <c r="L160" t="s">
        <v>265</v>
      </c>
      <c r="M160" t="s">
        <v>3386</v>
      </c>
      <c r="N160" t="s">
        <v>3387</v>
      </c>
      <c r="O160" t="s">
        <v>3388</v>
      </c>
      <c r="P160" t="s">
        <v>3389</v>
      </c>
      <c r="Q160" t="s">
        <v>3390</v>
      </c>
      <c r="R160" t="str">
        <f t="shared" si="6"/>
        <v>user-female.jpg</v>
      </c>
      <c r="U160" t="str">
        <f t="shared" si="7"/>
        <v>(346,'sofmar2300', 'pswsofmar2300', 'Sofia Inês Morais Carneiro', 'Feminino', '1955-02-28', 'Rua Cidade de Bolama', '2300-035', 'Tomar', 'Utente', 'Portuguesa', 'Bilhete de Identidade', '54093210', '857975014', '237287578', '922334287', 'sofmar2300@sapo.pt', 'user-female.jpg'),</v>
      </c>
      <c r="V160" t="str">
        <f t="shared" si="8"/>
        <v>(346),</v>
      </c>
    </row>
    <row r="161" spans="1:22" x14ac:dyDescent="0.25">
      <c r="A161">
        <v>347</v>
      </c>
      <c r="B161" t="s">
        <v>307</v>
      </c>
      <c r="C161" t="s">
        <v>308</v>
      </c>
      <c r="D161" t="s">
        <v>3391</v>
      </c>
      <c r="E161" t="s">
        <v>53</v>
      </c>
      <c r="F161" s="7">
        <v>40822</v>
      </c>
      <c r="G161" t="s">
        <v>253</v>
      </c>
      <c r="H161" t="s">
        <v>3392</v>
      </c>
      <c r="I161" t="s">
        <v>211</v>
      </c>
      <c r="J161" t="s">
        <v>3727</v>
      </c>
      <c r="K161" t="s">
        <v>225</v>
      </c>
      <c r="L161" t="s">
        <v>265</v>
      </c>
      <c r="M161" t="s">
        <v>3393</v>
      </c>
      <c r="N161" t="s">
        <v>3394</v>
      </c>
      <c r="O161" t="s">
        <v>3395</v>
      </c>
      <c r="P161" t="s">
        <v>3396</v>
      </c>
      <c r="Q161" t="s">
        <v>3397</v>
      </c>
      <c r="R161" t="str">
        <f t="shared" si="6"/>
        <v>user-male.jpg</v>
      </c>
      <c r="U161" t="str">
        <f t="shared" si="7"/>
        <v>(347,'marboa1959', 'pswmarboa1959', 'Martim Martim Leal Machado', 'Masculino', '2011-10-06', 'Rua de São Mamede', '1959-682', 'Lisboa', 'Utente', 'Portuguesa', 'Bilhete de Identidade', '13612070', '482351255', '139786096', '933056386', 'marboa1959@gmail.com', 'user-male.jpg'),</v>
      </c>
      <c r="V161" t="str">
        <f t="shared" si="8"/>
        <v>(347),</v>
      </c>
    </row>
    <row r="162" spans="1:22" x14ac:dyDescent="0.25">
      <c r="A162">
        <v>348</v>
      </c>
      <c r="B162" t="s">
        <v>3398</v>
      </c>
      <c r="C162" t="s">
        <v>3399</v>
      </c>
      <c r="D162" t="s">
        <v>3400</v>
      </c>
      <c r="E162" t="s">
        <v>53</v>
      </c>
      <c r="F162" s="7">
        <v>24061</v>
      </c>
      <c r="G162" t="s">
        <v>244</v>
      </c>
      <c r="H162" t="s">
        <v>3401</v>
      </c>
      <c r="I162" t="s">
        <v>211</v>
      </c>
      <c r="J162" t="s">
        <v>3727</v>
      </c>
      <c r="K162" t="s">
        <v>225</v>
      </c>
      <c r="L162" t="s">
        <v>265</v>
      </c>
      <c r="M162" t="s">
        <v>3402</v>
      </c>
      <c r="N162" t="s">
        <v>3403</v>
      </c>
      <c r="O162" t="s">
        <v>3404</v>
      </c>
      <c r="P162" t="s">
        <v>3405</v>
      </c>
      <c r="Q162" t="s">
        <v>3406</v>
      </c>
      <c r="R162" t="str">
        <f t="shared" si="6"/>
        <v>user-male.jpg</v>
      </c>
      <c r="U162" t="str">
        <f t="shared" si="7"/>
        <v>(348,'fraboa1249', 'pswfraboa1249', 'Francisco Ricardo Assunção Cruz', 'Masculino', '1965-11-15', 'Rua da Betesga', '1249-927', 'Lisboa', 'Utente', 'Portuguesa', 'Bilhete de Identidade', '85401867', '386337695', '226283996', '921758053', 'fraboa1249@outlook.com', 'user-male.jpg'),</v>
      </c>
      <c r="V162" t="str">
        <f t="shared" si="8"/>
        <v>(348),</v>
      </c>
    </row>
    <row r="163" spans="1:22" x14ac:dyDescent="0.25">
      <c r="A163">
        <v>349</v>
      </c>
      <c r="B163" t="s">
        <v>3407</v>
      </c>
      <c r="C163" t="s">
        <v>3408</v>
      </c>
      <c r="D163" t="s">
        <v>3409</v>
      </c>
      <c r="E163" t="s">
        <v>66</v>
      </c>
      <c r="F163" s="7">
        <v>29777</v>
      </c>
      <c r="G163" t="s">
        <v>262</v>
      </c>
      <c r="H163" t="s">
        <v>3410</v>
      </c>
      <c r="I163" t="s">
        <v>211</v>
      </c>
      <c r="J163" t="s">
        <v>3727</v>
      </c>
      <c r="K163" t="s">
        <v>225</v>
      </c>
      <c r="L163" t="s">
        <v>265</v>
      </c>
      <c r="M163" t="s">
        <v>3411</v>
      </c>
      <c r="N163" t="s">
        <v>3412</v>
      </c>
      <c r="O163" t="s">
        <v>3413</v>
      </c>
      <c r="P163" t="s">
        <v>3414</v>
      </c>
      <c r="Q163" t="s">
        <v>3415</v>
      </c>
      <c r="R163" t="str">
        <f t="shared" si="6"/>
        <v>user-female.jpg</v>
      </c>
      <c r="U163" t="str">
        <f t="shared" si="7"/>
        <v>(349,'carboa1050', 'pswcarboa1050', 'Carolina Duarte Brito Batista', 'Feminino', '1981-07-10', 'Estrada Militar', '1050-024', 'Lisboa', 'Utente', 'Portuguesa', 'Bilhete de Identidade', '21695229', '626022855', '691590096', '929118412', 'carboa1050@gmail.com', 'user-female.jpg'),</v>
      </c>
      <c r="V163" t="str">
        <f t="shared" si="8"/>
        <v>(349),</v>
      </c>
    </row>
    <row r="164" spans="1:22" x14ac:dyDescent="0.25">
      <c r="A164">
        <v>350</v>
      </c>
      <c r="B164" t="s">
        <v>3416</v>
      </c>
      <c r="C164" t="s">
        <v>3417</v>
      </c>
      <c r="D164" t="s">
        <v>3418</v>
      </c>
      <c r="E164" t="s">
        <v>66</v>
      </c>
      <c r="F164" s="7">
        <v>22302</v>
      </c>
      <c r="G164" t="s">
        <v>262</v>
      </c>
      <c r="H164" t="s">
        <v>3419</v>
      </c>
      <c r="I164" t="s">
        <v>202</v>
      </c>
      <c r="J164" t="s">
        <v>3727</v>
      </c>
      <c r="K164" t="s">
        <v>225</v>
      </c>
      <c r="L164" t="s">
        <v>265</v>
      </c>
      <c r="M164" t="s">
        <v>3420</v>
      </c>
      <c r="N164" t="s">
        <v>3421</v>
      </c>
      <c r="O164" t="s">
        <v>3422</v>
      </c>
      <c r="P164" t="s">
        <v>3423</v>
      </c>
      <c r="Q164" t="s">
        <v>3424</v>
      </c>
      <c r="R164" t="str">
        <f t="shared" si="6"/>
        <v>user-female.jpg</v>
      </c>
      <c r="U164" t="str">
        <f t="shared" si="7"/>
        <v>(350,'lurmar2300', 'pswlurmar2300', 'Lurdes Beatriz Gaspar Cruz', 'Feminino', '1961-01-21', 'Estrada Militar', '2300-629', 'Tomar', 'Utente', 'Portuguesa', 'Bilhete de Identidade', '41835796', '560728028', '906371644', '923292473', 'lurmar2300@gmail.com', 'user-female.jpg'),</v>
      </c>
      <c r="V164" t="str">
        <f t="shared" si="8"/>
        <v>(350),</v>
      </c>
    </row>
    <row r="165" spans="1:22" x14ac:dyDescent="0.25">
      <c r="A165">
        <v>351</v>
      </c>
      <c r="B165" t="s">
        <v>312</v>
      </c>
      <c r="C165" t="s">
        <v>313</v>
      </c>
      <c r="D165" t="s">
        <v>3425</v>
      </c>
      <c r="E165" t="s">
        <v>66</v>
      </c>
      <c r="F165" s="7">
        <v>44419</v>
      </c>
      <c r="G165" t="s">
        <v>262</v>
      </c>
      <c r="H165" t="s">
        <v>3426</v>
      </c>
      <c r="I165" t="s">
        <v>211</v>
      </c>
      <c r="J165" t="s">
        <v>3727</v>
      </c>
      <c r="K165" t="s">
        <v>225</v>
      </c>
      <c r="L165" t="s">
        <v>265</v>
      </c>
      <c r="M165" t="s">
        <v>3427</v>
      </c>
      <c r="N165" t="s">
        <v>3428</v>
      </c>
      <c r="O165" t="s">
        <v>3429</v>
      </c>
      <c r="P165" t="s">
        <v>3430</v>
      </c>
      <c r="Q165" t="s">
        <v>314</v>
      </c>
      <c r="R165" t="str">
        <f t="shared" si="6"/>
        <v>user-female.jpg</v>
      </c>
      <c r="U165" t="str">
        <f t="shared" si="7"/>
        <v>(351,'fraboa1150', 'pswfraboa1150', 'Francisca Joana Mendes Assunção', 'Feminino', '2021-08-11', 'Estrada Militar', '1150-690', 'Lisboa', 'Utente', 'Portuguesa', 'Bilhete de Identidade', '57770306', '134704839', '940130126', '924129660', 'fraboa1150@sapo.pt', 'user-female.jpg'),</v>
      </c>
      <c r="V165" t="str">
        <f t="shared" si="8"/>
        <v>(351),</v>
      </c>
    </row>
    <row r="166" spans="1:22" x14ac:dyDescent="0.25">
      <c r="A166">
        <v>352</v>
      </c>
      <c r="B166" t="s">
        <v>288</v>
      </c>
      <c r="C166" t="s">
        <v>289</v>
      </c>
      <c r="D166" t="s">
        <v>3431</v>
      </c>
      <c r="E166" t="s">
        <v>66</v>
      </c>
      <c r="F166" s="7">
        <v>11307</v>
      </c>
      <c r="G166" t="s">
        <v>227</v>
      </c>
      <c r="H166" t="s">
        <v>3432</v>
      </c>
      <c r="I166" t="s">
        <v>217</v>
      </c>
      <c r="J166" t="s">
        <v>3727</v>
      </c>
      <c r="K166" t="s">
        <v>225</v>
      </c>
      <c r="L166" t="s">
        <v>265</v>
      </c>
      <c r="M166" t="s">
        <v>3433</v>
      </c>
      <c r="N166" t="s">
        <v>3434</v>
      </c>
      <c r="O166" t="s">
        <v>3435</v>
      </c>
      <c r="P166" t="s">
        <v>3436</v>
      </c>
      <c r="Q166" t="s">
        <v>290</v>
      </c>
      <c r="R166" t="str">
        <f t="shared" si="6"/>
        <v>user-female.jpg</v>
      </c>
      <c r="U166" t="str">
        <f t="shared" si="7"/>
        <v>(352,'marica2829', 'pswmarica2829', 'Mariana Afonso Amaral Maia', 'Feminino', '1930-12-15', 'Rua dos Bacalhoeiros', '2829-608', 'Caparica', 'Utente', 'Portuguesa', 'Bilhete de Identidade', '75799241', '138395777', '752519491', '965490039', 'marica2829@gmail.com', 'user-female.jpg'),</v>
      </c>
      <c r="V166" t="str">
        <f t="shared" si="8"/>
        <v>(352),</v>
      </c>
    </row>
    <row r="167" spans="1:22" x14ac:dyDescent="0.25">
      <c r="A167">
        <v>353</v>
      </c>
      <c r="B167" t="s">
        <v>3437</v>
      </c>
      <c r="C167" t="s">
        <v>3438</v>
      </c>
      <c r="D167" t="s">
        <v>3439</v>
      </c>
      <c r="E167" t="s">
        <v>66</v>
      </c>
      <c r="F167" s="7">
        <v>31637</v>
      </c>
      <c r="G167" t="s">
        <v>259</v>
      </c>
      <c r="H167" t="s">
        <v>3440</v>
      </c>
      <c r="I167" t="s">
        <v>206</v>
      </c>
      <c r="J167" t="s">
        <v>3727</v>
      </c>
      <c r="K167" t="s">
        <v>225</v>
      </c>
      <c r="L167" t="s">
        <v>265</v>
      </c>
      <c r="M167" t="s">
        <v>3441</v>
      </c>
      <c r="N167" t="s">
        <v>3442</v>
      </c>
      <c r="O167" t="s">
        <v>3443</v>
      </c>
      <c r="P167" t="s">
        <v>3444</v>
      </c>
      <c r="Q167" t="s">
        <v>3445</v>
      </c>
      <c r="R167" t="str">
        <f t="shared" si="6"/>
        <v>user-female.jpg</v>
      </c>
      <c r="U167" t="str">
        <f t="shared" si="7"/>
        <v>(353,'vertra2710', 'pswvertra2710', 'Vera Matilde Magalhães Araújo', 'Feminino', '1986-08-13', 'Rua da Alfândega', '2710-797', 'Sintra', 'Utente', 'Portuguesa', 'Bilhete de Identidade', '92466696', '735251925', '868202358', '921008688', 'vertra2710@outlook.com', 'user-female.jpg'),</v>
      </c>
      <c r="V167" t="str">
        <f t="shared" si="8"/>
        <v>(353),</v>
      </c>
    </row>
    <row r="168" spans="1:22" x14ac:dyDescent="0.25">
      <c r="A168">
        <v>354</v>
      </c>
      <c r="B168" t="s">
        <v>3446</v>
      </c>
      <c r="C168" t="s">
        <v>3447</v>
      </c>
      <c r="D168" t="s">
        <v>3448</v>
      </c>
      <c r="E168" t="s">
        <v>53</v>
      </c>
      <c r="F168" s="7">
        <v>42520</v>
      </c>
      <c r="G168" t="s">
        <v>233</v>
      </c>
      <c r="H168" t="s">
        <v>3449</v>
      </c>
      <c r="I168" t="s">
        <v>201</v>
      </c>
      <c r="J168" t="s">
        <v>3727</v>
      </c>
      <c r="K168" t="s">
        <v>225</v>
      </c>
      <c r="L168" t="s">
        <v>265</v>
      </c>
      <c r="M168" t="s">
        <v>3450</v>
      </c>
      <c r="N168" t="s">
        <v>3451</v>
      </c>
      <c r="O168" t="s">
        <v>3452</v>
      </c>
      <c r="P168" t="s">
        <v>3453</v>
      </c>
      <c r="Q168" t="s">
        <v>3454</v>
      </c>
      <c r="R168" t="str">
        <f t="shared" si="6"/>
        <v>user-male.jpg</v>
      </c>
      <c r="U168" t="str">
        <f t="shared" si="7"/>
        <v>(354,'luiria2415', 'pswluiria2415', 'Luís Miguel Anjos Lourenço', 'Masculino', '2016-05-30', 'Rua dos Heróis de Quionga', '2415-543', 'Leiria', 'Utente', 'Portuguesa', 'Bilhete de Identidade', '73487242', '863244150', '129490663', '931363668', 'luiria2415@sapo.pt', 'user-male.jpg'),</v>
      </c>
      <c r="V168" t="str">
        <f t="shared" si="8"/>
        <v>(354),</v>
      </c>
    </row>
    <row r="169" spans="1:22" x14ac:dyDescent="0.25">
      <c r="A169">
        <v>355</v>
      </c>
      <c r="B169" t="s">
        <v>2942</v>
      </c>
      <c r="C169" t="s">
        <v>2943</v>
      </c>
      <c r="D169" t="s">
        <v>3455</v>
      </c>
      <c r="E169" t="s">
        <v>53</v>
      </c>
      <c r="F169" s="7">
        <v>37371</v>
      </c>
      <c r="G169" t="s">
        <v>247</v>
      </c>
      <c r="H169" t="s">
        <v>3456</v>
      </c>
      <c r="I169" t="s">
        <v>210</v>
      </c>
      <c r="J169" t="s">
        <v>3727</v>
      </c>
      <c r="K169" t="s">
        <v>225</v>
      </c>
      <c r="L169" t="s">
        <v>265</v>
      </c>
      <c r="M169" t="s">
        <v>3457</v>
      </c>
      <c r="N169" t="s">
        <v>3458</v>
      </c>
      <c r="O169" t="s">
        <v>3459</v>
      </c>
      <c r="P169" t="s">
        <v>3460</v>
      </c>
      <c r="Q169" t="s">
        <v>3461</v>
      </c>
      <c r="R169" t="str">
        <f t="shared" si="6"/>
        <v>user-male.jpg</v>
      </c>
      <c r="U169" t="str">
        <f t="shared" si="7"/>
        <v>(355,'tiaora2724', 'pswtiaora2724', 'Tiago Catarina Ramos Tavares', 'Masculino', '2002-04-25', 'Rua Ferreira Lapa', '2724-900', 'Amadora', 'Utente', 'Portuguesa', 'Bilhete de Identidade', '27845509', '650161031', '635314060', '911461461', 'tiaora2724@gmail.com', 'user-male.jpg'),</v>
      </c>
      <c r="V169" t="str">
        <f t="shared" si="8"/>
        <v>(355),</v>
      </c>
    </row>
    <row r="170" spans="1:22" x14ac:dyDescent="0.25">
      <c r="A170">
        <v>356</v>
      </c>
      <c r="B170" t="s">
        <v>3462</v>
      </c>
      <c r="C170" t="s">
        <v>3463</v>
      </c>
      <c r="D170" t="s">
        <v>3464</v>
      </c>
      <c r="E170" t="s">
        <v>53</v>
      </c>
      <c r="F170" s="7">
        <v>19794</v>
      </c>
      <c r="G170" t="s">
        <v>233</v>
      </c>
      <c r="H170" t="s">
        <v>3465</v>
      </c>
      <c r="I170" t="s">
        <v>213</v>
      </c>
      <c r="J170" t="s">
        <v>3727</v>
      </c>
      <c r="K170" t="s">
        <v>225</v>
      </c>
      <c r="L170" t="s">
        <v>265</v>
      </c>
      <c r="M170" t="s">
        <v>3466</v>
      </c>
      <c r="N170" t="s">
        <v>3467</v>
      </c>
      <c r="O170" t="s">
        <v>3468</v>
      </c>
      <c r="P170" t="s">
        <v>3469</v>
      </c>
      <c r="Q170" t="s">
        <v>3470</v>
      </c>
      <c r="R170" t="str">
        <f t="shared" si="6"/>
        <v>user-male.jpg</v>
      </c>
      <c r="U170" t="str">
        <f t="shared" si="7"/>
        <v>(356,'afofra2640', 'pswafofra2640', 'Afonso Ana Cunha Neto', 'Masculino', '1954-03-11', 'Rua dos Heróis de Quionga', '2640-865', 'Mafra', 'Utente', 'Portuguesa', 'Bilhete de Identidade', '77408671', '331839745', '584608094', '919527433', 'afofra2640@outlook.com', 'user-male.jpg'),</v>
      </c>
      <c r="V170" t="str">
        <f t="shared" si="8"/>
        <v>(356),</v>
      </c>
    </row>
    <row r="171" spans="1:22" x14ac:dyDescent="0.25">
      <c r="A171">
        <v>357</v>
      </c>
      <c r="B171" t="s">
        <v>3471</v>
      </c>
      <c r="C171" t="s">
        <v>3472</v>
      </c>
      <c r="D171" t="s">
        <v>3473</v>
      </c>
      <c r="E171" t="s">
        <v>66</v>
      </c>
      <c r="F171" s="7">
        <v>18245</v>
      </c>
      <c r="G171" t="s">
        <v>259</v>
      </c>
      <c r="H171" t="s">
        <v>3474</v>
      </c>
      <c r="I171" t="s">
        <v>222</v>
      </c>
      <c r="J171" t="s">
        <v>3727</v>
      </c>
      <c r="K171" t="s">
        <v>225</v>
      </c>
      <c r="L171" t="s">
        <v>265</v>
      </c>
      <c r="M171" t="s">
        <v>3475</v>
      </c>
      <c r="N171" t="s">
        <v>3476</v>
      </c>
      <c r="O171" t="s">
        <v>3477</v>
      </c>
      <c r="P171" t="s">
        <v>3478</v>
      </c>
      <c r="Q171" t="s">
        <v>3479</v>
      </c>
      <c r="R171" t="str">
        <f t="shared" si="6"/>
        <v>user-female.jpg</v>
      </c>
      <c r="U171" t="str">
        <f t="shared" si="7"/>
        <v>(357,'dannto2330', 'pswdannto2330', 'Daniela André Garcia Gonçalves', 'Feminino', '1949-12-13', 'Rua da Alfândega', '2330-898', 'Entroncamento', 'Utente', 'Portuguesa', 'Bilhete de Identidade', '15401283', '944072870', '731660523', '969868132', 'dannto2330@outlook.com', 'user-female.jpg'),</v>
      </c>
      <c r="V171" t="str">
        <f t="shared" si="8"/>
        <v>(357),</v>
      </c>
    </row>
    <row r="172" spans="1:22" x14ac:dyDescent="0.25">
      <c r="A172">
        <v>358</v>
      </c>
      <c r="B172" t="s">
        <v>3480</v>
      </c>
      <c r="C172" t="s">
        <v>3481</v>
      </c>
      <c r="D172" t="s">
        <v>3482</v>
      </c>
      <c r="E172" t="s">
        <v>66</v>
      </c>
      <c r="F172" s="7">
        <v>36726</v>
      </c>
      <c r="G172" t="s">
        <v>248</v>
      </c>
      <c r="H172" t="s">
        <v>3483</v>
      </c>
      <c r="I172" t="s">
        <v>223</v>
      </c>
      <c r="J172" t="s">
        <v>3727</v>
      </c>
      <c r="K172" t="s">
        <v>225</v>
      </c>
      <c r="L172" t="s">
        <v>265</v>
      </c>
      <c r="M172" t="s">
        <v>3484</v>
      </c>
      <c r="N172" t="s">
        <v>3485</v>
      </c>
      <c r="O172" t="s">
        <v>3486</v>
      </c>
      <c r="P172" t="s">
        <v>3487</v>
      </c>
      <c r="Q172" t="s">
        <v>3488</v>
      </c>
      <c r="R172" t="str">
        <f t="shared" si="6"/>
        <v>user-female.jpg</v>
      </c>
      <c r="U172" t="str">
        <f t="shared" si="7"/>
        <v>(358,'beaira2655', 'pswbeaira2655', 'Beatriz Miguel Brito Alves', 'Feminino', '2000-07-19', 'Rua General Morais Sarmento', '2655-346', 'Ericeira', 'Utente', 'Portuguesa', 'Bilhete de Identidade', '79152012', '962832827', '152835754', '910936628', 'beaira2655@sapo.pt', 'user-female.jpg'),</v>
      </c>
      <c r="V172" t="str">
        <f t="shared" si="8"/>
        <v>(358),</v>
      </c>
    </row>
    <row r="173" spans="1:22" x14ac:dyDescent="0.25">
      <c r="A173">
        <v>359</v>
      </c>
      <c r="B173" t="s">
        <v>3206</v>
      </c>
      <c r="C173" t="s">
        <v>3207</v>
      </c>
      <c r="D173" t="s">
        <v>3489</v>
      </c>
      <c r="E173" t="s">
        <v>66</v>
      </c>
      <c r="F173" s="7">
        <v>21504</v>
      </c>
      <c r="G173" t="s">
        <v>237</v>
      </c>
      <c r="H173" t="s">
        <v>3490</v>
      </c>
      <c r="I173" t="s">
        <v>205</v>
      </c>
      <c r="J173" t="s">
        <v>3727</v>
      </c>
      <c r="K173" t="s">
        <v>225</v>
      </c>
      <c r="L173" t="s">
        <v>265</v>
      </c>
      <c r="M173" t="s">
        <v>3491</v>
      </c>
      <c r="N173" t="s">
        <v>3492</v>
      </c>
      <c r="O173" t="s">
        <v>3493</v>
      </c>
      <c r="P173" t="s">
        <v>3494</v>
      </c>
      <c r="Q173" t="s">
        <v>3495</v>
      </c>
      <c r="R173" t="str">
        <f t="shared" si="6"/>
        <v>user-female.jpg</v>
      </c>
      <c r="U173" t="str">
        <f t="shared" si="7"/>
        <v>(359,'marrem2009', 'pswmarrem2009', 'Maria Francisco Miranda Freitas', 'Feminino', '1958-11-15', 'Calçada Marquês de Abrantes', '2009-728', 'Santarém', 'Utente', 'Portuguesa', 'Bilhete de Identidade', '77737448', '736876740', '219966719', '967963484', 'marrem2009@sapo.pt', 'user-female.jpg'),</v>
      </c>
      <c r="V173" t="str">
        <f t="shared" si="8"/>
        <v>(359),</v>
      </c>
    </row>
    <row r="174" spans="1:22" x14ac:dyDescent="0.25">
      <c r="A174">
        <v>360</v>
      </c>
      <c r="B174" t="s">
        <v>3496</v>
      </c>
      <c r="C174" t="s">
        <v>3497</v>
      </c>
      <c r="D174" t="s">
        <v>3498</v>
      </c>
      <c r="E174" t="s">
        <v>66</v>
      </c>
      <c r="F174" s="7">
        <v>20070</v>
      </c>
      <c r="G174" t="s">
        <v>232</v>
      </c>
      <c r="H174" t="s">
        <v>3499</v>
      </c>
      <c r="I174" t="s">
        <v>210</v>
      </c>
      <c r="J174" t="s">
        <v>3727</v>
      </c>
      <c r="K174" t="s">
        <v>225</v>
      </c>
      <c r="L174" t="s">
        <v>265</v>
      </c>
      <c r="M174" t="s">
        <v>3500</v>
      </c>
      <c r="N174" t="s">
        <v>3501</v>
      </c>
      <c r="O174" t="s">
        <v>3502</v>
      </c>
      <c r="P174" t="s">
        <v>3503</v>
      </c>
      <c r="Q174" t="s">
        <v>3504</v>
      </c>
      <c r="R174" t="str">
        <f t="shared" si="6"/>
        <v>user-female.jpg</v>
      </c>
      <c r="U174" t="str">
        <f t="shared" si="7"/>
        <v>(360,'lurora2720', 'pswlurora2720', 'Lurdes Mariana Campos Rocha', 'Feminino', '1954-12-12', 'Rua Garrett', '2720-373', 'Amadora', 'Utente', 'Portuguesa', 'Bilhete de Identidade', '87295880', '284789307', '823543222', '915128827', 'lurora2720@outlook.com', 'user-female.jpg'),</v>
      </c>
      <c r="V174" t="str">
        <f t="shared" si="8"/>
        <v>(360),</v>
      </c>
    </row>
    <row r="175" spans="1:22" x14ac:dyDescent="0.25">
      <c r="A175">
        <v>361</v>
      </c>
      <c r="B175" t="s">
        <v>3505</v>
      </c>
      <c r="C175" t="s">
        <v>3506</v>
      </c>
      <c r="D175" t="s">
        <v>3507</v>
      </c>
      <c r="E175" t="s">
        <v>53</v>
      </c>
      <c r="F175" s="7">
        <v>24653</v>
      </c>
      <c r="G175" t="s">
        <v>256</v>
      </c>
      <c r="H175" t="s">
        <v>3508</v>
      </c>
      <c r="I175" t="s">
        <v>223</v>
      </c>
      <c r="J175" t="s">
        <v>3727</v>
      </c>
      <c r="K175" t="s">
        <v>225</v>
      </c>
      <c r="L175" t="s">
        <v>265</v>
      </c>
      <c r="M175" t="s">
        <v>3509</v>
      </c>
      <c r="N175" t="s">
        <v>3510</v>
      </c>
      <c r="O175" t="s">
        <v>3511</v>
      </c>
      <c r="P175" t="s">
        <v>3512</v>
      </c>
      <c r="Q175" t="s">
        <v>3513</v>
      </c>
      <c r="R175" t="str">
        <f t="shared" si="6"/>
        <v>user-male.jpg</v>
      </c>
      <c r="U175" t="str">
        <f t="shared" si="7"/>
        <v>(361,'dioira2659', 'pswdioira2659', 'Diogo Bruno Faria Martins', 'Masculino', '1967-06-30', 'Travessa de São João da Praça', '2659-338', 'Ericeira', 'Utente', 'Portuguesa', 'Bilhete de Identidade', '47359122', '588241287', '858883588', '928093395', 'dioira2659@outlook.com', 'user-male.jpg'),</v>
      </c>
      <c r="V175" t="str">
        <f t="shared" si="8"/>
        <v>(361),</v>
      </c>
    </row>
    <row r="176" spans="1:22" x14ac:dyDescent="0.25">
      <c r="A176">
        <v>362</v>
      </c>
      <c r="B176" t="s">
        <v>2720</v>
      </c>
      <c r="C176" t="s">
        <v>2721</v>
      </c>
      <c r="D176" t="s">
        <v>3514</v>
      </c>
      <c r="E176" t="s">
        <v>53</v>
      </c>
      <c r="F176" s="7">
        <v>43783</v>
      </c>
      <c r="G176" t="s">
        <v>246</v>
      </c>
      <c r="H176" t="s">
        <v>3515</v>
      </c>
      <c r="I176" t="s">
        <v>211</v>
      </c>
      <c r="J176" t="s">
        <v>3727</v>
      </c>
      <c r="K176" t="s">
        <v>225</v>
      </c>
      <c r="L176" t="s">
        <v>265</v>
      </c>
      <c r="M176" t="s">
        <v>3516</v>
      </c>
      <c r="N176" t="s">
        <v>3517</v>
      </c>
      <c r="O176" t="s">
        <v>3518</v>
      </c>
      <c r="P176" t="s">
        <v>3519</v>
      </c>
      <c r="Q176" t="s">
        <v>3520</v>
      </c>
      <c r="R176" t="str">
        <f t="shared" si="6"/>
        <v>user-male.jpg</v>
      </c>
      <c r="U176" t="str">
        <f t="shared" si="7"/>
        <v>(362,'bruboa1300', 'pswbruboa1300', 'Bruno Ricardo Raposo Mendes', 'Masculino', '2019-11-14', 'Rua do Guarda-Mor', '1300-996', 'Lisboa', 'Utente', 'Portuguesa', 'Bilhete de Identidade', '63044475', '373847645', '979482838', '939964079', 'bruboa1300@gmail.com', 'user-male.jpg'),</v>
      </c>
      <c r="V176" t="str">
        <f t="shared" si="8"/>
        <v>(362),</v>
      </c>
    </row>
    <row r="177" spans="1:22" x14ac:dyDescent="0.25">
      <c r="A177">
        <v>363</v>
      </c>
      <c r="B177" t="s">
        <v>3521</v>
      </c>
      <c r="C177" t="s">
        <v>3522</v>
      </c>
      <c r="D177" t="s">
        <v>3523</v>
      </c>
      <c r="E177" t="s">
        <v>53</v>
      </c>
      <c r="F177" s="7">
        <v>36076</v>
      </c>
      <c r="G177" t="s">
        <v>226</v>
      </c>
      <c r="H177" t="s">
        <v>3524</v>
      </c>
      <c r="I177" t="s">
        <v>211</v>
      </c>
      <c r="J177" t="s">
        <v>3727</v>
      </c>
      <c r="K177" t="s">
        <v>225</v>
      </c>
      <c r="L177" t="s">
        <v>265</v>
      </c>
      <c r="M177" t="s">
        <v>3525</v>
      </c>
      <c r="N177" t="s">
        <v>3526</v>
      </c>
      <c r="O177" t="s">
        <v>3527</v>
      </c>
      <c r="P177" t="s">
        <v>3528</v>
      </c>
      <c r="Q177" t="s">
        <v>3529</v>
      </c>
      <c r="R177" t="str">
        <f t="shared" si="6"/>
        <v>user-male.jpg</v>
      </c>
      <c r="U177" t="str">
        <f t="shared" si="7"/>
        <v>(363,'fraboa1999', 'pswfraboa1999', 'Francisco Rodrigo Jesus Reis', 'Masculino', '1998-10-08', 'Rua do Arsenal', '1999-410', 'Lisboa', 'Utente', 'Portuguesa', 'Bilhete de Identidade', '78482005', '250188399', '903454666', '913870790', 'fraboa1999@outlook.com', 'user-male.jpg'),</v>
      </c>
      <c r="V177" t="str">
        <f t="shared" si="8"/>
        <v>(363),</v>
      </c>
    </row>
    <row r="178" spans="1:22" x14ac:dyDescent="0.25">
      <c r="A178">
        <v>364</v>
      </c>
      <c r="B178" t="s">
        <v>3530</v>
      </c>
      <c r="C178" t="s">
        <v>3531</v>
      </c>
      <c r="D178" t="s">
        <v>3532</v>
      </c>
      <c r="E178" t="s">
        <v>66</v>
      </c>
      <c r="F178" s="7">
        <v>25872</v>
      </c>
      <c r="G178" t="s">
        <v>257</v>
      </c>
      <c r="H178" t="s">
        <v>3533</v>
      </c>
      <c r="I178" t="s">
        <v>207</v>
      </c>
      <c r="J178" t="s">
        <v>3727</v>
      </c>
      <c r="K178" t="s">
        <v>225</v>
      </c>
      <c r="L178" t="s">
        <v>265</v>
      </c>
      <c r="M178" t="s">
        <v>3534</v>
      </c>
      <c r="N178" t="s">
        <v>3535</v>
      </c>
      <c r="O178" t="s">
        <v>3536</v>
      </c>
      <c r="P178" t="s">
        <v>3537</v>
      </c>
      <c r="Q178" t="s">
        <v>3538</v>
      </c>
      <c r="R178" s="3" t="s">
        <v>3732</v>
      </c>
      <c r="U178" t="str">
        <f t="shared" si="7"/>
        <v>(364,'sofluz2749', 'pswsofluz2749', 'Sofia Beatriz Pinheiro Vicente', 'Feminino', '1970-10-31', 'Rua do Sol a Santana', '2749-057', 'Queluz', 'Utente', 'Portuguesa', 'Bilhete de Identidade', '70863311', '520574637', '820278934', '925845040', 'sofluz2749@gmail.com', 'sofluz2749.jpg'),</v>
      </c>
      <c r="V178" t="str">
        <f t="shared" si="8"/>
        <v>(364),</v>
      </c>
    </row>
    <row r="179" spans="1:22" x14ac:dyDescent="0.25">
      <c r="A179">
        <v>365</v>
      </c>
      <c r="B179" t="s">
        <v>3539</v>
      </c>
      <c r="C179" t="s">
        <v>3540</v>
      </c>
      <c r="D179" t="s">
        <v>3541</v>
      </c>
      <c r="E179" t="s">
        <v>53</v>
      </c>
      <c r="F179" s="7">
        <v>30608</v>
      </c>
      <c r="G179" t="s">
        <v>236</v>
      </c>
      <c r="H179" t="s">
        <v>3542</v>
      </c>
      <c r="I179" t="s">
        <v>213</v>
      </c>
      <c r="J179" t="s">
        <v>3727</v>
      </c>
      <c r="K179" t="s">
        <v>225</v>
      </c>
      <c r="L179" t="s">
        <v>265</v>
      </c>
      <c r="M179" t="s">
        <v>3543</v>
      </c>
      <c r="N179" t="s">
        <v>3544</v>
      </c>
      <c r="O179" t="s">
        <v>3545</v>
      </c>
      <c r="P179" t="s">
        <v>3546</v>
      </c>
      <c r="Q179" t="s">
        <v>3547</v>
      </c>
      <c r="R179" t="str">
        <f t="shared" si="6"/>
        <v>user-male.jpg</v>
      </c>
      <c r="U179" t="str">
        <f t="shared" si="7"/>
        <v>(365,'sanfra2640', 'pswsanfra2640', 'Santiago Joana Campos Assunção', 'Masculino', '1983-10-19', 'Rua da Madalena', '2640-952', 'Mafra', 'Utente', 'Portuguesa', 'Bilhete de Identidade', '13418101', '780390983', '774694371', '924301383', 'sanfra2640@sapo.pt', 'user-male.jpg'),</v>
      </c>
      <c r="V179" t="str">
        <f t="shared" si="8"/>
        <v>(365),</v>
      </c>
    </row>
    <row r="180" spans="1:22" x14ac:dyDescent="0.25">
      <c r="A180">
        <v>366</v>
      </c>
      <c r="B180" t="s">
        <v>3548</v>
      </c>
      <c r="C180" t="s">
        <v>3549</v>
      </c>
      <c r="D180" t="s">
        <v>3550</v>
      </c>
      <c r="E180" t="s">
        <v>53</v>
      </c>
      <c r="F180" s="7">
        <v>22927</v>
      </c>
      <c r="G180" t="s">
        <v>241</v>
      </c>
      <c r="H180" t="s">
        <v>3551</v>
      </c>
      <c r="I180" t="s">
        <v>211</v>
      </c>
      <c r="J180" t="s">
        <v>3727</v>
      </c>
      <c r="K180" t="s">
        <v>225</v>
      </c>
      <c r="L180" t="s">
        <v>265</v>
      </c>
      <c r="M180" t="s">
        <v>3552</v>
      </c>
      <c r="N180" t="s">
        <v>3553</v>
      </c>
      <c r="O180" t="s">
        <v>3554</v>
      </c>
      <c r="P180" t="s">
        <v>3555</v>
      </c>
      <c r="Q180" t="s">
        <v>3556</v>
      </c>
      <c r="R180" t="str">
        <f t="shared" si="6"/>
        <v>user-male.jpg</v>
      </c>
      <c r="U180" t="str">
        <f t="shared" si="7"/>
        <v>(366,'tiaboa1950', 'pswtiaboa1950', 'Tiago José Simões Pereira', 'Masculino', '1962-10-08', 'Rua da Prata', '1950-109', 'Lisboa', 'Utente', 'Portuguesa', 'Bilhete de Identidade', '46832074', '517068814', '129474672', '926269580', 'tiaboa1950@outlook.com', 'user-male.jpg'),</v>
      </c>
      <c r="V180" t="str">
        <f t="shared" si="8"/>
        <v>(366),</v>
      </c>
    </row>
    <row r="181" spans="1:22" x14ac:dyDescent="0.25">
      <c r="A181">
        <v>367</v>
      </c>
      <c r="B181" t="s">
        <v>318</v>
      </c>
      <c r="C181" t="s">
        <v>319</v>
      </c>
      <c r="D181" t="s">
        <v>3557</v>
      </c>
      <c r="E181" t="s">
        <v>66</v>
      </c>
      <c r="F181" s="7">
        <v>42761</v>
      </c>
      <c r="G181" t="s">
        <v>229</v>
      </c>
      <c r="H181" t="s">
        <v>3558</v>
      </c>
      <c r="I181" t="s">
        <v>217</v>
      </c>
      <c r="J181" t="s">
        <v>3727</v>
      </c>
      <c r="K181" t="s">
        <v>225</v>
      </c>
      <c r="L181" t="s">
        <v>265</v>
      </c>
      <c r="M181" t="s">
        <v>3559</v>
      </c>
      <c r="N181" t="s">
        <v>3560</v>
      </c>
      <c r="O181" t="s">
        <v>3561</v>
      </c>
      <c r="P181" t="s">
        <v>3562</v>
      </c>
      <c r="Q181" t="s">
        <v>320</v>
      </c>
      <c r="R181" t="str">
        <f t="shared" si="6"/>
        <v>user-female.jpg</v>
      </c>
      <c r="U181" t="str">
        <f t="shared" si="7"/>
        <v>(367,'marica2825', 'pswmarica2825', 'Mariana Inês Miranda Raposo', 'Feminino', '2017-01-26', 'Rua Cidade de Bolama', '2825-893', 'Caparica', 'Utente', 'Portuguesa', 'Bilhete de Identidade', '74093696', '750768789', '300490378', '914219222', 'marica2825@sapo.pt', 'user-female.jpg'),</v>
      </c>
      <c r="V181" t="str">
        <f t="shared" si="8"/>
        <v>(367),</v>
      </c>
    </row>
    <row r="182" spans="1:22" x14ac:dyDescent="0.25">
      <c r="A182">
        <v>368</v>
      </c>
      <c r="B182" t="s">
        <v>3563</v>
      </c>
      <c r="C182" t="s">
        <v>3564</v>
      </c>
      <c r="D182" t="s">
        <v>3565</v>
      </c>
      <c r="E182" t="s">
        <v>53</v>
      </c>
      <c r="F182" s="7">
        <v>13720</v>
      </c>
      <c r="G182" t="s">
        <v>242</v>
      </c>
      <c r="H182" t="s">
        <v>3566</v>
      </c>
      <c r="I182" t="s">
        <v>209</v>
      </c>
      <c r="J182" t="s">
        <v>3727</v>
      </c>
      <c r="K182" t="s">
        <v>225</v>
      </c>
      <c r="L182" t="s">
        <v>265</v>
      </c>
      <c r="M182" t="s">
        <v>3567</v>
      </c>
      <c r="N182" t="s">
        <v>3568</v>
      </c>
      <c r="O182" t="s">
        <v>3569</v>
      </c>
      <c r="P182" t="s">
        <v>3570</v>
      </c>
      <c r="Q182" t="s">
        <v>3571</v>
      </c>
      <c r="R182" t="str">
        <f t="shared" si="6"/>
        <v>user-male.jpg</v>
      </c>
      <c r="U182" t="str">
        <f t="shared" si="7"/>
        <v>(368,'bruada2804', 'pswbruada2804', 'Bruno Ana Martins Carneiro', 'Masculino', '1937-07-24', 'Avenida Ressano Garcia', '2804-824', 'Almada', 'Utente', 'Portuguesa', 'Bilhete de Identidade', '88189559', '928802555', '401170147', '928802716', 'bruada2804@gmail.com', 'user-male.jpg'),</v>
      </c>
      <c r="V182" t="str">
        <f t="shared" si="8"/>
        <v>(368),</v>
      </c>
    </row>
    <row r="183" spans="1:22" x14ac:dyDescent="0.25">
      <c r="A183">
        <v>369</v>
      </c>
      <c r="B183" t="s">
        <v>3572</v>
      </c>
      <c r="C183" t="s">
        <v>3573</v>
      </c>
      <c r="D183" t="s">
        <v>3574</v>
      </c>
      <c r="E183" t="s">
        <v>53</v>
      </c>
      <c r="F183" s="7">
        <v>31325</v>
      </c>
      <c r="G183" t="s">
        <v>250</v>
      </c>
      <c r="H183" t="s">
        <v>3575</v>
      </c>
      <c r="I183" t="s">
        <v>211</v>
      </c>
      <c r="J183" t="s">
        <v>3727</v>
      </c>
      <c r="K183" t="s">
        <v>225</v>
      </c>
      <c r="L183" t="s">
        <v>265</v>
      </c>
      <c r="M183" t="s">
        <v>3576</v>
      </c>
      <c r="N183" t="s">
        <v>3577</v>
      </c>
      <c r="O183" t="s">
        <v>3578</v>
      </c>
      <c r="P183" t="s">
        <v>3579</v>
      </c>
      <c r="Q183" t="s">
        <v>3580</v>
      </c>
      <c r="R183" t="str">
        <f t="shared" si="6"/>
        <v>user-male.jpg</v>
      </c>
      <c r="U183" t="str">
        <f t="shared" si="7"/>
        <v>(369,'pedboa1249', 'pswpedboa1249', 'Pedro João Anjos Borges', 'Masculino', '1985-10-05', 'Rua Nova do Almada', '1249-920', 'Lisboa', 'Utente', 'Portuguesa', 'Bilhete de Identidade', '16540879', '694482780', '604117473', '969142926', 'pedboa1249@gmail.com', 'user-male.jpg'),</v>
      </c>
      <c r="V183" t="str">
        <f t="shared" si="8"/>
        <v>(369),</v>
      </c>
    </row>
    <row r="184" spans="1:22" x14ac:dyDescent="0.25">
      <c r="A184">
        <v>370</v>
      </c>
      <c r="B184" t="s">
        <v>2102</v>
      </c>
      <c r="C184" t="s">
        <v>2103</v>
      </c>
      <c r="D184" t="s">
        <v>3581</v>
      </c>
      <c r="E184" t="s">
        <v>66</v>
      </c>
      <c r="F184" s="7">
        <v>21600</v>
      </c>
      <c r="G184" t="s">
        <v>234</v>
      </c>
      <c r="H184" t="s">
        <v>3582</v>
      </c>
      <c r="I184" t="s">
        <v>209</v>
      </c>
      <c r="J184" t="s">
        <v>3727</v>
      </c>
      <c r="K184" t="s">
        <v>225</v>
      </c>
      <c r="L184" t="s">
        <v>265</v>
      </c>
      <c r="M184" t="s">
        <v>3583</v>
      </c>
      <c r="N184" t="s">
        <v>3584</v>
      </c>
      <c r="O184" t="s">
        <v>3585</v>
      </c>
      <c r="P184" t="s">
        <v>3586</v>
      </c>
      <c r="Q184" t="s">
        <v>3587</v>
      </c>
      <c r="R184" t="str">
        <f t="shared" si="6"/>
        <v>user-female.jpg</v>
      </c>
      <c r="U184" t="str">
        <f t="shared" si="7"/>
        <v>(370,'ineada2810', 'pswineada2810', 'Inês Sofia Andrade Cardoso', 'Feminino', '1959-02-19', 'Rua do Instituto Bacteriológico', '2810-673', 'Almada', 'Utente', 'Portuguesa', 'Bilhete de Identidade', '30864273', '735223878', '220095402', '916537462', 'ineada2810@gmail.com', 'user-female.jpg'),</v>
      </c>
      <c r="V184" t="str">
        <f t="shared" si="8"/>
        <v>(370),</v>
      </c>
    </row>
    <row r="185" spans="1:22" x14ac:dyDescent="0.25">
      <c r="A185">
        <v>371</v>
      </c>
      <c r="B185" t="s">
        <v>3588</v>
      </c>
      <c r="C185" t="s">
        <v>3589</v>
      </c>
      <c r="D185" t="s">
        <v>3590</v>
      </c>
      <c r="E185" t="s">
        <v>66</v>
      </c>
      <c r="F185" s="7">
        <v>42111</v>
      </c>
      <c r="G185" t="s">
        <v>235</v>
      </c>
      <c r="H185" t="s">
        <v>3591</v>
      </c>
      <c r="I185" t="s">
        <v>211</v>
      </c>
      <c r="J185" t="s">
        <v>3727</v>
      </c>
      <c r="K185" t="s">
        <v>225</v>
      </c>
      <c r="L185" t="s">
        <v>265</v>
      </c>
      <c r="M185" t="s">
        <v>3592</v>
      </c>
      <c r="N185" t="s">
        <v>3593</v>
      </c>
      <c r="O185" t="s">
        <v>3594</v>
      </c>
      <c r="P185" t="s">
        <v>3595</v>
      </c>
      <c r="Q185" t="s">
        <v>3596</v>
      </c>
      <c r="R185" t="str">
        <f t="shared" si="6"/>
        <v>user-female.jpg</v>
      </c>
      <c r="U185" t="str">
        <f t="shared" si="7"/>
        <v>(371,'catboa1950', 'pswcatboa1950', 'Catarina João Lima Batista', 'Feminino', '2015-04-17', 'Estrada das Laranjeiras', '1950-886', 'Lisboa', 'Utente', 'Portuguesa', 'Bilhete de Identidade', '87274841', '218888076', '550368583', '935237900', 'catboa1950@gmail.com', 'user-female.jpg'),</v>
      </c>
      <c r="V185" t="str">
        <f t="shared" si="8"/>
        <v>(371),</v>
      </c>
    </row>
    <row r="186" spans="1:22" x14ac:dyDescent="0.25">
      <c r="A186">
        <v>372</v>
      </c>
      <c r="B186" t="s">
        <v>3597</v>
      </c>
      <c r="C186" t="s">
        <v>3598</v>
      </c>
      <c r="D186" t="s">
        <v>3599</v>
      </c>
      <c r="E186" t="s">
        <v>66</v>
      </c>
      <c r="F186" s="7">
        <v>30832</v>
      </c>
      <c r="G186" t="s">
        <v>259</v>
      </c>
      <c r="H186" t="s">
        <v>3600</v>
      </c>
      <c r="I186" t="s">
        <v>204</v>
      </c>
      <c r="J186" t="s">
        <v>3727</v>
      </c>
      <c r="K186" t="s">
        <v>225</v>
      </c>
      <c r="L186" t="s">
        <v>265</v>
      </c>
      <c r="M186" t="s">
        <v>3601</v>
      </c>
      <c r="N186" t="s">
        <v>3602</v>
      </c>
      <c r="O186" t="s">
        <v>3603</v>
      </c>
      <c r="P186" t="s">
        <v>3604</v>
      </c>
      <c r="Q186" t="s">
        <v>3605</v>
      </c>
      <c r="R186" t="str">
        <f t="shared" si="6"/>
        <v>user-female.jpg</v>
      </c>
      <c r="U186" t="str">
        <f t="shared" si="7"/>
        <v>(372,'catras2560', 'pswcatras2560', 'Catarina Mariana Nogueira Castro', 'Feminino', '1984-05-30', 'Rua da Alfândega', '2560-290', 'Torres Vedras', 'Utente', 'Portuguesa', 'Bilhete de Identidade', '94628407', '649735823', '483294789', '965471535', 'catras2560@outlook.com', 'user-female.jpg'),</v>
      </c>
      <c r="V186" t="str">
        <f t="shared" si="8"/>
        <v>(372),</v>
      </c>
    </row>
    <row r="187" spans="1:22" x14ac:dyDescent="0.25">
      <c r="A187">
        <v>373</v>
      </c>
      <c r="B187" t="s">
        <v>3606</v>
      </c>
      <c r="C187" t="s">
        <v>3607</v>
      </c>
      <c r="D187" t="s">
        <v>3608</v>
      </c>
      <c r="E187" t="s">
        <v>53</v>
      </c>
      <c r="F187" s="7">
        <v>39033</v>
      </c>
      <c r="G187" t="s">
        <v>230</v>
      </c>
      <c r="H187" t="s">
        <v>3609</v>
      </c>
      <c r="I187" t="s">
        <v>211</v>
      </c>
      <c r="J187" t="s">
        <v>3727</v>
      </c>
      <c r="K187" t="s">
        <v>225</v>
      </c>
      <c r="L187" t="s">
        <v>265</v>
      </c>
      <c r="M187" t="s">
        <v>3610</v>
      </c>
      <c r="N187" t="s">
        <v>3611</v>
      </c>
      <c r="O187" t="s">
        <v>3612</v>
      </c>
      <c r="P187" t="s">
        <v>3613</v>
      </c>
      <c r="Q187" t="s">
        <v>3614</v>
      </c>
      <c r="R187" t="str">
        <f t="shared" si="6"/>
        <v>user-male.jpg</v>
      </c>
      <c r="U187" t="str">
        <f t="shared" si="7"/>
        <v>(373,'afoboa1049', 'pswafoboa1049', 'Afonso Francisco Brito Macedo', 'Masculino', '2006-11-12', 'Estrada da Circunvalação de Lisboa', '1049-086', 'Lisboa', 'Utente', 'Portuguesa', 'Bilhete de Identidade', '55580055', '999526192', '781241357', '920285032', 'afoboa1049@gmail.com', 'user-male.jpg'),</v>
      </c>
      <c r="V187" t="str">
        <f t="shared" si="8"/>
        <v>(373),</v>
      </c>
    </row>
    <row r="188" spans="1:22" x14ac:dyDescent="0.25">
      <c r="A188">
        <v>374</v>
      </c>
      <c r="B188" t="s">
        <v>3615</v>
      </c>
      <c r="C188" t="s">
        <v>3616</v>
      </c>
      <c r="D188" t="s">
        <v>3617</v>
      </c>
      <c r="E188" t="s">
        <v>66</v>
      </c>
      <c r="F188" s="7">
        <v>27447</v>
      </c>
      <c r="G188" t="s">
        <v>251</v>
      </c>
      <c r="H188" t="s">
        <v>3618</v>
      </c>
      <c r="I188" t="s">
        <v>211</v>
      </c>
      <c r="J188" t="s">
        <v>3727</v>
      </c>
      <c r="K188" t="s">
        <v>225</v>
      </c>
      <c r="L188" t="s">
        <v>265</v>
      </c>
      <c r="M188" t="s">
        <v>3619</v>
      </c>
      <c r="N188" t="s">
        <v>3620</v>
      </c>
      <c r="O188" t="s">
        <v>3621</v>
      </c>
      <c r="P188" t="s">
        <v>3622</v>
      </c>
      <c r="Q188" t="s">
        <v>3623</v>
      </c>
      <c r="R188" t="str">
        <f t="shared" si="6"/>
        <v>user-female.jpg</v>
      </c>
      <c r="U188" t="str">
        <f t="shared" si="7"/>
        <v>(374,'catboa1050', 'pswcatboa1050', 'Catarina Ana Oliveira Almeida', 'Feminino', '1975-02-22', 'Rua do Salitre', '1050-502', 'Lisboa', 'Utente', 'Portuguesa', 'Bilhete de Identidade', '28402659', '603277121', '816444751', '939089121', 'catboa1050@sapo.pt', 'user-female.jpg'),</v>
      </c>
      <c r="V188" t="str">
        <f t="shared" si="8"/>
        <v>(374),</v>
      </c>
    </row>
    <row r="189" spans="1:22" x14ac:dyDescent="0.25">
      <c r="A189">
        <v>375</v>
      </c>
      <c r="B189" t="s">
        <v>3624</v>
      </c>
      <c r="C189" t="s">
        <v>3625</v>
      </c>
      <c r="D189" t="s">
        <v>3626</v>
      </c>
      <c r="E189" t="s">
        <v>53</v>
      </c>
      <c r="F189" s="7">
        <v>19510</v>
      </c>
      <c r="G189" t="s">
        <v>244</v>
      </c>
      <c r="H189" t="s">
        <v>3627</v>
      </c>
      <c r="I189" t="s">
        <v>201</v>
      </c>
      <c r="J189" t="s">
        <v>3727</v>
      </c>
      <c r="K189" t="s">
        <v>225</v>
      </c>
      <c r="L189" t="s">
        <v>265</v>
      </c>
      <c r="M189" t="s">
        <v>3628</v>
      </c>
      <c r="N189" t="s">
        <v>3629</v>
      </c>
      <c r="O189" t="s">
        <v>3630</v>
      </c>
      <c r="P189" t="s">
        <v>3631</v>
      </c>
      <c r="Q189" t="s">
        <v>3632</v>
      </c>
      <c r="R189" t="str">
        <f t="shared" si="6"/>
        <v>user-male.jpg</v>
      </c>
      <c r="U189" t="str">
        <f t="shared" si="7"/>
        <v>(375,'sanria2415', 'pswsanria2415', 'Santiago Francisco Jesus Guerreiro', 'Masculino', '1953-05-31', 'Rua da Betesga', '2415-766', 'Leiria', 'Utente', 'Portuguesa', 'Bilhete de Identidade', '10030705', '175130611', '439709162', '968447369', 'sanria2415@outlook.com', 'user-male.jpg'),</v>
      </c>
      <c r="V189" t="str">
        <f t="shared" si="8"/>
        <v>(375),</v>
      </c>
    </row>
    <row r="190" spans="1:22" x14ac:dyDescent="0.25">
      <c r="A190">
        <v>376</v>
      </c>
      <c r="B190" t="s">
        <v>3633</v>
      </c>
      <c r="C190" t="s">
        <v>3634</v>
      </c>
      <c r="D190" t="s">
        <v>3635</v>
      </c>
      <c r="E190" t="s">
        <v>53</v>
      </c>
      <c r="F190" s="7">
        <v>35493</v>
      </c>
      <c r="G190" t="s">
        <v>260</v>
      </c>
      <c r="H190" t="s">
        <v>3636</v>
      </c>
      <c r="I190" t="s">
        <v>211</v>
      </c>
      <c r="J190" t="s">
        <v>3727</v>
      </c>
      <c r="K190" t="s">
        <v>225</v>
      </c>
      <c r="L190" t="s">
        <v>265</v>
      </c>
      <c r="M190" t="s">
        <v>3637</v>
      </c>
      <c r="N190" t="s">
        <v>3638</v>
      </c>
      <c r="O190" t="s">
        <v>3639</v>
      </c>
      <c r="P190" t="s">
        <v>3640</v>
      </c>
      <c r="Q190" t="s">
        <v>3641</v>
      </c>
      <c r="R190" t="str">
        <f t="shared" si="6"/>
        <v>user-male.jpg</v>
      </c>
      <c r="U190" t="str">
        <f t="shared" si="7"/>
        <v>(376,'gabboa1068', 'pswgabboa1068', 'Gabriel Mariana Alves Batista', 'Masculino', '1997-03-04', 'Rua Augusta', '1068-401', 'Lisboa', 'Utente', 'Portuguesa', 'Bilhete de Identidade', '25662799', '861404898', '753480671', '922347116', 'gabboa1068@outlook.com', 'user-male.jpg'),</v>
      </c>
      <c r="V190" t="str">
        <f t="shared" si="8"/>
        <v>(376),</v>
      </c>
    </row>
    <row r="191" spans="1:22" x14ac:dyDescent="0.25">
      <c r="A191">
        <v>377</v>
      </c>
      <c r="B191" t="s">
        <v>3642</v>
      </c>
      <c r="C191" t="s">
        <v>3643</v>
      </c>
      <c r="D191" t="s">
        <v>3644</v>
      </c>
      <c r="E191" t="s">
        <v>53</v>
      </c>
      <c r="F191" s="7">
        <v>40749</v>
      </c>
      <c r="G191" t="s">
        <v>234</v>
      </c>
      <c r="H191" t="s">
        <v>3645</v>
      </c>
      <c r="I191" t="s">
        <v>204</v>
      </c>
      <c r="J191" t="s">
        <v>3727</v>
      </c>
      <c r="K191" t="s">
        <v>225</v>
      </c>
      <c r="L191" t="s">
        <v>265</v>
      </c>
      <c r="M191" t="s">
        <v>3646</v>
      </c>
      <c r="N191" t="s">
        <v>3647</v>
      </c>
      <c r="O191" t="s">
        <v>3648</v>
      </c>
      <c r="P191" t="s">
        <v>3649</v>
      </c>
      <c r="Q191" t="s">
        <v>3650</v>
      </c>
      <c r="R191" t="str">
        <f t="shared" si="6"/>
        <v>user-male.jpg</v>
      </c>
      <c r="U191" t="str">
        <f t="shared" si="7"/>
        <v>(377,'pedras2560', 'pswpedras2560', 'Pedro Martim Leite Costa', 'Masculino', '2011-07-25', 'Rua do Instituto Bacteriológico', '2560-032', 'Torres Vedras', 'Utente', 'Portuguesa', 'Bilhete de Identidade', '11043736', '638792183', '537044970', '936679793', 'pedras2560@outlook.com', 'user-male.jpg'),</v>
      </c>
      <c r="V191" t="str">
        <f t="shared" si="8"/>
        <v>(377),</v>
      </c>
    </row>
    <row r="192" spans="1:22" x14ac:dyDescent="0.25">
      <c r="A192">
        <v>378</v>
      </c>
      <c r="B192" t="s">
        <v>3651</v>
      </c>
      <c r="C192" t="s">
        <v>3652</v>
      </c>
      <c r="D192" t="s">
        <v>3653</v>
      </c>
      <c r="E192" t="s">
        <v>66</v>
      </c>
      <c r="F192" s="7">
        <v>14252</v>
      </c>
      <c r="G192" t="s">
        <v>229</v>
      </c>
      <c r="H192" t="s">
        <v>3654</v>
      </c>
      <c r="I192" t="s">
        <v>211</v>
      </c>
      <c r="J192" t="s">
        <v>3727</v>
      </c>
      <c r="K192" t="s">
        <v>225</v>
      </c>
      <c r="L192" t="s">
        <v>265</v>
      </c>
      <c r="M192" t="s">
        <v>3655</v>
      </c>
      <c r="N192" t="s">
        <v>3656</v>
      </c>
      <c r="O192" t="s">
        <v>3657</v>
      </c>
      <c r="P192" t="s">
        <v>3658</v>
      </c>
      <c r="Q192" t="s">
        <v>3659</v>
      </c>
      <c r="R192" t="str">
        <f t="shared" si="6"/>
        <v>user-female.jpg</v>
      </c>
      <c r="U192" t="str">
        <f t="shared" si="7"/>
        <v>(378,'diaboa1149', 'pswdiaboa1149', 'Diana Daniela Rodrigues Machado', 'Feminino', '1939-01-07', 'Rua Cidade de Bolama', '1149-882', 'Lisboa', 'Utente', 'Portuguesa', 'Bilhete de Identidade', '68689576', '309977083', '880754714', '918013222', 'diaboa1149@sapo.pt', 'user-female.jpg'),</v>
      </c>
      <c r="V192" t="str">
        <f t="shared" si="8"/>
        <v>(378),</v>
      </c>
    </row>
    <row r="193" spans="1:22" x14ac:dyDescent="0.25">
      <c r="A193">
        <v>379</v>
      </c>
      <c r="B193" t="s">
        <v>3660</v>
      </c>
      <c r="C193" t="s">
        <v>3661</v>
      </c>
      <c r="D193" t="s">
        <v>3662</v>
      </c>
      <c r="E193" t="s">
        <v>66</v>
      </c>
      <c r="F193" s="7">
        <v>31720</v>
      </c>
      <c r="G193" t="s">
        <v>231</v>
      </c>
      <c r="H193" t="s">
        <v>3663</v>
      </c>
      <c r="I193" t="s">
        <v>209</v>
      </c>
      <c r="J193" t="s">
        <v>3727</v>
      </c>
      <c r="K193" t="s">
        <v>225</v>
      </c>
      <c r="L193" t="s">
        <v>265</v>
      </c>
      <c r="M193" t="s">
        <v>3664</v>
      </c>
      <c r="N193" t="s">
        <v>3665</v>
      </c>
      <c r="O193" t="s">
        <v>3666</v>
      </c>
      <c r="P193" t="s">
        <v>3667</v>
      </c>
      <c r="Q193" t="s">
        <v>3668</v>
      </c>
      <c r="R193" t="str">
        <f t="shared" si="6"/>
        <v>user-female.jpg</v>
      </c>
      <c r="U193" t="str">
        <f t="shared" si="7"/>
        <v>(379,'marada2810', 'pswmarada2810', 'Mariana Martim Reis Carneiro', 'Feminino', '1986-11-04', 'Rua dos Fanqueiros', '2810-499', 'Almada', 'Utente', 'Portuguesa', 'Bilhete de Identidade', '66498218', '563768317', '752205875', '920248595', 'marada2810@gmail.com', 'user-female.jpg'),</v>
      </c>
      <c r="V193" t="str">
        <f t="shared" si="8"/>
        <v>(379),</v>
      </c>
    </row>
    <row r="194" spans="1:22" x14ac:dyDescent="0.25">
      <c r="A194">
        <v>380</v>
      </c>
      <c r="B194" t="s">
        <v>3669</v>
      </c>
      <c r="C194" t="s">
        <v>3670</v>
      </c>
      <c r="D194" t="s">
        <v>3671</v>
      </c>
      <c r="E194" t="s">
        <v>66</v>
      </c>
      <c r="F194" s="7">
        <v>32584</v>
      </c>
      <c r="G194" t="s">
        <v>250</v>
      </c>
      <c r="H194" t="s">
        <v>3672</v>
      </c>
      <c r="I194" t="s">
        <v>211</v>
      </c>
      <c r="J194" t="s">
        <v>3727</v>
      </c>
      <c r="K194" t="s">
        <v>225</v>
      </c>
      <c r="L194" t="s">
        <v>265</v>
      </c>
      <c r="M194" t="s">
        <v>3673</v>
      </c>
      <c r="N194" t="s">
        <v>3674</v>
      </c>
      <c r="O194" t="s">
        <v>3675</v>
      </c>
      <c r="P194" t="s">
        <v>3676</v>
      </c>
      <c r="Q194" t="s">
        <v>3677</v>
      </c>
      <c r="R194" t="str">
        <f t="shared" si="6"/>
        <v>user-female.jpg</v>
      </c>
      <c r="U194" t="str">
        <f t="shared" si="7"/>
        <v>(380,'carboa1949', 'pswcarboa1949', 'Carolina Martim Reis Lourenço', 'Feminino', '1989-03-17', 'Rua Nova do Almada', '1949-719', 'Lisboa', 'Utente', 'Portuguesa', 'Bilhete de Identidade', '19911014', '225081273', '811899239', '912691503', 'carboa1949@sapo.pt', 'user-female.jpg'),</v>
      </c>
      <c r="V194" t="str">
        <f t="shared" si="8"/>
        <v>(380),</v>
      </c>
    </row>
    <row r="195" spans="1:22" x14ac:dyDescent="0.25">
      <c r="A195">
        <v>381</v>
      </c>
      <c r="B195" t="s">
        <v>3678</v>
      </c>
      <c r="C195" t="s">
        <v>3679</v>
      </c>
      <c r="D195" t="s">
        <v>3680</v>
      </c>
      <c r="E195" t="s">
        <v>66</v>
      </c>
      <c r="F195" s="7">
        <v>23808</v>
      </c>
      <c r="G195" t="s">
        <v>262</v>
      </c>
      <c r="H195" t="s">
        <v>3681</v>
      </c>
      <c r="I195" t="s">
        <v>222</v>
      </c>
      <c r="J195" t="s">
        <v>3727</v>
      </c>
      <c r="K195" t="s">
        <v>225</v>
      </c>
      <c r="L195" t="s">
        <v>265</v>
      </c>
      <c r="M195" t="s">
        <v>3682</v>
      </c>
      <c r="N195" t="s">
        <v>3683</v>
      </c>
      <c r="O195" t="s">
        <v>3684</v>
      </c>
      <c r="P195" t="s">
        <v>3685</v>
      </c>
      <c r="Q195" t="s">
        <v>3686</v>
      </c>
      <c r="R195" t="str">
        <f t="shared" ref="R195:R199" si="9">IF(E195="Feminino","user-female.jpg","user-male.jpg")</f>
        <v>user-female.jpg</v>
      </c>
      <c r="U195" t="str">
        <f t="shared" si="7"/>
        <v>(381,'ananto2330', 'pswananto2330', 'Ana Tiago Nascimento Azevedo', 'Feminino', '1965-03-07', 'Estrada Militar', '2330-740', 'Entroncamento', 'Utente', 'Portuguesa', 'Bilhete de Identidade', '16700050', '410114937', '612291302', '923966831', 'ananto2330@gmail.com', 'user-female.jpg'),</v>
      </c>
      <c r="V195" t="str">
        <f t="shared" si="8"/>
        <v>(381),</v>
      </c>
    </row>
    <row r="196" spans="1:22" x14ac:dyDescent="0.25">
      <c r="A196">
        <v>382</v>
      </c>
      <c r="B196" t="s">
        <v>3687</v>
      </c>
      <c r="C196" t="s">
        <v>3688</v>
      </c>
      <c r="D196" t="s">
        <v>3689</v>
      </c>
      <c r="E196" t="s">
        <v>53</v>
      </c>
      <c r="F196" s="7">
        <v>38168</v>
      </c>
      <c r="G196" t="s">
        <v>248</v>
      </c>
      <c r="H196" t="s">
        <v>3690</v>
      </c>
      <c r="I196" t="s">
        <v>211</v>
      </c>
      <c r="J196" t="s">
        <v>3727</v>
      </c>
      <c r="K196" t="s">
        <v>225</v>
      </c>
      <c r="L196" t="s">
        <v>265</v>
      </c>
      <c r="M196" t="s">
        <v>3691</v>
      </c>
      <c r="N196" t="s">
        <v>3692</v>
      </c>
      <c r="O196" t="s">
        <v>3693</v>
      </c>
      <c r="P196" t="s">
        <v>3694</v>
      </c>
      <c r="Q196" t="s">
        <v>3695</v>
      </c>
      <c r="R196" t="str">
        <f t="shared" si="9"/>
        <v>user-male.jpg</v>
      </c>
      <c r="U196" t="str">
        <f t="shared" ref="U196:U198" si="10">"(" &amp; A196 &amp;",'" &amp; B196 &amp; "', '" &amp; C196 &amp; "', '" &amp; D196 &amp; "', '" &amp; E196 &amp; "', '" &amp; TEXT(F196, "yyyy-mm-dd") &amp; "', '" &amp; G196 &amp; "', '" &amp; H196 &amp; "', '" &amp; I196 &amp; "', '" &amp; J196 &amp; "', '" &amp; K196 &amp; "', '" &amp; L196 &amp; "', '" &amp; M196 &amp; "', '" &amp; N196 &amp; "', '" &amp; O196 &amp; "', '" &amp; P196 &amp; "', '" &amp; Q196 &amp; "', '" &amp; R196 &amp; "'),"</f>
        <v>(382,'marboa1849', 'pswmarboa1849', 'Martim Ana Machado Raposo', 'Masculino', '2004-06-30', 'Rua General Morais Sarmento', '1849-417', 'Lisboa', 'Utente', 'Portuguesa', 'Bilhete de Identidade', '68286763', '466380166', '179861279', '918458486', 'marboa1849@sapo.pt', 'user-male.jpg'),</v>
      </c>
      <c r="V196" t="str">
        <f t="shared" ref="V196:V198" si="11">"(" &amp; A196 &amp;"),"</f>
        <v>(382),</v>
      </c>
    </row>
    <row r="197" spans="1:22" x14ac:dyDescent="0.25">
      <c r="A197">
        <v>383</v>
      </c>
      <c r="B197" t="s">
        <v>3696</v>
      </c>
      <c r="C197" t="s">
        <v>3697</v>
      </c>
      <c r="D197" t="s">
        <v>3698</v>
      </c>
      <c r="E197" t="s">
        <v>66</v>
      </c>
      <c r="F197" s="7">
        <v>44443</v>
      </c>
      <c r="G197" t="s">
        <v>261</v>
      </c>
      <c r="H197" t="s">
        <v>3699</v>
      </c>
      <c r="I197" t="s">
        <v>211</v>
      </c>
      <c r="J197" t="s">
        <v>3727</v>
      </c>
      <c r="K197" t="s">
        <v>225</v>
      </c>
      <c r="L197" t="s">
        <v>265</v>
      </c>
      <c r="M197" t="s">
        <v>3700</v>
      </c>
      <c r="N197" t="s">
        <v>3701</v>
      </c>
      <c r="O197" t="s">
        <v>3702</v>
      </c>
      <c r="P197" t="s">
        <v>3703</v>
      </c>
      <c r="Q197" t="s">
        <v>3704</v>
      </c>
      <c r="R197" t="str">
        <f t="shared" si="9"/>
        <v>user-female.jpg</v>
      </c>
      <c r="U197" t="str">
        <f t="shared" si="10"/>
        <v>(383,'marboa1300', 'pswmarboa1300', 'Mariana Daniela Batista Nunes', 'Feminino', '2021-09-04', 'Rua do Carmo', '1300-076', 'Lisboa', 'Utente', 'Portuguesa', 'Bilhete de Identidade', '85669523', '389028289', '959109928', '962786004', 'marboa1300@gmail.com', 'user-female.jpg'),</v>
      </c>
      <c r="V197" t="str">
        <f t="shared" si="11"/>
        <v>(383),</v>
      </c>
    </row>
    <row r="198" spans="1:22" x14ac:dyDescent="0.25">
      <c r="A198">
        <v>384</v>
      </c>
      <c r="B198" t="s">
        <v>3705</v>
      </c>
      <c r="C198" t="s">
        <v>3706</v>
      </c>
      <c r="D198" t="s">
        <v>3707</v>
      </c>
      <c r="E198" t="s">
        <v>66</v>
      </c>
      <c r="F198" s="7">
        <v>14423</v>
      </c>
      <c r="G198" t="s">
        <v>239</v>
      </c>
      <c r="H198" t="s">
        <v>3708</v>
      </c>
      <c r="I198" t="s">
        <v>209</v>
      </c>
      <c r="J198" t="s">
        <v>3727</v>
      </c>
      <c r="K198" t="s">
        <v>225</v>
      </c>
      <c r="L198" t="s">
        <v>265</v>
      </c>
      <c r="M198" t="s">
        <v>3709</v>
      </c>
      <c r="N198" t="s">
        <v>3710</v>
      </c>
      <c r="O198" t="s">
        <v>3711</v>
      </c>
      <c r="P198" t="s">
        <v>3712</v>
      </c>
      <c r="Q198" t="s">
        <v>3713</v>
      </c>
      <c r="R198" t="str">
        <f t="shared" si="9"/>
        <v>user-female.jpg</v>
      </c>
      <c r="U198" t="str">
        <f t="shared" si="10"/>
        <v>(384,'danada2810', 'pswdanada2810', 'Daniela Sara Cruz Sousa', 'Feminino', '1939-06-27', 'Rua da Oliveira ao Carmo', '2810-166', 'Almada', 'Utente', 'Portuguesa', 'Bilhete de Identidade', '24535120', '823146489', '716190758', '921399761', 'danada2810@gmail.com', 'user-female.jpg'),</v>
      </c>
      <c r="V198" t="str">
        <f t="shared" si="11"/>
        <v>(384),</v>
      </c>
    </row>
    <row r="199" spans="1:22" x14ac:dyDescent="0.25">
      <c r="A199">
        <v>385</v>
      </c>
      <c r="B199" t="s">
        <v>3714</v>
      </c>
      <c r="C199" t="s">
        <v>3715</v>
      </c>
      <c r="D199" t="s">
        <v>3716</v>
      </c>
      <c r="E199" t="s">
        <v>53</v>
      </c>
      <c r="F199" s="7">
        <v>12035</v>
      </c>
      <c r="G199" t="s">
        <v>236</v>
      </c>
      <c r="H199" t="s">
        <v>3717</v>
      </c>
      <c r="I199" t="s">
        <v>216</v>
      </c>
      <c r="J199" t="s">
        <v>3727</v>
      </c>
      <c r="K199" t="s">
        <v>225</v>
      </c>
      <c r="L199" t="s">
        <v>265</v>
      </c>
      <c r="M199" t="s">
        <v>3718</v>
      </c>
      <c r="N199" t="s">
        <v>3719</v>
      </c>
      <c r="O199" t="s">
        <v>3720</v>
      </c>
      <c r="P199" t="s">
        <v>3721</v>
      </c>
      <c r="Q199" t="s">
        <v>3722</v>
      </c>
      <c r="R199" t="str">
        <f t="shared" si="9"/>
        <v>user-male.jpg</v>
      </c>
      <c r="U199" t="str">
        <f>"(" &amp; A199 &amp;",'" &amp; B199 &amp; "', '" &amp; C199 &amp; "', '" &amp; D199 &amp; "', '" &amp; E199 &amp; "', '" &amp; TEXT(F199, "yyyy-mm-dd") &amp; "', '" &amp; G199 &amp; "', '" &amp; H199 &amp; "', '" &amp; I199 &amp; "', '" &amp; J199 &amp; "', '" &amp; K199 &amp; "', '" &amp; L199 &amp; "', '" &amp; M199 &amp; "', '" &amp; N199 &amp; "', '" &amp; O199 &amp; "', '" &amp; P199 &amp; "', '" &amp; Q199 &amp; "', '" &amp; R199 &amp; "');"</f>
        <v>(385,'josiro2834', 'pswjosiro2834', 'José Maria Brito Rocha', 'Masculino', '1932-12-12', 'Rua da Madalena', '2834-451', 'Barreiro', 'Utente', 'Portuguesa', 'Bilhete de Identidade', '90085975', '961759372', '243100371', '963816258', 'josiro2834@gmail.com', 'user-male.jpg');</v>
      </c>
      <c r="V199" t="str">
        <f>"(" &amp; A199 &amp;");"</f>
        <v>(385);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8C3D-CAB1-4DB1-8715-8318172F2BEB}">
  <dimension ref="A1:Y188"/>
  <sheetViews>
    <sheetView workbookViewId="0">
      <selection activeCell="R2" sqref="R2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9" max="19" width="17.28515625" bestFit="1" customWidth="1"/>
    <col min="24" max="24" width="13.140625" customWidth="1"/>
  </cols>
  <sheetData>
    <row r="1" spans="1:25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2025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281</v>
      </c>
      <c r="P1" t="s">
        <v>266</v>
      </c>
      <c r="Q1" t="s">
        <v>282</v>
      </c>
      <c r="R1" t="s">
        <v>283</v>
      </c>
      <c r="S1" t="s">
        <v>342</v>
      </c>
      <c r="T1" t="s">
        <v>3724</v>
      </c>
      <c r="W1" s="5" t="s">
        <v>3735</v>
      </c>
      <c r="X1" s="5" t="s">
        <v>3736</v>
      </c>
      <c r="Y1" s="5" t="s">
        <v>3737</v>
      </c>
    </row>
    <row r="2" spans="1:25" x14ac:dyDescent="0.25">
      <c r="A2">
        <v>1</v>
      </c>
      <c r="B2" t="s">
        <v>344</v>
      </c>
      <c r="C2" t="s">
        <v>345</v>
      </c>
      <c r="D2" t="s">
        <v>346</v>
      </c>
      <c r="E2" t="s">
        <v>53</v>
      </c>
      <c r="F2" s="7">
        <v>11987</v>
      </c>
      <c r="G2" t="s">
        <v>263</v>
      </c>
      <c r="H2" t="s">
        <v>347</v>
      </c>
      <c r="I2" t="s">
        <v>212</v>
      </c>
      <c r="J2" t="s">
        <v>3726</v>
      </c>
      <c r="K2" t="s">
        <v>225</v>
      </c>
      <c r="L2" t="s">
        <v>265</v>
      </c>
      <c r="M2" t="s">
        <v>348</v>
      </c>
      <c r="N2" t="s">
        <v>349</v>
      </c>
      <c r="O2" t="s">
        <v>350</v>
      </c>
      <c r="P2" t="s">
        <v>351</v>
      </c>
      <c r="Q2" t="s">
        <v>352</v>
      </c>
      <c r="R2" t="str">
        <f>IF(E2="Feminino","doctor-female.jpg","doctor-male.jpg")</f>
        <v>doctor-male.jpg</v>
      </c>
      <c r="S2" s="8">
        <v>9005693905941900</v>
      </c>
      <c r="T2">
        <v>1</v>
      </c>
      <c r="W2" t="str">
        <f>"VALUES (" &amp;A2 &amp; 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(1,'med012', 'pswmed012', 'Tomás Santos', 'Masculino', '1932-10-25', 'Rua da Junqueira', '2674-999', 'Loures', 'Médico', 'Portuguesa', 'Bilhete de Identidade', '33696253', '118341462', '535478583', '963706322', 'med012@hospital.upskill.com', 'doctor-male.jpg'),</v>
      </c>
      <c r="X2" t="str">
        <f>"VALUES (" &amp;A2 &amp; ",'" &amp; S2 &amp; "', '" &amp; T2 &amp; "'),"</f>
        <v>VALUES (1,'9005693905941900', '1'),</v>
      </c>
      <c r="Y2" t="str">
        <f>"VALUES (" &amp;A2 &amp; "),"</f>
        <v>VALUES (1),</v>
      </c>
    </row>
    <row r="3" spans="1:25" x14ac:dyDescent="0.25">
      <c r="A3">
        <v>2</v>
      </c>
      <c r="B3" t="s">
        <v>353</v>
      </c>
      <c r="C3" t="s">
        <v>354</v>
      </c>
      <c r="D3" t="s">
        <v>355</v>
      </c>
      <c r="E3" t="s">
        <v>53</v>
      </c>
      <c r="F3" s="7">
        <v>28287</v>
      </c>
      <c r="G3" t="s">
        <v>262</v>
      </c>
      <c r="H3" t="s">
        <v>356</v>
      </c>
      <c r="I3" t="s">
        <v>208</v>
      </c>
      <c r="J3" t="s">
        <v>3726</v>
      </c>
      <c r="K3" t="s">
        <v>225</v>
      </c>
      <c r="L3" t="s">
        <v>265</v>
      </c>
      <c r="M3" t="s">
        <v>357</v>
      </c>
      <c r="N3" t="s">
        <v>358</v>
      </c>
      <c r="O3" t="s">
        <v>359</v>
      </c>
      <c r="P3" t="s">
        <v>360</v>
      </c>
      <c r="Q3" t="s">
        <v>361</v>
      </c>
      <c r="R3" t="str">
        <f t="shared" ref="R3:R66" si="0">IF(E3="Feminino","doctor-female.jpg","doctor-male.jpg")</f>
        <v>doctor-male.jpg</v>
      </c>
      <c r="S3" s="8">
        <v>6605353667692325</v>
      </c>
      <c r="T3">
        <v>2</v>
      </c>
      <c r="W3" t="str">
        <f>"(" &amp;A3 &amp; 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(2,'med013', 'pswmed013', 'André Nogueira', 'Masculino', '1977-06-11', 'Estrada Militar', '2914-110', 'Setúbal', 'Médico', 'Portuguesa', 'Bilhete de Identidade', '58060035', '500525330', '639557550', '966710210', 'med013@hospital.upskill.com', 'doctor-male.jpg'),</v>
      </c>
      <c r="X3" t="str">
        <f>"(" &amp;A3 &amp; ",'" &amp; S3 &amp; "', '" &amp; T3 &amp; "'),"</f>
        <v>(2,'6605353667692320', '2'),</v>
      </c>
      <c r="Y3" t="str">
        <f>"(" &amp;A3 &amp; "),"</f>
        <v>(2),</v>
      </c>
    </row>
    <row r="4" spans="1:25" x14ac:dyDescent="0.25">
      <c r="A4">
        <v>3</v>
      </c>
      <c r="B4" t="s">
        <v>362</v>
      </c>
      <c r="C4" t="s">
        <v>363</v>
      </c>
      <c r="D4" t="s">
        <v>364</v>
      </c>
      <c r="E4" t="s">
        <v>66</v>
      </c>
      <c r="F4" s="7">
        <v>26925</v>
      </c>
      <c r="G4" t="s">
        <v>257</v>
      </c>
      <c r="H4" t="s">
        <v>365</v>
      </c>
      <c r="I4" t="s">
        <v>200</v>
      </c>
      <c r="J4" t="s">
        <v>3726</v>
      </c>
      <c r="K4" t="s">
        <v>225</v>
      </c>
      <c r="L4" t="s">
        <v>265</v>
      </c>
      <c r="M4" t="s">
        <v>366</v>
      </c>
      <c r="N4" t="s">
        <v>367</v>
      </c>
      <c r="O4" t="s">
        <v>368</v>
      </c>
      <c r="P4" t="s">
        <v>369</v>
      </c>
      <c r="Q4" t="s">
        <v>370</v>
      </c>
      <c r="R4" t="str">
        <f t="shared" si="0"/>
        <v>doctor-female.jpg</v>
      </c>
      <c r="S4" s="8">
        <v>7092418714304749</v>
      </c>
      <c r="T4">
        <v>3</v>
      </c>
      <c r="W4" t="str">
        <f t="shared" ref="W4:W67" si="1">"(" &amp;A4 &amp; 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(3,'med014', 'pswmed014', 'Sara Miranda', 'Feminino', '1973-09-18', 'Rua do Sol a Santana', '3000-412', 'Coimbra', 'Médico', 'Portuguesa', 'Bilhete de Identidade', '28644332', '439805765', '665084101', '910103682', 'med014@hospital.upskill.com', 'doctor-female.jpg'),</v>
      </c>
      <c r="X4" t="str">
        <f t="shared" ref="X4:X67" si="2">"(" &amp;A4 &amp; ",'" &amp; S4 &amp; "', '" &amp; T4 &amp; "'),"</f>
        <v>(3,'7092418714304750', '3'),</v>
      </c>
      <c r="Y4" t="str">
        <f t="shared" ref="Y4:Y67" si="3">"(" &amp;A4 &amp; "),"</f>
        <v>(3),</v>
      </c>
    </row>
    <row r="5" spans="1:25" x14ac:dyDescent="0.25">
      <c r="A5">
        <v>4</v>
      </c>
      <c r="B5" t="s">
        <v>371</v>
      </c>
      <c r="C5" t="s">
        <v>372</v>
      </c>
      <c r="D5" t="s">
        <v>373</v>
      </c>
      <c r="E5" t="s">
        <v>66</v>
      </c>
      <c r="F5" s="7">
        <v>21109</v>
      </c>
      <c r="G5" t="s">
        <v>255</v>
      </c>
      <c r="H5" t="s">
        <v>374</v>
      </c>
      <c r="I5" t="s">
        <v>211</v>
      </c>
      <c r="J5" t="s">
        <v>3726</v>
      </c>
      <c r="K5" t="s">
        <v>225</v>
      </c>
      <c r="L5" t="s">
        <v>265</v>
      </c>
      <c r="M5" t="s">
        <v>375</v>
      </c>
      <c r="N5" t="s">
        <v>376</v>
      </c>
      <c r="O5" t="s">
        <v>377</v>
      </c>
      <c r="P5" t="s">
        <v>378</v>
      </c>
      <c r="Q5" t="s">
        <v>379</v>
      </c>
      <c r="R5" t="str">
        <f t="shared" si="0"/>
        <v>doctor-female.jpg</v>
      </c>
      <c r="S5" s="8">
        <v>6860011748332597</v>
      </c>
      <c r="T5">
        <v>4</v>
      </c>
      <c r="W5" t="str">
        <f t="shared" si="1"/>
        <v>(4,'med015', 'pswmed015', 'Sofia Fonseca', 'Feminino', '1957-10-16', 'Rua de São Bento', '1200-505', 'Lisboa', 'Médico', 'Portuguesa', 'Bilhete de Identidade', '39128367', '580249488', '963855058', '963418644', 'med015@hospital.upskill.com', 'doctor-female.jpg'),</v>
      </c>
      <c r="X5" t="str">
        <f t="shared" si="2"/>
        <v>(4,'6860011748332600', '4'),</v>
      </c>
      <c r="Y5" t="str">
        <f t="shared" si="3"/>
        <v>(4),</v>
      </c>
    </row>
    <row r="6" spans="1:25" x14ac:dyDescent="0.25">
      <c r="A6">
        <v>5</v>
      </c>
      <c r="B6" t="s">
        <v>380</v>
      </c>
      <c r="C6" t="s">
        <v>381</v>
      </c>
      <c r="D6" t="s">
        <v>382</v>
      </c>
      <c r="E6" t="s">
        <v>53</v>
      </c>
      <c r="F6" s="7">
        <v>31299</v>
      </c>
      <c r="G6" t="s">
        <v>232</v>
      </c>
      <c r="H6" t="s">
        <v>383</v>
      </c>
      <c r="I6" t="s">
        <v>211</v>
      </c>
      <c r="J6" t="s">
        <v>3726</v>
      </c>
      <c r="K6" t="s">
        <v>225</v>
      </c>
      <c r="L6" t="s">
        <v>265</v>
      </c>
      <c r="M6" t="s">
        <v>384</v>
      </c>
      <c r="N6" t="s">
        <v>385</v>
      </c>
      <c r="O6" t="s">
        <v>386</v>
      </c>
      <c r="P6" t="s">
        <v>387</v>
      </c>
      <c r="Q6" t="s">
        <v>388</v>
      </c>
      <c r="R6" t="str">
        <f t="shared" si="0"/>
        <v>doctor-male.jpg</v>
      </c>
      <c r="S6" s="8">
        <v>9418307818692660</v>
      </c>
      <c r="T6">
        <v>5</v>
      </c>
      <c r="W6" t="str">
        <f t="shared" si="1"/>
        <v>(5,'med016', 'pswmed016', 'Afonso Neves', 'Masculino', '1985-09-09', 'Rua Garrett', '1949-949', 'Lisboa', 'Médico', 'Portuguesa', 'Bilhete de Identidade', '92943346', '433733189', '831453292', '911182360', 'med016@hospital.upskill.com', 'doctor-male.jpg'),</v>
      </c>
      <c r="X6" t="str">
        <f t="shared" si="2"/>
        <v>(5,'9418307818692660', '5'),</v>
      </c>
      <c r="Y6" t="str">
        <f t="shared" si="3"/>
        <v>(5),</v>
      </c>
    </row>
    <row r="7" spans="1:25" x14ac:dyDescent="0.25">
      <c r="A7">
        <v>6</v>
      </c>
      <c r="B7" t="s">
        <v>389</v>
      </c>
      <c r="C7" t="s">
        <v>390</v>
      </c>
      <c r="D7" t="s">
        <v>391</v>
      </c>
      <c r="E7" t="s">
        <v>66</v>
      </c>
      <c r="F7" s="7">
        <v>22764</v>
      </c>
      <c r="G7" t="s">
        <v>239</v>
      </c>
      <c r="H7" t="s">
        <v>392</v>
      </c>
      <c r="I7" t="s">
        <v>205</v>
      </c>
      <c r="J7" t="s">
        <v>3726</v>
      </c>
      <c r="K7" t="s">
        <v>225</v>
      </c>
      <c r="L7" t="s">
        <v>265</v>
      </c>
      <c r="M7" t="s">
        <v>393</v>
      </c>
      <c r="N7" t="s">
        <v>394</v>
      </c>
      <c r="O7" t="s">
        <v>395</v>
      </c>
      <c r="P7" t="s">
        <v>396</v>
      </c>
      <c r="Q7" t="s">
        <v>397</v>
      </c>
      <c r="R7" t="str">
        <f t="shared" si="0"/>
        <v>doctor-female.jpg</v>
      </c>
      <c r="S7" s="8">
        <v>6314819779261168</v>
      </c>
      <c r="T7">
        <v>6</v>
      </c>
      <c r="W7" t="str">
        <f t="shared" si="1"/>
        <v>(6,'med017', 'pswmed017', 'Sofia Antunes', 'Feminino', '1962-04-28', 'Rua da Oliveira ao Carmo', '2004-480', 'Santarém', 'Médico', 'Portuguesa', 'Bilhete de Identidade', '13352267', '199571599', '450437281', '965384042', 'med017@hospital.upskill.com', 'doctor-female.jpg'),</v>
      </c>
      <c r="X7" t="str">
        <f t="shared" si="2"/>
        <v>(6,'6314819779261170', '6'),</v>
      </c>
      <c r="Y7" t="str">
        <f t="shared" si="3"/>
        <v>(6),</v>
      </c>
    </row>
    <row r="8" spans="1:25" x14ac:dyDescent="0.25">
      <c r="A8">
        <v>7</v>
      </c>
      <c r="B8" t="s">
        <v>398</v>
      </c>
      <c r="C8" t="s">
        <v>399</v>
      </c>
      <c r="D8" t="s">
        <v>400</v>
      </c>
      <c r="E8" t="s">
        <v>53</v>
      </c>
      <c r="F8" s="7">
        <v>23791</v>
      </c>
      <c r="G8" t="s">
        <v>238</v>
      </c>
      <c r="H8" t="s">
        <v>401</v>
      </c>
      <c r="I8" t="s">
        <v>211</v>
      </c>
      <c r="J8" t="s">
        <v>3726</v>
      </c>
      <c r="K8" t="s">
        <v>225</v>
      </c>
      <c r="L8" t="s">
        <v>265</v>
      </c>
      <c r="M8" t="s">
        <v>402</v>
      </c>
      <c r="N8" t="s">
        <v>403</v>
      </c>
      <c r="O8" t="s">
        <v>404</v>
      </c>
      <c r="P8" t="s">
        <v>405</v>
      </c>
      <c r="Q8" t="s">
        <v>406</v>
      </c>
      <c r="R8" t="str">
        <f t="shared" si="0"/>
        <v>doctor-male.jpg</v>
      </c>
      <c r="S8" s="8">
        <v>9444534124478408</v>
      </c>
      <c r="T8">
        <v>7</v>
      </c>
      <c r="W8" t="str">
        <f t="shared" si="1"/>
        <v>(7,'med018', 'pswmed018', 'Diogo Baptista', 'Masculino', '1965-02-18', 'Calçada do Moinho de Vento', '1959-925', 'Lisboa', 'Médico', 'Portuguesa', 'Bilhete de Identidade', '55725963', '146885985', '621580208', '931465362', 'med018@hospital.upskill.com', 'doctor-male.jpg'),</v>
      </c>
      <c r="X8" t="str">
        <f t="shared" si="2"/>
        <v>(7,'9444534124478410', '7'),</v>
      </c>
      <c r="Y8" t="str">
        <f t="shared" si="3"/>
        <v>(7),</v>
      </c>
    </row>
    <row r="9" spans="1:25" x14ac:dyDescent="0.25">
      <c r="A9">
        <v>8</v>
      </c>
      <c r="B9" t="s">
        <v>407</v>
      </c>
      <c r="C9" t="s">
        <v>408</v>
      </c>
      <c r="D9" t="s">
        <v>409</v>
      </c>
      <c r="E9" t="s">
        <v>66</v>
      </c>
      <c r="F9" s="7">
        <v>10827</v>
      </c>
      <c r="G9" t="s">
        <v>249</v>
      </c>
      <c r="H9" t="s">
        <v>410</v>
      </c>
      <c r="I9" t="s">
        <v>210</v>
      </c>
      <c r="J9" t="s">
        <v>3726</v>
      </c>
      <c r="K9" t="s">
        <v>225</v>
      </c>
      <c r="L9" t="s">
        <v>265</v>
      </c>
      <c r="M9" t="s">
        <v>411</v>
      </c>
      <c r="N9" t="s">
        <v>412</v>
      </c>
      <c r="O9" t="s">
        <v>413</v>
      </c>
      <c r="P9" t="s">
        <v>414</v>
      </c>
      <c r="Q9" t="s">
        <v>415</v>
      </c>
      <c r="R9" t="str">
        <f t="shared" si="0"/>
        <v>doctor-female.jpg</v>
      </c>
      <c r="S9" s="8">
        <v>9409085980435196</v>
      </c>
      <c r="T9">
        <v>8</v>
      </c>
      <c r="W9" t="str">
        <f t="shared" si="1"/>
        <v>(8,'med019', 'pswmed019', 'Vera Mendes', 'Feminino', '1929-08-22', 'Rua Júlio César Machado', '2724-953', 'Amadora', 'Médico', 'Portuguesa', 'Bilhete de Identidade', '47492153', '533401158', '521361032', '968368319', 'med019@hospital.upskill.com', 'doctor-female.jpg'),</v>
      </c>
      <c r="X9" t="str">
        <f t="shared" si="2"/>
        <v>(8,'9409085980435200', '8'),</v>
      </c>
      <c r="Y9" t="str">
        <f t="shared" si="3"/>
        <v>(8),</v>
      </c>
    </row>
    <row r="10" spans="1:25" x14ac:dyDescent="0.25">
      <c r="A10">
        <v>9</v>
      </c>
      <c r="B10" t="s">
        <v>416</v>
      </c>
      <c r="C10" t="s">
        <v>417</v>
      </c>
      <c r="D10" t="s">
        <v>418</v>
      </c>
      <c r="E10" t="s">
        <v>53</v>
      </c>
      <c r="F10" s="7">
        <v>29267</v>
      </c>
      <c r="G10" t="s">
        <v>249</v>
      </c>
      <c r="H10" t="s">
        <v>419</v>
      </c>
      <c r="I10" t="s">
        <v>201</v>
      </c>
      <c r="J10" t="s">
        <v>3726</v>
      </c>
      <c r="K10" t="s">
        <v>225</v>
      </c>
      <c r="L10" t="s">
        <v>265</v>
      </c>
      <c r="M10" t="s">
        <v>420</v>
      </c>
      <c r="N10" t="s">
        <v>421</v>
      </c>
      <c r="O10" t="s">
        <v>422</v>
      </c>
      <c r="P10" t="s">
        <v>423</v>
      </c>
      <c r="Q10" t="s">
        <v>424</v>
      </c>
      <c r="R10" t="str">
        <f t="shared" si="0"/>
        <v>doctor-male.jpg</v>
      </c>
      <c r="S10" s="8">
        <v>7539512530165779</v>
      </c>
      <c r="T10">
        <v>9</v>
      </c>
      <c r="W10" t="str">
        <f t="shared" si="1"/>
        <v>(9,'med020', 'pswmed020', 'Luís Oliveira', 'Masculino', '1980-02-16', 'Rua Júlio César Machado', '2419-164', 'Leiria', 'Médico', 'Portuguesa', 'Bilhete de Identidade', '38438525', '478007887', '867442594', '924432019', 'med020@hospital.upskill.com', 'doctor-male.jpg'),</v>
      </c>
      <c r="X10" t="str">
        <f t="shared" si="2"/>
        <v>(9,'7539512530165780', '9'),</v>
      </c>
      <c r="Y10" t="str">
        <f t="shared" si="3"/>
        <v>(9),</v>
      </c>
    </row>
    <row r="11" spans="1:25" x14ac:dyDescent="0.25">
      <c r="A11">
        <v>10</v>
      </c>
      <c r="B11" t="s">
        <v>425</v>
      </c>
      <c r="C11" t="s">
        <v>426</v>
      </c>
      <c r="D11" t="s">
        <v>427</v>
      </c>
      <c r="E11" t="s">
        <v>66</v>
      </c>
      <c r="F11" s="7">
        <v>12111</v>
      </c>
      <c r="G11" t="s">
        <v>247</v>
      </c>
      <c r="H11" t="s">
        <v>428</v>
      </c>
      <c r="I11" t="s">
        <v>210</v>
      </c>
      <c r="J11" t="s">
        <v>3726</v>
      </c>
      <c r="K11" t="s">
        <v>225</v>
      </c>
      <c r="L11" t="s">
        <v>265</v>
      </c>
      <c r="M11" t="s">
        <v>429</v>
      </c>
      <c r="N11" t="s">
        <v>430</v>
      </c>
      <c r="O11" t="s">
        <v>431</v>
      </c>
      <c r="P11" t="s">
        <v>432</v>
      </c>
      <c r="Q11" t="s">
        <v>433</v>
      </c>
      <c r="R11" t="str">
        <f t="shared" si="0"/>
        <v>doctor-female.jpg</v>
      </c>
      <c r="S11" s="8">
        <v>1061377500960076</v>
      </c>
      <c r="T11">
        <v>10</v>
      </c>
      <c r="W11" t="str">
        <f t="shared" si="1"/>
        <v>(10,'med021', 'pswmed021', 'Beatriz Guerreiro', 'Feminino', '1933-02-26', 'Rua Ferreira Lapa', '2610-611', 'Amadora', 'Médico', 'Portuguesa', 'Bilhete de Identidade', '91237602', '954771175', '775823974', '931953399', 'med021@hospital.upskill.com', 'doctor-female.jpg'),</v>
      </c>
      <c r="X11" t="str">
        <f t="shared" si="2"/>
        <v>(10,'1061377500960080', '10'),</v>
      </c>
      <c r="Y11" t="str">
        <f t="shared" si="3"/>
        <v>(10),</v>
      </c>
    </row>
    <row r="12" spans="1:25" x14ac:dyDescent="0.25">
      <c r="A12">
        <v>11</v>
      </c>
      <c r="B12" t="s">
        <v>434</v>
      </c>
      <c r="C12" t="s">
        <v>435</v>
      </c>
      <c r="D12" t="s">
        <v>436</v>
      </c>
      <c r="E12" t="s">
        <v>53</v>
      </c>
      <c r="F12" s="7">
        <v>22513</v>
      </c>
      <c r="G12" t="s">
        <v>263</v>
      </c>
      <c r="H12" t="s">
        <v>437</v>
      </c>
      <c r="I12" t="s">
        <v>208</v>
      </c>
      <c r="J12" t="s">
        <v>3726</v>
      </c>
      <c r="K12" t="s">
        <v>225</v>
      </c>
      <c r="L12" t="s">
        <v>265</v>
      </c>
      <c r="M12" t="s">
        <v>438</v>
      </c>
      <c r="N12" t="s">
        <v>439</v>
      </c>
      <c r="O12" t="s">
        <v>440</v>
      </c>
      <c r="P12" t="s">
        <v>441</v>
      </c>
      <c r="Q12" t="s">
        <v>442</v>
      </c>
      <c r="R12" t="str">
        <f t="shared" si="0"/>
        <v>doctor-male.jpg</v>
      </c>
      <c r="S12" s="8">
        <v>5738213522357300</v>
      </c>
      <c r="T12">
        <v>11</v>
      </c>
      <c r="W12" t="str">
        <f t="shared" si="1"/>
        <v>(11,'med022', 'pswmed022', 'Tomás Domingues', 'Masculino', '1961-08-20', 'Rua da Junqueira', '2904-862', 'Setúbal', 'Médico', 'Portuguesa', 'Bilhete de Identidade', '17748762', '339553711', '372102865', '914038015', 'med022@hospital.upskill.com', 'doctor-male.jpg'),</v>
      </c>
      <c r="X12" t="str">
        <f t="shared" si="2"/>
        <v>(11,'5738213522357300', '11'),</v>
      </c>
      <c r="Y12" t="str">
        <f t="shared" si="3"/>
        <v>(11),</v>
      </c>
    </row>
    <row r="13" spans="1:25" x14ac:dyDescent="0.25">
      <c r="A13">
        <v>12</v>
      </c>
      <c r="B13" t="s">
        <v>443</v>
      </c>
      <c r="C13" t="s">
        <v>444</v>
      </c>
      <c r="D13" t="s">
        <v>445</v>
      </c>
      <c r="E13" t="s">
        <v>66</v>
      </c>
      <c r="F13" s="7">
        <v>22253</v>
      </c>
      <c r="G13" t="s">
        <v>244</v>
      </c>
      <c r="H13" t="s">
        <v>446</v>
      </c>
      <c r="I13" t="s">
        <v>201</v>
      </c>
      <c r="J13" t="s">
        <v>3726</v>
      </c>
      <c r="K13" t="s">
        <v>225</v>
      </c>
      <c r="L13" t="s">
        <v>265</v>
      </c>
      <c r="M13" t="s">
        <v>447</v>
      </c>
      <c r="N13" t="s">
        <v>448</v>
      </c>
      <c r="O13" t="s">
        <v>449</v>
      </c>
      <c r="P13" t="s">
        <v>450</v>
      </c>
      <c r="Q13" t="s">
        <v>451</v>
      </c>
      <c r="R13" t="str">
        <f t="shared" si="0"/>
        <v>doctor-female.jpg</v>
      </c>
      <c r="S13" s="8">
        <v>1829016795894837</v>
      </c>
      <c r="T13">
        <v>12</v>
      </c>
      <c r="W13" t="str">
        <f t="shared" si="1"/>
        <v>(12,'med023', 'pswmed023', 'Maria Sousa', 'Feminino', '1960-12-03', 'Rua da Betesga', '2420-573', 'Leiria', 'Médico', 'Portuguesa', 'Bilhete de Identidade', '73526953', '707477594', '922404080', '935200647', 'med023@hospital.upskill.com', 'doctor-female.jpg'),</v>
      </c>
      <c r="X13" t="str">
        <f t="shared" si="2"/>
        <v>(12,'1829016795894840', '12'),</v>
      </c>
      <c r="Y13" t="str">
        <f t="shared" si="3"/>
        <v>(12),</v>
      </c>
    </row>
    <row r="14" spans="1:25" x14ac:dyDescent="0.25">
      <c r="A14">
        <v>13</v>
      </c>
      <c r="B14" t="s">
        <v>452</v>
      </c>
      <c r="C14" t="s">
        <v>453</v>
      </c>
      <c r="D14" t="s">
        <v>454</v>
      </c>
      <c r="E14" t="s">
        <v>66</v>
      </c>
      <c r="F14" s="7">
        <v>14100</v>
      </c>
      <c r="G14" t="s">
        <v>234</v>
      </c>
      <c r="H14" t="s">
        <v>455</v>
      </c>
      <c r="I14" t="s">
        <v>210</v>
      </c>
      <c r="J14" t="s">
        <v>3726</v>
      </c>
      <c r="K14" t="s">
        <v>225</v>
      </c>
      <c r="L14" t="s">
        <v>265</v>
      </c>
      <c r="M14" t="s">
        <v>456</v>
      </c>
      <c r="N14" t="s">
        <v>457</v>
      </c>
      <c r="O14" t="s">
        <v>458</v>
      </c>
      <c r="P14" t="s">
        <v>459</v>
      </c>
      <c r="Q14" t="s">
        <v>460</v>
      </c>
      <c r="R14" t="str">
        <f t="shared" si="0"/>
        <v>doctor-female.jpg</v>
      </c>
      <c r="S14" s="8">
        <v>9249836960587528</v>
      </c>
      <c r="T14">
        <v>13</v>
      </c>
      <c r="W14" t="str">
        <f t="shared" si="1"/>
        <v>(13,'med024', 'pswmed024', 'Lurdes Esteves', 'Feminino', '1938-08-08', 'Rua do Instituto Bacteriológico', '2654-516', 'Amadora', 'Médico', 'Portuguesa', 'Bilhete de Identidade', '44552239', '837752328', '742678965', '920367653', 'med024@hospital.upskill.com', 'doctor-female.jpg'),</v>
      </c>
      <c r="X14" t="str">
        <f t="shared" si="2"/>
        <v>(13,'9249836960587530', '13'),</v>
      </c>
      <c r="Y14" t="str">
        <f t="shared" si="3"/>
        <v>(13),</v>
      </c>
    </row>
    <row r="15" spans="1:25" x14ac:dyDescent="0.25">
      <c r="A15">
        <v>14</v>
      </c>
      <c r="B15" t="s">
        <v>461</v>
      </c>
      <c r="C15" t="s">
        <v>462</v>
      </c>
      <c r="D15" t="s">
        <v>463</v>
      </c>
      <c r="E15" t="s">
        <v>53</v>
      </c>
      <c r="F15" s="7">
        <v>14176</v>
      </c>
      <c r="G15" t="s">
        <v>249</v>
      </c>
      <c r="H15" t="s">
        <v>464</v>
      </c>
      <c r="I15" t="s">
        <v>209</v>
      </c>
      <c r="J15" t="s">
        <v>3726</v>
      </c>
      <c r="K15" t="s">
        <v>225</v>
      </c>
      <c r="L15" t="s">
        <v>265</v>
      </c>
      <c r="M15" t="s">
        <v>465</v>
      </c>
      <c r="N15" t="s">
        <v>466</v>
      </c>
      <c r="O15" t="s">
        <v>467</v>
      </c>
      <c r="P15" t="s">
        <v>468</v>
      </c>
      <c r="Q15" t="s">
        <v>469</v>
      </c>
      <c r="R15" t="str">
        <f t="shared" si="0"/>
        <v>doctor-male.jpg</v>
      </c>
      <c r="S15" s="8">
        <v>9786406888113152</v>
      </c>
      <c r="T15">
        <v>14</v>
      </c>
      <c r="W15" t="str">
        <f t="shared" si="1"/>
        <v>(14,'med025', 'pswmed025', 'Bruno Miranda', 'Masculino', '1938-10-23', 'Rua Júlio César Machado', '2814-590', 'Almada', 'Médico', 'Portuguesa', 'Bilhete de Identidade', '95601024', '106647341', '277148136', '966864988', 'med025@hospital.upskill.com', 'doctor-male.jpg'),</v>
      </c>
      <c r="X15" t="str">
        <f t="shared" si="2"/>
        <v>(14,'9786406888113150', '14'),</v>
      </c>
      <c r="Y15" t="str">
        <f t="shared" si="3"/>
        <v>(14),</v>
      </c>
    </row>
    <row r="16" spans="1:25" x14ac:dyDescent="0.25">
      <c r="A16">
        <v>15</v>
      </c>
      <c r="B16" t="s">
        <v>470</v>
      </c>
      <c r="C16" t="s">
        <v>471</v>
      </c>
      <c r="D16" t="s">
        <v>472</v>
      </c>
      <c r="E16" t="s">
        <v>53</v>
      </c>
      <c r="F16" s="7">
        <v>15060</v>
      </c>
      <c r="G16" t="s">
        <v>257</v>
      </c>
      <c r="H16" t="s">
        <v>473</v>
      </c>
      <c r="I16" t="s">
        <v>211</v>
      </c>
      <c r="J16" t="s">
        <v>3726</v>
      </c>
      <c r="K16" t="s">
        <v>225</v>
      </c>
      <c r="L16" t="s">
        <v>265</v>
      </c>
      <c r="M16" t="s">
        <v>474</v>
      </c>
      <c r="N16" t="s">
        <v>475</v>
      </c>
      <c r="O16" t="s">
        <v>476</v>
      </c>
      <c r="P16" t="s">
        <v>477</v>
      </c>
      <c r="Q16" t="s">
        <v>478</v>
      </c>
      <c r="R16" t="str">
        <f t="shared" si="0"/>
        <v>doctor-male.jpg</v>
      </c>
      <c r="S16" s="8">
        <v>1939027693759893</v>
      </c>
      <c r="T16">
        <v>15</v>
      </c>
      <c r="W16" t="str">
        <f t="shared" si="1"/>
        <v>(15,'med026', 'pswmed026', 'Luís Miranda', 'Masculino', '1941-03-25', 'Rua do Sol a Santana', '1649-61', 'Lisboa', 'Médico', 'Portuguesa', 'Bilhete de Identidade', '19045668', '662077315', '529541810', '920739832', 'med026@hospital.upskill.com', 'doctor-male.jpg'),</v>
      </c>
      <c r="X16" t="str">
        <f t="shared" si="2"/>
        <v>(15,'1939027693759890', '15'),</v>
      </c>
      <c r="Y16" t="str">
        <f t="shared" si="3"/>
        <v>(15),</v>
      </c>
    </row>
    <row r="17" spans="1:25" x14ac:dyDescent="0.25">
      <c r="A17">
        <v>16</v>
      </c>
      <c r="B17" t="s">
        <v>479</v>
      </c>
      <c r="C17" t="s">
        <v>480</v>
      </c>
      <c r="D17" t="s">
        <v>481</v>
      </c>
      <c r="E17" t="s">
        <v>53</v>
      </c>
      <c r="F17" s="7">
        <v>32317</v>
      </c>
      <c r="G17" t="s">
        <v>261</v>
      </c>
      <c r="H17" t="s">
        <v>482</v>
      </c>
      <c r="I17" t="s">
        <v>211</v>
      </c>
      <c r="J17" t="s">
        <v>3726</v>
      </c>
      <c r="K17" t="s">
        <v>225</v>
      </c>
      <c r="L17" t="s">
        <v>265</v>
      </c>
      <c r="M17" t="s">
        <v>483</v>
      </c>
      <c r="N17" t="s">
        <v>484</v>
      </c>
      <c r="O17" t="s">
        <v>485</v>
      </c>
      <c r="P17" t="s">
        <v>486</v>
      </c>
      <c r="Q17" t="s">
        <v>487</v>
      </c>
      <c r="R17" t="str">
        <f t="shared" si="0"/>
        <v>doctor-male.jpg</v>
      </c>
      <c r="S17" s="8">
        <v>8347700289192405</v>
      </c>
      <c r="T17">
        <v>16</v>
      </c>
      <c r="W17" t="str">
        <f t="shared" si="1"/>
        <v>(16,'med027', 'pswmed027', 'Miguel Mota', 'Masculino', '1988-06-23', 'Rua do Carmo', '1300-816', 'Lisboa', 'Médico', 'Portuguesa', 'Bilhete de Identidade', '14775683', '682941556', '392222416', '924174901', 'med027@hospital.upskill.com', 'doctor-male.jpg'),</v>
      </c>
      <c r="X17" t="str">
        <f t="shared" si="2"/>
        <v>(16,'8347700289192400', '16'),</v>
      </c>
      <c r="Y17" t="str">
        <f t="shared" si="3"/>
        <v>(16),</v>
      </c>
    </row>
    <row r="18" spans="1:25" x14ac:dyDescent="0.25">
      <c r="A18">
        <v>17</v>
      </c>
      <c r="B18" t="s">
        <v>488</v>
      </c>
      <c r="C18" t="s">
        <v>489</v>
      </c>
      <c r="D18" t="s">
        <v>490</v>
      </c>
      <c r="E18" t="s">
        <v>66</v>
      </c>
      <c r="F18" s="7">
        <v>31298</v>
      </c>
      <c r="G18" t="s">
        <v>255</v>
      </c>
      <c r="H18" t="s">
        <v>491</v>
      </c>
      <c r="I18" t="s">
        <v>201</v>
      </c>
      <c r="J18" t="s">
        <v>3726</v>
      </c>
      <c r="K18" t="s">
        <v>225</v>
      </c>
      <c r="L18" t="s">
        <v>265</v>
      </c>
      <c r="M18" t="s">
        <v>492</v>
      </c>
      <c r="N18" t="s">
        <v>493</v>
      </c>
      <c r="O18" t="s">
        <v>494</v>
      </c>
      <c r="P18" t="s">
        <v>495</v>
      </c>
      <c r="Q18" t="s">
        <v>496</v>
      </c>
      <c r="R18" t="str">
        <f t="shared" si="0"/>
        <v>doctor-female.jpg</v>
      </c>
      <c r="S18" s="8">
        <v>8318812506230513</v>
      </c>
      <c r="T18">
        <v>17</v>
      </c>
      <c r="W18" t="str">
        <f t="shared" si="1"/>
        <v>(17,'med028', 'pswmed028', 'Ana Carneiro', 'Feminino', '1985-09-08', 'Rua de São Bento', '2423-281', 'Leiria', 'Médico', 'Portuguesa', 'Bilhete de Identidade', '13784174', '774689054', '349584753', '920557337', 'med028@hospital.upskill.com', 'doctor-female.jpg'),</v>
      </c>
      <c r="X18" t="str">
        <f t="shared" si="2"/>
        <v>(17,'8318812506230510', '17'),</v>
      </c>
      <c r="Y18" t="str">
        <f t="shared" si="3"/>
        <v>(17),</v>
      </c>
    </row>
    <row r="19" spans="1:25" x14ac:dyDescent="0.25">
      <c r="A19">
        <v>18</v>
      </c>
      <c r="B19" t="s">
        <v>497</v>
      </c>
      <c r="C19" t="s">
        <v>498</v>
      </c>
      <c r="D19" t="s">
        <v>499</v>
      </c>
      <c r="E19" t="s">
        <v>66</v>
      </c>
      <c r="F19" s="7">
        <v>20622</v>
      </c>
      <c r="G19" t="s">
        <v>247</v>
      </c>
      <c r="H19" t="s">
        <v>500</v>
      </c>
      <c r="I19" t="s">
        <v>208</v>
      </c>
      <c r="J19" t="s">
        <v>3726</v>
      </c>
      <c r="K19" t="s">
        <v>225</v>
      </c>
      <c r="L19" t="s">
        <v>265</v>
      </c>
      <c r="M19" t="s">
        <v>501</v>
      </c>
      <c r="N19" t="s">
        <v>502</v>
      </c>
      <c r="O19" t="s">
        <v>503</v>
      </c>
      <c r="P19" t="s">
        <v>504</v>
      </c>
      <c r="Q19" t="s">
        <v>505</v>
      </c>
      <c r="R19" t="str">
        <f t="shared" si="0"/>
        <v>doctor-female.jpg</v>
      </c>
      <c r="S19" s="8">
        <v>3470786853883252</v>
      </c>
      <c r="T19">
        <v>18</v>
      </c>
      <c r="W19" t="str">
        <f t="shared" si="1"/>
        <v>(18,'med029', 'pswmed029', 'Maria Pereira', 'Feminino', '1956-06-16', 'Rua Ferreira Lapa', '2904-16', 'Setúbal', 'Médico', 'Portuguesa', 'Bilhete de Identidade', '23246998', '825232321', '234779728', '929975981', 'med029@hospital.upskill.com', 'doctor-female.jpg'),</v>
      </c>
      <c r="X19" t="str">
        <f t="shared" si="2"/>
        <v>(18,'3470786853883250', '18'),</v>
      </c>
      <c r="Y19" t="str">
        <f t="shared" si="3"/>
        <v>(18),</v>
      </c>
    </row>
    <row r="20" spans="1:25" x14ac:dyDescent="0.25">
      <c r="A20">
        <v>19</v>
      </c>
      <c r="B20" t="s">
        <v>506</v>
      </c>
      <c r="C20" t="s">
        <v>507</v>
      </c>
      <c r="D20" t="s">
        <v>508</v>
      </c>
      <c r="E20" t="s">
        <v>66</v>
      </c>
      <c r="F20" s="7">
        <v>15242</v>
      </c>
      <c r="G20" t="s">
        <v>256</v>
      </c>
      <c r="H20" t="s">
        <v>509</v>
      </c>
      <c r="I20" t="s">
        <v>210</v>
      </c>
      <c r="J20" t="s">
        <v>3726</v>
      </c>
      <c r="K20" t="s">
        <v>225</v>
      </c>
      <c r="L20" t="s">
        <v>265</v>
      </c>
      <c r="M20" t="s">
        <v>510</v>
      </c>
      <c r="N20" t="s">
        <v>511</v>
      </c>
      <c r="O20" t="s">
        <v>512</v>
      </c>
      <c r="P20" t="s">
        <v>513</v>
      </c>
      <c r="Q20" t="s">
        <v>514</v>
      </c>
      <c r="R20" t="str">
        <f t="shared" si="0"/>
        <v>doctor-female.jpg</v>
      </c>
      <c r="S20" s="8">
        <v>3301398631773152</v>
      </c>
      <c r="T20">
        <v>19</v>
      </c>
      <c r="W20" t="str">
        <f t="shared" si="1"/>
        <v>(19,'med030', 'pswmed030', 'Francisca Neto', 'Feminino', '1941-09-23', 'Travessa de São João da Praça', '2700-44', 'Amadora', 'Médico', 'Portuguesa', 'Bilhete de Identidade', '71192882', '190466321', '590719808', '928805344', 'med030@hospital.upskill.com', 'doctor-female.jpg'),</v>
      </c>
      <c r="X20" t="str">
        <f t="shared" si="2"/>
        <v>(19,'3301398631773150', '19'),</v>
      </c>
      <c r="Y20" t="str">
        <f t="shared" si="3"/>
        <v>(19),</v>
      </c>
    </row>
    <row r="21" spans="1:25" x14ac:dyDescent="0.25">
      <c r="A21">
        <v>20</v>
      </c>
      <c r="B21" t="s">
        <v>515</v>
      </c>
      <c r="C21" t="s">
        <v>516</v>
      </c>
      <c r="D21" t="s">
        <v>517</v>
      </c>
      <c r="E21" t="s">
        <v>53</v>
      </c>
      <c r="F21" s="7">
        <v>38538</v>
      </c>
      <c r="G21" t="s">
        <v>241</v>
      </c>
      <c r="H21" t="s">
        <v>518</v>
      </c>
      <c r="I21" t="s">
        <v>211</v>
      </c>
      <c r="J21" t="s">
        <v>3726</v>
      </c>
      <c r="K21" t="s">
        <v>225</v>
      </c>
      <c r="L21" t="s">
        <v>265</v>
      </c>
      <c r="M21" t="s">
        <v>519</v>
      </c>
      <c r="N21" t="s">
        <v>520</v>
      </c>
      <c r="O21" t="s">
        <v>521</v>
      </c>
      <c r="P21" t="s">
        <v>522</v>
      </c>
      <c r="Q21" t="s">
        <v>523</v>
      </c>
      <c r="R21" t="str">
        <f t="shared" si="0"/>
        <v>doctor-male.jpg</v>
      </c>
      <c r="S21" s="8">
        <v>8847769276761308</v>
      </c>
      <c r="T21">
        <v>20</v>
      </c>
      <c r="W21" t="str">
        <f t="shared" si="1"/>
        <v>(20,'med031', 'pswmed031', 'Luís Amorim', 'Masculino', '2005-07-05', 'Rua da Prata', '1069-799', 'Lisboa', 'Médico', 'Portuguesa', 'Bilhete de Identidade', '72552448', '678254929', '430801507', '937121327', 'med031@hospital.upskill.com', 'doctor-male.jpg'),</v>
      </c>
      <c r="X21" t="str">
        <f t="shared" si="2"/>
        <v>(20,'8847769276761310', '20'),</v>
      </c>
      <c r="Y21" t="str">
        <f t="shared" si="3"/>
        <v>(20),</v>
      </c>
    </row>
    <row r="22" spans="1:25" x14ac:dyDescent="0.25">
      <c r="A22">
        <v>21</v>
      </c>
      <c r="B22" t="s">
        <v>524</v>
      </c>
      <c r="C22" t="s">
        <v>525</v>
      </c>
      <c r="D22" t="s">
        <v>526</v>
      </c>
      <c r="E22" t="s">
        <v>66</v>
      </c>
      <c r="F22" s="7">
        <v>22147</v>
      </c>
      <c r="G22" t="s">
        <v>255</v>
      </c>
      <c r="H22" t="s">
        <v>527</v>
      </c>
      <c r="I22" t="s">
        <v>211</v>
      </c>
      <c r="J22" t="s">
        <v>3726</v>
      </c>
      <c r="K22" t="s">
        <v>225</v>
      </c>
      <c r="L22" t="s">
        <v>265</v>
      </c>
      <c r="M22" t="s">
        <v>528</v>
      </c>
      <c r="N22" t="s">
        <v>529</v>
      </c>
      <c r="O22" t="s">
        <v>530</v>
      </c>
      <c r="P22" t="s">
        <v>531</v>
      </c>
      <c r="Q22" t="s">
        <v>532</v>
      </c>
      <c r="R22" t="str">
        <f t="shared" si="0"/>
        <v>doctor-female.jpg</v>
      </c>
      <c r="S22" s="8">
        <v>8108331378887167</v>
      </c>
      <c r="T22">
        <v>21</v>
      </c>
      <c r="W22" t="str">
        <f t="shared" si="1"/>
        <v>(21,'med032', 'pswmed032', 'Carolina Pinho', 'Feminino', '1960-08-19', 'Rua de São Bento', '1949-796', 'Lisboa', 'Médico', 'Portuguesa', 'Bilhete de Identidade', '62421317', '664223058', '759238919', '937730920', 'med032@hospital.upskill.com', 'doctor-female.jpg'),</v>
      </c>
      <c r="X22" t="str">
        <f t="shared" si="2"/>
        <v>(21,'8108331378887170', '21'),</v>
      </c>
      <c r="Y22" t="str">
        <f t="shared" si="3"/>
        <v>(21),</v>
      </c>
    </row>
    <row r="23" spans="1:25" x14ac:dyDescent="0.25">
      <c r="A23">
        <v>22</v>
      </c>
      <c r="B23" t="s">
        <v>533</v>
      </c>
      <c r="C23" t="s">
        <v>534</v>
      </c>
      <c r="D23" t="s">
        <v>535</v>
      </c>
      <c r="E23" t="s">
        <v>66</v>
      </c>
      <c r="F23" s="7">
        <v>26345</v>
      </c>
      <c r="G23" t="s">
        <v>261</v>
      </c>
      <c r="H23" t="s">
        <v>536</v>
      </c>
      <c r="I23" t="s">
        <v>211</v>
      </c>
      <c r="J23" t="s">
        <v>3726</v>
      </c>
      <c r="K23" t="s">
        <v>225</v>
      </c>
      <c r="L23" t="s">
        <v>265</v>
      </c>
      <c r="M23" t="s">
        <v>537</v>
      </c>
      <c r="N23" t="s">
        <v>538</v>
      </c>
      <c r="O23" t="s">
        <v>539</v>
      </c>
      <c r="P23" t="s">
        <v>540</v>
      </c>
      <c r="Q23" t="s">
        <v>541</v>
      </c>
      <c r="R23" t="str">
        <f t="shared" si="0"/>
        <v>doctor-female.jpg</v>
      </c>
      <c r="S23" s="8">
        <v>6240742426064936</v>
      </c>
      <c r="T23">
        <v>22</v>
      </c>
      <c r="W23" t="str">
        <f t="shared" si="1"/>
        <v>(22,'med033', 'pswmed033', 'Daniela Castro Baptista', 'Feminino', '1972-02-16', 'Rua do Carmo', '1998-138', 'Lisboa', 'Médico', 'Portuguesa', 'Bilhete de Identidade', '20364889', '892990128', '214105146', '928368747', 'med033@hospital.upskill.com', 'doctor-female.jpg'),</v>
      </c>
      <c r="X23" t="str">
        <f t="shared" si="2"/>
        <v>(22,'6240742426064940', '22'),</v>
      </c>
      <c r="Y23" t="str">
        <f t="shared" si="3"/>
        <v>(22),</v>
      </c>
    </row>
    <row r="24" spans="1:25" x14ac:dyDescent="0.25">
      <c r="A24">
        <v>23</v>
      </c>
      <c r="B24" t="s">
        <v>542</v>
      </c>
      <c r="C24" t="s">
        <v>543</v>
      </c>
      <c r="D24" t="s">
        <v>544</v>
      </c>
      <c r="E24" t="s">
        <v>53</v>
      </c>
      <c r="F24" s="7">
        <v>24701</v>
      </c>
      <c r="G24" t="s">
        <v>254</v>
      </c>
      <c r="H24" t="s">
        <v>545</v>
      </c>
      <c r="I24" t="s">
        <v>210</v>
      </c>
      <c r="J24" t="s">
        <v>3726</v>
      </c>
      <c r="K24" t="s">
        <v>225</v>
      </c>
      <c r="L24" t="s">
        <v>265</v>
      </c>
      <c r="M24" t="s">
        <v>546</v>
      </c>
      <c r="N24" t="s">
        <v>547</v>
      </c>
      <c r="O24" t="s">
        <v>548</v>
      </c>
      <c r="P24" t="s">
        <v>549</v>
      </c>
      <c r="Q24" t="s">
        <v>550</v>
      </c>
      <c r="R24" t="str">
        <f t="shared" si="0"/>
        <v>doctor-male.jpg</v>
      </c>
      <c r="S24" s="8">
        <v>5963639110545175</v>
      </c>
      <c r="T24">
        <v>23</v>
      </c>
      <c r="W24" t="str">
        <f t="shared" si="1"/>
        <v>(23,'med034', 'pswmed034', 'Luís Ferreira Morais', 'Masculino', '1967-08-17', 'Rua do Sacramento à Lapa', '2614-252', 'Amadora', 'Médico', 'Portuguesa', 'Bilhete de Identidade', '39542763', '181657084', '924064526', '923033282', 'med034@hospital.upskill.com', 'doctor-male.jpg'),</v>
      </c>
      <c r="X24" t="str">
        <f t="shared" si="2"/>
        <v>(23,'5963639110545170', '23'),</v>
      </c>
      <c r="Y24" t="str">
        <f t="shared" si="3"/>
        <v>(23),</v>
      </c>
    </row>
    <row r="25" spans="1:25" x14ac:dyDescent="0.25">
      <c r="A25">
        <v>24</v>
      </c>
      <c r="B25" t="s">
        <v>551</v>
      </c>
      <c r="C25" t="s">
        <v>552</v>
      </c>
      <c r="D25" t="s">
        <v>553</v>
      </c>
      <c r="E25" t="s">
        <v>66</v>
      </c>
      <c r="F25" s="7">
        <v>36840</v>
      </c>
      <c r="G25" t="s">
        <v>257</v>
      </c>
      <c r="H25" t="s">
        <v>554</v>
      </c>
      <c r="I25" t="s">
        <v>211</v>
      </c>
      <c r="J25" t="s">
        <v>3726</v>
      </c>
      <c r="K25" t="s">
        <v>225</v>
      </c>
      <c r="L25" t="s">
        <v>265</v>
      </c>
      <c r="M25" t="s">
        <v>555</v>
      </c>
      <c r="N25" t="s">
        <v>556</v>
      </c>
      <c r="O25" t="s">
        <v>557</v>
      </c>
      <c r="P25" t="s">
        <v>558</v>
      </c>
      <c r="Q25" t="s">
        <v>559</v>
      </c>
      <c r="R25" t="str">
        <f t="shared" si="0"/>
        <v>doctor-female.jpg</v>
      </c>
      <c r="S25" s="8">
        <v>8126843334640376</v>
      </c>
      <c r="T25">
        <v>24</v>
      </c>
      <c r="W25" t="str">
        <f t="shared" si="1"/>
        <v>(24,'med035', 'pswmed035', 'Joana Fernandes Ferreira', 'Feminino', '2000-11-10', 'Rua do Sol a Santana', '1169-44', 'Lisboa', 'Médico', 'Portuguesa', 'Bilhete de Identidade', '75787908', '259223217', '655526951', '932650211', 'med035@hospital.upskill.com', 'doctor-female.jpg'),</v>
      </c>
      <c r="X25" t="str">
        <f t="shared" si="2"/>
        <v>(24,'8126843334640380', '24'),</v>
      </c>
      <c r="Y25" t="str">
        <f t="shared" si="3"/>
        <v>(24),</v>
      </c>
    </row>
    <row r="26" spans="1:25" x14ac:dyDescent="0.25">
      <c r="A26">
        <v>25</v>
      </c>
      <c r="B26" t="s">
        <v>560</v>
      </c>
      <c r="C26" t="s">
        <v>561</v>
      </c>
      <c r="D26" t="s">
        <v>562</v>
      </c>
      <c r="E26" t="s">
        <v>53</v>
      </c>
      <c r="F26" s="7">
        <v>40951</v>
      </c>
      <c r="G26" t="s">
        <v>262</v>
      </c>
      <c r="H26" t="s">
        <v>563</v>
      </c>
      <c r="I26" t="s">
        <v>206</v>
      </c>
      <c r="J26" t="s">
        <v>3726</v>
      </c>
      <c r="K26" t="s">
        <v>225</v>
      </c>
      <c r="L26" t="s">
        <v>265</v>
      </c>
      <c r="M26" t="s">
        <v>564</v>
      </c>
      <c r="N26" t="s">
        <v>565</v>
      </c>
      <c r="O26" t="s">
        <v>566</v>
      </c>
      <c r="P26" t="s">
        <v>567</v>
      </c>
      <c r="Q26" t="s">
        <v>568</v>
      </c>
      <c r="R26" t="str">
        <f t="shared" si="0"/>
        <v>doctor-male.jpg</v>
      </c>
      <c r="S26" s="8">
        <v>7361614315673224</v>
      </c>
      <c r="T26">
        <v>25</v>
      </c>
      <c r="W26" t="str">
        <f t="shared" si="1"/>
        <v>(25,'med036', 'pswmed036', 'José Gaspar Leal', 'Masculino', '2012-02-12', 'Estrada Militar', '2714-547', 'Sintra', 'Médico', 'Portuguesa', 'Bilhete de Identidade', '80146984', '469380803', '314734480', '966190771', 'med036@hospital.upskill.com', 'doctor-male.jpg'),</v>
      </c>
      <c r="X26" t="str">
        <f t="shared" si="2"/>
        <v>(25,'7361614315673220', '25'),</v>
      </c>
      <c r="Y26" t="str">
        <f t="shared" si="3"/>
        <v>(25),</v>
      </c>
    </row>
    <row r="27" spans="1:25" x14ac:dyDescent="0.25">
      <c r="A27">
        <v>26</v>
      </c>
      <c r="B27" t="s">
        <v>569</v>
      </c>
      <c r="C27" t="s">
        <v>570</v>
      </c>
      <c r="D27" t="s">
        <v>571</v>
      </c>
      <c r="E27" t="s">
        <v>53</v>
      </c>
      <c r="F27" s="7">
        <v>43838</v>
      </c>
      <c r="G27" t="s">
        <v>240</v>
      </c>
      <c r="H27" t="s">
        <v>572</v>
      </c>
      <c r="I27" t="s">
        <v>207</v>
      </c>
      <c r="J27" t="s">
        <v>3726</v>
      </c>
      <c r="K27" t="s">
        <v>225</v>
      </c>
      <c r="L27" t="s">
        <v>265</v>
      </c>
      <c r="M27" t="s">
        <v>573</v>
      </c>
      <c r="N27" t="s">
        <v>574</v>
      </c>
      <c r="O27" t="s">
        <v>575</v>
      </c>
      <c r="P27" t="s">
        <v>576</v>
      </c>
      <c r="Q27" t="s">
        <v>577</v>
      </c>
      <c r="R27" t="str">
        <f t="shared" si="0"/>
        <v>doctor-male.jpg</v>
      </c>
      <c r="S27" s="8">
        <v>8439439126510820</v>
      </c>
      <c r="T27">
        <v>26</v>
      </c>
      <c r="W27" t="str">
        <f t="shared" si="1"/>
        <v>(26,'med037', 'pswmed037', 'Afonso Lourenço Abreu', 'Masculino', '2020-01-08', 'Calçada do Poço dos Mouros', '2749-892', 'Queluz', 'Médico', 'Portuguesa', 'Bilhete de Identidade', '69635686', '911856714', '635897481', '933580171', 'med037@hospital.upskill.com', 'doctor-male.jpg'),</v>
      </c>
      <c r="X27" t="str">
        <f t="shared" si="2"/>
        <v>(26,'8439439126510820', '26'),</v>
      </c>
      <c r="Y27" t="str">
        <f t="shared" si="3"/>
        <v>(26),</v>
      </c>
    </row>
    <row r="28" spans="1:25" x14ac:dyDescent="0.25">
      <c r="A28">
        <v>27</v>
      </c>
      <c r="B28" t="s">
        <v>578</v>
      </c>
      <c r="C28" t="s">
        <v>579</v>
      </c>
      <c r="D28" t="s">
        <v>580</v>
      </c>
      <c r="E28" t="s">
        <v>53</v>
      </c>
      <c r="F28" s="7">
        <v>13937</v>
      </c>
      <c r="G28" t="s">
        <v>230</v>
      </c>
      <c r="H28" t="s">
        <v>581</v>
      </c>
      <c r="I28" t="s">
        <v>211</v>
      </c>
      <c r="J28" t="s">
        <v>3726</v>
      </c>
      <c r="K28" t="s">
        <v>225</v>
      </c>
      <c r="L28" t="s">
        <v>265</v>
      </c>
      <c r="M28" t="s">
        <v>582</v>
      </c>
      <c r="N28" t="s">
        <v>583</v>
      </c>
      <c r="O28" t="s">
        <v>584</v>
      </c>
      <c r="P28" t="s">
        <v>585</v>
      </c>
      <c r="Q28" t="s">
        <v>586</v>
      </c>
      <c r="R28" t="str">
        <f t="shared" si="0"/>
        <v>doctor-male.jpg</v>
      </c>
      <c r="S28" s="8">
        <v>4874995997245261</v>
      </c>
      <c r="T28">
        <v>27</v>
      </c>
      <c r="W28" t="str">
        <f t="shared" si="1"/>
        <v>(27,'med038', 'pswmed038', 'Luís Ramos Ramos', 'Masculino', '1938-02-26', 'Estrada da Circunvalação de Lisboa', '1199-850', 'Lisboa', 'Médico', 'Portuguesa', 'Bilhete de Identidade', '41414797', '128347042', '110244371', '968194030', 'med038@hospital.upskill.com', 'doctor-male.jpg'),</v>
      </c>
      <c r="X28" t="str">
        <f t="shared" si="2"/>
        <v>(27,'4874995997245260', '27'),</v>
      </c>
      <c r="Y28" t="str">
        <f t="shared" si="3"/>
        <v>(27),</v>
      </c>
    </row>
    <row r="29" spans="1:25" x14ac:dyDescent="0.25">
      <c r="A29">
        <v>28</v>
      </c>
      <c r="B29" t="s">
        <v>587</v>
      </c>
      <c r="C29" t="s">
        <v>588</v>
      </c>
      <c r="D29" t="s">
        <v>589</v>
      </c>
      <c r="E29" t="s">
        <v>53</v>
      </c>
      <c r="F29" s="7">
        <v>32387</v>
      </c>
      <c r="G29" t="s">
        <v>242</v>
      </c>
      <c r="H29" t="s">
        <v>590</v>
      </c>
      <c r="I29" t="s">
        <v>210</v>
      </c>
      <c r="J29" t="s">
        <v>3726</v>
      </c>
      <c r="K29" t="s">
        <v>225</v>
      </c>
      <c r="L29" t="s">
        <v>265</v>
      </c>
      <c r="M29" t="s">
        <v>591</v>
      </c>
      <c r="N29" t="s">
        <v>592</v>
      </c>
      <c r="O29" t="s">
        <v>593</v>
      </c>
      <c r="P29" t="s">
        <v>594</v>
      </c>
      <c r="Q29" t="s">
        <v>595</v>
      </c>
      <c r="R29" t="str">
        <f t="shared" si="0"/>
        <v>doctor-male.jpg</v>
      </c>
      <c r="S29" s="8">
        <v>9342861646675548</v>
      </c>
      <c r="T29">
        <v>28</v>
      </c>
      <c r="W29" t="str">
        <f t="shared" si="1"/>
        <v>(28,'med039', 'pswmed039', 'José Cruz Matos', 'Masculino', '1988-09-01', 'Avenida Ressano Garcia', '2720-10', 'Amadora', 'Médico', 'Portuguesa', 'Bilhete de Identidade', '34631755', '136840423', '154068972', '939911331', 'med039@hospital.upskill.com', 'doctor-male.jpg'),</v>
      </c>
      <c r="X29" t="str">
        <f t="shared" si="2"/>
        <v>(28,'9342861646675550', '28'),</v>
      </c>
      <c r="Y29" t="str">
        <f t="shared" si="3"/>
        <v>(28),</v>
      </c>
    </row>
    <row r="30" spans="1:25" x14ac:dyDescent="0.25">
      <c r="A30">
        <v>29</v>
      </c>
      <c r="B30" t="s">
        <v>596</v>
      </c>
      <c r="C30" t="s">
        <v>597</v>
      </c>
      <c r="D30" t="s">
        <v>598</v>
      </c>
      <c r="E30" t="s">
        <v>53</v>
      </c>
      <c r="F30" s="7">
        <v>10615</v>
      </c>
      <c r="G30" t="s">
        <v>231</v>
      </c>
      <c r="H30" t="s">
        <v>599</v>
      </c>
      <c r="I30" t="s">
        <v>218</v>
      </c>
      <c r="J30" t="s">
        <v>3726</v>
      </c>
      <c r="K30" t="s">
        <v>225</v>
      </c>
      <c r="L30" t="s">
        <v>265</v>
      </c>
      <c r="M30" t="s">
        <v>600</v>
      </c>
      <c r="N30" t="s">
        <v>601</v>
      </c>
      <c r="O30" t="s">
        <v>602</v>
      </c>
      <c r="P30" t="s">
        <v>603</v>
      </c>
      <c r="Q30" t="s">
        <v>604</v>
      </c>
      <c r="R30" t="str">
        <f t="shared" si="0"/>
        <v>doctor-male.jpg</v>
      </c>
      <c r="S30" s="8">
        <v>6969619241154319</v>
      </c>
      <c r="T30">
        <v>29</v>
      </c>
      <c r="W30" t="str">
        <f t="shared" si="1"/>
        <v>(29,'med040', 'pswmed040', 'José Cardoso Castro', 'Masculino', '1929-01-22', 'Rua dos Fanqueiros', '2775-554', 'Carcavelos', 'Médico', 'Portuguesa', 'Bilhete de Identidade', '74296340', '931018102', '914845039', '925694345', 'med040@hospital.upskill.com', 'doctor-male.jpg'),</v>
      </c>
      <c r="X30" t="str">
        <f t="shared" si="2"/>
        <v>(29,'6969619241154320', '29'),</v>
      </c>
      <c r="Y30" t="str">
        <f t="shared" si="3"/>
        <v>(29),</v>
      </c>
    </row>
    <row r="31" spans="1:25" x14ac:dyDescent="0.25">
      <c r="A31">
        <v>30</v>
      </c>
      <c r="B31" t="s">
        <v>605</v>
      </c>
      <c r="C31" t="s">
        <v>606</v>
      </c>
      <c r="D31" t="s">
        <v>607</v>
      </c>
      <c r="E31" t="s">
        <v>53</v>
      </c>
      <c r="F31" s="7">
        <v>28753</v>
      </c>
      <c r="G31" t="s">
        <v>241</v>
      </c>
      <c r="H31" t="s">
        <v>608</v>
      </c>
      <c r="I31" t="s">
        <v>208</v>
      </c>
      <c r="J31" t="s">
        <v>3726</v>
      </c>
      <c r="K31" t="s">
        <v>225</v>
      </c>
      <c r="L31" t="s">
        <v>265</v>
      </c>
      <c r="M31" t="s">
        <v>609</v>
      </c>
      <c r="N31" t="s">
        <v>610</v>
      </c>
      <c r="O31" t="s">
        <v>611</v>
      </c>
      <c r="P31" t="s">
        <v>612</v>
      </c>
      <c r="Q31" t="s">
        <v>613</v>
      </c>
      <c r="R31" t="str">
        <f t="shared" si="0"/>
        <v>doctor-male.jpg</v>
      </c>
      <c r="S31" s="8">
        <v>3004061546598914</v>
      </c>
      <c r="T31">
        <v>30</v>
      </c>
      <c r="W31" t="str">
        <f t="shared" si="1"/>
        <v>(30,'med041', 'pswmed041', 'Tiago Ferreira Martins', 'Masculino', '1978-09-20', 'Rua da Prata', '2910-179', 'Setúbal', 'Médico', 'Portuguesa', 'Bilhete de Identidade', '38346486', '699992984', '360548211', '919223042', 'med041@hospital.upskill.com', 'doctor-male.jpg'),</v>
      </c>
      <c r="X31" t="str">
        <f t="shared" si="2"/>
        <v>(30,'3004061546598910', '30'),</v>
      </c>
      <c r="Y31" t="str">
        <f t="shared" si="3"/>
        <v>(30),</v>
      </c>
    </row>
    <row r="32" spans="1:25" x14ac:dyDescent="0.25">
      <c r="A32">
        <v>31</v>
      </c>
      <c r="B32" t="s">
        <v>614</v>
      </c>
      <c r="C32" t="s">
        <v>615</v>
      </c>
      <c r="D32" t="s">
        <v>616</v>
      </c>
      <c r="E32" t="s">
        <v>53</v>
      </c>
      <c r="F32" s="7">
        <v>20196</v>
      </c>
      <c r="G32" t="s">
        <v>246</v>
      </c>
      <c r="H32" t="s">
        <v>617</v>
      </c>
      <c r="I32" t="s">
        <v>211</v>
      </c>
      <c r="J32" t="s">
        <v>3726</v>
      </c>
      <c r="K32" t="s">
        <v>225</v>
      </c>
      <c r="L32" t="s">
        <v>265</v>
      </c>
      <c r="M32" t="s">
        <v>618</v>
      </c>
      <c r="N32" t="s">
        <v>619</v>
      </c>
      <c r="O32" t="s">
        <v>620</v>
      </c>
      <c r="P32" t="s">
        <v>621</v>
      </c>
      <c r="Q32" t="s">
        <v>622</v>
      </c>
      <c r="R32" t="str">
        <f t="shared" si="0"/>
        <v>doctor-male.jpg</v>
      </c>
      <c r="S32" s="8">
        <v>1173454742112441</v>
      </c>
      <c r="T32">
        <v>31</v>
      </c>
      <c r="W32" t="str">
        <f t="shared" si="1"/>
        <v>(31,'med042', 'pswmed042', 'Gabriel Matos Carneiro', 'Masculino', '1955-04-17', 'Rua do Guarda-Mor', '1099-465', 'Lisboa', 'Médico', 'Portuguesa', 'Bilhete de Identidade', '68051463', '141253950', '258508634', '924622420', 'med042@hospital.upskill.com', 'doctor-male.jpg'),</v>
      </c>
      <c r="X32" t="str">
        <f t="shared" si="2"/>
        <v>(31,'1173454742112440', '31'),</v>
      </c>
      <c r="Y32" t="str">
        <f t="shared" si="3"/>
        <v>(31),</v>
      </c>
    </row>
    <row r="33" spans="1:25" x14ac:dyDescent="0.25">
      <c r="A33">
        <v>32</v>
      </c>
      <c r="B33" t="s">
        <v>623</v>
      </c>
      <c r="C33" t="s">
        <v>624</v>
      </c>
      <c r="D33" t="s">
        <v>625</v>
      </c>
      <c r="E33" t="s">
        <v>53</v>
      </c>
      <c r="F33" s="7">
        <v>28461</v>
      </c>
      <c r="G33" t="s">
        <v>257</v>
      </c>
      <c r="H33" t="s">
        <v>626</v>
      </c>
      <c r="I33" t="s">
        <v>217</v>
      </c>
      <c r="J33" t="s">
        <v>3726</v>
      </c>
      <c r="K33" t="s">
        <v>225</v>
      </c>
      <c r="L33" t="s">
        <v>265</v>
      </c>
      <c r="M33" t="s">
        <v>627</v>
      </c>
      <c r="N33" t="s">
        <v>628</v>
      </c>
      <c r="O33" t="s">
        <v>629</v>
      </c>
      <c r="P33" t="s">
        <v>630</v>
      </c>
      <c r="Q33" t="s">
        <v>631</v>
      </c>
      <c r="R33" t="str">
        <f t="shared" si="0"/>
        <v>doctor-male.jpg</v>
      </c>
      <c r="S33" s="8">
        <v>8066504062338180</v>
      </c>
      <c r="T33">
        <v>32</v>
      </c>
      <c r="W33" t="str">
        <f t="shared" si="1"/>
        <v>(32,'med043', 'pswmed043', 'Miguel Almeida Lima', 'Masculino', '1977-12-02', 'Rua do Sol a Santana', '2829-151', 'Caparica', 'Médico', 'Portuguesa', 'Bilhete de Identidade', '98739895', '117389003', '282445387', '919692272', 'med043@hospital.upskill.com', 'doctor-male.jpg'),</v>
      </c>
      <c r="X33" t="str">
        <f t="shared" si="2"/>
        <v>(32,'8066504062338180', '32'),</v>
      </c>
      <c r="Y33" t="str">
        <f t="shared" si="3"/>
        <v>(32),</v>
      </c>
    </row>
    <row r="34" spans="1:25" x14ac:dyDescent="0.25">
      <c r="A34">
        <v>33</v>
      </c>
      <c r="B34" t="s">
        <v>632</v>
      </c>
      <c r="C34" t="s">
        <v>633</v>
      </c>
      <c r="D34" t="s">
        <v>634</v>
      </c>
      <c r="E34" t="s">
        <v>53</v>
      </c>
      <c r="F34" s="7">
        <v>36293</v>
      </c>
      <c r="G34" t="s">
        <v>253</v>
      </c>
      <c r="H34" t="s">
        <v>635</v>
      </c>
      <c r="I34" t="s">
        <v>211</v>
      </c>
      <c r="J34" t="s">
        <v>3726</v>
      </c>
      <c r="K34" t="s">
        <v>225</v>
      </c>
      <c r="L34" t="s">
        <v>265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tr">
        <f t="shared" si="0"/>
        <v>doctor-male.jpg</v>
      </c>
      <c r="S34" s="8">
        <v>7352840979796116</v>
      </c>
      <c r="T34">
        <v>33</v>
      </c>
      <c r="W34" t="str">
        <f t="shared" si="1"/>
        <v>(33,'med044', 'pswmed044', 'Marco Amorim Santos', 'Masculino', '1999-05-13', 'Rua de São Mamede', '1200-680', 'Lisboa', 'Médico', 'Portuguesa', 'Bilhete de Identidade', '34959489', '292181130', '382000530', '935788418', 'med044@hospital.upskill.com', 'doctor-male.jpg'),</v>
      </c>
      <c r="X34" t="str">
        <f t="shared" si="2"/>
        <v>(33,'7352840979796120', '33'),</v>
      </c>
      <c r="Y34" t="str">
        <f t="shared" si="3"/>
        <v>(33),</v>
      </c>
    </row>
    <row r="35" spans="1:25" x14ac:dyDescent="0.25">
      <c r="A35">
        <v>34</v>
      </c>
      <c r="B35" t="s">
        <v>641</v>
      </c>
      <c r="C35" t="s">
        <v>642</v>
      </c>
      <c r="D35" t="s">
        <v>643</v>
      </c>
      <c r="E35" t="s">
        <v>53</v>
      </c>
      <c r="F35" s="7">
        <v>14532</v>
      </c>
      <c r="G35" t="s">
        <v>228</v>
      </c>
      <c r="H35" t="s">
        <v>644</v>
      </c>
      <c r="I35" t="s">
        <v>211</v>
      </c>
      <c r="J35" t="s">
        <v>3726</v>
      </c>
      <c r="K35" t="s">
        <v>225</v>
      </c>
      <c r="L35" t="s">
        <v>265</v>
      </c>
      <c r="M35" t="s">
        <v>645</v>
      </c>
      <c r="N35" t="s">
        <v>646</v>
      </c>
      <c r="O35" t="s">
        <v>647</v>
      </c>
      <c r="P35" t="s">
        <v>648</v>
      </c>
      <c r="Q35" t="s">
        <v>649</v>
      </c>
      <c r="R35" t="str">
        <f t="shared" si="0"/>
        <v>doctor-male.jpg</v>
      </c>
      <c r="S35" s="8">
        <v>2308939406399293</v>
      </c>
      <c r="T35">
        <v>34</v>
      </c>
      <c r="W35" t="str">
        <f t="shared" si="1"/>
        <v>(34,'med045', 'pswmed045', 'Marco Alves Antunes', 'Masculino', '1939-10-14', 'Calçada de Carriche', '1150-167', 'Lisboa', 'Médico', 'Portuguesa', 'Bilhete de Identidade', '22509017', '284010712', '397574699', '934324382', 'med045@hospital.upskill.com', 'doctor-male.jpg'),</v>
      </c>
      <c r="X35" t="str">
        <f t="shared" si="2"/>
        <v>(34,'2308939406399290', '34'),</v>
      </c>
      <c r="Y35" t="str">
        <f t="shared" si="3"/>
        <v>(34),</v>
      </c>
    </row>
    <row r="36" spans="1:25" x14ac:dyDescent="0.25">
      <c r="A36">
        <v>35</v>
      </c>
      <c r="B36" t="s">
        <v>650</v>
      </c>
      <c r="C36" t="s">
        <v>651</v>
      </c>
      <c r="D36" t="s">
        <v>652</v>
      </c>
      <c r="E36" t="s">
        <v>53</v>
      </c>
      <c r="F36" s="7">
        <v>41931</v>
      </c>
      <c r="G36" t="s">
        <v>239</v>
      </c>
      <c r="H36" t="s">
        <v>653</v>
      </c>
      <c r="I36" t="s">
        <v>201</v>
      </c>
      <c r="J36" t="s">
        <v>3726</v>
      </c>
      <c r="K36" t="s">
        <v>225</v>
      </c>
      <c r="L36" t="s">
        <v>265</v>
      </c>
      <c r="M36" t="s">
        <v>654</v>
      </c>
      <c r="N36" t="s">
        <v>655</v>
      </c>
      <c r="O36" t="s">
        <v>656</v>
      </c>
      <c r="P36" t="s">
        <v>657</v>
      </c>
      <c r="Q36" t="s">
        <v>658</v>
      </c>
      <c r="R36" t="str">
        <f t="shared" si="0"/>
        <v>doctor-male.jpg</v>
      </c>
      <c r="S36" s="8">
        <v>1840319880092169</v>
      </c>
      <c r="T36">
        <v>35</v>
      </c>
      <c r="W36" t="str">
        <f t="shared" si="1"/>
        <v>(35,'med046', 'pswmed046', 'Afonso Mota Pinho', 'Masculino', '2014-10-19', 'Rua da Oliveira ao Carmo', '2420-892', 'Leiria', 'Médico', 'Portuguesa', 'Bilhete de Identidade', '57598220', '815923823', '353708725', '922666499', 'med046@hospital.upskill.com', 'doctor-male.jpg'),</v>
      </c>
      <c r="X36" t="str">
        <f t="shared" si="2"/>
        <v>(35,'1840319880092170', '35'),</v>
      </c>
      <c r="Y36" t="str">
        <f t="shared" si="3"/>
        <v>(35),</v>
      </c>
    </row>
    <row r="37" spans="1:25" x14ac:dyDescent="0.25">
      <c r="A37">
        <v>36</v>
      </c>
      <c r="B37" t="s">
        <v>659</v>
      </c>
      <c r="C37" t="s">
        <v>660</v>
      </c>
      <c r="D37" t="s">
        <v>661</v>
      </c>
      <c r="E37" t="s">
        <v>53</v>
      </c>
      <c r="F37" s="7">
        <v>42843</v>
      </c>
      <c r="G37" t="s">
        <v>250</v>
      </c>
      <c r="H37" t="s">
        <v>662</v>
      </c>
      <c r="I37" t="s">
        <v>201</v>
      </c>
      <c r="J37" t="s">
        <v>3726</v>
      </c>
      <c r="K37" t="s">
        <v>225</v>
      </c>
      <c r="L37" t="s">
        <v>265</v>
      </c>
      <c r="M37" t="s">
        <v>663</v>
      </c>
      <c r="N37" t="s">
        <v>664</v>
      </c>
      <c r="O37" t="s">
        <v>665</v>
      </c>
      <c r="P37" t="s">
        <v>666</v>
      </c>
      <c r="Q37" t="s">
        <v>667</v>
      </c>
      <c r="R37" t="str">
        <f t="shared" si="0"/>
        <v>doctor-male.jpg</v>
      </c>
      <c r="S37" s="8">
        <v>1251472163072044</v>
      </c>
      <c r="T37">
        <v>36</v>
      </c>
      <c r="W37" t="str">
        <f t="shared" si="1"/>
        <v>(36,'med047', 'pswmed047', 'Santiago Figueiredo Pinheiro', 'Masculino', '2017-04-18', 'Rua Nova do Almada', '2414-205', 'Leiria', 'Médico', 'Portuguesa', 'Bilhete de Identidade', '94304833', '599516459', '886533774', '962633745', 'med047@hospital.upskill.com', 'doctor-male.jpg'),</v>
      </c>
      <c r="X37" t="str">
        <f t="shared" si="2"/>
        <v>(36,'1251472163072040', '36'),</v>
      </c>
      <c r="Y37" t="str">
        <f t="shared" si="3"/>
        <v>(36),</v>
      </c>
    </row>
    <row r="38" spans="1:25" x14ac:dyDescent="0.25">
      <c r="A38">
        <v>37</v>
      </c>
      <c r="B38" t="s">
        <v>668</v>
      </c>
      <c r="C38" t="s">
        <v>669</v>
      </c>
      <c r="D38" t="s">
        <v>670</v>
      </c>
      <c r="E38" t="s">
        <v>66</v>
      </c>
      <c r="F38" s="7">
        <v>25752</v>
      </c>
      <c r="G38" t="s">
        <v>246</v>
      </c>
      <c r="H38" t="s">
        <v>671</v>
      </c>
      <c r="I38" t="s">
        <v>212</v>
      </c>
      <c r="J38" t="s">
        <v>3726</v>
      </c>
      <c r="K38" t="s">
        <v>225</v>
      </c>
      <c r="L38" t="s">
        <v>265</v>
      </c>
      <c r="M38" t="s">
        <v>672</v>
      </c>
      <c r="N38" t="s">
        <v>673</v>
      </c>
      <c r="O38" t="s">
        <v>674</v>
      </c>
      <c r="P38" t="s">
        <v>675</v>
      </c>
      <c r="Q38" t="s">
        <v>676</v>
      </c>
      <c r="R38" t="str">
        <f t="shared" si="0"/>
        <v>doctor-female.jpg</v>
      </c>
      <c r="S38" s="8">
        <v>3797365769213234</v>
      </c>
      <c r="T38">
        <v>37</v>
      </c>
      <c r="W38" t="str">
        <f t="shared" si="1"/>
        <v>(37,'med048', 'pswmed048', 'Joana Sá Garcia', 'Feminino', '1970-07-03', 'Rua do Guarda-Mor', '2670-910', 'Loures', 'Médico', 'Portuguesa', 'Bilhete de Identidade', '74539669', '438575984', '299529729', '966895040', 'med048@hospital.upskill.com', 'doctor-female.jpg'),</v>
      </c>
      <c r="X38" t="str">
        <f t="shared" si="2"/>
        <v>(37,'3797365769213230', '37'),</v>
      </c>
      <c r="Y38" t="str">
        <f t="shared" si="3"/>
        <v>(37),</v>
      </c>
    </row>
    <row r="39" spans="1:25" x14ac:dyDescent="0.25">
      <c r="A39">
        <v>38</v>
      </c>
      <c r="B39" t="s">
        <v>677</v>
      </c>
      <c r="C39" t="s">
        <v>678</v>
      </c>
      <c r="D39" t="s">
        <v>679</v>
      </c>
      <c r="E39" t="s">
        <v>66</v>
      </c>
      <c r="F39" s="7">
        <v>23798</v>
      </c>
      <c r="G39" t="s">
        <v>261</v>
      </c>
      <c r="H39" t="s">
        <v>680</v>
      </c>
      <c r="I39" t="s">
        <v>211</v>
      </c>
      <c r="J39" t="s">
        <v>3726</v>
      </c>
      <c r="K39" t="s">
        <v>225</v>
      </c>
      <c r="L39" t="s">
        <v>265</v>
      </c>
      <c r="M39" t="s">
        <v>681</v>
      </c>
      <c r="N39" t="s">
        <v>682</v>
      </c>
      <c r="O39" t="s">
        <v>683</v>
      </c>
      <c r="P39" t="s">
        <v>684</v>
      </c>
      <c r="Q39" t="s">
        <v>685</v>
      </c>
      <c r="R39" t="str">
        <f t="shared" si="0"/>
        <v>doctor-female.jpg</v>
      </c>
      <c r="S39" s="8">
        <v>3808248608505780</v>
      </c>
      <c r="T39">
        <v>38</v>
      </c>
      <c r="W39" t="str">
        <f t="shared" si="1"/>
        <v>(38,'med049', 'pswmed049', 'Beatriz Paiva Marques', 'Feminino', '1965-02-25', 'Rua do Carmo', '1067-805', 'Lisboa', 'Médico', 'Portuguesa', 'Bilhete de Identidade', '16191870', '721867444', '563703619', '920694885', 'med049@hospital.upskill.com', 'doctor-female.jpg'),</v>
      </c>
      <c r="X39" t="str">
        <f t="shared" si="2"/>
        <v>(38,'3808248608505780', '38'),</v>
      </c>
      <c r="Y39" t="str">
        <f t="shared" si="3"/>
        <v>(38),</v>
      </c>
    </row>
    <row r="40" spans="1:25" x14ac:dyDescent="0.25">
      <c r="A40">
        <v>39</v>
      </c>
      <c r="B40" t="s">
        <v>686</v>
      </c>
      <c r="C40" t="s">
        <v>687</v>
      </c>
      <c r="D40" t="s">
        <v>688</v>
      </c>
      <c r="E40" t="s">
        <v>53</v>
      </c>
      <c r="F40" s="7">
        <v>10175</v>
      </c>
      <c r="G40" t="s">
        <v>234</v>
      </c>
      <c r="H40" t="s">
        <v>689</v>
      </c>
      <c r="I40" t="s">
        <v>204</v>
      </c>
      <c r="J40" t="s">
        <v>3726</v>
      </c>
      <c r="K40" t="s">
        <v>225</v>
      </c>
      <c r="L40" t="s">
        <v>265</v>
      </c>
      <c r="M40" t="s">
        <v>690</v>
      </c>
      <c r="N40" t="s">
        <v>691</v>
      </c>
      <c r="O40" t="s">
        <v>692</v>
      </c>
      <c r="P40" t="s">
        <v>693</v>
      </c>
      <c r="Q40" t="s">
        <v>694</v>
      </c>
      <c r="R40" t="str">
        <f t="shared" si="0"/>
        <v>doctor-male.jpg</v>
      </c>
      <c r="S40" s="8">
        <v>8331815996323083</v>
      </c>
      <c r="T40">
        <v>39</v>
      </c>
      <c r="W40" t="str">
        <f t="shared" si="1"/>
        <v>(39,'med050', 'pswmed050', 'Afonso José Tavares Miranda', 'Masculino', '1927-11-09', 'Rua do Instituto Bacteriológico', '2560-542', 'Torres Vedras', 'Médico', 'Portuguesa', 'Bilhete de Identidade', '39670437', '453096007', '253870958', '938362729', 'med050@hospital.upskill.com', 'doctor-male.jpg'),</v>
      </c>
      <c r="X40" t="str">
        <f t="shared" si="2"/>
        <v>(39,'8331815996323080', '39'),</v>
      </c>
      <c r="Y40" t="str">
        <f t="shared" si="3"/>
        <v>(39),</v>
      </c>
    </row>
    <row r="41" spans="1:25" x14ac:dyDescent="0.25">
      <c r="A41">
        <v>40</v>
      </c>
      <c r="B41" t="s">
        <v>695</v>
      </c>
      <c r="C41" t="s">
        <v>696</v>
      </c>
      <c r="D41" t="s">
        <v>697</v>
      </c>
      <c r="E41" t="s">
        <v>53</v>
      </c>
      <c r="F41" s="7">
        <v>16409</v>
      </c>
      <c r="G41" t="s">
        <v>236</v>
      </c>
      <c r="H41" t="s">
        <v>698</v>
      </c>
      <c r="I41" t="s">
        <v>211</v>
      </c>
      <c r="J41" t="s">
        <v>3726</v>
      </c>
      <c r="K41" t="s">
        <v>225</v>
      </c>
      <c r="L41" t="s">
        <v>265</v>
      </c>
      <c r="M41" t="s">
        <v>699</v>
      </c>
      <c r="N41" t="s">
        <v>700</v>
      </c>
      <c r="O41" t="s">
        <v>701</v>
      </c>
      <c r="P41" t="s">
        <v>702</v>
      </c>
      <c r="Q41" t="s">
        <v>703</v>
      </c>
      <c r="R41" t="str">
        <f t="shared" si="0"/>
        <v>doctor-male.jpg</v>
      </c>
      <c r="S41" s="8">
        <v>7859666677586880</v>
      </c>
      <c r="T41">
        <v>40</v>
      </c>
      <c r="W41" t="str">
        <f t="shared" si="1"/>
        <v>(40,'med051', 'pswmed051', 'Rodrigo Mariana Santos Araújo', 'Masculino', '1944-12-03', 'Rua da Madalena', '1649-98', 'Lisboa', 'Médico', 'Portuguesa', 'Bilhete de Identidade', '20780186', '313289654', '433671939', '932843056', 'med051@hospital.upskill.com', 'doctor-male.jpg'),</v>
      </c>
      <c r="X41" t="str">
        <f t="shared" si="2"/>
        <v>(40,'7859666677586880', '40'),</v>
      </c>
      <c r="Y41" t="str">
        <f t="shared" si="3"/>
        <v>(40),</v>
      </c>
    </row>
    <row r="42" spans="1:25" x14ac:dyDescent="0.25">
      <c r="A42">
        <v>41</v>
      </c>
      <c r="B42" t="s">
        <v>704</v>
      </c>
      <c r="C42" t="s">
        <v>705</v>
      </c>
      <c r="D42" t="s">
        <v>706</v>
      </c>
      <c r="E42" t="s">
        <v>66</v>
      </c>
      <c r="F42" s="7">
        <v>44012</v>
      </c>
      <c r="G42" t="s">
        <v>227</v>
      </c>
      <c r="H42" t="s">
        <v>707</v>
      </c>
      <c r="I42" t="s">
        <v>211</v>
      </c>
      <c r="J42" t="s">
        <v>3726</v>
      </c>
      <c r="K42" t="s">
        <v>225</v>
      </c>
      <c r="L42" t="s">
        <v>265</v>
      </c>
      <c r="M42" t="s">
        <v>708</v>
      </c>
      <c r="N42" t="s">
        <v>709</v>
      </c>
      <c r="O42" t="s">
        <v>710</v>
      </c>
      <c r="P42" t="s">
        <v>711</v>
      </c>
      <c r="Q42" t="s">
        <v>712</v>
      </c>
      <c r="R42" t="str">
        <f t="shared" si="0"/>
        <v>doctor-female.jpg</v>
      </c>
      <c r="S42" s="8">
        <v>7499154035523451</v>
      </c>
      <c r="T42">
        <v>41</v>
      </c>
      <c r="W42" t="str">
        <f t="shared" si="1"/>
        <v>(41,'med052', 'pswmed052', 'Matilde Sara Coelho Ribeiro', 'Feminino', '2020-06-30', 'Rua dos Bacalhoeiros', '1200-604', 'Lisboa', 'Médico', 'Portuguesa', 'Bilhete de Identidade', '68439063', '446859515', '747206327', '928171103', 'med052@hospital.upskill.com', 'doctor-female.jpg'),</v>
      </c>
      <c r="X42" t="str">
        <f t="shared" si="2"/>
        <v>(41,'7499154035523450', '41'),</v>
      </c>
      <c r="Y42" t="str">
        <f t="shared" si="3"/>
        <v>(41),</v>
      </c>
    </row>
    <row r="43" spans="1:25" x14ac:dyDescent="0.25">
      <c r="A43">
        <v>42</v>
      </c>
      <c r="B43" t="s">
        <v>713</v>
      </c>
      <c r="C43" t="s">
        <v>714</v>
      </c>
      <c r="D43" t="s">
        <v>715</v>
      </c>
      <c r="E43" t="s">
        <v>53</v>
      </c>
      <c r="F43" s="7">
        <v>21337</v>
      </c>
      <c r="G43" t="s">
        <v>244</v>
      </c>
      <c r="H43" t="s">
        <v>716</v>
      </c>
      <c r="I43" t="s">
        <v>211</v>
      </c>
      <c r="J43" t="s">
        <v>3726</v>
      </c>
      <c r="K43" t="s">
        <v>225</v>
      </c>
      <c r="L43" t="s">
        <v>265</v>
      </c>
      <c r="M43" t="s">
        <v>717</v>
      </c>
      <c r="N43" t="s">
        <v>718</v>
      </c>
      <c r="O43" t="s">
        <v>719</v>
      </c>
      <c r="P43" t="s">
        <v>720</v>
      </c>
      <c r="Q43" t="s">
        <v>721</v>
      </c>
      <c r="R43" t="str">
        <f t="shared" si="0"/>
        <v>doctor-male.jpg</v>
      </c>
      <c r="S43" s="8">
        <v>6827486180630314</v>
      </c>
      <c r="T43">
        <v>42</v>
      </c>
      <c r="W43" t="str">
        <f t="shared" si="1"/>
        <v>(42,'med053', 'pswmed053', 'Francisco Diogo Pires Assunção', 'Masculino', '1958-06-01', 'Rua da Betesga', '1349-903', 'Lisboa', 'Médico', 'Portuguesa', 'Bilhete de Identidade', '53705375', '227069487', '319750281', '927950886', 'med053@hospital.upskill.com', 'doctor-male.jpg'),</v>
      </c>
      <c r="X43" t="str">
        <f t="shared" si="2"/>
        <v>(42,'6827486180630310', '42'),</v>
      </c>
      <c r="Y43" t="str">
        <f t="shared" si="3"/>
        <v>(42),</v>
      </c>
    </row>
    <row r="44" spans="1:25" x14ac:dyDescent="0.25">
      <c r="A44">
        <v>43</v>
      </c>
      <c r="B44" t="s">
        <v>722</v>
      </c>
      <c r="C44" t="s">
        <v>723</v>
      </c>
      <c r="D44" t="s">
        <v>724</v>
      </c>
      <c r="E44" t="s">
        <v>53</v>
      </c>
      <c r="F44" s="7">
        <v>35631</v>
      </c>
      <c r="G44" t="s">
        <v>260</v>
      </c>
      <c r="H44" t="s">
        <v>725</v>
      </c>
      <c r="I44" t="s">
        <v>211</v>
      </c>
      <c r="J44" t="s">
        <v>3726</v>
      </c>
      <c r="K44" t="s">
        <v>225</v>
      </c>
      <c r="L44" t="s">
        <v>265</v>
      </c>
      <c r="M44" t="s">
        <v>726</v>
      </c>
      <c r="N44" t="s">
        <v>727</v>
      </c>
      <c r="O44" t="s">
        <v>728</v>
      </c>
      <c r="P44" t="s">
        <v>729</v>
      </c>
      <c r="Q44" t="s">
        <v>730</v>
      </c>
      <c r="R44" t="str">
        <f t="shared" si="0"/>
        <v>doctor-male.jpg</v>
      </c>
      <c r="S44" s="8">
        <v>1142627949407157</v>
      </c>
      <c r="T44">
        <v>43</v>
      </c>
      <c r="W44" t="str">
        <f t="shared" si="1"/>
        <v>(43,'med054', 'pswmed054', 'Tiago João Nogueira Matos', 'Masculino', '1997-07-20', 'Rua Augusta', '1100-761', 'Lisboa', 'Médico', 'Portuguesa', 'Bilhete de Identidade', '38589986', '559464074', '791898566', '939271963', 'med054@hospital.upskill.com', 'doctor-male.jpg'),</v>
      </c>
      <c r="X44" t="str">
        <f t="shared" si="2"/>
        <v>(43,'1142627949407160', '43'),</v>
      </c>
      <c r="Y44" t="str">
        <f t="shared" si="3"/>
        <v>(43),</v>
      </c>
    </row>
    <row r="45" spans="1:25" x14ac:dyDescent="0.25">
      <c r="A45">
        <v>44</v>
      </c>
      <c r="B45" t="s">
        <v>731</v>
      </c>
      <c r="C45" t="s">
        <v>732</v>
      </c>
      <c r="D45" t="s">
        <v>733</v>
      </c>
      <c r="E45" t="s">
        <v>53</v>
      </c>
      <c r="F45" s="7">
        <v>14541</v>
      </c>
      <c r="G45" t="s">
        <v>230</v>
      </c>
      <c r="H45" t="s">
        <v>734</v>
      </c>
      <c r="I45" t="s">
        <v>201</v>
      </c>
      <c r="J45" t="s">
        <v>3726</v>
      </c>
      <c r="K45" t="s">
        <v>225</v>
      </c>
      <c r="L45" t="s">
        <v>265</v>
      </c>
      <c r="M45" t="s">
        <v>735</v>
      </c>
      <c r="N45" t="s">
        <v>736</v>
      </c>
      <c r="O45" t="s">
        <v>737</v>
      </c>
      <c r="P45" t="s">
        <v>738</v>
      </c>
      <c r="Q45" t="s">
        <v>739</v>
      </c>
      <c r="R45" t="str">
        <f t="shared" si="0"/>
        <v>doctor-male.jpg</v>
      </c>
      <c r="S45" s="8">
        <v>6452315536057233</v>
      </c>
      <c r="T45">
        <v>44</v>
      </c>
      <c r="W45" t="str">
        <f t="shared" si="1"/>
        <v>(44,'med055', 'pswmed055', 'Pedro João Santos Gaspar', 'Masculino', '1939-10-23', 'Estrada da Circunvalação de Lisboa', '2419-31', 'Leiria', 'Médico', 'Portuguesa', 'Bilhete de Identidade', '45014313', '502140806', '316742900', '914529174', 'med055@hospital.upskill.com', 'doctor-male.jpg'),</v>
      </c>
      <c r="X45" t="str">
        <f t="shared" si="2"/>
        <v>(44,'6452315536057230', '44'),</v>
      </c>
      <c r="Y45" t="str">
        <f t="shared" si="3"/>
        <v>(44),</v>
      </c>
    </row>
    <row r="46" spans="1:25" x14ac:dyDescent="0.25">
      <c r="A46">
        <v>45</v>
      </c>
      <c r="B46" t="s">
        <v>740</v>
      </c>
      <c r="C46" t="s">
        <v>741</v>
      </c>
      <c r="D46" t="s">
        <v>742</v>
      </c>
      <c r="E46" t="s">
        <v>66</v>
      </c>
      <c r="F46" s="7">
        <v>10289</v>
      </c>
      <c r="G46" t="s">
        <v>260</v>
      </c>
      <c r="H46" t="s">
        <v>743</v>
      </c>
      <c r="I46" t="s">
        <v>211</v>
      </c>
      <c r="J46" t="s">
        <v>3726</v>
      </c>
      <c r="K46" t="s">
        <v>225</v>
      </c>
      <c r="L46" t="s">
        <v>265</v>
      </c>
      <c r="M46" t="s">
        <v>744</v>
      </c>
      <c r="N46" t="s">
        <v>745</v>
      </c>
      <c r="O46" t="s">
        <v>746</v>
      </c>
      <c r="P46" t="s">
        <v>747</v>
      </c>
      <c r="Q46" t="s">
        <v>748</v>
      </c>
      <c r="R46" t="str">
        <f t="shared" si="0"/>
        <v>doctor-female.jpg</v>
      </c>
      <c r="S46" s="8">
        <v>6892836598069327</v>
      </c>
      <c r="T46">
        <v>45</v>
      </c>
      <c r="W46" t="str">
        <f t="shared" si="1"/>
        <v>(45,'med056', 'pswmed056', 'Francisca João Moreira Ribeiro', 'Feminino', '1928-03-02', 'Rua Augusta', '1800-582', 'Lisboa', 'Médico', 'Portuguesa', 'Bilhete de Identidade', '81684087', '149072825', '539540791', '911149516', 'med056@hospital.upskill.com', 'doctor-female.jpg'),</v>
      </c>
      <c r="X46" t="str">
        <f t="shared" si="2"/>
        <v>(45,'6892836598069330', '45'),</v>
      </c>
      <c r="Y46" t="str">
        <f t="shared" si="3"/>
        <v>(45),</v>
      </c>
    </row>
    <row r="47" spans="1:25" x14ac:dyDescent="0.25">
      <c r="A47">
        <v>46</v>
      </c>
      <c r="B47" t="s">
        <v>749</v>
      </c>
      <c r="C47" t="s">
        <v>750</v>
      </c>
      <c r="D47" t="s">
        <v>751</v>
      </c>
      <c r="E47" t="s">
        <v>53</v>
      </c>
      <c r="F47" s="7">
        <v>30780</v>
      </c>
      <c r="G47" t="s">
        <v>242</v>
      </c>
      <c r="H47" t="s">
        <v>752</v>
      </c>
      <c r="I47" t="s">
        <v>217</v>
      </c>
      <c r="J47" t="s">
        <v>3726</v>
      </c>
      <c r="K47" t="s">
        <v>225</v>
      </c>
      <c r="L47" t="s">
        <v>265</v>
      </c>
      <c r="M47" t="s">
        <v>753</v>
      </c>
      <c r="N47" t="s">
        <v>754</v>
      </c>
      <c r="O47" t="s">
        <v>755</v>
      </c>
      <c r="P47" t="s">
        <v>756</v>
      </c>
      <c r="Q47" t="s">
        <v>757</v>
      </c>
      <c r="R47" t="str">
        <f t="shared" si="0"/>
        <v>doctor-male.jpg</v>
      </c>
      <c r="S47" s="8">
        <v>9725746573988856</v>
      </c>
      <c r="T47">
        <v>46</v>
      </c>
      <c r="W47" t="str">
        <f t="shared" si="1"/>
        <v>(46,'med057', 'pswmed057', 'João Ana Almeida Maia', 'Masculino', '1984-04-08', 'Avenida Ressano Garcia', '2825-660', 'Caparica', 'Médico', 'Portuguesa', 'Bilhete de Identidade', '77443779', '153105734', '777955068', '925538728', 'med057@hospital.upskill.com', 'doctor-male.jpg'),</v>
      </c>
      <c r="X47" t="str">
        <f t="shared" si="2"/>
        <v>(46,'9725746573988860', '46'),</v>
      </c>
      <c r="Y47" t="str">
        <f t="shared" si="3"/>
        <v>(46),</v>
      </c>
    </row>
    <row r="48" spans="1:25" x14ac:dyDescent="0.25">
      <c r="A48">
        <v>47</v>
      </c>
      <c r="B48" t="s">
        <v>758</v>
      </c>
      <c r="C48" t="s">
        <v>759</v>
      </c>
      <c r="D48" t="s">
        <v>760</v>
      </c>
      <c r="E48" t="s">
        <v>53</v>
      </c>
      <c r="F48" s="7">
        <v>37531</v>
      </c>
      <c r="G48" t="s">
        <v>231</v>
      </c>
      <c r="H48" t="s">
        <v>761</v>
      </c>
      <c r="I48" t="s">
        <v>211</v>
      </c>
      <c r="J48" t="s">
        <v>3726</v>
      </c>
      <c r="K48" t="s">
        <v>225</v>
      </c>
      <c r="L48" t="s">
        <v>265</v>
      </c>
      <c r="M48" t="s">
        <v>762</v>
      </c>
      <c r="N48" t="s">
        <v>763</v>
      </c>
      <c r="O48" t="s">
        <v>764</v>
      </c>
      <c r="P48" t="s">
        <v>765</v>
      </c>
      <c r="Q48" t="s">
        <v>766</v>
      </c>
      <c r="R48" t="str">
        <f t="shared" si="0"/>
        <v>doctor-male.jpg</v>
      </c>
      <c r="S48" s="8">
        <v>8475667494016764</v>
      </c>
      <c r="T48">
        <v>47</v>
      </c>
      <c r="W48" t="str">
        <f t="shared" si="1"/>
        <v>(47,'med058', 'pswmed058', 'Miguel Leonor Domingues Lopes', 'Masculino', '2002-10-02', 'Rua dos Fanqueiros', '1750-440', 'Lisboa', 'Médico', 'Portuguesa', 'Bilhete de Identidade', '86716102', '556609452', '233042960', '960653444', 'med058@hospital.upskill.com', 'doctor-male.jpg'),</v>
      </c>
      <c r="X48" t="str">
        <f t="shared" si="2"/>
        <v>(47,'8475667494016760', '47'),</v>
      </c>
      <c r="Y48" t="str">
        <f t="shared" si="3"/>
        <v>(47),</v>
      </c>
    </row>
    <row r="49" spans="1:25" x14ac:dyDescent="0.25">
      <c r="A49">
        <v>48</v>
      </c>
      <c r="B49" t="s">
        <v>767</v>
      </c>
      <c r="C49" t="s">
        <v>768</v>
      </c>
      <c r="D49" t="s">
        <v>769</v>
      </c>
      <c r="E49" t="s">
        <v>53</v>
      </c>
      <c r="F49" s="7">
        <v>43428</v>
      </c>
      <c r="G49" t="s">
        <v>261</v>
      </c>
      <c r="H49" t="s">
        <v>770</v>
      </c>
      <c r="I49" t="s">
        <v>211</v>
      </c>
      <c r="J49" t="s">
        <v>3726</v>
      </c>
      <c r="K49" t="s">
        <v>225</v>
      </c>
      <c r="L49" t="s">
        <v>265</v>
      </c>
      <c r="M49" t="s">
        <v>771</v>
      </c>
      <c r="N49" t="s">
        <v>772</v>
      </c>
      <c r="O49" t="s">
        <v>773</v>
      </c>
      <c r="P49" t="s">
        <v>774</v>
      </c>
      <c r="Q49" t="s">
        <v>775</v>
      </c>
      <c r="R49" t="str">
        <f t="shared" si="0"/>
        <v>doctor-male.jpg</v>
      </c>
      <c r="S49" s="8">
        <v>9042943930834688</v>
      </c>
      <c r="T49">
        <v>48</v>
      </c>
      <c r="W49" t="str">
        <f t="shared" si="1"/>
        <v>(48,'med059', 'pswmed059', 'Luís Sofia Carneiro Fonseca', 'Masculino', '2018-11-24', 'Rua do Carmo', '1999-731', 'Lisboa', 'Médico', 'Portuguesa', 'Bilhete de Identidade', '37986900', '593484432', '653673221', '925338843', 'med059@hospital.upskill.com', 'doctor-male.jpg'),</v>
      </c>
      <c r="X49" t="str">
        <f t="shared" si="2"/>
        <v>(48,'9042943930834690', '48'),</v>
      </c>
      <c r="Y49" t="str">
        <f t="shared" si="3"/>
        <v>(48),</v>
      </c>
    </row>
    <row r="50" spans="1:25" x14ac:dyDescent="0.25">
      <c r="A50">
        <v>49</v>
      </c>
      <c r="B50" t="s">
        <v>776</v>
      </c>
      <c r="C50" t="s">
        <v>777</v>
      </c>
      <c r="D50" t="s">
        <v>778</v>
      </c>
      <c r="E50" t="s">
        <v>53</v>
      </c>
      <c r="F50" s="7">
        <v>27744</v>
      </c>
      <c r="G50" t="s">
        <v>245</v>
      </c>
      <c r="H50" t="s">
        <v>779</v>
      </c>
      <c r="I50" t="s">
        <v>210</v>
      </c>
      <c r="J50" t="s">
        <v>3726</v>
      </c>
      <c r="K50" t="s">
        <v>225</v>
      </c>
      <c r="L50" t="s">
        <v>265</v>
      </c>
      <c r="M50" t="s">
        <v>780</v>
      </c>
      <c r="N50" t="s">
        <v>781</v>
      </c>
      <c r="O50" t="s">
        <v>782</v>
      </c>
      <c r="P50" t="s">
        <v>783</v>
      </c>
      <c r="Q50" t="s">
        <v>784</v>
      </c>
      <c r="R50" t="str">
        <f t="shared" si="0"/>
        <v>doctor-male.jpg</v>
      </c>
      <c r="S50" s="8">
        <v>7774087834168916</v>
      </c>
      <c r="T50">
        <v>49</v>
      </c>
      <c r="W50" t="str">
        <f t="shared" si="1"/>
        <v>(49,'med060', 'pswmed060', 'Duarte Luís Cardoso Cunha', 'Masculino', '1975-12-16', 'Rua do Comércio', '2654-168', 'Amadora', 'Médico', 'Portuguesa', 'Bilhete de Identidade', '88953156', '397732593', '523682737', '912441208', 'med060@hospital.upskill.com', 'doctor-male.jpg'),</v>
      </c>
      <c r="X50" t="str">
        <f t="shared" si="2"/>
        <v>(49,'7774087834168920', '49'),</v>
      </c>
      <c r="Y50" t="str">
        <f t="shared" si="3"/>
        <v>(49),</v>
      </c>
    </row>
    <row r="51" spans="1:25" x14ac:dyDescent="0.25">
      <c r="A51">
        <v>50</v>
      </c>
      <c r="B51" t="s">
        <v>785</v>
      </c>
      <c r="C51" t="s">
        <v>786</v>
      </c>
      <c r="D51" t="s">
        <v>787</v>
      </c>
      <c r="E51" t="s">
        <v>66</v>
      </c>
      <c r="F51" s="7">
        <v>39695</v>
      </c>
      <c r="G51" t="s">
        <v>248</v>
      </c>
      <c r="H51" t="s">
        <v>788</v>
      </c>
      <c r="I51" t="s">
        <v>220</v>
      </c>
      <c r="J51" t="s">
        <v>3726</v>
      </c>
      <c r="K51" t="s">
        <v>225</v>
      </c>
      <c r="L51" t="s">
        <v>265</v>
      </c>
      <c r="M51" t="s">
        <v>789</v>
      </c>
      <c r="N51" t="s">
        <v>790</v>
      </c>
      <c r="O51" t="s">
        <v>791</v>
      </c>
      <c r="P51" t="s">
        <v>792</v>
      </c>
      <c r="Q51" t="s">
        <v>793</v>
      </c>
      <c r="R51" t="str">
        <f t="shared" si="0"/>
        <v>doctor-female.jpg</v>
      </c>
      <c r="S51" s="8">
        <v>6769802077498685</v>
      </c>
      <c r="T51">
        <v>50</v>
      </c>
      <c r="W51" t="str">
        <f t="shared" si="1"/>
        <v>(50,'med061', 'pswmed061', 'Catarina Carolina Carneiro Leite', 'Feminino', '2008-09-04', 'Rua General Morais Sarmento', '2750-238', 'Cascais', 'Médico', 'Portuguesa', 'Bilhete de Identidade', '88704200', '623987568', '880845556', '960593146', 'med061@hospital.upskill.com', 'doctor-female.jpg'),</v>
      </c>
      <c r="X51" t="str">
        <f t="shared" si="2"/>
        <v>(50,'6769802077498680', '50'),</v>
      </c>
      <c r="Y51" t="str">
        <f t="shared" si="3"/>
        <v>(50),</v>
      </c>
    </row>
    <row r="52" spans="1:25" x14ac:dyDescent="0.25">
      <c r="A52">
        <v>51</v>
      </c>
      <c r="B52" t="s">
        <v>794</v>
      </c>
      <c r="C52" t="s">
        <v>795</v>
      </c>
      <c r="D52" t="s">
        <v>796</v>
      </c>
      <c r="E52" t="s">
        <v>53</v>
      </c>
      <c r="F52" s="7">
        <v>30630</v>
      </c>
      <c r="G52" t="s">
        <v>229</v>
      </c>
      <c r="H52" t="s">
        <v>797</v>
      </c>
      <c r="I52" t="s">
        <v>210</v>
      </c>
      <c r="J52" t="s">
        <v>3726</v>
      </c>
      <c r="K52" t="s">
        <v>225</v>
      </c>
      <c r="L52" t="s">
        <v>265</v>
      </c>
      <c r="M52" t="s">
        <v>798</v>
      </c>
      <c r="N52" t="s">
        <v>799</v>
      </c>
      <c r="O52" t="s">
        <v>800</v>
      </c>
      <c r="P52" t="s">
        <v>801</v>
      </c>
      <c r="Q52" t="s">
        <v>802</v>
      </c>
      <c r="R52" t="str">
        <f t="shared" si="0"/>
        <v>doctor-male.jpg</v>
      </c>
      <c r="S52" s="8">
        <v>2025077197067219</v>
      </c>
      <c r="T52">
        <v>1</v>
      </c>
      <c r="W52" t="str">
        <f t="shared" si="1"/>
        <v>(51,'med062', 'pswmed062', 'José Catarina Barbosa Figueiredo', 'Masculino', '1983-11-10', 'Rua Cidade de Bolama', '2720-897', 'Amadora', 'Médico', 'Portuguesa', 'Bilhete de Identidade', '58201933', '356282233', '325629423', '930238334', 'med062@hospital.upskill.com', 'doctor-male.jpg'),</v>
      </c>
      <c r="X52" t="str">
        <f t="shared" si="2"/>
        <v>(51,'2025077197067220', '1'),</v>
      </c>
      <c r="Y52" t="str">
        <f t="shared" si="3"/>
        <v>(51),</v>
      </c>
    </row>
    <row r="53" spans="1:25" x14ac:dyDescent="0.25">
      <c r="A53">
        <v>52</v>
      </c>
      <c r="B53" t="s">
        <v>803</v>
      </c>
      <c r="C53" t="s">
        <v>804</v>
      </c>
      <c r="D53" t="s">
        <v>805</v>
      </c>
      <c r="E53" t="s">
        <v>66</v>
      </c>
      <c r="F53" s="7">
        <v>12753</v>
      </c>
      <c r="G53" t="s">
        <v>257</v>
      </c>
      <c r="H53" t="s">
        <v>806</v>
      </c>
      <c r="I53" t="s">
        <v>218</v>
      </c>
      <c r="J53" t="s">
        <v>3726</v>
      </c>
      <c r="K53" t="s">
        <v>225</v>
      </c>
      <c r="L53" t="s">
        <v>265</v>
      </c>
      <c r="M53" t="s">
        <v>807</v>
      </c>
      <c r="N53" t="s">
        <v>808</v>
      </c>
      <c r="O53" t="s">
        <v>809</v>
      </c>
      <c r="P53" t="s">
        <v>810</v>
      </c>
      <c r="Q53" t="s">
        <v>811</v>
      </c>
      <c r="R53" t="str">
        <f t="shared" si="0"/>
        <v>doctor-female.jpg</v>
      </c>
      <c r="S53" s="8">
        <v>7307719921389404</v>
      </c>
      <c r="T53">
        <v>2</v>
      </c>
      <c r="W53" t="str">
        <f t="shared" si="1"/>
        <v>(52,'med063', 'pswmed063', 'Mariana Carolina Rocha Pinheiro', 'Feminino', '1934-11-30', 'Rua do Sol a Santana', '2779-584', 'Carcavelos', 'Médico', 'Portuguesa', 'Bilhete de Identidade', '28255623', '551088405', '728327382', '911714300', 'med063@hospital.upskill.com', 'doctor-female.jpg'),</v>
      </c>
      <c r="X53" t="str">
        <f t="shared" si="2"/>
        <v>(52,'7307719921389400', '2'),</v>
      </c>
      <c r="Y53" t="str">
        <f t="shared" si="3"/>
        <v>(52),</v>
      </c>
    </row>
    <row r="54" spans="1:25" x14ac:dyDescent="0.25">
      <c r="A54">
        <v>53</v>
      </c>
      <c r="B54" t="s">
        <v>812</v>
      </c>
      <c r="C54" t="s">
        <v>813</v>
      </c>
      <c r="D54" t="s">
        <v>814</v>
      </c>
      <c r="E54" t="s">
        <v>66</v>
      </c>
      <c r="F54" s="7">
        <v>13063</v>
      </c>
      <c r="G54" t="s">
        <v>227</v>
      </c>
      <c r="H54" t="s">
        <v>815</v>
      </c>
      <c r="I54" t="s">
        <v>201</v>
      </c>
      <c r="J54" t="s">
        <v>3726</v>
      </c>
      <c r="K54" t="s">
        <v>225</v>
      </c>
      <c r="L54" t="s">
        <v>265</v>
      </c>
      <c r="M54" t="s">
        <v>816</v>
      </c>
      <c r="N54" t="s">
        <v>817</v>
      </c>
      <c r="O54" t="s">
        <v>818</v>
      </c>
      <c r="P54" t="s">
        <v>819</v>
      </c>
      <c r="Q54" t="s">
        <v>820</v>
      </c>
      <c r="R54" t="str">
        <f t="shared" si="0"/>
        <v>doctor-female.jpg</v>
      </c>
      <c r="S54" s="8">
        <v>8576713920147942</v>
      </c>
      <c r="T54">
        <v>3</v>
      </c>
      <c r="W54" t="str">
        <f t="shared" si="1"/>
        <v>(53,'med064', 'pswmed064', 'Francisca Diana Mendes Oliveira', 'Feminino', '1935-10-06', 'Rua dos Bacalhoeiros', '2414-99', 'Leiria', 'Médico', 'Portuguesa', 'Bilhete de Identidade', '39635626', '455794753', '844872412', '910505328', 'med064@hospital.upskill.com', 'doctor-female.jpg'),</v>
      </c>
      <c r="X54" t="str">
        <f t="shared" si="2"/>
        <v>(53,'8576713920147940', '3'),</v>
      </c>
      <c r="Y54" t="str">
        <f t="shared" si="3"/>
        <v>(53),</v>
      </c>
    </row>
    <row r="55" spans="1:25" x14ac:dyDescent="0.25">
      <c r="A55">
        <v>54</v>
      </c>
      <c r="B55" t="s">
        <v>821</v>
      </c>
      <c r="C55" t="s">
        <v>822</v>
      </c>
      <c r="D55" t="s">
        <v>823</v>
      </c>
      <c r="E55" t="s">
        <v>53</v>
      </c>
      <c r="F55" s="7">
        <v>37114</v>
      </c>
      <c r="G55" t="s">
        <v>263</v>
      </c>
      <c r="H55" t="s">
        <v>824</v>
      </c>
      <c r="I55" t="s">
        <v>211</v>
      </c>
      <c r="J55" t="s">
        <v>3726</v>
      </c>
      <c r="K55" t="s">
        <v>225</v>
      </c>
      <c r="L55" t="s">
        <v>265</v>
      </c>
      <c r="M55" t="s">
        <v>825</v>
      </c>
      <c r="N55" t="s">
        <v>826</v>
      </c>
      <c r="O55" t="s">
        <v>827</v>
      </c>
      <c r="P55" t="s">
        <v>828</v>
      </c>
      <c r="Q55" t="s">
        <v>829</v>
      </c>
      <c r="R55" t="str">
        <f t="shared" si="0"/>
        <v>doctor-male.jpg</v>
      </c>
      <c r="S55" s="8">
        <v>7386029786750066</v>
      </c>
      <c r="T55">
        <v>4</v>
      </c>
      <c r="W55" t="str">
        <f t="shared" si="1"/>
        <v>(54,'med065', 'pswmed065', 'Rodrigo Rodrigo Araújo Melo', 'Masculino', '2001-08-11', 'Rua da Junqueira', '1300-430', 'Lisboa', 'Médico', 'Portuguesa', 'Bilhete de Identidade', '63842104', '666619540', '176766770', '934133757', 'med065@hospital.upskill.com', 'doctor-male.jpg'),</v>
      </c>
      <c r="X55" t="str">
        <f t="shared" si="2"/>
        <v>(54,'7386029786750070', '4'),</v>
      </c>
      <c r="Y55" t="str">
        <f t="shared" si="3"/>
        <v>(54),</v>
      </c>
    </row>
    <row r="56" spans="1:25" x14ac:dyDescent="0.25">
      <c r="A56">
        <v>55</v>
      </c>
      <c r="B56" t="s">
        <v>830</v>
      </c>
      <c r="C56" t="s">
        <v>831</v>
      </c>
      <c r="D56" t="s">
        <v>832</v>
      </c>
      <c r="E56" t="s">
        <v>66</v>
      </c>
      <c r="F56" s="7">
        <v>19832</v>
      </c>
      <c r="G56" t="s">
        <v>227</v>
      </c>
      <c r="H56" t="s">
        <v>331</v>
      </c>
      <c r="I56" t="s">
        <v>211</v>
      </c>
      <c r="J56" t="s">
        <v>3726</v>
      </c>
      <c r="K56" t="s">
        <v>225</v>
      </c>
      <c r="L56" t="s">
        <v>265</v>
      </c>
      <c r="M56" t="s">
        <v>833</v>
      </c>
      <c r="N56" t="s">
        <v>834</v>
      </c>
      <c r="O56" t="s">
        <v>835</v>
      </c>
      <c r="P56" t="s">
        <v>836</v>
      </c>
      <c r="Q56" t="s">
        <v>837</v>
      </c>
      <c r="R56" t="str">
        <f t="shared" si="0"/>
        <v>doctor-female.jpg</v>
      </c>
      <c r="S56" s="8">
        <v>1628766597764290</v>
      </c>
      <c r="T56">
        <v>5</v>
      </c>
      <c r="W56" t="str">
        <f t="shared" si="1"/>
        <v>(55,'med066', 'pswmed066', 'Carolina Catarina Sousa Ribeiro', 'Feminino', '1954-04-18', 'Rua dos Bacalhoeiros', '1400-125', 'Lisboa', 'Médico', 'Portuguesa', 'Bilhete de Identidade', '70417846', '544181226', '183794647', '934514431', 'med066@hospital.upskill.com', 'doctor-female.jpg'),</v>
      </c>
      <c r="X56" t="str">
        <f t="shared" si="2"/>
        <v>(55,'1628766597764290', '5'),</v>
      </c>
      <c r="Y56" t="str">
        <f t="shared" si="3"/>
        <v>(55),</v>
      </c>
    </row>
    <row r="57" spans="1:25" x14ac:dyDescent="0.25">
      <c r="A57">
        <v>56</v>
      </c>
      <c r="B57" t="s">
        <v>838</v>
      </c>
      <c r="C57" t="s">
        <v>839</v>
      </c>
      <c r="D57" t="s">
        <v>840</v>
      </c>
      <c r="E57" t="s">
        <v>66</v>
      </c>
      <c r="F57" s="7">
        <v>11481</v>
      </c>
      <c r="G57" t="s">
        <v>238</v>
      </c>
      <c r="H57" t="s">
        <v>841</v>
      </c>
      <c r="I57" t="s">
        <v>211</v>
      </c>
      <c r="J57" t="s">
        <v>3726</v>
      </c>
      <c r="K57" t="s">
        <v>225</v>
      </c>
      <c r="L57" t="s">
        <v>265</v>
      </c>
      <c r="M57" t="s">
        <v>842</v>
      </c>
      <c r="N57" t="s">
        <v>843</v>
      </c>
      <c r="O57" t="s">
        <v>844</v>
      </c>
      <c r="P57" t="s">
        <v>845</v>
      </c>
      <c r="Q57" t="s">
        <v>846</v>
      </c>
      <c r="R57" t="str">
        <f t="shared" si="0"/>
        <v>doctor-female.jpg</v>
      </c>
      <c r="S57" s="8">
        <v>4441907310959822</v>
      </c>
      <c r="T57">
        <v>6</v>
      </c>
      <c r="W57" t="str">
        <f t="shared" si="1"/>
        <v>(56,'med067', 'pswmed067', 'Leonor Rodrigo Pereira Mendes', 'Feminino', '1931-06-07', 'Calçada do Moinho de Vento', '1149-810', 'Lisboa', 'Médico', 'Portuguesa', 'Bilhete de Identidade', '20128933', '987051048', '285627219', '930370276', 'med067@hospital.upskill.com', 'doctor-female.jpg'),</v>
      </c>
      <c r="X57" t="str">
        <f t="shared" si="2"/>
        <v>(56,'4441907310959820', '6'),</v>
      </c>
      <c r="Y57" t="str">
        <f t="shared" si="3"/>
        <v>(56),</v>
      </c>
    </row>
    <row r="58" spans="1:25" x14ac:dyDescent="0.25">
      <c r="A58">
        <v>57</v>
      </c>
      <c r="B58" t="s">
        <v>847</v>
      </c>
      <c r="C58" t="s">
        <v>848</v>
      </c>
      <c r="D58" t="s">
        <v>849</v>
      </c>
      <c r="E58" t="s">
        <v>66</v>
      </c>
      <c r="F58" s="7">
        <v>19996</v>
      </c>
      <c r="G58" t="s">
        <v>252</v>
      </c>
      <c r="H58" t="s">
        <v>850</v>
      </c>
      <c r="I58" t="s">
        <v>211</v>
      </c>
      <c r="J58" t="s">
        <v>3726</v>
      </c>
      <c r="K58" t="s">
        <v>225</v>
      </c>
      <c r="L58" t="s">
        <v>265</v>
      </c>
      <c r="M58" t="s">
        <v>851</v>
      </c>
      <c r="N58" t="s">
        <v>852</v>
      </c>
      <c r="O58" t="s">
        <v>853</v>
      </c>
      <c r="P58" t="s">
        <v>854</v>
      </c>
      <c r="Q58" t="s">
        <v>855</v>
      </c>
      <c r="R58" t="str">
        <f t="shared" si="0"/>
        <v>doctor-female.jpg</v>
      </c>
      <c r="S58" s="8">
        <v>9102846057280924</v>
      </c>
      <c r="T58">
        <v>7</v>
      </c>
      <c r="W58" t="str">
        <f t="shared" si="1"/>
        <v>(57,'med068', 'pswmed068', 'Mariana Santiago Andrade Fernandes', 'Feminino', '1954-09-29', 'Rua de São Julião', '1749-845', 'Lisboa', 'Médico', 'Portuguesa', 'Bilhete de Identidade', '68198969', '445048373', '373109601', '969130112', 'med068@hospital.upskill.com', 'doctor-female.jpg'),</v>
      </c>
      <c r="X58" t="str">
        <f t="shared" si="2"/>
        <v>(57,'9102846057280920', '7'),</v>
      </c>
      <c r="Y58" t="str">
        <f t="shared" si="3"/>
        <v>(57),</v>
      </c>
    </row>
    <row r="59" spans="1:25" x14ac:dyDescent="0.25">
      <c r="A59">
        <v>58</v>
      </c>
      <c r="B59" t="s">
        <v>856</v>
      </c>
      <c r="C59" t="s">
        <v>857</v>
      </c>
      <c r="D59" t="s">
        <v>858</v>
      </c>
      <c r="E59" t="s">
        <v>66</v>
      </c>
      <c r="F59" s="7">
        <v>9739</v>
      </c>
      <c r="G59" t="s">
        <v>245</v>
      </c>
      <c r="H59" t="s">
        <v>859</v>
      </c>
      <c r="I59" t="s">
        <v>206</v>
      </c>
      <c r="J59" t="s">
        <v>3726</v>
      </c>
      <c r="K59" t="s">
        <v>225</v>
      </c>
      <c r="L59" t="s">
        <v>265</v>
      </c>
      <c r="M59" t="s">
        <v>860</v>
      </c>
      <c r="N59" t="s">
        <v>861</v>
      </c>
      <c r="O59" t="s">
        <v>862</v>
      </c>
      <c r="P59" t="s">
        <v>863</v>
      </c>
      <c r="Q59" t="s">
        <v>864</v>
      </c>
      <c r="R59" t="str">
        <f t="shared" si="0"/>
        <v>doctor-female.jpg</v>
      </c>
      <c r="S59" s="8">
        <v>3263381005071540</v>
      </c>
      <c r="T59">
        <v>8</v>
      </c>
      <c r="W59" t="str">
        <f t="shared" si="1"/>
        <v>(58,'med069', 'pswmed069', 'Catarina Francisco Mota Miranda', 'Feminino', '1926-08-30', 'Rua do Comércio', '2710-691', 'Sintra', 'Médico', 'Portuguesa', 'Bilhete de Identidade', '52154542', '576251739', '409787637', '929963484', 'med069@hospital.upskill.com', 'doctor-female.jpg'),</v>
      </c>
      <c r="X59" t="str">
        <f t="shared" si="2"/>
        <v>(58,'3263381005071540', '8'),</v>
      </c>
      <c r="Y59" t="str">
        <f t="shared" si="3"/>
        <v>(58),</v>
      </c>
    </row>
    <row r="60" spans="1:25" x14ac:dyDescent="0.25">
      <c r="A60">
        <v>59</v>
      </c>
      <c r="B60" t="s">
        <v>865</v>
      </c>
      <c r="C60" t="s">
        <v>866</v>
      </c>
      <c r="D60" t="s">
        <v>867</v>
      </c>
      <c r="E60" t="s">
        <v>66</v>
      </c>
      <c r="F60" s="7">
        <v>19419</v>
      </c>
      <c r="G60" t="s">
        <v>244</v>
      </c>
      <c r="H60" t="s">
        <v>868</v>
      </c>
      <c r="I60" t="s">
        <v>204</v>
      </c>
      <c r="J60" t="s">
        <v>3726</v>
      </c>
      <c r="K60" t="s">
        <v>225</v>
      </c>
      <c r="L60" t="s">
        <v>265</v>
      </c>
      <c r="M60" t="s">
        <v>869</v>
      </c>
      <c r="N60" t="s">
        <v>870</v>
      </c>
      <c r="O60" t="s">
        <v>871</v>
      </c>
      <c r="P60" t="s">
        <v>872</v>
      </c>
      <c r="Q60" t="s">
        <v>873</v>
      </c>
      <c r="R60" t="str">
        <f t="shared" si="0"/>
        <v>doctor-female.jpg</v>
      </c>
      <c r="S60" s="8">
        <v>1185637350553775</v>
      </c>
      <c r="T60">
        <v>9</v>
      </c>
      <c r="W60" t="str">
        <f t="shared" si="1"/>
        <v>(59,'med070', 'pswmed070', 'Matilde Lurdes Freitas Moura', 'Feminino', '1953-03-01', 'Rua da Betesga', '2560-849', 'Torres Vedras', 'Médico', 'Portuguesa', 'Bilhete de Identidade', '12113236', '749184445', '160175051', '928286125', 'med070@hospital.upskill.com', 'doctor-female.jpg'),</v>
      </c>
      <c r="X60" t="str">
        <f t="shared" si="2"/>
        <v>(59,'1185637350553770', '9'),</v>
      </c>
      <c r="Y60" t="str">
        <f t="shared" si="3"/>
        <v>(59),</v>
      </c>
    </row>
    <row r="61" spans="1:25" x14ac:dyDescent="0.25">
      <c r="A61">
        <v>60</v>
      </c>
      <c r="B61" t="s">
        <v>874</v>
      </c>
      <c r="C61" t="s">
        <v>875</v>
      </c>
      <c r="D61" t="s">
        <v>876</v>
      </c>
      <c r="E61" t="s">
        <v>53</v>
      </c>
      <c r="F61" s="7">
        <v>36001</v>
      </c>
      <c r="G61" t="s">
        <v>259</v>
      </c>
      <c r="H61" t="s">
        <v>877</v>
      </c>
      <c r="I61" t="s">
        <v>217</v>
      </c>
      <c r="J61" t="s">
        <v>3726</v>
      </c>
      <c r="K61" t="s">
        <v>225</v>
      </c>
      <c r="L61" t="s">
        <v>265</v>
      </c>
      <c r="M61" t="s">
        <v>878</v>
      </c>
      <c r="N61" t="s">
        <v>879</v>
      </c>
      <c r="O61" t="s">
        <v>880</v>
      </c>
      <c r="P61" t="s">
        <v>881</v>
      </c>
      <c r="Q61" t="s">
        <v>882</v>
      </c>
      <c r="R61" t="str">
        <f t="shared" si="0"/>
        <v>doctor-male.jpg</v>
      </c>
      <c r="S61" s="8">
        <v>7002882570111243</v>
      </c>
      <c r="T61">
        <v>10</v>
      </c>
      <c r="W61" t="str">
        <f t="shared" si="1"/>
        <v>(60,'med071', 'pswmed071', 'Francisco Tiago Sá Nunes', 'Masculino', '1998-07-25', 'Rua da Alfândega', '2825-656', 'Caparica', 'Médico', 'Portuguesa', 'Bilhete de Identidade', '74781613', '779749183', '194254933', '916423661', 'med071@hospital.upskill.com', 'doctor-male.jpg'),</v>
      </c>
      <c r="X61" t="str">
        <f t="shared" si="2"/>
        <v>(60,'7002882570111240', '10'),</v>
      </c>
      <c r="Y61" t="str">
        <f t="shared" si="3"/>
        <v>(60),</v>
      </c>
    </row>
    <row r="62" spans="1:25" x14ac:dyDescent="0.25">
      <c r="A62">
        <v>61</v>
      </c>
      <c r="B62" t="s">
        <v>883</v>
      </c>
      <c r="C62" t="s">
        <v>884</v>
      </c>
      <c r="D62" t="s">
        <v>885</v>
      </c>
      <c r="E62" t="s">
        <v>53</v>
      </c>
      <c r="F62" s="7">
        <v>42853</v>
      </c>
      <c r="G62" t="s">
        <v>257</v>
      </c>
      <c r="H62" t="s">
        <v>886</v>
      </c>
      <c r="I62" t="s">
        <v>208</v>
      </c>
      <c r="J62" t="s">
        <v>3726</v>
      </c>
      <c r="K62" t="s">
        <v>225</v>
      </c>
      <c r="L62" t="s">
        <v>265</v>
      </c>
      <c r="M62" t="s">
        <v>887</v>
      </c>
      <c r="N62" t="s">
        <v>888</v>
      </c>
      <c r="O62" t="s">
        <v>889</v>
      </c>
      <c r="P62" t="s">
        <v>890</v>
      </c>
      <c r="Q62" t="s">
        <v>891</v>
      </c>
      <c r="R62" t="str">
        <f t="shared" si="0"/>
        <v>doctor-male.jpg</v>
      </c>
      <c r="S62" s="8">
        <v>8336745253423917</v>
      </c>
      <c r="T62">
        <v>11</v>
      </c>
      <c r="W62" t="str">
        <f t="shared" si="1"/>
        <v>(61,'med072', 'pswmed072', 'Miguel Diogo Miranda Matias', 'Masculino', '2017-04-28', 'Rua do Sol a Santana', '2900-334', 'Setúbal', 'Médico', 'Portuguesa', 'Bilhete de Identidade', '62131426', '315332701', '421832457', '969205241', 'med072@hospital.upskill.com', 'doctor-male.jpg'),</v>
      </c>
      <c r="X62" t="str">
        <f t="shared" si="2"/>
        <v>(61,'8336745253423920', '11'),</v>
      </c>
      <c r="Y62" t="str">
        <f t="shared" si="3"/>
        <v>(61),</v>
      </c>
    </row>
    <row r="63" spans="1:25" x14ac:dyDescent="0.25">
      <c r="A63">
        <v>62</v>
      </c>
      <c r="B63" t="s">
        <v>892</v>
      </c>
      <c r="C63" t="s">
        <v>893</v>
      </c>
      <c r="D63" t="s">
        <v>894</v>
      </c>
      <c r="E63" t="s">
        <v>53</v>
      </c>
      <c r="F63" s="7">
        <v>38941</v>
      </c>
      <c r="G63" t="s">
        <v>257</v>
      </c>
      <c r="H63" t="s">
        <v>895</v>
      </c>
      <c r="I63" t="s">
        <v>200</v>
      </c>
      <c r="J63" t="s">
        <v>3726</v>
      </c>
      <c r="K63" t="s">
        <v>225</v>
      </c>
      <c r="L63" t="s">
        <v>265</v>
      </c>
      <c r="M63" t="s">
        <v>896</v>
      </c>
      <c r="N63" t="s">
        <v>897</v>
      </c>
      <c r="O63" t="s">
        <v>898</v>
      </c>
      <c r="P63" t="s">
        <v>899</v>
      </c>
      <c r="Q63" t="s">
        <v>900</v>
      </c>
      <c r="R63" t="str">
        <f t="shared" si="0"/>
        <v>doctor-male.jpg</v>
      </c>
      <c r="S63" s="8">
        <v>1705878144047591</v>
      </c>
      <c r="T63">
        <v>12</v>
      </c>
      <c r="W63" t="str">
        <f t="shared" si="1"/>
        <v>(62,'med073', 'pswmed073', 'Tiago André Rocha Lopes', 'Masculino', '2006-08-12', 'Rua do Sol a Santana', '3000-484', 'Coimbra', 'Médico', 'Portuguesa', 'Bilhete de Identidade', '75349752', '625987680', '317269559', '917408087', 'med073@hospital.upskill.com', 'doctor-male.jpg'),</v>
      </c>
      <c r="X63" t="str">
        <f t="shared" si="2"/>
        <v>(62,'1705878144047590', '12'),</v>
      </c>
      <c r="Y63" t="str">
        <f t="shared" si="3"/>
        <v>(62),</v>
      </c>
    </row>
    <row r="64" spans="1:25" x14ac:dyDescent="0.25">
      <c r="A64">
        <v>63</v>
      </c>
      <c r="B64" t="s">
        <v>901</v>
      </c>
      <c r="C64" t="s">
        <v>902</v>
      </c>
      <c r="D64" t="s">
        <v>903</v>
      </c>
      <c r="E64" t="s">
        <v>53</v>
      </c>
      <c r="F64" s="7">
        <v>19821</v>
      </c>
      <c r="G64" t="s">
        <v>251</v>
      </c>
      <c r="H64" t="s">
        <v>904</v>
      </c>
      <c r="I64" t="s">
        <v>206</v>
      </c>
      <c r="J64" t="s">
        <v>3726</v>
      </c>
      <c r="K64" t="s">
        <v>225</v>
      </c>
      <c r="L64" t="s">
        <v>265</v>
      </c>
      <c r="M64" t="s">
        <v>905</v>
      </c>
      <c r="N64" t="s">
        <v>906</v>
      </c>
      <c r="O64" t="s">
        <v>907</v>
      </c>
      <c r="P64" t="s">
        <v>908</v>
      </c>
      <c r="Q64" t="s">
        <v>909</v>
      </c>
      <c r="R64" t="str">
        <f t="shared" si="0"/>
        <v>doctor-male.jpg</v>
      </c>
      <c r="S64" s="8">
        <v>4552420964673686</v>
      </c>
      <c r="T64">
        <v>13</v>
      </c>
      <c r="W64" t="str">
        <f t="shared" si="1"/>
        <v>(63,'med074', 'pswmed074', 'Francisco Vera Antunes Cunha', 'Masculino', '1954-04-07', 'Rua do Salitre', '2714-77', 'Sintra', 'Médico', 'Portuguesa', 'Bilhete de Identidade', '68602763', '351751341', '439029727', '931426258', 'med074@hospital.upskill.com', 'doctor-male.jpg'),</v>
      </c>
      <c r="X64" t="str">
        <f t="shared" si="2"/>
        <v>(63,'4552420964673690', '13'),</v>
      </c>
      <c r="Y64" t="str">
        <f t="shared" si="3"/>
        <v>(63),</v>
      </c>
    </row>
    <row r="65" spans="1:25" x14ac:dyDescent="0.25">
      <c r="A65">
        <v>64</v>
      </c>
      <c r="B65" t="s">
        <v>910</v>
      </c>
      <c r="C65" t="s">
        <v>911</v>
      </c>
      <c r="D65" t="s">
        <v>912</v>
      </c>
      <c r="E65" t="s">
        <v>53</v>
      </c>
      <c r="F65" s="7">
        <v>41522</v>
      </c>
      <c r="G65" t="s">
        <v>253</v>
      </c>
      <c r="H65" t="s">
        <v>913</v>
      </c>
      <c r="I65" t="s">
        <v>211</v>
      </c>
      <c r="J65" t="s">
        <v>3726</v>
      </c>
      <c r="K65" t="s">
        <v>225</v>
      </c>
      <c r="L65" t="s">
        <v>265</v>
      </c>
      <c r="M65" t="s">
        <v>914</v>
      </c>
      <c r="N65" t="s">
        <v>915</v>
      </c>
      <c r="O65" t="s">
        <v>916</v>
      </c>
      <c r="P65" t="s">
        <v>917</v>
      </c>
      <c r="Q65" t="s">
        <v>918</v>
      </c>
      <c r="R65" t="str">
        <f t="shared" si="0"/>
        <v>doctor-male.jpg</v>
      </c>
      <c r="S65" s="8">
        <v>6621332765826002</v>
      </c>
      <c r="T65">
        <v>14</v>
      </c>
      <c r="W65" t="str">
        <f t="shared" si="1"/>
        <v>(64,'med075', 'pswmed075', 'Santiago Marco Pinho Baptista', 'Masculino', '2013-09-05', 'Rua de São Mamede', '1149-322', 'Lisboa', 'Médico', 'Portuguesa', 'Bilhete de Identidade', '14725823', '674469563', '682463417', '929027210', 'med075@hospital.upskill.com', 'doctor-male.jpg'),</v>
      </c>
      <c r="X65" t="str">
        <f t="shared" si="2"/>
        <v>(64,'6621332765826000', '14'),</v>
      </c>
      <c r="Y65" t="str">
        <f t="shared" si="3"/>
        <v>(64),</v>
      </c>
    </row>
    <row r="66" spans="1:25" x14ac:dyDescent="0.25">
      <c r="A66">
        <v>65</v>
      </c>
      <c r="B66" t="s">
        <v>919</v>
      </c>
      <c r="C66" t="s">
        <v>920</v>
      </c>
      <c r="D66" t="s">
        <v>921</v>
      </c>
      <c r="E66" t="s">
        <v>66</v>
      </c>
      <c r="F66" s="7">
        <v>24620</v>
      </c>
      <c r="G66" t="s">
        <v>256</v>
      </c>
      <c r="H66" t="s">
        <v>922</v>
      </c>
      <c r="I66" t="s">
        <v>200</v>
      </c>
      <c r="J66" t="s">
        <v>3726</v>
      </c>
      <c r="K66" t="s">
        <v>225</v>
      </c>
      <c r="L66" t="s">
        <v>265</v>
      </c>
      <c r="M66" t="s">
        <v>923</v>
      </c>
      <c r="N66" t="s">
        <v>924</v>
      </c>
      <c r="O66" t="s">
        <v>925</v>
      </c>
      <c r="P66" t="s">
        <v>926</v>
      </c>
      <c r="Q66" t="s">
        <v>927</v>
      </c>
      <c r="R66" t="str">
        <f t="shared" si="0"/>
        <v>doctor-female.jpg</v>
      </c>
      <c r="S66" s="8">
        <v>4168942022798948</v>
      </c>
      <c r="T66">
        <v>15</v>
      </c>
      <c r="W66" t="str">
        <f t="shared" si="1"/>
        <v>(65,'med076', 'pswmed076', 'Leonor Duarte Almeida Marques', 'Feminino', '1967-05-28', 'Travessa de São João da Praça', '3000-240', 'Coimbra', 'Médico', 'Portuguesa', 'Bilhete de Identidade', '65322986', '538389912', '882382367', '934249174', 'med076@hospital.upskill.com', 'doctor-female.jpg'),</v>
      </c>
      <c r="X66" t="str">
        <f t="shared" si="2"/>
        <v>(65,'4168942022798950', '15'),</v>
      </c>
      <c r="Y66" t="str">
        <f t="shared" si="3"/>
        <v>(65),</v>
      </c>
    </row>
    <row r="67" spans="1:25" x14ac:dyDescent="0.25">
      <c r="A67">
        <v>66</v>
      </c>
      <c r="B67" t="s">
        <v>928</v>
      </c>
      <c r="C67" t="s">
        <v>929</v>
      </c>
      <c r="D67" t="s">
        <v>930</v>
      </c>
      <c r="E67" t="s">
        <v>66</v>
      </c>
      <c r="F67" s="7">
        <v>24983</v>
      </c>
      <c r="G67" t="s">
        <v>226</v>
      </c>
      <c r="H67" t="s">
        <v>931</v>
      </c>
      <c r="I67" t="s">
        <v>211</v>
      </c>
      <c r="J67" t="s">
        <v>3726</v>
      </c>
      <c r="K67" t="s">
        <v>225</v>
      </c>
      <c r="L67" t="s">
        <v>265</v>
      </c>
      <c r="M67" t="s">
        <v>932</v>
      </c>
      <c r="N67" t="s">
        <v>933</v>
      </c>
      <c r="O67" t="s">
        <v>934</v>
      </c>
      <c r="P67" t="s">
        <v>935</v>
      </c>
      <c r="Q67" t="s">
        <v>936</v>
      </c>
      <c r="R67" t="str">
        <f t="shared" ref="R67:R130" si="4">IF(E67="Feminino","doctor-female.jpg","doctor-male.jpg")</f>
        <v>doctor-female.jpg</v>
      </c>
      <c r="S67" s="8">
        <v>5913713464254992</v>
      </c>
      <c r="T67">
        <v>16</v>
      </c>
      <c r="W67" t="str">
        <f t="shared" si="1"/>
        <v>(66,'med077', 'pswmed077', 'Beatriz Diogo Barros Pinto', 'Feminino', '1968-05-25', 'Rua do Arsenal', '1099-732', 'Lisboa', 'Médico', 'Portuguesa', 'Bilhete de Identidade', '68029459', '219877889', '386331661', '960356372', 'med077@hospital.upskill.com', 'doctor-female.jpg'),</v>
      </c>
      <c r="X67" t="str">
        <f t="shared" si="2"/>
        <v>(66,'5913713464254990', '16'),</v>
      </c>
      <c r="Y67" t="str">
        <f t="shared" si="3"/>
        <v>(66),</v>
      </c>
    </row>
    <row r="68" spans="1:25" x14ac:dyDescent="0.25">
      <c r="A68">
        <v>67</v>
      </c>
      <c r="B68" t="s">
        <v>937</v>
      </c>
      <c r="C68" t="s">
        <v>938</v>
      </c>
      <c r="D68" t="s">
        <v>939</v>
      </c>
      <c r="E68" t="s">
        <v>66</v>
      </c>
      <c r="F68" s="7">
        <v>28641</v>
      </c>
      <c r="G68" t="s">
        <v>232</v>
      </c>
      <c r="H68" t="s">
        <v>940</v>
      </c>
      <c r="I68" t="s">
        <v>216</v>
      </c>
      <c r="J68" t="s">
        <v>3726</v>
      </c>
      <c r="K68" t="s">
        <v>225</v>
      </c>
      <c r="L68" t="s">
        <v>265</v>
      </c>
      <c r="M68" t="s">
        <v>941</v>
      </c>
      <c r="N68" t="s">
        <v>942</v>
      </c>
      <c r="O68" t="s">
        <v>943</v>
      </c>
      <c r="P68" t="s">
        <v>944</v>
      </c>
      <c r="Q68" t="s">
        <v>945</v>
      </c>
      <c r="R68" t="str">
        <f t="shared" si="4"/>
        <v>doctor-female.jpg</v>
      </c>
      <c r="S68" s="8">
        <v>6877113989750669</v>
      </c>
      <c r="T68">
        <v>17</v>
      </c>
      <c r="W68" t="str">
        <f t="shared" ref="W68:W131" si="5">"(" &amp;A68 &amp; 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(67,'med078', 'pswmed078', 'Ana Tiago Nunes Matos', 'Feminino', '1978-05-31', 'Rua Garrett', '2834-523', 'Barreiro', 'Médico', 'Portuguesa', 'Bilhete de Identidade', '91860386', '299428620', '787735034', '927444172', 'med078@hospital.upskill.com', 'doctor-female.jpg'),</v>
      </c>
      <c r="X68" t="str">
        <f t="shared" ref="X68:X131" si="6">"(" &amp;A68 &amp; ",'" &amp; S68 &amp; "', '" &amp; T68 &amp; "'),"</f>
        <v>(67,'6877113989750670', '17'),</v>
      </c>
      <c r="Y68" t="str">
        <f t="shared" ref="Y68:Y131" si="7">"(" &amp;A68 &amp; "),"</f>
        <v>(67),</v>
      </c>
    </row>
    <row r="69" spans="1:25" x14ac:dyDescent="0.25">
      <c r="A69">
        <v>68</v>
      </c>
      <c r="B69" t="s">
        <v>946</v>
      </c>
      <c r="C69" t="s">
        <v>947</v>
      </c>
      <c r="D69" t="s">
        <v>948</v>
      </c>
      <c r="E69" t="s">
        <v>66</v>
      </c>
      <c r="F69" s="7">
        <v>35043</v>
      </c>
      <c r="G69" t="s">
        <v>230</v>
      </c>
      <c r="H69" t="s">
        <v>949</v>
      </c>
      <c r="I69" t="s">
        <v>207</v>
      </c>
      <c r="J69" t="s">
        <v>3726</v>
      </c>
      <c r="K69" t="s">
        <v>225</v>
      </c>
      <c r="L69" t="s">
        <v>265</v>
      </c>
      <c r="M69" t="s">
        <v>950</v>
      </c>
      <c r="N69" t="s">
        <v>951</v>
      </c>
      <c r="O69" t="s">
        <v>952</v>
      </c>
      <c r="P69" t="s">
        <v>953</v>
      </c>
      <c r="Q69" t="s">
        <v>954</v>
      </c>
      <c r="R69" t="str">
        <f t="shared" si="4"/>
        <v>doctor-female.jpg</v>
      </c>
      <c r="S69" s="8">
        <v>4892789784145003</v>
      </c>
      <c r="T69">
        <v>18</v>
      </c>
      <c r="W69" t="str">
        <f t="shared" si="5"/>
        <v>(68,'med079', 'pswmed079', 'Beatriz Mariana Nascimento Freitas', 'Feminino', '1995-12-10', 'Estrada da Circunvalação de Lisboa', '2749-80', 'Queluz', 'Médico', 'Portuguesa', 'Bilhete de Identidade', '84786543', '751752800', '593613799', '931008964', 'med079@hospital.upskill.com', 'doctor-female.jpg'),</v>
      </c>
      <c r="X69" t="str">
        <f t="shared" si="6"/>
        <v>(68,'4892789784145000', '18'),</v>
      </c>
      <c r="Y69" t="str">
        <f t="shared" si="7"/>
        <v>(68),</v>
      </c>
    </row>
    <row r="70" spans="1:25" x14ac:dyDescent="0.25">
      <c r="A70">
        <v>69</v>
      </c>
      <c r="B70" t="s">
        <v>955</v>
      </c>
      <c r="C70" t="s">
        <v>956</v>
      </c>
      <c r="D70" t="s">
        <v>957</v>
      </c>
      <c r="E70" t="s">
        <v>53</v>
      </c>
      <c r="F70" s="7">
        <v>22527</v>
      </c>
      <c r="G70" t="s">
        <v>250</v>
      </c>
      <c r="H70" t="s">
        <v>958</v>
      </c>
      <c r="I70" t="s">
        <v>205</v>
      </c>
      <c r="J70" t="s">
        <v>3726</v>
      </c>
      <c r="K70" t="s">
        <v>225</v>
      </c>
      <c r="L70" t="s">
        <v>265</v>
      </c>
      <c r="M70" t="s">
        <v>959</v>
      </c>
      <c r="N70" t="s">
        <v>960</v>
      </c>
      <c r="O70" t="s">
        <v>961</v>
      </c>
      <c r="P70" t="s">
        <v>962</v>
      </c>
      <c r="Q70" t="s">
        <v>963</v>
      </c>
      <c r="R70" t="str">
        <f t="shared" si="4"/>
        <v>doctor-male.jpg</v>
      </c>
      <c r="S70" s="8">
        <v>2801683713461608</v>
      </c>
      <c r="T70">
        <v>19</v>
      </c>
      <c r="W70" t="str">
        <f t="shared" si="5"/>
        <v>(69,'med080', 'pswmed080', 'Rodrigo Diana Domingues Torres', 'Masculino', '1961-09-03', 'Rua Nova do Almada', '2004-239', 'Santarém', 'Médico', 'Portuguesa', 'Bilhete de Identidade', '65717941', '749676592', '926885534', '968196846', 'med080@hospital.upskill.com', 'doctor-male.jpg'),</v>
      </c>
      <c r="X70" t="str">
        <f t="shared" si="6"/>
        <v>(69,'2801683713461610', '19'),</v>
      </c>
      <c r="Y70" t="str">
        <f t="shared" si="7"/>
        <v>(69),</v>
      </c>
    </row>
    <row r="71" spans="1:25" x14ac:dyDescent="0.25">
      <c r="A71">
        <v>70</v>
      </c>
      <c r="B71" t="s">
        <v>964</v>
      </c>
      <c r="C71" t="s">
        <v>965</v>
      </c>
      <c r="D71" t="s">
        <v>966</v>
      </c>
      <c r="E71" t="s">
        <v>53</v>
      </c>
      <c r="F71" s="7">
        <v>12686</v>
      </c>
      <c r="G71" t="s">
        <v>260</v>
      </c>
      <c r="H71" t="s">
        <v>967</v>
      </c>
      <c r="I71" t="s">
        <v>221</v>
      </c>
      <c r="J71" t="s">
        <v>3726</v>
      </c>
      <c r="K71" t="s">
        <v>225</v>
      </c>
      <c r="L71" t="s">
        <v>265</v>
      </c>
      <c r="M71" t="s">
        <v>968</v>
      </c>
      <c r="N71" t="s">
        <v>969</v>
      </c>
      <c r="O71" t="s">
        <v>970</v>
      </c>
      <c r="P71" t="s">
        <v>971</v>
      </c>
      <c r="Q71" t="s">
        <v>972</v>
      </c>
      <c r="R71" t="str">
        <f t="shared" si="4"/>
        <v>doctor-male.jpg</v>
      </c>
      <c r="S71" s="8">
        <v>7117279410694210</v>
      </c>
      <c r="T71">
        <v>20</v>
      </c>
      <c r="W71" t="str">
        <f t="shared" si="5"/>
        <v>(70,'med081', 'pswmed081', 'Bruno Joana Loureiro Alves', 'Masculino', '1934-09-24', 'Rua Augusta', '2825-546', 'Costa de Caparica', 'Médico', 'Portuguesa', 'Bilhete de Identidade', '86298454', '615211923', '762942241', '936502696', 'med081@hospital.upskill.com', 'doctor-male.jpg'),</v>
      </c>
      <c r="X71" t="str">
        <f t="shared" si="6"/>
        <v>(70,'7117279410694210', '20'),</v>
      </c>
      <c r="Y71" t="str">
        <f t="shared" si="7"/>
        <v>(70),</v>
      </c>
    </row>
    <row r="72" spans="1:25" x14ac:dyDescent="0.25">
      <c r="A72">
        <v>71</v>
      </c>
      <c r="B72" t="s">
        <v>973</v>
      </c>
      <c r="C72" t="s">
        <v>974</v>
      </c>
      <c r="D72" t="s">
        <v>975</v>
      </c>
      <c r="E72" t="s">
        <v>66</v>
      </c>
      <c r="F72" s="7">
        <v>36263</v>
      </c>
      <c r="G72" t="s">
        <v>235</v>
      </c>
      <c r="H72" t="s">
        <v>976</v>
      </c>
      <c r="I72" t="s">
        <v>218</v>
      </c>
      <c r="J72" t="s">
        <v>3726</v>
      </c>
      <c r="K72" t="s">
        <v>225</v>
      </c>
      <c r="L72" t="s">
        <v>265</v>
      </c>
      <c r="M72" t="s">
        <v>977</v>
      </c>
      <c r="N72" t="s">
        <v>978</v>
      </c>
      <c r="O72" t="s">
        <v>979</v>
      </c>
      <c r="P72" t="s">
        <v>980</v>
      </c>
      <c r="Q72" t="s">
        <v>981</v>
      </c>
      <c r="R72" t="str">
        <f t="shared" si="4"/>
        <v>doctor-female.jpg</v>
      </c>
      <c r="S72" s="8">
        <v>7672257668112252</v>
      </c>
      <c r="T72">
        <v>21</v>
      </c>
      <c r="W72" t="str">
        <f t="shared" si="5"/>
        <v>(71,'med082', 'pswmed082', 'Francisca Mariana Machado Martins', 'Feminino', '1999-04-13', 'Estrada das Laranjeiras', '2775-774', 'Carcavelos', 'Médico', 'Portuguesa', 'Bilhete de Identidade', '60752565', '267799279', '178371865', '925957948', 'med082@hospital.upskill.com', 'doctor-female.jpg'),</v>
      </c>
      <c r="X72" t="str">
        <f t="shared" si="6"/>
        <v>(71,'7672257668112250', '21'),</v>
      </c>
      <c r="Y72" t="str">
        <f t="shared" si="7"/>
        <v>(71),</v>
      </c>
    </row>
    <row r="73" spans="1:25" x14ac:dyDescent="0.25">
      <c r="A73">
        <v>72</v>
      </c>
      <c r="B73" t="s">
        <v>982</v>
      </c>
      <c r="C73" t="s">
        <v>983</v>
      </c>
      <c r="D73" t="s">
        <v>984</v>
      </c>
      <c r="E73" t="s">
        <v>53</v>
      </c>
      <c r="F73" s="7">
        <v>13617</v>
      </c>
      <c r="G73" t="s">
        <v>232</v>
      </c>
      <c r="H73" t="s">
        <v>985</v>
      </c>
      <c r="I73" t="s">
        <v>201</v>
      </c>
      <c r="J73" t="s">
        <v>3726</v>
      </c>
      <c r="K73" t="s">
        <v>225</v>
      </c>
      <c r="L73" t="s">
        <v>265</v>
      </c>
      <c r="M73" t="s">
        <v>986</v>
      </c>
      <c r="N73" t="s">
        <v>987</v>
      </c>
      <c r="O73" t="s">
        <v>988</v>
      </c>
      <c r="P73" t="s">
        <v>989</v>
      </c>
      <c r="Q73" t="s">
        <v>990</v>
      </c>
      <c r="R73" t="str">
        <f t="shared" si="4"/>
        <v>doctor-male.jpg</v>
      </c>
      <c r="S73" s="8">
        <v>7546717095925060</v>
      </c>
      <c r="T73">
        <v>22</v>
      </c>
      <c r="W73" t="str">
        <f t="shared" si="5"/>
        <v>(72,'med083', 'pswmed083', 'Martim Bruno Rocha Guerreiro', 'Masculino', '1937-04-12', 'Rua Garrett', '2415-55', 'Leiria', 'Médico', 'Portuguesa', 'Bilhete de Identidade', '84354224', '276740665', '962880597', '965515416', 'med083@hospital.upskill.com', 'doctor-male.jpg'),</v>
      </c>
      <c r="X73" t="str">
        <f t="shared" si="6"/>
        <v>(72,'7546717095925060', '22'),</v>
      </c>
      <c r="Y73" t="str">
        <f t="shared" si="7"/>
        <v>(72),</v>
      </c>
    </row>
    <row r="74" spans="1:25" x14ac:dyDescent="0.25">
      <c r="A74">
        <v>73</v>
      </c>
      <c r="B74" t="s">
        <v>991</v>
      </c>
      <c r="C74" t="s">
        <v>992</v>
      </c>
      <c r="D74" t="s">
        <v>993</v>
      </c>
      <c r="E74" t="s">
        <v>53</v>
      </c>
      <c r="F74" s="7">
        <v>41552</v>
      </c>
      <c r="G74" t="s">
        <v>260</v>
      </c>
      <c r="H74" t="s">
        <v>994</v>
      </c>
      <c r="I74" t="s">
        <v>211</v>
      </c>
      <c r="J74" t="s">
        <v>3726</v>
      </c>
      <c r="K74" t="s">
        <v>225</v>
      </c>
      <c r="L74" t="s">
        <v>265</v>
      </c>
      <c r="M74" t="s">
        <v>995</v>
      </c>
      <c r="N74" t="s">
        <v>996</v>
      </c>
      <c r="O74" t="s">
        <v>997</v>
      </c>
      <c r="P74" t="s">
        <v>998</v>
      </c>
      <c r="Q74" t="s">
        <v>999</v>
      </c>
      <c r="R74" t="str">
        <f t="shared" si="4"/>
        <v>doctor-male.jpg</v>
      </c>
      <c r="S74" s="8">
        <v>9580753341414722</v>
      </c>
      <c r="T74">
        <v>23</v>
      </c>
      <c r="W74" t="str">
        <f t="shared" si="5"/>
        <v>(73,'med084', 'pswmed084', 'Gabriel Sara Brito Domingues', 'Masculino', '2013-10-05', 'Rua Augusta', '1949-787', 'Lisboa', 'Médico', 'Portuguesa', 'Bilhete de Identidade', '42480191', '363209352', '710264460', '926700649', 'med084@hospital.upskill.com', 'doctor-male.jpg'),</v>
      </c>
      <c r="X74" t="str">
        <f t="shared" si="6"/>
        <v>(73,'9580753341414720', '23'),</v>
      </c>
      <c r="Y74" t="str">
        <f t="shared" si="7"/>
        <v>(73),</v>
      </c>
    </row>
    <row r="75" spans="1:25" x14ac:dyDescent="0.25">
      <c r="A75">
        <v>74</v>
      </c>
      <c r="B75" t="s">
        <v>1000</v>
      </c>
      <c r="C75" t="s">
        <v>1001</v>
      </c>
      <c r="D75" t="s">
        <v>1002</v>
      </c>
      <c r="E75" t="s">
        <v>66</v>
      </c>
      <c r="F75" s="7">
        <v>27773</v>
      </c>
      <c r="G75" t="s">
        <v>234</v>
      </c>
      <c r="H75" t="s">
        <v>1003</v>
      </c>
      <c r="I75" t="s">
        <v>218</v>
      </c>
      <c r="J75" t="s">
        <v>3726</v>
      </c>
      <c r="K75" t="s">
        <v>225</v>
      </c>
      <c r="L75" t="s">
        <v>265</v>
      </c>
      <c r="M75" t="s">
        <v>1004</v>
      </c>
      <c r="N75" t="s">
        <v>1005</v>
      </c>
      <c r="O75" t="s">
        <v>1006</v>
      </c>
      <c r="P75" t="s">
        <v>1007</v>
      </c>
      <c r="Q75" t="s">
        <v>1008</v>
      </c>
      <c r="R75" t="str">
        <f t="shared" si="4"/>
        <v>doctor-female.jpg</v>
      </c>
      <c r="S75" s="8">
        <v>3910835739459963</v>
      </c>
      <c r="T75">
        <v>24</v>
      </c>
      <c r="W75" t="str">
        <f t="shared" si="5"/>
        <v>(74,'med085', 'pswmed085', 'Beatriz Afonso Moura Machado', 'Feminino', '1976-01-14', 'Rua do Instituto Bacteriológico', '2779-181', 'Carcavelos', 'Médico', 'Portuguesa', 'Bilhete de Identidade', '23628387', '261718716', '158557534', '960593510', 'med085@hospital.upskill.com', 'doctor-female.jpg'),</v>
      </c>
      <c r="X75" t="str">
        <f t="shared" si="6"/>
        <v>(74,'3910835739459960', '24'),</v>
      </c>
      <c r="Y75" t="str">
        <f t="shared" si="7"/>
        <v>(74),</v>
      </c>
    </row>
    <row r="76" spans="1:25" x14ac:dyDescent="0.25">
      <c r="A76">
        <v>75</v>
      </c>
      <c r="B76" t="s">
        <v>1009</v>
      </c>
      <c r="C76" t="s">
        <v>1010</v>
      </c>
      <c r="D76" t="s">
        <v>1011</v>
      </c>
      <c r="E76" t="s">
        <v>53</v>
      </c>
      <c r="F76" s="7">
        <v>27273</v>
      </c>
      <c r="G76" t="s">
        <v>249</v>
      </c>
      <c r="H76" t="s">
        <v>1012</v>
      </c>
      <c r="I76" t="s">
        <v>211</v>
      </c>
      <c r="J76" t="s">
        <v>3726</v>
      </c>
      <c r="K76" t="s">
        <v>225</v>
      </c>
      <c r="L76" t="s">
        <v>265</v>
      </c>
      <c r="M76" t="s">
        <v>1013</v>
      </c>
      <c r="N76" t="s">
        <v>1014</v>
      </c>
      <c r="O76" t="s">
        <v>1015</v>
      </c>
      <c r="P76" t="s">
        <v>1016</v>
      </c>
      <c r="Q76" t="s">
        <v>1017</v>
      </c>
      <c r="R76" t="str">
        <f t="shared" si="4"/>
        <v>doctor-male.jpg</v>
      </c>
      <c r="S76" s="8">
        <v>7324002862602352</v>
      </c>
      <c r="T76">
        <v>25</v>
      </c>
      <c r="W76" t="str">
        <f t="shared" si="5"/>
        <v>(75,'med086', 'pswmed086', 'Gabriel Duarte Neto Rocha', 'Masculino', '1974-09-01', 'Rua Júlio César Machado', '1099-305', 'Lisboa', 'Médico', 'Portuguesa', 'Bilhete de Identidade', '79022005', '711964392', '794893603', '934680263', 'med086@hospital.upskill.com', 'doctor-male.jpg'),</v>
      </c>
      <c r="X76" t="str">
        <f t="shared" si="6"/>
        <v>(75,'7324002862602350', '25'),</v>
      </c>
      <c r="Y76" t="str">
        <f t="shared" si="7"/>
        <v>(75),</v>
      </c>
    </row>
    <row r="77" spans="1:25" x14ac:dyDescent="0.25">
      <c r="A77">
        <v>76</v>
      </c>
      <c r="B77" t="s">
        <v>1018</v>
      </c>
      <c r="C77" t="s">
        <v>1019</v>
      </c>
      <c r="D77" t="s">
        <v>1020</v>
      </c>
      <c r="E77" t="s">
        <v>53</v>
      </c>
      <c r="F77" s="7">
        <v>33962</v>
      </c>
      <c r="G77" t="s">
        <v>262</v>
      </c>
      <c r="H77" t="s">
        <v>1021</v>
      </c>
      <c r="I77" t="s">
        <v>203</v>
      </c>
      <c r="J77" t="s">
        <v>3726</v>
      </c>
      <c r="K77" t="s">
        <v>225</v>
      </c>
      <c r="L77" t="s">
        <v>265</v>
      </c>
      <c r="M77" t="s">
        <v>1022</v>
      </c>
      <c r="N77" t="s">
        <v>1023</v>
      </c>
      <c r="O77" t="s">
        <v>1024</v>
      </c>
      <c r="P77" t="s">
        <v>1025</v>
      </c>
      <c r="Q77" t="s">
        <v>1026</v>
      </c>
      <c r="R77" t="str">
        <f t="shared" si="4"/>
        <v>doctor-male.jpg</v>
      </c>
      <c r="S77" s="8">
        <v>6150857692420005</v>
      </c>
      <c r="T77">
        <v>26</v>
      </c>
      <c r="W77" t="str">
        <f t="shared" si="5"/>
        <v>(76,'med087', 'pswmed087', 'Francisco Mariana Soares Simões', 'Masculino', '1992-12-24', 'Estrada Militar', '2350-627', 'Torres Novas', 'Médico', 'Portuguesa', 'Bilhete de Identidade', '40410488', '764773529', '256136898', '968018985', 'med087@hospital.upskill.com', 'doctor-male.jpg'),</v>
      </c>
      <c r="X77" t="str">
        <f t="shared" si="6"/>
        <v>(76,'6150857692420000', '26'),</v>
      </c>
      <c r="Y77" t="str">
        <f t="shared" si="7"/>
        <v>(76),</v>
      </c>
    </row>
    <row r="78" spans="1:25" x14ac:dyDescent="0.25">
      <c r="A78">
        <v>77</v>
      </c>
      <c r="B78" t="s">
        <v>1027</v>
      </c>
      <c r="C78" t="s">
        <v>1028</v>
      </c>
      <c r="D78" t="s">
        <v>1029</v>
      </c>
      <c r="E78" t="s">
        <v>66</v>
      </c>
      <c r="F78" s="7">
        <v>16313</v>
      </c>
      <c r="G78" t="s">
        <v>250</v>
      </c>
      <c r="H78" t="s">
        <v>1030</v>
      </c>
      <c r="I78" t="s">
        <v>211</v>
      </c>
      <c r="J78" t="s">
        <v>3726</v>
      </c>
      <c r="K78" t="s">
        <v>225</v>
      </c>
      <c r="L78" t="s">
        <v>265</v>
      </c>
      <c r="M78" t="s">
        <v>1031</v>
      </c>
      <c r="N78" t="s">
        <v>1032</v>
      </c>
      <c r="O78" t="s">
        <v>1033</v>
      </c>
      <c r="P78" t="s">
        <v>1034</v>
      </c>
      <c r="Q78" t="s">
        <v>1035</v>
      </c>
      <c r="R78" t="str">
        <f t="shared" si="4"/>
        <v>doctor-female.jpg</v>
      </c>
      <c r="S78" s="8">
        <v>8302440617988995</v>
      </c>
      <c r="T78">
        <v>27</v>
      </c>
      <c r="W78" t="str">
        <f t="shared" si="5"/>
        <v>(77,'med088', 'pswmed088', 'Carolina André Azevedo Gaspar', 'Feminino', '1944-08-29', 'Rua Nova do Almada', '1999-41', 'Lisboa', 'Médico', 'Portuguesa', 'Bilhete de Identidade', '93579833', '862822548', '253013752', '961361058', 'med088@hospital.upskill.com', 'doctor-female.jpg'),</v>
      </c>
      <c r="X78" t="str">
        <f t="shared" si="6"/>
        <v>(77,'8302440617988990', '27'),</v>
      </c>
      <c r="Y78" t="str">
        <f t="shared" si="7"/>
        <v>(77),</v>
      </c>
    </row>
    <row r="79" spans="1:25" x14ac:dyDescent="0.25">
      <c r="A79">
        <v>78</v>
      </c>
      <c r="B79" t="s">
        <v>1036</v>
      </c>
      <c r="C79" t="s">
        <v>1037</v>
      </c>
      <c r="D79" t="s">
        <v>1038</v>
      </c>
      <c r="E79" t="s">
        <v>53</v>
      </c>
      <c r="F79" s="7">
        <v>40133</v>
      </c>
      <c r="G79" t="s">
        <v>227</v>
      </c>
      <c r="H79" t="s">
        <v>1039</v>
      </c>
      <c r="I79" t="s">
        <v>211</v>
      </c>
      <c r="J79" t="s">
        <v>3726</v>
      </c>
      <c r="K79" t="s">
        <v>225</v>
      </c>
      <c r="L79" t="s">
        <v>265</v>
      </c>
      <c r="M79" t="s">
        <v>1040</v>
      </c>
      <c r="N79" t="s">
        <v>1041</v>
      </c>
      <c r="O79" t="s">
        <v>1042</v>
      </c>
      <c r="P79" t="s">
        <v>1043</v>
      </c>
      <c r="Q79" t="s">
        <v>1044</v>
      </c>
      <c r="R79" t="str">
        <f t="shared" si="4"/>
        <v>doctor-male.jpg</v>
      </c>
      <c r="S79" s="8">
        <v>1528193036942099</v>
      </c>
      <c r="T79">
        <v>28</v>
      </c>
      <c r="W79" t="str">
        <f t="shared" si="5"/>
        <v>(78,'med089', 'pswmed089', 'Martim Ana Maia Tavares', 'Masculino', '2009-11-16', 'Rua dos Bacalhoeiros', '1950-452', 'Lisboa', 'Médico', 'Portuguesa', 'Bilhete de Identidade', '55707176', '333672673', '787664139', '929995483', 'med089@hospital.upskill.com', 'doctor-male.jpg'),</v>
      </c>
      <c r="X79" t="str">
        <f t="shared" si="6"/>
        <v>(78,'1528193036942100', '28'),</v>
      </c>
      <c r="Y79" t="str">
        <f t="shared" si="7"/>
        <v>(78),</v>
      </c>
    </row>
    <row r="80" spans="1:25" x14ac:dyDescent="0.25">
      <c r="A80">
        <v>79</v>
      </c>
      <c r="B80" t="s">
        <v>1045</v>
      </c>
      <c r="C80" t="s">
        <v>1046</v>
      </c>
      <c r="D80" t="s">
        <v>1047</v>
      </c>
      <c r="E80" t="s">
        <v>53</v>
      </c>
      <c r="F80" s="7">
        <v>16302</v>
      </c>
      <c r="G80" t="s">
        <v>254</v>
      </c>
      <c r="H80" t="s">
        <v>1048</v>
      </c>
      <c r="I80" t="s">
        <v>211</v>
      </c>
      <c r="J80" t="s">
        <v>3726</v>
      </c>
      <c r="K80" t="s">
        <v>225</v>
      </c>
      <c r="L80" t="s">
        <v>265</v>
      </c>
      <c r="M80" t="s">
        <v>1049</v>
      </c>
      <c r="N80" t="s">
        <v>1050</v>
      </c>
      <c r="O80" t="s">
        <v>1051</v>
      </c>
      <c r="P80" t="s">
        <v>1052</v>
      </c>
      <c r="Q80" t="s">
        <v>1053</v>
      </c>
      <c r="R80" t="str">
        <f t="shared" si="4"/>
        <v>doctor-male.jpg</v>
      </c>
      <c r="S80" s="8">
        <v>4987801193868462</v>
      </c>
      <c r="T80">
        <v>29</v>
      </c>
      <c r="W80" t="str">
        <f t="shared" si="5"/>
        <v>(79,'med090', 'pswmed090', 'Diogo Maria Valente Leite', 'Masculino', '1944-08-18', 'Rua do Sacramento à Lapa', '1300-832', 'Lisboa', 'Médico', 'Portuguesa', 'Bilhete de Identidade', '82482537', '863509065', '392898089', '961610768', 'med090@hospital.upskill.com', 'doctor-male.jpg'),</v>
      </c>
      <c r="X80" t="str">
        <f t="shared" si="6"/>
        <v>(79,'4987801193868460', '29'),</v>
      </c>
      <c r="Y80" t="str">
        <f t="shared" si="7"/>
        <v>(79),</v>
      </c>
    </row>
    <row r="81" spans="1:25" x14ac:dyDescent="0.25">
      <c r="A81">
        <v>80</v>
      </c>
      <c r="B81" t="s">
        <v>1054</v>
      </c>
      <c r="C81" t="s">
        <v>1055</v>
      </c>
      <c r="D81" t="s">
        <v>1056</v>
      </c>
      <c r="E81" t="s">
        <v>53</v>
      </c>
      <c r="F81" s="7">
        <v>15230</v>
      </c>
      <c r="G81" t="s">
        <v>241</v>
      </c>
      <c r="H81" t="s">
        <v>1057</v>
      </c>
      <c r="I81" t="s">
        <v>211</v>
      </c>
      <c r="J81" t="s">
        <v>3726</v>
      </c>
      <c r="K81" t="s">
        <v>225</v>
      </c>
      <c r="L81" t="s">
        <v>265</v>
      </c>
      <c r="M81" t="s">
        <v>1058</v>
      </c>
      <c r="N81" t="s">
        <v>1059</v>
      </c>
      <c r="O81" t="s">
        <v>1060</v>
      </c>
      <c r="P81" t="s">
        <v>1061</v>
      </c>
      <c r="Q81" t="s">
        <v>1062</v>
      </c>
      <c r="R81" t="str">
        <f t="shared" si="4"/>
        <v>doctor-male.jpg</v>
      </c>
      <c r="S81" s="8">
        <v>5778018116245415</v>
      </c>
      <c r="T81">
        <v>30</v>
      </c>
      <c r="W81" t="str">
        <f t="shared" si="5"/>
        <v>(80,'med091', 'pswmed091', 'Miguel Daniela Araújo Assunção', 'Masculino', '1941-09-11', 'Rua da Prata', '1800-229', 'Lisboa', 'Médico', 'Portuguesa', 'Bilhete de Identidade', '56980397', '768690417', '868912666', '963115441', 'med091@hospital.upskill.com', 'doctor-male.jpg'),</v>
      </c>
      <c r="X81" t="str">
        <f t="shared" si="6"/>
        <v>(80,'5778018116245410', '30'),</v>
      </c>
      <c r="Y81" t="str">
        <f t="shared" si="7"/>
        <v>(80),</v>
      </c>
    </row>
    <row r="82" spans="1:25" x14ac:dyDescent="0.25">
      <c r="A82">
        <v>81</v>
      </c>
      <c r="B82" t="s">
        <v>1063</v>
      </c>
      <c r="C82" t="s">
        <v>1064</v>
      </c>
      <c r="D82" t="s">
        <v>1065</v>
      </c>
      <c r="E82" t="s">
        <v>66</v>
      </c>
      <c r="F82" s="7">
        <v>33682</v>
      </c>
      <c r="G82" t="s">
        <v>243</v>
      </c>
      <c r="H82" t="s">
        <v>1066</v>
      </c>
      <c r="I82" t="s">
        <v>209</v>
      </c>
      <c r="J82" t="s">
        <v>3726</v>
      </c>
      <c r="K82" t="s">
        <v>225</v>
      </c>
      <c r="L82" t="s">
        <v>265</v>
      </c>
      <c r="M82" t="s">
        <v>1067</v>
      </c>
      <c r="N82" t="s">
        <v>1068</v>
      </c>
      <c r="O82" t="s">
        <v>1069</v>
      </c>
      <c r="P82" t="s">
        <v>1070</v>
      </c>
      <c r="Q82" t="s">
        <v>1071</v>
      </c>
      <c r="R82" t="str">
        <f t="shared" si="4"/>
        <v>doctor-female.jpg</v>
      </c>
      <c r="S82" s="8">
        <v>8284132159684122</v>
      </c>
      <c r="T82">
        <v>31</v>
      </c>
      <c r="W82" t="str">
        <f t="shared" si="5"/>
        <v>(81,'med092', 'pswmed092', 'Daniela Marco Freitas Vaz', 'Feminino', '1992-03-19', 'Rua Roberto Duarte Silva', '2810-911', 'Almada', 'Médico', 'Portuguesa', 'Bilhete de Identidade', '66570393', '812928115', '523701106', '965853891', 'med092@hospital.upskill.com', 'doctor-female.jpg'),</v>
      </c>
      <c r="X82" t="str">
        <f t="shared" si="6"/>
        <v>(81,'8284132159684120', '31'),</v>
      </c>
      <c r="Y82" t="str">
        <f t="shared" si="7"/>
        <v>(81),</v>
      </c>
    </row>
    <row r="83" spans="1:25" x14ac:dyDescent="0.25">
      <c r="A83">
        <v>82</v>
      </c>
      <c r="B83" t="s">
        <v>1072</v>
      </c>
      <c r="C83" t="s">
        <v>1073</v>
      </c>
      <c r="D83" t="s">
        <v>1074</v>
      </c>
      <c r="E83" t="s">
        <v>53</v>
      </c>
      <c r="F83" s="7">
        <v>19081</v>
      </c>
      <c r="G83" t="s">
        <v>237</v>
      </c>
      <c r="H83" t="s">
        <v>1075</v>
      </c>
      <c r="I83" t="s">
        <v>220</v>
      </c>
      <c r="J83" t="s">
        <v>3726</v>
      </c>
      <c r="K83" t="s">
        <v>225</v>
      </c>
      <c r="L83" t="s">
        <v>265</v>
      </c>
      <c r="M83" t="s">
        <v>1076</v>
      </c>
      <c r="N83" t="s">
        <v>1077</v>
      </c>
      <c r="O83" t="s">
        <v>1078</v>
      </c>
      <c r="P83" t="s">
        <v>1079</v>
      </c>
      <c r="Q83" t="s">
        <v>1080</v>
      </c>
      <c r="R83" t="str">
        <f t="shared" si="4"/>
        <v>doctor-male.jpg</v>
      </c>
      <c r="S83" s="8">
        <v>2326498550471798</v>
      </c>
      <c r="T83">
        <v>32</v>
      </c>
      <c r="W83" t="str">
        <f t="shared" si="5"/>
        <v>(82,'med093', 'pswmed093', 'Afonso Luís Raposo Pinto', 'Masculino', '1952-03-28', 'Calçada Marquês de Abrantes', '2754-571', 'Cascais', 'Médico', 'Portuguesa', 'Bilhete de Identidade', '83777376', '781297794', '698777117', '933919410', 'med093@hospital.upskill.com', 'doctor-male.jpg'),</v>
      </c>
      <c r="X83" t="str">
        <f t="shared" si="6"/>
        <v>(82,'2326498550471800', '32'),</v>
      </c>
      <c r="Y83" t="str">
        <f t="shared" si="7"/>
        <v>(82),</v>
      </c>
    </row>
    <row r="84" spans="1:25" x14ac:dyDescent="0.25">
      <c r="A84">
        <v>83</v>
      </c>
      <c r="B84" t="s">
        <v>1081</v>
      </c>
      <c r="C84" t="s">
        <v>1082</v>
      </c>
      <c r="D84" t="s">
        <v>1083</v>
      </c>
      <c r="E84" t="s">
        <v>53</v>
      </c>
      <c r="F84" s="7">
        <v>28822</v>
      </c>
      <c r="G84" t="s">
        <v>256</v>
      </c>
      <c r="H84" t="s">
        <v>1084</v>
      </c>
      <c r="I84" t="s">
        <v>211</v>
      </c>
      <c r="J84" t="s">
        <v>3726</v>
      </c>
      <c r="K84" t="s">
        <v>225</v>
      </c>
      <c r="L84" t="s">
        <v>265</v>
      </c>
      <c r="M84" t="s">
        <v>1085</v>
      </c>
      <c r="N84" t="s">
        <v>1086</v>
      </c>
      <c r="O84" t="s">
        <v>1087</v>
      </c>
      <c r="P84" t="s">
        <v>1088</v>
      </c>
      <c r="Q84" t="s">
        <v>1089</v>
      </c>
      <c r="R84" t="str">
        <f t="shared" si="4"/>
        <v>doctor-male.jpg</v>
      </c>
      <c r="S84" s="8">
        <v>3564749633184122</v>
      </c>
      <c r="T84">
        <v>33</v>
      </c>
      <c r="W84" t="str">
        <f t="shared" si="5"/>
        <v>(83,'med094', 'pswmed094', 'Diogo Gabriel Melo Moura', 'Masculino', '1978-11-28', 'Travessa de São João da Praça', '1149-521', 'Lisboa', 'Médico', 'Portuguesa', 'Bilhete de Identidade', '49721151', '399163565', '850247680', '965896894', 'med094@hospital.upskill.com', 'doctor-male.jpg'),</v>
      </c>
      <c r="X84" t="str">
        <f t="shared" si="6"/>
        <v>(83,'3564749633184120', '33'),</v>
      </c>
      <c r="Y84" t="str">
        <f t="shared" si="7"/>
        <v>(83),</v>
      </c>
    </row>
    <row r="85" spans="1:25" x14ac:dyDescent="0.25">
      <c r="A85">
        <v>84</v>
      </c>
      <c r="B85" t="s">
        <v>1090</v>
      </c>
      <c r="C85" t="s">
        <v>1091</v>
      </c>
      <c r="D85" t="s">
        <v>1092</v>
      </c>
      <c r="E85" t="s">
        <v>53</v>
      </c>
      <c r="F85" s="7">
        <v>23243</v>
      </c>
      <c r="G85" t="s">
        <v>234</v>
      </c>
      <c r="H85" t="s">
        <v>1093</v>
      </c>
      <c r="I85" t="s">
        <v>211</v>
      </c>
      <c r="J85" t="s">
        <v>3726</v>
      </c>
      <c r="K85" t="s">
        <v>225</v>
      </c>
      <c r="L85" t="s">
        <v>265</v>
      </c>
      <c r="M85" t="s">
        <v>1094</v>
      </c>
      <c r="N85" t="s">
        <v>1095</v>
      </c>
      <c r="O85" t="s">
        <v>1096</v>
      </c>
      <c r="P85" t="s">
        <v>1097</v>
      </c>
      <c r="Q85" t="s">
        <v>1098</v>
      </c>
      <c r="R85" t="str">
        <f t="shared" si="4"/>
        <v>doctor-male.jpg</v>
      </c>
      <c r="S85" s="8">
        <v>2709211881719222</v>
      </c>
      <c r="T85">
        <v>34</v>
      </c>
      <c r="W85" t="str">
        <f t="shared" si="5"/>
        <v>(84,'med095', 'pswmed095', 'Tomás Francisca Brito Araújo', 'Masculino', '1963-08-20', 'Rua do Instituto Bacteriológico', '1000-477', 'Lisboa', 'Médico', 'Portuguesa', 'Bilhete de Identidade', '64679712', '391707929', '123778456', '914369190', 'med095@hospital.upskill.com', 'doctor-male.jpg'),</v>
      </c>
      <c r="X85" t="str">
        <f t="shared" si="6"/>
        <v>(84,'2709211881719220', '34'),</v>
      </c>
      <c r="Y85" t="str">
        <f t="shared" si="7"/>
        <v>(84),</v>
      </c>
    </row>
    <row r="86" spans="1:25" x14ac:dyDescent="0.25">
      <c r="A86">
        <v>85</v>
      </c>
      <c r="B86" t="s">
        <v>1099</v>
      </c>
      <c r="C86" t="s">
        <v>1100</v>
      </c>
      <c r="D86" t="s">
        <v>1101</v>
      </c>
      <c r="E86" t="s">
        <v>53</v>
      </c>
      <c r="F86" s="7">
        <v>18576</v>
      </c>
      <c r="G86" t="s">
        <v>260</v>
      </c>
      <c r="H86" t="s">
        <v>1102</v>
      </c>
      <c r="I86" t="s">
        <v>217</v>
      </c>
      <c r="J86" t="s">
        <v>3726</v>
      </c>
      <c r="K86" t="s">
        <v>225</v>
      </c>
      <c r="L86" t="s">
        <v>265</v>
      </c>
      <c r="M86" t="s">
        <v>1103</v>
      </c>
      <c r="N86" t="s">
        <v>1104</v>
      </c>
      <c r="O86" t="s">
        <v>1105</v>
      </c>
      <c r="P86" t="s">
        <v>1106</v>
      </c>
      <c r="Q86" t="s">
        <v>1107</v>
      </c>
      <c r="R86" t="str">
        <f t="shared" si="4"/>
        <v>doctor-male.jpg</v>
      </c>
      <c r="S86" s="8">
        <v>1657956406944701</v>
      </c>
      <c r="T86">
        <v>35</v>
      </c>
      <c r="W86" t="str">
        <f t="shared" si="5"/>
        <v>(85,'med096', 'pswmed096', 'Ricardo Carolina Pires Carvalho', 'Masculino', '1950-11-09', 'Rua Augusta', '2829-545', 'Caparica', 'Médico', 'Portuguesa', 'Bilhete de Identidade', '93705457', '709292193', '841556037', '960557669', 'med096@hospital.upskill.com', 'doctor-male.jpg'),</v>
      </c>
      <c r="X86" t="str">
        <f t="shared" si="6"/>
        <v>(85,'1657956406944700', '35'),</v>
      </c>
      <c r="Y86" t="str">
        <f t="shared" si="7"/>
        <v>(85),</v>
      </c>
    </row>
    <row r="87" spans="1:25" x14ac:dyDescent="0.25">
      <c r="A87">
        <v>86</v>
      </c>
      <c r="B87" t="s">
        <v>1108</v>
      </c>
      <c r="C87" t="s">
        <v>1109</v>
      </c>
      <c r="D87" t="s">
        <v>1110</v>
      </c>
      <c r="E87" t="s">
        <v>66</v>
      </c>
      <c r="F87" s="7">
        <v>36577</v>
      </c>
      <c r="G87" t="s">
        <v>257</v>
      </c>
      <c r="H87" t="s">
        <v>1111</v>
      </c>
      <c r="I87" t="s">
        <v>211</v>
      </c>
      <c r="J87" t="s">
        <v>3726</v>
      </c>
      <c r="K87" t="s">
        <v>225</v>
      </c>
      <c r="L87" t="s">
        <v>265</v>
      </c>
      <c r="M87" t="s">
        <v>1112</v>
      </c>
      <c r="N87" t="s">
        <v>1113</v>
      </c>
      <c r="O87" t="s">
        <v>1114</v>
      </c>
      <c r="P87" t="s">
        <v>1115</v>
      </c>
      <c r="Q87" t="s">
        <v>1116</v>
      </c>
      <c r="R87" t="str">
        <f t="shared" si="4"/>
        <v>doctor-female.jpg</v>
      </c>
      <c r="S87" s="8">
        <v>2997739650791720</v>
      </c>
      <c r="T87">
        <v>36</v>
      </c>
      <c r="W87" t="str">
        <f t="shared" si="5"/>
        <v>(86,'med097', 'pswmed097', 'Maria Martim Tavares Antunes', 'Feminino', '2000-02-21', 'Rua do Sol a Santana', '1749-688', 'Lisboa', 'Médico', 'Portuguesa', 'Bilhete de Identidade', '87852216', '968403489', '205945789', '936653818', 'med097@hospital.upskill.com', 'doctor-female.jpg'),</v>
      </c>
      <c r="X87" t="str">
        <f t="shared" si="6"/>
        <v>(86,'2997739650791720', '36'),</v>
      </c>
      <c r="Y87" t="str">
        <f t="shared" si="7"/>
        <v>(86),</v>
      </c>
    </row>
    <row r="88" spans="1:25" x14ac:dyDescent="0.25">
      <c r="A88">
        <v>87</v>
      </c>
      <c r="B88" t="s">
        <v>1117</v>
      </c>
      <c r="C88" t="s">
        <v>1118</v>
      </c>
      <c r="D88" t="s">
        <v>1119</v>
      </c>
      <c r="E88" t="s">
        <v>53</v>
      </c>
      <c r="F88" s="7">
        <v>18365</v>
      </c>
      <c r="G88" t="s">
        <v>254</v>
      </c>
      <c r="H88" t="s">
        <v>1120</v>
      </c>
      <c r="I88" t="s">
        <v>210</v>
      </c>
      <c r="J88" t="s">
        <v>3726</v>
      </c>
      <c r="K88" t="s">
        <v>225</v>
      </c>
      <c r="L88" t="s">
        <v>265</v>
      </c>
      <c r="M88" t="s">
        <v>1121</v>
      </c>
      <c r="N88" t="s">
        <v>1122</v>
      </c>
      <c r="O88" t="s">
        <v>1123</v>
      </c>
      <c r="P88" t="s">
        <v>1124</v>
      </c>
      <c r="Q88" t="s">
        <v>1125</v>
      </c>
      <c r="R88" t="str">
        <f t="shared" si="4"/>
        <v>doctor-male.jpg</v>
      </c>
      <c r="S88" s="8">
        <v>3676812329311769</v>
      </c>
      <c r="T88">
        <v>37</v>
      </c>
      <c r="W88" t="str">
        <f t="shared" si="5"/>
        <v>(87,'med098', 'pswmed098', 'Miguel Santiago Amorim Rocha', 'Masculino', '1950-04-12', 'Rua do Sacramento à Lapa', '2614-306', 'Amadora', 'Médico', 'Portuguesa', 'Bilhete de Identidade', '65114515', '976746897', '341533719', '937888745', 'med098@hospital.upskill.com', 'doctor-male.jpg'),</v>
      </c>
      <c r="X88" t="str">
        <f t="shared" si="6"/>
        <v>(87,'3676812329311770', '37'),</v>
      </c>
      <c r="Y88" t="str">
        <f t="shared" si="7"/>
        <v>(87),</v>
      </c>
    </row>
    <row r="89" spans="1:25" x14ac:dyDescent="0.25">
      <c r="A89">
        <v>88</v>
      </c>
      <c r="B89" t="s">
        <v>1126</v>
      </c>
      <c r="C89" t="s">
        <v>1127</v>
      </c>
      <c r="D89" t="s">
        <v>1128</v>
      </c>
      <c r="E89" t="s">
        <v>53</v>
      </c>
      <c r="F89" s="7">
        <v>31062</v>
      </c>
      <c r="G89" t="s">
        <v>236</v>
      </c>
      <c r="H89" t="s">
        <v>1129</v>
      </c>
      <c r="I89" t="s">
        <v>218</v>
      </c>
      <c r="J89" t="s">
        <v>3726</v>
      </c>
      <c r="K89" t="s">
        <v>225</v>
      </c>
      <c r="L89" t="s">
        <v>265</v>
      </c>
      <c r="M89" t="s">
        <v>1130</v>
      </c>
      <c r="N89" t="s">
        <v>1131</v>
      </c>
      <c r="O89" t="s">
        <v>1132</v>
      </c>
      <c r="P89" t="s">
        <v>1133</v>
      </c>
      <c r="Q89" t="s">
        <v>1134</v>
      </c>
      <c r="R89" t="str">
        <f t="shared" si="4"/>
        <v>doctor-male.jpg</v>
      </c>
      <c r="S89" s="8">
        <v>5902089951610188</v>
      </c>
      <c r="T89">
        <v>38</v>
      </c>
      <c r="W89" t="str">
        <f t="shared" si="5"/>
        <v>(88,'med099', 'pswmed099', 'André Rodrigo Moreira Silva', 'Masculino', '1985-01-15', 'Rua da Madalena', '2775-45', 'Carcavelos', 'Médico', 'Portuguesa', 'Bilhete de Identidade', '60599370', '215959333', '473748617', '931855664', 'med099@hospital.upskill.com', 'doctor-male.jpg'),</v>
      </c>
      <c r="X89" t="str">
        <f t="shared" si="6"/>
        <v>(88,'5902089951610190', '38'),</v>
      </c>
      <c r="Y89" t="str">
        <f t="shared" si="7"/>
        <v>(88),</v>
      </c>
    </row>
    <row r="90" spans="1:25" x14ac:dyDescent="0.25">
      <c r="A90">
        <v>89</v>
      </c>
      <c r="B90" t="s">
        <v>1135</v>
      </c>
      <c r="C90" t="s">
        <v>1136</v>
      </c>
      <c r="D90" t="s">
        <v>1137</v>
      </c>
      <c r="E90" t="s">
        <v>53</v>
      </c>
      <c r="F90" s="7">
        <v>37490</v>
      </c>
      <c r="G90" t="s">
        <v>249</v>
      </c>
      <c r="H90" t="s">
        <v>1138</v>
      </c>
      <c r="I90" t="s">
        <v>205</v>
      </c>
      <c r="J90" t="s">
        <v>3726</v>
      </c>
      <c r="K90" t="s">
        <v>225</v>
      </c>
      <c r="L90" t="s">
        <v>265</v>
      </c>
      <c r="M90" t="s">
        <v>1139</v>
      </c>
      <c r="N90" t="s">
        <v>1140</v>
      </c>
      <c r="O90" t="s">
        <v>1141</v>
      </c>
      <c r="P90" t="s">
        <v>1142</v>
      </c>
      <c r="Q90" t="s">
        <v>1143</v>
      </c>
      <c r="R90" t="str">
        <f t="shared" si="4"/>
        <v>doctor-male.jpg</v>
      </c>
      <c r="S90" s="8">
        <v>9894957099706968</v>
      </c>
      <c r="T90">
        <v>39</v>
      </c>
      <c r="W90" t="str">
        <f t="shared" si="5"/>
        <v>(89,'med100', 'pswmed100', 'Duarte Duarte Rodrigues Lima', 'Masculino', '2002-08-22', 'Rua Júlio César Machado', '2004-39', 'Santarém', 'Médico', 'Portuguesa', 'Bilhete de Identidade', '87221935', '773369861', '465412027', '962140989', 'med100@hospital.upskill.com', 'doctor-male.jpg'),</v>
      </c>
      <c r="X90" t="str">
        <f t="shared" si="6"/>
        <v>(89,'9894957099706970', '39'),</v>
      </c>
      <c r="Y90" t="str">
        <f t="shared" si="7"/>
        <v>(89),</v>
      </c>
    </row>
    <row r="91" spans="1:25" x14ac:dyDescent="0.25">
      <c r="A91">
        <v>90</v>
      </c>
      <c r="B91" t="s">
        <v>1144</v>
      </c>
      <c r="C91" t="s">
        <v>1145</v>
      </c>
      <c r="D91" t="s">
        <v>1146</v>
      </c>
      <c r="E91" t="s">
        <v>53</v>
      </c>
      <c r="F91" s="7">
        <v>23523</v>
      </c>
      <c r="G91" t="s">
        <v>239</v>
      </c>
      <c r="H91" t="s">
        <v>1147</v>
      </c>
      <c r="I91" t="s">
        <v>211</v>
      </c>
      <c r="J91" t="s">
        <v>3726</v>
      </c>
      <c r="K91" t="s">
        <v>225</v>
      </c>
      <c r="L91" t="s">
        <v>265</v>
      </c>
      <c r="M91" t="s">
        <v>1148</v>
      </c>
      <c r="N91" t="s">
        <v>1149</v>
      </c>
      <c r="O91" t="s">
        <v>1150</v>
      </c>
      <c r="P91" t="s">
        <v>1151</v>
      </c>
      <c r="Q91" t="s">
        <v>1152</v>
      </c>
      <c r="R91" t="str">
        <f t="shared" si="4"/>
        <v>doctor-male.jpg</v>
      </c>
      <c r="S91" s="8">
        <v>6860853336819623</v>
      </c>
      <c r="T91">
        <v>40</v>
      </c>
      <c r="W91" t="str">
        <f t="shared" si="5"/>
        <v>(90,'med101', 'pswmed101', 'José Tomás Alves Coelho', 'Masculino', '1964-05-26', 'Rua da Oliveira ao Carmo', '1900-643', 'Lisboa', 'Médico', 'Portuguesa', 'Bilhete de Identidade', '39974473', '270075422', '808775453', '937639634', 'med101@hospital.upskill.com', 'doctor-male.jpg'),</v>
      </c>
      <c r="X91" t="str">
        <f t="shared" si="6"/>
        <v>(90,'6860853336819620', '40'),</v>
      </c>
      <c r="Y91" t="str">
        <f t="shared" si="7"/>
        <v>(90),</v>
      </c>
    </row>
    <row r="92" spans="1:25" x14ac:dyDescent="0.25">
      <c r="A92">
        <v>91</v>
      </c>
      <c r="B92" t="s">
        <v>1153</v>
      </c>
      <c r="C92" t="s">
        <v>1154</v>
      </c>
      <c r="D92" t="s">
        <v>1155</v>
      </c>
      <c r="E92" t="s">
        <v>53</v>
      </c>
      <c r="F92" s="7">
        <v>43571</v>
      </c>
      <c r="G92" t="s">
        <v>234</v>
      </c>
      <c r="H92" t="s">
        <v>1156</v>
      </c>
      <c r="I92" t="s">
        <v>212</v>
      </c>
      <c r="J92" t="s">
        <v>3726</v>
      </c>
      <c r="K92" t="s">
        <v>225</v>
      </c>
      <c r="L92" t="s">
        <v>265</v>
      </c>
      <c r="M92" t="s">
        <v>1157</v>
      </c>
      <c r="N92" t="s">
        <v>1158</v>
      </c>
      <c r="O92" t="s">
        <v>1159</v>
      </c>
      <c r="P92" t="s">
        <v>1160</v>
      </c>
      <c r="Q92" t="s">
        <v>1161</v>
      </c>
      <c r="R92" t="str">
        <f t="shared" si="4"/>
        <v>doctor-male.jpg</v>
      </c>
      <c r="S92" s="8">
        <v>9183301677684982</v>
      </c>
      <c r="T92">
        <v>41</v>
      </c>
      <c r="W92" t="str">
        <f t="shared" si="5"/>
        <v>(91,'med102', 'pswmed102', 'Rodrigo Inês Vicente Reis', 'Masculino', '2019-04-16', 'Rua do Instituto Bacteriológico', '2674-168', 'Loures', 'Médico', 'Portuguesa', 'Bilhete de Identidade', '24753334', '140405657', '911377883', '919676765', 'med102@hospital.upskill.com', 'doctor-male.jpg'),</v>
      </c>
      <c r="X92" t="str">
        <f t="shared" si="6"/>
        <v>(91,'9183301677684980', '41'),</v>
      </c>
      <c r="Y92" t="str">
        <f t="shared" si="7"/>
        <v>(91),</v>
      </c>
    </row>
    <row r="93" spans="1:25" x14ac:dyDescent="0.25">
      <c r="A93">
        <v>92</v>
      </c>
      <c r="B93" t="s">
        <v>1162</v>
      </c>
      <c r="C93" t="s">
        <v>1163</v>
      </c>
      <c r="D93" t="s">
        <v>1164</v>
      </c>
      <c r="E93" t="s">
        <v>66</v>
      </c>
      <c r="F93" s="7">
        <v>35936</v>
      </c>
      <c r="G93" t="s">
        <v>251</v>
      </c>
      <c r="H93" t="s">
        <v>1165</v>
      </c>
      <c r="I93" t="s">
        <v>210</v>
      </c>
      <c r="J93" t="s">
        <v>3726</v>
      </c>
      <c r="K93" t="s">
        <v>225</v>
      </c>
      <c r="L93" t="s">
        <v>265</v>
      </c>
      <c r="M93" t="s">
        <v>1166</v>
      </c>
      <c r="N93" t="s">
        <v>1167</v>
      </c>
      <c r="O93" t="s">
        <v>1168</v>
      </c>
      <c r="P93" t="s">
        <v>1169</v>
      </c>
      <c r="Q93" t="s">
        <v>1170</v>
      </c>
      <c r="R93" t="str">
        <f t="shared" si="4"/>
        <v>doctor-female.jpg</v>
      </c>
      <c r="S93" s="8">
        <v>8850495128859178</v>
      </c>
      <c r="T93">
        <v>42</v>
      </c>
      <c r="W93" t="str">
        <f t="shared" si="5"/>
        <v>(92,'med103', 'pswmed103', 'Daniela Tiago Rodrigues Branco', 'Feminino', '1998-05-21', 'Rua do Salitre', '2724-48', 'Amadora', 'Médico', 'Portuguesa', 'Bilhete de Identidade', '40438791', '997276756', '865131182', '960884039', 'med103@hospital.upskill.com', 'doctor-female.jpg'),</v>
      </c>
      <c r="X93" t="str">
        <f t="shared" si="6"/>
        <v>(92,'8850495128859180', '42'),</v>
      </c>
      <c r="Y93" t="str">
        <f t="shared" si="7"/>
        <v>(92),</v>
      </c>
    </row>
    <row r="94" spans="1:25" x14ac:dyDescent="0.25">
      <c r="A94">
        <v>93</v>
      </c>
      <c r="B94" t="s">
        <v>1171</v>
      </c>
      <c r="C94" t="s">
        <v>1172</v>
      </c>
      <c r="D94" t="s">
        <v>1173</v>
      </c>
      <c r="E94" t="s">
        <v>53</v>
      </c>
      <c r="F94" s="7">
        <v>33299</v>
      </c>
      <c r="G94" t="s">
        <v>247</v>
      </c>
      <c r="H94" t="s">
        <v>1174</v>
      </c>
      <c r="I94" t="s">
        <v>208</v>
      </c>
      <c r="J94" t="s">
        <v>3726</v>
      </c>
      <c r="K94" t="s">
        <v>225</v>
      </c>
      <c r="L94" t="s">
        <v>265</v>
      </c>
      <c r="M94" t="s">
        <v>1175</v>
      </c>
      <c r="N94" t="s">
        <v>1176</v>
      </c>
      <c r="O94" t="s">
        <v>1177</v>
      </c>
      <c r="P94" t="s">
        <v>1178</v>
      </c>
      <c r="Q94" t="s">
        <v>1179</v>
      </c>
      <c r="R94" t="str">
        <f t="shared" si="4"/>
        <v>doctor-male.jpg</v>
      </c>
      <c r="S94" s="8">
        <v>7574127766738494</v>
      </c>
      <c r="T94">
        <v>43</v>
      </c>
      <c r="W94" t="str">
        <f t="shared" si="5"/>
        <v>(93,'med104', 'pswmed104', 'Duarte Inês Gomes Marques', 'Masculino', '1991-03-02', 'Rua Ferreira Lapa', '2914-650', 'Setúbal', 'Médico', 'Portuguesa', 'Bilhete de Identidade', '68349455', '358356102', '457198468', '921917057', 'med104@hospital.upskill.com', 'doctor-male.jpg'),</v>
      </c>
      <c r="X94" t="str">
        <f t="shared" si="6"/>
        <v>(93,'7574127766738490', '43'),</v>
      </c>
      <c r="Y94" t="str">
        <f t="shared" si="7"/>
        <v>(93),</v>
      </c>
    </row>
    <row r="95" spans="1:25" x14ac:dyDescent="0.25">
      <c r="A95">
        <v>94</v>
      </c>
      <c r="B95" t="s">
        <v>1180</v>
      </c>
      <c r="C95" t="s">
        <v>1181</v>
      </c>
      <c r="D95" t="s">
        <v>1182</v>
      </c>
      <c r="E95" t="s">
        <v>66</v>
      </c>
      <c r="F95" s="7">
        <v>12890</v>
      </c>
      <c r="G95" t="s">
        <v>247</v>
      </c>
      <c r="H95" t="s">
        <v>1183</v>
      </c>
      <c r="I95" t="s">
        <v>211</v>
      </c>
      <c r="J95" t="s">
        <v>3726</v>
      </c>
      <c r="K95" t="s">
        <v>225</v>
      </c>
      <c r="L95" t="s">
        <v>265</v>
      </c>
      <c r="M95" t="s">
        <v>1184</v>
      </c>
      <c r="N95" t="s">
        <v>1185</v>
      </c>
      <c r="O95" t="s">
        <v>1186</v>
      </c>
      <c r="P95" t="s">
        <v>1187</v>
      </c>
      <c r="Q95" t="s">
        <v>1188</v>
      </c>
      <c r="R95" t="str">
        <f t="shared" si="4"/>
        <v>doctor-female.jpg</v>
      </c>
      <c r="S95" s="8">
        <v>6527772685113768</v>
      </c>
      <c r="T95">
        <v>44</v>
      </c>
      <c r="W95" t="str">
        <f t="shared" si="5"/>
        <v>(94,'med105', 'pswmed105', 'Francisca Diana Tavares Nunes', 'Feminino', '1935-04-16', 'Rua Ferreira Lapa', '1249-791', 'Lisboa', 'Médico', 'Portuguesa', 'Bilhete de Identidade', '49162897', '707564723', '576764909', '933504937', 'med105@hospital.upskill.com', 'doctor-female.jpg'),</v>
      </c>
      <c r="X95" t="str">
        <f t="shared" si="6"/>
        <v>(94,'6527772685113770', '44'),</v>
      </c>
      <c r="Y95" t="str">
        <f t="shared" si="7"/>
        <v>(94),</v>
      </c>
    </row>
    <row r="96" spans="1:25" x14ac:dyDescent="0.25">
      <c r="A96">
        <v>95</v>
      </c>
      <c r="B96" t="s">
        <v>1189</v>
      </c>
      <c r="C96" t="s">
        <v>1190</v>
      </c>
      <c r="D96" t="s">
        <v>1191</v>
      </c>
      <c r="E96" t="s">
        <v>53</v>
      </c>
      <c r="F96" s="7">
        <v>39911</v>
      </c>
      <c r="G96" t="s">
        <v>231</v>
      </c>
      <c r="H96" t="s">
        <v>1192</v>
      </c>
      <c r="I96" t="s">
        <v>205</v>
      </c>
      <c r="J96" t="s">
        <v>3726</v>
      </c>
      <c r="K96" t="s">
        <v>225</v>
      </c>
      <c r="L96" t="s">
        <v>265</v>
      </c>
      <c r="M96" t="s">
        <v>1193</v>
      </c>
      <c r="N96" t="s">
        <v>1194</v>
      </c>
      <c r="O96" t="s">
        <v>1195</v>
      </c>
      <c r="P96" t="s">
        <v>1196</v>
      </c>
      <c r="Q96" t="s">
        <v>1197</v>
      </c>
      <c r="R96" t="str">
        <f t="shared" si="4"/>
        <v>doctor-male.jpg</v>
      </c>
      <c r="S96" s="8">
        <v>6066675782499755</v>
      </c>
      <c r="T96">
        <v>45</v>
      </c>
      <c r="W96" t="str">
        <f t="shared" si="5"/>
        <v>(95,'med106', 'pswmed106', 'Marco Joana Vicente Paiva', 'Masculino', '2009-04-08', 'Rua dos Fanqueiros', '2004-193', 'Santarém', 'Médico', 'Portuguesa', 'Bilhete de Identidade', '56079530', '907563409', '774541123', '960163443', 'med106@hospital.upskill.com', 'doctor-male.jpg'),</v>
      </c>
      <c r="X96" t="str">
        <f t="shared" si="6"/>
        <v>(95,'6066675782499750', '45'),</v>
      </c>
      <c r="Y96" t="str">
        <f t="shared" si="7"/>
        <v>(95),</v>
      </c>
    </row>
    <row r="97" spans="1:25" x14ac:dyDescent="0.25">
      <c r="A97">
        <v>96</v>
      </c>
      <c r="B97" t="s">
        <v>1198</v>
      </c>
      <c r="C97" t="s">
        <v>1199</v>
      </c>
      <c r="D97" t="s">
        <v>1200</v>
      </c>
      <c r="E97" t="s">
        <v>53</v>
      </c>
      <c r="F97" s="7">
        <v>24416</v>
      </c>
      <c r="G97" t="s">
        <v>232</v>
      </c>
      <c r="H97" t="s">
        <v>1201</v>
      </c>
      <c r="I97" t="s">
        <v>211</v>
      </c>
      <c r="J97" t="s">
        <v>3726</v>
      </c>
      <c r="K97" t="s">
        <v>225</v>
      </c>
      <c r="L97" t="s">
        <v>265</v>
      </c>
      <c r="M97" t="s">
        <v>1202</v>
      </c>
      <c r="N97" t="s">
        <v>1203</v>
      </c>
      <c r="O97" t="s">
        <v>1204</v>
      </c>
      <c r="P97" t="s">
        <v>1205</v>
      </c>
      <c r="Q97" t="s">
        <v>1206</v>
      </c>
      <c r="R97" t="str">
        <f t="shared" si="4"/>
        <v>doctor-male.jpg</v>
      </c>
      <c r="S97" s="8">
        <v>2586053329618764</v>
      </c>
      <c r="T97">
        <v>46</v>
      </c>
      <c r="W97" t="str">
        <f t="shared" si="5"/>
        <v>(96,'med107', 'pswmed107', 'Tiago Matilde Oliveira Silva', 'Masculino', '1966-11-05', 'Rua Garrett', '1949-245', 'Lisboa', 'Médico', 'Portuguesa', 'Bilhete de Identidade', '93599804', '356865821', '252581810', '962950572', 'med107@hospital.upskill.com', 'doctor-male.jpg'),</v>
      </c>
      <c r="X97" t="str">
        <f t="shared" si="6"/>
        <v>(96,'2586053329618760', '46'),</v>
      </c>
      <c r="Y97" t="str">
        <f t="shared" si="7"/>
        <v>(96),</v>
      </c>
    </row>
    <row r="98" spans="1:25" x14ac:dyDescent="0.25">
      <c r="A98">
        <v>97</v>
      </c>
      <c r="B98" t="s">
        <v>1207</v>
      </c>
      <c r="C98" t="s">
        <v>1208</v>
      </c>
      <c r="D98" t="s">
        <v>1209</v>
      </c>
      <c r="E98" t="s">
        <v>53</v>
      </c>
      <c r="F98" s="7">
        <v>33423</v>
      </c>
      <c r="G98" t="s">
        <v>254</v>
      </c>
      <c r="H98" t="s">
        <v>1210</v>
      </c>
      <c r="I98" t="s">
        <v>208</v>
      </c>
      <c r="J98" t="s">
        <v>3726</v>
      </c>
      <c r="K98" t="s">
        <v>225</v>
      </c>
      <c r="L98" t="s">
        <v>265</v>
      </c>
      <c r="M98" t="s">
        <v>1211</v>
      </c>
      <c r="N98" t="s">
        <v>1212</v>
      </c>
      <c r="O98" t="s">
        <v>1213</v>
      </c>
      <c r="P98" t="s">
        <v>1214</v>
      </c>
      <c r="Q98" t="s">
        <v>1215</v>
      </c>
      <c r="R98" t="str">
        <f t="shared" si="4"/>
        <v>doctor-male.jpg</v>
      </c>
      <c r="S98" s="8">
        <v>6856445165204324</v>
      </c>
      <c r="T98">
        <v>47</v>
      </c>
      <c r="W98" t="str">
        <f t="shared" si="5"/>
        <v>(97,'med108', 'pswmed108', 'Francisco Sofia Brito Pinho', 'Masculino', '1991-07-04', 'Rua do Sacramento à Lapa', '2900-638', 'Setúbal', 'Médico', 'Portuguesa', 'Bilhete de Identidade', '52193687', '700860724', '922491323', '930483292', 'med108@hospital.upskill.com', 'doctor-male.jpg'),</v>
      </c>
      <c r="X98" t="str">
        <f t="shared" si="6"/>
        <v>(97,'6856445165204320', '47'),</v>
      </c>
      <c r="Y98" t="str">
        <f t="shared" si="7"/>
        <v>(97),</v>
      </c>
    </row>
    <row r="99" spans="1:25" x14ac:dyDescent="0.25">
      <c r="A99">
        <v>98</v>
      </c>
      <c r="B99" t="s">
        <v>1216</v>
      </c>
      <c r="C99" t="s">
        <v>1217</v>
      </c>
      <c r="D99" t="s">
        <v>1218</v>
      </c>
      <c r="E99" t="s">
        <v>66</v>
      </c>
      <c r="F99" s="7">
        <v>9013</v>
      </c>
      <c r="G99" t="s">
        <v>257</v>
      </c>
      <c r="H99" t="s">
        <v>1219</v>
      </c>
      <c r="I99" t="s">
        <v>211</v>
      </c>
      <c r="J99" t="s">
        <v>3726</v>
      </c>
      <c r="K99" t="s">
        <v>225</v>
      </c>
      <c r="L99" t="s">
        <v>265</v>
      </c>
      <c r="M99" t="s">
        <v>1220</v>
      </c>
      <c r="N99" t="s">
        <v>1221</v>
      </c>
      <c r="O99" t="s">
        <v>1222</v>
      </c>
      <c r="P99" t="s">
        <v>1223</v>
      </c>
      <c r="Q99" t="s">
        <v>1224</v>
      </c>
      <c r="R99" t="str">
        <f t="shared" si="4"/>
        <v>doctor-female.jpg</v>
      </c>
      <c r="S99" s="8">
        <v>1327170000611735</v>
      </c>
      <c r="T99">
        <v>48</v>
      </c>
      <c r="W99" t="str">
        <f t="shared" si="5"/>
        <v>(98,'med109', 'pswmed109', 'Ana Daniela Soares Fernandes', 'Feminino', '1924-09-03', 'Rua do Sol a Santana', '1800-328', 'Lisboa', 'Médico', 'Portuguesa', 'Bilhete de Identidade', '34198329', '286039057', '137746925', '966319136', 'med109@hospital.upskill.com', 'doctor-female.jpg'),</v>
      </c>
      <c r="X99" t="str">
        <f t="shared" si="6"/>
        <v>(98,'1327170000611730', '48'),</v>
      </c>
      <c r="Y99" t="str">
        <f t="shared" si="7"/>
        <v>(98),</v>
      </c>
    </row>
    <row r="100" spans="1:25" x14ac:dyDescent="0.25">
      <c r="A100">
        <v>99</v>
      </c>
      <c r="B100" t="s">
        <v>1225</v>
      </c>
      <c r="C100" t="s">
        <v>1226</v>
      </c>
      <c r="D100" t="s">
        <v>1227</v>
      </c>
      <c r="E100" t="s">
        <v>53</v>
      </c>
      <c r="F100" s="7">
        <v>34653</v>
      </c>
      <c r="G100" t="s">
        <v>235</v>
      </c>
      <c r="H100" t="s">
        <v>1228</v>
      </c>
      <c r="I100" t="s">
        <v>211</v>
      </c>
      <c r="J100" t="s">
        <v>3726</v>
      </c>
      <c r="K100" t="s">
        <v>225</v>
      </c>
      <c r="L100" t="s">
        <v>265</v>
      </c>
      <c r="M100" t="s">
        <v>1229</v>
      </c>
      <c r="N100" t="s">
        <v>1230</v>
      </c>
      <c r="O100" t="s">
        <v>1231</v>
      </c>
      <c r="P100" t="s">
        <v>1232</v>
      </c>
      <c r="Q100" t="s">
        <v>1233</v>
      </c>
      <c r="R100" t="str">
        <f t="shared" si="4"/>
        <v>doctor-male.jpg</v>
      </c>
      <c r="S100" s="8">
        <v>4748870497157141</v>
      </c>
      <c r="T100">
        <v>49</v>
      </c>
      <c r="W100" t="str">
        <f t="shared" si="5"/>
        <v>(99,'med110', 'pswmed110', 'Tiago Marco Amorim Macedo', 'Masculino', '1994-11-15', 'Estrada das Laranjeiras', '1000-161', 'Lisboa', 'Médico', 'Portuguesa', 'Bilhete de Identidade', '98799194', '821817761', '852025432', '922697953', 'med110@hospital.upskill.com', 'doctor-male.jpg'),</v>
      </c>
      <c r="X100" t="str">
        <f t="shared" si="6"/>
        <v>(99,'4748870497157140', '49'),</v>
      </c>
      <c r="Y100" t="str">
        <f t="shared" si="7"/>
        <v>(99),</v>
      </c>
    </row>
    <row r="101" spans="1:25" x14ac:dyDescent="0.25">
      <c r="A101">
        <v>100</v>
      </c>
      <c r="B101" t="s">
        <v>1234</v>
      </c>
      <c r="C101" t="s">
        <v>1235</v>
      </c>
      <c r="D101" t="s">
        <v>1236</v>
      </c>
      <c r="E101" t="s">
        <v>66</v>
      </c>
      <c r="F101" s="7">
        <v>11305</v>
      </c>
      <c r="G101" t="s">
        <v>247</v>
      </c>
      <c r="H101" t="s">
        <v>1237</v>
      </c>
      <c r="I101" t="s">
        <v>210</v>
      </c>
      <c r="J101" t="s">
        <v>3726</v>
      </c>
      <c r="K101" t="s">
        <v>225</v>
      </c>
      <c r="L101" t="s">
        <v>265</v>
      </c>
      <c r="M101" t="s">
        <v>1238</v>
      </c>
      <c r="N101">
        <v>453617913</v>
      </c>
      <c r="O101" t="s">
        <v>1239</v>
      </c>
      <c r="P101" t="s">
        <v>1240</v>
      </c>
      <c r="Q101" t="s">
        <v>1241</v>
      </c>
      <c r="R101" t="str">
        <f t="shared" si="4"/>
        <v>doctor-female.jpg</v>
      </c>
      <c r="S101" s="8">
        <v>2148940784000872</v>
      </c>
      <c r="T101">
        <v>50</v>
      </c>
      <c r="W101" t="str">
        <f t="shared" si="5"/>
        <v>(100,'med111', 'pswmed111', 'Inês André Lopes Melo', 'Feminino', '1930-12-13', 'Rua Ferreira Lapa', '2650-809', 'Amadora', 'Médico', 'Portuguesa', 'Bilhete de Identidade', '38622674', '453617913', '585711247', '963989015', 'med111@hospital.upskill.com', 'doctor-female.jpg'),</v>
      </c>
      <c r="X101" t="str">
        <f t="shared" si="6"/>
        <v>(100,'2148940784000870', '50'),</v>
      </c>
      <c r="Y101" t="str">
        <f t="shared" si="7"/>
        <v>(100),</v>
      </c>
    </row>
    <row r="102" spans="1:25" x14ac:dyDescent="0.25">
      <c r="A102">
        <v>101</v>
      </c>
      <c r="B102" t="s">
        <v>1242</v>
      </c>
      <c r="C102" t="s">
        <v>1243</v>
      </c>
      <c r="D102" t="s">
        <v>1244</v>
      </c>
      <c r="E102" t="s">
        <v>66</v>
      </c>
      <c r="F102" s="7">
        <v>13043</v>
      </c>
      <c r="G102" t="s">
        <v>244</v>
      </c>
      <c r="H102" t="s">
        <v>1245</v>
      </c>
      <c r="I102" t="s">
        <v>201</v>
      </c>
      <c r="J102" t="s">
        <v>3726</v>
      </c>
      <c r="K102" t="s">
        <v>225</v>
      </c>
      <c r="L102" t="s">
        <v>265</v>
      </c>
      <c r="M102" t="s">
        <v>1246</v>
      </c>
      <c r="N102" t="s">
        <v>1247</v>
      </c>
      <c r="O102" t="s">
        <v>1248</v>
      </c>
      <c r="P102" t="s">
        <v>1249</v>
      </c>
      <c r="Q102" t="s">
        <v>1250</v>
      </c>
      <c r="R102" t="str">
        <f t="shared" si="4"/>
        <v>doctor-female.jpg</v>
      </c>
      <c r="S102" s="8">
        <v>6975994139011669</v>
      </c>
      <c r="T102">
        <v>1</v>
      </c>
      <c r="W102" t="str">
        <f t="shared" si="5"/>
        <v>(101,'med112', 'pswmed112', 'Carolina Ana Gomes Torres', 'Feminino', '1935-09-16', 'Rua da Betesga', '2410-812', 'Leiria', 'Médico', 'Portuguesa', 'Bilhete de Identidade', '87438092', '827531424', '606380052', '919969616', 'med112@hospital.upskill.com', 'doctor-female.jpg'),</v>
      </c>
      <c r="X102" t="str">
        <f t="shared" si="6"/>
        <v>(101,'6975994139011670', '1'),</v>
      </c>
      <c r="Y102" t="str">
        <f t="shared" si="7"/>
        <v>(101),</v>
      </c>
    </row>
    <row r="103" spans="1:25" x14ac:dyDescent="0.25">
      <c r="A103">
        <v>102</v>
      </c>
      <c r="B103" t="s">
        <v>1251</v>
      </c>
      <c r="C103" t="s">
        <v>1252</v>
      </c>
      <c r="D103" t="s">
        <v>1253</v>
      </c>
      <c r="E103" t="s">
        <v>66</v>
      </c>
      <c r="F103" s="7">
        <v>43678</v>
      </c>
      <c r="G103" t="s">
        <v>235</v>
      </c>
      <c r="H103" t="s">
        <v>1254</v>
      </c>
      <c r="I103" t="s">
        <v>208</v>
      </c>
      <c r="J103" t="s">
        <v>3726</v>
      </c>
      <c r="K103" t="s">
        <v>225</v>
      </c>
      <c r="L103" t="s">
        <v>265</v>
      </c>
      <c r="M103" t="s">
        <v>1255</v>
      </c>
      <c r="N103" t="s">
        <v>1256</v>
      </c>
      <c r="O103" t="s">
        <v>1257</v>
      </c>
      <c r="P103" t="s">
        <v>1258</v>
      </c>
      <c r="Q103" t="s">
        <v>1259</v>
      </c>
      <c r="R103" t="str">
        <f t="shared" si="4"/>
        <v>doctor-female.jpg</v>
      </c>
      <c r="S103" s="8">
        <v>8829302095044811</v>
      </c>
      <c r="T103">
        <v>2</v>
      </c>
      <c r="W103" t="str">
        <f t="shared" si="5"/>
        <v>(102,'med113', 'pswmed113', 'Daniela Lurdes Nunes Miranda', 'Feminino', '2019-08-01', 'Estrada das Laranjeiras', '2904-4', 'Setúbal', 'Médico', 'Portuguesa', 'Bilhete de Identidade', '73977966', '784333504', '400890235', '917497455', 'med113@hospital.upskill.com', 'doctor-female.jpg'),</v>
      </c>
      <c r="X103" t="str">
        <f t="shared" si="6"/>
        <v>(102,'8829302095044810', '2'),</v>
      </c>
      <c r="Y103" t="str">
        <f t="shared" si="7"/>
        <v>(102),</v>
      </c>
    </row>
    <row r="104" spans="1:25" x14ac:dyDescent="0.25">
      <c r="A104">
        <v>103</v>
      </c>
      <c r="B104" t="s">
        <v>1260</v>
      </c>
      <c r="C104" t="s">
        <v>1261</v>
      </c>
      <c r="D104" t="s">
        <v>1262</v>
      </c>
      <c r="E104" t="s">
        <v>66</v>
      </c>
      <c r="F104" s="7">
        <v>16742</v>
      </c>
      <c r="G104" t="s">
        <v>253</v>
      </c>
      <c r="H104" t="s">
        <v>1263</v>
      </c>
      <c r="I104" t="s">
        <v>201</v>
      </c>
      <c r="J104" t="s">
        <v>3726</v>
      </c>
      <c r="K104" t="s">
        <v>225</v>
      </c>
      <c r="L104" t="s">
        <v>265</v>
      </c>
      <c r="M104" t="s">
        <v>1264</v>
      </c>
      <c r="N104" t="s">
        <v>1265</v>
      </c>
      <c r="O104" t="s">
        <v>1266</v>
      </c>
      <c r="P104" t="s">
        <v>1267</v>
      </c>
      <c r="Q104" t="s">
        <v>1268</v>
      </c>
      <c r="R104" t="str">
        <f t="shared" si="4"/>
        <v>doctor-female.jpg</v>
      </c>
      <c r="S104" s="8">
        <v>3882996706334809</v>
      </c>
      <c r="T104">
        <v>3</v>
      </c>
      <c r="W104" t="str">
        <f t="shared" si="5"/>
        <v>(103,'med114', 'pswmed114', 'Carolina Lurdes Correia Freitas', 'Feminino', '1945-11-01', 'Rua de São Mamede', '2419-237', 'Leiria', 'Médico', 'Portuguesa', 'Bilhete de Identidade', '79266021', '911582490', '569143046', '966927920', 'med114@hospital.upskill.com', 'doctor-female.jpg'),</v>
      </c>
      <c r="X104" t="str">
        <f t="shared" si="6"/>
        <v>(103,'3882996706334810', '3'),</v>
      </c>
      <c r="Y104" t="str">
        <f t="shared" si="7"/>
        <v>(103),</v>
      </c>
    </row>
    <row r="105" spans="1:25" x14ac:dyDescent="0.25">
      <c r="A105">
        <v>104</v>
      </c>
      <c r="B105" t="s">
        <v>1269</v>
      </c>
      <c r="C105" t="s">
        <v>1270</v>
      </c>
      <c r="D105" t="s">
        <v>1271</v>
      </c>
      <c r="E105" t="s">
        <v>66</v>
      </c>
      <c r="F105" s="7">
        <v>31845</v>
      </c>
      <c r="G105" t="s">
        <v>237</v>
      </c>
      <c r="H105" t="s">
        <v>1272</v>
      </c>
      <c r="I105" t="s">
        <v>208</v>
      </c>
      <c r="J105" t="s">
        <v>3726</v>
      </c>
      <c r="K105" t="s">
        <v>225</v>
      </c>
      <c r="L105" t="s">
        <v>265</v>
      </c>
      <c r="M105" t="s">
        <v>1273</v>
      </c>
      <c r="N105" t="s">
        <v>1274</v>
      </c>
      <c r="O105" t="s">
        <v>1275</v>
      </c>
      <c r="P105" t="s">
        <v>1276</v>
      </c>
      <c r="Q105" t="s">
        <v>1277</v>
      </c>
      <c r="R105" t="str">
        <f t="shared" si="4"/>
        <v>doctor-female.jpg</v>
      </c>
      <c r="S105" s="8">
        <v>7928851517358631</v>
      </c>
      <c r="T105">
        <v>4</v>
      </c>
      <c r="W105" t="str">
        <f t="shared" si="5"/>
        <v>(104,'med115', 'pswmed115', 'Inês Inês Anjos Guerreiro', 'Feminino', '1987-03-09', 'Calçada Marquês de Abrantes', '2904-419', 'Setúbal', 'Médico', 'Portuguesa', 'Bilhete de Identidade', '55709802', '239868479', '514909927', '962854357', 'med115@hospital.upskill.com', 'doctor-female.jpg'),</v>
      </c>
      <c r="X105" t="str">
        <f t="shared" si="6"/>
        <v>(104,'7928851517358630', '4'),</v>
      </c>
      <c r="Y105" t="str">
        <f t="shared" si="7"/>
        <v>(104),</v>
      </c>
    </row>
    <row r="106" spans="1:25" x14ac:dyDescent="0.25">
      <c r="A106">
        <v>105</v>
      </c>
      <c r="B106" t="s">
        <v>1278</v>
      </c>
      <c r="C106" t="s">
        <v>1279</v>
      </c>
      <c r="D106" t="s">
        <v>1280</v>
      </c>
      <c r="E106" t="s">
        <v>66</v>
      </c>
      <c r="F106" s="7">
        <v>13451</v>
      </c>
      <c r="G106" t="s">
        <v>233</v>
      </c>
      <c r="H106" t="s">
        <v>1281</v>
      </c>
      <c r="I106" t="s">
        <v>213</v>
      </c>
      <c r="J106" t="s">
        <v>3726</v>
      </c>
      <c r="K106" t="s">
        <v>225</v>
      </c>
      <c r="L106" t="s">
        <v>265</v>
      </c>
      <c r="M106" t="s">
        <v>1282</v>
      </c>
      <c r="N106" t="s">
        <v>1283</v>
      </c>
      <c r="O106" t="s">
        <v>1284</v>
      </c>
      <c r="P106" t="s">
        <v>1285</v>
      </c>
      <c r="Q106" t="s">
        <v>1286</v>
      </c>
      <c r="R106" t="str">
        <f t="shared" si="4"/>
        <v>doctor-female.jpg</v>
      </c>
      <c r="S106" s="8">
        <v>6004137692601323</v>
      </c>
      <c r="T106">
        <v>5</v>
      </c>
      <c r="W106" t="str">
        <f t="shared" si="5"/>
        <v>(105,'med116', 'pswmed116', 'Vera Pedro Neves Abreu', 'Feminino', '1936-10-28', 'Rua dos Heróis de Quionga', '2644-314', 'Mafra', 'Médico', 'Portuguesa', 'Bilhete de Identidade', '87211952', '124025999', '738847057', '963167644', 'med116@hospital.upskill.com', 'doctor-female.jpg'),</v>
      </c>
      <c r="X106" t="str">
        <f t="shared" si="6"/>
        <v>(105,'6004137692601320', '5'),</v>
      </c>
      <c r="Y106" t="str">
        <f t="shared" si="7"/>
        <v>(105),</v>
      </c>
    </row>
    <row r="107" spans="1:25" x14ac:dyDescent="0.25">
      <c r="A107">
        <v>106</v>
      </c>
      <c r="B107" t="s">
        <v>1287</v>
      </c>
      <c r="C107" t="s">
        <v>1288</v>
      </c>
      <c r="D107" t="s">
        <v>1289</v>
      </c>
      <c r="E107" t="s">
        <v>53</v>
      </c>
      <c r="F107" s="7">
        <v>13647</v>
      </c>
      <c r="G107" t="s">
        <v>235</v>
      </c>
      <c r="H107" t="s">
        <v>1290</v>
      </c>
      <c r="I107" t="s">
        <v>221</v>
      </c>
      <c r="J107" t="s">
        <v>3726</v>
      </c>
      <c r="K107" t="s">
        <v>225</v>
      </c>
      <c r="L107" t="s">
        <v>265</v>
      </c>
      <c r="M107" t="s">
        <v>1291</v>
      </c>
      <c r="N107" t="s">
        <v>1292</v>
      </c>
      <c r="O107" t="s">
        <v>1293</v>
      </c>
      <c r="P107" t="s">
        <v>1294</v>
      </c>
      <c r="Q107" t="s">
        <v>1295</v>
      </c>
      <c r="R107" t="str">
        <f t="shared" si="4"/>
        <v>doctor-male.jpg</v>
      </c>
      <c r="S107" s="8">
        <v>5809019142405629</v>
      </c>
      <c r="T107">
        <v>6</v>
      </c>
      <c r="W107" t="str">
        <f t="shared" si="5"/>
        <v>(106,'med117', 'pswmed117', 'Luís Ana Martins Moreira', 'Masculino', '1937-05-12', 'Estrada das Laranjeiras', '2829-11', 'Costa de Caparica', 'Médico', 'Portuguesa', 'Bilhete de Identidade', '36907258', '573768976', '297923926', '915356190', 'med117@hospital.upskill.com', 'doctor-male.jpg'),</v>
      </c>
      <c r="X107" t="str">
        <f t="shared" si="6"/>
        <v>(106,'5809019142405630', '6'),</v>
      </c>
      <c r="Y107" t="str">
        <f t="shared" si="7"/>
        <v>(106),</v>
      </c>
    </row>
    <row r="108" spans="1:25" x14ac:dyDescent="0.25">
      <c r="A108">
        <v>107</v>
      </c>
      <c r="B108" t="s">
        <v>1296</v>
      </c>
      <c r="C108" t="s">
        <v>1297</v>
      </c>
      <c r="D108" t="s">
        <v>1298</v>
      </c>
      <c r="E108" t="s">
        <v>53</v>
      </c>
      <c r="F108" s="7">
        <v>33045</v>
      </c>
      <c r="G108" t="s">
        <v>237</v>
      </c>
      <c r="H108" t="s">
        <v>1299</v>
      </c>
      <c r="I108" t="s">
        <v>211</v>
      </c>
      <c r="J108" t="s">
        <v>3726</v>
      </c>
      <c r="K108" t="s">
        <v>225</v>
      </c>
      <c r="L108" t="s">
        <v>265</v>
      </c>
      <c r="M108" t="s">
        <v>1300</v>
      </c>
      <c r="N108" t="s">
        <v>1301</v>
      </c>
      <c r="O108" t="s">
        <v>1302</v>
      </c>
      <c r="P108" t="s">
        <v>1303</v>
      </c>
      <c r="Q108" t="s">
        <v>1304</v>
      </c>
      <c r="R108" t="str">
        <f t="shared" si="4"/>
        <v>doctor-male.jpg</v>
      </c>
      <c r="S108" s="8">
        <v>9275233466393504</v>
      </c>
      <c r="T108">
        <v>7</v>
      </c>
      <c r="W108" t="str">
        <f t="shared" si="5"/>
        <v>(107,'med118', 'pswmed118', 'Tomás Vera Lima Pinto', 'Masculino', '1990-06-21', 'Calçada Marquês de Abrantes', '1100-109', 'Lisboa', 'Médico', 'Portuguesa', 'Bilhete de Identidade', '76350921', '673829753', '804446474', '913856773', 'med118@hospital.upskill.com', 'doctor-male.jpg'),</v>
      </c>
      <c r="X108" t="str">
        <f t="shared" si="6"/>
        <v>(107,'9275233466393500', '7'),</v>
      </c>
      <c r="Y108" t="str">
        <f t="shared" si="7"/>
        <v>(107),</v>
      </c>
    </row>
    <row r="109" spans="1:25" x14ac:dyDescent="0.25">
      <c r="A109">
        <v>108</v>
      </c>
      <c r="B109" t="s">
        <v>1305</v>
      </c>
      <c r="C109" t="s">
        <v>1306</v>
      </c>
      <c r="D109" t="s">
        <v>1307</v>
      </c>
      <c r="E109" t="s">
        <v>53</v>
      </c>
      <c r="F109" s="7">
        <v>18446</v>
      </c>
      <c r="G109" t="s">
        <v>246</v>
      </c>
      <c r="H109" t="s">
        <v>1308</v>
      </c>
      <c r="I109" t="s">
        <v>211</v>
      </c>
      <c r="J109" t="s">
        <v>3726</v>
      </c>
      <c r="K109" t="s">
        <v>225</v>
      </c>
      <c r="L109" t="s">
        <v>265</v>
      </c>
      <c r="M109" t="s">
        <v>1309</v>
      </c>
      <c r="N109" t="s">
        <v>1310</v>
      </c>
      <c r="O109" t="s">
        <v>1311</v>
      </c>
      <c r="P109" t="s">
        <v>1312</v>
      </c>
      <c r="Q109" t="s">
        <v>1313</v>
      </c>
      <c r="R109" t="str">
        <f t="shared" si="4"/>
        <v>doctor-male.jpg</v>
      </c>
      <c r="S109" s="8">
        <v>3432555783523193</v>
      </c>
      <c r="T109">
        <v>8</v>
      </c>
      <c r="W109" t="str">
        <f t="shared" si="5"/>
        <v>(108,'med119', 'pswmed119', 'Gabriel Leonor Nascimento Freitas', 'Masculino', '1950-07-02', 'Rua do Guarda-Mor', '1549-871', 'Lisboa', 'Médico', 'Portuguesa', 'Bilhete de Identidade', '33587122', '423550460', '286945042', '966153829', 'med119@hospital.upskill.com', 'doctor-male.jpg'),</v>
      </c>
      <c r="X109" t="str">
        <f t="shared" si="6"/>
        <v>(108,'3432555783523190', '8'),</v>
      </c>
      <c r="Y109" t="str">
        <f t="shared" si="7"/>
        <v>(108),</v>
      </c>
    </row>
    <row r="110" spans="1:25" x14ac:dyDescent="0.25">
      <c r="A110">
        <v>109</v>
      </c>
      <c r="B110" t="s">
        <v>1314</v>
      </c>
      <c r="C110" t="s">
        <v>1315</v>
      </c>
      <c r="D110" t="s">
        <v>1316</v>
      </c>
      <c r="E110" t="s">
        <v>66</v>
      </c>
      <c r="F110" s="7">
        <v>28450</v>
      </c>
      <c r="G110" t="s">
        <v>250</v>
      </c>
      <c r="H110" t="s">
        <v>1317</v>
      </c>
      <c r="I110" t="s">
        <v>223</v>
      </c>
      <c r="J110" t="s">
        <v>3726</v>
      </c>
      <c r="K110" t="s">
        <v>225</v>
      </c>
      <c r="L110" t="s">
        <v>265</v>
      </c>
      <c r="M110" t="s">
        <v>1318</v>
      </c>
      <c r="N110" t="s">
        <v>1319</v>
      </c>
      <c r="O110" t="s">
        <v>1320</v>
      </c>
      <c r="P110" t="s">
        <v>1321</v>
      </c>
      <c r="Q110" t="s">
        <v>1322</v>
      </c>
      <c r="R110" t="str">
        <f t="shared" si="4"/>
        <v>doctor-female.jpg</v>
      </c>
      <c r="S110" s="8">
        <v>9058144871249436</v>
      </c>
      <c r="T110">
        <v>9</v>
      </c>
      <c r="W110" t="str">
        <f t="shared" si="5"/>
        <v>(109,'med120', 'pswmed120', 'Beatriz Sara Vicente Faria', 'Feminino', '1977-11-21', 'Rua Nova do Almada', '2659-513', 'Ericeira', 'Médico', 'Portuguesa', 'Bilhete de Identidade', '20253622', '409527432', '475414265', '912870314', 'med120@hospital.upskill.com', 'doctor-female.jpg'),</v>
      </c>
      <c r="X110" t="str">
        <f t="shared" si="6"/>
        <v>(109,'9058144871249440', '9'),</v>
      </c>
      <c r="Y110" t="str">
        <f t="shared" si="7"/>
        <v>(109),</v>
      </c>
    </row>
    <row r="111" spans="1:25" x14ac:dyDescent="0.25">
      <c r="A111">
        <v>110</v>
      </c>
      <c r="B111" t="s">
        <v>1323</v>
      </c>
      <c r="C111" t="s">
        <v>1324</v>
      </c>
      <c r="D111" t="s">
        <v>1325</v>
      </c>
      <c r="E111" t="s">
        <v>53</v>
      </c>
      <c r="F111" s="7">
        <v>42428</v>
      </c>
      <c r="G111" t="s">
        <v>228</v>
      </c>
      <c r="H111" t="s">
        <v>1326</v>
      </c>
      <c r="I111" t="s">
        <v>215</v>
      </c>
      <c r="J111" t="s">
        <v>3726</v>
      </c>
      <c r="K111" t="s">
        <v>225</v>
      </c>
      <c r="L111" t="s">
        <v>265</v>
      </c>
      <c r="M111" t="s">
        <v>1327</v>
      </c>
      <c r="N111" t="s">
        <v>1328</v>
      </c>
      <c r="O111" t="s">
        <v>1329</v>
      </c>
      <c r="P111" t="s">
        <v>1330</v>
      </c>
      <c r="Q111" t="s">
        <v>1331</v>
      </c>
      <c r="R111" t="str">
        <f t="shared" si="4"/>
        <v>doctor-male.jpg</v>
      </c>
      <c r="S111" s="8">
        <v>6158587261424411</v>
      </c>
      <c r="T111">
        <v>10</v>
      </c>
      <c r="W111" t="str">
        <f t="shared" si="5"/>
        <v>(110,'med121', 'pswmed121', 'Francisco Tomás Amorim Campos', 'Masculino', '2016-02-28', 'Calçada de Carriche', '2780-195', 'Oeiras', 'Médico', 'Portuguesa', 'Bilhete de Identidade', '33863764', '339226352', '680060814', '918814050', 'med121@hospital.upskill.com', 'doctor-male.jpg'),</v>
      </c>
      <c r="X111" t="str">
        <f t="shared" si="6"/>
        <v>(110,'6158587261424410', '10'),</v>
      </c>
      <c r="Y111" t="str">
        <f t="shared" si="7"/>
        <v>(110),</v>
      </c>
    </row>
    <row r="112" spans="1:25" x14ac:dyDescent="0.25">
      <c r="A112">
        <v>111</v>
      </c>
      <c r="B112" t="s">
        <v>1332</v>
      </c>
      <c r="C112" t="s">
        <v>1333</v>
      </c>
      <c r="D112" t="s">
        <v>1334</v>
      </c>
      <c r="E112" t="s">
        <v>66</v>
      </c>
      <c r="F112" s="7">
        <v>43463</v>
      </c>
      <c r="G112" t="s">
        <v>249</v>
      </c>
      <c r="H112" t="s">
        <v>1335</v>
      </c>
      <c r="I112" t="s">
        <v>216</v>
      </c>
      <c r="J112" t="s">
        <v>3726</v>
      </c>
      <c r="K112" t="s">
        <v>225</v>
      </c>
      <c r="L112" t="s">
        <v>265</v>
      </c>
      <c r="M112" t="s">
        <v>1336</v>
      </c>
      <c r="N112" t="s">
        <v>1337</v>
      </c>
      <c r="O112" t="s">
        <v>1338</v>
      </c>
      <c r="P112" t="s">
        <v>1339</v>
      </c>
      <c r="Q112" t="s">
        <v>1340</v>
      </c>
      <c r="R112" t="str">
        <f t="shared" si="4"/>
        <v>doctor-female.jpg</v>
      </c>
      <c r="S112" s="8">
        <v>9970520876756936</v>
      </c>
      <c r="T112">
        <v>11</v>
      </c>
      <c r="W112" t="str">
        <f t="shared" si="5"/>
        <v>(111,'med122', 'pswmed122', 'Beatriz Leonor Cardoso Guerreiro', 'Feminino', '2018-12-29', 'Rua Júlio César Machado', '2834-362', 'Barreiro', 'Médico', 'Portuguesa', 'Bilhete de Identidade', '84876504', '199628606', '769279931', '936533090', 'med122@hospital.upskill.com', 'doctor-female.jpg'),</v>
      </c>
      <c r="X112" t="str">
        <f t="shared" si="6"/>
        <v>(111,'9970520876756940', '11'),</v>
      </c>
      <c r="Y112" t="str">
        <f t="shared" si="7"/>
        <v>(111),</v>
      </c>
    </row>
    <row r="113" spans="1:25" x14ac:dyDescent="0.25">
      <c r="A113">
        <v>112</v>
      </c>
      <c r="B113" t="s">
        <v>1341</v>
      </c>
      <c r="C113" t="s">
        <v>1342</v>
      </c>
      <c r="D113" t="s">
        <v>1343</v>
      </c>
      <c r="E113" t="s">
        <v>53</v>
      </c>
      <c r="F113" s="7">
        <v>8971</v>
      </c>
      <c r="G113" t="s">
        <v>262</v>
      </c>
      <c r="H113" t="s">
        <v>1344</v>
      </c>
      <c r="I113" t="s">
        <v>211</v>
      </c>
      <c r="J113" t="s">
        <v>3726</v>
      </c>
      <c r="K113" t="s">
        <v>225</v>
      </c>
      <c r="L113" t="s">
        <v>265</v>
      </c>
      <c r="M113" t="s">
        <v>1345</v>
      </c>
      <c r="N113" t="s">
        <v>1346</v>
      </c>
      <c r="O113" t="s">
        <v>1347</v>
      </c>
      <c r="P113" t="s">
        <v>1348</v>
      </c>
      <c r="Q113" t="s">
        <v>1349</v>
      </c>
      <c r="R113" t="str">
        <f t="shared" si="4"/>
        <v>doctor-male.jpg</v>
      </c>
      <c r="S113" s="8">
        <v>6459014582732513</v>
      </c>
      <c r="T113">
        <v>12</v>
      </c>
      <c r="W113" t="str">
        <f t="shared" si="5"/>
        <v>(112,'med123', 'pswmed123', 'André André Cruz Macedo', 'Masculino', '1924-07-23', 'Estrada Militar', '1069-757', 'Lisboa', 'Médico', 'Portuguesa', 'Bilhete de Identidade', '51051662', '229516489', '478204972', '929440137', 'med123@hospital.upskill.com', 'doctor-male.jpg'),</v>
      </c>
      <c r="X113" t="str">
        <f t="shared" si="6"/>
        <v>(112,'6459014582732510', '12'),</v>
      </c>
      <c r="Y113" t="str">
        <f t="shared" si="7"/>
        <v>(112),</v>
      </c>
    </row>
    <row r="114" spans="1:25" x14ac:dyDescent="0.25">
      <c r="A114">
        <v>113</v>
      </c>
      <c r="B114" t="s">
        <v>1350</v>
      </c>
      <c r="C114" t="s">
        <v>1351</v>
      </c>
      <c r="D114" t="s">
        <v>1352</v>
      </c>
      <c r="E114" t="s">
        <v>53</v>
      </c>
      <c r="F114" s="7">
        <v>13497</v>
      </c>
      <c r="G114" t="s">
        <v>255</v>
      </c>
      <c r="H114" t="s">
        <v>1353</v>
      </c>
      <c r="I114" t="s">
        <v>211</v>
      </c>
      <c r="J114" t="s">
        <v>3726</v>
      </c>
      <c r="K114" t="s">
        <v>225</v>
      </c>
      <c r="L114" t="s">
        <v>265</v>
      </c>
      <c r="M114" t="s">
        <v>1354</v>
      </c>
      <c r="N114" t="s">
        <v>1355</v>
      </c>
      <c r="O114" t="s">
        <v>1356</v>
      </c>
      <c r="P114" t="s">
        <v>1357</v>
      </c>
      <c r="Q114" t="s">
        <v>1358</v>
      </c>
      <c r="R114" t="str">
        <f t="shared" si="4"/>
        <v>doctor-male.jpg</v>
      </c>
      <c r="S114" s="8">
        <v>5753028639765507</v>
      </c>
      <c r="T114">
        <v>13</v>
      </c>
      <c r="W114" t="str">
        <f t="shared" si="5"/>
        <v>(113,'med124', 'pswmed124', 'André Francisco Amorim Pinheiro', 'Masculino', '1936-12-13', 'Rua de São Bento', '1549-14', 'Lisboa', 'Médico', 'Portuguesa', 'Bilhete de Identidade', '61959585', '220210708', '276123553', '964571750', 'med124@hospital.upskill.com', 'doctor-male.jpg'),</v>
      </c>
      <c r="X114" t="str">
        <f t="shared" si="6"/>
        <v>(113,'5753028639765510', '13'),</v>
      </c>
      <c r="Y114" t="str">
        <f t="shared" si="7"/>
        <v>(113),</v>
      </c>
    </row>
    <row r="115" spans="1:25" x14ac:dyDescent="0.25">
      <c r="A115">
        <v>114</v>
      </c>
      <c r="B115" t="s">
        <v>1359</v>
      </c>
      <c r="C115" t="s">
        <v>1360</v>
      </c>
      <c r="D115" t="s">
        <v>1361</v>
      </c>
      <c r="E115" t="s">
        <v>53</v>
      </c>
      <c r="F115" s="7">
        <v>25240</v>
      </c>
      <c r="G115" t="s">
        <v>248</v>
      </c>
      <c r="H115" t="s">
        <v>1362</v>
      </c>
      <c r="I115" t="s">
        <v>214</v>
      </c>
      <c r="J115" t="s">
        <v>3726</v>
      </c>
      <c r="K115" t="s">
        <v>225</v>
      </c>
      <c r="L115" t="s">
        <v>265</v>
      </c>
      <c r="M115" t="s">
        <v>1363</v>
      </c>
      <c r="N115" t="s">
        <v>1364</v>
      </c>
      <c r="O115" t="s">
        <v>1365</v>
      </c>
      <c r="P115" t="s">
        <v>1366</v>
      </c>
      <c r="Q115" t="s">
        <v>1367</v>
      </c>
      <c r="R115" t="str">
        <f t="shared" si="4"/>
        <v>doctor-male.jpg</v>
      </c>
      <c r="S115" s="8">
        <v>1443663922117829</v>
      </c>
      <c r="T115">
        <v>14</v>
      </c>
      <c r="W115" t="str">
        <f t="shared" si="5"/>
        <v>(114,'med125', 'pswmed125', 'Tomás Luís Garcia Jesus', 'Masculino', '1969-02-06', 'Rua General Morais Sarmento', '2870-730', 'Montijo', 'Médico', 'Portuguesa', 'Bilhete de Identidade', '10334328', '258335952', '624684238', '916600750', 'med125@hospital.upskill.com', 'doctor-male.jpg'),</v>
      </c>
      <c r="X115" t="str">
        <f t="shared" si="6"/>
        <v>(114,'1443663922117830', '14'),</v>
      </c>
      <c r="Y115" t="str">
        <f t="shared" si="7"/>
        <v>(114),</v>
      </c>
    </row>
    <row r="116" spans="1:25" x14ac:dyDescent="0.25">
      <c r="A116">
        <v>115</v>
      </c>
      <c r="B116" t="s">
        <v>1368</v>
      </c>
      <c r="C116" t="s">
        <v>1369</v>
      </c>
      <c r="D116" t="s">
        <v>1370</v>
      </c>
      <c r="E116" t="s">
        <v>66</v>
      </c>
      <c r="F116" s="7">
        <v>16827</v>
      </c>
      <c r="G116" t="s">
        <v>260</v>
      </c>
      <c r="H116" t="s">
        <v>1371</v>
      </c>
      <c r="I116" t="s">
        <v>211</v>
      </c>
      <c r="J116" t="s">
        <v>3726</v>
      </c>
      <c r="K116" t="s">
        <v>225</v>
      </c>
      <c r="L116" t="s">
        <v>265</v>
      </c>
      <c r="M116" t="s">
        <v>1372</v>
      </c>
      <c r="N116" t="s">
        <v>1373</v>
      </c>
      <c r="O116" t="s">
        <v>1374</v>
      </c>
      <c r="P116" t="s">
        <v>1375</v>
      </c>
      <c r="Q116" t="s">
        <v>1376</v>
      </c>
      <c r="R116" t="str">
        <f t="shared" si="4"/>
        <v>doctor-female.jpg</v>
      </c>
      <c r="S116" s="8">
        <v>7289007691712305</v>
      </c>
      <c r="T116">
        <v>15</v>
      </c>
      <c r="W116" t="str">
        <f t="shared" si="5"/>
        <v>(115,'med126', 'pswmed126', 'Lurdes José Abreu Melo', 'Feminino', '1946-01-25', 'Rua Augusta', '1950-302', 'Lisboa', 'Médico', 'Portuguesa', 'Bilhete de Identidade', '57658946', '255738176', '390991642', '934965985', 'med126@hospital.upskill.com', 'doctor-female.jpg'),</v>
      </c>
      <c r="X116" t="str">
        <f t="shared" si="6"/>
        <v>(115,'7289007691712300', '15'),</v>
      </c>
      <c r="Y116" t="str">
        <f t="shared" si="7"/>
        <v>(115),</v>
      </c>
    </row>
    <row r="117" spans="1:25" x14ac:dyDescent="0.25">
      <c r="A117">
        <v>116</v>
      </c>
      <c r="B117" t="s">
        <v>1377</v>
      </c>
      <c r="C117" t="s">
        <v>1378</v>
      </c>
      <c r="D117" t="s">
        <v>1379</v>
      </c>
      <c r="E117" t="s">
        <v>66</v>
      </c>
      <c r="F117" s="7">
        <v>14246</v>
      </c>
      <c r="G117" t="s">
        <v>246</v>
      </c>
      <c r="H117" t="s">
        <v>1380</v>
      </c>
      <c r="I117" t="s">
        <v>211</v>
      </c>
      <c r="J117" t="s">
        <v>3726</v>
      </c>
      <c r="K117" t="s">
        <v>225</v>
      </c>
      <c r="L117" t="s">
        <v>265</v>
      </c>
      <c r="M117" t="s">
        <v>1381</v>
      </c>
      <c r="N117" t="s">
        <v>1382</v>
      </c>
      <c r="O117" t="s">
        <v>1383</v>
      </c>
      <c r="P117" t="s">
        <v>1384</v>
      </c>
      <c r="Q117" t="s">
        <v>1385</v>
      </c>
      <c r="R117" t="str">
        <f t="shared" si="4"/>
        <v>doctor-female.jpg</v>
      </c>
      <c r="S117" s="8">
        <v>4676116266235551</v>
      </c>
      <c r="T117">
        <v>16</v>
      </c>
      <c r="W117" t="str">
        <f t="shared" si="5"/>
        <v>(116,'med127', 'pswmed127', 'Sara Ana Pacheco Lima', 'Feminino', '1939-01-01', 'Rua do Guarda-Mor', '1049-22', 'Lisboa', 'Médico', 'Portuguesa', 'Bilhete de Identidade', '65860807', '653483171', '151257909', '927864106', 'med127@hospital.upskill.com', 'doctor-female.jpg'),</v>
      </c>
      <c r="X117" t="str">
        <f t="shared" si="6"/>
        <v>(116,'4676116266235550', '16'),</v>
      </c>
      <c r="Y117" t="str">
        <f t="shared" si="7"/>
        <v>(116),</v>
      </c>
    </row>
    <row r="118" spans="1:25" x14ac:dyDescent="0.25">
      <c r="A118">
        <v>117</v>
      </c>
      <c r="B118" t="s">
        <v>1386</v>
      </c>
      <c r="C118" t="s">
        <v>1387</v>
      </c>
      <c r="D118" t="s">
        <v>1388</v>
      </c>
      <c r="E118" t="s">
        <v>53</v>
      </c>
      <c r="F118" s="7">
        <v>43342</v>
      </c>
      <c r="G118" t="s">
        <v>255</v>
      </c>
      <c r="H118" t="s">
        <v>1389</v>
      </c>
      <c r="I118" t="s">
        <v>211</v>
      </c>
      <c r="J118" t="s">
        <v>3726</v>
      </c>
      <c r="K118" t="s">
        <v>225</v>
      </c>
      <c r="L118" t="s">
        <v>265</v>
      </c>
      <c r="M118" t="s">
        <v>1390</v>
      </c>
      <c r="N118" t="s">
        <v>1391</v>
      </c>
      <c r="O118" t="s">
        <v>1392</v>
      </c>
      <c r="P118" t="s">
        <v>1393</v>
      </c>
      <c r="Q118" t="s">
        <v>1394</v>
      </c>
      <c r="R118" t="str">
        <f t="shared" si="4"/>
        <v>doctor-male.jpg</v>
      </c>
      <c r="S118" s="8">
        <v>3300193842935513</v>
      </c>
      <c r="T118">
        <v>17</v>
      </c>
      <c r="W118" t="str">
        <f t="shared" si="5"/>
        <v>(117,'med128', 'pswmed128', 'André Lurdes Macedo Loureiro', 'Masculino', '2018-08-30', 'Rua de São Bento', '1349-962', 'Lisboa', 'Médico', 'Portuguesa', 'Bilhete de Identidade', '99083739', '690867620', '169088328', '929411356', 'med128@hospital.upskill.com', 'doctor-male.jpg'),</v>
      </c>
      <c r="X118" t="str">
        <f t="shared" si="6"/>
        <v>(117,'3300193842935510', '17'),</v>
      </c>
      <c r="Y118" t="str">
        <f t="shared" si="7"/>
        <v>(117),</v>
      </c>
    </row>
    <row r="119" spans="1:25" x14ac:dyDescent="0.25">
      <c r="A119">
        <v>118</v>
      </c>
      <c r="B119" t="s">
        <v>1395</v>
      </c>
      <c r="C119" t="s">
        <v>1396</v>
      </c>
      <c r="D119" t="s">
        <v>1397</v>
      </c>
      <c r="E119" t="s">
        <v>66</v>
      </c>
      <c r="F119" s="7">
        <v>37343</v>
      </c>
      <c r="G119" t="s">
        <v>227</v>
      </c>
      <c r="H119" t="s">
        <v>1398</v>
      </c>
      <c r="I119" t="s">
        <v>218</v>
      </c>
      <c r="J119" t="s">
        <v>3726</v>
      </c>
      <c r="K119" t="s">
        <v>225</v>
      </c>
      <c r="L119" t="s">
        <v>265</v>
      </c>
      <c r="M119" t="s">
        <v>1399</v>
      </c>
      <c r="N119" t="s">
        <v>1400</v>
      </c>
      <c r="O119" t="s">
        <v>1401</v>
      </c>
      <c r="P119" t="s">
        <v>1402</v>
      </c>
      <c r="Q119" t="s">
        <v>1403</v>
      </c>
      <c r="R119" t="str">
        <f t="shared" si="4"/>
        <v>doctor-female.jpg</v>
      </c>
      <c r="S119" s="8">
        <v>9816663640948460</v>
      </c>
      <c r="T119">
        <v>18</v>
      </c>
      <c r="W119" t="str">
        <f t="shared" si="5"/>
        <v>(118,'med129', 'pswmed129', 'Mariana Rodrigo Lima Pinto', 'Feminino', '2002-03-28', 'Rua dos Bacalhoeiros', '2779-811', 'Carcavelos', 'Médico', 'Portuguesa', 'Bilhete de Identidade', '47724584', '789703854', '687357988', '960485999', 'med129@hospital.upskill.com', 'doctor-female.jpg'),</v>
      </c>
      <c r="X119" t="str">
        <f t="shared" si="6"/>
        <v>(118,'9816663640948460', '18'),</v>
      </c>
      <c r="Y119" t="str">
        <f t="shared" si="7"/>
        <v>(118),</v>
      </c>
    </row>
    <row r="120" spans="1:25" x14ac:dyDescent="0.25">
      <c r="A120">
        <v>119</v>
      </c>
      <c r="B120" t="s">
        <v>1404</v>
      </c>
      <c r="C120" t="s">
        <v>1405</v>
      </c>
      <c r="D120" t="s">
        <v>1406</v>
      </c>
      <c r="E120" t="s">
        <v>53</v>
      </c>
      <c r="F120" s="7">
        <v>35503</v>
      </c>
      <c r="G120" t="s">
        <v>246</v>
      </c>
      <c r="H120" t="s">
        <v>1407</v>
      </c>
      <c r="I120" t="s">
        <v>221</v>
      </c>
      <c r="J120" t="s">
        <v>3726</v>
      </c>
      <c r="K120" t="s">
        <v>225</v>
      </c>
      <c r="L120" t="s">
        <v>265</v>
      </c>
      <c r="M120" t="s">
        <v>1408</v>
      </c>
      <c r="N120" t="s">
        <v>1409</v>
      </c>
      <c r="O120" t="s">
        <v>1410</v>
      </c>
      <c r="P120" t="s">
        <v>1411</v>
      </c>
      <c r="Q120" t="s">
        <v>1412</v>
      </c>
      <c r="R120" t="str">
        <f t="shared" si="4"/>
        <v>doctor-male.jpg</v>
      </c>
      <c r="S120" s="8">
        <v>4331600013023350</v>
      </c>
      <c r="T120">
        <v>19</v>
      </c>
      <c r="W120" t="str">
        <f t="shared" si="5"/>
        <v>(119,'med130', 'pswmed130', 'Ricardo Martim Jesus Valente', 'Masculino', '1997-03-14', 'Rua do Guarda-Mor', '2825-78', 'Costa de Caparica', 'Médico', 'Portuguesa', 'Bilhete de Identidade', '73134353', '216215068', '846698606', '938254076', 'med130@hospital.upskill.com', 'doctor-male.jpg'),</v>
      </c>
      <c r="X120" t="str">
        <f t="shared" si="6"/>
        <v>(119,'4331600013023350', '19'),</v>
      </c>
      <c r="Y120" t="str">
        <f t="shared" si="7"/>
        <v>(119),</v>
      </c>
    </row>
    <row r="121" spans="1:25" x14ac:dyDescent="0.25">
      <c r="A121">
        <v>120</v>
      </c>
      <c r="B121" t="s">
        <v>1413</v>
      </c>
      <c r="C121" t="s">
        <v>1414</v>
      </c>
      <c r="D121" t="s">
        <v>1415</v>
      </c>
      <c r="E121" t="s">
        <v>53</v>
      </c>
      <c r="F121" s="7">
        <v>10487</v>
      </c>
      <c r="G121" t="s">
        <v>237</v>
      </c>
      <c r="H121" t="s">
        <v>1416</v>
      </c>
      <c r="I121" t="s">
        <v>211</v>
      </c>
      <c r="J121" t="s">
        <v>3726</v>
      </c>
      <c r="K121" t="s">
        <v>225</v>
      </c>
      <c r="L121" t="s">
        <v>265</v>
      </c>
      <c r="M121" t="s">
        <v>1417</v>
      </c>
      <c r="N121" t="s">
        <v>1418</v>
      </c>
      <c r="O121" t="s">
        <v>1419</v>
      </c>
      <c r="P121" t="s">
        <v>1420</v>
      </c>
      <c r="Q121" t="s">
        <v>1421</v>
      </c>
      <c r="R121" t="str">
        <f t="shared" si="4"/>
        <v>doctor-male.jpg</v>
      </c>
      <c r="S121" s="8">
        <v>6284401151236724</v>
      </c>
      <c r="T121">
        <v>20</v>
      </c>
      <c r="W121" t="str">
        <f t="shared" si="5"/>
        <v>(120,'med131', 'pswmed131', 'Miguel Beatriz Miranda Reis', 'Masculino', '1928-09-16', 'Calçada Marquês de Abrantes', '1959-569', 'Lisboa', 'Médico', 'Portuguesa', 'Bilhete de Identidade', '75775786', '896075677', '256381116', '916862458', 'med131@hospital.upskill.com', 'doctor-male.jpg'),</v>
      </c>
      <c r="X121" t="str">
        <f t="shared" si="6"/>
        <v>(120,'6284401151236720', '20'),</v>
      </c>
      <c r="Y121" t="str">
        <f t="shared" si="7"/>
        <v>(120),</v>
      </c>
    </row>
    <row r="122" spans="1:25" x14ac:dyDescent="0.25">
      <c r="A122">
        <v>121</v>
      </c>
      <c r="B122" t="s">
        <v>1422</v>
      </c>
      <c r="C122" t="s">
        <v>1423</v>
      </c>
      <c r="D122" t="s">
        <v>1424</v>
      </c>
      <c r="E122" t="s">
        <v>66</v>
      </c>
      <c r="F122" s="7">
        <v>20453</v>
      </c>
      <c r="G122" t="s">
        <v>260</v>
      </c>
      <c r="H122" t="s">
        <v>1425</v>
      </c>
      <c r="I122" t="s">
        <v>211</v>
      </c>
      <c r="J122" t="s">
        <v>3726</v>
      </c>
      <c r="K122" t="s">
        <v>225</v>
      </c>
      <c r="L122" t="s">
        <v>265</v>
      </c>
      <c r="M122" t="s">
        <v>1426</v>
      </c>
      <c r="N122" t="s">
        <v>1427</v>
      </c>
      <c r="O122" t="s">
        <v>1428</v>
      </c>
      <c r="P122" t="s">
        <v>1429</v>
      </c>
      <c r="Q122" t="s">
        <v>1430</v>
      </c>
      <c r="R122" t="str">
        <f t="shared" si="4"/>
        <v>doctor-female.jpg</v>
      </c>
      <c r="S122" s="8">
        <v>7572592432744631</v>
      </c>
      <c r="T122">
        <v>21</v>
      </c>
      <c r="W122" t="str">
        <f t="shared" si="5"/>
        <v>(121,'med132', 'pswmed132', 'Francisca Bruno Neves Andrade', 'Feminino', '1955-12-30', 'Rua Augusta', '1069-863', 'Lisboa', 'Médico', 'Portuguesa', 'Bilhete de Identidade', '67071246', '475742469', '979006872', '969035645', 'med132@hospital.upskill.com', 'doctor-female.jpg'),</v>
      </c>
      <c r="X122" t="str">
        <f t="shared" si="6"/>
        <v>(121,'7572592432744630', '21'),</v>
      </c>
      <c r="Y122" t="str">
        <f t="shared" si="7"/>
        <v>(121),</v>
      </c>
    </row>
    <row r="123" spans="1:25" x14ac:dyDescent="0.25">
      <c r="A123">
        <v>122</v>
      </c>
      <c r="B123" t="s">
        <v>1431</v>
      </c>
      <c r="C123" t="s">
        <v>1432</v>
      </c>
      <c r="D123" t="s">
        <v>1433</v>
      </c>
      <c r="E123" t="s">
        <v>53</v>
      </c>
      <c r="F123" s="7">
        <v>43922</v>
      </c>
      <c r="G123" t="s">
        <v>231</v>
      </c>
      <c r="H123" t="s">
        <v>1434</v>
      </c>
      <c r="I123" t="s">
        <v>211</v>
      </c>
      <c r="J123" t="s">
        <v>3726</v>
      </c>
      <c r="K123" t="s">
        <v>225</v>
      </c>
      <c r="L123" t="s">
        <v>265</v>
      </c>
      <c r="M123" t="s">
        <v>1435</v>
      </c>
      <c r="N123" t="s">
        <v>1436</v>
      </c>
      <c r="O123" t="s">
        <v>1437</v>
      </c>
      <c r="P123" t="s">
        <v>1438</v>
      </c>
      <c r="Q123" t="s">
        <v>1439</v>
      </c>
      <c r="R123" t="str">
        <f t="shared" si="4"/>
        <v>doctor-male.jpg</v>
      </c>
      <c r="S123" s="8">
        <v>3742888811240413</v>
      </c>
      <c r="T123">
        <v>22</v>
      </c>
      <c r="W123" t="str">
        <f t="shared" si="5"/>
        <v>(122,'med133', 'pswmed133', 'Gabriel Afonso Ramos Nogueira', 'Masculino', '2020-04-01', 'Rua dos Fanqueiros', '1099-699', 'Lisboa', 'Médico', 'Portuguesa', 'Bilhete de Identidade', '16065975', '832996346', '814650471', '936853191', 'med133@hospital.upskill.com', 'doctor-male.jpg'),</v>
      </c>
      <c r="X123" t="str">
        <f t="shared" si="6"/>
        <v>(122,'3742888811240410', '22'),</v>
      </c>
      <c r="Y123" t="str">
        <f t="shared" si="7"/>
        <v>(122),</v>
      </c>
    </row>
    <row r="124" spans="1:25" x14ac:dyDescent="0.25">
      <c r="A124">
        <v>123</v>
      </c>
      <c r="B124" t="s">
        <v>1440</v>
      </c>
      <c r="C124" t="s">
        <v>1441</v>
      </c>
      <c r="D124" t="s">
        <v>1442</v>
      </c>
      <c r="E124" t="s">
        <v>53</v>
      </c>
      <c r="F124" s="7">
        <v>25320</v>
      </c>
      <c r="G124" t="s">
        <v>243</v>
      </c>
      <c r="H124" t="s">
        <v>1443</v>
      </c>
      <c r="I124" t="s">
        <v>211</v>
      </c>
      <c r="J124" t="s">
        <v>3726</v>
      </c>
      <c r="K124" t="s">
        <v>225</v>
      </c>
      <c r="L124" t="s">
        <v>265</v>
      </c>
      <c r="M124" t="s">
        <v>1444</v>
      </c>
      <c r="N124" t="s">
        <v>1445</v>
      </c>
      <c r="O124" t="s">
        <v>1446</v>
      </c>
      <c r="P124" t="s">
        <v>1447</v>
      </c>
      <c r="Q124" t="s">
        <v>1448</v>
      </c>
      <c r="R124" t="str">
        <f t="shared" si="4"/>
        <v>doctor-male.jpg</v>
      </c>
      <c r="S124" s="8">
        <v>4992508565501860</v>
      </c>
      <c r="T124">
        <v>23</v>
      </c>
      <c r="W124" t="str">
        <f t="shared" si="5"/>
        <v>(123,'med134', 'pswmed134', 'Bruno Ricardo Pires Lourenço', 'Masculino', '1969-04-27', 'Rua Roberto Duarte Silva', '1050-509', 'Lisboa', 'Médico', 'Portuguesa', 'Bilhete de Identidade', '71803716', '842380643', '609320671', '931797541', 'med134@hospital.upskill.com', 'doctor-male.jpg'),</v>
      </c>
      <c r="X124" t="str">
        <f t="shared" si="6"/>
        <v>(123,'4992508565501860', '23'),</v>
      </c>
      <c r="Y124" t="str">
        <f t="shared" si="7"/>
        <v>(123),</v>
      </c>
    </row>
    <row r="125" spans="1:25" x14ac:dyDescent="0.25">
      <c r="A125">
        <v>124</v>
      </c>
      <c r="B125" t="s">
        <v>1449</v>
      </c>
      <c r="C125" t="s">
        <v>1450</v>
      </c>
      <c r="D125" t="s">
        <v>1451</v>
      </c>
      <c r="E125" t="s">
        <v>66</v>
      </c>
      <c r="F125" s="7">
        <v>20063</v>
      </c>
      <c r="G125" t="s">
        <v>246</v>
      </c>
      <c r="H125" t="s">
        <v>1452</v>
      </c>
      <c r="I125" t="s">
        <v>213</v>
      </c>
      <c r="J125" t="s">
        <v>3726</v>
      </c>
      <c r="K125" t="s">
        <v>225</v>
      </c>
      <c r="L125" t="s">
        <v>265</v>
      </c>
      <c r="M125" t="s">
        <v>1453</v>
      </c>
      <c r="N125" t="s">
        <v>1454</v>
      </c>
      <c r="O125" t="s">
        <v>1455</v>
      </c>
      <c r="P125" t="s">
        <v>1456</v>
      </c>
      <c r="Q125" t="s">
        <v>1457</v>
      </c>
      <c r="R125" t="str">
        <f t="shared" si="4"/>
        <v>doctor-female.jpg</v>
      </c>
      <c r="S125" s="8">
        <v>3140673499268109</v>
      </c>
      <c r="T125">
        <v>24</v>
      </c>
      <c r="W125" t="str">
        <f t="shared" si="5"/>
        <v>(124,'med135', 'pswmed135', 'Mariana João Domingues Mota', 'Feminino', '1954-12-05', 'Rua do Guarda-Mor', '2644-515', 'Mafra', 'Médico', 'Portuguesa', 'Bilhete de Identidade', '87942510', '443148654', '940879104', '915078578', 'med135@hospital.upskill.com', 'doctor-female.jpg'),</v>
      </c>
      <c r="X125" t="str">
        <f t="shared" si="6"/>
        <v>(124,'3140673499268110', '24'),</v>
      </c>
      <c r="Y125" t="str">
        <f t="shared" si="7"/>
        <v>(124),</v>
      </c>
    </row>
    <row r="126" spans="1:25" x14ac:dyDescent="0.25">
      <c r="A126">
        <v>125</v>
      </c>
      <c r="B126" t="s">
        <v>1458</v>
      </c>
      <c r="C126" t="s">
        <v>1459</v>
      </c>
      <c r="D126" t="s">
        <v>1460</v>
      </c>
      <c r="E126" t="s">
        <v>53</v>
      </c>
      <c r="F126" s="7">
        <v>34756</v>
      </c>
      <c r="G126" t="s">
        <v>263</v>
      </c>
      <c r="H126" t="s">
        <v>1461</v>
      </c>
      <c r="I126" t="s">
        <v>217</v>
      </c>
      <c r="J126" t="s">
        <v>3726</v>
      </c>
      <c r="K126" t="s">
        <v>225</v>
      </c>
      <c r="L126" t="s">
        <v>265</v>
      </c>
      <c r="M126" t="s">
        <v>1462</v>
      </c>
      <c r="N126" t="s">
        <v>1463</v>
      </c>
      <c r="O126" t="s">
        <v>1464</v>
      </c>
      <c r="P126" t="s">
        <v>1465</v>
      </c>
      <c r="Q126" t="s">
        <v>1466</v>
      </c>
      <c r="R126" t="str">
        <f t="shared" si="4"/>
        <v>doctor-male.jpg</v>
      </c>
      <c r="S126" s="8">
        <v>2693526197630313</v>
      </c>
      <c r="T126">
        <v>25</v>
      </c>
      <c r="W126" t="str">
        <f t="shared" si="5"/>
        <v>(125,'med136', 'pswmed136', 'Gabriel Francisco Esteves Oliveira', 'Masculino', '1995-02-26', 'Rua da Junqueira', '2825-797', 'Caparica', 'Médico', 'Portuguesa', 'Bilhete de Identidade', '98363189', '790494930', '615488433', '934778005', 'med136@hospital.upskill.com', 'doctor-male.jpg'),</v>
      </c>
      <c r="X126" t="str">
        <f t="shared" si="6"/>
        <v>(125,'2693526197630310', '25'),</v>
      </c>
      <c r="Y126" t="str">
        <f t="shared" si="7"/>
        <v>(125),</v>
      </c>
    </row>
    <row r="127" spans="1:25" x14ac:dyDescent="0.25">
      <c r="A127">
        <v>126</v>
      </c>
      <c r="B127" t="s">
        <v>1467</v>
      </c>
      <c r="C127" t="s">
        <v>1468</v>
      </c>
      <c r="D127" t="s">
        <v>1469</v>
      </c>
      <c r="E127" t="s">
        <v>53</v>
      </c>
      <c r="F127" s="7">
        <v>14392</v>
      </c>
      <c r="G127" t="s">
        <v>248</v>
      </c>
      <c r="H127" t="s">
        <v>1470</v>
      </c>
      <c r="I127" t="s">
        <v>211</v>
      </c>
      <c r="J127" t="s">
        <v>3726</v>
      </c>
      <c r="K127" t="s">
        <v>225</v>
      </c>
      <c r="L127" t="s">
        <v>265</v>
      </c>
      <c r="M127" t="s">
        <v>1471</v>
      </c>
      <c r="N127" t="s">
        <v>1472</v>
      </c>
      <c r="O127" t="s">
        <v>1473</v>
      </c>
      <c r="P127" t="s">
        <v>1474</v>
      </c>
      <c r="Q127" t="s">
        <v>1475</v>
      </c>
      <c r="R127" t="str">
        <f t="shared" si="4"/>
        <v>doctor-male.jpg</v>
      </c>
      <c r="S127" s="8">
        <v>1540055404578403</v>
      </c>
      <c r="T127">
        <v>26</v>
      </c>
      <c r="W127" t="str">
        <f t="shared" si="5"/>
        <v>(126,'med137', 'pswmed137', 'Bruno José Teixeira Monteiro', 'Masculino', '1939-05-27', 'Rua General Morais Sarmento', '1249-809', 'Lisboa', 'Médico', 'Portuguesa', 'Bilhete de Identidade', '14736332', '952294210', '380296293', '912500470', 'med137@hospital.upskill.com', 'doctor-male.jpg'),</v>
      </c>
      <c r="X127" t="str">
        <f t="shared" si="6"/>
        <v>(126,'1540055404578400', '26'),</v>
      </c>
      <c r="Y127" t="str">
        <f t="shared" si="7"/>
        <v>(126),</v>
      </c>
    </row>
    <row r="128" spans="1:25" x14ac:dyDescent="0.25">
      <c r="A128">
        <v>127</v>
      </c>
      <c r="B128" t="s">
        <v>1476</v>
      </c>
      <c r="C128" t="s">
        <v>1477</v>
      </c>
      <c r="D128" t="s">
        <v>1478</v>
      </c>
      <c r="E128" t="s">
        <v>66</v>
      </c>
      <c r="F128" s="7">
        <v>17070</v>
      </c>
      <c r="G128" t="s">
        <v>229</v>
      </c>
      <c r="H128" t="s">
        <v>1479</v>
      </c>
      <c r="I128" t="s">
        <v>211</v>
      </c>
      <c r="J128" t="s">
        <v>3726</v>
      </c>
      <c r="K128" t="s">
        <v>225</v>
      </c>
      <c r="L128" t="s">
        <v>265</v>
      </c>
      <c r="M128" t="s">
        <v>1480</v>
      </c>
      <c r="N128" t="s">
        <v>1481</v>
      </c>
      <c r="O128" t="s">
        <v>1482</v>
      </c>
      <c r="P128" t="s">
        <v>1483</v>
      </c>
      <c r="Q128" t="s">
        <v>1484</v>
      </c>
      <c r="R128" t="str">
        <f t="shared" si="4"/>
        <v>doctor-female.jpg</v>
      </c>
      <c r="S128" s="8">
        <v>2317375458187915</v>
      </c>
      <c r="T128">
        <v>27</v>
      </c>
      <c r="W128" t="str">
        <f t="shared" si="5"/>
        <v>(127,'med138', 'pswmed138', 'Maria Tiago Garcia Freitas', 'Feminino', '1946-09-25', 'Rua Cidade de Bolama', '1170-696', 'Lisboa', 'Médico', 'Portuguesa', 'Bilhete de Identidade', '57896492', '696530831', '618557008', '963547783', 'med138@hospital.upskill.com', 'doctor-female.jpg'),</v>
      </c>
      <c r="X128" t="str">
        <f t="shared" si="6"/>
        <v>(127,'2317375458187910', '27'),</v>
      </c>
      <c r="Y128" t="str">
        <f t="shared" si="7"/>
        <v>(127),</v>
      </c>
    </row>
    <row r="129" spans="1:25" x14ac:dyDescent="0.25">
      <c r="A129">
        <v>128</v>
      </c>
      <c r="B129" t="s">
        <v>1485</v>
      </c>
      <c r="C129" t="s">
        <v>1486</v>
      </c>
      <c r="D129" t="s">
        <v>1487</v>
      </c>
      <c r="E129" t="s">
        <v>66</v>
      </c>
      <c r="F129" s="7">
        <v>18282</v>
      </c>
      <c r="G129" t="s">
        <v>239</v>
      </c>
      <c r="H129" t="s">
        <v>1488</v>
      </c>
      <c r="I129" t="s">
        <v>211</v>
      </c>
      <c r="J129" t="s">
        <v>3726</v>
      </c>
      <c r="K129" t="s">
        <v>225</v>
      </c>
      <c r="L129" t="s">
        <v>265</v>
      </c>
      <c r="M129" t="s">
        <v>1489</v>
      </c>
      <c r="N129" t="s">
        <v>1490</v>
      </c>
      <c r="O129" t="s">
        <v>1491</v>
      </c>
      <c r="P129" t="s">
        <v>1492</v>
      </c>
      <c r="Q129" t="s">
        <v>1493</v>
      </c>
      <c r="R129" t="str">
        <f t="shared" si="4"/>
        <v>doctor-female.jpg</v>
      </c>
      <c r="S129" s="8">
        <v>2531925821897555</v>
      </c>
      <c r="T129">
        <v>28</v>
      </c>
      <c r="W129" t="str">
        <f t="shared" si="5"/>
        <v>(128,'med139', 'pswmed139', 'Mariana Mariana Vieira Pacheco', 'Feminino', '1950-01-19', 'Rua da Oliveira ao Carmo', '1649-615', 'Lisboa', 'Médico', 'Portuguesa', 'Bilhete de Identidade', '14901171', '764583453', '365675865', '932945801', 'med139@hospital.upskill.com', 'doctor-female.jpg'),</v>
      </c>
      <c r="X129" t="str">
        <f t="shared" si="6"/>
        <v>(128,'2531925821897550', '28'),</v>
      </c>
      <c r="Y129" t="str">
        <f t="shared" si="7"/>
        <v>(128),</v>
      </c>
    </row>
    <row r="130" spans="1:25" x14ac:dyDescent="0.25">
      <c r="A130">
        <v>129</v>
      </c>
      <c r="B130" t="s">
        <v>1494</v>
      </c>
      <c r="C130" t="s">
        <v>1495</v>
      </c>
      <c r="D130" t="s">
        <v>1496</v>
      </c>
      <c r="E130" t="s">
        <v>66</v>
      </c>
      <c r="F130" s="7">
        <v>9562</v>
      </c>
      <c r="G130" t="s">
        <v>252</v>
      </c>
      <c r="H130" t="s">
        <v>1497</v>
      </c>
      <c r="I130" t="s">
        <v>206</v>
      </c>
      <c r="J130" t="s">
        <v>3726</v>
      </c>
      <c r="K130" t="s">
        <v>225</v>
      </c>
      <c r="L130" t="s">
        <v>265</v>
      </c>
      <c r="M130" t="s">
        <v>1498</v>
      </c>
      <c r="N130" t="s">
        <v>1499</v>
      </c>
      <c r="O130" t="s">
        <v>1500</v>
      </c>
      <c r="P130" t="s">
        <v>1501</v>
      </c>
      <c r="Q130" t="s">
        <v>1502</v>
      </c>
      <c r="R130" t="str">
        <f t="shared" si="4"/>
        <v>doctor-female.jpg</v>
      </c>
      <c r="S130" s="8">
        <v>4411120995120741</v>
      </c>
      <c r="T130">
        <v>29</v>
      </c>
      <c r="W130" t="str">
        <f t="shared" si="5"/>
        <v>(129,'med140', 'pswmed140', 'Vera João Amaral Cruz', 'Feminino', '1926-03-06', 'Rua de São Julião', '2710-102', 'Sintra', 'Médico', 'Portuguesa', 'Bilhete de Identidade', '41697178', '797802585', '726337185', '917616220', 'med140@hospital.upskill.com', 'doctor-female.jpg'),</v>
      </c>
      <c r="X130" t="str">
        <f t="shared" si="6"/>
        <v>(129,'4411120995120740', '29'),</v>
      </c>
      <c r="Y130" t="str">
        <f t="shared" si="7"/>
        <v>(129),</v>
      </c>
    </row>
    <row r="131" spans="1:25" x14ac:dyDescent="0.25">
      <c r="A131">
        <v>130</v>
      </c>
      <c r="B131" t="s">
        <v>1503</v>
      </c>
      <c r="C131" t="s">
        <v>1504</v>
      </c>
      <c r="D131" t="s">
        <v>1505</v>
      </c>
      <c r="E131" t="s">
        <v>53</v>
      </c>
      <c r="F131" s="7">
        <v>10733</v>
      </c>
      <c r="G131" t="s">
        <v>231</v>
      </c>
      <c r="H131" t="s">
        <v>1506</v>
      </c>
      <c r="I131" t="s">
        <v>201</v>
      </c>
      <c r="J131" t="s">
        <v>3726</v>
      </c>
      <c r="K131" t="s">
        <v>225</v>
      </c>
      <c r="L131" t="s">
        <v>265</v>
      </c>
      <c r="M131" t="s">
        <v>1507</v>
      </c>
      <c r="N131" t="s">
        <v>1508</v>
      </c>
      <c r="O131" t="s">
        <v>1509</v>
      </c>
      <c r="P131" t="s">
        <v>1510</v>
      </c>
      <c r="Q131" t="s">
        <v>1511</v>
      </c>
      <c r="R131" t="str">
        <f t="shared" ref="R131:R188" si="8">IF(E131="Feminino","doctor-female.jpg","doctor-male.jpg")</f>
        <v>doctor-male.jpg</v>
      </c>
      <c r="S131" s="8">
        <v>6433221624830208</v>
      </c>
      <c r="T131">
        <v>30</v>
      </c>
      <c r="W131" t="str">
        <f t="shared" si="5"/>
        <v>(130,'med141', 'pswmed141', 'Afonso Joana Assunção Gomes', 'Masculino', '1929-05-20', 'Rua dos Fanqueiros', '2414-104', 'Leiria', 'Médico', 'Portuguesa', 'Bilhete de Identidade', '33120801', '798998875', '774495144', '925996121', 'med141@hospital.upskill.com', 'doctor-male.jpg'),</v>
      </c>
      <c r="X131" t="str">
        <f t="shared" si="6"/>
        <v>(130,'6433221624830210', '30'),</v>
      </c>
      <c r="Y131" t="str">
        <f t="shared" si="7"/>
        <v>(130),</v>
      </c>
    </row>
    <row r="132" spans="1:25" x14ac:dyDescent="0.25">
      <c r="A132">
        <v>131</v>
      </c>
      <c r="B132" t="s">
        <v>1512</v>
      </c>
      <c r="C132" t="s">
        <v>1513</v>
      </c>
      <c r="D132" t="s">
        <v>1514</v>
      </c>
      <c r="E132" t="s">
        <v>66</v>
      </c>
      <c r="F132" s="7">
        <v>43003</v>
      </c>
      <c r="G132" t="s">
        <v>228</v>
      </c>
      <c r="H132" t="s">
        <v>1515</v>
      </c>
      <c r="I132" t="s">
        <v>211</v>
      </c>
      <c r="J132" t="s">
        <v>3726</v>
      </c>
      <c r="K132" t="s">
        <v>225</v>
      </c>
      <c r="L132" t="s">
        <v>265</v>
      </c>
      <c r="M132" t="s">
        <v>1516</v>
      </c>
      <c r="N132" t="s">
        <v>1517</v>
      </c>
      <c r="O132" t="s">
        <v>1518</v>
      </c>
      <c r="P132" t="s">
        <v>1519</v>
      </c>
      <c r="Q132" t="s">
        <v>1520</v>
      </c>
      <c r="R132" t="str">
        <f t="shared" si="8"/>
        <v>doctor-female.jpg</v>
      </c>
      <c r="S132" s="8">
        <v>6778090543805428</v>
      </c>
      <c r="T132">
        <v>31</v>
      </c>
      <c r="W132" t="str">
        <f t="shared" ref="W132:W187" si="9">"(" &amp;A132 &amp; 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(131,'med142', 'pswmed142', 'Catarina Gabriel Moreira Silva', 'Feminino', '2017-09-25', 'Calçada de Carriche', '1249-655', 'Lisboa', 'Médico', 'Portuguesa', 'Bilhete de Identidade', '54864252', '405844962', '492534311', '913212242', 'med142@hospital.upskill.com', 'doctor-female.jpg'),</v>
      </c>
      <c r="X132" t="str">
        <f t="shared" ref="X132:X187" si="10">"(" &amp;A132 &amp; ",'" &amp; S132 &amp; "', '" &amp; T132 &amp; "'),"</f>
        <v>(131,'6778090543805430', '31'),</v>
      </c>
      <c r="Y132" t="str">
        <f t="shared" ref="Y132:Y187" si="11">"(" &amp;A132 &amp; "),"</f>
        <v>(131),</v>
      </c>
    </row>
    <row r="133" spans="1:25" x14ac:dyDescent="0.25">
      <c r="A133">
        <v>132</v>
      </c>
      <c r="B133" t="s">
        <v>1521</v>
      </c>
      <c r="C133" t="s">
        <v>1522</v>
      </c>
      <c r="D133" t="s">
        <v>1523</v>
      </c>
      <c r="E133" t="s">
        <v>66</v>
      </c>
      <c r="F133" s="7">
        <v>29468</v>
      </c>
      <c r="G133" t="s">
        <v>237</v>
      </c>
      <c r="H133" t="s">
        <v>1524</v>
      </c>
      <c r="I133" t="s">
        <v>211</v>
      </c>
      <c r="J133" t="s">
        <v>3726</v>
      </c>
      <c r="K133" t="s">
        <v>225</v>
      </c>
      <c r="L133" t="s">
        <v>265</v>
      </c>
      <c r="M133" t="s">
        <v>1525</v>
      </c>
      <c r="N133" t="s">
        <v>1526</v>
      </c>
      <c r="O133" t="s">
        <v>1527</v>
      </c>
      <c r="P133" t="s">
        <v>1528</v>
      </c>
      <c r="Q133" t="s">
        <v>1529</v>
      </c>
      <c r="R133" t="str">
        <f t="shared" si="8"/>
        <v>doctor-female.jpg</v>
      </c>
      <c r="S133" s="8">
        <v>5305723976528296</v>
      </c>
      <c r="T133">
        <v>32</v>
      </c>
      <c r="W133" t="str">
        <f t="shared" si="9"/>
        <v>(132,'med143', 'pswmed143', 'Maria Diogo Domingues Valente', 'Feminino', '1980-09-04', 'Calçada Marquês de Abrantes', '1769-380', 'Lisboa', 'Médico', 'Portuguesa', 'Bilhete de Identidade', '47754237', '976293226', '180699100', '926283038', 'med143@hospital.upskill.com', 'doctor-female.jpg'),</v>
      </c>
      <c r="X133" t="str">
        <f t="shared" si="10"/>
        <v>(132,'5305723976528300', '32'),</v>
      </c>
      <c r="Y133" t="str">
        <f t="shared" si="11"/>
        <v>(132),</v>
      </c>
    </row>
    <row r="134" spans="1:25" x14ac:dyDescent="0.25">
      <c r="A134">
        <v>133</v>
      </c>
      <c r="B134" t="s">
        <v>1530</v>
      </c>
      <c r="C134" t="s">
        <v>1531</v>
      </c>
      <c r="D134" t="s">
        <v>1532</v>
      </c>
      <c r="E134" t="s">
        <v>66</v>
      </c>
      <c r="F134" s="7">
        <v>26648</v>
      </c>
      <c r="G134" t="s">
        <v>251</v>
      </c>
      <c r="H134" t="s">
        <v>1533</v>
      </c>
      <c r="I134" t="s">
        <v>211</v>
      </c>
      <c r="J134" t="s">
        <v>3726</v>
      </c>
      <c r="K134" t="s">
        <v>225</v>
      </c>
      <c r="L134" t="s">
        <v>265</v>
      </c>
      <c r="M134" t="s">
        <v>1534</v>
      </c>
      <c r="N134" t="s">
        <v>1535</v>
      </c>
      <c r="O134" t="s">
        <v>1536</v>
      </c>
      <c r="P134" t="s">
        <v>1537</v>
      </c>
      <c r="Q134" t="s">
        <v>1538</v>
      </c>
      <c r="R134" t="str">
        <f t="shared" si="8"/>
        <v>doctor-female.jpg</v>
      </c>
      <c r="S134" s="8">
        <v>2764257917268005</v>
      </c>
      <c r="T134">
        <v>33</v>
      </c>
      <c r="W134" t="str">
        <f t="shared" si="9"/>
        <v>(133,'med144', 'pswmed144', 'Beatriz Diogo Gonçalves Almeida', 'Feminino', '1972-12-15', 'Rua do Salitre', '1250-222', 'Lisboa', 'Médico', 'Portuguesa', 'Bilhete de Identidade', '79569284', '585051365', '952305062', '927836780', 'med144@hospital.upskill.com', 'doctor-female.jpg'),</v>
      </c>
      <c r="X134" t="str">
        <f t="shared" si="10"/>
        <v>(133,'2764257917268000', '33'),</v>
      </c>
      <c r="Y134" t="str">
        <f t="shared" si="11"/>
        <v>(133),</v>
      </c>
    </row>
    <row r="135" spans="1:25" x14ac:dyDescent="0.25">
      <c r="A135">
        <v>134</v>
      </c>
      <c r="B135" t="s">
        <v>1539</v>
      </c>
      <c r="C135" t="s">
        <v>1540</v>
      </c>
      <c r="D135" t="s">
        <v>1541</v>
      </c>
      <c r="E135" t="s">
        <v>66</v>
      </c>
      <c r="F135" s="7">
        <v>12366</v>
      </c>
      <c r="G135" t="s">
        <v>253</v>
      </c>
      <c r="H135" t="s">
        <v>1542</v>
      </c>
      <c r="I135" t="s">
        <v>211</v>
      </c>
      <c r="J135" t="s">
        <v>3726</v>
      </c>
      <c r="K135" t="s">
        <v>225</v>
      </c>
      <c r="L135" t="s">
        <v>265</v>
      </c>
      <c r="M135" t="s">
        <v>1543</v>
      </c>
      <c r="N135" t="s">
        <v>1544</v>
      </c>
      <c r="O135" t="s">
        <v>1545</v>
      </c>
      <c r="P135" t="s">
        <v>1546</v>
      </c>
      <c r="Q135" t="s">
        <v>1547</v>
      </c>
      <c r="R135" t="str">
        <f t="shared" si="8"/>
        <v>doctor-female.jpg</v>
      </c>
      <c r="S135" s="8">
        <v>5189693177535882</v>
      </c>
      <c r="T135">
        <v>34</v>
      </c>
      <c r="W135" t="str">
        <f t="shared" si="9"/>
        <v>(134,'med145', 'pswmed145', 'Beatriz Carolina Batista Leal', 'Feminino', '1933-11-08', 'Rua de São Mamede', '1750-653', 'Lisboa', 'Médico', 'Portuguesa', 'Bilhete de Identidade', '11101081', '922773602', '657271476', '964893906', 'med145@hospital.upskill.com', 'doctor-female.jpg'),</v>
      </c>
      <c r="X135" t="str">
        <f t="shared" si="10"/>
        <v>(134,'5189693177535880', '34'),</v>
      </c>
      <c r="Y135" t="str">
        <f t="shared" si="11"/>
        <v>(134),</v>
      </c>
    </row>
    <row r="136" spans="1:25" x14ac:dyDescent="0.25">
      <c r="A136">
        <v>135</v>
      </c>
      <c r="B136" t="s">
        <v>1548</v>
      </c>
      <c r="C136" t="s">
        <v>1549</v>
      </c>
      <c r="D136" t="s">
        <v>1550</v>
      </c>
      <c r="E136" t="s">
        <v>53</v>
      </c>
      <c r="F136" s="7">
        <v>15788</v>
      </c>
      <c r="G136" t="s">
        <v>259</v>
      </c>
      <c r="H136" t="s">
        <v>1551</v>
      </c>
      <c r="I136" t="s">
        <v>211</v>
      </c>
      <c r="J136" t="s">
        <v>3726</v>
      </c>
      <c r="K136" t="s">
        <v>225</v>
      </c>
      <c r="L136" t="s">
        <v>265</v>
      </c>
      <c r="M136" t="s">
        <v>1552</v>
      </c>
      <c r="N136" t="s">
        <v>1553</v>
      </c>
      <c r="O136" t="s">
        <v>1554</v>
      </c>
      <c r="P136" t="s">
        <v>1555</v>
      </c>
      <c r="Q136" t="s">
        <v>1556</v>
      </c>
      <c r="R136" t="str">
        <f t="shared" si="8"/>
        <v>doctor-male.jpg</v>
      </c>
      <c r="S136" s="8">
        <v>2270764613760830</v>
      </c>
      <c r="T136">
        <v>35</v>
      </c>
      <c r="W136" t="str">
        <f t="shared" si="9"/>
        <v>(135,'med146', 'pswmed146', 'João Daniela Azevedo Abreu', 'Masculino', '1943-03-23', 'Rua da Alfândega', '1999-407', 'Lisboa', 'Médico', 'Portuguesa', 'Bilhete de Identidade', '80504184', '801757415', '573704723', '935064808', 'med146@hospital.upskill.com', 'doctor-male.jpg'),</v>
      </c>
      <c r="X136" t="str">
        <f t="shared" si="10"/>
        <v>(135,'2270764613760830', '35'),</v>
      </c>
      <c r="Y136" t="str">
        <f t="shared" si="11"/>
        <v>(135),</v>
      </c>
    </row>
    <row r="137" spans="1:25" x14ac:dyDescent="0.25">
      <c r="A137">
        <v>136</v>
      </c>
      <c r="B137" t="s">
        <v>1557</v>
      </c>
      <c r="C137" t="s">
        <v>1558</v>
      </c>
      <c r="D137" t="s">
        <v>1559</v>
      </c>
      <c r="E137" t="s">
        <v>53</v>
      </c>
      <c r="F137" s="7">
        <v>37028</v>
      </c>
      <c r="G137" t="s">
        <v>241</v>
      </c>
      <c r="H137" t="s">
        <v>1560</v>
      </c>
      <c r="I137" t="s">
        <v>201</v>
      </c>
      <c r="J137" t="s">
        <v>3726</v>
      </c>
      <c r="K137" t="s">
        <v>225</v>
      </c>
      <c r="L137" t="s">
        <v>265</v>
      </c>
      <c r="M137" t="s">
        <v>1561</v>
      </c>
      <c r="N137" t="s">
        <v>1562</v>
      </c>
      <c r="O137" t="s">
        <v>1563</v>
      </c>
      <c r="P137" t="s">
        <v>1564</v>
      </c>
      <c r="Q137" t="s">
        <v>1565</v>
      </c>
      <c r="R137" t="str">
        <f t="shared" si="8"/>
        <v>doctor-male.jpg</v>
      </c>
      <c r="S137" s="8">
        <v>2205574770869367</v>
      </c>
      <c r="T137">
        <v>36</v>
      </c>
      <c r="W137" t="str">
        <f t="shared" si="9"/>
        <v>(136,'med147', 'pswmed147', 'Rodrigo Lurdes Cruz Pinho', 'Masculino', '2001-05-17', 'Rua da Prata', '2423-20', 'Leiria', 'Médico', 'Portuguesa', 'Bilhete de Identidade', '80740602', '862071189', '457452336', '922142290', 'med147@hospital.upskill.com', 'doctor-male.jpg'),</v>
      </c>
      <c r="X137" t="str">
        <f t="shared" si="10"/>
        <v>(136,'2205574770869370', '36'),</v>
      </c>
      <c r="Y137" t="str">
        <f t="shared" si="11"/>
        <v>(136),</v>
      </c>
    </row>
    <row r="138" spans="1:25" x14ac:dyDescent="0.25">
      <c r="A138">
        <v>137</v>
      </c>
      <c r="B138" t="s">
        <v>1566</v>
      </c>
      <c r="C138" t="s">
        <v>1567</v>
      </c>
      <c r="D138" t="s">
        <v>1568</v>
      </c>
      <c r="E138" t="s">
        <v>53</v>
      </c>
      <c r="F138" s="7">
        <v>36735</v>
      </c>
      <c r="G138" t="s">
        <v>259</v>
      </c>
      <c r="H138" t="s">
        <v>1569</v>
      </c>
      <c r="I138" t="s">
        <v>211</v>
      </c>
      <c r="J138" t="s">
        <v>3726</v>
      </c>
      <c r="K138" t="s">
        <v>225</v>
      </c>
      <c r="L138" t="s">
        <v>265</v>
      </c>
      <c r="M138" t="s">
        <v>1570</v>
      </c>
      <c r="N138" t="s">
        <v>1571</v>
      </c>
      <c r="O138" t="s">
        <v>1572</v>
      </c>
      <c r="P138" t="s">
        <v>1573</v>
      </c>
      <c r="Q138" t="s">
        <v>1574</v>
      </c>
      <c r="R138" t="str">
        <f t="shared" si="8"/>
        <v>doctor-male.jpg</v>
      </c>
      <c r="S138" s="8">
        <v>7071295781127347</v>
      </c>
      <c r="T138">
        <v>37</v>
      </c>
      <c r="W138" t="str">
        <f t="shared" si="9"/>
        <v>(137,'med148', 'pswmed148', 'André Diogo Machado Vieira', 'Masculino', '2000-07-28', 'Rua da Alfândega', '1250-335', 'Lisboa', 'Médico', 'Portuguesa', 'Bilhete de Identidade', '99568157', '879379457', '303382348', '911244314', 'med148@hospital.upskill.com', 'doctor-male.jpg'),</v>
      </c>
      <c r="X138" t="str">
        <f t="shared" si="10"/>
        <v>(137,'7071295781127350', '37'),</v>
      </c>
      <c r="Y138" t="str">
        <f t="shared" si="11"/>
        <v>(137),</v>
      </c>
    </row>
    <row r="139" spans="1:25" x14ac:dyDescent="0.25">
      <c r="A139">
        <v>138</v>
      </c>
      <c r="B139" t="s">
        <v>1575</v>
      </c>
      <c r="C139" t="s">
        <v>1576</v>
      </c>
      <c r="D139" t="s">
        <v>1577</v>
      </c>
      <c r="E139" t="s">
        <v>66</v>
      </c>
      <c r="F139" s="7">
        <v>29002</v>
      </c>
      <c r="G139" t="s">
        <v>246</v>
      </c>
      <c r="H139" t="s">
        <v>1578</v>
      </c>
      <c r="I139" t="s">
        <v>211</v>
      </c>
      <c r="J139" t="s">
        <v>3726</v>
      </c>
      <c r="K139" t="s">
        <v>225</v>
      </c>
      <c r="L139" t="s">
        <v>265</v>
      </c>
      <c r="M139" t="s">
        <v>1579</v>
      </c>
      <c r="N139" t="s">
        <v>1580</v>
      </c>
      <c r="O139" t="s">
        <v>1581</v>
      </c>
      <c r="P139" t="s">
        <v>1582</v>
      </c>
      <c r="Q139" t="s">
        <v>1583</v>
      </c>
      <c r="R139" t="str">
        <f t="shared" si="8"/>
        <v>doctor-female.jpg</v>
      </c>
      <c r="S139" s="8">
        <v>5918755463912383</v>
      </c>
      <c r="T139">
        <v>38</v>
      </c>
      <c r="W139" t="str">
        <f t="shared" si="9"/>
        <v>(138,'med149', 'pswmed149', 'Francisca Miguel Mendes Maia', 'Feminino', '1979-05-27', 'Rua do Guarda-Mor', '1949-790', 'Lisboa', 'Médico', 'Portuguesa', 'Bilhete de Identidade', '84297198', '874614775', '467032594', '920920032', 'med149@hospital.upskill.com', 'doctor-female.jpg'),</v>
      </c>
      <c r="X139" t="str">
        <f t="shared" si="10"/>
        <v>(138,'5918755463912380', '38'),</v>
      </c>
      <c r="Y139" t="str">
        <f t="shared" si="11"/>
        <v>(138),</v>
      </c>
    </row>
    <row r="140" spans="1:25" x14ac:dyDescent="0.25">
      <c r="A140">
        <v>139</v>
      </c>
      <c r="B140" t="s">
        <v>1584</v>
      </c>
      <c r="C140" t="s">
        <v>1585</v>
      </c>
      <c r="D140" t="s">
        <v>1586</v>
      </c>
      <c r="E140" t="s">
        <v>53</v>
      </c>
      <c r="F140" s="7">
        <v>41285</v>
      </c>
      <c r="G140" t="s">
        <v>242</v>
      </c>
      <c r="H140" t="s">
        <v>1587</v>
      </c>
      <c r="I140" t="s">
        <v>223</v>
      </c>
      <c r="J140" t="s">
        <v>3726</v>
      </c>
      <c r="K140" t="s">
        <v>225</v>
      </c>
      <c r="L140" t="s">
        <v>265</v>
      </c>
      <c r="M140" t="s">
        <v>1588</v>
      </c>
      <c r="N140" t="s">
        <v>1589</v>
      </c>
      <c r="O140" t="s">
        <v>1590</v>
      </c>
      <c r="P140" t="s">
        <v>1591</v>
      </c>
      <c r="Q140" t="s">
        <v>1592</v>
      </c>
      <c r="R140" t="str">
        <f t="shared" si="8"/>
        <v>doctor-male.jpg</v>
      </c>
      <c r="S140" s="8">
        <v>6802410580440018</v>
      </c>
      <c r="T140">
        <v>39</v>
      </c>
      <c r="W140" t="str">
        <f t="shared" si="9"/>
        <v>(139,'med150', 'pswmed150', 'Francisco Pedro Magalhães Branco', 'Masculino', '2013-01-11', 'Avenida Ressano Garcia', '2659-751', 'Ericeira', 'Médico', 'Portuguesa', 'Bilhete de Identidade', '35274617', '148521200', '882690342', '968033992', 'med150@hospital.upskill.com', 'doctor-male.jpg'),</v>
      </c>
      <c r="X140" t="str">
        <f t="shared" si="10"/>
        <v>(139,'6802410580440020', '39'),</v>
      </c>
      <c r="Y140" t="str">
        <f t="shared" si="11"/>
        <v>(139),</v>
      </c>
    </row>
    <row r="141" spans="1:25" x14ac:dyDescent="0.25">
      <c r="A141">
        <v>140</v>
      </c>
      <c r="B141" t="s">
        <v>1593</v>
      </c>
      <c r="C141" t="s">
        <v>1594</v>
      </c>
      <c r="D141" t="s">
        <v>1595</v>
      </c>
      <c r="E141" t="s">
        <v>53</v>
      </c>
      <c r="F141" s="7">
        <v>27590</v>
      </c>
      <c r="G141" t="s">
        <v>245</v>
      </c>
      <c r="H141" t="s">
        <v>1596</v>
      </c>
      <c r="I141" t="s">
        <v>211</v>
      </c>
      <c r="J141" t="s">
        <v>3726</v>
      </c>
      <c r="K141" t="s">
        <v>225</v>
      </c>
      <c r="L141" t="s">
        <v>265</v>
      </c>
      <c r="M141" t="s">
        <v>1597</v>
      </c>
      <c r="N141" t="s">
        <v>1598</v>
      </c>
      <c r="O141" t="s">
        <v>1599</v>
      </c>
      <c r="P141" t="s">
        <v>1600</v>
      </c>
      <c r="Q141" t="s">
        <v>1601</v>
      </c>
      <c r="R141" t="str">
        <f t="shared" si="8"/>
        <v>doctor-male.jpg</v>
      </c>
      <c r="S141" s="8">
        <v>3795203368323521</v>
      </c>
      <c r="T141">
        <v>40</v>
      </c>
      <c r="W141" t="str">
        <f t="shared" si="9"/>
        <v>(140,'med151', 'pswmed151', 'José Francisco Soares Garcia', 'Masculino', '1975-07-15', 'Rua do Comércio', '1649-422', 'Lisboa', 'Médico', 'Portuguesa', 'Bilhete de Identidade', '67692095', '857851455', '622491139', '933347810', 'med151@hospital.upskill.com', 'doctor-male.jpg'),</v>
      </c>
      <c r="X141" t="str">
        <f t="shared" si="10"/>
        <v>(140,'3795203368323520', '40'),</v>
      </c>
      <c r="Y141" t="str">
        <f t="shared" si="11"/>
        <v>(140),</v>
      </c>
    </row>
    <row r="142" spans="1:25" x14ac:dyDescent="0.25">
      <c r="A142">
        <v>141</v>
      </c>
      <c r="B142" t="s">
        <v>1602</v>
      </c>
      <c r="C142" t="s">
        <v>1603</v>
      </c>
      <c r="D142" t="s">
        <v>1604</v>
      </c>
      <c r="E142" t="s">
        <v>53</v>
      </c>
      <c r="F142" s="7">
        <v>30972</v>
      </c>
      <c r="G142" t="s">
        <v>230</v>
      </c>
      <c r="H142" t="s">
        <v>1605</v>
      </c>
      <c r="I142" t="s">
        <v>210</v>
      </c>
      <c r="J142" t="s">
        <v>3726</v>
      </c>
      <c r="K142" t="s">
        <v>225</v>
      </c>
      <c r="L142" t="s">
        <v>265</v>
      </c>
      <c r="M142" t="s">
        <v>1606</v>
      </c>
      <c r="N142" t="s">
        <v>1607</v>
      </c>
      <c r="O142" t="s">
        <v>1608</v>
      </c>
      <c r="P142" t="s">
        <v>1609</v>
      </c>
      <c r="Q142" t="s">
        <v>1610</v>
      </c>
      <c r="R142" t="str">
        <f t="shared" si="8"/>
        <v>doctor-male.jpg</v>
      </c>
      <c r="S142" s="8">
        <v>1659718176926493</v>
      </c>
      <c r="T142">
        <v>41</v>
      </c>
      <c r="W142" t="str">
        <f t="shared" si="9"/>
        <v>(141,'med152', 'pswmed152', 'Tomás Martim Monteiro Rodrigues', 'Masculino', '1984-10-17', 'Estrada da Circunvalação de Lisboa', '2650-224', 'Amadora', 'Médico', 'Portuguesa', 'Bilhete de Identidade', '22457210', '598445762', '362953002', '926793148', 'med152@hospital.upskill.com', 'doctor-male.jpg'),</v>
      </c>
      <c r="X142" t="str">
        <f t="shared" si="10"/>
        <v>(141,'1659718176926490', '41'),</v>
      </c>
      <c r="Y142" t="str">
        <f t="shared" si="11"/>
        <v>(141),</v>
      </c>
    </row>
    <row r="143" spans="1:25" x14ac:dyDescent="0.25">
      <c r="A143">
        <v>142</v>
      </c>
      <c r="B143" t="s">
        <v>1611</v>
      </c>
      <c r="C143" t="s">
        <v>1612</v>
      </c>
      <c r="D143" t="s">
        <v>1613</v>
      </c>
      <c r="E143" t="s">
        <v>53</v>
      </c>
      <c r="F143" s="7">
        <v>9540</v>
      </c>
      <c r="G143" t="s">
        <v>246</v>
      </c>
      <c r="H143" t="s">
        <v>1614</v>
      </c>
      <c r="I143" t="s">
        <v>205</v>
      </c>
      <c r="J143" t="s">
        <v>3726</v>
      </c>
      <c r="K143" t="s">
        <v>225</v>
      </c>
      <c r="L143" t="s">
        <v>265</v>
      </c>
      <c r="M143" t="s">
        <v>1615</v>
      </c>
      <c r="N143" t="s">
        <v>1616</v>
      </c>
      <c r="O143" t="s">
        <v>1617</v>
      </c>
      <c r="P143" t="s">
        <v>1618</v>
      </c>
      <c r="Q143" t="s">
        <v>1619</v>
      </c>
      <c r="R143" t="str">
        <f t="shared" si="8"/>
        <v>doctor-male.jpg</v>
      </c>
      <c r="S143" s="8">
        <v>3187837485716546</v>
      </c>
      <c r="T143">
        <v>42</v>
      </c>
      <c r="W143" t="str">
        <f t="shared" si="9"/>
        <v>(142,'med153', 'pswmed153', 'Marco Maria Carvalho Fernandes', 'Masculino', '1926-02-12', 'Rua do Guarda-Mor', '2000-194', 'Santarém', 'Médico', 'Portuguesa', 'Bilhete de Identidade', '33569866', '966821609', '666195068', '920618676', 'med153@hospital.upskill.com', 'doctor-male.jpg'),</v>
      </c>
      <c r="X143" t="str">
        <f t="shared" si="10"/>
        <v>(142,'3187837485716550', '42'),</v>
      </c>
      <c r="Y143" t="str">
        <f t="shared" si="11"/>
        <v>(142),</v>
      </c>
    </row>
    <row r="144" spans="1:25" x14ac:dyDescent="0.25">
      <c r="A144">
        <v>143</v>
      </c>
      <c r="B144" t="s">
        <v>1620</v>
      </c>
      <c r="C144" t="s">
        <v>1621</v>
      </c>
      <c r="D144" t="s">
        <v>1622</v>
      </c>
      <c r="E144" t="s">
        <v>53</v>
      </c>
      <c r="F144" s="7">
        <v>9785</v>
      </c>
      <c r="G144" t="s">
        <v>246</v>
      </c>
      <c r="H144" t="s">
        <v>1623</v>
      </c>
      <c r="I144" t="s">
        <v>205</v>
      </c>
      <c r="J144" t="s">
        <v>3726</v>
      </c>
      <c r="K144" t="s">
        <v>225</v>
      </c>
      <c r="L144" t="s">
        <v>265</v>
      </c>
      <c r="M144" t="s">
        <v>1624</v>
      </c>
      <c r="N144" t="s">
        <v>1625</v>
      </c>
      <c r="O144" t="s">
        <v>1626</v>
      </c>
      <c r="P144" t="s">
        <v>1627</v>
      </c>
      <c r="Q144" t="s">
        <v>1628</v>
      </c>
      <c r="R144" t="str">
        <f t="shared" si="8"/>
        <v>doctor-male.jpg</v>
      </c>
      <c r="S144" s="8">
        <v>5586177356510662</v>
      </c>
      <c r="T144">
        <v>43</v>
      </c>
      <c r="W144" t="str">
        <f t="shared" si="9"/>
        <v>(143,'med154', 'pswmed154', 'Marco Gabriel Neto Brito', 'Masculino', '1926-10-15', 'Rua do Guarda-Mor', '2005-374', 'Santarém', 'Médico', 'Portuguesa', 'Bilhete de Identidade', '16216762', '135723215', '672910609', '939888307', 'med154@hospital.upskill.com', 'doctor-male.jpg'),</v>
      </c>
      <c r="X144" t="str">
        <f t="shared" si="10"/>
        <v>(143,'5586177356510660', '43'),</v>
      </c>
      <c r="Y144" t="str">
        <f t="shared" si="11"/>
        <v>(143),</v>
      </c>
    </row>
    <row r="145" spans="1:25" x14ac:dyDescent="0.25">
      <c r="A145">
        <v>144</v>
      </c>
      <c r="B145" t="s">
        <v>1629</v>
      </c>
      <c r="C145" t="s">
        <v>1630</v>
      </c>
      <c r="D145" t="s">
        <v>1631</v>
      </c>
      <c r="E145" t="s">
        <v>53</v>
      </c>
      <c r="F145" s="7">
        <v>26847</v>
      </c>
      <c r="G145" t="s">
        <v>230</v>
      </c>
      <c r="H145" t="s">
        <v>1632</v>
      </c>
      <c r="I145" t="s">
        <v>209</v>
      </c>
      <c r="J145" t="s">
        <v>3726</v>
      </c>
      <c r="K145" t="s">
        <v>225</v>
      </c>
      <c r="L145" t="s">
        <v>265</v>
      </c>
      <c r="M145" t="s">
        <v>1633</v>
      </c>
      <c r="N145" t="s">
        <v>1634</v>
      </c>
      <c r="O145" t="s">
        <v>1635</v>
      </c>
      <c r="P145" t="s">
        <v>1636</v>
      </c>
      <c r="Q145" t="s">
        <v>1637</v>
      </c>
      <c r="R145" t="str">
        <f t="shared" si="8"/>
        <v>doctor-male.jpg</v>
      </c>
      <c r="S145" s="8">
        <v>5308040961336151</v>
      </c>
      <c r="T145">
        <v>44</v>
      </c>
      <c r="W145" t="str">
        <f t="shared" si="9"/>
        <v>(144,'med155', 'pswmed155', 'Rodrigo Pedro Vicente Ramos', 'Masculino', '1973-07-02', 'Estrada da Circunvalação de Lisboa', '2805-399', 'Almada', 'Médico', 'Portuguesa', 'Bilhete de Identidade', '39858987', '763086675', '569998927', '932614861', 'med155@hospital.upskill.com', 'doctor-male.jpg'),</v>
      </c>
      <c r="X145" t="str">
        <f t="shared" si="10"/>
        <v>(144,'5308040961336150', '44'),</v>
      </c>
      <c r="Y145" t="str">
        <f t="shared" si="11"/>
        <v>(144),</v>
      </c>
    </row>
    <row r="146" spans="1:25" x14ac:dyDescent="0.25">
      <c r="A146">
        <v>145</v>
      </c>
      <c r="B146" t="s">
        <v>1638</v>
      </c>
      <c r="C146" t="s">
        <v>1639</v>
      </c>
      <c r="D146" t="s">
        <v>1640</v>
      </c>
      <c r="E146" t="s">
        <v>53</v>
      </c>
      <c r="F146" s="7">
        <v>44029</v>
      </c>
      <c r="G146" t="s">
        <v>253</v>
      </c>
      <c r="H146" t="s">
        <v>1641</v>
      </c>
      <c r="I146" t="s">
        <v>211</v>
      </c>
      <c r="J146" t="s">
        <v>3726</v>
      </c>
      <c r="K146" t="s">
        <v>225</v>
      </c>
      <c r="L146" t="s">
        <v>265</v>
      </c>
      <c r="M146" t="s">
        <v>1642</v>
      </c>
      <c r="N146" t="s">
        <v>1643</v>
      </c>
      <c r="O146" t="s">
        <v>1644</v>
      </c>
      <c r="P146" t="s">
        <v>1645</v>
      </c>
      <c r="Q146" t="s">
        <v>1646</v>
      </c>
      <c r="R146" t="str">
        <f t="shared" si="8"/>
        <v>doctor-male.jpg</v>
      </c>
      <c r="S146" s="8">
        <v>1728449519927493</v>
      </c>
      <c r="T146">
        <v>45</v>
      </c>
      <c r="W146" t="str">
        <f t="shared" si="9"/>
        <v>(145,'med156', 'pswmed156', 'Gabriel João Nascimento Soares', 'Masculino', '2020-07-17', 'Rua de São Mamede', '1100-801', 'Lisboa', 'Médico', 'Portuguesa', 'Bilhete de Identidade', '31485019', '637852025', '527257313', '922083009', 'med156@hospital.upskill.com', 'doctor-male.jpg'),</v>
      </c>
      <c r="X146" t="str">
        <f t="shared" si="10"/>
        <v>(145,'1728449519927490', '45'),</v>
      </c>
      <c r="Y146" t="str">
        <f t="shared" si="11"/>
        <v>(145),</v>
      </c>
    </row>
    <row r="147" spans="1:25" x14ac:dyDescent="0.25">
      <c r="A147">
        <v>146</v>
      </c>
      <c r="B147" t="s">
        <v>1647</v>
      </c>
      <c r="C147" t="s">
        <v>1648</v>
      </c>
      <c r="D147" t="s">
        <v>1649</v>
      </c>
      <c r="E147" t="s">
        <v>66</v>
      </c>
      <c r="F147" s="7">
        <v>11043</v>
      </c>
      <c r="G147" t="s">
        <v>241</v>
      </c>
      <c r="H147" t="s">
        <v>1650</v>
      </c>
      <c r="I147" t="s">
        <v>211</v>
      </c>
      <c r="J147" t="s">
        <v>3726</v>
      </c>
      <c r="K147" t="s">
        <v>225</v>
      </c>
      <c r="L147" t="s">
        <v>265</v>
      </c>
      <c r="M147" t="s">
        <v>1651</v>
      </c>
      <c r="N147" t="s">
        <v>1652</v>
      </c>
      <c r="O147" t="s">
        <v>1653</v>
      </c>
      <c r="P147" t="s">
        <v>1654</v>
      </c>
      <c r="Q147" t="s">
        <v>1655</v>
      </c>
      <c r="R147" t="str">
        <f t="shared" si="8"/>
        <v>doctor-female.jpg</v>
      </c>
      <c r="S147" s="8">
        <v>9301600321042160</v>
      </c>
      <c r="T147">
        <v>46</v>
      </c>
      <c r="W147" t="str">
        <f t="shared" si="9"/>
        <v>(146,'med157', 'pswmed157', 'Daniela Mariana Brito Raposo', 'Feminino', '1930-03-26', 'Rua da Prata', '1748-287', 'Lisboa', 'Médico', 'Portuguesa', 'Bilhete de Identidade', '75274436', '896917927', '763097499', '930200608', 'med157@hospital.upskill.com', 'doctor-female.jpg'),</v>
      </c>
      <c r="X147" t="str">
        <f t="shared" si="10"/>
        <v>(146,'9301600321042160', '46'),</v>
      </c>
      <c r="Y147" t="str">
        <f t="shared" si="11"/>
        <v>(146),</v>
      </c>
    </row>
    <row r="148" spans="1:25" x14ac:dyDescent="0.25">
      <c r="A148">
        <v>147</v>
      </c>
      <c r="B148" t="s">
        <v>1656</v>
      </c>
      <c r="C148" t="s">
        <v>1657</v>
      </c>
      <c r="D148" t="s">
        <v>1658</v>
      </c>
      <c r="E148" t="s">
        <v>53</v>
      </c>
      <c r="F148" s="7">
        <v>28184</v>
      </c>
      <c r="G148" t="s">
        <v>231</v>
      </c>
      <c r="H148" t="s">
        <v>1659</v>
      </c>
      <c r="I148" t="s">
        <v>218</v>
      </c>
      <c r="J148" t="s">
        <v>3726</v>
      </c>
      <c r="K148" t="s">
        <v>225</v>
      </c>
      <c r="L148" t="s">
        <v>265</v>
      </c>
      <c r="M148" t="s">
        <v>1660</v>
      </c>
      <c r="N148" t="s">
        <v>1661</v>
      </c>
      <c r="O148" t="s">
        <v>1662</v>
      </c>
      <c r="P148" t="s">
        <v>1663</v>
      </c>
      <c r="Q148" t="s">
        <v>1664</v>
      </c>
      <c r="R148" t="str">
        <f t="shared" si="8"/>
        <v>doctor-male.jpg</v>
      </c>
      <c r="S148" s="8">
        <v>1115645096784077</v>
      </c>
      <c r="T148">
        <v>47</v>
      </c>
      <c r="W148" t="str">
        <f t="shared" si="9"/>
        <v>(147,'med158', 'pswmed158', 'Bruno Catarina Guerreiro Gomes', 'Masculino', '1977-02-28', 'Rua dos Fanqueiros', '2779-522', 'Carcavelos', 'Médico', 'Portuguesa', 'Bilhete de Identidade', '97742740', '249042616', '125574648', '966581609', 'med158@hospital.upskill.com', 'doctor-male.jpg'),</v>
      </c>
      <c r="X148" t="str">
        <f t="shared" si="10"/>
        <v>(147,'1115645096784080', '47'),</v>
      </c>
      <c r="Y148" t="str">
        <f t="shared" si="11"/>
        <v>(147),</v>
      </c>
    </row>
    <row r="149" spans="1:25" x14ac:dyDescent="0.25">
      <c r="A149">
        <v>148</v>
      </c>
      <c r="B149" t="s">
        <v>1665</v>
      </c>
      <c r="C149" t="s">
        <v>1666</v>
      </c>
      <c r="D149" t="s">
        <v>1667</v>
      </c>
      <c r="E149" t="s">
        <v>66</v>
      </c>
      <c r="F149" s="7">
        <v>20148</v>
      </c>
      <c r="G149" t="s">
        <v>254</v>
      </c>
      <c r="H149" t="s">
        <v>1668</v>
      </c>
      <c r="I149" t="s">
        <v>210</v>
      </c>
      <c r="J149" t="s">
        <v>3726</v>
      </c>
      <c r="K149" t="s">
        <v>225</v>
      </c>
      <c r="L149" t="s">
        <v>265</v>
      </c>
      <c r="M149" t="s">
        <v>1669</v>
      </c>
      <c r="N149" t="s">
        <v>1670</v>
      </c>
      <c r="O149" t="s">
        <v>1671</v>
      </c>
      <c r="P149" t="s">
        <v>1672</v>
      </c>
      <c r="Q149" t="s">
        <v>1673</v>
      </c>
      <c r="R149" t="str">
        <f t="shared" si="8"/>
        <v>doctor-female.jpg</v>
      </c>
      <c r="S149" s="8">
        <v>5676832325510730</v>
      </c>
      <c r="T149">
        <v>48</v>
      </c>
      <c r="W149" t="str">
        <f t="shared" si="9"/>
        <v>(148,'med159', 'pswmed159', 'Sofia Inês Sá Jesus', 'Feminino', '1955-02-28', 'Rua do Sacramento à Lapa', '2610-872', 'Amadora', 'Médico', 'Portuguesa', 'Bilhete de Identidade', '27705984', '903387796', '563851406', '921728959', 'med159@hospital.upskill.com', 'doctor-female.jpg'),</v>
      </c>
      <c r="X149" t="str">
        <f t="shared" si="10"/>
        <v>(148,'5676832325510730', '48'),</v>
      </c>
      <c r="Y149" t="str">
        <f t="shared" si="11"/>
        <v>(148),</v>
      </c>
    </row>
    <row r="150" spans="1:25" x14ac:dyDescent="0.25">
      <c r="A150">
        <v>149</v>
      </c>
      <c r="B150" t="s">
        <v>1674</v>
      </c>
      <c r="C150" t="s">
        <v>1675</v>
      </c>
      <c r="D150" t="s">
        <v>1676</v>
      </c>
      <c r="E150" t="s">
        <v>53</v>
      </c>
      <c r="F150" s="7">
        <v>40822</v>
      </c>
      <c r="G150" t="s">
        <v>243</v>
      </c>
      <c r="H150" t="s">
        <v>1677</v>
      </c>
      <c r="I150" t="s">
        <v>210</v>
      </c>
      <c r="J150" t="s">
        <v>3726</v>
      </c>
      <c r="K150" t="s">
        <v>225</v>
      </c>
      <c r="L150" t="s">
        <v>265</v>
      </c>
      <c r="M150" t="s">
        <v>1678</v>
      </c>
      <c r="N150" t="s">
        <v>1679</v>
      </c>
      <c r="O150" t="s">
        <v>1680</v>
      </c>
      <c r="P150" t="s">
        <v>1681</v>
      </c>
      <c r="Q150" t="s">
        <v>1682</v>
      </c>
      <c r="R150" t="str">
        <f t="shared" si="8"/>
        <v>doctor-male.jpg</v>
      </c>
      <c r="S150" s="8">
        <v>4498383892550020</v>
      </c>
      <c r="T150">
        <v>49</v>
      </c>
      <c r="W150" t="str">
        <f t="shared" si="9"/>
        <v>(149,'med160', 'pswmed160', 'Martim Martim Mendes Baptista', 'Masculino', '2011-10-06', 'Rua Roberto Duarte Silva', '2610-58', 'Amadora', 'Médico', 'Portuguesa', 'Bilhete de Identidade', '68314294', '466535486', '928420290', '965101270', 'med160@hospital.upskill.com', 'doctor-male.jpg'),</v>
      </c>
      <c r="X150" t="str">
        <f t="shared" si="10"/>
        <v>(149,'4498383892550020', '49'),</v>
      </c>
      <c r="Y150" t="str">
        <f t="shared" si="11"/>
        <v>(149),</v>
      </c>
    </row>
    <row r="151" spans="1:25" x14ac:dyDescent="0.25">
      <c r="A151">
        <v>150</v>
      </c>
      <c r="B151" t="s">
        <v>1683</v>
      </c>
      <c r="C151" t="s">
        <v>1684</v>
      </c>
      <c r="D151" t="s">
        <v>1685</v>
      </c>
      <c r="E151" t="s">
        <v>53</v>
      </c>
      <c r="F151" s="7">
        <v>24061</v>
      </c>
      <c r="G151" t="s">
        <v>242</v>
      </c>
      <c r="H151" t="s">
        <v>1686</v>
      </c>
      <c r="I151" t="s">
        <v>211</v>
      </c>
      <c r="J151" t="s">
        <v>3726</v>
      </c>
      <c r="K151" t="s">
        <v>225</v>
      </c>
      <c r="L151" t="s">
        <v>265</v>
      </c>
      <c r="M151" t="s">
        <v>1687</v>
      </c>
      <c r="N151" t="s">
        <v>1688</v>
      </c>
      <c r="O151" t="s">
        <v>1689</v>
      </c>
      <c r="P151" t="s">
        <v>1690</v>
      </c>
      <c r="Q151" t="s">
        <v>1691</v>
      </c>
      <c r="R151" t="str">
        <f t="shared" si="8"/>
        <v>doctor-male.jpg</v>
      </c>
      <c r="S151" s="8">
        <v>3220026115235382</v>
      </c>
      <c r="T151">
        <v>50</v>
      </c>
      <c r="W151" t="str">
        <f t="shared" si="9"/>
        <v>(150,'med161', 'pswmed161', 'Francisco Ricardo Jesus Gomes', 'Masculino', '1965-11-15', 'Avenida Ressano Garcia', '1750-348', 'Lisboa', 'Médico', 'Portuguesa', 'Bilhete de Identidade', '87625569', '959522693', '322004746', '919165616', 'med161@hospital.upskill.com', 'doctor-male.jpg'),</v>
      </c>
      <c r="X151" t="str">
        <f t="shared" si="10"/>
        <v>(150,'3220026115235380', '50'),</v>
      </c>
      <c r="Y151" t="str">
        <f t="shared" si="11"/>
        <v>(150),</v>
      </c>
    </row>
    <row r="152" spans="1:25" x14ac:dyDescent="0.25">
      <c r="A152">
        <v>151</v>
      </c>
      <c r="B152" t="s">
        <v>1692</v>
      </c>
      <c r="C152" t="s">
        <v>1693</v>
      </c>
      <c r="D152" t="s">
        <v>1694</v>
      </c>
      <c r="E152" t="s">
        <v>66</v>
      </c>
      <c r="F152" s="7">
        <v>29777</v>
      </c>
      <c r="G152" t="s">
        <v>236</v>
      </c>
      <c r="H152" t="s">
        <v>1695</v>
      </c>
      <c r="I152" t="s">
        <v>205</v>
      </c>
      <c r="J152" t="s">
        <v>3726</v>
      </c>
      <c r="K152" t="s">
        <v>225</v>
      </c>
      <c r="L152" t="s">
        <v>265</v>
      </c>
      <c r="M152" t="s">
        <v>1696</v>
      </c>
      <c r="N152" t="s">
        <v>1697</v>
      </c>
      <c r="O152" t="s">
        <v>1698</v>
      </c>
      <c r="P152" t="s">
        <v>1699</v>
      </c>
      <c r="Q152" t="s">
        <v>1700</v>
      </c>
      <c r="R152" t="str">
        <f t="shared" si="8"/>
        <v>doctor-female.jpg</v>
      </c>
      <c r="S152" s="8">
        <v>1531175671980242</v>
      </c>
      <c r="T152">
        <v>1</v>
      </c>
      <c r="W152" t="str">
        <f t="shared" si="9"/>
        <v>(151,'med162', 'pswmed162', 'Carolina Duarte Pinho Amaral', 'Feminino', '1981-07-10', 'Rua da Madalena', '2000-704', 'Santarém', 'Médico', 'Portuguesa', 'Bilhete de Identidade', '37297248', '850140471', '204287446', '921036009', 'med162@hospital.upskill.com', 'doctor-female.jpg'),</v>
      </c>
      <c r="X152" t="str">
        <f t="shared" si="10"/>
        <v>(151,'1531175671980240', '1'),</v>
      </c>
      <c r="Y152" t="str">
        <f t="shared" si="11"/>
        <v>(151),</v>
      </c>
    </row>
    <row r="153" spans="1:25" x14ac:dyDescent="0.25">
      <c r="A153">
        <v>152</v>
      </c>
      <c r="B153" t="s">
        <v>1701</v>
      </c>
      <c r="C153" t="s">
        <v>1702</v>
      </c>
      <c r="D153" t="s">
        <v>1703</v>
      </c>
      <c r="E153" t="s">
        <v>66</v>
      </c>
      <c r="F153" s="7">
        <v>22302</v>
      </c>
      <c r="G153" t="s">
        <v>259</v>
      </c>
      <c r="H153" t="s">
        <v>1704</v>
      </c>
      <c r="I153" t="s">
        <v>211</v>
      </c>
      <c r="J153" t="s">
        <v>3726</v>
      </c>
      <c r="K153" t="s">
        <v>225</v>
      </c>
      <c r="L153" t="s">
        <v>265</v>
      </c>
      <c r="M153" t="s">
        <v>1705</v>
      </c>
      <c r="N153" t="s">
        <v>1706</v>
      </c>
      <c r="O153" t="s">
        <v>1707</v>
      </c>
      <c r="P153" t="s">
        <v>1708</v>
      </c>
      <c r="Q153" t="s">
        <v>1709</v>
      </c>
      <c r="R153" t="str">
        <f t="shared" si="8"/>
        <v>doctor-female.jpg</v>
      </c>
      <c r="S153" s="8">
        <v>7237707185847651</v>
      </c>
      <c r="T153">
        <v>2</v>
      </c>
      <c r="W153" t="str">
        <f t="shared" si="9"/>
        <v>(152,'med163', 'pswmed163', 'Lurdes Beatriz Coelho Domingues', 'Feminino', '1961-01-21', 'Rua da Alfândega', '1269-977', 'Lisboa', 'Médico', 'Portuguesa', 'Bilhete de Identidade', '49078320', '211141707', '670034332', '927617739', 'med163@hospital.upskill.com', 'doctor-female.jpg'),</v>
      </c>
      <c r="X153" t="str">
        <f t="shared" si="10"/>
        <v>(152,'7237707185847650', '2'),</v>
      </c>
      <c r="Y153" t="str">
        <f t="shared" si="11"/>
        <v>(152),</v>
      </c>
    </row>
    <row r="154" spans="1:25" x14ac:dyDescent="0.25">
      <c r="A154">
        <v>153</v>
      </c>
      <c r="B154" t="s">
        <v>1710</v>
      </c>
      <c r="C154" t="s">
        <v>1711</v>
      </c>
      <c r="D154" t="s">
        <v>1712</v>
      </c>
      <c r="E154" t="s">
        <v>66</v>
      </c>
      <c r="F154" s="7">
        <v>44419</v>
      </c>
      <c r="G154" t="s">
        <v>247</v>
      </c>
      <c r="H154" t="s">
        <v>1713</v>
      </c>
      <c r="I154" t="s">
        <v>211</v>
      </c>
      <c r="J154" t="s">
        <v>3726</v>
      </c>
      <c r="K154" t="s">
        <v>225</v>
      </c>
      <c r="L154" t="s">
        <v>265</v>
      </c>
      <c r="M154" t="s">
        <v>1714</v>
      </c>
      <c r="N154" t="s">
        <v>1715</v>
      </c>
      <c r="O154" t="s">
        <v>1716</v>
      </c>
      <c r="P154" t="s">
        <v>1717</v>
      </c>
      <c r="Q154" t="s">
        <v>1718</v>
      </c>
      <c r="R154" t="str">
        <f t="shared" si="8"/>
        <v>doctor-female.jpg</v>
      </c>
      <c r="S154" s="8">
        <v>9482913060021680</v>
      </c>
      <c r="T154">
        <v>3</v>
      </c>
      <c r="W154" t="str">
        <f t="shared" si="9"/>
        <v>(153,'med164', 'pswmed164', 'Francisca Joana Leal Barbosa', 'Feminino', '2021-08-11', 'Rua Ferreira Lapa', '1169-962', 'Lisboa', 'Médico', 'Portuguesa', 'Bilhete de Identidade', '49110185', '578692489', '993984582', '912310903', 'med164@hospital.upskill.com', 'doctor-female.jpg'),</v>
      </c>
      <c r="X154" t="str">
        <f t="shared" si="10"/>
        <v>(153,'9482913060021680', '3'),</v>
      </c>
      <c r="Y154" t="str">
        <f t="shared" si="11"/>
        <v>(153),</v>
      </c>
    </row>
    <row r="155" spans="1:25" x14ac:dyDescent="0.25">
      <c r="A155">
        <v>154</v>
      </c>
      <c r="B155" t="s">
        <v>1719</v>
      </c>
      <c r="C155" t="s">
        <v>1720</v>
      </c>
      <c r="D155" t="s">
        <v>1721</v>
      </c>
      <c r="E155" t="s">
        <v>66</v>
      </c>
      <c r="F155" s="7">
        <v>11307</v>
      </c>
      <c r="G155" t="s">
        <v>251</v>
      </c>
      <c r="H155" t="s">
        <v>1722</v>
      </c>
      <c r="I155" t="s">
        <v>211</v>
      </c>
      <c r="J155" t="s">
        <v>3726</v>
      </c>
      <c r="K155" t="s">
        <v>225</v>
      </c>
      <c r="L155" t="s">
        <v>265</v>
      </c>
      <c r="M155" t="s">
        <v>1723</v>
      </c>
      <c r="N155" t="s">
        <v>1724</v>
      </c>
      <c r="O155" t="s">
        <v>1725</v>
      </c>
      <c r="P155" t="s">
        <v>1726</v>
      </c>
      <c r="Q155" t="s">
        <v>1727</v>
      </c>
      <c r="R155" t="str">
        <f t="shared" si="8"/>
        <v>doctor-female.jpg</v>
      </c>
      <c r="S155" s="8">
        <v>1876172779664214</v>
      </c>
      <c r="T155">
        <v>4</v>
      </c>
      <c r="W155" t="str">
        <f t="shared" si="9"/>
        <v>(154,'med165', 'pswmed165', 'Mariana Afonso Vaz Coelho', 'Feminino', '1930-12-15', 'Rua do Salitre', '1169-806', 'Lisboa', 'Médico', 'Portuguesa', 'Bilhete de Identidade', '85044072', '332876310', '533899298', '931792508', 'med165@hospital.upskill.com', 'doctor-female.jpg'),</v>
      </c>
      <c r="X155" t="str">
        <f t="shared" si="10"/>
        <v>(154,'1876172779664210', '4'),</v>
      </c>
      <c r="Y155" t="str">
        <f t="shared" si="11"/>
        <v>(154),</v>
      </c>
    </row>
    <row r="156" spans="1:25" x14ac:dyDescent="0.25">
      <c r="A156">
        <v>155</v>
      </c>
      <c r="B156" t="s">
        <v>1728</v>
      </c>
      <c r="C156" t="s">
        <v>1729</v>
      </c>
      <c r="D156" t="s">
        <v>1730</v>
      </c>
      <c r="E156" t="s">
        <v>66</v>
      </c>
      <c r="F156" s="7">
        <v>31637</v>
      </c>
      <c r="G156" t="s">
        <v>240</v>
      </c>
      <c r="H156" t="s">
        <v>1731</v>
      </c>
      <c r="I156" t="s">
        <v>206</v>
      </c>
      <c r="J156" t="s">
        <v>3726</v>
      </c>
      <c r="K156" t="s">
        <v>225</v>
      </c>
      <c r="L156" t="s">
        <v>265</v>
      </c>
      <c r="M156" t="s">
        <v>1732</v>
      </c>
      <c r="N156" t="s">
        <v>1733</v>
      </c>
      <c r="O156" t="s">
        <v>1734</v>
      </c>
      <c r="P156" t="s">
        <v>1735</v>
      </c>
      <c r="Q156" t="s">
        <v>1736</v>
      </c>
      <c r="R156" t="str">
        <f t="shared" si="8"/>
        <v>doctor-female.jpg</v>
      </c>
      <c r="S156" s="8">
        <v>5295900243505132</v>
      </c>
      <c r="T156">
        <v>5</v>
      </c>
      <c r="W156" t="str">
        <f t="shared" si="9"/>
        <v>(155,'med166', 'pswmed166', 'Vera Matilde Henriques Torres', 'Feminino', '1986-08-13', 'Calçada do Poço dos Mouros', '2714-39', 'Sintra', 'Médico', 'Portuguesa', 'Bilhete de Identidade', '54351832', '512310400', '438529874', '936697922', 'med166@hospital.upskill.com', 'doctor-female.jpg'),</v>
      </c>
      <c r="X156" t="str">
        <f t="shared" si="10"/>
        <v>(155,'5295900243505130', '5'),</v>
      </c>
      <c r="Y156" t="str">
        <f t="shared" si="11"/>
        <v>(155),</v>
      </c>
    </row>
    <row r="157" spans="1:25" x14ac:dyDescent="0.25">
      <c r="A157">
        <v>156</v>
      </c>
      <c r="B157" t="s">
        <v>1737</v>
      </c>
      <c r="C157" t="s">
        <v>1738</v>
      </c>
      <c r="D157" t="s">
        <v>1739</v>
      </c>
      <c r="E157" t="s">
        <v>53</v>
      </c>
      <c r="F157" s="7">
        <v>42520</v>
      </c>
      <c r="G157" t="s">
        <v>259</v>
      </c>
      <c r="H157" t="s">
        <v>1740</v>
      </c>
      <c r="I157" t="s">
        <v>221</v>
      </c>
      <c r="J157" t="s">
        <v>3726</v>
      </c>
      <c r="K157" t="s">
        <v>225</v>
      </c>
      <c r="L157" t="s">
        <v>265</v>
      </c>
      <c r="M157" t="s">
        <v>1741</v>
      </c>
      <c r="N157" t="s">
        <v>1742</v>
      </c>
      <c r="O157" t="s">
        <v>1743</v>
      </c>
      <c r="P157" t="s">
        <v>1744</v>
      </c>
      <c r="Q157" t="s">
        <v>1745</v>
      </c>
      <c r="R157" t="str">
        <f t="shared" si="8"/>
        <v>doctor-male.jpg</v>
      </c>
      <c r="S157" s="8">
        <v>1868642857939789</v>
      </c>
      <c r="T157">
        <v>6</v>
      </c>
      <c r="W157" t="str">
        <f t="shared" si="9"/>
        <v>(156,'med167', 'pswmed167', 'Luís Miguel Mota Barbosa', 'Masculino', '2016-05-30', 'Rua da Alfândega', '2825-653', 'Costa de Caparica', 'Médico', 'Portuguesa', 'Bilhete de Identidade', '80978954', '358095370', '771156914', '919374387', 'med167@hospital.upskill.com', 'doctor-male.jpg'),</v>
      </c>
      <c r="X157" t="str">
        <f t="shared" si="10"/>
        <v>(156,'1868642857939790', '6'),</v>
      </c>
      <c r="Y157" t="str">
        <f t="shared" si="11"/>
        <v>(156),</v>
      </c>
    </row>
    <row r="158" spans="1:25" x14ac:dyDescent="0.25">
      <c r="A158">
        <v>157</v>
      </c>
      <c r="B158" t="s">
        <v>1746</v>
      </c>
      <c r="C158" t="s">
        <v>1747</v>
      </c>
      <c r="D158" t="s">
        <v>1748</v>
      </c>
      <c r="E158" t="s">
        <v>53</v>
      </c>
      <c r="F158" s="7">
        <v>37371</v>
      </c>
      <c r="G158" t="s">
        <v>238</v>
      </c>
      <c r="H158" t="s">
        <v>1749</v>
      </c>
      <c r="I158" t="s">
        <v>208</v>
      </c>
      <c r="J158" t="s">
        <v>3726</v>
      </c>
      <c r="K158" t="s">
        <v>225</v>
      </c>
      <c r="L158" t="s">
        <v>265</v>
      </c>
      <c r="M158" t="s">
        <v>1750</v>
      </c>
      <c r="N158" t="s">
        <v>1751</v>
      </c>
      <c r="O158" t="s">
        <v>1752</v>
      </c>
      <c r="P158" t="s">
        <v>1753</v>
      </c>
      <c r="Q158" t="s">
        <v>1754</v>
      </c>
      <c r="R158" t="str">
        <f t="shared" si="8"/>
        <v>doctor-male.jpg</v>
      </c>
      <c r="S158" s="8">
        <v>4567995636649508</v>
      </c>
      <c r="T158">
        <v>7</v>
      </c>
      <c r="W158" t="str">
        <f t="shared" si="9"/>
        <v>(157,'med168', 'pswmed168', 'Tiago Catarina Batista Raposo', 'Masculino', '2002-04-25', 'Calçada do Moinho de Vento', '2904-79', 'Setúbal', 'Médico', 'Portuguesa', 'Bilhete de Identidade', '97918113', '461473866', '135205573', '962802926', 'med168@hospital.upskill.com', 'doctor-male.jpg'),</v>
      </c>
      <c r="X158" t="str">
        <f t="shared" si="10"/>
        <v>(157,'4567995636649510', '7'),</v>
      </c>
      <c r="Y158" t="str">
        <f t="shared" si="11"/>
        <v>(157),</v>
      </c>
    </row>
    <row r="159" spans="1:25" x14ac:dyDescent="0.25">
      <c r="A159">
        <v>158</v>
      </c>
      <c r="B159" t="s">
        <v>1755</v>
      </c>
      <c r="C159" t="s">
        <v>1756</v>
      </c>
      <c r="D159" t="s">
        <v>1757</v>
      </c>
      <c r="E159" t="s">
        <v>53</v>
      </c>
      <c r="F159" s="7">
        <v>19794</v>
      </c>
      <c r="G159" t="s">
        <v>228</v>
      </c>
      <c r="H159" t="s">
        <v>1758</v>
      </c>
      <c r="I159" t="s">
        <v>205</v>
      </c>
      <c r="J159" t="s">
        <v>3726</v>
      </c>
      <c r="K159" t="s">
        <v>225</v>
      </c>
      <c r="L159" t="s">
        <v>265</v>
      </c>
      <c r="M159" t="s">
        <v>1759</v>
      </c>
      <c r="N159" t="s">
        <v>1760</v>
      </c>
      <c r="O159" t="s">
        <v>1761</v>
      </c>
      <c r="P159" t="s">
        <v>1762</v>
      </c>
      <c r="Q159" t="s">
        <v>1763</v>
      </c>
      <c r="R159" t="str">
        <f t="shared" si="8"/>
        <v>doctor-male.jpg</v>
      </c>
      <c r="S159" s="8">
        <v>1839240359518795</v>
      </c>
      <c r="T159">
        <v>8</v>
      </c>
      <c r="W159" t="str">
        <f t="shared" si="9"/>
        <v>(158,'med169', 'pswmed169', 'Afonso Ana Paiva Nunes', 'Masculino', '1954-03-11', 'Calçada de Carriche', '2004-184', 'Santarém', 'Médico', 'Portuguesa', 'Bilhete de Identidade', '87190151', '349320258', '825206033', '931999868', 'med169@hospital.upskill.com', 'doctor-male.jpg'),</v>
      </c>
      <c r="X159" t="str">
        <f t="shared" si="10"/>
        <v>(158,'1839240359518790', '8'),</v>
      </c>
      <c r="Y159" t="str">
        <f t="shared" si="11"/>
        <v>(158),</v>
      </c>
    </row>
    <row r="160" spans="1:25" x14ac:dyDescent="0.25">
      <c r="A160">
        <v>159</v>
      </c>
      <c r="B160" t="s">
        <v>1764</v>
      </c>
      <c r="C160" t="s">
        <v>1765</v>
      </c>
      <c r="D160" t="s">
        <v>1766</v>
      </c>
      <c r="E160" t="s">
        <v>66</v>
      </c>
      <c r="F160" s="7">
        <v>18245</v>
      </c>
      <c r="G160" t="s">
        <v>246</v>
      </c>
      <c r="H160" t="s">
        <v>1767</v>
      </c>
      <c r="I160" t="s">
        <v>209</v>
      </c>
      <c r="J160" t="s">
        <v>3726</v>
      </c>
      <c r="K160" t="s">
        <v>225</v>
      </c>
      <c r="L160" t="s">
        <v>265</v>
      </c>
      <c r="M160" t="s">
        <v>1768</v>
      </c>
      <c r="N160" t="s">
        <v>1769</v>
      </c>
      <c r="O160" t="s">
        <v>1770</v>
      </c>
      <c r="P160" t="s">
        <v>1771</v>
      </c>
      <c r="Q160" t="s">
        <v>1772</v>
      </c>
      <c r="R160" t="str">
        <f t="shared" si="8"/>
        <v>doctor-female.jpg</v>
      </c>
      <c r="S160" s="8">
        <v>7409569486106522</v>
      </c>
      <c r="T160">
        <v>9</v>
      </c>
      <c r="W160" t="str">
        <f t="shared" si="9"/>
        <v>(159,'med170', 'pswmed170', 'Daniela André Andrade Barbosa', 'Feminino', '1949-12-13', 'Rua do Guarda-Mor', '2814-57', 'Almada', 'Médico', 'Portuguesa', 'Bilhete de Identidade', '23357029', '212629083', '686276368', '966920989', 'med170@hospital.upskill.com', 'doctor-female.jpg'),</v>
      </c>
      <c r="X160" t="str">
        <f t="shared" si="10"/>
        <v>(159,'7409569486106520', '9'),</v>
      </c>
      <c r="Y160" t="str">
        <f t="shared" si="11"/>
        <v>(159),</v>
      </c>
    </row>
    <row r="161" spans="1:25" x14ac:dyDescent="0.25">
      <c r="A161">
        <v>160</v>
      </c>
      <c r="B161" t="s">
        <v>1773</v>
      </c>
      <c r="C161" t="s">
        <v>1774</v>
      </c>
      <c r="D161" t="s">
        <v>1775</v>
      </c>
      <c r="E161" t="s">
        <v>66</v>
      </c>
      <c r="F161" s="7">
        <v>36726</v>
      </c>
      <c r="G161" t="s">
        <v>241</v>
      </c>
      <c r="H161" t="s">
        <v>1776</v>
      </c>
      <c r="I161" t="s">
        <v>211</v>
      </c>
      <c r="J161" t="s">
        <v>3726</v>
      </c>
      <c r="K161" t="s">
        <v>225</v>
      </c>
      <c r="L161" t="s">
        <v>265</v>
      </c>
      <c r="M161" t="s">
        <v>1777</v>
      </c>
      <c r="N161" t="s">
        <v>1778</v>
      </c>
      <c r="O161" t="s">
        <v>1779</v>
      </c>
      <c r="P161" t="s">
        <v>1780</v>
      </c>
      <c r="Q161" t="s">
        <v>1781</v>
      </c>
      <c r="R161" t="str">
        <f t="shared" si="8"/>
        <v>doctor-female.jpg</v>
      </c>
      <c r="S161" s="8">
        <v>6868610640196590</v>
      </c>
      <c r="T161">
        <v>10</v>
      </c>
      <c r="W161" t="str">
        <f t="shared" si="9"/>
        <v>(160,'med171', 'pswmed171', 'Beatriz Miguel Gaspar Almeida', 'Feminino', '2000-07-19', 'Rua da Prata', '1800-397', 'Lisboa', 'Médico', 'Portuguesa', 'Bilhete de Identidade', '29843426', '923188446', '641425464', '960955984', 'med171@hospital.upskill.com', 'doctor-female.jpg'),</v>
      </c>
      <c r="X161" t="str">
        <f t="shared" si="10"/>
        <v>(160,'6868610640196590', '10'),</v>
      </c>
      <c r="Y161" t="str">
        <f t="shared" si="11"/>
        <v>(160),</v>
      </c>
    </row>
    <row r="162" spans="1:25" x14ac:dyDescent="0.25">
      <c r="A162">
        <v>161</v>
      </c>
      <c r="B162" t="s">
        <v>1782</v>
      </c>
      <c r="C162" t="s">
        <v>1783</v>
      </c>
      <c r="D162" t="s">
        <v>1784</v>
      </c>
      <c r="E162" t="s">
        <v>66</v>
      </c>
      <c r="F162" s="7">
        <v>21504</v>
      </c>
      <c r="G162" t="s">
        <v>257</v>
      </c>
      <c r="H162" t="s">
        <v>1785</v>
      </c>
      <c r="I162" t="s">
        <v>208</v>
      </c>
      <c r="J162" t="s">
        <v>3726</v>
      </c>
      <c r="K162" t="s">
        <v>225</v>
      </c>
      <c r="L162" t="s">
        <v>265</v>
      </c>
      <c r="M162" t="s">
        <v>1786</v>
      </c>
      <c r="N162" t="s">
        <v>1787</v>
      </c>
      <c r="O162" t="s">
        <v>1788</v>
      </c>
      <c r="P162" t="s">
        <v>1789</v>
      </c>
      <c r="Q162" t="s">
        <v>1790</v>
      </c>
      <c r="R162" t="str">
        <f t="shared" si="8"/>
        <v>doctor-female.jpg</v>
      </c>
      <c r="S162" s="8">
        <v>4516429203473010</v>
      </c>
      <c r="T162">
        <v>11</v>
      </c>
      <c r="W162" t="str">
        <f t="shared" si="9"/>
        <v>(161,'med172', 'pswmed172', 'Maria Francisco Torres Ferreira', 'Feminino', '1958-11-15', 'Rua do Sol a Santana', '2900-39', 'Setúbal', 'Médico', 'Portuguesa', 'Bilhete de Identidade', '98632300', '663707373', '408981479', '920051430', 'med172@hospital.upskill.com', 'doctor-female.jpg'),</v>
      </c>
      <c r="X162" t="str">
        <f t="shared" si="10"/>
        <v>(161,'4516429203473010', '11'),</v>
      </c>
      <c r="Y162" t="str">
        <f t="shared" si="11"/>
        <v>(161),</v>
      </c>
    </row>
    <row r="163" spans="1:25" x14ac:dyDescent="0.25">
      <c r="A163">
        <v>162</v>
      </c>
      <c r="B163" t="s">
        <v>1791</v>
      </c>
      <c r="C163" t="s">
        <v>1792</v>
      </c>
      <c r="D163" t="s">
        <v>1793</v>
      </c>
      <c r="E163" t="s">
        <v>66</v>
      </c>
      <c r="F163" s="7">
        <v>20070</v>
      </c>
      <c r="G163" t="s">
        <v>239</v>
      </c>
      <c r="H163" t="s">
        <v>1794</v>
      </c>
      <c r="I163" t="s">
        <v>203</v>
      </c>
      <c r="J163" t="s">
        <v>3726</v>
      </c>
      <c r="K163" t="s">
        <v>225</v>
      </c>
      <c r="L163" t="s">
        <v>265</v>
      </c>
      <c r="M163" t="s">
        <v>1795</v>
      </c>
      <c r="N163" t="s">
        <v>1796</v>
      </c>
      <c r="O163" t="s">
        <v>1797</v>
      </c>
      <c r="P163" t="s">
        <v>1798</v>
      </c>
      <c r="Q163" t="s">
        <v>1799</v>
      </c>
      <c r="R163" t="str">
        <f t="shared" si="8"/>
        <v>doctor-female.jpg</v>
      </c>
      <c r="S163" s="8">
        <v>7814471210857364</v>
      </c>
      <c r="T163">
        <v>12</v>
      </c>
      <c r="W163" t="str">
        <f t="shared" si="9"/>
        <v>(162,'med173', 'pswmed173', 'Lurdes Mariana Almeida Moura', 'Feminino', '1954-12-12', 'Rua da Oliveira ao Carmo', '2350-47', 'Torres Novas', 'Médico', 'Portuguesa', 'Bilhete de Identidade', '73820576', '524885903', '539896198', '963304339', 'med173@hospital.upskill.com', 'doctor-female.jpg'),</v>
      </c>
      <c r="X163" t="str">
        <f t="shared" si="10"/>
        <v>(162,'7814471210857360', '12'),</v>
      </c>
      <c r="Y163" t="str">
        <f t="shared" si="11"/>
        <v>(162),</v>
      </c>
    </row>
    <row r="164" spans="1:25" x14ac:dyDescent="0.25">
      <c r="A164">
        <v>163</v>
      </c>
      <c r="B164" t="s">
        <v>1800</v>
      </c>
      <c r="C164" t="s">
        <v>1801</v>
      </c>
      <c r="D164" t="s">
        <v>1802</v>
      </c>
      <c r="E164" t="s">
        <v>53</v>
      </c>
      <c r="F164" s="7">
        <v>24653</v>
      </c>
      <c r="G164" t="s">
        <v>243</v>
      </c>
      <c r="H164" t="s">
        <v>1803</v>
      </c>
      <c r="I164" t="s">
        <v>207</v>
      </c>
      <c r="J164" t="s">
        <v>3726</v>
      </c>
      <c r="K164" t="s">
        <v>225</v>
      </c>
      <c r="L164" t="s">
        <v>265</v>
      </c>
      <c r="M164" t="s">
        <v>1804</v>
      </c>
      <c r="N164" t="s">
        <v>1805</v>
      </c>
      <c r="O164" t="s">
        <v>1806</v>
      </c>
      <c r="P164" t="s">
        <v>1807</v>
      </c>
      <c r="Q164" t="s">
        <v>1808</v>
      </c>
      <c r="R164" t="str">
        <f t="shared" si="8"/>
        <v>doctor-male.jpg</v>
      </c>
      <c r="S164" s="8">
        <v>4031754384810001</v>
      </c>
      <c r="T164">
        <v>13</v>
      </c>
      <c r="W164" t="str">
        <f t="shared" si="9"/>
        <v>(163,'med174', 'pswmed174', 'Diogo Bruno Vieira Jesus', 'Masculino', '1967-06-30', 'Rua Roberto Duarte Silva', '2749-323', 'Queluz', 'Médico', 'Portuguesa', 'Bilhete de Identidade', '52245547', '107167212', '939277197', '936205064', 'med174@hospital.upskill.com', 'doctor-male.jpg'),</v>
      </c>
      <c r="X164" t="str">
        <f t="shared" si="10"/>
        <v>(163,'4031754384810000', '13'),</v>
      </c>
      <c r="Y164" t="str">
        <f t="shared" si="11"/>
        <v>(163),</v>
      </c>
    </row>
    <row r="165" spans="1:25" x14ac:dyDescent="0.25">
      <c r="A165">
        <v>164</v>
      </c>
      <c r="B165" t="s">
        <v>1809</v>
      </c>
      <c r="C165" t="s">
        <v>1810</v>
      </c>
      <c r="D165" t="s">
        <v>1811</v>
      </c>
      <c r="E165" t="s">
        <v>53</v>
      </c>
      <c r="F165" s="7">
        <v>43783</v>
      </c>
      <c r="G165" t="s">
        <v>242</v>
      </c>
      <c r="H165" t="s">
        <v>1812</v>
      </c>
      <c r="I165" t="s">
        <v>220</v>
      </c>
      <c r="J165" t="s">
        <v>3726</v>
      </c>
      <c r="K165" t="s">
        <v>225</v>
      </c>
      <c r="L165" t="s">
        <v>265</v>
      </c>
      <c r="M165" t="s">
        <v>1813</v>
      </c>
      <c r="N165" t="s">
        <v>1814</v>
      </c>
      <c r="O165" t="s">
        <v>1815</v>
      </c>
      <c r="P165" t="s">
        <v>1816</v>
      </c>
      <c r="Q165" t="s">
        <v>1817</v>
      </c>
      <c r="R165" t="str">
        <f t="shared" si="8"/>
        <v>doctor-male.jpg</v>
      </c>
      <c r="S165" s="8">
        <v>2976861309787376</v>
      </c>
      <c r="T165">
        <v>14</v>
      </c>
      <c r="W165" t="str">
        <f t="shared" si="9"/>
        <v>(164,'med175', 'pswmed175', 'Bruno Ricardo Vicente Ribeiro', 'Masculino', '2019-11-14', 'Avenida Ressano Garcia', '2754-296', 'Cascais', 'Médico', 'Portuguesa', 'Bilhete de Identidade', '63601759', '259595960', '386856592', '930844057', 'med175@hospital.upskill.com', 'doctor-male.jpg'),</v>
      </c>
      <c r="X165" t="str">
        <f t="shared" si="10"/>
        <v>(164,'2976861309787380', '14'),</v>
      </c>
      <c r="Y165" t="str">
        <f t="shared" si="11"/>
        <v>(164),</v>
      </c>
    </row>
    <row r="166" spans="1:25" x14ac:dyDescent="0.25">
      <c r="A166">
        <v>165</v>
      </c>
      <c r="B166" t="s">
        <v>1818</v>
      </c>
      <c r="C166" t="s">
        <v>1819</v>
      </c>
      <c r="D166" t="s">
        <v>1820</v>
      </c>
      <c r="E166" t="s">
        <v>53</v>
      </c>
      <c r="F166" s="7">
        <v>36076</v>
      </c>
      <c r="G166" t="s">
        <v>252</v>
      </c>
      <c r="H166" t="s">
        <v>1821</v>
      </c>
      <c r="I166" t="s">
        <v>210</v>
      </c>
      <c r="J166" t="s">
        <v>3726</v>
      </c>
      <c r="K166" t="s">
        <v>225</v>
      </c>
      <c r="L166" t="s">
        <v>265</v>
      </c>
      <c r="M166" t="s">
        <v>1822</v>
      </c>
      <c r="N166" t="s">
        <v>1823</v>
      </c>
      <c r="O166" t="s">
        <v>1824</v>
      </c>
      <c r="P166" t="s">
        <v>1825</v>
      </c>
      <c r="Q166" t="s">
        <v>1826</v>
      </c>
      <c r="R166" t="str">
        <f t="shared" si="8"/>
        <v>doctor-male.jpg</v>
      </c>
      <c r="S166" s="8">
        <v>3780392809280976</v>
      </c>
      <c r="T166">
        <v>15</v>
      </c>
      <c r="W166" t="str">
        <f t="shared" si="9"/>
        <v>(165,'med176', 'pswmed176', 'Francisco Rodrigo Moreira Almeida', 'Masculino', '1998-10-08', 'Rua de São Julião', '2610-592', 'Amadora', 'Médico', 'Portuguesa', 'Bilhete de Identidade', '93772551', '654107835', '648781073', '964938119', 'med176@hospital.upskill.com', 'doctor-male.jpg'),</v>
      </c>
      <c r="X166" t="str">
        <f t="shared" si="10"/>
        <v>(165,'3780392809280980', '15'),</v>
      </c>
      <c r="Y166" t="str">
        <f t="shared" si="11"/>
        <v>(165),</v>
      </c>
    </row>
    <row r="167" spans="1:25" x14ac:dyDescent="0.25">
      <c r="A167">
        <v>166</v>
      </c>
      <c r="B167" t="s">
        <v>1827</v>
      </c>
      <c r="C167" t="s">
        <v>1828</v>
      </c>
      <c r="D167" t="s">
        <v>1829</v>
      </c>
      <c r="E167" t="s">
        <v>66</v>
      </c>
      <c r="F167" s="7">
        <v>25872</v>
      </c>
      <c r="G167" t="s">
        <v>253</v>
      </c>
      <c r="H167" t="s">
        <v>1830</v>
      </c>
      <c r="I167" t="s">
        <v>211</v>
      </c>
      <c r="J167" t="s">
        <v>3726</v>
      </c>
      <c r="K167" t="s">
        <v>225</v>
      </c>
      <c r="L167" t="s">
        <v>265</v>
      </c>
      <c r="M167" t="s">
        <v>1831</v>
      </c>
      <c r="N167" t="s">
        <v>1832</v>
      </c>
      <c r="O167" t="s">
        <v>1833</v>
      </c>
      <c r="P167" t="s">
        <v>1834</v>
      </c>
      <c r="Q167" t="s">
        <v>1835</v>
      </c>
      <c r="R167" t="str">
        <f t="shared" si="8"/>
        <v>doctor-female.jpg</v>
      </c>
      <c r="S167" s="8">
        <v>3392173515692207</v>
      </c>
      <c r="T167">
        <v>16</v>
      </c>
      <c r="W167" t="str">
        <f t="shared" si="9"/>
        <v>(166,'med177', 'pswmed177', 'Sofia Beatriz Neves Morais', 'Feminino', '1970-10-31', 'Rua de São Mamede', '1600-951', 'Lisboa', 'Médico', 'Portuguesa', 'Bilhete de Identidade', '66917681', '649159556', '163329868', '925527558', 'med177@hospital.upskill.com', 'doctor-female.jpg'),</v>
      </c>
      <c r="X167" t="str">
        <f t="shared" si="10"/>
        <v>(166,'3392173515692210', '16'),</v>
      </c>
      <c r="Y167" t="str">
        <f t="shared" si="11"/>
        <v>(166),</v>
      </c>
    </row>
    <row r="168" spans="1:25" x14ac:dyDescent="0.25">
      <c r="A168">
        <v>167</v>
      </c>
      <c r="B168" t="s">
        <v>1836</v>
      </c>
      <c r="C168" t="s">
        <v>1837</v>
      </c>
      <c r="D168" t="s">
        <v>1838</v>
      </c>
      <c r="E168" t="s">
        <v>53</v>
      </c>
      <c r="F168" s="7">
        <v>30608</v>
      </c>
      <c r="G168" t="s">
        <v>236</v>
      </c>
      <c r="H168" t="s">
        <v>1839</v>
      </c>
      <c r="I168" t="s">
        <v>211</v>
      </c>
      <c r="J168" t="s">
        <v>3726</v>
      </c>
      <c r="K168" t="s">
        <v>225</v>
      </c>
      <c r="L168" t="s">
        <v>265</v>
      </c>
      <c r="M168" t="s">
        <v>1840</v>
      </c>
      <c r="N168" t="s">
        <v>1841</v>
      </c>
      <c r="O168" t="s">
        <v>1842</v>
      </c>
      <c r="P168" t="s">
        <v>1843</v>
      </c>
      <c r="Q168" t="s">
        <v>1844</v>
      </c>
      <c r="R168" t="str">
        <f t="shared" si="8"/>
        <v>doctor-male.jpg</v>
      </c>
      <c r="S168" s="8">
        <v>7887613555124095</v>
      </c>
      <c r="T168">
        <v>17</v>
      </c>
      <c r="W168" t="str">
        <f t="shared" si="9"/>
        <v>(167,'med178', 'pswmed178', 'Santiago Joana Gonçalves Neves', 'Masculino', '1983-10-19', 'Rua da Madalena', '1998-7', 'Lisboa', 'Médico', 'Portuguesa', 'Bilhete de Identidade', '67620114', '276177474', '779317269', '920253874', 'med178@hospital.upskill.com', 'doctor-male.jpg'),</v>
      </c>
      <c r="X168" t="str">
        <f t="shared" si="10"/>
        <v>(167,'7887613555124090', '17'),</v>
      </c>
      <c r="Y168" t="str">
        <f t="shared" si="11"/>
        <v>(167),</v>
      </c>
    </row>
    <row r="169" spans="1:25" x14ac:dyDescent="0.25">
      <c r="A169">
        <v>168</v>
      </c>
      <c r="B169" t="s">
        <v>1845</v>
      </c>
      <c r="C169" t="s">
        <v>1846</v>
      </c>
      <c r="D169" t="s">
        <v>1847</v>
      </c>
      <c r="E169" t="s">
        <v>53</v>
      </c>
      <c r="F169" s="7">
        <v>22927</v>
      </c>
      <c r="G169" t="s">
        <v>229</v>
      </c>
      <c r="H169" t="s">
        <v>1848</v>
      </c>
      <c r="I169" t="s">
        <v>211</v>
      </c>
      <c r="J169" t="s">
        <v>3726</v>
      </c>
      <c r="K169" t="s">
        <v>225</v>
      </c>
      <c r="L169" t="s">
        <v>265</v>
      </c>
      <c r="M169" t="s">
        <v>1849</v>
      </c>
      <c r="N169" t="s">
        <v>1850</v>
      </c>
      <c r="O169" t="s">
        <v>1851</v>
      </c>
      <c r="P169" t="s">
        <v>1852</v>
      </c>
      <c r="Q169" t="s">
        <v>1853</v>
      </c>
      <c r="R169" t="str">
        <f t="shared" si="8"/>
        <v>doctor-male.jpg</v>
      </c>
      <c r="S169" s="8">
        <v>4543756484226233</v>
      </c>
      <c r="T169">
        <v>18</v>
      </c>
      <c r="W169" t="str">
        <f t="shared" si="9"/>
        <v>(168,'med179', 'pswmed179', 'Tiago José Domingues Garcia', 'Masculino', '1962-10-08', 'Rua Cidade de Bolama', '1600-876', 'Lisboa', 'Médico', 'Portuguesa', 'Bilhete de Identidade', '43687614', '111798186', '462974509', '930804445', 'med179@hospital.upskill.com', 'doctor-male.jpg'),</v>
      </c>
      <c r="X169" t="str">
        <f t="shared" si="10"/>
        <v>(168,'4543756484226230', '18'),</v>
      </c>
      <c r="Y169" t="str">
        <f t="shared" si="11"/>
        <v>(168),</v>
      </c>
    </row>
    <row r="170" spans="1:25" x14ac:dyDescent="0.25">
      <c r="A170">
        <v>169</v>
      </c>
      <c r="B170" t="s">
        <v>1854</v>
      </c>
      <c r="C170" t="s">
        <v>1855</v>
      </c>
      <c r="D170" t="s">
        <v>1856</v>
      </c>
      <c r="E170" t="s">
        <v>66</v>
      </c>
      <c r="F170" s="7">
        <v>42761</v>
      </c>
      <c r="G170" t="s">
        <v>246</v>
      </c>
      <c r="H170" t="s">
        <v>1857</v>
      </c>
      <c r="I170" t="s">
        <v>211</v>
      </c>
      <c r="J170" t="s">
        <v>3726</v>
      </c>
      <c r="K170" t="s">
        <v>225</v>
      </c>
      <c r="L170" t="s">
        <v>265</v>
      </c>
      <c r="M170" t="s">
        <v>1858</v>
      </c>
      <c r="N170" t="s">
        <v>1859</v>
      </c>
      <c r="O170" t="s">
        <v>1860</v>
      </c>
      <c r="P170" t="s">
        <v>1861</v>
      </c>
      <c r="Q170" t="s">
        <v>1862</v>
      </c>
      <c r="R170" t="str">
        <f t="shared" si="8"/>
        <v>doctor-female.jpg</v>
      </c>
      <c r="S170" s="8">
        <v>8239015145451698</v>
      </c>
      <c r="T170">
        <v>19</v>
      </c>
      <c r="W170" t="str">
        <f t="shared" si="9"/>
        <v>(169,'med180', 'pswmed180', 'Mariana Inês Tavares Oliveira', 'Feminino', '2017-01-26', 'Rua do Guarda-Mor', '1249-198', 'Lisboa', 'Médico', 'Portuguesa', 'Bilhete de Identidade', '96642147', '978910972', '333996800', '937639335', 'med180@hospital.upskill.com', 'doctor-female.jpg'),</v>
      </c>
      <c r="X170" t="str">
        <f t="shared" si="10"/>
        <v>(169,'8239015145451700', '19'),</v>
      </c>
      <c r="Y170" t="str">
        <f t="shared" si="11"/>
        <v>(169),</v>
      </c>
    </row>
    <row r="171" spans="1:25" x14ac:dyDescent="0.25">
      <c r="A171">
        <v>170</v>
      </c>
      <c r="B171" t="s">
        <v>1863</v>
      </c>
      <c r="C171" t="s">
        <v>1864</v>
      </c>
      <c r="D171" t="s">
        <v>1865</v>
      </c>
      <c r="E171" t="s">
        <v>53</v>
      </c>
      <c r="F171" s="7">
        <v>13720</v>
      </c>
      <c r="G171" t="s">
        <v>247</v>
      </c>
      <c r="H171" t="s">
        <v>1866</v>
      </c>
      <c r="I171" t="s">
        <v>205</v>
      </c>
      <c r="J171" t="s">
        <v>3726</v>
      </c>
      <c r="K171" t="s">
        <v>225</v>
      </c>
      <c r="L171" t="s">
        <v>265</v>
      </c>
      <c r="M171" t="s">
        <v>1867</v>
      </c>
      <c r="N171" t="s">
        <v>1868</v>
      </c>
      <c r="O171" t="s">
        <v>1869</v>
      </c>
      <c r="P171" t="s">
        <v>1870</v>
      </c>
      <c r="Q171" t="s">
        <v>1871</v>
      </c>
      <c r="R171" t="str">
        <f t="shared" si="8"/>
        <v>doctor-male.jpg</v>
      </c>
      <c r="S171" s="8">
        <v>9291430527330894</v>
      </c>
      <c r="T171">
        <v>20</v>
      </c>
      <c r="W171" t="str">
        <f t="shared" si="9"/>
        <v>(170,'med181', 'pswmed181', 'Bruno Ana Correia Assunção', 'Masculino', '1937-07-24', 'Rua Ferreira Lapa', '2000-906', 'Santarém', 'Médico', 'Portuguesa', 'Bilhete de Identidade', '35026920', '838687825', '990344501', '938502983', 'med181@hospital.upskill.com', 'doctor-male.jpg'),</v>
      </c>
      <c r="X171" t="str">
        <f t="shared" si="10"/>
        <v>(170,'9291430527330890', '20'),</v>
      </c>
      <c r="Y171" t="str">
        <f t="shared" si="11"/>
        <v>(170),</v>
      </c>
    </row>
    <row r="172" spans="1:25" x14ac:dyDescent="0.25">
      <c r="A172">
        <v>171</v>
      </c>
      <c r="B172" t="s">
        <v>1872</v>
      </c>
      <c r="C172" t="s">
        <v>1873</v>
      </c>
      <c r="D172" t="s">
        <v>1874</v>
      </c>
      <c r="E172" t="s">
        <v>53</v>
      </c>
      <c r="F172" s="7">
        <v>31325</v>
      </c>
      <c r="G172" t="s">
        <v>240</v>
      </c>
      <c r="H172" t="s">
        <v>1875</v>
      </c>
      <c r="I172" t="s">
        <v>205</v>
      </c>
      <c r="J172" t="s">
        <v>3726</v>
      </c>
      <c r="K172" t="s">
        <v>225</v>
      </c>
      <c r="L172" t="s">
        <v>265</v>
      </c>
      <c r="M172" t="s">
        <v>1876</v>
      </c>
      <c r="N172" t="s">
        <v>1877</v>
      </c>
      <c r="O172" t="s">
        <v>1878</v>
      </c>
      <c r="P172" t="s">
        <v>1879</v>
      </c>
      <c r="Q172" t="s">
        <v>1880</v>
      </c>
      <c r="R172" t="str">
        <f t="shared" si="8"/>
        <v>doctor-male.jpg</v>
      </c>
      <c r="S172" s="8">
        <v>7163528297413395</v>
      </c>
      <c r="T172">
        <v>21</v>
      </c>
      <c r="W172" t="str">
        <f t="shared" si="9"/>
        <v>(171,'med182', 'pswmed182', 'Pedro João Sá Pinheiro', 'Masculino', '1985-10-05', 'Calçada do Poço dos Mouros', '2009-763', 'Santarém', 'Médico', 'Portuguesa', 'Bilhete de Identidade', '69859903', '971954007', '291907089', '962322732', 'med182@hospital.upskill.com', 'doctor-male.jpg'),</v>
      </c>
      <c r="X172" t="str">
        <f t="shared" si="10"/>
        <v>(171,'7163528297413390', '21'),</v>
      </c>
      <c r="Y172" t="str">
        <f t="shared" si="11"/>
        <v>(171),</v>
      </c>
    </row>
    <row r="173" spans="1:25" x14ac:dyDescent="0.25">
      <c r="A173">
        <v>172</v>
      </c>
      <c r="B173" t="s">
        <v>1881</v>
      </c>
      <c r="C173" t="s">
        <v>1882</v>
      </c>
      <c r="D173" t="s">
        <v>1883</v>
      </c>
      <c r="E173" t="s">
        <v>66</v>
      </c>
      <c r="F173" s="7">
        <v>21600</v>
      </c>
      <c r="G173" t="s">
        <v>226</v>
      </c>
      <c r="H173" t="s">
        <v>1884</v>
      </c>
      <c r="I173" t="s">
        <v>201</v>
      </c>
      <c r="J173" t="s">
        <v>3726</v>
      </c>
      <c r="K173" t="s">
        <v>225</v>
      </c>
      <c r="L173" t="s">
        <v>265</v>
      </c>
      <c r="M173" t="s">
        <v>1885</v>
      </c>
      <c r="N173" t="s">
        <v>1886</v>
      </c>
      <c r="O173" t="s">
        <v>1887</v>
      </c>
      <c r="P173" t="s">
        <v>1888</v>
      </c>
      <c r="Q173" t="s">
        <v>1889</v>
      </c>
      <c r="R173" t="str">
        <f t="shared" si="8"/>
        <v>doctor-female.jpg</v>
      </c>
      <c r="S173" s="8">
        <v>1938315496404926</v>
      </c>
      <c r="T173">
        <v>22</v>
      </c>
      <c r="W173" t="str">
        <f t="shared" si="9"/>
        <v>(172,'med183', 'pswmed183', 'Inês Sofia Campos Vicente', 'Feminino', '1959-02-19', 'Rua do Arsenal', '2420-766', 'Leiria', 'Médico', 'Portuguesa', 'Bilhete de Identidade', '79018748', '764542853', '195543716', '921294620', 'med183@hospital.upskill.com', 'doctor-female.jpg'),</v>
      </c>
      <c r="X173" t="str">
        <f t="shared" si="10"/>
        <v>(172,'1938315496404930', '22'),</v>
      </c>
      <c r="Y173" t="str">
        <f t="shared" si="11"/>
        <v>(172),</v>
      </c>
    </row>
    <row r="174" spans="1:25" x14ac:dyDescent="0.25">
      <c r="A174">
        <v>173</v>
      </c>
      <c r="B174" t="s">
        <v>1890</v>
      </c>
      <c r="C174" t="s">
        <v>1891</v>
      </c>
      <c r="D174" t="s">
        <v>1892</v>
      </c>
      <c r="E174" t="s">
        <v>66</v>
      </c>
      <c r="F174" s="7">
        <v>42111</v>
      </c>
      <c r="G174" t="s">
        <v>263</v>
      </c>
      <c r="H174" t="s">
        <v>1893</v>
      </c>
      <c r="I174" t="s">
        <v>211</v>
      </c>
      <c r="J174" t="s">
        <v>3726</v>
      </c>
      <c r="K174" t="s">
        <v>225</v>
      </c>
      <c r="L174" t="s">
        <v>265</v>
      </c>
      <c r="M174" t="s">
        <v>1894</v>
      </c>
      <c r="N174" t="s">
        <v>1895</v>
      </c>
      <c r="O174" t="s">
        <v>1896</v>
      </c>
      <c r="P174" t="s">
        <v>1897</v>
      </c>
      <c r="Q174" t="s">
        <v>1898</v>
      </c>
      <c r="R174" t="str">
        <f t="shared" si="8"/>
        <v>doctor-female.jpg</v>
      </c>
      <c r="S174" s="8">
        <v>8264029270381544</v>
      </c>
      <c r="T174">
        <v>23</v>
      </c>
      <c r="W174" t="str">
        <f t="shared" si="9"/>
        <v>(173,'med184', 'pswmed184', 'Catarina João Sá Cardoso', 'Feminino', '2015-04-17', 'Rua da Junqueira', '1249-525', 'Lisboa', 'Médico', 'Portuguesa', 'Bilhete de Identidade', '70773267', '949578839', '144181235', '963143404', 'med184@hospital.upskill.com', 'doctor-female.jpg'),</v>
      </c>
      <c r="X174" t="str">
        <f t="shared" si="10"/>
        <v>(173,'8264029270381540', '23'),</v>
      </c>
      <c r="Y174" t="str">
        <f t="shared" si="11"/>
        <v>(173),</v>
      </c>
    </row>
    <row r="175" spans="1:25" x14ac:dyDescent="0.25">
      <c r="A175">
        <v>174</v>
      </c>
      <c r="B175" t="s">
        <v>1899</v>
      </c>
      <c r="C175" t="s">
        <v>1900</v>
      </c>
      <c r="D175" t="s">
        <v>1901</v>
      </c>
      <c r="E175" t="s">
        <v>66</v>
      </c>
      <c r="F175" s="7">
        <v>30832</v>
      </c>
      <c r="G175" t="s">
        <v>248</v>
      </c>
      <c r="H175" t="s">
        <v>1902</v>
      </c>
      <c r="I175" t="s">
        <v>210</v>
      </c>
      <c r="J175" t="s">
        <v>3726</v>
      </c>
      <c r="K175" t="s">
        <v>225</v>
      </c>
      <c r="L175" t="s">
        <v>265</v>
      </c>
      <c r="M175" t="s">
        <v>1903</v>
      </c>
      <c r="N175" t="s">
        <v>1904</v>
      </c>
      <c r="O175" t="s">
        <v>1905</v>
      </c>
      <c r="P175" t="s">
        <v>1906</v>
      </c>
      <c r="Q175" t="s">
        <v>1907</v>
      </c>
      <c r="R175" t="str">
        <f t="shared" si="8"/>
        <v>doctor-female.jpg</v>
      </c>
      <c r="S175" s="8">
        <v>3855318289230651</v>
      </c>
      <c r="T175">
        <v>24</v>
      </c>
      <c r="W175" t="str">
        <f t="shared" si="9"/>
        <v>(174,'med185', 'pswmed185', 'Catarina Mariana Gonçalves Nunes', 'Feminino', '1984-05-30', 'Rua General Morais Sarmento', '2720-707', 'Amadora', 'Médico', 'Portuguesa', 'Bilhete de Identidade', '86408290', '387209795', '971556016', '966023653', 'med185@hospital.upskill.com', 'doctor-female.jpg'),</v>
      </c>
      <c r="X175" t="str">
        <f t="shared" si="10"/>
        <v>(174,'3855318289230650', '24'),</v>
      </c>
      <c r="Y175" t="str">
        <f t="shared" si="11"/>
        <v>(174),</v>
      </c>
    </row>
    <row r="176" spans="1:25" x14ac:dyDescent="0.25">
      <c r="A176">
        <v>175</v>
      </c>
      <c r="B176" t="s">
        <v>1908</v>
      </c>
      <c r="C176" t="s">
        <v>1909</v>
      </c>
      <c r="D176" t="s">
        <v>1910</v>
      </c>
      <c r="E176" t="s">
        <v>53</v>
      </c>
      <c r="F176" s="7">
        <v>39033</v>
      </c>
      <c r="G176" t="s">
        <v>235</v>
      </c>
      <c r="H176" t="s">
        <v>1911</v>
      </c>
      <c r="I176" t="s">
        <v>208</v>
      </c>
      <c r="J176" t="s">
        <v>3726</v>
      </c>
      <c r="K176" t="s">
        <v>225</v>
      </c>
      <c r="L176" t="s">
        <v>265</v>
      </c>
      <c r="M176" t="s">
        <v>1912</v>
      </c>
      <c r="N176" t="s">
        <v>1913</v>
      </c>
      <c r="O176" t="s">
        <v>1914</v>
      </c>
      <c r="P176" t="s">
        <v>1915</v>
      </c>
      <c r="Q176" t="s">
        <v>1916</v>
      </c>
      <c r="R176" t="str">
        <f t="shared" si="8"/>
        <v>doctor-male.jpg</v>
      </c>
      <c r="S176" s="8">
        <v>5021269344033864</v>
      </c>
      <c r="T176">
        <v>25</v>
      </c>
      <c r="W176" t="str">
        <f t="shared" si="9"/>
        <v>(175,'med186', 'pswmed186', 'Afonso Francisco Moura Ribeiro', 'Masculino', '2006-11-12', 'Estrada das Laranjeiras', '2914-806', 'Setúbal', 'Médico', 'Portuguesa', 'Bilhete de Identidade', '12200888', '348828792', '623637816', '934842831', 'med186@hospital.upskill.com', 'doctor-male.jpg'),</v>
      </c>
      <c r="X176" t="str">
        <f t="shared" si="10"/>
        <v>(175,'5021269344033860', '25'),</v>
      </c>
      <c r="Y176" t="str">
        <f t="shared" si="11"/>
        <v>(175),</v>
      </c>
    </row>
    <row r="177" spans="1:25" x14ac:dyDescent="0.25">
      <c r="A177">
        <v>176</v>
      </c>
      <c r="B177" t="s">
        <v>1917</v>
      </c>
      <c r="C177" t="s">
        <v>1918</v>
      </c>
      <c r="D177" t="s">
        <v>1919</v>
      </c>
      <c r="E177" t="s">
        <v>66</v>
      </c>
      <c r="F177" s="7">
        <v>27447</v>
      </c>
      <c r="G177" t="s">
        <v>253</v>
      </c>
      <c r="H177" t="s">
        <v>1920</v>
      </c>
      <c r="I177" t="s">
        <v>210</v>
      </c>
      <c r="J177" t="s">
        <v>3726</v>
      </c>
      <c r="K177" t="s">
        <v>225</v>
      </c>
      <c r="L177" t="s">
        <v>265</v>
      </c>
      <c r="M177" t="s">
        <v>1921</v>
      </c>
      <c r="N177" t="s">
        <v>1922</v>
      </c>
      <c r="O177" t="s">
        <v>1923</v>
      </c>
      <c r="P177" t="s">
        <v>1924</v>
      </c>
      <c r="Q177" t="s">
        <v>1925</v>
      </c>
      <c r="R177" t="str">
        <f t="shared" si="8"/>
        <v>doctor-female.jpg</v>
      </c>
      <c r="S177" s="8">
        <v>1301545634823567</v>
      </c>
      <c r="T177">
        <v>26</v>
      </c>
      <c r="W177" t="str">
        <f t="shared" si="9"/>
        <v>(176,'med187', 'pswmed187', 'Catarina Ana Azevedo Gomes', 'Feminino', '1975-02-22', 'Rua de São Mamede', '2614-774', 'Amadora', 'Médico', 'Portuguesa', 'Bilhete de Identidade', '34471969', '134902894', '678037833', '913784154', 'med187@hospital.upskill.com', 'doctor-female.jpg'),</v>
      </c>
      <c r="X177" t="str">
        <f t="shared" si="10"/>
        <v>(176,'1301545634823570', '26'),</v>
      </c>
      <c r="Y177" t="str">
        <f t="shared" si="11"/>
        <v>(176),</v>
      </c>
    </row>
    <row r="178" spans="1:25" x14ac:dyDescent="0.25">
      <c r="A178">
        <v>177</v>
      </c>
      <c r="B178" t="s">
        <v>1926</v>
      </c>
      <c r="C178" t="s">
        <v>1927</v>
      </c>
      <c r="D178" t="s">
        <v>1928</v>
      </c>
      <c r="E178" t="s">
        <v>53</v>
      </c>
      <c r="F178" s="7">
        <v>19510</v>
      </c>
      <c r="G178" t="s">
        <v>226</v>
      </c>
      <c r="H178" t="s">
        <v>1929</v>
      </c>
      <c r="I178" t="s">
        <v>210</v>
      </c>
      <c r="J178" t="s">
        <v>3726</v>
      </c>
      <c r="K178" t="s">
        <v>225</v>
      </c>
      <c r="L178" t="s">
        <v>265</v>
      </c>
      <c r="M178" t="s">
        <v>1930</v>
      </c>
      <c r="N178" t="s">
        <v>1931</v>
      </c>
      <c r="O178" t="s">
        <v>1932</v>
      </c>
      <c r="P178" t="s">
        <v>1933</v>
      </c>
      <c r="Q178" t="s">
        <v>1934</v>
      </c>
      <c r="R178" t="str">
        <f t="shared" si="8"/>
        <v>doctor-male.jpg</v>
      </c>
      <c r="S178" s="8">
        <v>4364918685507582</v>
      </c>
      <c r="T178">
        <v>27</v>
      </c>
      <c r="W178" t="str">
        <f t="shared" si="9"/>
        <v>(177,'med188', 'pswmed188', 'Santiago Francisco Pinho Figueiredo', 'Masculino', '1953-05-31', 'Rua do Arsenal', '2610-539', 'Amadora', 'Médico', 'Portuguesa', 'Bilhete de Identidade', '83847944', '594422239', '242139838', '966524366', 'med188@hospital.upskill.com', 'doctor-male.jpg'),</v>
      </c>
      <c r="X178" t="str">
        <f t="shared" si="10"/>
        <v>(177,'4364918685507580', '27'),</v>
      </c>
      <c r="Y178" t="str">
        <f t="shared" si="11"/>
        <v>(177),</v>
      </c>
    </row>
    <row r="179" spans="1:25" x14ac:dyDescent="0.25">
      <c r="A179">
        <v>178</v>
      </c>
      <c r="B179" t="s">
        <v>1935</v>
      </c>
      <c r="C179" t="s">
        <v>1936</v>
      </c>
      <c r="D179" t="s">
        <v>1937</v>
      </c>
      <c r="E179" t="s">
        <v>53</v>
      </c>
      <c r="F179" s="7">
        <v>35493</v>
      </c>
      <c r="G179" t="s">
        <v>238</v>
      </c>
      <c r="H179" t="s">
        <v>1938</v>
      </c>
      <c r="I179" t="s">
        <v>211</v>
      </c>
      <c r="J179" t="s">
        <v>3726</v>
      </c>
      <c r="K179" t="s">
        <v>225</v>
      </c>
      <c r="L179" t="s">
        <v>265</v>
      </c>
      <c r="M179" t="s">
        <v>1939</v>
      </c>
      <c r="N179" t="s">
        <v>1940</v>
      </c>
      <c r="O179" t="s">
        <v>1941</v>
      </c>
      <c r="P179" t="s">
        <v>1942</v>
      </c>
      <c r="Q179" t="s">
        <v>1943</v>
      </c>
      <c r="R179" t="str">
        <f t="shared" si="8"/>
        <v>doctor-male.jpg</v>
      </c>
      <c r="S179" s="8">
        <v>8095181122568575</v>
      </c>
      <c r="T179">
        <v>28</v>
      </c>
      <c r="W179" t="str">
        <f t="shared" si="9"/>
        <v>(178,'med189', 'pswmed189', 'Gabriel Mariana Borges Vieira', 'Masculino', '1997-03-04', 'Calçada do Moinho de Vento', '1998-946', 'Lisboa', 'Médico', 'Portuguesa', 'Bilhete de Identidade', '98067373', '225839730', '592972845', '922626874', 'med189@hospital.upskill.com', 'doctor-male.jpg'),</v>
      </c>
      <c r="X179" t="str">
        <f t="shared" si="10"/>
        <v>(178,'8095181122568570', '28'),</v>
      </c>
      <c r="Y179" t="str">
        <f t="shared" si="11"/>
        <v>(178),</v>
      </c>
    </row>
    <row r="180" spans="1:25" x14ac:dyDescent="0.25">
      <c r="A180">
        <v>179</v>
      </c>
      <c r="B180" t="s">
        <v>1944</v>
      </c>
      <c r="C180" t="s">
        <v>1945</v>
      </c>
      <c r="D180" t="s">
        <v>1946</v>
      </c>
      <c r="E180" t="s">
        <v>53</v>
      </c>
      <c r="F180" s="7">
        <v>40749</v>
      </c>
      <c r="G180" t="s">
        <v>235</v>
      </c>
      <c r="H180" t="s">
        <v>1947</v>
      </c>
      <c r="I180" t="s">
        <v>212</v>
      </c>
      <c r="J180" t="s">
        <v>3726</v>
      </c>
      <c r="K180" t="s">
        <v>225</v>
      </c>
      <c r="L180" t="s">
        <v>265</v>
      </c>
      <c r="M180" t="s">
        <v>1948</v>
      </c>
      <c r="N180" t="s">
        <v>1949</v>
      </c>
      <c r="O180" t="s">
        <v>1950</v>
      </c>
      <c r="P180" t="s">
        <v>1951</v>
      </c>
      <c r="Q180" t="s">
        <v>1952</v>
      </c>
      <c r="R180" t="str">
        <f t="shared" si="8"/>
        <v>doctor-male.jpg</v>
      </c>
      <c r="S180" s="8">
        <v>5101452324871984</v>
      </c>
      <c r="T180">
        <v>29</v>
      </c>
      <c r="W180" t="str">
        <f t="shared" si="9"/>
        <v>(179,'med190', 'pswmed190', 'Pedro Martim Teixeira Jesus', 'Masculino', '2011-07-25', 'Estrada das Laranjeiras', '2670-880', 'Loures', 'Médico', 'Portuguesa', 'Bilhete de Identidade', '43402361', '166242901', '396655042', '920533116', 'med190@hospital.upskill.com', 'doctor-male.jpg'),</v>
      </c>
      <c r="X180" t="str">
        <f t="shared" si="10"/>
        <v>(179,'5101452324871980', '29'),</v>
      </c>
      <c r="Y180" t="str">
        <f t="shared" si="11"/>
        <v>(179),</v>
      </c>
    </row>
    <row r="181" spans="1:25" x14ac:dyDescent="0.25">
      <c r="A181">
        <v>180</v>
      </c>
      <c r="B181" t="s">
        <v>1953</v>
      </c>
      <c r="C181" t="s">
        <v>1954</v>
      </c>
      <c r="D181" t="s">
        <v>1955</v>
      </c>
      <c r="E181" t="s">
        <v>66</v>
      </c>
      <c r="F181" s="7">
        <v>14252</v>
      </c>
      <c r="G181" t="s">
        <v>250</v>
      </c>
      <c r="H181" t="s">
        <v>1956</v>
      </c>
      <c r="I181" t="s">
        <v>223</v>
      </c>
      <c r="J181" t="s">
        <v>3726</v>
      </c>
      <c r="K181" t="s">
        <v>225</v>
      </c>
      <c r="L181" t="s">
        <v>265</v>
      </c>
      <c r="M181" t="s">
        <v>1957</v>
      </c>
      <c r="N181" t="s">
        <v>1958</v>
      </c>
      <c r="O181" t="s">
        <v>1959</v>
      </c>
      <c r="P181" t="s">
        <v>1960</v>
      </c>
      <c r="Q181" t="s">
        <v>1961</v>
      </c>
      <c r="R181" t="str">
        <f t="shared" si="8"/>
        <v>doctor-female.jpg</v>
      </c>
      <c r="S181" s="8">
        <v>7525359132044930</v>
      </c>
      <c r="T181">
        <v>30</v>
      </c>
      <c r="W181" t="str">
        <f t="shared" si="9"/>
        <v>(180,'med191', 'pswmed191', 'Diana Daniela Andrade Cunha', 'Feminino', '1939-01-07', 'Rua Nova do Almada', '2655-422', 'Ericeira', 'Médico', 'Portuguesa', 'Bilhete de Identidade', '10712331', '762479156', '161736413', '928731953', 'med191@hospital.upskill.com', 'doctor-female.jpg'),</v>
      </c>
      <c r="X181" t="str">
        <f t="shared" si="10"/>
        <v>(180,'7525359132044930', '30'),</v>
      </c>
      <c r="Y181" t="str">
        <f t="shared" si="11"/>
        <v>(180),</v>
      </c>
    </row>
    <row r="182" spans="1:25" x14ac:dyDescent="0.25">
      <c r="A182">
        <v>181</v>
      </c>
      <c r="B182" t="s">
        <v>1962</v>
      </c>
      <c r="C182" t="s">
        <v>1963</v>
      </c>
      <c r="D182" t="s">
        <v>1964</v>
      </c>
      <c r="E182" t="s">
        <v>66</v>
      </c>
      <c r="F182" s="7">
        <v>31720</v>
      </c>
      <c r="G182" t="s">
        <v>232</v>
      </c>
      <c r="H182" t="s">
        <v>1965</v>
      </c>
      <c r="I182" t="s">
        <v>201</v>
      </c>
      <c r="J182" t="s">
        <v>3726</v>
      </c>
      <c r="K182" t="s">
        <v>225</v>
      </c>
      <c r="L182" t="s">
        <v>265</v>
      </c>
      <c r="M182" t="s">
        <v>1966</v>
      </c>
      <c r="N182" t="s">
        <v>1967</v>
      </c>
      <c r="O182" t="s">
        <v>1968</v>
      </c>
      <c r="P182" t="s">
        <v>1969</v>
      </c>
      <c r="Q182" t="s">
        <v>1970</v>
      </c>
      <c r="R182" t="str">
        <f t="shared" si="8"/>
        <v>doctor-female.jpg</v>
      </c>
      <c r="S182" s="8">
        <v>7564944218606953</v>
      </c>
      <c r="T182">
        <v>31</v>
      </c>
      <c r="W182" t="str">
        <f t="shared" si="9"/>
        <v>(181,'med192', 'pswmed192', 'Mariana Martim Pires Faria', 'Feminino', '1986-11-04', 'Rua Garrett', '2414-951', 'Leiria', 'Médico', 'Portuguesa', 'Bilhete de Identidade', '22901071', '715800421', '752066384', '925173370', 'med192@hospital.upskill.com', 'doctor-female.jpg'),</v>
      </c>
      <c r="X182" t="str">
        <f t="shared" si="10"/>
        <v>(181,'7564944218606950', '31'),</v>
      </c>
      <c r="Y182" t="str">
        <f t="shared" si="11"/>
        <v>(181),</v>
      </c>
    </row>
    <row r="183" spans="1:25" x14ac:dyDescent="0.25">
      <c r="A183">
        <v>182</v>
      </c>
      <c r="B183" t="s">
        <v>1971</v>
      </c>
      <c r="C183" t="s">
        <v>1972</v>
      </c>
      <c r="D183" t="s">
        <v>1973</v>
      </c>
      <c r="E183" t="s">
        <v>66</v>
      </c>
      <c r="F183" s="7">
        <v>32584</v>
      </c>
      <c r="G183" t="s">
        <v>263</v>
      </c>
      <c r="H183" t="s">
        <v>1974</v>
      </c>
      <c r="I183" t="s">
        <v>214</v>
      </c>
      <c r="J183" t="s">
        <v>3726</v>
      </c>
      <c r="K183" t="s">
        <v>225</v>
      </c>
      <c r="L183" t="s">
        <v>265</v>
      </c>
      <c r="M183" t="s">
        <v>1975</v>
      </c>
      <c r="N183" t="s">
        <v>1976</v>
      </c>
      <c r="O183" t="s">
        <v>1977</v>
      </c>
      <c r="P183" t="s">
        <v>1978</v>
      </c>
      <c r="Q183" t="s">
        <v>1979</v>
      </c>
      <c r="R183" t="str">
        <f t="shared" si="8"/>
        <v>doctor-female.jpg</v>
      </c>
      <c r="S183" s="8">
        <v>5757311784409061</v>
      </c>
      <c r="T183">
        <v>32</v>
      </c>
      <c r="W183" t="str">
        <f t="shared" si="9"/>
        <v>(182,'med193', 'pswmed193', 'Carolina Martim Morais Domingues', 'Feminino', '1989-03-17', 'Rua da Junqueira', '2870-30', 'Montijo', 'Médico', 'Portuguesa', 'Bilhete de Identidade', '92143440', '473971105', '705377476', '916923694', 'med193@hospital.upskill.com', 'doctor-female.jpg'),</v>
      </c>
      <c r="X183" t="str">
        <f t="shared" si="10"/>
        <v>(182,'5757311784409060', '32'),</v>
      </c>
      <c r="Y183" t="str">
        <f t="shared" si="11"/>
        <v>(182),</v>
      </c>
    </row>
    <row r="184" spans="1:25" x14ac:dyDescent="0.25">
      <c r="A184">
        <v>183</v>
      </c>
      <c r="B184" t="s">
        <v>1980</v>
      </c>
      <c r="C184" t="s">
        <v>1981</v>
      </c>
      <c r="D184" t="s">
        <v>1982</v>
      </c>
      <c r="E184" t="s">
        <v>66</v>
      </c>
      <c r="F184" s="7">
        <v>23808</v>
      </c>
      <c r="G184" t="s">
        <v>241</v>
      </c>
      <c r="H184" t="s">
        <v>1983</v>
      </c>
      <c r="I184" t="s">
        <v>211</v>
      </c>
      <c r="J184" t="s">
        <v>3726</v>
      </c>
      <c r="K184" t="s">
        <v>225</v>
      </c>
      <c r="L184" t="s">
        <v>265</v>
      </c>
      <c r="M184" t="s">
        <v>1984</v>
      </c>
      <c r="N184" t="s">
        <v>1985</v>
      </c>
      <c r="O184" t="s">
        <v>1986</v>
      </c>
      <c r="P184" t="s">
        <v>1987</v>
      </c>
      <c r="Q184" t="s">
        <v>1988</v>
      </c>
      <c r="R184" t="str">
        <f t="shared" si="8"/>
        <v>doctor-female.jpg</v>
      </c>
      <c r="S184" s="8">
        <v>5356665008258860</v>
      </c>
      <c r="T184">
        <v>33</v>
      </c>
      <c r="W184" t="str">
        <f t="shared" si="9"/>
        <v>(183,'med194', 'pswmed194', 'Ana Tiago Loureiro Batista', 'Feminino', '1965-03-07', 'Rua da Prata', '1067-588', 'Lisboa', 'Médico', 'Portuguesa', 'Bilhete de Identidade', '66334183', '455438770', '489240765', '928234479', 'med194@hospital.upskill.com', 'doctor-female.jpg'),</v>
      </c>
      <c r="X184" t="str">
        <f t="shared" si="10"/>
        <v>(183,'5356665008258860', '33'),</v>
      </c>
      <c r="Y184" t="str">
        <f t="shared" si="11"/>
        <v>(183),</v>
      </c>
    </row>
    <row r="185" spans="1:25" x14ac:dyDescent="0.25">
      <c r="A185">
        <v>184</v>
      </c>
      <c r="B185" t="s">
        <v>1989</v>
      </c>
      <c r="C185" t="s">
        <v>1990</v>
      </c>
      <c r="D185" t="s">
        <v>1991</v>
      </c>
      <c r="E185" t="s">
        <v>53</v>
      </c>
      <c r="F185" s="7">
        <v>38168</v>
      </c>
      <c r="G185" t="s">
        <v>242</v>
      </c>
      <c r="H185" t="s">
        <v>1992</v>
      </c>
      <c r="I185" t="s">
        <v>210</v>
      </c>
      <c r="J185" t="s">
        <v>3726</v>
      </c>
      <c r="K185" t="s">
        <v>225</v>
      </c>
      <c r="L185" t="s">
        <v>265</v>
      </c>
      <c r="M185" t="s">
        <v>1993</v>
      </c>
      <c r="N185" t="s">
        <v>1994</v>
      </c>
      <c r="O185" t="s">
        <v>1995</v>
      </c>
      <c r="P185" t="s">
        <v>1996</v>
      </c>
      <c r="Q185" t="s">
        <v>1997</v>
      </c>
      <c r="R185" t="str">
        <f t="shared" si="8"/>
        <v>doctor-male.jpg</v>
      </c>
      <c r="S185" s="8">
        <v>7874189998519226</v>
      </c>
      <c r="T185">
        <v>34</v>
      </c>
      <c r="W185" t="str">
        <f t="shared" si="9"/>
        <v>(184,'med195', 'pswmed195', 'Martim Ana Almeida Cardoso', 'Masculino', '2004-06-30', 'Avenida Ressano Garcia', '2654-921', 'Amadora', 'Médico', 'Portuguesa', 'Bilhete de Identidade', '80316565', '124734537', '200947676', '914622488', 'med195@hospital.upskill.com', 'doctor-male.jpg'),</v>
      </c>
      <c r="X185" t="str">
        <f t="shared" si="10"/>
        <v>(184,'7874189998519230', '34'),</v>
      </c>
      <c r="Y185" t="str">
        <f t="shared" si="11"/>
        <v>(184),</v>
      </c>
    </row>
    <row r="186" spans="1:25" x14ac:dyDescent="0.25">
      <c r="A186">
        <v>185</v>
      </c>
      <c r="B186" t="s">
        <v>1998</v>
      </c>
      <c r="C186" t="s">
        <v>1999</v>
      </c>
      <c r="D186" t="s">
        <v>2000</v>
      </c>
      <c r="E186" t="s">
        <v>66</v>
      </c>
      <c r="F186" s="7">
        <v>44443</v>
      </c>
      <c r="G186" t="s">
        <v>253</v>
      </c>
      <c r="H186" t="s">
        <v>2001</v>
      </c>
      <c r="I186" t="s">
        <v>200</v>
      </c>
      <c r="J186" t="s">
        <v>3726</v>
      </c>
      <c r="K186" t="s">
        <v>225</v>
      </c>
      <c r="L186" t="s">
        <v>265</v>
      </c>
      <c r="M186" t="s">
        <v>2002</v>
      </c>
      <c r="N186" t="s">
        <v>2003</v>
      </c>
      <c r="O186" t="s">
        <v>2004</v>
      </c>
      <c r="P186" t="s">
        <v>2005</v>
      </c>
      <c r="Q186" t="s">
        <v>2006</v>
      </c>
      <c r="R186" t="str">
        <f t="shared" si="8"/>
        <v>doctor-female.jpg</v>
      </c>
      <c r="S186" s="8">
        <v>5341922644182741</v>
      </c>
      <c r="T186">
        <v>35</v>
      </c>
      <c r="W186" t="str">
        <f t="shared" si="9"/>
        <v>(185,'med196', 'pswmed196', 'Mariana Daniela Branco Fonseca', 'Feminino', '2021-09-04', 'Rua de São Mamede', '3000-190', 'Coimbra', 'Médico', 'Portuguesa', 'Bilhete de Identidade', '78534413', '234074635', '209032635', '969511554', 'med196@hospital.upskill.com', 'doctor-female.jpg'),</v>
      </c>
      <c r="X186" t="str">
        <f t="shared" si="10"/>
        <v>(185,'5341922644182740', '35'),</v>
      </c>
      <c r="Y186" t="str">
        <f t="shared" si="11"/>
        <v>(185),</v>
      </c>
    </row>
    <row r="187" spans="1:25" x14ac:dyDescent="0.25">
      <c r="A187">
        <v>186</v>
      </c>
      <c r="B187" t="s">
        <v>2007</v>
      </c>
      <c r="C187" t="s">
        <v>2008</v>
      </c>
      <c r="D187" t="s">
        <v>2009</v>
      </c>
      <c r="E187" t="s">
        <v>66</v>
      </c>
      <c r="F187" s="7">
        <v>14423</v>
      </c>
      <c r="G187" t="s">
        <v>242</v>
      </c>
      <c r="H187" t="s">
        <v>2010</v>
      </c>
      <c r="I187" t="s">
        <v>211</v>
      </c>
      <c r="J187" t="s">
        <v>3726</v>
      </c>
      <c r="K187" t="s">
        <v>225</v>
      </c>
      <c r="L187" t="s">
        <v>265</v>
      </c>
      <c r="M187" t="s">
        <v>2011</v>
      </c>
      <c r="N187" t="s">
        <v>2012</v>
      </c>
      <c r="O187" t="s">
        <v>2013</v>
      </c>
      <c r="P187" t="s">
        <v>2014</v>
      </c>
      <c r="Q187" t="s">
        <v>2015</v>
      </c>
      <c r="R187" t="str">
        <f t="shared" si="8"/>
        <v>doctor-female.jpg</v>
      </c>
      <c r="S187" s="8">
        <v>3480040035583454</v>
      </c>
      <c r="T187">
        <v>36</v>
      </c>
      <c r="W187" t="str">
        <f t="shared" si="9"/>
        <v>(186,'med197', 'pswmed197', 'Daniela Sara Branco Coelho', 'Feminino', '1939-06-27', 'Avenida Ressano Garcia', '1098-624', 'Lisboa', 'Médico', 'Portuguesa', 'Bilhete de Identidade', '95571505', '778129184', '429373531', '960726280', 'med197@hospital.upskill.com', 'doctor-female.jpg'),</v>
      </c>
      <c r="X187" t="str">
        <f t="shared" si="10"/>
        <v>(186,'3480040035583450', '36'),</v>
      </c>
      <c r="Y187" t="str">
        <f t="shared" si="11"/>
        <v>(186),</v>
      </c>
    </row>
    <row r="188" spans="1:25" x14ac:dyDescent="0.25">
      <c r="A188">
        <v>187</v>
      </c>
      <c r="B188" t="s">
        <v>2016</v>
      </c>
      <c r="C188" t="s">
        <v>2017</v>
      </c>
      <c r="D188" t="s">
        <v>2018</v>
      </c>
      <c r="E188" t="s">
        <v>53</v>
      </c>
      <c r="F188" s="7">
        <v>12035</v>
      </c>
      <c r="G188" t="s">
        <v>241</v>
      </c>
      <c r="H188" t="s">
        <v>2019</v>
      </c>
      <c r="I188" t="s">
        <v>221</v>
      </c>
      <c r="J188" t="s">
        <v>3726</v>
      </c>
      <c r="K188" t="s">
        <v>225</v>
      </c>
      <c r="L188" t="s">
        <v>265</v>
      </c>
      <c r="M188" t="s">
        <v>2020</v>
      </c>
      <c r="N188" t="s">
        <v>2021</v>
      </c>
      <c r="O188" t="s">
        <v>2022</v>
      </c>
      <c r="P188" t="s">
        <v>2023</v>
      </c>
      <c r="Q188" t="s">
        <v>2024</v>
      </c>
      <c r="R188" t="str">
        <f t="shared" si="8"/>
        <v>doctor-male.jpg</v>
      </c>
      <c r="S188" s="8">
        <v>4372320463529393</v>
      </c>
      <c r="T188">
        <v>37</v>
      </c>
      <c r="W188" t="str">
        <f>"(" &amp;A188 &amp; ",'" &amp; B188 &amp; "', '" &amp; C188 &amp; "', '" &amp; D188 &amp; "', '" &amp; E188 &amp; "', '" &amp; TEXT(F188, "yyyy-mm-dd") &amp; "', '" &amp; G188 &amp; "', '" &amp; H188 &amp; "', '" &amp; I188 &amp; "', '" &amp; J188 &amp; "', '" &amp; K188 &amp; "', '" &amp; L188 &amp; "', '" &amp; M188 &amp; "', '" &amp; N188 &amp; "', '" &amp; O188 &amp; "', '" &amp; P188 &amp; "', '" &amp; Q188 &amp; "', '" &amp; R188 &amp; "');"</f>
        <v>(187,'med198', 'pswmed198', 'José Maria Domingues Nunes', 'Masculino', '1932-12-12', 'Rua da Prata', '2825-819', 'Costa de Caparica', 'Médico', 'Portuguesa', 'Bilhete de Identidade', '74770193', '451473099', '244018326', '928663067', 'med198@hospital.upskill.com', 'doctor-male.jpg');</v>
      </c>
      <c r="X188" t="str">
        <f>"(" &amp;A188 &amp; ",'" &amp; S188 &amp; "', '" &amp; T188 &amp; "');"</f>
        <v>(187,'4372320463529390', '37');</v>
      </c>
      <c r="Y188" t="str">
        <f>"(" &amp;A188 &amp; ");"</f>
        <v>(187);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C95A-1D62-41E4-8047-BE8F382ECF94}">
  <dimension ref="A1:Y11"/>
  <sheetViews>
    <sheetView tabSelected="1" workbookViewId="0">
      <selection activeCell="R2" sqref="R2:R11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7" max="17" width="13" customWidth="1"/>
    <col min="18" max="18" width="10.28515625" customWidth="1"/>
    <col min="19" max="19" width="17.28515625" bestFit="1" customWidth="1"/>
    <col min="24" max="24" width="13.140625" customWidth="1"/>
  </cols>
  <sheetData>
    <row r="1" spans="1:25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2025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W1" s="5" t="s">
        <v>3735</v>
      </c>
      <c r="X1" s="5" t="s">
        <v>3833</v>
      </c>
      <c r="Y1" s="5" t="s">
        <v>3737</v>
      </c>
    </row>
    <row r="2" spans="1:25" x14ac:dyDescent="0.25">
      <c r="A2">
        <v>386</v>
      </c>
      <c r="B2" t="s">
        <v>3743</v>
      </c>
      <c r="C2" t="s">
        <v>3744</v>
      </c>
      <c r="D2" t="s">
        <v>3773</v>
      </c>
      <c r="E2" t="s">
        <v>53</v>
      </c>
      <c r="F2" s="7">
        <v>32673</v>
      </c>
      <c r="G2" t="s">
        <v>259</v>
      </c>
      <c r="H2" t="s">
        <v>3774</v>
      </c>
      <c r="I2" t="s">
        <v>210</v>
      </c>
      <c r="J2" t="s">
        <v>3742</v>
      </c>
      <c r="K2" t="s">
        <v>225</v>
      </c>
      <c r="L2" t="s">
        <v>265</v>
      </c>
      <c r="M2" t="s">
        <v>3775</v>
      </c>
      <c r="N2" t="s">
        <v>3776</v>
      </c>
      <c r="O2" t="s">
        <v>3777</v>
      </c>
      <c r="P2" t="s">
        <v>3778</v>
      </c>
      <c r="Q2" t="s">
        <v>3745</v>
      </c>
      <c r="R2" t="str">
        <f>IF(E2="Feminino","user-female.jpg","user-male.jpg")</f>
        <v>user-male.jpg</v>
      </c>
      <c r="S2" s="8"/>
      <c r="W2" t="str">
        <f>"VALUES (" &amp;A2 &amp; 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(386,'rec001', 'pswrec001', 'Santiago Assunção Vieira', 'Masculino', '1989-06-14', 'Rua da Alfândega', '2614-241', 'Amadora', 'Recepcionista', 'Portuguesa', 'Bilhete de Identidade', '76127900', '213459174', '630516313', '912802112', 'rec001@hospital.upskill.com', 'user-male.jpg'),</v>
      </c>
      <c r="X2" t="str">
        <f>"VALUES (" &amp;A2 &amp; "),"</f>
        <v>VALUES (386),</v>
      </c>
      <c r="Y2" t="str">
        <f>"VALUES (" &amp;A2 &amp; "),"</f>
        <v>VALUES (386),</v>
      </c>
    </row>
    <row r="3" spans="1:25" x14ac:dyDescent="0.25">
      <c r="A3">
        <v>387</v>
      </c>
      <c r="B3" t="s">
        <v>3746</v>
      </c>
      <c r="C3" t="s">
        <v>3747</v>
      </c>
      <c r="D3" t="s">
        <v>3779</v>
      </c>
      <c r="E3" t="s">
        <v>53</v>
      </c>
      <c r="F3" s="7">
        <v>20278</v>
      </c>
      <c r="G3" t="s">
        <v>252</v>
      </c>
      <c r="H3" t="s">
        <v>3780</v>
      </c>
      <c r="I3" t="s">
        <v>208</v>
      </c>
      <c r="J3" t="s">
        <v>3742</v>
      </c>
      <c r="K3" t="s">
        <v>225</v>
      </c>
      <c r="L3" t="s">
        <v>265</v>
      </c>
      <c r="M3" t="s">
        <v>3781</v>
      </c>
      <c r="N3" t="s">
        <v>3782</v>
      </c>
      <c r="O3" t="s">
        <v>3783</v>
      </c>
      <c r="P3" t="s">
        <v>3784</v>
      </c>
      <c r="Q3" t="s">
        <v>3748</v>
      </c>
      <c r="R3" t="str">
        <f t="shared" ref="R3:R11" si="0">IF(E3="Feminino","user-female.jpg","user-male.jpg")</f>
        <v>user-male.jpg</v>
      </c>
      <c r="S3" s="8"/>
      <c r="W3" t="str">
        <f>"(" &amp;A3 &amp; 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(387,'rec002', 'pswrec002', 'José Pires Antunes', 'Masculino', '1955-07-08', 'Rua de São Julião', '2900-411', 'Setúbal', 'Recepcionista', 'Portuguesa', 'Bilhete de Identidade', '41324617', '848321758', '586932508', '966229913', 'rec002@hospital.upskill.com', 'user-male.jpg'),</v>
      </c>
      <c r="X3" t="str">
        <f>"(" &amp;A3 &amp; "),"</f>
        <v>(387),</v>
      </c>
      <c r="Y3" t="str">
        <f>"(" &amp;A3 &amp; "),"</f>
        <v>(387),</v>
      </c>
    </row>
    <row r="4" spans="1:25" x14ac:dyDescent="0.25">
      <c r="A4">
        <v>388</v>
      </c>
      <c r="B4" t="s">
        <v>3749</v>
      </c>
      <c r="C4" t="s">
        <v>3750</v>
      </c>
      <c r="D4" t="s">
        <v>3785</v>
      </c>
      <c r="E4" t="s">
        <v>66</v>
      </c>
      <c r="F4" s="7">
        <v>19981</v>
      </c>
      <c r="G4" t="s">
        <v>254</v>
      </c>
      <c r="H4" t="s">
        <v>3786</v>
      </c>
      <c r="I4" t="s">
        <v>210</v>
      </c>
      <c r="J4" t="s">
        <v>3742</v>
      </c>
      <c r="K4" t="s">
        <v>225</v>
      </c>
      <c r="L4" t="s">
        <v>265</v>
      </c>
      <c r="M4" t="s">
        <v>3787</v>
      </c>
      <c r="N4" t="s">
        <v>3788</v>
      </c>
      <c r="O4" t="s">
        <v>3789</v>
      </c>
      <c r="P4" t="s">
        <v>3790</v>
      </c>
      <c r="Q4" t="s">
        <v>3751</v>
      </c>
      <c r="R4" t="str">
        <f t="shared" si="0"/>
        <v>user-female.jpg</v>
      </c>
      <c r="S4" s="8"/>
      <c r="W4" t="str">
        <f t="shared" ref="W4:W10" si="1">"(" &amp;A4 &amp; 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(388,'rec003', 'pswrec003', 'Catarina Sofia Cunha Gomes', 'Feminino', '1954-09-14', 'Rua do Sacramento à Lapa', '2654-228', 'Amadora', 'Recepcionista', 'Portuguesa', 'Bilhete de Identidade', '47409942', '858039431', '349866136', '934738939', 'rec003@hospital.upskill.com', 'user-female.jpg'),</v>
      </c>
      <c r="X4" t="str">
        <f t="shared" ref="X4:X10" si="2">"(" &amp;A4 &amp; "),"</f>
        <v>(388),</v>
      </c>
      <c r="Y4" t="str">
        <f t="shared" ref="Y4:Y10" si="3">"(" &amp;A4 &amp; "),"</f>
        <v>(388),</v>
      </c>
    </row>
    <row r="5" spans="1:25" x14ac:dyDescent="0.25">
      <c r="A5">
        <v>389</v>
      </c>
      <c r="B5" t="s">
        <v>3752</v>
      </c>
      <c r="C5" t="s">
        <v>3753</v>
      </c>
      <c r="D5" t="s">
        <v>3791</v>
      </c>
      <c r="E5" t="s">
        <v>53</v>
      </c>
      <c r="F5" s="7">
        <v>25381</v>
      </c>
      <c r="G5" t="s">
        <v>236</v>
      </c>
      <c r="H5" t="s">
        <v>3792</v>
      </c>
      <c r="I5" t="s">
        <v>211</v>
      </c>
      <c r="J5" t="s">
        <v>3742</v>
      </c>
      <c r="K5" t="s">
        <v>225</v>
      </c>
      <c r="L5" t="s">
        <v>265</v>
      </c>
      <c r="M5" t="s">
        <v>3793</v>
      </c>
      <c r="N5" t="s">
        <v>3794</v>
      </c>
      <c r="O5" t="s">
        <v>3795</v>
      </c>
      <c r="P5" t="s">
        <v>3796</v>
      </c>
      <c r="Q5" t="s">
        <v>3754</v>
      </c>
      <c r="R5" t="str">
        <f t="shared" si="0"/>
        <v>user-male.jpg</v>
      </c>
      <c r="S5" s="8"/>
      <c r="W5" t="str">
        <f t="shared" si="1"/>
        <v>(389,'rec004', 'pswrec004', 'Duarte José Miranda Oliveira', 'Masculino', '1969-06-27', 'Rua da Madalena', '1449-634', 'Lisboa', 'Recepcionista', 'Portuguesa', 'Bilhete de Identidade', '76178103', '427188848', '995257896', '918829948', 'rec004@hospital.upskill.com', 'user-male.jpg'),</v>
      </c>
      <c r="X5" t="str">
        <f t="shared" si="2"/>
        <v>(389),</v>
      </c>
      <c r="Y5" t="str">
        <f t="shared" si="3"/>
        <v>(389),</v>
      </c>
    </row>
    <row r="6" spans="1:25" x14ac:dyDescent="0.25">
      <c r="A6">
        <v>390</v>
      </c>
      <c r="B6" t="s">
        <v>3755</v>
      </c>
      <c r="C6" t="s">
        <v>3756</v>
      </c>
      <c r="D6" t="s">
        <v>3797</v>
      </c>
      <c r="E6" t="s">
        <v>53</v>
      </c>
      <c r="F6" s="7">
        <v>30930</v>
      </c>
      <c r="G6" t="s">
        <v>246</v>
      </c>
      <c r="H6" t="s">
        <v>3798</v>
      </c>
      <c r="I6" t="s">
        <v>211</v>
      </c>
      <c r="J6" t="s">
        <v>3742</v>
      </c>
      <c r="K6" t="s">
        <v>225</v>
      </c>
      <c r="L6" t="s">
        <v>265</v>
      </c>
      <c r="M6" t="s">
        <v>3799</v>
      </c>
      <c r="N6" t="s">
        <v>3800</v>
      </c>
      <c r="O6" t="s">
        <v>3801</v>
      </c>
      <c r="P6" t="s">
        <v>3802</v>
      </c>
      <c r="Q6" t="s">
        <v>3757</v>
      </c>
      <c r="R6" t="str">
        <f t="shared" si="0"/>
        <v>user-male.jpg</v>
      </c>
      <c r="S6" s="8"/>
      <c r="W6" t="str">
        <f t="shared" si="1"/>
        <v>(390,'rec005', 'pswrec005', 'Santiago Matilde Figueiredo Figueiredo', 'Masculino', '1984-09-05', 'Rua do Guarda-Mor', '1549-731', 'Lisboa', 'Recepcionista', 'Portuguesa', 'Bilhete de Identidade', '62507076', '634350831', '684226986', '931373585', 'rec005@hospital.upskill.com', 'user-male.jpg'),</v>
      </c>
      <c r="X6" t="str">
        <f t="shared" si="2"/>
        <v>(390),</v>
      </c>
      <c r="Y6" t="str">
        <f t="shared" si="3"/>
        <v>(390),</v>
      </c>
    </row>
    <row r="7" spans="1:25" x14ac:dyDescent="0.25">
      <c r="A7">
        <v>391</v>
      </c>
      <c r="B7" t="s">
        <v>3758</v>
      </c>
      <c r="C7" t="s">
        <v>3759</v>
      </c>
      <c r="D7" t="s">
        <v>3803</v>
      </c>
      <c r="E7" t="s">
        <v>53</v>
      </c>
      <c r="F7" s="7">
        <v>32308</v>
      </c>
      <c r="G7" t="s">
        <v>241</v>
      </c>
      <c r="H7" t="s">
        <v>3804</v>
      </c>
      <c r="I7" t="s">
        <v>210</v>
      </c>
      <c r="J7" t="s">
        <v>3742</v>
      </c>
      <c r="K7" t="s">
        <v>225</v>
      </c>
      <c r="L7" t="s">
        <v>265</v>
      </c>
      <c r="M7" t="s">
        <v>3805</v>
      </c>
      <c r="N7" t="s">
        <v>3806</v>
      </c>
      <c r="O7" t="s">
        <v>3807</v>
      </c>
      <c r="P7" t="s">
        <v>3808</v>
      </c>
      <c r="Q7" t="s">
        <v>3760</v>
      </c>
      <c r="R7" t="str">
        <f t="shared" si="0"/>
        <v>user-male.jpg</v>
      </c>
      <c r="S7" s="8"/>
      <c r="W7" t="str">
        <f t="shared" si="1"/>
        <v>(391,'rec006', 'pswrec006', 'Duarte Luís Castro Antunes', 'Masculino', '1988-06-14', 'Rua da Prata', '2654-578', 'Amadora', 'Recepcionista', 'Portuguesa', 'Bilhete de Identidade', '91496657', '489716842', '539816581', '963125267', 'rec006@hospital.upskill.com', 'user-male.jpg'),</v>
      </c>
      <c r="X7" t="str">
        <f t="shared" si="2"/>
        <v>(391),</v>
      </c>
      <c r="Y7" t="str">
        <f t="shared" si="3"/>
        <v>(391),</v>
      </c>
    </row>
    <row r="8" spans="1:25" x14ac:dyDescent="0.25">
      <c r="A8">
        <v>392</v>
      </c>
      <c r="B8" t="s">
        <v>3761</v>
      </c>
      <c r="C8" t="s">
        <v>3762</v>
      </c>
      <c r="D8" t="s">
        <v>3809</v>
      </c>
      <c r="E8" t="s">
        <v>53</v>
      </c>
      <c r="F8" s="7">
        <v>25566</v>
      </c>
      <c r="G8" t="s">
        <v>238</v>
      </c>
      <c r="H8" t="s">
        <v>3810</v>
      </c>
      <c r="I8" t="s">
        <v>211</v>
      </c>
      <c r="J8" t="s">
        <v>3742</v>
      </c>
      <c r="K8" t="s">
        <v>225</v>
      </c>
      <c r="L8" t="s">
        <v>265</v>
      </c>
      <c r="M8" t="s">
        <v>3811</v>
      </c>
      <c r="N8" t="s">
        <v>3812</v>
      </c>
      <c r="O8" t="s">
        <v>3813</v>
      </c>
      <c r="P8" t="s">
        <v>3814</v>
      </c>
      <c r="Q8" t="s">
        <v>3763</v>
      </c>
      <c r="R8" t="str">
        <f t="shared" si="0"/>
        <v>user-male.jpg</v>
      </c>
      <c r="S8" s="8"/>
      <c r="W8" t="str">
        <f t="shared" si="1"/>
        <v>(392,'rec007', 'pswrec007', 'Tiago Rodrigo Cunha Ramos', 'Masculino', '1969-12-29', 'Calçada do Moinho de Vento', '1349-564', 'Lisboa', 'Recepcionista', 'Portuguesa', 'Bilhete de Identidade', '63387806', '829988758', '815702121', '914945528', 'rec007@hospital.upskill.com', 'user-male.jpg'),</v>
      </c>
      <c r="X8" t="str">
        <f t="shared" si="2"/>
        <v>(392),</v>
      </c>
      <c r="Y8" t="str">
        <f t="shared" si="3"/>
        <v>(392),</v>
      </c>
    </row>
    <row r="9" spans="1:25" x14ac:dyDescent="0.25">
      <c r="A9">
        <v>393</v>
      </c>
      <c r="B9" t="s">
        <v>3764</v>
      </c>
      <c r="C9" t="s">
        <v>3765</v>
      </c>
      <c r="D9" t="s">
        <v>3815</v>
      </c>
      <c r="E9" t="s">
        <v>53</v>
      </c>
      <c r="F9" s="7">
        <v>31761</v>
      </c>
      <c r="G9" t="s">
        <v>256</v>
      </c>
      <c r="H9" t="s">
        <v>3816</v>
      </c>
      <c r="I9" t="s">
        <v>207</v>
      </c>
      <c r="J9" t="s">
        <v>3742</v>
      </c>
      <c r="K9" t="s">
        <v>225</v>
      </c>
      <c r="L9" t="s">
        <v>265</v>
      </c>
      <c r="M9" t="s">
        <v>3817</v>
      </c>
      <c r="N9" t="s">
        <v>3818</v>
      </c>
      <c r="O9" t="s">
        <v>3819</v>
      </c>
      <c r="P9" t="s">
        <v>3820</v>
      </c>
      <c r="Q9" t="s">
        <v>3766</v>
      </c>
      <c r="R9" t="str">
        <f t="shared" si="0"/>
        <v>user-male.jpg</v>
      </c>
      <c r="S9" s="8"/>
      <c r="W9" t="str">
        <f t="shared" si="1"/>
        <v>(393,'rec008', 'pswrec008', 'Gabriel João Torres Ferreira', 'Masculino', '1986-12-15', 'Travessa de São João da Praça', '2745-266', 'Queluz', 'Recepcionista', 'Portuguesa', 'Bilhete de Identidade', '93447178', '267136156', '608205890', '911291253', 'rec008@hospital.upskill.com', 'user-male.jpg'),</v>
      </c>
      <c r="X9" t="str">
        <f t="shared" si="2"/>
        <v>(393),</v>
      </c>
      <c r="Y9" t="str">
        <f t="shared" si="3"/>
        <v>(393),</v>
      </c>
    </row>
    <row r="10" spans="1:25" x14ac:dyDescent="0.25">
      <c r="A10">
        <v>394</v>
      </c>
      <c r="B10" t="s">
        <v>3767</v>
      </c>
      <c r="C10" t="s">
        <v>3768</v>
      </c>
      <c r="D10" t="s">
        <v>3821</v>
      </c>
      <c r="E10" t="s">
        <v>53</v>
      </c>
      <c r="F10" s="7">
        <v>25164</v>
      </c>
      <c r="G10" t="s">
        <v>226</v>
      </c>
      <c r="H10" t="s">
        <v>3822</v>
      </c>
      <c r="I10" t="s">
        <v>220</v>
      </c>
      <c r="J10" t="s">
        <v>3742</v>
      </c>
      <c r="K10" t="s">
        <v>225</v>
      </c>
      <c r="L10" t="s">
        <v>265</v>
      </c>
      <c r="M10" t="s">
        <v>3823</v>
      </c>
      <c r="N10" t="s">
        <v>3824</v>
      </c>
      <c r="O10" t="s">
        <v>3825</v>
      </c>
      <c r="P10" t="s">
        <v>3826</v>
      </c>
      <c r="Q10" t="s">
        <v>3769</v>
      </c>
      <c r="R10" t="str">
        <f t="shared" si="0"/>
        <v>user-male.jpg</v>
      </c>
      <c r="S10" s="8"/>
      <c r="W10" t="str">
        <f t="shared" si="1"/>
        <v>(394,'rec009', 'pswrec009', 'Tiago Inês Pereira Henriques', 'Masculino', '1968-11-22', 'Rua do Arsenal', '2750-876', 'Cascais', 'Recepcionista', 'Portuguesa', 'Bilhete de Identidade', '37567118', '587506877', '884609656', '966490826', 'rec009@hospital.upskill.com', 'user-male.jpg'),</v>
      </c>
      <c r="X10" t="str">
        <f t="shared" si="2"/>
        <v>(394),</v>
      </c>
      <c r="Y10" t="str">
        <f t="shared" si="3"/>
        <v>(394),</v>
      </c>
    </row>
    <row r="11" spans="1:25" x14ac:dyDescent="0.25">
      <c r="A11">
        <v>395</v>
      </c>
      <c r="B11" t="s">
        <v>3770</v>
      </c>
      <c r="C11" t="s">
        <v>3771</v>
      </c>
      <c r="D11" t="s">
        <v>3827</v>
      </c>
      <c r="E11" t="s">
        <v>53</v>
      </c>
      <c r="F11" s="7">
        <v>33052</v>
      </c>
      <c r="G11" t="s">
        <v>241</v>
      </c>
      <c r="H11" t="s">
        <v>3828</v>
      </c>
      <c r="I11" t="s">
        <v>217</v>
      </c>
      <c r="J11" t="s">
        <v>3742</v>
      </c>
      <c r="K11" t="s">
        <v>225</v>
      </c>
      <c r="L11" t="s">
        <v>265</v>
      </c>
      <c r="M11" t="s">
        <v>3829</v>
      </c>
      <c r="N11" t="s">
        <v>3830</v>
      </c>
      <c r="O11" t="s">
        <v>3831</v>
      </c>
      <c r="P11" t="s">
        <v>3832</v>
      </c>
      <c r="Q11" t="s">
        <v>3772</v>
      </c>
      <c r="R11" t="str">
        <f t="shared" si="0"/>
        <v>user-male.jpg</v>
      </c>
      <c r="S11" s="8"/>
      <c r="W11" t="str">
        <f>"(" &amp;A11 &amp; ",'" &amp; B11 &amp; "', '" &amp; C11 &amp; "', '" &amp; D11 &amp; "', '" &amp; E11 &amp; "', '" &amp; TEXT(F11, "yyyy-mm-dd") &amp; "', '" &amp; G11 &amp; "', '" &amp; H11 &amp; "', '" &amp; I11 &amp; "', '" &amp; J11 &amp; "', '" &amp; K11 &amp; "', '" &amp; L11 &amp; "', '" &amp; M11 &amp; "', '" &amp; N11 &amp; "', '" &amp; O11 &amp; "', '" &amp; P11 &amp; "', '" &amp; Q11 &amp; "', '" &amp; R11 &amp; "');"</f>
        <v>(395,'rec010', 'pswrec010', 'Marco Inês Reis Araújo', 'Masculino', '1990-06-28', 'Rua da Prata', '2829-427', 'Caparica', 'Recepcionista', 'Portuguesa', 'Bilhete de Identidade', '50227653', '692666346', '144598948', '939877634', 'rec010@hospital.upskill.com', 'user-male.jpg');</v>
      </c>
      <c r="X11" t="str">
        <f>"(" &amp;A11 &amp; ");"</f>
        <v>(395);</v>
      </c>
      <c r="Y11" t="str">
        <f>"(" &amp;A11 &amp; ");"</f>
        <v>(395);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Especialidades</vt:lpstr>
      <vt:lpstr>Nomes</vt:lpstr>
      <vt:lpstr>rua_cod</vt:lpstr>
      <vt:lpstr>Users</vt:lpstr>
      <vt:lpstr>Médicos</vt:lpstr>
      <vt:lpstr>Receptionist</vt:lpstr>
      <vt:lpstr>doctor_has_Speciality</vt:lpstr>
      <vt:lpstr>patient_db</vt:lpstr>
      <vt:lpstr>Medicos_db</vt:lpstr>
      <vt:lpstr>Receptionist_db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André</dc:creator>
  <cp:lastModifiedBy>Pedro André</cp:lastModifiedBy>
  <dcterms:created xsi:type="dcterms:W3CDTF">2021-02-22T16:28:19Z</dcterms:created>
  <dcterms:modified xsi:type="dcterms:W3CDTF">2021-03-04T23:19:09Z</dcterms:modified>
</cp:coreProperties>
</file>