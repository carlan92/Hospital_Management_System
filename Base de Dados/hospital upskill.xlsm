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451B2D1B-A828-41AF-9C20-6B20FD96A8FA}" xr6:coauthVersionLast="46" xr6:coauthVersionMax="46" xr10:uidLastSave="{00000000-0000-0000-0000-000000000000}"/>
  <bookViews>
    <workbookView xWindow="28680" yWindow="-105" windowWidth="29040" windowHeight="15840" tabRatio="620" activeTab="4" xr2:uid="{270685B3-54EC-403D-A000-F7A56B1F5F8F}"/>
  </bookViews>
  <sheets>
    <sheet name="Especialidades" sheetId="1" r:id="rId1"/>
    <sheet name="Nomes" sheetId="2" r:id="rId2"/>
    <sheet name="Users" sheetId="3" r:id="rId3"/>
    <sheet name="rua_cod" sheetId="4" r:id="rId4"/>
    <sheet name="user_db" sheetId="5" r:id="rId5"/>
    <sheet name="Médicos" sheetId="6" r:id="rId6"/>
    <sheet name="Medicos_db" sheetId="7" r:id="rId7"/>
    <sheet name="doctor_has_Speciality" sheetId="8" r:id="rId8"/>
  </sheets>
  <functionGroups builtInGroupCount="19"/>
  <definedNames>
    <definedName name="_xlnm._FilterDatabase" localSheetId="1" hidden="1">Nomes!$A$1:$E$1</definedName>
    <definedName name="_xlnm._FilterDatabase" localSheetId="3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88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E199" i="6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E198" i="6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E197" i="6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E196" i="6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E195" i="6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E194" i="6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E193" i="6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E192" i="6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E191" i="6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E190" i="6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E189" i="6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E188" i="6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E187" i="6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E186" i="6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E185" i="6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E184" i="6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E183" i="6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E182" i="6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E181" i="6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E180" i="6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E179" i="6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E178" i="6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E177" i="6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E176" i="6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E175" i="6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E174" i="6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E173" i="6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E172" i="6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E171" i="6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E170" i="6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E169" i="6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E168" i="6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E167" i="6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E166" i="6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E165" i="6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E164" i="6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E163" i="6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E162" i="6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E161" i="6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E160" i="6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E159" i="6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E158" i="6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E157" i="6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E156" i="6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E155" i="6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E154" i="6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E153" i="6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E152" i="6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E151" i="6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E150" i="6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E149" i="6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E148" i="6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E147" i="6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E146" i="6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E145" i="6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E144" i="6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E143" i="6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E142" i="6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E141" i="6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E140" i="6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E139" i="6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E138" i="6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E137" i="6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E136" i="6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E135" i="6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E134" i="6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E133" i="6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E132" i="6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E131" i="6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E130" i="6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E129" i="6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E128" i="6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E127" i="6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E126" i="6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E125" i="6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E124" i="6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E123" i="6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E122" i="6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E121" i="6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E120" i="6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E119" i="6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E118" i="6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E117" i="6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E116" i="6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E115" i="6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E114" i="6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E113" i="6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E112" i="6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E111" i="6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E110" i="6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E109" i="6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E108" i="6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E107" i="6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E106" i="6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E105" i="6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E104" i="6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E103" i="6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E102" i="6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E101" i="6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E100" i="6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E99" i="6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E98" i="6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E97" i="6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E96" i="6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E95" i="6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E94" i="6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E93" i="6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E92" i="6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E91" i="6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E90" i="6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E89" i="6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E88" i="6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E87" i="6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E86" i="6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E85" i="6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E84" i="6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E83" i="6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E82" i="6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E81" i="6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E80" i="6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E79" i="6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E78" i="6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E77" i="6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E76" i="6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E75" i="6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E74" i="6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E73" i="6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E72" i="6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E71" i="6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E70" i="6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E69" i="6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E68" i="6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E67" i="6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E66" i="6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E65" i="6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E64" i="6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E63" i="6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E62" i="6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E61" i="6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E60" i="6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E59" i="6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E58" i="6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E57" i="6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E56" i="6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E55" i="6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E54" i="6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E53" i="6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E52" i="6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E51" i="6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E50" i="6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E49" i="6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E48" i="6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E47" i="6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E46" i="6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E45" i="6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E44" i="6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E43" i="6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E42" i="6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E41" i="6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E40" i="6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E39" i="6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E38" i="6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E37" i="6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E36" i="6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E35" i="6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E34" i="6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E33" i="6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E32" i="6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E31" i="6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E30" i="6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E29" i="6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E28" i="6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E27" i="6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E26" i="6"/>
  <c r="AB25" i="6"/>
  <c r="AD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E25" i="6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E24" i="6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E23" i="6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E22" i="6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E21" i="6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E20" i="6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E19" i="6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E18" i="6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E17" i="6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E16" i="6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E15" i="6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E14" i="6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E13" i="6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E12" i="6"/>
  <c r="D12" i="6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E11" i="6"/>
  <c r="D11" i="6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E10" i="6"/>
  <c r="D10" i="6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E9" i="6"/>
  <c r="D9" i="6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E8" i="6"/>
  <c r="D8" i="6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E7" i="6"/>
  <c r="D7" i="6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E6" i="6"/>
  <c r="D6" i="6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E5" i="6"/>
  <c r="D5" i="6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E4" i="6"/>
  <c r="D4" i="6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E3" i="6"/>
  <c r="D3" i="6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E2" i="6"/>
  <c r="D2" i="6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" i="3"/>
  <c r="D3" i="3"/>
  <c r="D4" i="3"/>
  <c r="D5" i="3"/>
  <c r="D6" i="3"/>
  <c r="D7" i="3"/>
  <c r="D8" i="3"/>
  <c r="D9" i="3"/>
  <c r="D10" i="3"/>
  <c r="D11" i="3"/>
  <c r="D12" i="3"/>
  <c r="D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4" i="2"/>
  <c r="S5" i="2"/>
  <c r="S6" i="2"/>
  <c r="S7" i="2"/>
  <c r="S8" i="2"/>
  <c r="S9" i="2"/>
  <c r="S10" i="2"/>
  <c r="S11" i="2"/>
  <c r="S12" i="2"/>
  <c r="S13" i="2"/>
  <c r="S3" i="2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" i="2"/>
  <c r="O2" i="2" s="1" a="1"/>
  <c r="O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3" i="2"/>
  <c r="T3" i="2" s="1"/>
  <c r="I4" i="2"/>
  <c r="T4" i="2" s="1"/>
  <c r="I5" i="2"/>
  <c r="T5" i="2" s="1"/>
  <c r="I6" i="2"/>
  <c r="T6" i="2" s="1"/>
  <c r="I7" i="2"/>
  <c r="T7" i="2" s="1"/>
  <c r="I8" i="2"/>
  <c r="T8" i="2" s="1"/>
  <c r="I9" i="2"/>
  <c r="T9" i="2" s="1"/>
  <c r="I10" i="2"/>
  <c r="T10" i="2" s="1"/>
  <c r="I11" i="2"/>
  <c r="T11" i="2" s="1"/>
  <c r="I12" i="2"/>
  <c r="T12" i="2" s="1"/>
  <c r="I13" i="2"/>
  <c r="T13" i="2" s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2" i="2"/>
  <c r="N2" i="2" s="1" a="1"/>
  <c r="N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H194" i="6" l="1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150" i="2"/>
  <c r="T124" i="2"/>
  <c r="T48" i="2"/>
  <c r="T46" i="2"/>
  <c r="T117" i="2"/>
  <c r="T38" i="2"/>
  <c r="T188" i="2"/>
  <c r="T164" i="2"/>
  <c r="T140" i="2"/>
  <c r="T116" i="2"/>
  <c r="T92" i="2"/>
  <c r="T68" i="2"/>
  <c r="T44" i="2"/>
  <c r="T37" i="2"/>
  <c r="T43" i="2"/>
  <c r="T27" i="2"/>
  <c r="T26" i="2"/>
  <c r="T25" i="2"/>
  <c r="T126" i="2"/>
  <c r="T173" i="2"/>
  <c r="T76" i="2"/>
  <c r="T75" i="2"/>
  <c r="T20" i="2"/>
  <c r="T49" i="2"/>
  <c r="T189" i="2"/>
  <c r="T36" i="2"/>
  <c r="T186" i="2"/>
  <c r="T162" i="2"/>
  <c r="T138" i="2"/>
  <c r="T114" i="2"/>
  <c r="T90" i="2"/>
  <c r="T66" i="2"/>
  <c r="T42" i="2"/>
  <c r="T125" i="2"/>
  <c r="T118" i="2"/>
  <c r="T35" i="2"/>
  <c r="T185" i="2"/>
  <c r="T161" i="2"/>
  <c r="T137" i="2"/>
  <c r="T113" i="2"/>
  <c r="T89" i="2"/>
  <c r="T65" i="2"/>
  <c r="T41" i="2"/>
  <c r="T198" i="2"/>
  <c r="T23" i="2"/>
  <c r="T100" i="2"/>
  <c r="T21" i="2"/>
  <c r="T69" i="2"/>
  <c r="T34" i="2"/>
  <c r="T184" i="2"/>
  <c r="T160" i="2"/>
  <c r="T136" i="2"/>
  <c r="T112" i="2"/>
  <c r="T88" i="2"/>
  <c r="T64" i="2"/>
  <c r="T40" i="2"/>
  <c r="T149" i="2"/>
  <c r="T52" i="2"/>
  <c r="T19" i="2"/>
  <c r="T190" i="2"/>
  <c r="T45" i="2"/>
  <c r="T33" i="2"/>
  <c r="T183" i="2"/>
  <c r="T159" i="2"/>
  <c r="T135" i="2"/>
  <c r="T111" i="2"/>
  <c r="T87" i="2"/>
  <c r="T63" i="2"/>
  <c r="T39" i="2"/>
  <c r="T174" i="2"/>
  <c r="T53" i="2"/>
  <c r="T22" i="2"/>
  <c r="T51" i="2"/>
  <c r="T70" i="2"/>
  <c r="T93" i="2"/>
  <c r="T32" i="2"/>
  <c r="T182" i="2"/>
  <c r="T158" i="2"/>
  <c r="T134" i="2"/>
  <c r="T110" i="2"/>
  <c r="T86" i="2"/>
  <c r="T62" i="2"/>
  <c r="T141" i="2"/>
  <c r="T31" i="2"/>
  <c r="T181" i="2"/>
  <c r="T157" i="2"/>
  <c r="T133" i="2"/>
  <c r="T109" i="2"/>
  <c r="T85" i="2"/>
  <c r="T61" i="2"/>
  <c r="T24" i="2"/>
  <c r="T101" i="2"/>
  <c r="T148" i="2"/>
  <c r="T94" i="2"/>
  <c r="T30" i="2"/>
  <c r="T180" i="2"/>
  <c r="T156" i="2"/>
  <c r="T132" i="2"/>
  <c r="T108" i="2"/>
  <c r="T84" i="2"/>
  <c r="T60" i="2"/>
  <c r="T77" i="2"/>
  <c r="T172" i="2"/>
  <c r="T142" i="2"/>
  <c r="T165" i="2"/>
  <c r="T29" i="2"/>
  <c r="T179" i="2"/>
  <c r="T155" i="2"/>
  <c r="T131" i="2"/>
  <c r="T107" i="2"/>
  <c r="T83" i="2"/>
  <c r="T59" i="2"/>
  <c r="T50" i="2"/>
  <c r="T197" i="2"/>
  <c r="T196" i="2"/>
  <c r="T166" i="2"/>
  <c r="T28" i="2"/>
  <c r="T195" i="2"/>
  <c r="T99" i="2"/>
  <c r="T194" i="2"/>
  <c r="T170" i="2"/>
  <c r="T146" i="2"/>
  <c r="T122" i="2"/>
  <c r="T98" i="2"/>
  <c r="T74" i="2"/>
  <c r="T147" i="2"/>
  <c r="T193" i="2"/>
  <c r="T169" i="2"/>
  <c r="T145" i="2"/>
  <c r="T121" i="2"/>
  <c r="T97" i="2"/>
  <c r="T73" i="2"/>
  <c r="T171" i="2"/>
  <c r="T192" i="2"/>
  <c r="T168" i="2"/>
  <c r="T144" i="2"/>
  <c r="T120" i="2"/>
  <c r="T96" i="2"/>
  <c r="T72" i="2"/>
  <c r="T123" i="2"/>
  <c r="T191" i="2"/>
  <c r="T167" i="2"/>
  <c r="T143" i="2"/>
  <c r="T119" i="2"/>
  <c r="T95" i="2"/>
  <c r="T71" i="2"/>
  <c r="T47" i="2"/>
  <c r="T187" i="2"/>
  <c r="T163" i="2"/>
  <c r="T139" i="2"/>
  <c r="T115" i="2"/>
  <c r="T91" i="2"/>
  <c r="T67" i="2"/>
  <c r="T178" i="2"/>
  <c r="T154" i="2"/>
  <c r="T130" i="2"/>
  <c r="T106" i="2"/>
  <c r="T82" i="2"/>
  <c r="T58" i="2"/>
  <c r="T177" i="2"/>
  <c r="T153" i="2"/>
  <c r="T129" i="2"/>
  <c r="T105" i="2"/>
  <c r="T81" i="2"/>
  <c r="T57" i="2"/>
  <c r="T200" i="2"/>
  <c r="T176" i="2"/>
  <c r="T152" i="2"/>
  <c r="T128" i="2"/>
  <c r="T104" i="2"/>
  <c r="T80" i="2"/>
  <c r="T56" i="2"/>
  <c r="T199" i="2"/>
  <c r="T175" i="2"/>
  <c r="T151" i="2"/>
  <c r="T127" i="2"/>
  <c r="T103" i="2"/>
  <c r="T79" i="2"/>
  <c r="T55" i="2"/>
  <c r="T102" i="2"/>
  <c r="T78" i="2"/>
  <c r="T54" i="2"/>
  <c r="T17" i="2"/>
  <c r="T15" i="2"/>
  <c r="T14" i="2"/>
  <c r="T16" i="2"/>
  <c r="T18" i="2"/>
  <c r="M2" i="2" a="1"/>
  <c r="M2" i="2" s="1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1" i="3" a="1"/>
  <c r="B10" i="3" a="1"/>
  <c r="B6" i="3" a="1"/>
  <c r="B9" i="3" a="1"/>
  <c r="B8" i="3" a="1"/>
  <c r="B7" i="3" a="1"/>
  <c r="B5" i="3" a="1"/>
  <c r="B2" i="3" a="1"/>
  <c r="B4" i="3" a="1"/>
  <c r="B3" i="3" a="1"/>
  <c r="B12" i="3" a="1"/>
  <c r="B11" i="3" l="1"/>
  <c r="C11" i="3" s="1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B7" i="3"/>
  <c r="Q7" i="3" s="1" a="1"/>
  <c r="Q7" i="3" s="1"/>
  <c r="B12" i="3"/>
  <c r="C12" i="3" s="1"/>
  <c r="B9" i="3"/>
  <c r="C9" i="3" s="1"/>
  <c r="B8" i="3"/>
  <c r="C8" i="3" s="1"/>
  <c r="B3" i="3"/>
  <c r="C3" i="3" s="1"/>
  <c r="B4" i="3"/>
  <c r="C4" i="3" s="1"/>
  <c r="B2" i="3"/>
  <c r="R2" i="3" s="1"/>
  <c r="B5" i="3"/>
  <c r="C5" i="3" s="1"/>
  <c r="B6" i="3"/>
  <c r="C6" i="3" s="1"/>
  <c r="R11" i="3"/>
  <c r="Q11" i="3" a="1"/>
  <c r="Q11" i="3" s="1"/>
  <c r="W2" i="2"/>
  <c r="B30" i="3" a="1"/>
  <c r="B61" i="3" a="1"/>
  <c r="B73" i="3" a="1"/>
  <c r="B152" i="3" a="1"/>
  <c r="B35" i="3" a="1"/>
  <c r="B78" i="3" a="1"/>
  <c r="B43" i="3" a="1"/>
  <c r="B144" i="3" a="1"/>
  <c r="B194" i="3" a="1"/>
  <c r="B133" i="3" a="1"/>
  <c r="B104" i="3" a="1"/>
  <c r="B98" i="3" a="1"/>
  <c r="B160" i="3" a="1"/>
  <c r="B108" i="3" a="1"/>
  <c r="B51" i="3" a="1"/>
  <c r="B176" i="3" a="1"/>
  <c r="B175" i="3" a="1"/>
  <c r="B46" i="3" a="1"/>
  <c r="B189" i="3" a="1"/>
  <c r="B191" i="3" a="1"/>
  <c r="B76" i="3" a="1"/>
  <c r="B157" i="3" a="1"/>
  <c r="B86" i="3" a="1"/>
  <c r="B16" i="3" a="1"/>
  <c r="B162" i="3" a="1"/>
  <c r="B129" i="3" a="1"/>
  <c r="B177" i="3" a="1"/>
  <c r="B117" i="3" a="1"/>
  <c r="B37" i="3" a="1"/>
  <c r="B72" i="3" a="1"/>
  <c r="B79" i="3" a="1"/>
  <c r="B119" i="3" a="1"/>
  <c r="B80" i="3" a="1"/>
  <c r="B112" i="3" a="1"/>
  <c r="B54" i="3" a="1"/>
  <c r="B56" i="3" a="1"/>
  <c r="B199" i="3" a="1"/>
  <c r="B40" i="3" a="1"/>
  <c r="B36" i="3" a="1"/>
  <c r="B26" i="3" a="1"/>
  <c r="B85" i="3" a="1"/>
  <c r="B63" i="3" a="1"/>
  <c r="B15" i="3" a="1"/>
  <c r="B161" i="3" a="1"/>
  <c r="B82" i="3" a="1"/>
  <c r="B158" i="3" a="1"/>
  <c r="B110" i="3" a="1"/>
  <c r="B111" i="3" a="1"/>
  <c r="B32" i="3" a="1"/>
  <c r="B122" i="3" a="1"/>
  <c r="B88" i="3" a="1"/>
  <c r="B116" i="3" a="1"/>
  <c r="B49" i="3" a="1"/>
  <c r="B192" i="3" a="1"/>
  <c r="B113" i="3" a="1"/>
  <c r="B166" i="3" a="1"/>
  <c r="B130" i="3" a="1"/>
  <c r="B187" i="3" a="1"/>
  <c r="B91" i="3" a="1"/>
  <c r="B118" i="3" a="1"/>
  <c r="B39" i="3" a="1"/>
  <c r="B197" i="3" a="1"/>
  <c r="B17" i="3" a="1"/>
  <c r="B28" i="3" a="1"/>
  <c r="B81" i="3" a="1"/>
  <c r="B155" i="3" a="1"/>
  <c r="B14" i="3" a="1"/>
  <c r="B22" i="3" a="1"/>
  <c r="B190" i="3" a="1"/>
  <c r="B169" i="3" a="1"/>
  <c r="B101" i="3" a="1"/>
  <c r="B55" i="3" a="1"/>
  <c r="B179" i="3" a="1"/>
  <c r="B96" i="3" a="1"/>
  <c r="B57" i="3" a="1"/>
  <c r="B121" i="3" a="1"/>
  <c r="B181" i="3" a="1"/>
  <c r="B138" i="3" a="1"/>
  <c r="B75" i="3" a="1"/>
  <c r="B198" i="3" a="1"/>
  <c r="B13" i="3" a="1"/>
  <c r="B123" i="3" a="1"/>
  <c r="B62" i="3" a="1"/>
  <c r="B127" i="3" a="1"/>
  <c r="B126" i="3" a="1"/>
  <c r="B69" i="3" a="1"/>
  <c r="B173" i="3" a="1"/>
  <c r="B70" i="3" a="1"/>
  <c r="B68" i="3" a="1"/>
  <c r="B67" i="3" a="1"/>
  <c r="B83" i="3" a="1"/>
  <c r="B65" i="3" a="1"/>
  <c r="B180" i="3" a="1"/>
  <c r="B128" i="3" a="1"/>
  <c r="B154" i="3" a="1"/>
  <c r="B60" i="3" a="1"/>
  <c r="B168" i="3" a="1"/>
  <c r="B66" i="3" a="1"/>
  <c r="B102" i="3" a="1"/>
  <c r="B149" i="3" a="1"/>
  <c r="B94" i="3" a="1"/>
  <c r="B196" i="3" a="1"/>
  <c r="B64" i="3" a="1"/>
  <c r="B135" i="3" a="1"/>
  <c r="B142" i="3" a="1"/>
  <c r="B47" i="3" a="1"/>
  <c r="B172" i="3" a="1"/>
  <c r="B186" i="3" a="1"/>
  <c r="B114" i="3" a="1"/>
  <c r="B100" i="3" a="1"/>
  <c r="B45" i="3" a="1"/>
  <c r="B125" i="3" a="1"/>
  <c r="B74" i="3" a="1"/>
  <c r="B182" i="3" a="1"/>
  <c r="B156" i="3" a="1"/>
  <c r="B59" i="3" a="1"/>
  <c r="B18" i="3" a="1"/>
  <c r="B84" i="3" a="1"/>
  <c r="B89" i="3" a="1"/>
  <c r="B183" i="3" a="1"/>
  <c r="B27" i="3" a="1"/>
  <c r="B124" i="3" a="1"/>
  <c r="B90" i="3" a="1"/>
  <c r="B193" i="3" a="1"/>
  <c r="B171" i="3" a="1"/>
  <c r="B34" i="3" a="1"/>
  <c r="B139" i="3" a="1"/>
  <c r="B170" i="3" a="1"/>
  <c r="B87" i="3" a="1"/>
  <c r="B141" i="3" a="1"/>
  <c r="B132" i="3" a="1"/>
  <c r="B109" i="3" a="1"/>
  <c r="B151" i="3" a="1"/>
  <c r="B23" i="3" a="1"/>
  <c r="B163" i="3" a="1"/>
  <c r="B103" i="3" a="1"/>
  <c r="B25" i="3" a="1"/>
  <c r="B52" i="3" a="1"/>
  <c r="B105" i="3" a="1"/>
  <c r="B137" i="3" a="1"/>
  <c r="B41" i="3" a="1"/>
  <c r="B153" i="3" a="1"/>
  <c r="B38" i="3" a="1"/>
  <c r="B19" i="3" a="1"/>
  <c r="B131" i="3" a="1"/>
  <c r="B134" i="3" a="1"/>
  <c r="B120" i="3" a="1"/>
  <c r="B185" i="3" a="1"/>
  <c r="B159" i="3" a="1"/>
  <c r="B188" i="3" a="1"/>
  <c r="B174" i="3" a="1"/>
  <c r="B71" i="3" a="1"/>
  <c r="B148" i="3" a="1"/>
  <c r="B53" i="3" a="1"/>
  <c r="B147" i="3" a="1"/>
  <c r="B106" i="3" a="1"/>
  <c r="B95" i="3" a="1"/>
  <c r="B145" i="3" a="1"/>
  <c r="B97" i="3" a="1"/>
  <c r="B50" i="3" a="1"/>
  <c r="B21" i="3" a="1"/>
  <c r="B20" i="3" a="1"/>
  <c r="B164" i="3" a="1"/>
  <c r="B77" i="3" a="1"/>
  <c r="B99" i="3" a="1"/>
  <c r="B167" i="3" a="1"/>
  <c r="B58" i="3" a="1"/>
  <c r="B150" i="3" a="1"/>
  <c r="B195" i="3" a="1"/>
  <c r="B184" i="3" a="1"/>
  <c r="B115" i="3" a="1"/>
  <c r="B146" i="3" a="1"/>
  <c r="B165" i="3" a="1"/>
  <c r="B140" i="3" a="1"/>
  <c r="B93" i="3" a="1"/>
  <c r="B33" i="3" a="1"/>
  <c r="B48" i="3" a="1"/>
  <c r="B92" i="3" a="1"/>
  <c r="B42" i="3" a="1"/>
  <c r="B44" i="3" a="1"/>
  <c r="B107" i="3" a="1"/>
  <c r="B24" i="3" a="1"/>
  <c r="B178" i="3" a="1"/>
  <c r="B136" i="3" a="1"/>
  <c r="B31" i="3" a="1"/>
  <c r="B143" i="3" a="1"/>
  <c r="B29" i="3" a="1"/>
  <c r="C7" i="3" l="1"/>
  <c r="R9" i="3"/>
  <c r="R4" i="3"/>
  <c r="Q8" i="3" a="1"/>
  <c r="Q8" i="3" s="1"/>
  <c r="Q10" i="3" a="1"/>
  <c r="Q10" i="3" s="1"/>
  <c r="R10" i="3"/>
  <c r="B133" i="3"/>
  <c r="C133" i="3" s="1"/>
  <c r="B166" i="3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90" i="3" a="1"/>
  <c r="Q90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R6" i="3"/>
  <c r="R3" i="3"/>
  <c r="Q153" i="3" a="1"/>
  <c r="Q153" i="3" s="1"/>
  <c r="R8" i="3"/>
  <c r="C153" i="3"/>
  <c r="Q12" i="3" a="1"/>
  <c r="Q12" i="3" s="1"/>
  <c r="Q4" i="3" a="1"/>
  <c r="Q4" i="3" s="1"/>
  <c r="R34" i="3"/>
  <c r="R155" i="3"/>
  <c r="Q155" i="3" a="1"/>
  <c r="Q155" i="3" s="1"/>
  <c r="Q14" i="3" a="1"/>
  <c r="Q14" i="3" s="1"/>
  <c r="Q130" i="3" a="1"/>
  <c r="Q130" i="3" s="1"/>
  <c r="R14" i="3"/>
  <c r="R12" i="3"/>
  <c r="Q5" i="3" a="1"/>
  <c r="Q5" i="3" s="1"/>
  <c r="Q83" i="3" a="1"/>
  <c r="Q83" i="3" s="1"/>
  <c r="Q109" i="3" a="1"/>
  <c r="Q109" i="3" s="1"/>
  <c r="Q53" i="3" a="1"/>
  <c r="Q53" i="3" s="1"/>
  <c r="Q100" i="3" a="1"/>
  <c r="Q100" i="3" s="1"/>
  <c r="R183" i="3"/>
  <c r="R109" i="3"/>
  <c r="B105" i="3"/>
  <c r="C105" i="3" s="1"/>
  <c r="B81" i="3"/>
  <c r="Q81" i="3" s="1" a="1"/>
  <c r="Q81" i="3" s="1"/>
  <c r="B57" i="3"/>
  <c r="Q57" i="3" s="1" a="1"/>
  <c r="Q57" i="3" s="1"/>
  <c r="R168" i="3"/>
  <c r="Q133" i="3" a="1"/>
  <c r="Q133" i="3" s="1"/>
  <c r="R166" i="3"/>
  <c r="Q112" i="3" a="1"/>
  <c r="Q112" i="3" s="1"/>
  <c r="R112" i="3"/>
  <c r="Q180" i="3" a="1"/>
  <c r="Q180" i="3" s="1"/>
  <c r="R130" i="3"/>
  <c r="R133" i="3"/>
  <c r="Q95" i="3" a="1"/>
  <c r="Q95" i="3" s="1"/>
  <c r="R95" i="3"/>
  <c r="Q168" i="3" a="1"/>
  <c r="Q168" i="3" s="1"/>
  <c r="C172" i="3"/>
  <c r="C141" i="3"/>
  <c r="Q141" i="3" a="1"/>
  <c r="Q141" i="3" s="1"/>
  <c r="R141" i="3"/>
  <c r="Q96" i="3" a="1"/>
  <c r="Q96" i="3" s="1"/>
  <c r="C179" i="3"/>
  <c r="C22" i="3"/>
  <c r="Q128" i="3" l="1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<sst xmlns="http://schemas.openxmlformats.org/spreadsheetml/2006/main" count="8239" uniqueCount="3740">
  <si>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</si>
  <si>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</si>
  <si>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</si>
  <si>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</si>
  <si>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</si>
  <si>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</si>
  <si>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</si>
  <si>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</si>
  <si>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</si>
  <si>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</si>
  <si>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</si>
  <si>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</si>
  <si>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</si>
  <si>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</si>
  <si>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</si>
  <si>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</si>
  <si>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</si>
  <si>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</si>
  <si>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</si>
  <si>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</si>
  <si>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</si>
  <si>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</si>
  <si>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</si>
  <si>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</si>
  <si>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</si>
  <si>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</si>
  <si>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</si>
  <si>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</si>
  <si>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</si>
  <si>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</si>
  <si>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</si>
  <si>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</si>
  <si>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</si>
  <si>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</si>
  <si>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</si>
  <si>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</si>
  <si>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</si>
  <si>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</si>
  <si>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</si>
  <si>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</si>
  <si>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</si>
  <si>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</si>
  <si>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</si>
  <si>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</si>
  <si>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</si>
  <si>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</si>
  <si>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</si>
  <si>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</si>
  <si>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</si>
  <si>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</si>
  <si>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</si>
  <si>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</si>
  <si>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</si>
  <si>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</si>
  <si>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</si>
  <si>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</si>
  <si>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</si>
  <si>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</si>
  <si>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</si>
  <si>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</si>
  <si>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</si>
  <si>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</si>
  <si>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</si>
  <si>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</si>
  <si>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</si>
  <si>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</si>
  <si>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</si>
  <si>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</si>
  <si>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</si>
  <si>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</si>
  <si>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</si>
  <si>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</si>
  <si>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</si>
  <si>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</si>
  <si>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</si>
  <si>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</si>
  <si>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</si>
  <si>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</si>
  <si>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</si>
  <si>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</si>
  <si>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</si>
  <si>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</si>
  <si>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</si>
  <si>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</si>
  <si>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</si>
  <si>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</si>
  <si>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</si>
  <si>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</si>
  <si>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</si>
  <si>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</si>
  <si>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</si>
  <si>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</si>
  <si>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</si>
  <si>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</si>
  <si>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</si>
  <si>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</si>
  <si>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</si>
  <si>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</si>
  <si>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</si>
  <si>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</si>
  <si>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</si>
  <si>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</si>
  <si>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</si>
  <si>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</si>
  <si>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</si>
  <si>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</si>
  <si>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</si>
  <si>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</si>
  <si>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</si>
  <si>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</si>
  <si>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</si>
  <si>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</si>
  <si>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</si>
  <si>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</si>
  <si>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</si>
  <si>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</si>
  <si>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</si>
  <si>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</si>
  <si>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</si>
  <si>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</si>
  <si>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</si>
  <si>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</si>
  <si>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</si>
  <si>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</si>
  <si>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</si>
  <si>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</si>
  <si>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</si>
  <si>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</si>
  <si>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</si>
  <si>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</si>
  <si>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</si>
  <si>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</si>
  <si>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</si>
  <si>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</si>
  <si>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</si>
  <si>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</si>
  <si>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</si>
  <si>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</si>
  <si>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</si>
  <si>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</si>
  <si>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</si>
  <si>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</si>
  <si>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</si>
  <si>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</si>
  <si>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</si>
  <si>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</si>
  <si>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</si>
  <si>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</si>
  <si>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</si>
  <si>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</si>
  <si>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</si>
  <si>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</si>
  <si>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</si>
  <si>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</si>
  <si>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</si>
  <si>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</si>
  <si>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</si>
  <si>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</si>
  <si>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</si>
  <si>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</si>
  <si>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</si>
  <si>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</si>
  <si>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</si>
  <si>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</si>
  <si>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</si>
  <si>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</si>
  <si>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</si>
  <si>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</si>
  <si>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</si>
  <si>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</si>
  <si>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</si>
  <si>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</si>
  <si>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</si>
  <si>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</si>
  <si>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</si>
  <si>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</si>
  <si>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</si>
  <si>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</si>
  <si>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</si>
  <si>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</si>
  <si>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</si>
  <si>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</si>
  <si>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</si>
  <si>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</si>
  <si>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</si>
  <si>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</si>
  <si>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</si>
  <si>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</si>
  <si>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</si>
  <si>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</si>
  <si>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</si>
  <si>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</si>
  <si>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</si>
  <si>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</si>
  <si>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</si>
  <si>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</si>
  <si>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</si>
  <si>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</si>
  <si>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</si>
  <si>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</si>
  <si>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</si>
  <si>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</si>
  <si>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</si>
  <si>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</si>
  <si>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</si>
  <si>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</si>
  <si>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</si>
  <si>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</si>
  <si>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</si>
  <si>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</si>
  <si>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</si>
  <si>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</si>
  <si>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</si>
  <si>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</si>
  <si>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</si>
  <si>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</si>
  <si>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</si>
  <si>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</si>
  <si>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</si>
  <si>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</si>
  <si>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</si>
  <si>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</si>
  <si>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</si>
  <si>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</si>
  <si>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</si>
  <si>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</si>
  <si>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</si>
  <si>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</si>
  <si>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</si>
  <si>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</si>
  <si>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</si>
  <si>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</si>
  <si>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</si>
  <si>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</si>
  <si>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</si>
  <si>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</si>
  <si>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</si>
  <si>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</si>
  <si>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</si>
  <si>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</si>
  <si>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</si>
  <si>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</si>
  <si>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</si>
  <si>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</si>
  <si>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</si>
  <si>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</si>
  <si>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</si>
  <si>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</si>
  <si>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</si>
  <si>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</si>
  <si>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</si>
  <si>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</si>
  <si>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</si>
  <si>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</si>
  <si>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</si>
  <si>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</si>
  <si>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</si>
  <si>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</si>
  <si>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</si>
  <si>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</si>
  <si>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</si>
  <si>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</si>
  <si>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</si>
  <si>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</si>
  <si>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</si>
  <si>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</si>
  <si>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</si>
  <si>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</si>
  <si>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</si>
  <si>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</si>
  <si>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</si>
  <si>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</si>
  <si>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</si>
  <si>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</si>
  <si>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</si>
  <si>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</si>
  <si>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</si>
  <si>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</si>
  <si>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</si>
  <si>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</si>
  <si>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</si>
  <si>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</si>
  <si>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</si>
  <si>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</si>
  <si>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</si>
  <si>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</si>
  <si>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</si>
  <si>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</si>
  <si>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</si>
  <si>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</si>
  <si>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</si>
  <si>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</si>
  <si>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</si>
  <si>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</si>
  <si>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</si>
  <si>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</si>
  <si>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</si>
  <si>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</si>
  <si>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</si>
  <si>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</si>
  <si>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</si>
  <si>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</si>
  <si>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</si>
  <si>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</si>
  <si>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</si>
  <si>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</si>
  <si>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</si>
  <si>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</si>
  <si>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</si>
  <si>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</si>
  <si>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</si>
  <si>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</si>
  <si>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</si>
  <si>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</si>
  <si>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</si>
  <si>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</si>
  <si>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</si>
  <si>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</si>
  <si>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</si>
  <si>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</si>
  <si>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</si>
  <si>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</si>
  <si>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</si>
  <si>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</si>
  <si>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</si>
  <si>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</si>
  <si>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</si>
  <si>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</si>
  <si>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</si>
  <si>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</si>
  <si>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</si>
  <si>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</si>
  <si>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</si>
  <si>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</si>
  <si>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</si>
  <si>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</si>
  <si>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</si>
  <si>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</si>
  <si>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</si>
  <si>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</si>
  <si>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</si>
  <si>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</si>
  <si>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</si>
  <si>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</si>
  <si>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</si>
  <si>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</si>
  <si>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</si>
  <si>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</si>
  <si>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</si>
  <si>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</si>
  <si>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</si>
  <si>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</si>
  <si>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</si>
  <si>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</si>
  <si>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</si>
  <si>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</si>
  <si>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</si>
  <si>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</si>
  <si>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</si>
  <si>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</si>
  <si>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</si>
  <si>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</si>
  <si>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</si>
  <si>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</si>
  <si>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</si>
  <si>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</si>
  <si>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</si>
  <si>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</si>
  <si>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</si>
  <si>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</si>
  <si>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</si>
  <si>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</si>
  <si>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</si>
  <si>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</si>
  <si>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</si>
  <si>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</si>
  <si>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</si>
  <si>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</si>
  <si>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</si>
  <si>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</si>
  <si>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</si>
  <si>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</si>
  <si>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</si>
  <si>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</si>
  <si>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</si>
  <si>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</si>
  <si>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</si>
  <si>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</si>
  <si>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</si>
  <si>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</si>
  <si>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</si>
  <si>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</si>
  <si>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</si>
  <si>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</si>
  <si>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</si>
  <si>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</si>
  <si>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</si>
  <si>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</si>
  <si>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</si>
  <si>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</si>
  <si>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</si>
  <si>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</si>
  <si>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</si>
  <si>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</si>
  <si>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</si>
  <si>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</si>
  <si>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</si>
  <si>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</si>
  <si>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</si>
  <si>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</si>
  <si>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</si>
  <si>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</si>
  <si>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</si>
  <si>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</si>
  <si>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</si>
  <si>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</si>
  <si>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</si>
  <si>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</si>
  <si>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</si>
  <si>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</si>
  <si>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</si>
  <si>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</si>
  <si>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</si>
  <si>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</si>
  <si>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</si>
  <si>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</si>
  <si>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</si>
  <si>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</si>
  <si>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</si>
  <si>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</si>
  <si>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</si>
  <si>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</si>
  <si>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</si>
  <si>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</si>
  <si>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</si>
  <si>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</si>
  <si>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</si>
  <si>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</si>
  <si>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</si>
  <si>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</si>
  <si>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</si>
  <si>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</si>
  <si>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</si>
  <si>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</si>
  <si>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</si>
  <si>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</si>
  <si>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</si>
  <si>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</si>
  <si>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</si>
  <si>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</si>
  <si>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</si>
  <si>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</si>
  <si>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</si>
  <si>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</si>
  <si>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</si>
  <si>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</si>
  <si>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</si>
  <si>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</si>
  <si>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</si>
  <si>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</si>
  <si>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</si>
  <si>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</si>
  <si>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</si>
  <si>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</si>
  <si>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</si>
  <si>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</si>
  <si>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</si>
  <si>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</si>
  <si>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</si>
  <si>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</si>
  <si>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</si>
  <si>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</si>
  <si>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</si>
  <si>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</si>
  <si>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</si>
  <si>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</si>
  <si>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</si>
  <si>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</si>
  <si>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</si>
  <si>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</si>
  <si>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</si>
  <si>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</si>
  <si>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</si>
  <si>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</si>
  <si>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</si>
  <si>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</si>
  <si>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</si>
  <si>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</si>
  <si>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</si>
  <si>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</si>
  <si>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</si>
  <si>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</si>
  <si>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</si>
  <si>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</si>
  <si>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</si>
  <si>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</si>
  <si>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</si>
  <si>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</si>
  <si>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</si>
  <si>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</si>
  <si>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</si>
  <si>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</si>
  <si>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</si>
  <si>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</si>
  <si>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</si>
  <si>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</si>
  <si>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</si>
  <si>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</si>
  <si>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</si>
  <si>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</si>
  <si>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</si>
  <si>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</si>
  <si>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</si>
  <si>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</si>
  <si>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</si>
  <si>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</si>
  <si>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</si>
  <si>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</si>
  <si>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</si>
  <si>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</si>
  <si>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</si>
  <si>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</si>
  <si>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</si>
  <si>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</si>
  <si>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</si>
  <si>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</si>
  <si>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</si>
  <si>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</si>
  <si>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</si>
  <si>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</si>
  <si>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</si>
  <si>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</si>
  <si>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</si>
  <si>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</si>
  <si>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</si>
  <si>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</si>
  <si>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</si>
  <si>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</si>
  <si>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</si>
  <si>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</si>
  <si>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</si>
  <si>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</si>
  <si>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</si>
  <si>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</si>
  <si>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</si>
  <si>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</si>
  <si>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</si>
  <si>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</si>
  <si>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</si>
  <si>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</si>
  <si>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</si>
  <si>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</si>
  <si>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</si>
  <si>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</si>
  <si>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</si>
  <si>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</si>
  <si>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</si>
  <si>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</si>
  <si>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</si>
  <si>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</si>
  <si>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</si>
  <si>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</si>
  <si>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</si>
  <si>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</si>
  <si>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</si>
  <si>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</si>
  <si>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</si>
  <si>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</si>
  <si>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</si>
  <si>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</si>
  <si>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</si>
  <si>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</si>
  <si>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</si>
  <si>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</si>
  <si>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</si>
  <si>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</si>
  <si>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</si>
  <si>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</si>
  <si>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</si>
  <si>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</si>
  <si>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</si>
  <si>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</si>
  <si>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</si>
  <si>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</si>
  <si>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</si>
  <si>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</si>
  <si>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</si>
  <si>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</si>
  <si>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</si>
  <si>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</si>
  <si>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</si>
  <si>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</si>
  <si>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</si>
  <si>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</si>
  <si>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</si>
  <si>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</si>
  <si>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</si>
  <si>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</si>
  <si>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</si>
  <si>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</si>
  <si>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</si>
  <si>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</si>
  <si>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</si>
  <si>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</si>
  <si>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</si>
  <si>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</si>
  <si>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</si>
  <si>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</si>
  <si>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</si>
  <si>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</si>
  <si>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</si>
  <si>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</si>
  <si>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</si>
  <si>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</si>
  <si>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</si>
  <si>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</si>
  <si>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</si>
  <si>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</si>
  <si>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</si>
  <si>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</si>
  <si>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</si>
  <si>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</si>
  <si>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</si>
  <si>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</si>
  <si>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</si>
  <si>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</si>
  <si>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</si>
  <si>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</si>
  <si>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</si>
  <si>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</si>
  <si>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</si>
  <si>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</si>
  <si>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</si>
  <si>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</si>
  <si>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</si>
  <si>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</si>
  <si>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</si>
  <si>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</si>
  <si>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</si>
  <si>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</si>
  <si>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</si>
  <si>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</si>
  <si>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</si>
  <si>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</si>
  <si>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</si>
  <si>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</si>
  <si>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</si>
  <si>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</si>
  <si>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</si>
  <si>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</si>
  <si>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</si>
  <si>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</si>
  <si>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</si>
  <si>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</si>
  <si>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</si>
  <si>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</si>
  <si>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</si>
  <si>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</si>
  <si>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</si>
  <si>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</si>
  <si>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</si>
  <si>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</si>
  <si>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</si>
  <si>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</si>
  <si>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</si>
  <si>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</si>
  <si>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</si>
  <si>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</si>
  <si>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</si>
  <si>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</si>
  <si>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</si>
  <si>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</si>
  <si>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</si>
  <si>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</si>
  <si>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</si>
  <si>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</si>
  <si>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</si>
  <si>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</si>
  <si>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</si>
  <si>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</si>
  <si>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</si>
  <si>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</si>
  <si>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</si>
  <si>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</si>
  <si>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</si>
  <si>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</si>
  <si>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</si>
  <si>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</si>
  <si>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</si>
  <si>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</si>
  <si>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</si>
  <si>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</si>
  <si>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</si>
  <si>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</si>
  <si>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</si>
  <si>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</si>
  <si>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</si>
  <si>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</si>
  <si>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</si>
  <si>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</si>
  <si>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</si>
  <si>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</si>
  <si>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</si>
  <si>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</si>
  <si>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</si>
  <si>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</si>
  <si>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</si>
  <si>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</si>
  <si>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</si>
  <si>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</si>
  <si>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</si>
  <si>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</si>
  <si>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</si>
  <si>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</si>
  <si>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</si>
  <si>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</si>
  <si>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</si>
  <si>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</si>
  <si>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</si>
  <si>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</si>
  <si>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</si>
  <si>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</si>
  <si>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</si>
  <si>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</si>
  <si>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</si>
  <si>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</si>
  <si>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</si>
  <si>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</si>
  <si>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</si>
  <si>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</si>
  <si>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</si>
  <si>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</si>
  <si>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</si>
  <si>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</si>
  <si>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</si>
  <si>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</si>
  <si>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</si>
  <si>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</si>
  <si>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</si>
  <si>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</si>
  <si>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</si>
  <si>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</si>
  <si>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</si>
  <si>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</si>
  <si>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</si>
  <si>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</si>
  <si>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</si>
  <si>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</si>
  <si>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</si>
  <si>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</si>
  <si>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</si>
  <si>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</si>
  <si>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</si>
  <si>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</si>
  <si>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</si>
  <si>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</si>
  <si>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</si>
  <si>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</si>
  <si>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</si>
  <si>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</si>
  <si>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</si>
  <si>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</si>
  <si>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</si>
  <si>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</si>
  <si>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</si>
  <si>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</si>
  <si>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</si>
  <si>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</si>
  <si>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</si>
  <si>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</si>
  <si>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</si>
  <si>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</si>
  <si>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</si>
  <si>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</si>
  <si>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</si>
  <si>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</si>
  <si>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</si>
  <si>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</si>
  <si>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</si>
  <si>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</si>
  <si>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</si>
  <si>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</si>
  <si>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</si>
  <si>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</si>
  <si>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</si>
  <si>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</si>
  <si>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</si>
  <si>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</si>
  <si>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</si>
  <si>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</si>
  <si>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</si>
  <si>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</si>
  <si>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</si>
  <si>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</si>
  <si>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</si>
  <si>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</si>
  <si>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</si>
  <si>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</si>
  <si>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</si>
  <si>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</si>
  <si>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</si>
  <si>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</si>
  <si>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</si>
  <si>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</si>
  <si>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</si>
  <si>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</si>
  <si>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</si>
  <si>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</si>
  <si>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</si>
  <si>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</si>
  <si>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</si>
  <si>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</si>
  <si>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</si>
  <si>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</si>
  <si>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</si>
  <si>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</si>
  <si>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</si>
  <si>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</si>
  <si>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</si>
  <si>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</si>
  <si>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</si>
  <si>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</si>
  <si>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</si>
  <si>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</si>
  <si>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</si>
  <si>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</si>
  <si>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</si>
  <si>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</si>
  <si>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</si>
  <si>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</si>
  <si>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</si>
  <si>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</si>
  <si>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</si>
  <si>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</si>
  <si>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</si>
  <si>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</si>
  <si>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</si>
  <si>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</si>
  <si>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</si>
  <si>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</si>
  <si>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</si>
  <si>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</si>
  <si>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</si>
  <si>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</si>
  <si>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</si>
  <si>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</si>
  <si>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</si>
  <si>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</si>
  <si>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</si>
  <si>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</si>
  <si>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</si>
  <si>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</si>
  <si>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</si>
  <si>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</si>
  <si>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</si>
  <si>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</si>
  <si>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</si>
  <si>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</si>
  <si>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</si>
  <si>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</si>
  <si>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</si>
  <si>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</si>
  <si>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</si>
  <si>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</si>
  <si>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</si>
  <si>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</si>
  <si>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</si>
  <si>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</si>
  <si>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</si>
  <si>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</si>
  <si>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</si>
  <si>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</si>
  <si>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</si>
  <si>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</si>
  <si>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</si>
  <si>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</si>
  <si>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</si>
  <si>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</si>
  <si>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</si>
  <si>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</si>
  <si>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</si>
  <si>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</si>
  <si>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</si>
  <si>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</si>
  <si>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</si>
  <si>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</si>
  <si>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</si>
  <si>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</si>
  <si>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</si>
  <si>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</si>
  <si>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</si>
  <si>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</si>
  <si>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</si>
  <si>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</si>
  <si>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</si>
  <si>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</si>
  <si>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</si>
  <si>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</si>
  <si>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</si>
  <si>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</si>
  <si>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</si>
  <si>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</si>
  <si>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</si>
  <si>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</si>
  <si>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</si>
  <si>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</si>
  <si>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</si>
  <si>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</si>
  <si>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</si>
  <si>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</si>
  <si>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</si>
  <si>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</si>
  <si>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</si>
  <si>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</si>
  <si>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</si>
  <si>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</si>
  <si>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</si>
  <si>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</si>
  <si>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</si>
  <si>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</si>
  <si>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</si>
  <si>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</si>
  <si>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</si>
  <si>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</si>
  <si>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</si>
  <si>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</si>
  <si>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</si>
  <si>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</si>
  <si>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</si>
  <si>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</si>
  <si>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</si>
  <si>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</si>
  <si>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</si>
  <si>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</si>
  <si>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</si>
  <si>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</si>
  <si>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</si>
  <si>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</si>
  <si>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</si>
  <si>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</si>
  <si>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</si>
  <si>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</si>
  <si>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</si>
  <si>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</si>
  <si>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</si>
  <si>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</si>
  <si>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</si>
  <si>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</si>
  <si>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</si>
  <si>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</si>
  <si>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</si>
  <si>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</si>
  <si>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</si>
  <si>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</si>
  <si>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</si>
  <si>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</si>
  <si>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</si>
  <si>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</si>
  <si>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</si>
  <si>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</si>
  <si>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</si>
  <si>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</si>
  <si>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</si>
  <si>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</si>
  <si>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</si>
  <si>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</si>
  <si>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</si>
  <si>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</si>
  <si>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</si>
  <si>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</si>
  <si>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</si>
  <si>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</si>
  <si>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</si>
  <si>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</si>
  <si>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</si>
  <si>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</si>
  <si>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</si>
  <si>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</si>
  <si>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</si>
  <si>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</si>
  <si>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</si>
  <si>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</si>
  <si>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</si>
  <si>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</si>
  <si>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</si>
  <si>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</si>
  <si>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</si>
  <si>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</si>
  <si>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</si>
  <si>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</si>
  <si>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</si>
  <si>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</si>
  <si>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</si>
  <si>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</si>
  <si>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</si>
  <si>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</si>
  <si>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</si>
  <si>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</si>
  <si>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</si>
  <si>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</si>
  <si>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</si>
  <si>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</si>
  <si>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</si>
  <si>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</si>
  <si>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</si>
  <si>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</si>
  <si>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</si>
  <si>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</si>
  <si>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</si>
  <si>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</si>
  <si>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</si>
  <si>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</si>
  <si>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</si>
  <si>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</si>
  <si>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</si>
  <si>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</si>
  <si>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</si>
  <si>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</si>
  <si>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</si>
  <si>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</si>
  <si>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</si>
  <si>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</si>
  <si>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</si>
  <si>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</si>
  <si>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</si>
  <si>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</si>
  <si>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</si>
  <si>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</si>
  <si>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</si>
  <si>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</si>
  <si>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</si>
  <si>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</si>
  <si>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</si>
  <si>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</si>
  <si>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</si>
  <si>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</si>
  <si>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</si>
  <si>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</si>
  <si>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</si>
  <si>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</si>
  <si>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</si>
  <si>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</si>
  <si>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</si>
  <si>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</si>
  <si>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</si>
  <si>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</si>
  <si>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</si>
  <si>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</si>
  <si>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</si>
  <si>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</si>
  <si>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</si>
  <si>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</si>
  <si>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</si>
  <si>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</si>
  <si>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</si>
  <si>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</si>
  <si>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</si>
  <si>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</si>
  <si>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</si>
  <si>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</si>
  <si>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</si>
  <si>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</si>
  <si>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</si>
  <si>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</si>
  <si>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</si>
  <si>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</si>
  <si>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</si>
  <si>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</si>
  <si>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</si>
  <si>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</si>
  <si>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</si>
  <si>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</si>
  <si>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</si>
  <si>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</si>
  <si>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</si>
  <si>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</si>
  <si>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</si>
  <si>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</si>
  <si>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</si>
  <si>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</si>
  <si>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</si>
  <si>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</si>
  <si>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</si>
  <si>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</si>
  <si>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</si>
  <si>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</si>
  <si>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</si>
  <si>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</si>
  <si>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</si>
  <si>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</si>
  <si>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</si>
  <si>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</si>
  <si>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</si>
  <si>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</si>
  <si>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</si>
  <si>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</si>
  <si>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</si>
  <si>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</si>
  <si>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</si>
  <si>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</si>
  <si>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</si>
  <si>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</si>
  <si>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</si>
  <si>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</si>
  <si>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</si>
  <si>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</si>
  <si>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</si>
  <si>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</si>
  <si>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</si>
  <si>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</si>
  <si>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</si>
  <si>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</si>
  <si>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</si>
  <si>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</si>
  <si>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</si>
  <si>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</si>
  <si>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</si>
  <si>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</si>
  <si>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</si>
  <si>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</si>
  <si>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</si>
  <si>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</si>
  <si>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</si>
  <si>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</si>
  <si>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</si>
  <si>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</si>
  <si>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</si>
  <si>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</si>
  <si>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</si>
  <si>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</si>
  <si>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</si>
  <si>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</si>
  <si>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</si>
  <si>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</si>
  <si>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</si>
  <si>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</si>
  <si>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</si>
  <si>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</si>
  <si>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</si>
  <si>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</si>
  <si>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</si>
  <si>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</si>
  <si>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</si>
  <si>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</si>
  <si>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</si>
  <si>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</si>
  <si>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</si>
  <si>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</si>
  <si>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</si>
  <si>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</si>
  <si>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</si>
  <si>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</si>
  <si>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</si>
  <si>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</si>
  <si>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</si>
  <si>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</si>
  <si>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</si>
  <si>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</si>
  <si>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</si>
  <si>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</si>
  <si>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</si>
  <si>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</si>
  <si>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</si>
  <si>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</si>
  <si>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</si>
  <si>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</si>
  <si>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</si>
  <si>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</si>
  <si>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</si>
  <si>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</si>
  <si>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</si>
  <si>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</si>
  <si>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</si>
  <si>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</si>
  <si>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</si>
  <si>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</si>
  <si>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</si>
  <si>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</si>
  <si>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</si>
  <si>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</si>
  <si>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</si>
  <si>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</si>
  <si>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</si>
  <si>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</si>
  <si>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</si>
  <si>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</si>
  <si>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</si>
  <si>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</si>
  <si>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</si>
  <si>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</si>
  <si>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</si>
  <si>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</si>
  <si>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</si>
  <si>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</si>
  <si>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</si>
  <si>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</si>
  <si>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</si>
  <si>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</si>
  <si>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</si>
  <si>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</si>
  <si>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</si>
  <si>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</si>
  <si>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</si>
  <si>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</si>
  <si>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</si>
  <si>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</si>
  <si>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</si>
  <si>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</si>
  <si>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</si>
  <si>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</si>
  <si>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</si>
  <si>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</si>
  <si>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</si>
  <si>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</si>
  <si>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</si>
  <si>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</si>
  <si>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</si>
  <si>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</si>
  <si>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</si>
  <si>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</si>
  <si>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</si>
  <si>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</si>
  <si>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</si>
  <si>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</si>
  <si>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</si>
  <si>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</si>
  <si>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</si>
  <si>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</si>
  <si>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</si>
  <si>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</si>
  <si>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</si>
  <si>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</si>
  <si>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</si>
  <si>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</si>
  <si>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</si>
  <si>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</si>
  <si>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</si>
  <si>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</si>
  <si>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</si>
  <si>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453617913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</si>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</sst>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22" workbookViewId="0">
      <selection activeCell="T3" sqref="T3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66</v>
      </c>
      <c r="B2" t="s">
        <v>67</v>
      </c>
      <c r="E2" t="s">
        <v>102</v>
      </c>
      <c r="I2">
        <f ca="1">RANDBETWEEN(1,37)</f>
        <v>16</v>
      </c>
      <c r="J2">
        <f ca="1">RANDBETWEEN(1,37)</f>
        <v>15</v>
      </c>
      <c r="K2">
        <f ca="1">RANDBETWEEN(1,97)</f>
        <v>93</v>
      </c>
      <c r="L2">
        <f ca="1">RANDBETWEEN(1,97)</f>
        <v>10</v>
      </c>
      <c r="M2" s="3" t="str" cm="1">
        <f t="array" aca="1" ref="M2" ca="1">INDEX($A$2:$A$38,I2,1)</f>
        <v>Feminino</v>
      </c>
      <c r="N2" s="3" t="str" cm="1">
        <f t="array" aca="1" ref="N2" ca="1">INDEX($B$2:$B$38,I2,1)</f>
        <v>Sara</v>
      </c>
      <c r="O2" s="3" t="str" cm="1">
        <f t="array" aca="1" ref="O2" ca="1">INDEX($B$2:$B$38,J2,1)</f>
        <v>Mariana</v>
      </c>
      <c r="P2" s="3" t="str" cm="1">
        <f t="array" aca="1" ref="P2" ca="1">INDEX($E$2:$E$98,K2)</f>
        <v>Macedo</v>
      </c>
      <c r="Q2" s="3" t="str" cm="1">
        <f t="array" aca="1" ref="Q2" ca="1">INDEX($E$2:$E$98,L2)</f>
        <v>Moreira</v>
      </c>
      <c r="W2">
        <f ca="1">COUNTIF(M:M,"Masculino")</f>
        <v>110</v>
      </c>
    </row>
    <row r="3" spans="1:23" x14ac:dyDescent="0.25">
      <c r="A3" t="s">
        <v>66</v>
      </c>
      <c r="B3" t="s">
        <v>68</v>
      </c>
      <c r="E3" t="s">
        <v>103</v>
      </c>
      <c r="I3">
        <f t="shared" ref="I3:J200" ca="1" si="0">RANDBETWEEN(1,37)</f>
        <v>1</v>
      </c>
      <c r="J3">
        <f t="shared" ca="1" si="0"/>
        <v>37</v>
      </c>
      <c r="K3">
        <f t="shared" ref="K3:L66" ca="1" si="1">RANDBETWEEN(1,97)</f>
        <v>10</v>
      </c>
      <c r="L3">
        <f t="shared" ca="1" si="1"/>
        <v>17</v>
      </c>
      <c r="M3" t="s">
        <v>66</v>
      </c>
      <c r="N3" t="s">
        <v>69</v>
      </c>
      <c r="O3" t="s">
        <v>63</v>
      </c>
      <c r="P3" s="6" t="str" cm="1">
        <f t="array" aca="1" ref="P3" ca="1">INDEX($E$2:$E$98,K3)</f>
        <v>Moreira</v>
      </c>
      <c r="Q3" s="6" t="str" cm="1">
        <f t="array" aca="1" ref="Q3" ca="1">INDEX($E$2:$E$98,L3)</f>
        <v>Pires</v>
      </c>
      <c r="S3" t="str">
        <f>M3</f>
        <v>Feminino</v>
      </c>
      <c r="T3" t="str">
        <f>N3</f>
        <v>Matilde</v>
      </c>
    </row>
    <row r="4" spans="1:23" x14ac:dyDescent="0.25">
      <c r="A4" t="s">
        <v>66</v>
      </c>
      <c r="B4" t="s">
        <v>69</v>
      </c>
      <c r="E4" t="s">
        <v>104</v>
      </c>
      <c r="I4">
        <f t="shared" ca="1" si="0"/>
        <v>10</v>
      </c>
      <c r="J4">
        <f t="shared" ca="1" si="0"/>
        <v>12</v>
      </c>
      <c r="K4">
        <f t="shared" ca="1" si="1"/>
        <v>40</v>
      </c>
      <c r="L4">
        <f t="shared" ca="1" si="1"/>
        <v>9</v>
      </c>
      <c r="M4" t="s">
        <v>66</v>
      </c>
      <c r="N4" t="s">
        <v>76</v>
      </c>
      <c r="O4" t="s">
        <v>58</v>
      </c>
      <c r="P4" s="6" t="str" cm="1">
        <f t="array" aca="1" ref="P4" ca="1">INDEX($E$2:$E$98,K4)</f>
        <v>Antunes</v>
      </c>
      <c r="Q4" s="6" t="str" cm="1">
        <f t="array" aca="1" ref="Q4" ca="1">INDEX($E$2:$E$98,L4)</f>
        <v>Teixeira</v>
      </c>
      <c r="S4" t="str">
        <f t="shared" ref="S4:S67" si="2">M4</f>
        <v>Feminino</v>
      </c>
      <c r="T4" t="str">
        <f t="shared" ref="T4:T13" si="3">N4</f>
        <v>Inês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28</v>
      </c>
      <c r="J5">
        <f t="shared" ca="1" si="0"/>
        <v>37</v>
      </c>
      <c r="K5">
        <f t="shared" ca="1" si="1"/>
        <v>64</v>
      </c>
      <c r="L5">
        <f t="shared" ca="1" si="1"/>
        <v>51</v>
      </c>
      <c r="M5" t="s">
        <v>66</v>
      </c>
      <c r="N5" t="s">
        <v>85</v>
      </c>
      <c r="O5" t="s">
        <v>57</v>
      </c>
      <c r="P5" s="6" t="str" cm="1">
        <f t="array" aca="1" ref="P5" ca="1">INDEX($E$2:$E$98,K5)</f>
        <v>Anjos</v>
      </c>
      <c r="Q5" s="6" t="str" cm="1">
        <f t="array" aca="1" ref="Q5" ca="1">INDEX($E$2:$E$98,L5)</f>
        <v>Freitas</v>
      </c>
      <c r="S5" t="str">
        <f t="shared" si="2"/>
        <v>Feminino</v>
      </c>
      <c r="T5" t="str">
        <f t="shared" si="3"/>
        <v>Catarina</v>
      </c>
    </row>
    <row r="6" spans="1:23" x14ac:dyDescent="0.25">
      <c r="A6" t="s">
        <v>66</v>
      </c>
      <c r="B6" t="s">
        <v>71</v>
      </c>
      <c r="E6" t="s">
        <v>106</v>
      </c>
      <c r="I6">
        <f t="shared" ca="1" si="0"/>
        <v>29</v>
      </c>
      <c r="J6">
        <f t="shared" ca="1" si="0"/>
        <v>31</v>
      </c>
      <c r="K6">
        <f t="shared" ca="1" si="1"/>
        <v>42</v>
      </c>
      <c r="L6">
        <f t="shared" ca="1" si="1"/>
        <v>16</v>
      </c>
      <c r="M6" t="s">
        <v>53</v>
      </c>
      <c r="N6" t="s">
        <v>54</v>
      </c>
      <c r="O6" t="s">
        <v>86</v>
      </c>
      <c r="P6" s="6" t="str" cm="1">
        <f t="array" aca="1" ref="P6" ca="1">INDEX($E$2:$E$98,K6)</f>
        <v>Fonseca</v>
      </c>
      <c r="Q6" s="6" t="str" cm="1">
        <f t="array" aca="1" ref="Q6" ca="1">INDEX($E$2:$E$98,L6)</f>
        <v>Cunha</v>
      </c>
      <c r="S6" t="str">
        <f t="shared" si="2"/>
        <v>Masculino</v>
      </c>
      <c r="T6" t="str">
        <f t="shared" si="3"/>
        <v>Santiago</v>
      </c>
    </row>
    <row r="7" spans="1:23" x14ac:dyDescent="0.25">
      <c r="A7" t="s">
        <v>66</v>
      </c>
      <c r="B7" t="s">
        <v>72</v>
      </c>
      <c r="E7" t="s">
        <v>107</v>
      </c>
      <c r="I7">
        <f t="shared" ca="1" si="0"/>
        <v>5</v>
      </c>
      <c r="J7">
        <f t="shared" ca="1" si="0"/>
        <v>1</v>
      </c>
      <c r="K7">
        <f t="shared" ca="1" si="1"/>
        <v>48</v>
      </c>
      <c r="L7">
        <f t="shared" ca="1" si="1"/>
        <v>17</v>
      </c>
      <c r="M7" t="s">
        <v>53</v>
      </c>
      <c r="N7" t="s">
        <v>60</v>
      </c>
      <c r="O7" t="s">
        <v>72</v>
      </c>
      <c r="P7" s="6" t="str" cm="1">
        <f t="array" aca="1" ref="P7" ca="1">INDEX($E$2:$E$98,K7)</f>
        <v>Castro</v>
      </c>
      <c r="Q7" s="6" t="str" cm="1">
        <f t="array" aca="1" ref="Q7" ca="1">INDEX($E$2:$E$98,L7)</f>
        <v>Pires</v>
      </c>
      <c r="S7" t="str">
        <f t="shared" si="2"/>
        <v>Masculino</v>
      </c>
      <c r="T7" t="str">
        <f t="shared" si="3"/>
        <v>Tomás</v>
      </c>
    </row>
    <row r="8" spans="1:23" x14ac:dyDescent="0.25">
      <c r="A8" t="s">
        <v>66</v>
      </c>
      <c r="B8" t="s">
        <v>73</v>
      </c>
      <c r="E8" t="s">
        <v>108</v>
      </c>
      <c r="I8">
        <f t="shared" ca="1" si="0"/>
        <v>36</v>
      </c>
      <c r="J8">
        <f t="shared" ca="1" si="0"/>
        <v>11</v>
      </c>
      <c r="K8">
        <f t="shared" ca="1" si="1"/>
        <v>44</v>
      </c>
      <c r="L8">
        <f t="shared" ca="1" si="1"/>
        <v>36</v>
      </c>
      <c r="M8" t="s">
        <v>66</v>
      </c>
      <c r="N8" t="s">
        <v>87</v>
      </c>
      <c r="O8" t="s">
        <v>81</v>
      </c>
      <c r="P8" s="6" t="str" cm="1">
        <f t="array" aca="1" ref="P8" ca="1">INDEX($E$2:$E$98,K8)</f>
        <v>Araújo</v>
      </c>
      <c r="Q8" s="6" t="str" cm="1">
        <f t="array" aca="1" ref="Q8" ca="1">INDEX($E$2:$E$98,L8)</f>
        <v>Monteiro</v>
      </c>
      <c r="S8" t="str">
        <f t="shared" si="2"/>
        <v>Feminino</v>
      </c>
      <c r="T8" t="str">
        <f t="shared" si="3"/>
        <v>Daniela</v>
      </c>
    </row>
    <row r="9" spans="1:23" x14ac:dyDescent="0.25">
      <c r="A9" t="s">
        <v>66</v>
      </c>
      <c r="B9" t="s">
        <v>74</v>
      </c>
      <c r="E9" t="s">
        <v>109</v>
      </c>
      <c r="I9">
        <f t="shared" ca="1" si="0"/>
        <v>7</v>
      </c>
      <c r="J9">
        <f t="shared" ca="1" si="0"/>
        <v>3</v>
      </c>
      <c r="K9">
        <f t="shared" ca="1" si="1"/>
        <v>74</v>
      </c>
      <c r="L9">
        <f t="shared" ca="1" si="1"/>
        <v>46</v>
      </c>
      <c r="M9" t="s">
        <v>53</v>
      </c>
      <c r="N9" t="s">
        <v>83</v>
      </c>
      <c r="O9" t="s">
        <v>57</v>
      </c>
      <c r="P9" s="6" t="str" cm="1">
        <f t="array" aca="1" ref="P9" ca="1">INDEX($E$2:$E$98,K9)</f>
        <v>Borges</v>
      </c>
      <c r="Q9" s="6" t="str" cm="1">
        <f t="array" aca="1" ref="Q9" ca="1">INDEX($E$2:$E$98,L9)</f>
        <v>Tavares</v>
      </c>
      <c r="S9" t="str">
        <f t="shared" si="2"/>
        <v>Masculino</v>
      </c>
      <c r="T9" t="str">
        <f t="shared" si="3"/>
        <v>Luís</v>
      </c>
    </row>
    <row r="10" spans="1:23" x14ac:dyDescent="0.25">
      <c r="A10" t="s">
        <v>66</v>
      </c>
      <c r="B10" t="s">
        <v>75</v>
      </c>
      <c r="E10" t="s">
        <v>110</v>
      </c>
      <c r="I10">
        <f t="shared" ca="1" si="0"/>
        <v>11</v>
      </c>
      <c r="J10">
        <f t="shared" ca="1" si="0"/>
        <v>17</v>
      </c>
      <c r="K10">
        <f t="shared" ca="1" si="1"/>
        <v>5</v>
      </c>
      <c r="L10">
        <f t="shared" ca="1" si="1"/>
        <v>11</v>
      </c>
      <c r="M10" t="s">
        <v>66</v>
      </c>
      <c r="N10" t="s">
        <v>87</v>
      </c>
      <c r="O10" t="s">
        <v>63</v>
      </c>
      <c r="P10" s="6" t="str" cm="1">
        <f t="array" aca="1" ref="P10" ca="1">INDEX($E$2:$E$98,K10)</f>
        <v>Almeida</v>
      </c>
      <c r="Q10" s="6" t="str" cm="1">
        <f t="array" aca="1" ref="Q10" ca="1">INDEX($E$2:$E$98,L10)</f>
        <v>Rocha</v>
      </c>
      <c r="S10" t="str">
        <f t="shared" si="2"/>
        <v>Feminino</v>
      </c>
      <c r="T10" t="str">
        <f t="shared" si="3"/>
        <v>Daniela</v>
      </c>
    </row>
    <row r="11" spans="1:23" x14ac:dyDescent="0.25">
      <c r="A11" t="s">
        <v>66</v>
      </c>
      <c r="B11" t="s">
        <v>76</v>
      </c>
      <c r="E11" t="s">
        <v>111</v>
      </c>
      <c r="I11">
        <f t="shared" ca="1" si="0"/>
        <v>13</v>
      </c>
      <c r="J11">
        <f t="shared" ca="1" si="0"/>
        <v>3</v>
      </c>
      <c r="K11">
        <f t="shared" ca="1" si="1"/>
        <v>48</v>
      </c>
      <c r="L11">
        <f t="shared" ca="1" si="1"/>
        <v>70</v>
      </c>
      <c r="M11" t="s">
        <v>53</v>
      </c>
      <c r="N11" t="s">
        <v>78</v>
      </c>
      <c r="O11" t="s">
        <v>71</v>
      </c>
      <c r="P11" s="6" t="str" cm="1">
        <f t="array" aca="1" ref="P11" ca="1">INDEX($E$2:$E$98,K11)</f>
        <v>Castro</v>
      </c>
      <c r="Q11" s="6" t="str" cm="1">
        <f t="array" aca="1" ref="Q11" ca="1">INDEX($E$2:$E$98,L11)</f>
        <v>Sá</v>
      </c>
      <c r="S11" t="str">
        <f t="shared" si="2"/>
        <v>Masculino</v>
      </c>
      <c r="T11" t="str">
        <f t="shared" si="3"/>
        <v>Tiago</v>
      </c>
    </row>
    <row r="12" spans="1:23" x14ac:dyDescent="0.25">
      <c r="A12" t="s">
        <v>66</v>
      </c>
      <c r="B12" t="s">
        <v>191</v>
      </c>
      <c r="E12" t="s">
        <v>119</v>
      </c>
      <c r="I12">
        <f t="shared" ca="1" si="0"/>
        <v>12</v>
      </c>
      <c r="J12">
        <f t="shared" ca="1" si="0"/>
        <v>14</v>
      </c>
      <c r="K12">
        <f t="shared" ca="1" si="1"/>
        <v>30</v>
      </c>
      <c r="L12">
        <f t="shared" ca="1" si="1"/>
        <v>30</v>
      </c>
      <c r="M12" t="s">
        <v>66</v>
      </c>
      <c r="N12" t="s">
        <v>87</v>
      </c>
      <c r="O12" t="s">
        <v>54</v>
      </c>
      <c r="P12" s="6" t="str" cm="1">
        <f t="array" aca="1" ref="P12" ca="1">INDEX($E$2:$E$98,K12)</f>
        <v>Gonçalves</v>
      </c>
      <c r="Q12" s="6" t="str" cm="1">
        <f t="array" aca="1" ref="Q12" ca="1">INDEX($E$2:$E$98,L12)</f>
        <v>Gonçalves</v>
      </c>
      <c r="S12" t="str">
        <f t="shared" si="2"/>
        <v>Feminino</v>
      </c>
      <c r="T12" t="str">
        <f t="shared" si="3"/>
        <v>Daniela</v>
      </c>
    </row>
    <row r="13" spans="1:23" x14ac:dyDescent="0.25">
      <c r="A13" t="s">
        <v>66</v>
      </c>
      <c r="B13" t="s">
        <v>192</v>
      </c>
      <c r="E13" t="s">
        <v>120</v>
      </c>
      <c r="I13">
        <f t="shared" ca="1" si="0"/>
        <v>2</v>
      </c>
      <c r="J13">
        <f t="shared" ca="1" si="0"/>
        <v>29</v>
      </c>
      <c r="K13">
        <f t="shared" ca="1" si="1"/>
        <v>82</v>
      </c>
      <c r="L13">
        <f t="shared" ca="1" si="1"/>
        <v>71</v>
      </c>
      <c r="M13" t="s">
        <v>66</v>
      </c>
      <c r="N13" t="s">
        <v>76</v>
      </c>
      <c r="O13" t="s">
        <v>84</v>
      </c>
      <c r="P13" s="6" t="str" cm="1">
        <f t="array" aca="1" ref="P13" ca="1">INDEX($E$2:$E$98,K13)</f>
        <v>Moura</v>
      </c>
      <c r="Q13" s="6" t="str" cm="1">
        <f t="array" aca="1" ref="Q13" ca="1">INDEX($E$2:$E$98,L13)</f>
        <v>Nascimento</v>
      </c>
      <c r="S13" t="str">
        <f t="shared" si="2"/>
        <v>Feminino</v>
      </c>
      <c r="T13" t="str">
        <f t="shared" si="3"/>
        <v>Inês</v>
      </c>
    </row>
    <row r="14" spans="1:23" x14ac:dyDescent="0.25">
      <c r="A14" t="s">
        <v>66</v>
      </c>
      <c r="B14" t="s">
        <v>84</v>
      </c>
      <c r="E14" t="s">
        <v>121</v>
      </c>
      <c r="I14">
        <f t="shared" ca="1" si="0"/>
        <v>37</v>
      </c>
      <c r="J14">
        <f t="shared" ca="1" si="0"/>
        <v>1</v>
      </c>
      <c r="K14">
        <f t="shared" ca="1" si="1"/>
        <v>12</v>
      </c>
      <c r="L14">
        <f t="shared" ca="1" si="1"/>
        <v>45</v>
      </c>
      <c r="M14" t="s">
        <v>53</v>
      </c>
      <c r="N14" t="s">
        <v>60</v>
      </c>
      <c r="O14" t="s">
        <v>78</v>
      </c>
      <c r="P14" s="6" t="str" cm="1">
        <f t="array" aca="1" ref="P14" ca="1">INDEX($E$2:$E$98,K14)</f>
        <v>Raposo</v>
      </c>
      <c r="Q14" s="6" t="str" cm="1">
        <f t="array" aca="1" ref="Q14" ca="1">INDEX($E$2:$E$98,L14)</f>
        <v>Barbosa</v>
      </c>
      <c r="S14" t="str">
        <f t="shared" si="2"/>
        <v>Masculino</v>
      </c>
      <c r="T14" t="str">
        <f ca="1">N14 &amp; " " &amp;Q14</f>
        <v>Tomás Barbosa</v>
      </c>
    </row>
    <row r="15" spans="1:23" x14ac:dyDescent="0.25">
      <c r="A15" t="s">
        <v>66</v>
      </c>
      <c r="B15" t="s">
        <v>85</v>
      </c>
      <c r="E15" t="s">
        <v>122</v>
      </c>
      <c r="I15">
        <f t="shared" ca="1" si="0"/>
        <v>9</v>
      </c>
      <c r="J15">
        <f t="shared" ca="1" si="0"/>
        <v>1</v>
      </c>
      <c r="K15">
        <f t="shared" ca="1" si="1"/>
        <v>49</v>
      </c>
      <c r="L15">
        <f t="shared" ca="1" si="1"/>
        <v>23</v>
      </c>
      <c r="M15" t="s">
        <v>53</v>
      </c>
      <c r="N15" t="s">
        <v>81</v>
      </c>
      <c r="O15" t="s">
        <v>76</v>
      </c>
      <c r="P15" s="6" t="str" cm="1">
        <f t="array" aca="1" ref="P15" ca="1">INDEX($E$2:$E$98,K15)</f>
        <v>Figueiredo</v>
      </c>
      <c r="Q15" s="6" t="str" cm="1">
        <f t="array" aca="1" ref="Q15" ca="1">INDEX($E$2:$E$98,L15)</f>
        <v>Oliveira</v>
      </c>
      <c r="S15" t="str">
        <f t="shared" si="2"/>
        <v>Masculino</v>
      </c>
      <c r="T15" t="str">
        <f t="shared" ref="T15:T34" ca="1" si="4">N15 &amp; " " &amp;Q15</f>
        <v>André Oliveira</v>
      </c>
    </row>
    <row r="16" spans="1:23" x14ac:dyDescent="0.25">
      <c r="A16" t="s">
        <v>66</v>
      </c>
      <c r="B16" t="s">
        <v>72</v>
      </c>
      <c r="E16" t="s">
        <v>123</v>
      </c>
      <c r="I16">
        <f t="shared" ca="1" si="0"/>
        <v>21</v>
      </c>
      <c r="J16">
        <f t="shared" ca="1" si="0"/>
        <v>17</v>
      </c>
      <c r="K16">
        <f t="shared" ca="1" si="1"/>
        <v>59</v>
      </c>
      <c r="L16">
        <f t="shared" ca="1" si="1"/>
        <v>28</v>
      </c>
      <c r="M16" t="s">
        <v>66</v>
      </c>
      <c r="N16" t="s">
        <v>86</v>
      </c>
      <c r="O16" t="s">
        <v>77</v>
      </c>
      <c r="P16" s="6" t="str" cm="1">
        <f t="array" aca="1" ref="P16" ca="1">INDEX($E$2:$E$98,K16)</f>
        <v>Miranda</v>
      </c>
      <c r="Q16" s="6" t="str" cm="1">
        <f t="array" aca="1" ref="Q16" ca="1">INDEX($E$2:$E$98,L16)</f>
        <v>Sousa</v>
      </c>
      <c r="S16" t="str">
        <f t="shared" si="2"/>
        <v>Feminino</v>
      </c>
      <c r="T16" t="str">
        <f t="shared" ca="1" si="4"/>
        <v>Sara Sousa</v>
      </c>
    </row>
    <row r="17" spans="1:20" x14ac:dyDescent="0.25">
      <c r="A17" t="s">
        <v>66</v>
      </c>
      <c r="B17" t="s">
        <v>86</v>
      </c>
      <c r="E17" t="s">
        <v>124</v>
      </c>
      <c r="I17">
        <f t="shared" ca="1" si="0"/>
        <v>18</v>
      </c>
      <c r="J17">
        <f t="shared" ca="1" si="0"/>
        <v>10</v>
      </c>
      <c r="K17">
        <f t="shared" ca="1" si="1"/>
        <v>71</v>
      </c>
      <c r="L17">
        <f t="shared" ca="1" si="1"/>
        <v>10</v>
      </c>
      <c r="M17" t="s">
        <v>66</v>
      </c>
      <c r="N17" t="s">
        <v>74</v>
      </c>
      <c r="O17" t="s">
        <v>61</v>
      </c>
      <c r="P17" s="6" t="str" cm="1">
        <f t="array" aca="1" ref="P17" ca="1">INDEX($E$2:$E$98,K17)</f>
        <v>Nascimento</v>
      </c>
      <c r="Q17" s="6" t="str" cm="1">
        <f t="array" aca="1" ref="Q17" ca="1">INDEX($E$2:$E$98,L17)</f>
        <v>Moreira</v>
      </c>
      <c r="S17" t="str">
        <f t="shared" si="2"/>
        <v>Feminino</v>
      </c>
      <c r="T17" t="str">
        <f t="shared" ca="1" si="4"/>
        <v>Sofia Moreira</v>
      </c>
    </row>
    <row r="18" spans="1:20" x14ac:dyDescent="0.25">
      <c r="A18" t="s">
        <v>66</v>
      </c>
      <c r="B18" t="s">
        <v>87</v>
      </c>
      <c r="E18" t="s">
        <v>125</v>
      </c>
      <c r="I18">
        <f t="shared" ca="1" si="0"/>
        <v>6</v>
      </c>
      <c r="J18">
        <f t="shared" ca="1" si="0"/>
        <v>20</v>
      </c>
      <c r="K18">
        <f t="shared" ca="1" si="1"/>
        <v>9</v>
      </c>
      <c r="L18">
        <f t="shared" ca="1" si="1"/>
        <v>94</v>
      </c>
      <c r="M18" t="s">
        <v>53</v>
      </c>
      <c r="N18" t="s">
        <v>57</v>
      </c>
      <c r="O18" t="s">
        <v>73</v>
      </c>
      <c r="P18" s="6" t="str" cm="1">
        <f t="array" aca="1" ref="P18" ca="1">INDEX($E$2:$E$98,K18)</f>
        <v>Teixeira</v>
      </c>
      <c r="Q18" s="6" t="str" cm="1">
        <f t="array" aca="1" ref="Q18" ca="1">INDEX($E$2:$E$98,L18)</f>
        <v>Paiva</v>
      </c>
      <c r="S18" t="str">
        <f t="shared" si="2"/>
        <v>Masculino</v>
      </c>
      <c r="T18" t="str">
        <f t="shared" ca="1" si="4"/>
        <v>Afonso Paiva</v>
      </c>
    </row>
    <row r="19" spans="1:20" x14ac:dyDescent="0.25">
      <c r="A19" t="s">
        <v>66</v>
      </c>
      <c r="B19" t="s">
        <v>88</v>
      </c>
      <c r="E19" t="s">
        <v>126</v>
      </c>
      <c r="I19">
        <f t="shared" ca="1" si="0"/>
        <v>28</v>
      </c>
      <c r="J19">
        <f t="shared" ca="1" si="0"/>
        <v>30</v>
      </c>
      <c r="K19">
        <f t="shared" ca="1" si="1"/>
        <v>27</v>
      </c>
      <c r="L19">
        <f t="shared" ca="1" si="1"/>
        <v>70</v>
      </c>
      <c r="M19" t="s">
        <v>66</v>
      </c>
      <c r="N19" t="s">
        <v>74</v>
      </c>
      <c r="O19" t="s">
        <v>191</v>
      </c>
      <c r="P19" s="6" t="str" cm="1">
        <f t="array" aca="1" ref="P19" ca="1">INDEX($E$2:$E$98,K19)</f>
        <v>Jesus</v>
      </c>
      <c r="Q19" s="6" t="str" cm="1">
        <f t="array" aca="1" ref="Q19" ca="1">INDEX($E$2:$E$98,L19)</f>
        <v>Sá</v>
      </c>
      <c r="S19" t="str">
        <f t="shared" si="2"/>
        <v>Feminino</v>
      </c>
      <c r="T19" t="str">
        <f t="shared" ca="1" si="4"/>
        <v>Sofia Sá</v>
      </c>
    </row>
    <row r="20" spans="1:20" x14ac:dyDescent="0.25">
      <c r="A20" t="s">
        <v>53</v>
      </c>
      <c r="B20" t="s">
        <v>54</v>
      </c>
      <c r="E20" t="s">
        <v>90</v>
      </c>
      <c r="I20">
        <f t="shared" ca="1" si="0"/>
        <v>6</v>
      </c>
      <c r="J20">
        <f t="shared" ca="1" si="0"/>
        <v>37</v>
      </c>
      <c r="K20">
        <f t="shared" ca="1" si="1"/>
        <v>56</v>
      </c>
      <c r="L20">
        <f t="shared" ca="1" si="1"/>
        <v>39</v>
      </c>
      <c r="M20" t="s">
        <v>53</v>
      </c>
      <c r="N20" t="s">
        <v>77</v>
      </c>
      <c r="O20" t="s">
        <v>63</v>
      </c>
      <c r="P20" s="6" t="str" cm="1">
        <f t="array" aca="1" ref="P20" ca="1">INDEX($E$2:$E$98,K20)</f>
        <v>Batista</v>
      </c>
      <c r="Q20" s="6" t="str" cm="1">
        <f t="array" aca="1" ref="Q20" ca="1">INDEX($E$2:$E$98,L20)</f>
        <v>Simões</v>
      </c>
      <c r="S20" t="str">
        <f t="shared" si="2"/>
        <v>Masculino</v>
      </c>
      <c r="T20" t="str">
        <f t="shared" ca="1" si="4"/>
        <v>Diogo Simões</v>
      </c>
    </row>
    <row r="21" spans="1:20" x14ac:dyDescent="0.25">
      <c r="A21" t="s">
        <v>53</v>
      </c>
      <c r="B21" t="s">
        <v>55</v>
      </c>
      <c r="E21" t="s">
        <v>91</v>
      </c>
      <c r="I21">
        <f t="shared" ca="1" si="0"/>
        <v>36</v>
      </c>
      <c r="J21">
        <f t="shared" ca="1" si="0"/>
        <v>36</v>
      </c>
      <c r="K21">
        <f t="shared" ca="1" si="1"/>
        <v>72</v>
      </c>
      <c r="L21">
        <f t="shared" ca="1" si="1"/>
        <v>27</v>
      </c>
      <c r="M21" t="s">
        <v>66</v>
      </c>
      <c r="N21" t="s">
        <v>191</v>
      </c>
      <c r="O21" t="s">
        <v>79</v>
      </c>
      <c r="P21" s="6" t="str" cm="1">
        <f t="array" aca="1" ref="P21" ca="1">INDEX($E$2:$E$98,K21)</f>
        <v>Leite</v>
      </c>
      <c r="Q21" s="6" t="str" cm="1">
        <f t="array" aca="1" ref="Q21" ca="1">INDEX($E$2:$E$98,L21)</f>
        <v>Jesus</v>
      </c>
      <c r="S21" t="str">
        <f t="shared" si="2"/>
        <v>Feminino</v>
      </c>
      <c r="T21" t="str">
        <f t="shared" ca="1" si="4"/>
        <v>Vera Jesus</v>
      </c>
    </row>
    <row r="22" spans="1:20" x14ac:dyDescent="0.25">
      <c r="A22" t="s">
        <v>53</v>
      </c>
      <c r="B22" t="s">
        <v>56</v>
      </c>
      <c r="E22" t="s">
        <v>92</v>
      </c>
      <c r="I22">
        <f t="shared" ca="1" si="0"/>
        <v>33</v>
      </c>
      <c r="J22">
        <f t="shared" ca="1" si="0"/>
        <v>13</v>
      </c>
      <c r="K22">
        <f t="shared" ca="1" si="1"/>
        <v>55</v>
      </c>
      <c r="L22">
        <f t="shared" ca="1" si="1"/>
        <v>78</v>
      </c>
      <c r="M22" t="s">
        <v>53</v>
      </c>
      <c r="N22" t="s">
        <v>83</v>
      </c>
      <c r="O22" t="s">
        <v>73</v>
      </c>
      <c r="P22" s="6" t="str" cm="1">
        <f t="array" aca="1" ref="P22" ca="1">INDEX($E$2:$E$98,K22)</f>
        <v>Guerreiro</v>
      </c>
      <c r="Q22" s="6" t="str" cm="1">
        <f t="array" aca="1" ref="Q22" ca="1">INDEX($E$2:$E$98,L22)</f>
        <v>Vicente</v>
      </c>
      <c r="S22" t="str">
        <f t="shared" si="2"/>
        <v>Masculino</v>
      </c>
      <c r="T22" t="str">
        <f t="shared" ca="1" si="4"/>
        <v>Luís Vicente</v>
      </c>
    </row>
    <row r="23" spans="1:20" x14ac:dyDescent="0.25">
      <c r="A23" t="s">
        <v>53</v>
      </c>
      <c r="B23" t="s">
        <v>57</v>
      </c>
      <c r="E23" t="s">
        <v>93</v>
      </c>
      <c r="I23">
        <f t="shared" ca="1" si="0"/>
        <v>9</v>
      </c>
      <c r="J23">
        <f t="shared" ca="1" si="0"/>
        <v>6</v>
      </c>
      <c r="K23">
        <f t="shared" ca="1" si="1"/>
        <v>17</v>
      </c>
      <c r="L23">
        <f t="shared" ca="1" si="1"/>
        <v>49</v>
      </c>
      <c r="M23" t="s">
        <v>66</v>
      </c>
      <c r="N23" t="s">
        <v>70</v>
      </c>
      <c r="O23" t="s">
        <v>83</v>
      </c>
      <c r="P23" s="6" t="str" cm="1">
        <f t="array" aca="1" ref="P23" ca="1">INDEX($E$2:$E$98,K23)</f>
        <v>Pires</v>
      </c>
      <c r="Q23" s="6" t="str" cm="1">
        <f t="array" aca="1" ref="Q23" ca="1">INDEX($E$2:$E$98,L23)</f>
        <v>Figueiredo</v>
      </c>
      <c r="S23" t="str">
        <f t="shared" si="2"/>
        <v>Feminino</v>
      </c>
      <c r="T23" t="str">
        <f t="shared" ca="1" si="4"/>
        <v>Beatriz Figueiredo</v>
      </c>
    </row>
    <row r="24" spans="1:20" x14ac:dyDescent="0.25">
      <c r="A24" t="s">
        <v>53</v>
      </c>
      <c r="B24" t="s">
        <v>58</v>
      </c>
      <c r="E24" t="s">
        <v>94</v>
      </c>
      <c r="I24">
        <f t="shared" ca="1" si="0"/>
        <v>15</v>
      </c>
      <c r="J24">
        <f t="shared" ca="1" si="0"/>
        <v>31</v>
      </c>
      <c r="K24">
        <f t="shared" ca="1" si="1"/>
        <v>82</v>
      </c>
      <c r="L24">
        <f t="shared" ca="1" si="1"/>
        <v>24</v>
      </c>
      <c r="M24" t="s">
        <v>53</v>
      </c>
      <c r="N24" t="s">
        <v>60</v>
      </c>
      <c r="O24" t="s">
        <v>54</v>
      </c>
      <c r="P24" s="6" t="str" cm="1">
        <f t="array" aca="1" ref="P24" ca="1">INDEX($E$2:$E$98,K24)</f>
        <v>Moura</v>
      </c>
      <c r="Q24" s="6" t="str" cm="1">
        <f t="array" aca="1" ref="Q24" ca="1">INDEX($E$2:$E$98,L24)</f>
        <v>Costa</v>
      </c>
      <c r="S24" t="str">
        <f t="shared" si="2"/>
        <v>Masculino</v>
      </c>
      <c r="T24" t="str">
        <f t="shared" ca="1" si="4"/>
        <v>Tomás Costa</v>
      </c>
    </row>
    <row r="25" spans="1:20" x14ac:dyDescent="0.25">
      <c r="A25" t="s">
        <v>53</v>
      </c>
      <c r="B25" t="s">
        <v>59</v>
      </c>
      <c r="E25" t="s">
        <v>95</v>
      </c>
      <c r="I25">
        <f t="shared" ca="1" si="0"/>
        <v>7</v>
      </c>
      <c r="J25">
        <f t="shared" ca="1" si="0"/>
        <v>31</v>
      </c>
      <c r="K25">
        <f t="shared" ca="1" si="1"/>
        <v>31</v>
      </c>
      <c r="L25">
        <f t="shared" ca="1" si="1"/>
        <v>43</v>
      </c>
      <c r="M25" t="s">
        <v>66</v>
      </c>
      <c r="N25" t="s">
        <v>67</v>
      </c>
      <c r="O25" t="s">
        <v>61</v>
      </c>
      <c r="P25" s="6" t="str" cm="1">
        <f t="array" aca="1" ref="P25" ca="1">INDEX($E$2:$E$98,K25)</f>
        <v>Correia</v>
      </c>
      <c r="Q25" s="6" t="str" cm="1">
        <f t="array" aca="1" ref="Q25" ca="1">INDEX($E$2:$E$98,L25)</f>
        <v>Machado</v>
      </c>
      <c r="S25" t="str">
        <f t="shared" si="2"/>
        <v>Feminino</v>
      </c>
      <c r="T25" t="str">
        <f t="shared" ca="1" si="4"/>
        <v>Maria Machado</v>
      </c>
    </row>
    <row r="26" spans="1:20" x14ac:dyDescent="0.25">
      <c r="A26" t="s">
        <v>53</v>
      </c>
      <c r="B26" t="s">
        <v>60</v>
      </c>
      <c r="E26" t="s">
        <v>96</v>
      </c>
      <c r="I26">
        <f t="shared" ca="1" si="0"/>
        <v>4</v>
      </c>
      <c r="J26">
        <f t="shared" ca="1" si="0"/>
        <v>4</v>
      </c>
      <c r="K26">
        <f t="shared" ca="1" si="1"/>
        <v>16</v>
      </c>
      <c r="L26">
        <f t="shared" ca="1" si="1"/>
        <v>57</v>
      </c>
      <c r="M26" t="s">
        <v>66</v>
      </c>
      <c r="N26" t="s">
        <v>192</v>
      </c>
      <c r="O26" t="s">
        <v>86</v>
      </c>
      <c r="P26" s="6" t="str" cm="1">
        <f t="array" aca="1" ref="P26" ca="1">INDEX($E$2:$E$98,K26)</f>
        <v>Cunha</v>
      </c>
      <c r="Q26" s="6" t="str" cm="1">
        <f t="array" aca="1" ref="Q26" ca="1">INDEX($E$2:$E$98,L26)</f>
        <v>Pinheiro</v>
      </c>
      <c r="S26" t="str">
        <f t="shared" si="2"/>
        <v>Feminino</v>
      </c>
      <c r="T26" t="str">
        <f t="shared" ca="1" si="4"/>
        <v>Lurdes Pinheiro</v>
      </c>
    </row>
    <row r="27" spans="1:20" x14ac:dyDescent="0.25">
      <c r="A27" t="s">
        <v>53</v>
      </c>
      <c r="B27" t="s">
        <v>61</v>
      </c>
      <c r="E27" t="s">
        <v>97</v>
      </c>
      <c r="I27">
        <f t="shared" ca="1" si="0"/>
        <v>19</v>
      </c>
      <c r="J27">
        <f t="shared" ca="1" si="0"/>
        <v>4</v>
      </c>
      <c r="K27">
        <f t="shared" ca="1" si="1"/>
        <v>47</v>
      </c>
      <c r="L27">
        <f t="shared" ca="1" si="1"/>
        <v>11</v>
      </c>
      <c r="M27" t="s">
        <v>53</v>
      </c>
      <c r="N27" t="s">
        <v>79</v>
      </c>
      <c r="O27" t="s">
        <v>56</v>
      </c>
      <c r="P27" s="6" t="str" cm="1">
        <f t="array" aca="1" ref="P27" ca="1">INDEX($E$2:$E$98,K27)</f>
        <v>Lourenço</v>
      </c>
      <c r="Q27" s="6" t="str" cm="1">
        <f t="array" aca="1" ref="Q27" ca="1">INDEX($E$2:$E$98,L27)</f>
        <v>Rocha</v>
      </c>
      <c r="S27" t="str">
        <f t="shared" si="2"/>
        <v>Masculino</v>
      </c>
      <c r="T27" t="str">
        <f t="shared" ca="1" si="4"/>
        <v>Bruno Rocha</v>
      </c>
    </row>
    <row r="28" spans="1:20" x14ac:dyDescent="0.25">
      <c r="A28" t="s">
        <v>53</v>
      </c>
      <c r="B28" t="s">
        <v>62</v>
      </c>
      <c r="E28" t="s">
        <v>98</v>
      </c>
      <c r="I28">
        <f t="shared" ca="1" si="0"/>
        <v>30</v>
      </c>
      <c r="J28">
        <f t="shared" ca="1" si="0"/>
        <v>31</v>
      </c>
      <c r="K28">
        <f t="shared" ca="1" si="1"/>
        <v>22</v>
      </c>
      <c r="L28">
        <f t="shared" ca="1" si="1"/>
        <v>73</v>
      </c>
      <c r="M28" t="s">
        <v>53</v>
      </c>
      <c r="N28" t="s">
        <v>83</v>
      </c>
      <c r="O28" t="s">
        <v>54</v>
      </c>
      <c r="P28" s="6" t="str" cm="1">
        <f t="array" aca="1" ref="P28" ca="1">INDEX($E$2:$E$98,K28)</f>
        <v>Pereira</v>
      </c>
      <c r="Q28" s="6" t="str" cm="1">
        <f t="array" aca="1" ref="Q28" ca="1">INDEX($E$2:$E$98,L28)</f>
        <v>Abreu</v>
      </c>
      <c r="S28" t="str">
        <f t="shared" si="2"/>
        <v>Masculino</v>
      </c>
      <c r="T28" t="str">
        <f t="shared" ca="1" si="4"/>
        <v>Luís Abreu</v>
      </c>
    </row>
    <row r="29" spans="1:20" x14ac:dyDescent="0.25">
      <c r="A29" t="s">
        <v>53</v>
      </c>
      <c r="B29" t="s">
        <v>63</v>
      </c>
      <c r="E29" t="s">
        <v>99</v>
      </c>
      <c r="I29">
        <f t="shared" ca="1" si="0"/>
        <v>2</v>
      </c>
      <c r="J29">
        <f t="shared" ca="1" si="0"/>
        <v>32</v>
      </c>
      <c r="K29">
        <f t="shared" ca="1" si="1"/>
        <v>12</v>
      </c>
      <c r="L29">
        <f t="shared" ca="1" si="1"/>
        <v>35</v>
      </c>
      <c r="M29" t="s">
        <v>53</v>
      </c>
      <c r="N29" t="s">
        <v>62</v>
      </c>
      <c r="O29" t="s">
        <v>54</v>
      </c>
      <c r="P29" s="6" t="str" cm="1">
        <f t="array" aca="1" ref="P29" ca="1">INDEX($E$2:$E$98,K29)</f>
        <v>Raposo</v>
      </c>
      <c r="Q29" s="6" t="str" cm="1">
        <f t="array" aca="1" ref="Q29" ca="1">INDEX($E$2:$E$98,L29)</f>
        <v>Vieira</v>
      </c>
      <c r="S29" t="str">
        <f t="shared" si="2"/>
        <v>Masculino</v>
      </c>
      <c r="T29" t="str">
        <f t="shared" ca="1" si="4"/>
        <v>Miguel Vieira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36</v>
      </c>
      <c r="J30">
        <f t="shared" ca="1" si="0"/>
        <v>24</v>
      </c>
      <c r="K30">
        <f t="shared" ca="1" si="1"/>
        <v>30</v>
      </c>
      <c r="L30">
        <f t="shared" ca="1" si="1"/>
        <v>78</v>
      </c>
      <c r="M30" t="s">
        <v>66</v>
      </c>
      <c r="N30" t="s">
        <v>73</v>
      </c>
      <c r="O30" t="s">
        <v>84</v>
      </c>
      <c r="P30" s="6" t="str" cm="1">
        <f t="array" aca="1" ref="P30" ca="1">INDEX($E$2:$E$98,K30)</f>
        <v>Gonçalves</v>
      </c>
      <c r="Q30" s="6" t="str" cm="1">
        <f t="array" aca="1" ref="Q30" ca="1">INDEX($E$2:$E$98,L30)</f>
        <v>Vicente</v>
      </c>
      <c r="S30" t="str">
        <f t="shared" si="2"/>
        <v>Feminino</v>
      </c>
      <c r="T30" t="str">
        <f t="shared" ca="1" si="4"/>
        <v>Ana Vicente</v>
      </c>
    </row>
    <row r="31" spans="1:20" x14ac:dyDescent="0.25">
      <c r="A31" t="s">
        <v>53</v>
      </c>
      <c r="B31" t="s">
        <v>65</v>
      </c>
      <c r="E31" t="s">
        <v>101</v>
      </c>
      <c r="I31">
        <f t="shared" ca="1" si="0"/>
        <v>12</v>
      </c>
      <c r="J31">
        <f t="shared" ca="1" si="0"/>
        <v>14</v>
      </c>
      <c r="K31">
        <f t="shared" ca="1" si="1"/>
        <v>39</v>
      </c>
      <c r="L31">
        <f t="shared" ca="1" si="1"/>
        <v>27</v>
      </c>
      <c r="M31" t="s">
        <v>66</v>
      </c>
      <c r="N31" t="s">
        <v>67</v>
      </c>
      <c r="O31" t="s">
        <v>59</v>
      </c>
      <c r="P31" s="6" t="str" cm="1">
        <f t="array" aca="1" ref="P31" ca="1">INDEX($E$2:$E$98,K31)</f>
        <v>Simões</v>
      </c>
      <c r="Q31" s="6" t="str" cm="1">
        <f t="array" aca="1" ref="Q31" ca="1">INDEX($E$2:$E$98,L31)</f>
        <v>Jesus</v>
      </c>
      <c r="S31" t="str">
        <f t="shared" si="2"/>
        <v>Feminino</v>
      </c>
      <c r="T31" t="str">
        <f t="shared" ca="1" si="4"/>
        <v>Maria Jesus</v>
      </c>
    </row>
    <row r="32" spans="1:20" x14ac:dyDescent="0.25">
      <c r="A32" t="s">
        <v>53</v>
      </c>
      <c r="B32" t="s">
        <v>77</v>
      </c>
      <c r="E32" t="s">
        <v>112</v>
      </c>
      <c r="I32">
        <f t="shared" ca="1" si="0"/>
        <v>28</v>
      </c>
      <c r="J32">
        <f t="shared" ca="1" si="0"/>
        <v>27</v>
      </c>
      <c r="K32">
        <f t="shared" ca="1" si="1"/>
        <v>1</v>
      </c>
      <c r="L32">
        <f t="shared" ca="1" si="1"/>
        <v>11</v>
      </c>
      <c r="M32" t="s">
        <v>66</v>
      </c>
      <c r="N32" t="s">
        <v>75</v>
      </c>
      <c r="O32" t="s">
        <v>63</v>
      </c>
      <c r="P32" s="6" t="str" cm="1">
        <f t="array" aca="1" ref="P32" ca="1">INDEX($E$2:$E$98,K32)</f>
        <v>Gomes</v>
      </c>
      <c r="Q32" s="6" t="str" cm="1">
        <f t="array" aca="1" ref="Q32" ca="1">INDEX($E$2:$E$98,L32)</f>
        <v>Rocha</v>
      </c>
      <c r="S32" t="str">
        <f t="shared" si="2"/>
        <v>Feminino</v>
      </c>
      <c r="T32" t="str">
        <f t="shared" ca="1" si="4"/>
        <v>Francisca Rocha</v>
      </c>
    </row>
    <row r="33" spans="1:20" x14ac:dyDescent="0.25">
      <c r="A33" t="s">
        <v>53</v>
      </c>
      <c r="B33" t="s">
        <v>78</v>
      </c>
      <c r="E33" t="s">
        <v>113</v>
      </c>
      <c r="I33">
        <f t="shared" ca="1" si="0"/>
        <v>9</v>
      </c>
      <c r="J33">
        <f t="shared" ca="1" si="0"/>
        <v>19</v>
      </c>
      <c r="K33">
        <f t="shared" ca="1" si="1"/>
        <v>89</v>
      </c>
      <c r="L33">
        <f t="shared" ca="1" si="1"/>
        <v>16</v>
      </c>
      <c r="M33" t="s">
        <v>53</v>
      </c>
      <c r="N33" t="s">
        <v>83</v>
      </c>
      <c r="O33" t="s">
        <v>62</v>
      </c>
      <c r="P33" s="6" t="str" cm="1">
        <f t="array" aca="1" ref="P33" ca="1">INDEX($E$2:$E$98,K33)</f>
        <v>Amaral</v>
      </c>
      <c r="Q33" s="6" t="str" cm="1">
        <f t="array" aca="1" ref="Q33" ca="1">INDEX($E$2:$E$98,L33)</f>
        <v>Cunha</v>
      </c>
      <c r="S33" t="str">
        <f t="shared" si="2"/>
        <v>Masculino</v>
      </c>
      <c r="T33" t="str">
        <f t="shared" ca="1" si="4"/>
        <v>Luís Cunha</v>
      </c>
    </row>
    <row r="34" spans="1:20" x14ac:dyDescent="0.25">
      <c r="A34" t="s">
        <v>53</v>
      </c>
      <c r="B34" t="s">
        <v>79</v>
      </c>
      <c r="E34" t="s">
        <v>114</v>
      </c>
      <c r="I34">
        <f t="shared" ca="1" si="0"/>
        <v>2</v>
      </c>
      <c r="J34">
        <f t="shared" ca="1" si="0"/>
        <v>37</v>
      </c>
      <c r="K34">
        <f t="shared" ca="1" si="1"/>
        <v>94</v>
      </c>
      <c r="L34">
        <f t="shared" ca="1" si="1"/>
        <v>33</v>
      </c>
      <c r="M34" t="s">
        <v>66</v>
      </c>
      <c r="N34" t="s">
        <v>71</v>
      </c>
      <c r="O34" t="s">
        <v>55</v>
      </c>
      <c r="P34" s="6" t="str" cm="1">
        <f t="array" aca="1" ref="P34" ca="1">INDEX($E$2:$E$98,K34)</f>
        <v>Paiva</v>
      </c>
      <c r="Q34" s="6" t="str" cm="1">
        <f t="array" aca="1" ref="Q34" ca="1">INDEX($E$2:$E$98,L34)</f>
        <v>Nunes</v>
      </c>
      <c r="S34" t="str">
        <f t="shared" si="2"/>
        <v>Feminino</v>
      </c>
      <c r="T34" t="str">
        <f t="shared" ca="1" si="4"/>
        <v>Carolina Nunes</v>
      </c>
    </row>
    <row r="35" spans="1:20" x14ac:dyDescent="0.25">
      <c r="A35" t="s">
        <v>53</v>
      </c>
      <c r="B35" t="s">
        <v>80</v>
      </c>
      <c r="E35" t="s">
        <v>115</v>
      </c>
      <c r="I35">
        <f t="shared" ca="1" si="0"/>
        <v>6</v>
      </c>
      <c r="J35">
        <f t="shared" ca="1" si="0"/>
        <v>11</v>
      </c>
      <c r="K35">
        <f t="shared" ca="1" si="1"/>
        <v>77</v>
      </c>
      <c r="L35">
        <f t="shared" ca="1" si="1"/>
        <v>81</v>
      </c>
      <c r="M35" t="s">
        <v>66</v>
      </c>
      <c r="N35" t="s">
        <v>87</v>
      </c>
      <c r="O35" t="s">
        <v>192</v>
      </c>
      <c r="P35" s="6" t="str" cm="1">
        <f t="array" aca="1" ref="P35" ca="1">INDEX($E$2:$E$98,K35)</f>
        <v>Pinho</v>
      </c>
      <c r="Q35" s="6" t="str" cm="1">
        <f t="array" aca="1" ref="Q35" ca="1">INDEX($E$2:$E$98,L35)</f>
        <v>Maia</v>
      </c>
      <c r="S35" t="str">
        <f t="shared" si="2"/>
        <v>Feminino</v>
      </c>
      <c r="T35" t="str">
        <f ca="1">N35 &amp; " " &amp; P35 &amp; " " &amp; Q35</f>
        <v>Daniela Pinho Maia</v>
      </c>
    </row>
    <row r="36" spans="1:20" x14ac:dyDescent="0.25">
      <c r="A36" t="s">
        <v>53</v>
      </c>
      <c r="B36" t="s">
        <v>81</v>
      </c>
      <c r="E36" t="s">
        <v>116</v>
      </c>
      <c r="I36">
        <f t="shared" ca="1" si="0"/>
        <v>19</v>
      </c>
      <c r="J36">
        <f t="shared" ca="1" si="0"/>
        <v>33</v>
      </c>
      <c r="K36">
        <f t="shared" ca="1" si="1"/>
        <v>83</v>
      </c>
      <c r="L36">
        <f t="shared" ca="1" si="1"/>
        <v>50</v>
      </c>
      <c r="M36" t="s">
        <v>53</v>
      </c>
      <c r="N36" t="s">
        <v>83</v>
      </c>
      <c r="O36" t="s">
        <v>72</v>
      </c>
      <c r="P36" s="6" t="str" cm="1">
        <f t="array" aca="1" ref="P36" ca="1">INDEX($E$2:$E$98,K36)</f>
        <v>Valente</v>
      </c>
      <c r="Q36" s="6" t="str" cm="1">
        <f t="array" aca="1" ref="Q36" ca="1">INDEX($E$2:$E$98,L36)</f>
        <v>Azevedo</v>
      </c>
      <c r="S36" t="str">
        <f t="shared" si="2"/>
        <v>Masculino</v>
      </c>
      <c r="T36" t="str">
        <f t="shared" ref="T36:T51" ca="1" si="5">N36 &amp; " " &amp; P36 &amp; " " &amp; Q36</f>
        <v>Luís Valente Azevedo</v>
      </c>
    </row>
    <row r="37" spans="1:20" x14ac:dyDescent="0.25">
      <c r="A37" t="s">
        <v>53</v>
      </c>
      <c r="B37" t="s">
        <v>82</v>
      </c>
      <c r="E37" t="s">
        <v>117</v>
      </c>
      <c r="I37">
        <f t="shared" ca="1" si="0"/>
        <v>10</v>
      </c>
      <c r="J37">
        <f t="shared" ca="1" si="0"/>
        <v>6</v>
      </c>
      <c r="K37">
        <f t="shared" ca="1" si="1"/>
        <v>31</v>
      </c>
      <c r="L37">
        <f t="shared" ca="1" si="1"/>
        <v>20</v>
      </c>
      <c r="M37" t="s">
        <v>66</v>
      </c>
      <c r="N37" t="s">
        <v>84</v>
      </c>
      <c r="O37" t="s">
        <v>78</v>
      </c>
      <c r="P37" s="6" t="str" cm="1">
        <f t="array" aca="1" ref="P37" ca="1">INDEX($E$2:$E$98,K37)</f>
        <v>Correia</v>
      </c>
      <c r="Q37" s="6" t="str" cm="1">
        <f t="array" aca="1" ref="Q37" ca="1">INDEX($E$2:$E$98,L37)</f>
        <v>Santos</v>
      </c>
      <c r="S37" t="str">
        <f t="shared" si="2"/>
        <v>Feminino</v>
      </c>
      <c r="T37" t="str">
        <f t="shared" ca="1" si="5"/>
        <v>Joana Correia Santos</v>
      </c>
    </row>
    <row r="38" spans="1:20" x14ac:dyDescent="0.25">
      <c r="A38" t="s">
        <v>53</v>
      </c>
      <c r="B38" t="s">
        <v>83</v>
      </c>
      <c r="E38" t="s">
        <v>118</v>
      </c>
      <c r="I38">
        <f t="shared" ca="1" si="0"/>
        <v>30</v>
      </c>
      <c r="J38">
        <f t="shared" ca="1" si="0"/>
        <v>30</v>
      </c>
      <c r="K38">
        <f t="shared" ca="1" si="1"/>
        <v>94</v>
      </c>
      <c r="L38">
        <f t="shared" ca="1" si="1"/>
        <v>16</v>
      </c>
      <c r="M38" t="s">
        <v>53</v>
      </c>
      <c r="N38" t="s">
        <v>80</v>
      </c>
      <c r="O38" t="s">
        <v>81</v>
      </c>
      <c r="P38" s="6" t="str" cm="1">
        <f t="array" aca="1" ref="P38" ca="1">INDEX($E$2:$E$98,K38)</f>
        <v>Paiva</v>
      </c>
      <c r="Q38" s="6" t="str" cm="1">
        <f t="array" aca="1" ref="Q38" ca="1">INDEX($E$2:$E$98,L38)</f>
        <v>Cunha</v>
      </c>
      <c r="S38" t="str">
        <f t="shared" si="2"/>
        <v>Masculino</v>
      </c>
      <c r="T38" t="str">
        <f t="shared" ca="1" si="5"/>
        <v>José Paiva Cunha</v>
      </c>
    </row>
    <row r="39" spans="1:20" x14ac:dyDescent="0.25">
      <c r="E39" t="s">
        <v>127</v>
      </c>
      <c r="I39">
        <f t="shared" ca="1" si="0"/>
        <v>29</v>
      </c>
      <c r="J39">
        <f t="shared" ca="1" si="0"/>
        <v>28</v>
      </c>
      <c r="K39">
        <f t="shared" ca="1" si="1"/>
        <v>58</v>
      </c>
      <c r="L39">
        <f t="shared" ca="1" si="1"/>
        <v>75</v>
      </c>
      <c r="M39" t="s">
        <v>53</v>
      </c>
      <c r="N39" t="s">
        <v>57</v>
      </c>
      <c r="O39" t="s">
        <v>54</v>
      </c>
      <c r="P39" s="6" t="str" cm="1">
        <f t="array" aca="1" ref="P39" ca="1">INDEX($E$2:$E$98,K39)</f>
        <v>Faria</v>
      </c>
      <c r="Q39" s="6" t="str" cm="1">
        <f t="array" aca="1" ref="Q39" ca="1">INDEX($E$2:$E$98,L39)</f>
        <v>Melo</v>
      </c>
      <c r="S39" t="str">
        <f t="shared" si="2"/>
        <v>Masculino</v>
      </c>
      <c r="T39" t="str">
        <f t="shared" ca="1" si="5"/>
        <v>Afonso Faria Melo</v>
      </c>
    </row>
    <row r="40" spans="1:20" x14ac:dyDescent="0.25">
      <c r="E40" t="s">
        <v>128</v>
      </c>
      <c r="I40">
        <f t="shared" ca="1" si="0"/>
        <v>14</v>
      </c>
      <c r="J40">
        <f t="shared" ca="1" si="0"/>
        <v>32</v>
      </c>
      <c r="K40">
        <f t="shared" ca="1" si="1"/>
        <v>79</v>
      </c>
      <c r="L40">
        <f t="shared" ca="1" si="1"/>
        <v>84</v>
      </c>
      <c r="M40" t="s">
        <v>53</v>
      </c>
      <c r="N40" t="s">
        <v>83</v>
      </c>
      <c r="O40" t="s">
        <v>72</v>
      </c>
      <c r="P40" s="6" t="str" cm="1">
        <f t="array" aca="1" ref="P40" ca="1">INDEX($E$2:$E$98,K40)</f>
        <v>Gaspar</v>
      </c>
      <c r="Q40" s="6" t="str" cm="1">
        <f t="array" aca="1" ref="Q40" ca="1">INDEX($E$2:$E$98,L40)</f>
        <v>Domingues</v>
      </c>
      <c r="S40" t="str">
        <f t="shared" si="2"/>
        <v>Masculino</v>
      </c>
      <c r="T40" t="str">
        <f t="shared" ca="1" si="5"/>
        <v>Luís Gaspar Domingues</v>
      </c>
    </row>
    <row r="41" spans="1:20" x14ac:dyDescent="0.25">
      <c r="E41" t="s">
        <v>129</v>
      </c>
      <c r="I41">
        <f t="shared" ca="1" si="0"/>
        <v>19</v>
      </c>
      <c r="J41">
        <f t="shared" ca="1" si="0"/>
        <v>6</v>
      </c>
      <c r="K41">
        <f t="shared" ca="1" si="1"/>
        <v>2</v>
      </c>
      <c r="L41">
        <f t="shared" ca="1" si="1"/>
        <v>57</v>
      </c>
      <c r="M41" t="s">
        <v>53</v>
      </c>
      <c r="N41" t="s">
        <v>80</v>
      </c>
      <c r="O41" t="s">
        <v>74</v>
      </c>
      <c r="P41" s="6" t="str" cm="1">
        <f t="array" aca="1" ref="P41" ca="1">INDEX($E$2:$E$98,K41)</f>
        <v>Lopes</v>
      </c>
      <c r="Q41" s="6" t="str" cm="1">
        <f t="array" aca="1" ref="Q41" ca="1">INDEX($E$2:$E$98,L41)</f>
        <v>Pinheiro</v>
      </c>
      <c r="S41" t="str">
        <f t="shared" si="2"/>
        <v>Masculino</v>
      </c>
      <c r="T41" t="str">
        <f t="shared" ca="1" si="5"/>
        <v>José Lopes Pinheiro</v>
      </c>
    </row>
    <row r="42" spans="1:20" x14ac:dyDescent="0.25">
      <c r="E42" t="s">
        <v>130</v>
      </c>
      <c r="I42">
        <f t="shared" ca="1" si="0"/>
        <v>1</v>
      </c>
      <c r="J42">
        <f t="shared" ca="1" si="0"/>
        <v>25</v>
      </c>
      <c r="K42">
        <f t="shared" ca="1" si="1"/>
        <v>32</v>
      </c>
      <c r="L42">
        <f t="shared" ca="1" si="1"/>
        <v>63</v>
      </c>
      <c r="M42" t="s">
        <v>53</v>
      </c>
      <c r="N42" t="s">
        <v>80</v>
      </c>
      <c r="O42" t="s">
        <v>77</v>
      </c>
      <c r="P42" s="6" t="str" cm="1">
        <f t="array" aca="1" ref="P42" ca="1">INDEX($E$2:$E$98,K42)</f>
        <v>Mendes</v>
      </c>
      <c r="Q42" s="6" t="str" cm="1">
        <f t="array" aca="1" ref="Q42" ca="1">INDEX($E$2:$E$98,L42)</f>
        <v>Esteves</v>
      </c>
      <c r="S42" t="str">
        <f t="shared" si="2"/>
        <v>Masculino</v>
      </c>
      <c r="T42" t="str">
        <f t="shared" ca="1" si="5"/>
        <v>José Mendes Esteves</v>
      </c>
    </row>
    <row r="43" spans="1:20" x14ac:dyDescent="0.25">
      <c r="E43" t="s">
        <v>131</v>
      </c>
      <c r="I43">
        <f t="shared" ca="1" si="0"/>
        <v>28</v>
      </c>
      <c r="J43">
        <f t="shared" ca="1" si="0"/>
        <v>31</v>
      </c>
      <c r="K43">
        <f t="shared" ca="1" si="1"/>
        <v>84</v>
      </c>
      <c r="L43">
        <f t="shared" ca="1" si="1"/>
        <v>75</v>
      </c>
      <c r="M43" t="s">
        <v>53</v>
      </c>
      <c r="N43" t="s">
        <v>78</v>
      </c>
      <c r="O43" t="s">
        <v>85</v>
      </c>
      <c r="P43" s="6" t="str" cm="1">
        <f t="array" aca="1" ref="P43" ca="1">INDEX($E$2:$E$98,K43)</f>
        <v>Domingues</v>
      </c>
      <c r="Q43" s="6" t="str" cm="1">
        <f t="array" aca="1" ref="Q43" ca="1">INDEX($E$2:$E$98,L43)</f>
        <v>Melo</v>
      </c>
      <c r="S43" t="str">
        <f t="shared" si="2"/>
        <v>Masculino</v>
      </c>
      <c r="T43" t="str">
        <f t="shared" ca="1" si="5"/>
        <v>Tiago Domingues Melo</v>
      </c>
    </row>
    <row r="44" spans="1:20" x14ac:dyDescent="0.25">
      <c r="E44" t="s">
        <v>132</v>
      </c>
      <c r="I44">
        <f t="shared" ca="1" si="0"/>
        <v>5</v>
      </c>
      <c r="J44">
        <f t="shared" ca="1" si="0"/>
        <v>3</v>
      </c>
      <c r="K44">
        <f t="shared" ca="1" si="1"/>
        <v>31</v>
      </c>
      <c r="L44">
        <f t="shared" ca="1" si="1"/>
        <v>62</v>
      </c>
      <c r="M44" t="s">
        <v>53</v>
      </c>
      <c r="N44" t="s">
        <v>63</v>
      </c>
      <c r="O44" t="s">
        <v>80</v>
      </c>
      <c r="P44" s="6" t="str" cm="1">
        <f t="array" aca="1" ref="P44" ca="1">INDEX($E$2:$E$98,K44)</f>
        <v>Correia</v>
      </c>
      <c r="Q44" s="6" t="str" cm="1">
        <f t="array" aca="1" ref="Q44" ca="1">INDEX($E$2:$E$98,L44)</f>
        <v>Nogueira</v>
      </c>
      <c r="S44" t="str">
        <f t="shared" si="2"/>
        <v>Masculino</v>
      </c>
      <c r="T44" t="str">
        <f t="shared" ca="1" si="5"/>
        <v>Gabriel Correia Nogueira</v>
      </c>
    </row>
    <row r="45" spans="1:20" x14ac:dyDescent="0.25">
      <c r="E45" t="s">
        <v>133</v>
      </c>
      <c r="I45">
        <f t="shared" ca="1" si="0"/>
        <v>14</v>
      </c>
      <c r="J45">
        <f t="shared" ca="1" si="0"/>
        <v>33</v>
      </c>
      <c r="K45">
        <f t="shared" ca="1" si="1"/>
        <v>64</v>
      </c>
      <c r="L45">
        <f t="shared" ca="1" si="1"/>
        <v>97</v>
      </c>
      <c r="M45" t="s">
        <v>53</v>
      </c>
      <c r="N45" t="s">
        <v>62</v>
      </c>
      <c r="O45" t="s">
        <v>73</v>
      </c>
      <c r="P45" s="6" t="str" cm="1">
        <f t="array" aca="1" ref="P45" ca="1">INDEX($E$2:$E$98,K45)</f>
        <v>Anjos</v>
      </c>
      <c r="Q45" s="6" t="str" cm="1">
        <f t="array" aca="1" ref="Q45" ca="1">INDEX($E$2:$E$98,L45)</f>
        <v>Torres</v>
      </c>
      <c r="S45" t="str">
        <f t="shared" si="2"/>
        <v>Masculino</v>
      </c>
      <c r="T45" t="str">
        <f t="shared" ca="1" si="5"/>
        <v>Miguel Anjos Torres</v>
      </c>
    </row>
    <row r="46" spans="1:20" x14ac:dyDescent="0.25">
      <c r="E46" t="s">
        <v>134</v>
      </c>
      <c r="I46">
        <f t="shared" ca="1" si="0"/>
        <v>37</v>
      </c>
      <c r="J46">
        <f t="shared" ca="1" si="0"/>
        <v>19</v>
      </c>
      <c r="K46">
        <f t="shared" ca="1" si="1"/>
        <v>88</v>
      </c>
      <c r="L46">
        <f t="shared" ca="1" si="1"/>
        <v>44</v>
      </c>
      <c r="M46" t="s">
        <v>53</v>
      </c>
      <c r="N46" t="s">
        <v>65</v>
      </c>
      <c r="O46" t="s">
        <v>65</v>
      </c>
      <c r="P46" s="6" t="str" cm="1">
        <f t="array" aca="1" ref="P46" ca="1">INDEX($E$2:$E$98,K46)</f>
        <v>Neto</v>
      </c>
      <c r="Q46" s="6" t="str" cm="1">
        <f t="array" aca="1" ref="Q46" ca="1">INDEX($E$2:$E$98,L46)</f>
        <v>Araújo</v>
      </c>
      <c r="S46" t="str">
        <f t="shared" si="2"/>
        <v>Masculino</v>
      </c>
      <c r="T46" t="str">
        <f t="shared" ca="1" si="5"/>
        <v>Marco Neto Araújo</v>
      </c>
    </row>
    <row r="47" spans="1:20" x14ac:dyDescent="0.25">
      <c r="E47" t="s">
        <v>135</v>
      </c>
      <c r="I47">
        <f t="shared" ca="1" si="0"/>
        <v>2</v>
      </c>
      <c r="J47">
        <f t="shared" ca="1" si="0"/>
        <v>26</v>
      </c>
      <c r="K47">
        <f t="shared" ca="1" si="1"/>
        <v>95</v>
      </c>
      <c r="L47">
        <f t="shared" ca="1" si="1"/>
        <v>37</v>
      </c>
      <c r="M47" t="s">
        <v>53</v>
      </c>
      <c r="N47" t="s">
        <v>65</v>
      </c>
      <c r="O47" t="s">
        <v>83</v>
      </c>
      <c r="P47" s="6" t="str" cm="1">
        <f t="array" aca="1" ref="P47" ca="1">INDEX($E$2:$E$98,K47)</f>
        <v>Matias</v>
      </c>
      <c r="Q47" s="6" t="str" cm="1">
        <f t="array" aca="1" ref="Q47" ca="1">INDEX($E$2:$E$98,L47)</f>
        <v>Cardoso</v>
      </c>
      <c r="S47" t="str">
        <f t="shared" si="2"/>
        <v>Masculino</v>
      </c>
      <c r="T47" t="str">
        <f t="shared" ca="1" si="5"/>
        <v>Marco Matias Cardoso</v>
      </c>
    </row>
    <row r="48" spans="1:20" x14ac:dyDescent="0.25">
      <c r="E48" t="s">
        <v>136</v>
      </c>
      <c r="I48">
        <f t="shared" ca="1" si="0"/>
        <v>4</v>
      </c>
      <c r="J48">
        <f t="shared" ca="1" si="0"/>
        <v>26</v>
      </c>
      <c r="K48">
        <f t="shared" ca="1" si="1"/>
        <v>67</v>
      </c>
      <c r="L48">
        <f t="shared" ca="1" si="1"/>
        <v>6</v>
      </c>
      <c r="M48" t="s">
        <v>53</v>
      </c>
      <c r="N48" t="s">
        <v>57</v>
      </c>
      <c r="O48" t="s">
        <v>62</v>
      </c>
      <c r="P48" s="6" t="str" cm="1">
        <f t="array" aca="1" ref="P48" ca="1">INDEX($E$2:$E$98,K48)</f>
        <v>Mota</v>
      </c>
      <c r="Q48" s="6" t="str" cm="1">
        <f t="array" aca="1" ref="Q48" ca="1">INDEX($E$2:$E$98,L48)</f>
        <v>Ribeiro</v>
      </c>
      <c r="S48" t="str">
        <f t="shared" si="2"/>
        <v>Masculino</v>
      </c>
      <c r="T48" t="str">
        <f t="shared" ca="1" si="5"/>
        <v>Afonso Mota Ribeiro</v>
      </c>
    </row>
    <row r="49" spans="5:20" x14ac:dyDescent="0.25">
      <c r="E49" t="s">
        <v>137</v>
      </c>
      <c r="I49">
        <f t="shared" ca="1" si="0"/>
        <v>11</v>
      </c>
      <c r="J49">
        <f t="shared" ca="1" si="0"/>
        <v>27</v>
      </c>
      <c r="K49">
        <f t="shared" ca="1" si="1"/>
        <v>43</v>
      </c>
      <c r="L49">
        <f t="shared" ca="1" si="1"/>
        <v>85</v>
      </c>
      <c r="M49" t="s">
        <v>53</v>
      </c>
      <c r="N49" t="s">
        <v>54</v>
      </c>
      <c r="O49" t="s">
        <v>81</v>
      </c>
      <c r="P49" s="6" t="str" cm="1">
        <f t="array" aca="1" ref="P49" ca="1">INDEX($E$2:$E$98,K49)</f>
        <v>Machado</v>
      </c>
      <c r="Q49" s="6" t="str" cm="1">
        <f t="array" aca="1" ref="Q49" ca="1">INDEX($E$2:$E$98,L49)</f>
        <v>Garcia</v>
      </c>
      <c r="S49" t="str">
        <f t="shared" si="2"/>
        <v>Masculino</v>
      </c>
      <c r="T49" t="str">
        <f t="shared" ca="1" si="5"/>
        <v>Santiago Machado Garcia</v>
      </c>
    </row>
    <row r="50" spans="5:20" x14ac:dyDescent="0.25">
      <c r="E50" t="s">
        <v>138</v>
      </c>
      <c r="I50">
        <f t="shared" ca="1" si="0"/>
        <v>18</v>
      </c>
      <c r="J50">
        <f t="shared" ca="1" si="0"/>
        <v>30</v>
      </c>
      <c r="K50">
        <f t="shared" ca="1" si="1"/>
        <v>26</v>
      </c>
      <c r="L50">
        <f t="shared" ca="1" si="1"/>
        <v>75</v>
      </c>
      <c r="M50" t="s">
        <v>66</v>
      </c>
      <c r="N50" t="s">
        <v>84</v>
      </c>
      <c r="O50" t="s">
        <v>83</v>
      </c>
      <c r="P50" s="6" t="str" cm="1">
        <f t="array" aca="1" ref="P50" ca="1">INDEX($E$2:$E$98,K50)</f>
        <v>Martins</v>
      </c>
      <c r="Q50" s="6" t="str" cm="1">
        <f t="array" aca="1" ref="Q50" ca="1">INDEX($E$2:$E$98,L50)</f>
        <v>Melo</v>
      </c>
      <c r="S50" t="str">
        <f t="shared" si="2"/>
        <v>Feminino</v>
      </c>
      <c r="T50" t="str">
        <f t="shared" ca="1" si="5"/>
        <v>Joana Martins Melo</v>
      </c>
    </row>
    <row r="51" spans="5:20" x14ac:dyDescent="0.25">
      <c r="E51" t="s">
        <v>139</v>
      </c>
      <c r="I51">
        <f t="shared" ca="1" si="0"/>
        <v>19</v>
      </c>
      <c r="J51">
        <f t="shared" ca="1" si="0"/>
        <v>15</v>
      </c>
      <c r="K51">
        <f t="shared" ca="1" si="1"/>
        <v>58</v>
      </c>
      <c r="L51">
        <f t="shared" ca="1" si="1"/>
        <v>71</v>
      </c>
      <c r="M51" t="s">
        <v>66</v>
      </c>
      <c r="N51" t="s">
        <v>70</v>
      </c>
      <c r="O51" t="s">
        <v>57</v>
      </c>
      <c r="P51" s="6" t="str" cm="1">
        <f t="array" aca="1" ref="P51" ca="1">INDEX($E$2:$E$98,K51)</f>
        <v>Faria</v>
      </c>
      <c r="Q51" s="6" t="str" cm="1">
        <f t="array" aca="1" ref="Q51" ca="1">INDEX($E$2:$E$98,L51)</f>
        <v>Nascimento</v>
      </c>
      <c r="S51" t="str">
        <f t="shared" si="2"/>
        <v>Feminino</v>
      </c>
      <c r="T51" t="str">
        <f t="shared" ca="1" si="5"/>
        <v>Beatriz Faria Nascimento</v>
      </c>
    </row>
    <row r="52" spans="5:20" x14ac:dyDescent="0.25">
      <c r="E52" t="s">
        <v>140</v>
      </c>
      <c r="I52">
        <f t="shared" ca="1" si="0"/>
        <v>1</v>
      </c>
      <c r="J52">
        <f t="shared" ca="1" si="0"/>
        <v>26</v>
      </c>
      <c r="K52">
        <f t="shared" ca="1" si="1"/>
        <v>35</v>
      </c>
      <c r="L52">
        <f t="shared" ca="1" si="1"/>
        <v>82</v>
      </c>
      <c r="M52" t="s">
        <v>53</v>
      </c>
      <c r="N52" t="s">
        <v>57</v>
      </c>
      <c r="O52" t="s">
        <v>80</v>
      </c>
      <c r="P52" s="6" t="str" cm="1">
        <f t="array" aca="1" ref="P52" ca="1">INDEX($E$2:$E$98,K52)</f>
        <v>Vieira</v>
      </c>
      <c r="Q52" s="6" t="str" cm="1">
        <f t="array" aca="1" ref="Q52" ca="1">INDEX($E$2:$E$98,L52)</f>
        <v>Moura</v>
      </c>
      <c r="S52" t="str">
        <f t="shared" si="2"/>
        <v>Masculino</v>
      </c>
      <c r="T52" t="str">
        <f ca="1">N52 &amp; " " &amp; O52 &amp; " " &amp; P52  &amp; " " &amp; Q52</f>
        <v>Afonso José Vieira Moura</v>
      </c>
    </row>
    <row r="53" spans="5:20" x14ac:dyDescent="0.25">
      <c r="E53" t="s">
        <v>141</v>
      </c>
      <c r="I53">
        <f t="shared" ca="1" si="0"/>
        <v>14</v>
      </c>
      <c r="J53">
        <f t="shared" ca="1" si="0"/>
        <v>6</v>
      </c>
      <c r="K53">
        <f t="shared" ca="1" si="1"/>
        <v>46</v>
      </c>
      <c r="L53">
        <f t="shared" ca="1" si="1"/>
        <v>42</v>
      </c>
      <c r="M53" t="s">
        <v>53</v>
      </c>
      <c r="N53" t="s">
        <v>58</v>
      </c>
      <c r="O53" t="s">
        <v>72</v>
      </c>
      <c r="P53" s="6" t="str" cm="1">
        <f t="array" aca="1" ref="P53" ca="1">INDEX($E$2:$E$98,K53)</f>
        <v>Tavares</v>
      </c>
      <c r="Q53" s="6" t="str" cm="1">
        <f t="array" aca="1" ref="Q53" ca="1">INDEX($E$2:$E$98,L53)</f>
        <v>Fonseca</v>
      </c>
      <c r="S53" t="str">
        <f t="shared" si="2"/>
        <v>Masculino</v>
      </c>
      <c r="T53" t="str">
        <f t="shared" ref="T53:T116" ca="1" si="6">N53 &amp; " " &amp; O53 &amp; " " &amp; P53  &amp; " " &amp; Q53</f>
        <v>Rodrigo Mariana Tavares Fonseca</v>
      </c>
    </row>
    <row r="54" spans="5:20" x14ac:dyDescent="0.25">
      <c r="E54" t="s">
        <v>142</v>
      </c>
      <c r="I54">
        <f t="shared" ca="1" si="0"/>
        <v>15</v>
      </c>
      <c r="J54">
        <f t="shared" ca="1" si="0"/>
        <v>21</v>
      </c>
      <c r="K54">
        <f t="shared" ca="1" si="1"/>
        <v>3</v>
      </c>
      <c r="L54">
        <f t="shared" ca="1" si="1"/>
        <v>86</v>
      </c>
      <c r="M54" t="s">
        <v>66</v>
      </c>
      <c r="N54" t="s">
        <v>69</v>
      </c>
      <c r="O54" t="s">
        <v>86</v>
      </c>
      <c r="P54" s="6" t="str" cm="1">
        <f t="array" aca="1" ref="P54" ca="1">INDEX($E$2:$E$98,K54)</f>
        <v>Marques</v>
      </c>
      <c r="Q54" s="6" t="str" cm="1">
        <f t="array" aca="1" ref="Q54" ca="1">INDEX($E$2:$E$98,L54)</f>
        <v>Carneiro</v>
      </c>
      <c r="S54" t="str">
        <f t="shared" si="2"/>
        <v>Feminino</v>
      </c>
      <c r="T54" t="str">
        <f t="shared" ca="1" si="6"/>
        <v>Matilde Sara Marques Carneiro</v>
      </c>
    </row>
    <row r="55" spans="5:20" x14ac:dyDescent="0.25">
      <c r="E55" t="s">
        <v>143</v>
      </c>
      <c r="I55">
        <f t="shared" ca="1" si="0"/>
        <v>4</v>
      </c>
      <c r="J55">
        <f t="shared" ca="1" si="0"/>
        <v>17</v>
      </c>
      <c r="K55">
        <f t="shared" ca="1" si="1"/>
        <v>65</v>
      </c>
      <c r="L55">
        <f t="shared" ca="1" si="1"/>
        <v>31</v>
      </c>
      <c r="M55" t="s">
        <v>53</v>
      </c>
      <c r="N55" t="s">
        <v>55</v>
      </c>
      <c r="O55" t="s">
        <v>77</v>
      </c>
      <c r="P55" s="6" t="str" cm="1">
        <f t="array" aca="1" ref="P55" ca="1">INDEX($E$2:$E$98,K55)</f>
        <v>Baptista</v>
      </c>
      <c r="Q55" s="6" t="str" cm="1">
        <f t="array" aca="1" ref="Q55" ca="1">INDEX($E$2:$E$98,L55)</f>
        <v>Correia</v>
      </c>
      <c r="S55" t="str">
        <f t="shared" si="2"/>
        <v>Masculino</v>
      </c>
      <c r="T55" t="str">
        <f t="shared" ca="1" si="6"/>
        <v>Francisco Diogo Baptista Correia</v>
      </c>
    </row>
    <row r="56" spans="5:20" x14ac:dyDescent="0.25">
      <c r="E56" t="s">
        <v>144</v>
      </c>
      <c r="I56">
        <f t="shared" ca="1" si="0"/>
        <v>30</v>
      </c>
      <c r="J56">
        <f t="shared" ca="1" si="0"/>
        <v>8</v>
      </c>
      <c r="K56">
        <f t="shared" ca="1" si="1"/>
        <v>76</v>
      </c>
      <c r="L56">
        <f t="shared" ca="1" si="1"/>
        <v>34</v>
      </c>
      <c r="M56" t="s">
        <v>53</v>
      </c>
      <c r="N56" t="s">
        <v>78</v>
      </c>
      <c r="O56" t="s">
        <v>56</v>
      </c>
      <c r="P56" s="6" t="str" cm="1">
        <f t="array" aca="1" ref="P56" ca="1">INDEX($E$2:$E$98,K56)</f>
        <v>Vaz</v>
      </c>
      <c r="Q56" s="6" t="str" cm="1">
        <f t="array" aca="1" ref="Q56" ca="1">INDEX($E$2:$E$98,L56)</f>
        <v>Soares</v>
      </c>
      <c r="S56" t="str">
        <f t="shared" si="2"/>
        <v>Masculino</v>
      </c>
      <c r="T56" t="str">
        <f t="shared" ca="1" si="6"/>
        <v>Tiago João Vaz Soares</v>
      </c>
    </row>
    <row r="57" spans="5:20" x14ac:dyDescent="0.25">
      <c r="E57" t="s">
        <v>145</v>
      </c>
      <c r="I57">
        <f t="shared" ca="1" si="0"/>
        <v>31</v>
      </c>
      <c r="J57">
        <f t="shared" ca="1" si="0"/>
        <v>29</v>
      </c>
      <c r="K57">
        <f t="shared" ca="1" si="1"/>
        <v>36</v>
      </c>
      <c r="L57">
        <f t="shared" ca="1" si="1"/>
        <v>26</v>
      </c>
      <c r="M57" t="s">
        <v>53</v>
      </c>
      <c r="N57" t="s">
        <v>64</v>
      </c>
      <c r="O57" t="s">
        <v>56</v>
      </c>
      <c r="P57" s="6" t="str" cm="1">
        <f t="array" aca="1" ref="P57" ca="1">INDEX($E$2:$E$98,K57)</f>
        <v>Monteiro</v>
      </c>
      <c r="Q57" s="6" t="str" cm="1">
        <f t="array" aca="1" ref="Q57" ca="1">INDEX($E$2:$E$98,L57)</f>
        <v>Martins</v>
      </c>
      <c r="S57" t="str">
        <f t="shared" si="2"/>
        <v>Masculino</v>
      </c>
      <c r="T57" t="str">
        <f t="shared" ca="1" si="6"/>
        <v>Pedro João Monteiro Martins</v>
      </c>
    </row>
    <row r="58" spans="5:20" x14ac:dyDescent="0.25">
      <c r="E58" t="s">
        <v>146</v>
      </c>
      <c r="I58">
        <f t="shared" ca="1" si="0"/>
        <v>8</v>
      </c>
      <c r="J58">
        <f t="shared" ca="1" si="0"/>
        <v>30</v>
      </c>
      <c r="K58">
        <f t="shared" ca="1" si="1"/>
        <v>89</v>
      </c>
      <c r="L58">
        <f t="shared" ca="1" si="1"/>
        <v>48</v>
      </c>
      <c r="M58" t="s">
        <v>66</v>
      </c>
      <c r="N58" t="s">
        <v>75</v>
      </c>
      <c r="O58" t="s">
        <v>56</v>
      </c>
      <c r="P58" s="6" t="str" cm="1">
        <f t="array" aca="1" ref="P58" ca="1">INDEX($E$2:$E$98,K58)</f>
        <v>Amaral</v>
      </c>
      <c r="Q58" s="6" t="str" cm="1">
        <f t="array" aca="1" ref="Q58" ca="1">INDEX($E$2:$E$98,L58)</f>
        <v>Castro</v>
      </c>
      <c r="S58" t="str">
        <f t="shared" si="2"/>
        <v>Feminino</v>
      </c>
      <c r="T58" t="str">
        <f t="shared" ca="1" si="6"/>
        <v>Francisca João Amaral Castro</v>
      </c>
    </row>
    <row r="59" spans="5:20" x14ac:dyDescent="0.25">
      <c r="E59" t="s">
        <v>147</v>
      </c>
      <c r="I59">
        <f t="shared" ca="1" si="0"/>
        <v>5</v>
      </c>
      <c r="J59">
        <f t="shared" ca="1" si="0"/>
        <v>13</v>
      </c>
      <c r="K59">
        <f t="shared" ca="1" si="1"/>
        <v>14</v>
      </c>
      <c r="L59">
        <f t="shared" ca="1" si="1"/>
        <v>41</v>
      </c>
      <c r="M59" t="s">
        <v>53</v>
      </c>
      <c r="N59" t="s">
        <v>56</v>
      </c>
      <c r="O59" t="s">
        <v>73</v>
      </c>
      <c r="P59" s="6" t="str" cm="1">
        <f t="array" aca="1" ref="P59" ca="1">INDEX($E$2:$E$98,K59)</f>
        <v>Coelho</v>
      </c>
      <c r="Q59" s="6" t="str" cm="1">
        <f t="array" aca="1" ref="Q59" ca="1">INDEX($E$2:$E$98,L59)</f>
        <v>Matos</v>
      </c>
      <c r="S59" t="str">
        <f t="shared" si="2"/>
        <v>Masculino</v>
      </c>
      <c r="T59" t="str">
        <f t="shared" ca="1" si="6"/>
        <v>João Ana Coelho Matos</v>
      </c>
    </row>
    <row r="60" spans="5:20" x14ac:dyDescent="0.25">
      <c r="E60" t="s">
        <v>148</v>
      </c>
      <c r="I60">
        <f t="shared" ca="1" si="0"/>
        <v>37</v>
      </c>
      <c r="J60">
        <f t="shared" ca="1" si="0"/>
        <v>31</v>
      </c>
      <c r="K60">
        <f t="shared" ca="1" si="1"/>
        <v>68</v>
      </c>
      <c r="L60">
        <f t="shared" ca="1" si="1"/>
        <v>2</v>
      </c>
      <c r="M60" t="s">
        <v>53</v>
      </c>
      <c r="N60" t="s">
        <v>62</v>
      </c>
      <c r="O60" t="s">
        <v>68</v>
      </c>
      <c r="P60" s="6" t="str" cm="1">
        <f t="array" aca="1" ref="P60" ca="1">INDEX($E$2:$E$98,K60)</f>
        <v>Andrade</v>
      </c>
      <c r="Q60" s="6" t="str" cm="1">
        <f t="array" aca="1" ref="Q60" ca="1">INDEX($E$2:$E$98,L60)</f>
        <v>Lopes</v>
      </c>
      <c r="S60" t="str">
        <f t="shared" si="2"/>
        <v>Masculino</v>
      </c>
      <c r="T60" t="str">
        <f t="shared" ca="1" si="6"/>
        <v>Miguel Leonor Andrade Lopes</v>
      </c>
    </row>
    <row r="61" spans="5:20" x14ac:dyDescent="0.25">
      <c r="E61" t="s">
        <v>149</v>
      </c>
      <c r="I61">
        <f t="shared" ca="1" si="0"/>
        <v>35</v>
      </c>
      <c r="J61">
        <f t="shared" ca="1" si="0"/>
        <v>21</v>
      </c>
      <c r="K61">
        <f t="shared" ca="1" si="1"/>
        <v>28</v>
      </c>
      <c r="L61">
        <f t="shared" ca="1" si="1"/>
        <v>83</v>
      </c>
      <c r="M61" t="s">
        <v>53</v>
      </c>
      <c r="N61" t="s">
        <v>83</v>
      </c>
      <c r="O61" t="s">
        <v>74</v>
      </c>
      <c r="P61" s="6" t="str" cm="1">
        <f t="array" aca="1" ref="P61" ca="1">INDEX($E$2:$E$98,K61)</f>
        <v>Sousa</v>
      </c>
      <c r="Q61" s="6" t="str" cm="1">
        <f t="array" aca="1" ref="Q61" ca="1">INDEX($E$2:$E$98,L61)</f>
        <v>Valente</v>
      </c>
      <c r="S61" t="str">
        <f t="shared" si="2"/>
        <v>Masculino</v>
      </c>
      <c r="T61" t="str">
        <f t="shared" ca="1" si="6"/>
        <v>Luís Sofia Sousa Valente</v>
      </c>
    </row>
    <row r="62" spans="5:20" x14ac:dyDescent="0.25">
      <c r="E62" t="s">
        <v>150</v>
      </c>
      <c r="I62">
        <f t="shared" ca="1" si="0"/>
        <v>35</v>
      </c>
      <c r="J62">
        <f t="shared" ca="1" si="0"/>
        <v>28</v>
      </c>
      <c r="K62">
        <f t="shared" ca="1" si="1"/>
        <v>66</v>
      </c>
      <c r="L62">
        <f t="shared" ca="1" si="1"/>
        <v>87</v>
      </c>
      <c r="M62" t="s">
        <v>53</v>
      </c>
      <c r="N62" t="s">
        <v>61</v>
      </c>
      <c r="O62" t="s">
        <v>83</v>
      </c>
      <c r="P62" s="6" t="str" cm="1">
        <f t="array" aca="1" ref="P62" ca="1">INDEX($E$2:$E$98,K62)</f>
        <v>Campos</v>
      </c>
      <c r="Q62" s="6" t="str" cm="1">
        <f t="array" aca="1" ref="Q62" ca="1">INDEX($E$2:$E$98,L62)</f>
        <v>Loureiro</v>
      </c>
      <c r="S62" t="str">
        <f t="shared" si="2"/>
        <v>Masculino</v>
      </c>
      <c r="T62" t="str">
        <f t="shared" ca="1" si="6"/>
        <v>Duarte Luís Campos Loureiro</v>
      </c>
    </row>
    <row r="63" spans="5:20" x14ac:dyDescent="0.25">
      <c r="E63" t="s">
        <v>151</v>
      </c>
      <c r="I63">
        <f t="shared" ca="1" si="0"/>
        <v>35</v>
      </c>
      <c r="J63">
        <f t="shared" ca="1" si="0"/>
        <v>2</v>
      </c>
      <c r="K63">
        <f t="shared" ca="1" si="1"/>
        <v>44</v>
      </c>
      <c r="L63">
        <f t="shared" ca="1" si="1"/>
        <v>40</v>
      </c>
      <c r="M63" t="s">
        <v>66</v>
      </c>
      <c r="N63" t="s">
        <v>85</v>
      </c>
      <c r="O63" t="s">
        <v>71</v>
      </c>
      <c r="P63" s="6" t="str" cm="1">
        <f t="array" aca="1" ref="P63" ca="1">INDEX($E$2:$E$98,K63)</f>
        <v>Araújo</v>
      </c>
      <c r="Q63" s="6" t="str" cm="1">
        <f t="array" aca="1" ref="Q63" ca="1">INDEX($E$2:$E$98,L63)</f>
        <v>Antunes</v>
      </c>
      <c r="S63" t="str">
        <f t="shared" si="2"/>
        <v>Feminino</v>
      </c>
      <c r="T63" t="str">
        <f t="shared" ca="1" si="6"/>
        <v>Catarina Carolina Araújo Antunes</v>
      </c>
    </row>
    <row r="64" spans="5:20" x14ac:dyDescent="0.25">
      <c r="E64" t="s">
        <v>152</v>
      </c>
      <c r="I64">
        <f t="shared" ca="1" si="0"/>
        <v>27</v>
      </c>
      <c r="J64">
        <f t="shared" ref="J64:J127" ca="1" si="7">RANDBETWEEN(1,37)</f>
        <v>37</v>
      </c>
      <c r="K64">
        <f t="shared" ca="1" si="1"/>
        <v>23</v>
      </c>
      <c r="L64">
        <f t="shared" ca="1" si="1"/>
        <v>14</v>
      </c>
      <c r="M64" t="s">
        <v>53</v>
      </c>
      <c r="N64" t="s">
        <v>80</v>
      </c>
      <c r="O64" t="s">
        <v>85</v>
      </c>
      <c r="P64" s="6" t="str" cm="1">
        <f t="array" aca="1" ref="P64" ca="1">INDEX($E$2:$E$98,K64)</f>
        <v>Oliveira</v>
      </c>
      <c r="Q64" s="6" t="str" cm="1">
        <f t="array" aca="1" ref="Q64" ca="1">INDEX($E$2:$E$98,L64)</f>
        <v>Coelho</v>
      </c>
      <c r="S64" t="str">
        <f t="shared" si="2"/>
        <v>Masculino</v>
      </c>
      <c r="T64" t="str">
        <f t="shared" ca="1" si="6"/>
        <v>José Catarina Oliveira Coelho</v>
      </c>
    </row>
    <row r="65" spans="5:20" x14ac:dyDescent="0.25">
      <c r="E65" t="s">
        <v>153</v>
      </c>
      <c r="I65">
        <f t="shared" ca="1" si="0"/>
        <v>14</v>
      </c>
      <c r="J65">
        <f t="shared" ca="1" si="7"/>
        <v>28</v>
      </c>
      <c r="K65">
        <f t="shared" ca="1" si="1"/>
        <v>38</v>
      </c>
      <c r="L65">
        <f t="shared" ca="1" si="1"/>
        <v>82</v>
      </c>
      <c r="M65" t="s">
        <v>66</v>
      </c>
      <c r="N65" t="s">
        <v>72</v>
      </c>
      <c r="O65" t="s">
        <v>71</v>
      </c>
      <c r="P65" s="6" t="str" cm="1">
        <f t="array" aca="1" ref="P65" ca="1">INDEX($E$2:$E$98,K65)</f>
        <v>Reis</v>
      </c>
      <c r="Q65" s="6" t="str" cm="1">
        <f t="array" aca="1" ref="Q65" ca="1">INDEX($E$2:$E$98,L65)</f>
        <v>Moura</v>
      </c>
      <c r="S65" t="str">
        <f t="shared" si="2"/>
        <v>Feminino</v>
      </c>
      <c r="T65" t="str">
        <f t="shared" ca="1" si="6"/>
        <v>Mariana Carolina Reis Moura</v>
      </c>
    </row>
    <row r="66" spans="5:20" x14ac:dyDescent="0.25">
      <c r="E66" t="s">
        <v>154</v>
      </c>
      <c r="I66">
        <f t="shared" ca="1" si="0"/>
        <v>37</v>
      </c>
      <c r="J66">
        <f t="shared" ca="1" si="7"/>
        <v>33</v>
      </c>
      <c r="K66">
        <f t="shared" ca="1" si="1"/>
        <v>9</v>
      </c>
      <c r="L66">
        <f t="shared" ca="1" si="1"/>
        <v>44</v>
      </c>
      <c r="M66" t="s">
        <v>66</v>
      </c>
      <c r="N66" t="s">
        <v>75</v>
      </c>
      <c r="O66" t="s">
        <v>88</v>
      </c>
      <c r="P66" s="6" t="str" cm="1">
        <f t="array" aca="1" ref="P66" ca="1">INDEX($E$2:$E$98,K66)</f>
        <v>Teixeira</v>
      </c>
      <c r="Q66" s="6" t="str" cm="1">
        <f t="array" aca="1" ref="Q66" ca="1">INDEX($E$2:$E$98,L66)</f>
        <v>Araújo</v>
      </c>
      <c r="S66" t="str">
        <f t="shared" si="2"/>
        <v>Feminino</v>
      </c>
      <c r="T66" t="str">
        <f t="shared" ca="1" si="6"/>
        <v>Francisca Diana Teixeira Araújo</v>
      </c>
    </row>
    <row r="67" spans="5:20" x14ac:dyDescent="0.25">
      <c r="E67" t="s">
        <v>155</v>
      </c>
      <c r="I67">
        <f t="shared" ca="1" si="0"/>
        <v>1</v>
      </c>
      <c r="J67">
        <f t="shared" ca="1" si="7"/>
        <v>14</v>
      </c>
      <c r="K67">
        <f t="shared" ref="K67:L130" ca="1" si="8">RANDBETWEEN(1,97)</f>
        <v>64</v>
      </c>
      <c r="L67">
        <f t="shared" ca="1" si="8"/>
        <v>17</v>
      </c>
      <c r="M67" t="s">
        <v>53</v>
      </c>
      <c r="N67" t="s">
        <v>58</v>
      </c>
      <c r="O67" t="s">
        <v>58</v>
      </c>
      <c r="P67" s="6" t="str" cm="1">
        <f t="array" aca="1" ref="P67" ca="1">INDEX($E$2:$E$98,K67)</f>
        <v>Anjos</v>
      </c>
      <c r="Q67" s="6" t="str" cm="1">
        <f t="array" aca="1" ref="Q67" ca="1">INDEX($E$2:$E$98,L67)</f>
        <v>Pires</v>
      </c>
      <c r="S67" t="str">
        <f t="shared" si="2"/>
        <v>Masculino</v>
      </c>
      <c r="T67" t="str">
        <f t="shared" ca="1" si="6"/>
        <v>Rodrigo Rodrigo Anjos Pires</v>
      </c>
    </row>
    <row r="68" spans="5:20" x14ac:dyDescent="0.25">
      <c r="E68" t="s">
        <v>156</v>
      </c>
      <c r="I68">
        <f t="shared" ca="1" si="0"/>
        <v>22</v>
      </c>
      <c r="J68">
        <f t="shared" ca="1" si="7"/>
        <v>33</v>
      </c>
      <c r="K68">
        <f t="shared" ca="1" si="8"/>
        <v>68</v>
      </c>
      <c r="L68">
        <f t="shared" ca="1" si="8"/>
        <v>45</v>
      </c>
      <c r="M68" t="s">
        <v>66</v>
      </c>
      <c r="N68" t="s">
        <v>71</v>
      </c>
      <c r="O68" t="s">
        <v>85</v>
      </c>
      <c r="P68" s="6" t="str" cm="1">
        <f t="array" aca="1" ref="P68" ca="1">INDEX($E$2:$E$98,K68)</f>
        <v>Andrade</v>
      </c>
      <c r="Q68" s="6" t="str" cm="1">
        <f t="array" aca="1" ref="Q68" ca="1">INDEX($E$2:$E$98,L68)</f>
        <v>Barbosa</v>
      </c>
      <c r="S68" t="str">
        <f t="shared" ref="S68:S131" si="9">M68</f>
        <v>Feminino</v>
      </c>
      <c r="T68" t="str">
        <f t="shared" ca="1" si="6"/>
        <v>Carolina Catarina Andrade Barbosa</v>
      </c>
    </row>
    <row r="69" spans="5:20" x14ac:dyDescent="0.25">
      <c r="E69" t="s">
        <v>157</v>
      </c>
      <c r="I69">
        <f t="shared" ca="1" si="0"/>
        <v>33</v>
      </c>
      <c r="J69">
        <f t="shared" ca="1" si="7"/>
        <v>6</v>
      </c>
      <c r="K69">
        <f t="shared" ca="1" si="8"/>
        <v>91</v>
      </c>
      <c r="L69">
        <f t="shared" ca="1" si="8"/>
        <v>70</v>
      </c>
      <c r="M69" t="s">
        <v>66</v>
      </c>
      <c r="N69" t="s">
        <v>68</v>
      </c>
      <c r="O69" t="s">
        <v>58</v>
      </c>
      <c r="P69" s="6" t="str" cm="1">
        <f t="array" aca="1" ref="P69" ca="1">INDEX($E$2:$E$98,K69)</f>
        <v>Leal</v>
      </c>
      <c r="Q69" s="6" t="str" cm="1">
        <f t="array" aca="1" ref="Q69" ca="1">INDEX($E$2:$E$98,L69)</f>
        <v>Sá</v>
      </c>
      <c r="S69" t="str">
        <f t="shared" si="9"/>
        <v>Feminino</v>
      </c>
      <c r="T69" t="str">
        <f t="shared" ca="1" si="6"/>
        <v>Leonor Rodrigo Leal Sá</v>
      </c>
    </row>
    <row r="70" spans="5:20" x14ac:dyDescent="0.25">
      <c r="E70" t="s">
        <v>158</v>
      </c>
      <c r="I70">
        <f t="shared" ca="1" si="0"/>
        <v>1</v>
      </c>
      <c r="J70">
        <f t="shared" ca="1" si="7"/>
        <v>29</v>
      </c>
      <c r="K70">
        <f t="shared" ca="1" si="8"/>
        <v>72</v>
      </c>
      <c r="L70">
        <f t="shared" ca="1" si="8"/>
        <v>29</v>
      </c>
      <c r="M70" t="s">
        <v>66</v>
      </c>
      <c r="N70" t="s">
        <v>72</v>
      </c>
      <c r="O70" t="s">
        <v>54</v>
      </c>
      <c r="P70" s="6" t="str" cm="1">
        <f t="array" aca="1" ref="P70" ca="1">INDEX($E$2:$E$98,K70)</f>
        <v>Leite</v>
      </c>
      <c r="Q70" s="6" t="str" cm="1">
        <f t="array" aca="1" ref="Q70" ca="1">INDEX($E$2:$E$98,L70)</f>
        <v>Fernandes</v>
      </c>
      <c r="S70" t="str">
        <f t="shared" si="9"/>
        <v>Feminino</v>
      </c>
      <c r="T70" t="str">
        <f t="shared" ca="1" si="6"/>
        <v>Mariana Santiago Leite Fernandes</v>
      </c>
    </row>
    <row r="71" spans="5:20" x14ac:dyDescent="0.25">
      <c r="E71" t="s">
        <v>159</v>
      </c>
      <c r="I71">
        <f t="shared" ca="1" si="0"/>
        <v>20</v>
      </c>
      <c r="J71">
        <f t="shared" ca="1" si="7"/>
        <v>27</v>
      </c>
      <c r="K71">
        <f t="shared" ca="1" si="8"/>
        <v>55</v>
      </c>
      <c r="L71">
        <f t="shared" ca="1" si="8"/>
        <v>71</v>
      </c>
      <c r="M71" t="s">
        <v>66</v>
      </c>
      <c r="N71" t="s">
        <v>85</v>
      </c>
      <c r="O71" t="s">
        <v>55</v>
      </c>
      <c r="P71" s="6" t="str" cm="1">
        <f t="array" aca="1" ref="P71" ca="1">INDEX($E$2:$E$98,K71)</f>
        <v>Guerreiro</v>
      </c>
      <c r="Q71" s="6" t="str" cm="1">
        <f t="array" aca="1" ref="Q71" ca="1">INDEX($E$2:$E$98,L71)</f>
        <v>Nascimento</v>
      </c>
      <c r="S71" t="str">
        <f t="shared" si="9"/>
        <v>Feminino</v>
      </c>
      <c r="T71" t="str">
        <f t="shared" ca="1" si="6"/>
        <v>Catarina Francisco Guerreiro Nascimento</v>
      </c>
    </row>
    <row r="72" spans="5:20" x14ac:dyDescent="0.25">
      <c r="E72" t="s">
        <v>160</v>
      </c>
      <c r="I72">
        <f t="shared" ca="1" si="0"/>
        <v>28</v>
      </c>
      <c r="J72">
        <f t="shared" ca="1" si="7"/>
        <v>2</v>
      </c>
      <c r="K72">
        <f t="shared" ca="1" si="8"/>
        <v>20</v>
      </c>
      <c r="L72">
        <f t="shared" ca="1" si="8"/>
        <v>67</v>
      </c>
      <c r="M72" t="s">
        <v>66</v>
      </c>
      <c r="N72" t="s">
        <v>69</v>
      </c>
      <c r="O72" t="s">
        <v>192</v>
      </c>
      <c r="P72" s="6" t="str" cm="1">
        <f t="array" aca="1" ref="P72" ca="1">INDEX($E$2:$E$98,K72)</f>
        <v>Santos</v>
      </c>
      <c r="Q72" s="6" t="str" cm="1">
        <f t="array" aca="1" ref="Q72" ca="1">INDEX($E$2:$E$98,L72)</f>
        <v>Mota</v>
      </c>
      <c r="S72" t="str">
        <f t="shared" si="9"/>
        <v>Feminino</v>
      </c>
      <c r="T72" t="str">
        <f t="shared" ca="1" si="6"/>
        <v>Matilde Lurdes Santos Mota</v>
      </c>
    </row>
    <row r="73" spans="5:20" x14ac:dyDescent="0.25">
      <c r="E73" t="s">
        <v>161</v>
      </c>
      <c r="I73">
        <f t="shared" ca="1" si="0"/>
        <v>7</v>
      </c>
      <c r="J73">
        <f t="shared" ca="1" si="7"/>
        <v>22</v>
      </c>
      <c r="K73">
        <f t="shared" ca="1" si="8"/>
        <v>41</v>
      </c>
      <c r="L73">
        <f t="shared" ca="1" si="8"/>
        <v>43</v>
      </c>
      <c r="M73" t="s">
        <v>53</v>
      </c>
      <c r="N73" t="s">
        <v>55</v>
      </c>
      <c r="O73" t="s">
        <v>78</v>
      </c>
      <c r="P73" s="6" t="str" cm="1">
        <f t="array" aca="1" ref="P73" ca="1">INDEX($E$2:$E$98,K73)</f>
        <v>Matos</v>
      </c>
      <c r="Q73" s="6" t="str" cm="1">
        <f t="array" aca="1" ref="Q73" ca="1">INDEX($E$2:$E$98,L73)</f>
        <v>Machado</v>
      </c>
      <c r="S73" t="str">
        <f t="shared" si="9"/>
        <v>Masculino</v>
      </c>
      <c r="T73" t="str">
        <f t="shared" ca="1" si="6"/>
        <v>Francisco Tiago Matos Machado</v>
      </c>
    </row>
    <row r="74" spans="5:20" x14ac:dyDescent="0.25">
      <c r="E74" t="s">
        <v>162</v>
      </c>
      <c r="I74">
        <f t="shared" ca="1" si="0"/>
        <v>3</v>
      </c>
      <c r="J74">
        <f t="shared" ca="1" si="7"/>
        <v>3</v>
      </c>
      <c r="K74">
        <f t="shared" ca="1" si="8"/>
        <v>46</v>
      </c>
      <c r="L74">
        <f t="shared" ca="1" si="8"/>
        <v>62</v>
      </c>
      <c r="M74" t="s">
        <v>53</v>
      </c>
      <c r="N74" t="s">
        <v>62</v>
      </c>
      <c r="O74" t="s">
        <v>77</v>
      </c>
      <c r="P74" s="6" t="str" cm="1">
        <f t="array" aca="1" ref="P74" ca="1">INDEX($E$2:$E$98,K74)</f>
        <v>Tavares</v>
      </c>
      <c r="Q74" s="6" t="str" cm="1">
        <f t="array" aca="1" ref="Q74" ca="1">INDEX($E$2:$E$98,L74)</f>
        <v>Nogueira</v>
      </c>
      <c r="S74" t="str">
        <f t="shared" si="9"/>
        <v>Masculino</v>
      </c>
      <c r="T74" t="str">
        <f t="shared" ca="1" si="6"/>
        <v>Miguel Diogo Tavares Nogueira</v>
      </c>
    </row>
    <row r="75" spans="5:20" x14ac:dyDescent="0.25">
      <c r="E75" t="s">
        <v>163</v>
      </c>
      <c r="I75">
        <f t="shared" ca="1" si="0"/>
        <v>21</v>
      </c>
      <c r="J75">
        <f t="shared" ca="1" si="7"/>
        <v>12</v>
      </c>
      <c r="K75">
        <f t="shared" ca="1" si="8"/>
        <v>32</v>
      </c>
      <c r="L75">
        <f t="shared" ca="1" si="8"/>
        <v>80</v>
      </c>
      <c r="M75" t="s">
        <v>53</v>
      </c>
      <c r="N75" t="s">
        <v>78</v>
      </c>
      <c r="O75" t="s">
        <v>81</v>
      </c>
      <c r="P75" s="6" t="str" cm="1">
        <f t="array" aca="1" ref="P75" ca="1">INDEX($E$2:$E$98,K75)</f>
        <v>Mendes</v>
      </c>
      <c r="Q75" s="6" t="str" cm="1">
        <f t="array" aca="1" ref="Q75" ca="1">INDEX($E$2:$E$98,L75)</f>
        <v>Assunção</v>
      </c>
      <c r="S75" t="str">
        <f t="shared" si="9"/>
        <v>Masculino</v>
      </c>
      <c r="T75" t="str">
        <f t="shared" ca="1" si="6"/>
        <v>Tiago André Mendes Assunção</v>
      </c>
    </row>
    <row r="76" spans="5:20" x14ac:dyDescent="0.25">
      <c r="E76" t="s">
        <v>164</v>
      </c>
      <c r="I76">
        <f t="shared" ref="I76" ca="1" si="10">RANDBETWEEN(1,37)</f>
        <v>26</v>
      </c>
      <c r="J76">
        <f t="shared" ca="1" si="7"/>
        <v>2</v>
      </c>
      <c r="K76">
        <f t="shared" ca="1" si="8"/>
        <v>40</v>
      </c>
      <c r="L76">
        <f t="shared" ca="1" si="8"/>
        <v>42</v>
      </c>
      <c r="M76" t="s">
        <v>53</v>
      </c>
      <c r="N76" t="s">
        <v>55</v>
      </c>
      <c r="O76" t="s">
        <v>191</v>
      </c>
      <c r="P76" s="6" t="str" cm="1">
        <f t="array" aca="1" ref="P76" ca="1">INDEX($E$2:$E$98,K76)</f>
        <v>Antunes</v>
      </c>
      <c r="Q76" s="6" t="str" cm="1">
        <f t="array" aca="1" ref="Q76" ca="1">INDEX($E$2:$E$98,L76)</f>
        <v>Fonseca</v>
      </c>
      <c r="S76" t="str">
        <f t="shared" si="9"/>
        <v>Masculino</v>
      </c>
      <c r="T76" t="str">
        <f t="shared" ca="1" si="6"/>
        <v>Francisco Vera Antunes Fonseca</v>
      </c>
    </row>
    <row r="77" spans="5:20" x14ac:dyDescent="0.25">
      <c r="E77" t="s">
        <v>165</v>
      </c>
      <c r="I77">
        <f t="shared" ca="1" si="0"/>
        <v>19</v>
      </c>
      <c r="J77">
        <f t="shared" ca="1" si="7"/>
        <v>23</v>
      </c>
      <c r="K77">
        <f t="shared" ca="1" si="8"/>
        <v>13</v>
      </c>
      <c r="L77">
        <f t="shared" ca="1" si="8"/>
        <v>21</v>
      </c>
      <c r="M77" t="s">
        <v>53</v>
      </c>
      <c r="N77" t="s">
        <v>54</v>
      </c>
      <c r="O77" t="s">
        <v>65</v>
      </c>
      <c r="P77" s="6" t="str" cm="1">
        <f t="array" aca="1" ref="P77" ca="1">INDEX($E$2:$E$98,K77)</f>
        <v>Neves</v>
      </c>
      <c r="Q77" s="6" t="str" cm="1">
        <f t="array" aca="1" ref="Q77" ca="1">INDEX($E$2:$E$98,L77)</f>
        <v>Ferreira</v>
      </c>
      <c r="S77" t="str">
        <f t="shared" si="9"/>
        <v>Masculino</v>
      </c>
      <c r="T77" t="str">
        <f t="shared" ca="1" si="6"/>
        <v>Santiago Marco Neves Ferreira</v>
      </c>
    </row>
    <row r="78" spans="5:20" x14ac:dyDescent="0.25">
      <c r="E78" t="s">
        <v>166</v>
      </c>
      <c r="I78">
        <f t="shared" ca="1" si="0"/>
        <v>25</v>
      </c>
      <c r="J78">
        <f t="shared" ca="1" si="7"/>
        <v>24</v>
      </c>
      <c r="K78">
        <f t="shared" ca="1" si="8"/>
        <v>93</v>
      </c>
      <c r="L78">
        <f t="shared" ca="1" si="8"/>
        <v>9</v>
      </c>
      <c r="M78" t="s">
        <v>66</v>
      </c>
      <c r="N78" t="s">
        <v>68</v>
      </c>
      <c r="O78" t="s">
        <v>61</v>
      </c>
      <c r="P78" s="6" t="str" cm="1">
        <f t="array" aca="1" ref="P78" ca="1">INDEX($E$2:$E$98,K78)</f>
        <v>Macedo</v>
      </c>
      <c r="Q78" s="6" t="str" cm="1">
        <f t="array" aca="1" ref="Q78" ca="1">INDEX($E$2:$E$98,L78)</f>
        <v>Teixeira</v>
      </c>
      <c r="S78" t="str">
        <f t="shared" si="9"/>
        <v>Feminino</v>
      </c>
      <c r="T78" t="str">
        <f t="shared" ca="1" si="6"/>
        <v>Leonor Duarte Macedo Teixeira</v>
      </c>
    </row>
    <row r="79" spans="5:20" x14ac:dyDescent="0.25">
      <c r="E79" t="s">
        <v>167</v>
      </c>
      <c r="I79">
        <f t="shared" ca="1" si="0"/>
        <v>17</v>
      </c>
      <c r="J79">
        <f t="shared" ca="1" si="7"/>
        <v>3</v>
      </c>
      <c r="K79">
        <f t="shared" ca="1" si="8"/>
        <v>6</v>
      </c>
      <c r="L79">
        <f t="shared" ca="1" si="8"/>
        <v>74</v>
      </c>
      <c r="M79" t="s">
        <v>66</v>
      </c>
      <c r="N79" t="s">
        <v>70</v>
      </c>
      <c r="O79" t="s">
        <v>77</v>
      </c>
      <c r="P79" s="6" t="str" cm="1">
        <f t="array" aca="1" ref="P79" ca="1">INDEX($E$2:$E$98,K79)</f>
        <v>Ribeiro</v>
      </c>
      <c r="Q79" s="6" t="str" cm="1">
        <f t="array" aca="1" ref="Q79" ca="1">INDEX($E$2:$E$98,L79)</f>
        <v>Borges</v>
      </c>
      <c r="S79" t="str">
        <f t="shared" si="9"/>
        <v>Feminino</v>
      </c>
      <c r="T79" t="str">
        <f t="shared" ca="1" si="6"/>
        <v>Beatriz Diogo Ribeiro Borges</v>
      </c>
    </row>
    <row r="80" spans="5:20" x14ac:dyDescent="0.25">
      <c r="E80" t="s">
        <v>168</v>
      </c>
      <c r="I80">
        <f t="shared" ca="1" si="0"/>
        <v>3</v>
      </c>
      <c r="J80">
        <f t="shared" ca="1" si="7"/>
        <v>31</v>
      </c>
      <c r="K80">
        <f t="shared" ca="1" si="8"/>
        <v>25</v>
      </c>
      <c r="L80">
        <f t="shared" ca="1" si="8"/>
        <v>86</v>
      </c>
      <c r="M80" t="s">
        <v>66</v>
      </c>
      <c r="N80" t="s">
        <v>73</v>
      </c>
      <c r="O80" t="s">
        <v>78</v>
      </c>
      <c r="P80" s="6" t="str" cm="1">
        <f t="array" aca="1" ref="P80" ca="1">INDEX($E$2:$E$98,K80)</f>
        <v>Rodrigues</v>
      </c>
      <c r="Q80" s="6" t="str" cm="1">
        <f t="array" aca="1" ref="Q80" ca="1">INDEX($E$2:$E$98,L80)</f>
        <v>Carneiro</v>
      </c>
      <c r="S80" t="str">
        <f t="shared" si="9"/>
        <v>Feminino</v>
      </c>
      <c r="T80" t="str">
        <f t="shared" ca="1" si="6"/>
        <v>Ana Tiago Rodrigues Carneiro</v>
      </c>
    </row>
    <row r="81" spans="5:20" x14ac:dyDescent="0.25">
      <c r="E81" t="s">
        <v>169</v>
      </c>
      <c r="I81">
        <f t="shared" ca="1" si="0"/>
        <v>4</v>
      </c>
      <c r="J81">
        <f t="shared" ca="1" si="7"/>
        <v>22</v>
      </c>
      <c r="K81">
        <f t="shared" ca="1" si="8"/>
        <v>58</v>
      </c>
      <c r="L81">
        <f t="shared" ca="1" si="8"/>
        <v>15</v>
      </c>
      <c r="M81" t="s">
        <v>66</v>
      </c>
      <c r="N81" t="s">
        <v>70</v>
      </c>
      <c r="O81" t="s">
        <v>72</v>
      </c>
      <c r="P81" s="6" t="str" cm="1">
        <f t="array" aca="1" ref="P81" ca="1">INDEX($E$2:$E$98,K81)</f>
        <v>Faria</v>
      </c>
      <c r="Q81" s="6" t="str" cm="1">
        <f t="array" aca="1" ref="Q81" ca="1">INDEX($E$2:$E$98,L81)</f>
        <v>Cruz</v>
      </c>
      <c r="S81" t="str">
        <f t="shared" si="9"/>
        <v>Feminino</v>
      </c>
      <c r="T81" t="str">
        <f t="shared" ca="1" si="6"/>
        <v>Beatriz Mariana Faria Cruz</v>
      </c>
    </row>
    <row r="82" spans="5:20" x14ac:dyDescent="0.25">
      <c r="E82" t="s">
        <v>170</v>
      </c>
      <c r="I82">
        <f t="shared" ca="1" si="0"/>
        <v>20</v>
      </c>
      <c r="J82">
        <f t="shared" ca="1" si="7"/>
        <v>33</v>
      </c>
      <c r="K82">
        <f t="shared" ca="1" si="8"/>
        <v>73</v>
      </c>
      <c r="L82">
        <f t="shared" ca="1" si="8"/>
        <v>97</v>
      </c>
      <c r="M82" t="s">
        <v>53</v>
      </c>
      <c r="N82" t="s">
        <v>58</v>
      </c>
      <c r="O82" t="s">
        <v>88</v>
      </c>
      <c r="P82" s="6" t="str" cm="1">
        <f t="array" aca="1" ref="P82" ca="1">INDEX($E$2:$E$98,K82)</f>
        <v>Abreu</v>
      </c>
      <c r="Q82" s="6" t="str" cm="1">
        <f t="array" aca="1" ref="Q82" ca="1">INDEX($E$2:$E$98,L82)</f>
        <v>Torres</v>
      </c>
      <c r="S82" t="str">
        <f t="shared" si="9"/>
        <v>Masculino</v>
      </c>
      <c r="T82" t="str">
        <f t="shared" ca="1" si="6"/>
        <v>Rodrigo Diana Abreu Torres</v>
      </c>
    </row>
    <row r="83" spans="5:20" x14ac:dyDescent="0.25">
      <c r="E83" t="s">
        <v>171</v>
      </c>
      <c r="I83">
        <f t="shared" ca="1" si="0"/>
        <v>26</v>
      </c>
      <c r="J83">
        <f t="shared" ca="1" si="7"/>
        <v>24</v>
      </c>
      <c r="K83">
        <f t="shared" ca="1" si="8"/>
        <v>7</v>
      </c>
      <c r="L83">
        <f t="shared" ca="1" si="8"/>
        <v>81</v>
      </c>
      <c r="M83" t="s">
        <v>53</v>
      </c>
      <c r="N83" t="s">
        <v>79</v>
      </c>
      <c r="O83" t="s">
        <v>84</v>
      </c>
      <c r="P83" s="6" t="str" cm="1">
        <f t="array" aca="1" ref="P83" ca="1">INDEX($E$2:$E$98,K83)</f>
        <v>Pinto</v>
      </c>
      <c r="Q83" s="6" t="str" cm="1">
        <f t="array" aca="1" ref="Q83" ca="1">INDEX($E$2:$E$98,L83)</f>
        <v>Maia</v>
      </c>
      <c r="S83" t="str">
        <f t="shared" si="9"/>
        <v>Masculino</v>
      </c>
      <c r="T83" t="str">
        <f t="shared" ca="1" si="6"/>
        <v>Bruno Joana Pinto Maia</v>
      </c>
    </row>
    <row r="84" spans="5:20" x14ac:dyDescent="0.25">
      <c r="E84" t="s">
        <v>172</v>
      </c>
      <c r="I84">
        <f t="shared" ca="1" si="0"/>
        <v>30</v>
      </c>
      <c r="J84">
        <f t="shared" ca="1" si="7"/>
        <v>13</v>
      </c>
      <c r="K84">
        <f t="shared" ca="1" si="8"/>
        <v>30</v>
      </c>
      <c r="L84">
        <f t="shared" ca="1" si="8"/>
        <v>19</v>
      </c>
      <c r="M84" t="s">
        <v>66</v>
      </c>
      <c r="N84" t="s">
        <v>75</v>
      </c>
      <c r="O84" t="s">
        <v>72</v>
      </c>
      <c r="P84" s="6" t="str" cm="1">
        <f t="array" aca="1" ref="P84" ca="1">INDEX($E$2:$E$98,K84)</f>
        <v>Gonçalves</v>
      </c>
      <c r="Q84" s="6" t="str" cm="1">
        <f t="array" aca="1" ref="Q84" ca="1">INDEX($E$2:$E$98,L84)</f>
        <v>Silva</v>
      </c>
      <c r="S84" t="str">
        <f t="shared" si="9"/>
        <v>Feminino</v>
      </c>
      <c r="T84" t="str">
        <f t="shared" ca="1" si="6"/>
        <v>Francisca Mariana Gonçalves Silva</v>
      </c>
    </row>
    <row r="85" spans="5:20" x14ac:dyDescent="0.25">
      <c r="E85" t="s">
        <v>173</v>
      </c>
      <c r="I85">
        <f t="shared" ca="1" si="0"/>
        <v>33</v>
      </c>
      <c r="J85">
        <f t="shared" ca="1" si="7"/>
        <v>5</v>
      </c>
      <c r="K85">
        <f t="shared" ca="1" si="8"/>
        <v>90</v>
      </c>
      <c r="L85">
        <f t="shared" ca="1" si="8"/>
        <v>24</v>
      </c>
      <c r="M85" t="s">
        <v>53</v>
      </c>
      <c r="N85" t="s">
        <v>59</v>
      </c>
      <c r="O85" t="s">
        <v>79</v>
      </c>
      <c r="P85" s="6" t="str" cm="1">
        <f t="array" aca="1" ref="P85" ca="1">INDEX($E$2:$E$98,K85)</f>
        <v>Branco</v>
      </c>
      <c r="Q85" s="6" t="str" cm="1">
        <f t="array" aca="1" ref="Q85" ca="1">INDEX($E$2:$E$98,L85)</f>
        <v>Costa</v>
      </c>
      <c r="S85" t="str">
        <f t="shared" si="9"/>
        <v>Masculino</v>
      </c>
      <c r="T85" t="str">
        <f t="shared" ca="1" si="6"/>
        <v>Martim Bruno Branco Costa</v>
      </c>
    </row>
    <row r="86" spans="5:20" x14ac:dyDescent="0.25">
      <c r="E86" t="s">
        <v>174</v>
      </c>
      <c r="I86">
        <f t="shared" ca="1" si="0"/>
        <v>36</v>
      </c>
      <c r="J86">
        <f t="shared" ca="1" si="7"/>
        <v>15</v>
      </c>
      <c r="K86">
        <f t="shared" ca="1" si="8"/>
        <v>41</v>
      </c>
      <c r="L86">
        <f t="shared" ca="1" si="8"/>
        <v>1</v>
      </c>
      <c r="M86" t="s">
        <v>53</v>
      </c>
      <c r="N86" t="s">
        <v>63</v>
      </c>
      <c r="O86" t="s">
        <v>86</v>
      </c>
      <c r="P86" s="6" t="str" cm="1">
        <f t="array" aca="1" ref="P86" ca="1">INDEX($E$2:$E$98,K86)</f>
        <v>Matos</v>
      </c>
      <c r="Q86" s="6" t="str" cm="1">
        <f t="array" aca="1" ref="Q86" ca="1">INDEX($E$2:$E$98,L86)</f>
        <v>Gomes</v>
      </c>
      <c r="S86" t="str">
        <f t="shared" si="9"/>
        <v>Masculino</v>
      </c>
      <c r="T86" t="str">
        <f t="shared" ca="1" si="6"/>
        <v>Gabriel Sara Matos Gomes</v>
      </c>
    </row>
    <row r="87" spans="5:20" x14ac:dyDescent="0.25">
      <c r="E87" t="s">
        <v>175</v>
      </c>
      <c r="I87">
        <f t="shared" ca="1" si="0"/>
        <v>14</v>
      </c>
      <c r="J87">
        <f t="shared" ca="1" si="7"/>
        <v>4</v>
      </c>
      <c r="K87">
        <f t="shared" ca="1" si="8"/>
        <v>60</v>
      </c>
      <c r="L87">
        <f t="shared" ca="1" si="8"/>
        <v>77</v>
      </c>
      <c r="M87" t="s">
        <v>66</v>
      </c>
      <c r="N87" t="s">
        <v>70</v>
      </c>
      <c r="O87" t="s">
        <v>57</v>
      </c>
      <c r="P87" s="6" t="str" cm="1">
        <f t="array" aca="1" ref="P87" ca="1">INDEX($E$2:$E$98,K87)</f>
        <v>Barros</v>
      </c>
      <c r="Q87" s="6" t="str" cm="1">
        <f t="array" aca="1" ref="Q87" ca="1">INDEX($E$2:$E$98,L87)</f>
        <v>Pinho</v>
      </c>
      <c r="S87" t="str">
        <f t="shared" si="9"/>
        <v>Feminino</v>
      </c>
      <c r="T87" t="str">
        <f t="shared" ca="1" si="6"/>
        <v>Beatriz Afonso Barros Pinho</v>
      </c>
    </row>
    <row r="88" spans="5:20" x14ac:dyDescent="0.25">
      <c r="E88" t="s">
        <v>176</v>
      </c>
      <c r="I88">
        <f t="shared" ca="1" si="0"/>
        <v>20</v>
      </c>
      <c r="J88">
        <f t="shared" ca="1" si="7"/>
        <v>7</v>
      </c>
      <c r="K88">
        <f t="shared" ca="1" si="8"/>
        <v>35</v>
      </c>
      <c r="L88">
        <f t="shared" ca="1" si="8"/>
        <v>17</v>
      </c>
      <c r="M88" t="s">
        <v>53</v>
      </c>
      <c r="N88" t="s">
        <v>63</v>
      </c>
      <c r="O88" t="s">
        <v>61</v>
      </c>
      <c r="P88" s="6" t="str" cm="1">
        <f t="array" aca="1" ref="P88" ca="1">INDEX($E$2:$E$98,K88)</f>
        <v>Vieira</v>
      </c>
      <c r="Q88" s="6" t="str" cm="1">
        <f t="array" aca="1" ref="Q88" ca="1">INDEX($E$2:$E$98,L88)</f>
        <v>Pires</v>
      </c>
      <c r="S88" t="str">
        <f t="shared" si="9"/>
        <v>Masculino</v>
      </c>
      <c r="T88" t="str">
        <f t="shared" ca="1" si="6"/>
        <v>Gabriel Duarte Vieira Pires</v>
      </c>
    </row>
    <row r="89" spans="5:20" x14ac:dyDescent="0.25">
      <c r="E89" t="s">
        <v>177</v>
      </c>
      <c r="I89">
        <f t="shared" ca="1" si="0"/>
        <v>5</v>
      </c>
      <c r="J89">
        <f t="shared" ca="1" si="7"/>
        <v>8</v>
      </c>
      <c r="K89">
        <f t="shared" ca="1" si="8"/>
        <v>79</v>
      </c>
      <c r="L89">
        <f t="shared" ca="1" si="8"/>
        <v>68</v>
      </c>
      <c r="M89" t="s">
        <v>53</v>
      </c>
      <c r="N89" t="s">
        <v>55</v>
      </c>
      <c r="O89" t="s">
        <v>72</v>
      </c>
      <c r="P89" s="6" t="str" cm="1">
        <f t="array" aca="1" ref="P89" ca="1">INDEX($E$2:$E$98,K89)</f>
        <v>Gaspar</v>
      </c>
      <c r="Q89" s="6" t="str" cm="1">
        <f t="array" aca="1" ref="Q89" ca="1">INDEX($E$2:$E$98,L89)</f>
        <v>Andrade</v>
      </c>
      <c r="S89" t="str">
        <f t="shared" si="9"/>
        <v>Masculino</v>
      </c>
      <c r="T89" t="str">
        <f t="shared" ca="1" si="6"/>
        <v>Francisco Mariana Gaspar Andrade</v>
      </c>
    </row>
    <row r="90" spans="5:20" x14ac:dyDescent="0.25">
      <c r="E90" t="s">
        <v>178</v>
      </c>
      <c r="I90">
        <f t="shared" ca="1" si="0"/>
        <v>37</v>
      </c>
      <c r="J90">
        <f t="shared" ca="1" si="7"/>
        <v>3</v>
      </c>
      <c r="K90">
        <f t="shared" ca="1" si="8"/>
        <v>5</v>
      </c>
      <c r="L90">
        <f t="shared" ca="1" si="8"/>
        <v>83</v>
      </c>
      <c r="M90" t="s">
        <v>66</v>
      </c>
      <c r="N90" t="s">
        <v>71</v>
      </c>
      <c r="O90" t="s">
        <v>81</v>
      </c>
      <c r="P90" s="6" t="str" cm="1">
        <f t="array" aca="1" ref="P90" ca="1">INDEX($E$2:$E$98,K90)</f>
        <v>Almeida</v>
      </c>
      <c r="Q90" s="6" t="str" cm="1">
        <f t="array" aca="1" ref="Q90" ca="1">INDEX($E$2:$E$98,L90)</f>
        <v>Valente</v>
      </c>
      <c r="S90" t="str">
        <f t="shared" si="9"/>
        <v>Feminino</v>
      </c>
      <c r="T90" t="str">
        <f t="shared" ca="1" si="6"/>
        <v>Carolina André Almeida Valente</v>
      </c>
    </row>
    <row r="91" spans="5:20" x14ac:dyDescent="0.25">
      <c r="E91" t="s">
        <v>179</v>
      </c>
      <c r="I91">
        <f t="shared" ca="1" si="0"/>
        <v>8</v>
      </c>
      <c r="J91">
        <f t="shared" ca="1" si="7"/>
        <v>35</v>
      </c>
      <c r="K91">
        <f t="shared" ca="1" si="8"/>
        <v>64</v>
      </c>
      <c r="L91">
        <f t="shared" ca="1" si="8"/>
        <v>62</v>
      </c>
      <c r="M91" t="s">
        <v>53</v>
      </c>
      <c r="N91" t="s">
        <v>59</v>
      </c>
      <c r="O91" t="s">
        <v>73</v>
      </c>
      <c r="P91" s="6" t="str" cm="1">
        <f t="array" aca="1" ref="P91" ca="1">INDEX($E$2:$E$98,K91)</f>
        <v>Anjos</v>
      </c>
      <c r="Q91" s="6" t="str" cm="1">
        <f t="array" aca="1" ref="Q91" ca="1">INDEX($E$2:$E$98,L91)</f>
        <v>Nogueira</v>
      </c>
      <c r="S91" t="str">
        <f t="shared" si="9"/>
        <v>Masculino</v>
      </c>
      <c r="T91" t="str">
        <f t="shared" ca="1" si="6"/>
        <v>Martim Ana Anjos Nogueira</v>
      </c>
    </row>
    <row r="92" spans="5:20" x14ac:dyDescent="0.25">
      <c r="E92" t="s">
        <v>180</v>
      </c>
      <c r="I92">
        <f t="shared" ca="1" si="0"/>
        <v>19</v>
      </c>
      <c r="J92">
        <f t="shared" ca="1" si="7"/>
        <v>11</v>
      </c>
      <c r="K92">
        <f t="shared" ca="1" si="8"/>
        <v>26</v>
      </c>
      <c r="L92">
        <f t="shared" ca="1" si="8"/>
        <v>41</v>
      </c>
      <c r="M92" t="s">
        <v>53</v>
      </c>
      <c r="N92" t="s">
        <v>77</v>
      </c>
      <c r="O92" t="s">
        <v>67</v>
      </c>
      <c r="P92" s="6" t="str" cm="1">
        <f t="array" aca="1" ref="P92" ca="1">INDEX($E$2:$E$98,K92)</f>
        <v>Martins</v>
      </c>
      <c r="Q92" s="6" t="str" cm="1">
        <f t="array" aca="1" ref="Q92" ca="1">INDEX($E$2:$E$98,L92)</f>
        <v>Matos</v>
      </c>
      <c r="S92" t="str">
        <f t="shared" si="9"/>
        <v>Masculino</v>
      </c>
      <c r="T92" t="str">
        <f t="shared" ca="1" si="6"/>
        <v>Diogo Maria Martins Matos</v>
      </c>
    </row>
    <row r="93" spans="5:20" x14ac:dyDescent="0.25">
      <c r="E93" t="s">
        <v>181</v>
      </c>
      <c r="I93">
        <f t="shared" ca="1" si="0"/>
        <v>6</v>
      </c>
      <c r="J93">
        <f t="shared" ca="1" si="7"/>
        <v>2</v>
      </c>
      <c r="K93">
        <f t="shared" ca="1" si="8"/>
        <v>24</v>
      </c>
      <c r="L93">
        <f t="shared" ca="1" si="8"/>
        <v>52</v>
      </c>
      <c r="M93" t="s">
        <v>53</v>
      </c>
      <c r="N93" t="s">
        <v>62</v>
      </c>
      <c r="O93" t="s">
        <v>87</v>
      </c>
      <c r="P93" s="6" t="str" cm="1">
        <f t="array" aca="1" ref="P93" ca="1">INDEX($E$2:$E$98,K93)</f>
        <v>Costa</v>
      </c>
      <c r="Q93" s="6" t="str" cm="1">
        <f t="array" aca="1" ref="Q93" ca="1">INDEX($E$2:$E$98,L93)</f>
        <v>Magalhães</v>
      </c>
      <c r="S93" t="str">
        <f t="shared" si="9"/>
        <v>Masculino</v>
      </c>
      <c r="T93" t="str">
        <f t="shared" ca="1" si="6"/>
        <v>Miguel Daniela Costa Magalhães</v>
      </c>
    </row>
    <row r="94" spans="5:20" x14ac:dyDescent="0.25">
      <c r="E94" t="s">
        <v>182</v>
      </c>
      <c r="I94">
        <f t="shared" ca="1" si="0"/>
        <v>36</v>
      </c>
      <c r="J94">
        <f t="shared" ca="1" si="7"/>
        <v>30</v>
      </c>
      <c r="K94">
        <f t="shared" ca="1" si="8"/>
        <v>96</v>
      </c>
      <c r="L94">
        <f t="shared" ca="1" si="8"/>
        <v>85</v>
      </c>
      <c r="M94" t="s">
        <v>66</v>
      </c>
      <c r="N94" t="s">
        <v>87</v>
      </c>
      <c r="O94" t="s">
        <v>65</v>
      </c>
      <c r="P94" s="6" t="str" cm="1">
        <f t="array" aca="1" ref="P94" ca="1">INDEX($E$2:$E$98,K94)</f>
        <v>Amorim</v>
      </c>
      <c r="Q94" s="6" t="str" cm="1">
        <f t="array" aca="1" ref="Q94" ca="1">INDEX($E$2:$E$98,L94)</f>
        <v>Garcia</v>
      </c>
      <c r="S94" t="str">
        <f t="shared" si="9"/>
        <v>Feminino</v>
      </c>
      <c r="T94" t="str">
        <f t="shared" ca="1" si="6"/>
        <v>Daniela Marco Amorim Garcia</v>
      </c>
    </row>
    <row r="95" spans="5:20" x14ac:dyDescent="0.25">
      <c r="E95" t="s">
        <v>183</v>
      </c>
      <c r="I95">
        <f t="shared" ca="1" si="0"/>
        <v>34</v>
      </c>
      <c r="J95">
        <f t="shared" ca="1" si="7"/>
        <v>32</v>
      </c>
      <c r="K95">
        <f t="shared" ca="1" si="8"/>
        <v>15</v>
      </c>
      <c r="L95">
        <f t="shared" ca="1" si="8"/>
        <v>90</v>
      </c>
      <c r="M95" t="s">
        <v>53</v>
      </c>
      <c r="N95" t="s">
        <v>57</v>
      </c>
      <c r="O95" t="s">
        <v>83</v>
      </c>
      <c r="P95" s="6" t="str" cm="1">
        <f t="array" aca="1" ref="P95" ca="1">INDEX($E$2:$E$98,K95)</f>
        <v>Cruz</v>
      </c>
      <c r="Q95" s="6" t="str" cm="1">
        <f t="array" aca="1" ref="Q95" ca="1">INDEX($E$2:$E$98,L95)</f>
        <v>Branco</v>
      </c>
      <c r="S95" t="str">
        <f t="shared" si="9"/>
        <v>Masculino</v>
      </c>
      <c r="T95" t="str">
        <f t="shared" ca="1" si="6"/>
        <v>Afonso Luís Cruz Branco</v>
      </c>
    </row>
    <row r="96" spans="5:20" x14ac:dyDescent="0.25">
      <c r="E96" t="s">
        <v>184</v>
      </c>
      <c r="I96">
        <f t="shared" ca="1" si="0"/>
        <v>22</v>
      </c>
      <c r="J96">
        <f t="shared" ca="1" si="7"/>
        <v>27</v>
      </c>
      <c r="K96">
        <f t="shared" ca="1" si="8"/>
        <v>42</v>
      </c>
      <c r="L96">
        <f t="shared" ca="1" si="8"/>
        <v>17</v>
      </c>
      <c r="M96" t="s">
        <v>53</v>
      </c>
      <c r="N96" t="s">
        <v>77</v>
      </c>
      <c r="O96" t="s">
        <v>63</v>
      </c>
      <c r="P96" s="6" t="str" cm="1">
        <f t="array" aca="1" ref="P96" ca="1">INDEX($E$2:$E$98,K96)</f>
        <v>Fonseca</v>
      </c>
      <c r="Q96" s="6" t="str" cm="1">
        <f t="array" aca="1" ref="Q96" ca="1">INDEX($E$2:$E$98,L96)</f>
        <v>Pires</v>
      </c>
      <c r="S96" t="str">
        <f t="shared" si="9"/>
        <v>Masculino</v>
      </c>
      <c r="T96" t="str">
        <f t="shared" ca="1" si="6"/>
        <v>Diogo Gabriel Fonseca Pires</v>
      </c>
    </row>
    <row r="97" spans="5:20" x14ac:dyDescent="0.25">
      <c r="E97" t="s">
        <v>185</v>
      </c>
      <c r="I97">
        <f t="shared" ca="1" si="0"/>
        <v>14</v>
      </c>
      <c r="J97">
        <f t="shared" ca="1" si="7"/>
        <v>34</v>
      </c>
      <c r="K97">
        <f t="shared" ca="1" si="8"/>
        <v>74</v>
      </c>
      <c r="L97">
        <f t="shared" ca="1" si="8"/>
        <v>97</v>
      </c>
      <c r="M97" t="s">
        <v>53</v>
      </c>
      <c r="N97" t="s">
        <v>60</v>
      </c>
      <c r="O97" t="s">
        <v>75</v>
      </c>
      <c r="P97" s="6" t="str" cm="1">
        <f t="array" aca="1" ref="P97" ca="1">INDEX($E$2:$E$98,K97)</f>
        <v>Borges</v>
      </c>
      <c r="Q97" s="6" t="str" cm="1">
        <f t="array" aca="1" ref="Q97" ca="1">INDEX($E$2:$E$98,L97)</f>
        <v>Torres</v>
      </c>
      <c r="S97" t="str">
        <f t="shared" si="9"/>
        <v>Masculino</v>
      </c>
      <c r="T97" t="str">
        <f t="shared" ca="1" si="6"/>
        <v>Tomás Francisca Borges Torres</v>
      </c>
    </row>
    <row r="98" spans="5:20" x14ac:dyDescent="0.25">
      <c r="E98" t="s">
        <v>186</v>
      </c>
      <c r="I98">
        <f t="shared" ca="1" si="0"/>
        <v>24</v>
      </c>
      <c r="J98">
        <f t="shared" ca="1" si="7"/>
        <v>27</v>
      </c>
      <c r="K98">
        <f t="shared" ca="1" si="8"/>
        <v>34</v>
      </c>
      <c r="L98">
        <f t="shared" ca="1" si="8"/>
        <v>65</v>
      </c>
      <c r="M98" t="s">
        <v>53</v>
      </c>
      <c r="N98" t="s">
        <v>82</v>
      </c>
      <c r="O98" t="s">
        <v>71</v>
      </c>
      <c r="P98" s="6" t="str" cm="1">
        <f t="array" aca="1" ref="P98" ca="1">INDEX($E$2:$E$98,K98)</f>
        <v>Soares</v>
      </c>
      <c r="Q98" s="6" t="str" cm="1">
        <f t="array" aca="1" ref="Q98" ca="1">INDEX($E$2:$E$98,L98)</f>
        <v>Baptista</v>
      </c>
      <c r="S98" t="str">
        <f t="shared" si="9"/>
        <v>Masculino</v>
      </c>
      <c r="T98" t="str">
        <f t="shared" ca="1" si="6"/>
        <v>Ricardo Carolina Soares Baptista</v>
      </c>
    </row>
    <row r="99" spans="5:20" x14ac:dyDescent="0.25">
      <c r="I99">
        <f t="shared" ca="1" si="0"/>
        <v>12</v>
      </c>
      <c r="J99">
        <f t="shared" ca="1" si="7"/>
        <v>22</v>
      </c>
      <c r="K99">
        <f t="shared" ca="1" si="8"/>
        <v>29</v>
      </c>
      <c r="L99">
        <f t="shared" ca="1" si="8"/>
        <v>46</v>
      </c>
      <c r="M99" t="s">
        <v>66</v>
      </c>
      <c r="N99" t="s">
        <v>67</v>
      </c>
      <c r="O99" t="s">
        <v>59</v>
      </c>
      <c r="P99" s="6" t="str" cm="1">
        <f t="array" aca="1" ref="P99" ca="1">INDEX($E$2:$E$98,K99)</f>
        <v>Fernandes</v>
      </c>
      <c r="Q99" s="6" t="str" cm="1">
        <f t="array" aca="1" ref="Q99" ca="1">INDEX($E$2:$E$98,L99)</f>
        <v>Tavares</v>
      </c>
      <c r="S99" t="str">
        <f t="shared" si="9"/>
        <v>Feminino</v>
      </c>
      <c r="T99" t="str">
        <f t="shared" ca="1" si="6"/>
        <v>Maria Martim Fernandes Tavares</v>
      </c>
    </row>
    <row r="100" spans="5:20" x14ac:dyDescent="0.25">
      <c r="I100">
        <f t="shared" ca="1" si="0"/>
        <v>37</v>
      </c>
      <c r="J100">
        <f t="shared" ca="1" si="7"/>
        <v>33</v>
      </c>
      <c r="K100">
        <f t="shared" ca="1" si="8"/>
        <v>59</v>
      </c>
      <c r="L100">
        <f t="shared" ca="1" si="8"/>
        <v>97</v>
      </c>
      <c r="M100" t="s">
        <v>53</v>
      </c>
      <c r="N100" t="s">
        <v>62</v>
      </c>
      <c r="O100" t="s">
        <v>54</v>
      </c>
      <c r="P100" s="6" t="str" cm="1">
        <f t="array" aca="1" ref="P100" ca="1">INDEX($E$2:$E$98,K100)</f>
        <v>Miranda</v>
      </c>
      <c r="Q100" s="6" t="str" cm="1">
        <f t="array" aca="1" ref="Q100" ca="1">INDEX($E$2:$E$98,L100)</f>
        <v>Torres</v>
      </c>
      <c r="S100" t="str">
        <f t="shared" si="9"/>
        <v>Masculino</v>
      </c>
      <c r="T100" t="str">
        <f t="shared" ca="1" si="6"/>
        <v>Miguel Santiago Miranda Torres</v>
      </c>
    </row>
    <row r="101" spans="5:20" x14ac:dyDescent="0.25">
      <c r="I101">
        <f t="shared" ca="1" si="0"/>
        <v>22</v>
      </c>
      <c r="J101">
        <f t="shared" ca="1" si="7"/>
        <v>34</v>
      </c>
      <c r="K101">
        <f t="shared" ca="1" si="8"/>
        <v>82</v>
      </c>
      <c r="L101">
        <f t="shared" ca="1" si="8"/>
        <v>68</v>
      </c>
      <c r="M101" t="s">
        <v>53</v>
      </c>
      <c r="N101" t="s">
        <v>81</v>
      </c>
      <c r="O101" t="s">
        <v>58</v>
      </c>
      <c r="P101" s="6" t="str" cm="1">
        <f t="array" aca="1" ref="P101" ca="1">INDEX($E$2:$E$98,K101)</f>
        <v>Moura</v>
      </c>
      <c r="Q101" s="6" t="str" cm="1">
        <f t="array" aca="1" ref="Q101" ca="1">INDEX($E$2:$E$98,L101)</f>
        <v>Andrade</v>
      </c>
      <c r="S101" t="str">
        <f t="shared" si="9"/>
        <v>Masculino</v>
      </c>
      <c r="T101" t="str">
        <f t="shared" ca="1" si="6"/>
        <v>André Rodrigo Moura Andrade</v>
      </c>
    </row>
    <row r="102" spans="5:20" x14ac:dyDescent="0.25">
      <c r="I102">
        <f t="shared" ca="1" si="0"/>
        <v>11</v>
      </c>
      <c r="J102">
        <f t="shared" ca="1" si="7"/>
        <v>7</v>
      </c>
      <c r="K102">
        <f t="shared" ca="1" si="8"/>
        <v>80</v>
      </c>
      <c r="L102">
        <f t="shared" ca="1" si="8"/>
        <v>90</v>
      </c>
      <c r="M102" t="s">
        <v>53</v>
      </c>
      <c r="N102" t="s">
        <v>61</v>
      </c>
      <c r="O102" t="s">
        <v>61</v>
      </c>
      <c r="P102" s="6" t="str" cm="1">
        <f t="array" aca="1" ref="P102" ca="1">INDEX($E$2:$E$98,K102)</f>
        <v>Assunção</v>
      </c>
      <c r="Q102" s="6" t="str" cm="1">
        <f t="array" aca="1" ref="Q102" ca="1">INDEX($E$2:$E$98,L102)</f>
        <v>Branco</v>
      </c>
      <c r="S102" t="str">
        <f t="shared" si="9"/>
        <v>Masculino</v>
      </c>
      <c r="T102" t="str">
        <f t="shared" ca="1" si="6"/>
        <v>Duarte Duarte Assunção Branco</v>
      </c>
    </row>
    <row r="103" spans="5:20" x14ac:dyDescent="0.25">
      <c r="I103">
        <f t="shared" ca="1" si="0"/>
        <v>29</v>
      </c>
      <c r="J103">
        <f t="shared" ca="1" si="7"/>
        <v>5</v>
      </c>
      <c r="K103">
        <f t="shared" ca="1" si="8"/>
        <v>76</v>
      </c>
      <c r="L103">
        <f t="shared" ca="1" si="8"/>
        <v>95</v>
      </c>
      <c r="M103" t="s">
        <v>53</v>
      </c>
      <c r="N103" t="s">
        <v>80</v>
      </c>
      <c r="O103" t="s">
        <v>60</v>
      </c>
      <c r="P103" s="6" t="str" cm="1">
        <f t="array" aca="1" ref="P103" ca="1">INDEX($E$2:$E$98,K103)</f>
        <v>Vaz</v>
      </c>
      <c r="Q103" s="6" t="str" cm="1">
        <f t="array" aca="1" ref="Q103" ca="1">INDEX($E$2:$E$98,L103)</f>
        <v>Matias</v>
      </c>
      <c r="S103" t="str">
        <f t="shared" si="9"/>
        <v>Masculino</v>
      </c>
      <c r="T103" t="str">
        <f t="shared" ca="1" si="6"/>
        <v>José Tomás Vaz Matias</v>
      </c>
    </row>
    <row r="104" spans="5:20" x14ac:dyDescent="0.25">
      <c r="I104">
        <f t="shared" ca="1" si="0"/>
        <v>5</v>
      </c>
      <c r="J104">
        <f t="shared" ca="1" si="7"/>
        <v>37</v>
      </c>
      <c r="K104">
        <f t="shared" ca="1" si="8"/>
        <v>56</v>
      </c>
      <c r="L104">
        <f t="shared" ca="1" si="8"/>
        <v>73</v>
      </c>
      <c r="M104" t="s">
        <v>53</v>
      </c>
      <c r="N104" t="s">
        <v>58</v>
      </c>
      <c r="O104" t="s">
        <v>76</v>
      </c>
      <c r="P104" s="6" t="str" cm="1">
        <f t="array" aca="1" ref="P104" ca="1">INDEX($E$2:$E$98,K104)</f>
        <v>Batista</v>
      </c>
      <c r="Q104" s="6" t="str" cm="1">
        <f t="array" aca="1" ref="Q104" ca="1">INDEX($E$2:$E$98,L104)</f>
        <v>Abreu</v>
      </c>
      <c r="S104" t="str">
        <f t="shared" si="9"/>
        <v>Masculino</v>
      </c>
      <c r="T104" t="str">
        <f t="shared" ca="1" si="6"/>
        <v>Rodrigo Inês Batista Abreu</v>
      </c>
    </row>
    <row r="105" spans="5:20" x14ac:dyDescent="0.25">
      <c r="I105">
        <f t="shared" ca="1" si="0"/>
        <v>36</v>
      </c>
      <c r="J105">
        <f t="shared" ca="1" si="7"/>
        <v>24</v>
      </c>
      <c r="K105">
        <f t="shared" ca="1" si="8"/>
        <v>11</v>
      </c>
      <c r="L105">
        <f t="shared" ca="1" si="8"/>
        <v>49</v>
      </c>
      <c r="M105" t="s">
        <v>66</v>
      </c>
      <c r="N105" t="s">
        <v>87</v>
      </c>
      <c r="O105" t="s">
        <v>78</v>
      </c>
      <c r="P105" s="6" t="str" cm="1">
        <f t="array" aca="1" ref="P105" ca="1">INDEX($E$2:$E$98,K105)</f>
        <v>Rocha</v>
      </c>
      <c r="Q105" s="6" t="str" cm="1">
        <f t="array" aca="1" ref="Q105" ca="1">INDEX($E$2:$E$98,L105)</f>
        <v>Figueiredo</v>
      </c>
      <c r="S105" t="str">
        <f t="shared" si="9"/>
        <v>Feminino</v>
      </c>
      <c r="T105" t="str">
        <f t="shared" ca="1" si="6"/>
        <v>Daniela Tiago Rocha Figueiredo</v>
      </c>
    </row>
    <row r="106" spans="5:20" x14ac:dyDescent="0.25">
      <c r="I106">
        <f t="shared" ca="1" si="0"/>
        <v>16</v>
      </c>
      <c r="J106">
        <f t="shared" ca="1" si="7"/>
        <v>22</v>
      </c>
      <c r="K106">
        <f t="shared" ca="1" si="8"/>
        <v>41</v>
      </c>
      <c r="L106">
        <f t="shared" ca="1" si="8"/>
        <v>64</v>
      </c>
      <c r="M106" t="s">
        <v>53</v>
      </c>
      <c r="N106" t="s">
        <v>61</v>
      </c>
      <c r="O106" t="s">
        <v>76</v>
      </c>
      <c r="P106" s="6" t="str" cm="1">
        <f t="array" aca="1" ref="P106" ca="1">INDEX($E$2:$E$98,K106)</f>
        <v>Matos</v>
      </c>
      <c r="Q106" s="6" t="str" cm="1">
        <f t="array" aca="1" ref="Q106" ca="1">INDEX($E$2:$E$98,L106)</f>
        <v>Anjos</v>
      </c>
      <c r="S106" t="str">
        <f t="shared" si="9"/>
        <v>Masculino</v>
      </c>
      <c r="T106" t="str">
        <f t="shared" ca="1" si="6"/>
        <v>Duarte Inês Matos Anjos</v>
      </c>
    </row>
    <row r="107" spans="5:20" x14ac:dyDescent="0.25">
      <c r="I107">
        <f t="shared" ca="1" si="0"/>
        <v>5</v>
      </c>
      <c r="J107">
        <f t="shared" ca="1" si="7"/>
        <v>25</v>
      </c>
      <c r="K107">
        <f t="shared" ca="1" si="8"/>
        <v>80</v>
      </c>
      <c r="L107">
        <f t="shared" ca="1" si="8"/>
        <v>53</v>
      </c>
      <c r="M107" t="s">
        <v>66</v>
      </c>
      <c r="N107" t="s">
        <v>75</v>
      </c>
      <c r="O107" t="s">
        <v>88</v>
      </c>
      <c r="P107" s="6" t="str" cm="1">
        <f t="array" aca="1" ref="P107" ca="1">INDEX($E$2:$E$98,K107)</f>
        <v>Assunção</v>
      </c>
      <c r="Q107" s="6" t="str" cm="1">
        <f t="array" aca="1" ref="Q107" ca="1">INDEX($E$2:$E$98,L107)</f>
        <v>Henriques</v>
      </c>
      <c r="S107" t="str">
        <f t="shared" si="9"/>
        <v>Feminino</v>
      </c>
      <c r="T107" t="str">
        <f t="shared" ca="1" si="6"/>
        <v>Francisca Diana Assunção Henriques</v>
      </c>
    </row>
    <row r="108" spans="5:20" x14ac:dyDescent="0.25">
      <c r="I108">
        <f t="shared" ca="1" si="0"/>
        <v>4</v>
      </c>
      <c r="J108">
        <f t="shared" ca="1" si="7"/>
        <v>4</v>
      </c>
      <c r="K108">
        <f t="shared" ca="1" si="8"/>
        <v>23</v>
      </c>
      <c r="L108">
        <f t="shared" ca="1" si="8"/>
        <v>47</v>
      </c>
      <c r="M108" t="s">
        <v>53</v>
      </c>
      <c r="N108" t="s">
        <v>65</v>
      </c>
      <c r="O108" t="s">
        <v>84</v>
      </c>
      <c r="P108" s="6" t="str" cm="1">
        <f t="array" aca="1" ref="P108" ca="1">INDEX($E$2:$E$98,K108)</f>
        <v>Oliveira</v>
      </c>
      <c r="Q108" s="6" t="str" cm="1">
        <f t="array" aca="1" ref="Q108" ca="1">INDEX($E$2:$E$98,L108)</f>
        <v>Lourenço</v>
      </c>
      <c r="S108" t="str">
        <f t="shared" si="9"/>
        <v>Masculino</v>
      </c>
      <c r="T108" t="str">
        <f t="shared" ca="1" si="6"/>
        <v>Marco Joana Oliveira Lourenço</v>
      </c>
    </row>
    <row r="109" spans="5:20" x14ac:dyDescent="0.25">
      <c r="I109">
        <f t="shared" ca="1" si="0"/>
        <v>4</v>
      </c>
      <c r="J109">
        <f t="shared" ca="1" si="7"/>
        <v>27</v>
      </c>
      <c r="K109">
        <f t="shared" ca="1" si="8"/>
        <v>36</v>
      </c>
      <c r="L109">
        <f t="shared" ca="1" si="8"/>
        <v>42</v>
      </c>
      <c r="M109" t="s">
        <v>53</v>
      </c>
      <c r="N109" t="s">
        <v>78</v>
      </c>
      <c r="O109" t="s">
        <v>69</v>
      </c>
      <c r="P109" s="6" t="str" cm="1">
        <f t="array" aca="1" ref="P109" ca="1">INDEX($E$2:$E$98,K109)</f>
        <v>Monteiro</v>
      </c>
      <c r="Q109" s="6" t="str" cm="1">
        <f t="array" aca="1" ref="Q109" ca="1">INDEX($E$2:$E$98,L109)</f>
        <v>Fonseca</v>
      </c>
      <c r="S109" t="str">
        <f t="shared" si="9"/>
        <v>Masculino</v>
      </c>
      <c r="T109" t="str">
        <f t="shared" ca="1" si="6"/>
        <v>Tiago Matilde Monteiro Fonseca</v>
      </c>
    </row>
    <row r="110" spans="5:20" x14ac:dyDescent="0.25">
      <c r="I110">
        <f t="shared" ca="1" si="0"/>
        <v>28</v>
      </c>
      <c r="J110">
        <f t="shared" ca="1" si="7"/>
        <v>20</v>
      </c>
      <c r="K110">
        <f t="shared" ca="1" si="8"/>
        <v>62</v>
      </c>
      <c r="L110">
        <f t="shared" ca="1" si="8"/>
        <v>73</v>
      </c>
      <c r="M110" t="s">
        <v>53</v>
      </c>
      <c r="N110" t="s">
        <v>55</v>
      </c>
      <c r="O110" t="s">
        <v>74</v>
      </c>
      <c r="P110" s="6" t="str" cm="1">
        <f t="array" aca="1" ref="P110" ca="1">INDEX($E$2:$E$98,K110)</f>
        <v>Nogueira</v>
      </c>
      <c r="Q110" s="6" t="str" cm="1">
        <f t="array" aca="1" ref="Q110" ca="1">INDEX($E$2:$E$98,L110)</f>
        <v>Abreu</v>
      </c>
      <c r="S110" t="str">
        <f t="shared" si="9"/>
        <v>Masculino</v>
      </c>
      <c r="T110" t="str">
        <f t="shared" ca="1" si="6"/>
        <v>Francisco Sofia Nogueira Abreu</v>
      </c>
    </row>
    <row r="111" spans="5:20" x14ac:dyDescent="0.25">
      <c r="I111">
        <f t="shared" ca="1" si="0"/>
        <v>33</v>
      </c>
      <c r="J111">
        <f t="shared" ca="1" si="7"/>
        <v>25</v>
      </c>
      <c r="K111">
        <f t="shared" ca="1" si="8"/>
        <v>17</v>
      </c>
      <c r="L111">
        <f t="shared" ca="1" si="8"/>
        <v>96</v>
      </c>
      <c r="M111" t="s">
        <v>66</v>
      </c>
      <c r="N111" t="s">
        <v>73</v>
      </c>
      <c r="O111" t="s">
        <v>87</v>
      </c>
      <c r="P111" s="6" t="str" cm="1">
        <f t="array" aca="1" ref="P111" ca="1">INDEX($E$2:$E$98,K111)</f>
        <v>Pires</v>
      </c>
      <c r="Q111" s="6" t="str" cm="1">
        <f t="array" aca="1" ref="Q111" ca="1">INDEX($E$2:$E$98,L111)</f>
        <v>Amorim</v>
      </c>
      <c r="S111" t="str">
        <f t="shared" si="9"/>
        <v>Feminino</v>
      </c>
      <c r="T111" t="str">
        <f t="shared" ca="1" si="6"/>
        <v>Ana Daniela Pires Amorim</v>
      </c>
    </row>
    <row r="112" spans="5:20" x14ac:dyDescent="0.25">
      <c r="I112">
        <f t="shared" ca="1" si="0"/>
        <v>24</v>
      </c>
      <c r="J112">
        <f t="shared" ca="1" si="7"/>
        <v>1</v>
      </c>
      <c r="K112">
        <f t="shared" ca="1" si="8"/>
        <v>54</v>
      </c>
      <c r="L112">
        <f t="shared" ca="1" si="8"/>
        <v>11</v>
      </c>
      <c r="M112" t="s">
        <v>53</v>
      </c>
      <c r="N112" t="s">
        <v>78</v>
      </c>
      <c r="O112" t="s">
        <v>65</v>
      </c>
      <c r="P112" s="6" t="str" cm="1">
        <f t="array" aca="1" ref="P112" ca="1">INDEX($E$2:$E$98,K112)</f>
        <v>Lima</v>
      </c>
      <c r="Q112" s="6" t="str" cm="1">
        <f t="array" aca="1" ref="Q112" ca="1">INDEX($E$2:$E$98,L112)</f>
        <v>Rocha</v>
      </c>
      <c r="S112" t="str">
        <f t="shared" si="9"/>
        <v>Masculino</v>
      </c>
      <c r="T112" t="str">
        <f t="shared" ca="1" si="6"/>
        <v>Tiago Marco Lima Rocha</v>
      </c>
    </row>
    <row r="113" spans="9:20" x14ac:dyDescent="0.25">
      <c r="I113">
        <f t="shared" ref="I113" ca="1" si="11">RANDBETWEEN(1,37)</f>
        <v>20</v>
      </c>
      <c r="J113">
        <f t="shared" ca="1" si="7"/>
        <v>18</v>
      </c>
      <c r="K113">
        <f t="shared" ca="1" si="8"/>
        <v>33</v>
      </c>
      <c r="L113">
        <f t="shared" ca="1" si="8"/>
        <v>19</v>
      </c>
      <c r="M113" t="s">
        <v>66</v>
      </c>
      <c r="N113" t="s">
        <v>76</v>
      </c>
      <c r="O113" t="s">
        <v>81</v>
      </c>
      <c r="P113" s="6" t="str" cm="1">
        <f t="array" aca="1" ref="P113" ca="1">INDEX($E$2:$E$98,K113)</f>
        <v>Nunes</v>
      </c>
      <c r="Q113" s="6" t="str" cm="1">
        <f t="array" aca="1" ref="Q113" ca="1">INDEX($E$2:$E$98,L113)</f>
        <v>Silva</v>
      </c>
      <c r="S113" t="str">
        <f t="shared" si="9"/>
        <v>Feminino</v>
      </c>
      <c r="T113" t="str">
        <f t="shared" ca="1" si="6"/>
        <v>Inês André Nunes Silva</v>
      </c>
    </row>
    <row r="114" spans="9:20" x14ac:dyDescent="0.25">
      <c r="I114">
        <f t="shared" ca="1" si="0"/>
        <v>8</v>
      </c>
      <c r="J114">
        <f t="shared" ca="1" si="7"/>
        <v>15</v>
      </c>
      <c r="K114">
        <f t="shared" ca="1" si="8"/>
        <v>12</v>
      </c>
      <c r="L114">
        <f t="shared" ca="1" si="8"/>
        <v>28</v>
      </c>
      <c r="M114" t="s">
        <v>66</v>
      </c>
      <c r="N114" t="s">
        <v>71</v>
      </c>
      <c r="O114" t="s">
        <v>73</v>
      </c>
      <c r="P114" s="6" t="str" cm="1">
        <f t="array" aca="1" ref="P114" ca="1">INDEX($E$2:$E$98,K114)</f>
        <v>Raposo</v>
      </c>
      <c r="Q114" s="6" t="str" cm="1">
        <f t="array" aca="1" ref="Q114" ca="1">INDEX($E$2:$E$98,L114)</f>
        <v>Sousa</v>
      </c>
      <c r="S114" t="str">
        <f t="shared" si="9"/>
        <v>Feminino</v>
      </c>
      <c r="T114" t="str">
        <f t="shared" ca="1" si="6"/>
        <v>Carolina Ana Raposo Sousa</v>
      </c>
    </row>
    <row r="115" spans="9:20" x14ac:dyDescent="0.25">
      <c r="I115">
        <f t="shared" ca="1" si="0"/>
        <v>35</v>
      </c>
      <c r="J115">
        <f t="shared" ca="1" si="7"/>
        <v>12</v>
      </c>
      <c r="K115">
        <f t="shared" ca="1" si="8"/>
        <v>37</v>
      </c>
      <c r="L115">
        <f t="shared" ca="1" si="8"/>
        <v>55</v>
      </c>
      <c r="M115" t="s">
        <v>66</v>
      </c>
      <c r="N115" t="s">
        <v>87</v>
      </c>
      <c r="O115" t="s">
        <v>192</v>
      </c>
      <c r="P115" s="6" t="str" cm="1">
        <f t="array" aca="1" ref="P115" ca="1">INDEX($E$2:$E$98,K115)</f>
        <v>Cardoso</v>
      </c>
      <c r="Q115" s="6" t="str" cm="1">
        <f t="array" aca="1" ref="Q115" ca="1">INDEX($E$2:$E$98,L115)</f>
        <v>Guerreiro</v>
      </c>
      <c r="S115" t="str">
        <f t="shared" si="9"/>
        <v>Feminino</v>
      </c>
      <c r="T115" t="str">
        <f t="shared" ca="1" si="6"/>
        <v>Daniela Lurdes Cardoso Guerreiro</v>
      </c>
    </row>
    <row r="116" spans="9:20" x14ac:dyDescent="0.25">
      <c r="I116">
        <f t="shared" ca="1" si="0"/>
        <v>9</v>
      </c>
      <c r="J116">
        <f t="shared" ca="1" si="7"/>
        <v>15</v>
      </c>
      <c r="K116">
        <f t="shared" ca="1" si="8"/>
        <v>76</v>
      </c>
      <c r="L116">
        <f t="shared" ca="1" si="8"/>
        <v>86</v>
      </c>
      <c r="M116" t="s">
        <v>66</v>
      </c>
      <c r="N116" t="s">
        <v>71</v>
      </c>
      <c r="O116" t="s">
        <v>192</v>
      </c>
      <c r="P116" s="6" t="str" cm="1">
        <f t="array" aca="1" ref="P116" ca="1">INDEX($E$2:$E$98,K116)</f>
        <v>Vaz</v>
      </c>
      <c r="Q116" s="6" t="str" cm="1">
        <f t="array" aca="1" ref="Q116" ca="1">INDEX($E$2:$E$98,L116)</f>
        <v>Carneiro</v>
      </c>
      <c r="S116" t="str">
        <f t="shared" si="9"/>
        <v>Feminino</v>
      </c>
      <c r="T116" t="str">
        <f t="shared" ca="1" si="6"/>
        <v>Carolina Lurdes Vaz Carneiro</v>
      </c>
    </row>
    <row r="117" spans="9:20" x14ac:dyDescent="0.25">
      <c r="I117">
        <f t="shared" ca="1" si="0"/>
        <v>37</v>
      </c>
      <c r="J117">
        <f t="shared" ca="1" si="7"/>
        <v>33</v>
      </c>
      <c r="K117">
        <f t="shared" ca="1" si="8"/>
        <v>28</v>
      </c>
      <c r="L117">
        <f t="shared" ca="1" si="8"/>
        <v>24</v>
      </c>
      <c r="M117" t="s">
        <v>66</v>
      </c>
      <c r="N117" t="s">
        <v>76</v>
      </c>
      <c r="O117" t="s">
        <v>76</v>
      </c>
      <c r="P117" s="6" t="str" cm="1">
        <f t="array" aca="1" ref="P117" ca="1">INDEX($E$2:$E$98,K117)</f>
        <v>Sousa</v>
      </c>
      <c r="Q117" s="6" t="str" cm="1">
        <f t="array" aca="1" ref="Q117" ca="1">INDEX($E$2:$E$98,L117)</f>
        <v>Costa</v>
      </c>
      <c r="S117" t="str">
        <f t="shared" si="9"/>
        <v>Feminino</v>
      </c>
      <c r="T117" t="str">
        <f t="shared" ref="T117:T180" ca="1" si="12">N117 &amp; " " &amp; O117 &amp; " " &amp; P117  &amp; " " &amp; Q117</f>
        <v>Inês Inês Sousa Costa</v>
      </c>
    </row>
    <row r="118" spans="9:20" x14ac:dyDescent="0.25">
      <c r="I118">
        <f t="shared" ca="1" si="0"/>
        <v>9</v>
      </c>
      <c r="J118">
        <f t="shared" ca="1" si="7"/>
        <v>33</v>
      </c>
      <c r="K118">
        <f t="shared" ca="1" si="8"/>
        <v>50</v>
      </c>
      <c r="L118">
        <f t="shared" ca="1" si="8"/>
        <v>54</v>
      </c>
      <c r="M118" t="s">
        <v>66</v>
      </c>
      <c r="N118" t="s">
        <v>191</v>
      </c>
      <c r="O118" t="s">
        <v>64</v>
      </c>
      <c r="P118" s="6" t="str" cm="1">
        <f t="array" aca="1" ref="P118" ca="1">INDEX($E$2:$E$98,K118)</f>
        <v>Azevedo</v>
      </c>
      <c r="Q118" s="6" t="str" cm="1">
        <f t="array" aca="1" ref="Q118" ca="1">INDEX($E$2:$E$98,L118)</f>
        <v>Lima</v>
      </c>
      <c r="S118" t="str">
        <f t="shared" si="9"/>
        <v>Feminino</v>
      </c>
      <c r="T118" t="str">
        <f t="shared" ca="1" si="12"/>
        <v>Vera Pedro Azevedo Lima</v>
      </c>
    </row>
    <row r="119" spans="9:20" x14ac:dyDescent="0.25">
      <c r="I119">
        <f t="shared" ca="1" si="0"/>
        <v>34</v>
      </c>
      <c r="J119">
        <f t="shared" ca="1" si="7"/>
        <v>6</v>
      </c>
      <c r="K119">
        <f t="shared" ca="1" si="8"/>
        <v>90</v>
      </c>
      <c r="L119">
        <f t="shared" ca="1" si="8"/>
        <v>50</v>
      </c>
      <c r="M119" t="s">
        <v>53</v>
      </c>
      <c r="N119" t="s">
        <v>83</v>
      </c>
      <c r="O119" t="s">
        <v>73</v>
      </c>
      <c r="P119" s="6" t="str" cm="1">
        <f t="array" aca="1" ref="P119" ca="1">INDEX($E$2:$E$98,K119)</f>
        <v>Branco</v>
      </c>
      <c r="Q119" s="6" t="str" cm="1">
        <f t="array" aca="1" ref="Q119" ca="1">INDEX($E$2:$E$98,L119)</f>
        <v>Azevedo</v>
      </c>
      <c r="S119" t="str">
        <f t="shared" si="9"/>
        <v>Masculino</v>
      </c>
      <c r="T119" t="str">
        <f t="shared" ca="1" si="12"/>
        <v>Luís Ana Branco Azevedo</v>
      </c>
    </row>
    <row r="120" spans="9:20" x14ac:dyDescent="0.25">
      <c r="I120">
        <f t="shared" ca="1" si="0"/>
        <v>28</v>
      </c>
      <c r="J120">
        <f t="shared" ca="1" si="7"/>
        <v>12</v>
      </c>
      <c r="K120">
        <f t="shared" ca="1" si="8"/>
        <v>68</v>
      </c>
      <c r="L120">
        <f t="shared" ca="1" si="8"/>
        <v>97</v>
      </c>
      <c r="M120" t="s">
        <v>53</v>
      </c>
      <c r="N120" t="s">
        <v>60</v>
      </c>
      <c r="O120" t="s">
        <v>191</v>
      </c>
      <c r="P120" s="6" t="str" cm="1">
        <f t="array" aca="1" ref="P120" ca="1">INDEX($E$2:$E$98,K120)</f>
        <v>Andrade</v>
      </c>
      <c r="Q120" s="6" t="str" cm="1">
        <f t="array" aca="1" ref="Q120" ca="1">INDEX($E$2:$E$98,L120)</f>
        <v>Torres</v>
      </c>
      <c r="S120" t="str">
        <f t="shared" si="9"/>
        <v>Masculino</v>
      </c>
      <c r="T120" t="str">
        <f t="shared" ca="1" si="12"/>
        <v>Tomás Vera Andrade Torres</v>
      </c>
    </row>
    <row r="121" spans="9:20" x14ac:dyDescent="0.25">
      <c r="I121">
        <f t="shared" ca="1" si="0"/>
        <v>14</v>
      </c>
      <c r="J121">
        <f t="shared" ca="1" si="7"/>
        <v>5</v>
      </c>
      <c r="K121">
        <f t="shared" ca="1" si="8"/>
        <v>37</v>
      </c>
      <c r="L121">
        <f t="shared" ca="1" si="8"/>
        <v>62</v>
      </c>
      <c r="M121" t="s">
        <v>53</v>
      </c>
      <c r="N121" t="s">
        <v>63</v>
      </c>
      <c r="O121" t="s">
        <v>68</v>
      </c>
      <c r="P121" s="6" t="str" cm="1">
        <f t="array" aca="1" ref="P121" ca="1">INDEX($E$2:$E$98,K121)</f>
        <v>Cardoso</v>
      </c>
      <c r="Q121" s="6" t="str" cm="1">
        <f t="array" aca="1" ref="Q121" ca="1">INDEX($E$2:$E$98,L121)</f>
        <v>Nogueira</v>
      </c>
      <c r="S121" t="str">
        <f t="shared" si="9"/>
        <v>Masculino</v>
      </c>
      <c r="T121" t="str">
        <f t="shared" ca="1" si="12"/>
        <v>Gabriel Leonor Cardoso Nogueira</v>
      </c>
    </row>
    <row r="122" spans="9:20" x14ac:dyDescent="0.25">
      <c r="I122">
        <f t="shared" ca="1" si="0"/>
        <v>20</v>
      </c>
      <c r="J122">
        <f t="shared" ca="1" si="7"/>
        <v>8</v>
      </c>
      <c r="K122">
        <f t="shared" ca="1" si="8"/>
        <v>87</v>
      </c>
      <c r="L122">
        <f t="shared" ca="1" si="8"/>
        <v>32</v>
      </c>
      <c r="M122" t="s">
        <v>66</v>
      </c>
      <c r="N122" t="s">
        <v>70</v>
      </c>
      <c r="O122" t="s">
        <v>86</v>
      </c>
      <c r="P122" s="6" t="str" cm="1">
        <f t="array" aca="1" ref="P122" ca="1">INDEX($E$2:$E$98,K122)</f>
        <v>Loureiro</v>
      </c>
      <c r="Q122" s="6" t="str" cm="1">
        <f t="array" aca="1" ref="Q122" ca="1">INDEX($E$2:$E$98,L122)</f>
        <v>Mendes</v>
      </c>
      <c r="S122" t="str">
        <f t="shared" si="9"/>
        <v>Feminino</v>
      </c>
      <c r="T122" t="str">
        <f t="shared" ca="1" si="12"/>
        <v>Beatriz Sara Loureiro Mendes</v>
      </c>
    </row>
    <row r="123" spans="9:20" x14ac:dyDescent="0.25">
      <c r="I123">
        <f t="shared" ca="1" si="0"/>
        <v>28</v>
      </c>
      <c r="J123">
        <f t="shared" ca="1" si="7"/>
        <v>6</v>
      </c>
      <c r="K123">
        <f t="shared" ca="1" si="8"/>
        <v>52</v>
      </c>
      <c r="L123">
        <f t="shared" ca="1" si="8"/>
        <v>41</v>
      </c>
      <c r="M123" t="s">
        <v>53</v>
      </c>
      <c r="N123" t="s">
        <v>55</v>
      </c>
      <c r="O123" t="s">
        <v>60</v>
      </c>
      <c r="P123" s="6" t="str" cm="1">
        <f t="array" aca="1" ref="P123" ca="1">INDEX($E$2:$E$98,K123)</f>
        <v>Magalhães</v>
      </c>
      <c r="Q123" s="6" t="str" cm="1">
        <f t="array" aca="1" ref="Q123" ca="1">INDEX($E$2:$E$98,L123)</f>
        <v>Matos</v>
      </c>
      <c r="S123" t="str">
        <f t="shared" si="9"/>
        <v>Masculino</v>
      </c>
      <c r="T123" t="str">
        <f t="shared" ca="1" si="12"/>
        <v>Francisco Tomás Magalhães Matos</v>
      </c>
    </row>
    <row r="124" spans="9:20" x14ac:dyDescent="0.25">
      <c r="I124">
        <f t="shared" ca="1" si="0"/>
        <v>24</v>
      </c>
      <c r="J124">
        <f t="shared" ca="1" si="7"/>
        <v>9</v>
      </c>
      <c r="K124">
        <f t="shared" ca="1" si="8"/>
        <v>29</v>
      </c>
      <c r="L124">
        <f t="shared" ca="1" si="8"/>
        <v>86</v>
      </c>
      <c r="M124" t="s">
        <v>66</v>
      </c>
      <c r="N124" t="s">
        <v>70</v>
      </c>
      <c r="O124" t="s">
        <v>68</v>
      </c>
      <c r="P124" s="6" t="str" cm="1">
        <f t="array" aca="1" ref="P124" ca="1">INDEX($E$2:$E$98,K124)</f>
        <v>Fernandes</v>
      </c>
      <c r="Q124" s="6" t="str" cm="1">
        <f t="array" aca="1" ref="Q124" ca="1">INDEX($E$2:$E$98,L124)</f>
        <v>Carneiro</v>
      </c>
      <c r="S124" t="str">
        <f t="shared" si="9"/>
        <v>Feminino</v>
      </c>
      <c r="T124" t="str">
        <f t="shared" ca="1" si="12"/>
        <v>Beatriz Leonor Fernandes Carneiro</v>
      </c>
    </row>
    <row r="125" spans="9:20" x14ac:dyDescent="0.25">
      <c r="I125">
        <f t="shared" ca="1" si="0"/>
        <v>16</v>
      </c>
      <c r="J125">
        <f t="shared" ca="1" si="7"/>
        <v>26</v>
      </c>
      <c r="K125">
        <f t="shared" ca="1" si="8"/>
        <v>74</v>
      </c>
      <c r="L125">
        <f t="shared" ca="1" si="8"/>
        <v>57</v>
      </c>
      <c r="M125" t="s">
        <v>53</v>
      </c>
      <c r="N125" t="s">
        <v>81</v>
      </c>
      <c r="O125" t="s">
        <v>81</v>
      </c>
      <c r="P125" s="6" t="str" cm="1">
        <f t="array" aca="1" ref="P125" ca="1">INDEX($E$2:$E$98,K125)</f>
        <v>Borges</v>
      </c>
      <c r="Q125" s="6" t="str" cm="1">
        <f t="array" aca="1" ref="Q125" ca="1">INDEX($E$2:$E$98,L125)</f>
        <v>Pinheiro</v>
      </c>
      <c r="S125" t="str">
        <f t="shared" si="9"/>
        <v>Masculino</v>
      </c>
      <c r="T125" t="str">
        <f t="shared" ca="1" si="12"/>
        <v>André André Borges Pinheiro</v>
      </c>
    </row>
    <row r="126" spans="9:20" x14ac:dyDescent="0.25">
      <c r="I126">
        <f t="shared" ca="1" si="0"/>
        <v>35</v>
      </c>
      <c r="J126">
        <f t="shared" ca="1" si="7"/>
        <v>29</v>
      </c>
      <c r="K126">
        <f t="shared" ca="1" si="8"/>
        <v>89</v>
      </c>
      <c r="L126">
        <f t="shared" ca="1" si="8"/>
        <v>30</v>
      </c>
      <c r="M126" t="s">
        <v>53</v>
      </c>
      <c r="N126" t="s">
        <v>81</v>
      </c>
      <c r="O126" t="s">
        <v>55</v>
      </c>
      <c r="P126" s="6" t="str" cm="1">
        <f t="array" aca="1" ref="P126" ca="1">INDEX($E$2:$E$98,K126)</f>
        <v>Amaral</v>
      </c>
      <c r="Q126" s="6" t="str" cm="1">
        <f t="array" aca="1" ref="Q126" ca="1">INDEX($E$2:$E$98,L126)</f>
        <v>Gonçalves</v>
      </c>
      <c r="S126" t="str">
        <f t="shared" si="9"/>
        <v>Masculino</v>
      </c>
      <c r="T126" t="str">
        <f t="shared" ca="1" si="12"/>
        <v>André Francisco Amaral Gonçalves</v>
      </c>
    </row>
    <row r="127" spans="9:20" x14ac:dyDescent="0.25">
      <c r="I127">
        <f t="shared" ca="1" si="0"/>
        <v>4</v>
      </c>
      <c r="J127">
        <f t="shared" ca="1" si="7"/>
        <v>24</v>
      </c>
      <c r="K127">
        <f t="shared" ca="1" si="8"/>
        <v>51</v>
      </c>
      <c r="L127">
        <f t="shared" ca="1" si="8"/>
        <v>97</v>
      </c>
      <c r="M127" t="s">
        <v>53</v>
      </c>
      <c r="N127" t="s">
        <v>60</v>
      </c>
      <c r="O127" t="s">
        <v>83</v>
      </c>
      <c r="P127" s="6" t="str" cm="1">
        <f t="array" aca="1" ref="P127" ca="1">INDEX($E$2:$E$98,K127)</f>
        <v>Freitas</v>
      </c>
      <c r="Q127" s="6" t="str" cm="1">
        <f t="array" aca="1" ref="Q127" ca="1">INDEX($E$2:$E$98,L127)</f>
        <v>Torres</v>
      </c>
      <c r="S127" t="str">
        <f t="shared" si="9"/>
        <v>Masculino</v>
      </c>
      <c r="T127" t="str">
        <f t="shared" ca="1" si="12"/>
        <v>Tomás Luís Freitas Torres</v>
      </c>
    </row>
    <row r="128" spans="9:20" x14ac:dyDescent="0.25">
      <c r="I128">
        <f t="shared" ca="1" si="0"/>
        <v>2</v>
      </c>
      <c r="J128">
        <f t="shared" ref="J128:J191" ca="1" si="13">RANDBETWEEN(1,37)</f>
        <v>1</v>
      </c>
      <c r="K128">
        <f t="shared" ca="1" si="8"/>
        <v>77</v>
      </c>
      <c r="L128">
        <f t="shared" ca="1" si="8"/>
        <v>47</v>
      </c>
      <c r="M128" t="s">
        <v>66</v>
      </c>
      <c r="N128" t="s">
        <v>192</v>
      </c>
      <c r="O128" t="s">
        <v>80</v>
      </c>
      <c r="P128" s="6" t="str" cm="1">
        <f t="array" aca="1" ref="P128" ca="1">INDEX($E$2:$E$98,K128)</f>
        <v>Pinho</v>
      </c>
      <c r="Q128" s="6" t="str" cm="1">
        <f t="array" aca="1" ref="Q128" ca="1">INDEX($E$2:$E$98,L128)</f>
        <v>Lourenço</v>
      </c>
      <c r="S128" t="str">
        <f t="shared" si="9"/>
        <v>Feminino</v>
      </c>
      <c r="T128" t="str">
        <f t="shared" ca="1" si="12"/>
        <v>Lurdes José Pinho Lourenço</v>
      </c>
    </row>
    <row r="129" spans="9:20" x14ac:dyDescent="0.25">
      <c r="I129">
        <f t="shared" ca="1" si="0"/>
        <v>29</v>
      </c>
      <c r="J129">
        <f t="shared" ca="1" si="13"/>
        <v>20</v>
      </c>
      <c r="K129">
        <f t="shared" ca="1" si="8"/>
        <v>56</v>
      </c>
      <c r="L129">
        <f t="shared" ca="1" si="8"/>
        <v>28</v>
      </c>
      <c r="M129" t="s">
        <v>66</v>
      </c>
      <c r="N129" t="s">
        <v>86</v>
      </c>
      <c r="O129" t="s">
        <v>73</v>
      </c>
      <c r="P129" s="6" t="str" cm="1">
        <f t="array" aca="1" ref="P129" ca="1">INDEX($E$2:$E$98,K129)</f>
        <v>Batista</v>
      </c>
      <c r="Q129" s="6" t="str" cm="1">
        <f t="array" aca="1" ref="Q129" ca="1">INDEX($E$2:$E$98,L129)</f>
        <v>Sousa</v>
      </c>
      <c r="S129" t="str">
        <f t="shared" si="9"/>
        <v>Feminino</v>
      </c>
      <c r="T129" t="str">
        <f t="shared" ca="1" si="12"/>
        <v>Sara Ana Batista Sousa</v>
      </c>
    </row>
    <row r="130" spans="9:20" x14ac:dyDescent="0.25">
      <c r="I130">
        <f t="shared" ca="1" si="0"/>
        <v>14</v>
      </c>
      <c r="J130">
        <f t="shared" ca="1" si="13"/>
        <v>18</v>
      </c>
      <c r="K130">
        <f t="shared" ca="1" si="8"/>
        <v>49</v>
      </c>
      <c r="L130">
        <f t="shared" ca="1" si="8"/>
        <v>68</v>
      </c>
      <c r="M130" t="s">
        <v>53</v>
      </c>
      <c r="N130" t="s">
        <v>81</v>
      </c>
      <c r="O130" t="s">
        <v>192</v>
      </c>
      <c r="P130" s="6" t="str" cm="1">
        <f t="array" aca="1" ref="P130" ca="1">INDEX($E$2:$E$98,K130)</f>
        <v>Figueiredo</v>
      </c>
      <c r="Q130" s="6" t="str" cm="1">
        <f t="array" aca="1" ref="Q130" ca="1">INDEX($E$2:$E$98,L130)</f>
        <v>Andrade</v>
      </c>
      <c r="S130" t="str">
        <f t="shared" si="9"/>
        <v>Masculino</v>
      </c>
      <c r="T130" t="str">
        <f t="shared" ca="1" si="12"/>
        <v>André Lurdes Figueiredo Andrade</v>
      </c>
    </row>
    <row r="131" spans="9:20" x14ac:dyDescent="0.25">
      <c r="I131">
        <f t="shared" ca="1" si="0"/>
        <v>33</v>
      </c>
      <c r="J131">
        <f t="shared" ca="1" si="13"/>
        <v>36</v>
      </c>
      <c r="K131">
        <f t="shared" ref="K131:L194" ca="1" si="14">RANDBETWEEN(1,97)</f>
        <v>65</v>
      </c>
      <c r="L131">
        <f t="shared" ca="1" si="14"/>
        <v>97</v>
      </c>
      <c r="M131" t="s">
        <v>66</v>
      </c>
      <c r="N131" t="s">
        <v>72</v>
      </c>
      <c r="O131" t="s">
        <v>58</v>
      </c>
      <c r="P131" s="6" t="str" cm="1">
        <f t="array" aca="1" ref="P131" ca="1">INDEX($E$2:$E$98,K131)</f>
        <v>Baptista</v>
      </c>
      <c r="Q131" s="6" t="str" cm="1">
        <f t="array" aca="1" ref="Q131" ca="1">INDEX($E$2:$E$98,L131)</f>
        <v>Torres</v>
      </c>
      <c r="S131" t="str">
        <f t="shared" si="9"/>
        <v>Feminino</v>
      </c>
      <c r="T131" t="str">
        <f t="shared" ca="1" si="12"/>
        <v>Mariana Rodrigo Baptista Torres</v>
      </c>
    </row>
    <row r="132" spans="9:20" x14ac:dyDescent="0.25">
      <c r="I132">
        <f t="shared" ca="1" si="0"/>
        <v>7</v>
      </c>
      <c r="J132">
        <f t="shared" ca="1" si="13"/>
        <v>6</v>
      </c>
      <c r="K132">
        <f t="shared" ca="1" si="14"/>
        <v>88</v>
      </c>
      <c r="L132">
        <f t="shared" ca="1" si="14"/>
        <v>78</v>
      </c>
      <c r="M132" t="s">
        <v>53</v>
      </c>
      <c r="N132" t="s">
        <v>82</v>
      </c>
      <c r="O132" t="s">
        <v>59</v>
      </c>
      <c r="P132" s="6" t="str" cm="1">
        <f t="array" aca="1" ref="P132" ca="1">INDEX($E$2:$E$98,K132)</f>
        <v>Neto</v>
      </c>
      <c r="Q132" s="6" t="str" cm="1">
        <f t="array" aca="1" ref="Q132" ca="1">INDEX($E$2:$E$98,L132)</f>
        <v>Vicente</v>
      </c>
      <c r="S132" t="str">
        <f t="shared" ref="S132:S195" si="15">M132</f>
        <v>Masculino</v>
      </c>
      <c r="T132" t="str">
        <f t="shared" ca="1" si="12"/>
        <v>Ricardo Martim Neto Vicente</v>
      </c>
    </row>
    <row r="133" spans="9:20" x14ac:dyDescent="0.25">
      <c r="I133">
        <f t="shared" ca="1" si="0"/>
        <v>23</v>
      </c>
      <c r="J133">
        <f t="shared" ca="1" si="13"/>
        <v>27</v>
      </c>
      <c r="K133">
        <f t="shared" ca="1" si="14"/>
        <v>60</v>
      </c>
      <c r="L133">
        <f t="shared" ca="1" si="14"/>
        <v>29</v>
      </c>
      <c r="M133" t="s">
        <v>53</v>
      </c>
      <c r="N133" t="s">
        <v>62</v>
      </c>
      <c r="O133" t="s">
        <v>70</v>
      </c>
      <c r="P133" s="6" t="str" cm="1">
        <f t="array" aca="1" ref="P133" ca="1">INDEX($E$2:$E$98,K133)</f>
        <v>Barros</v>
      </c>
      <c r="Q133" s="6" t="str" cm="1">
        <f t="array" aca="1" ref="Q133" ca="1">INDEX($E$2:$E$98,L133)</f>
        <v>Fernandes</v>
      </c>
      <c r="S133" t="str">
        <f t="shared" si="15"/>
        <v>Masculino</v>
      </c>
      <c r="T133" t="str">
        <f t="shared" ca="1" si="12"/>
        <v>Miguel Beatriz Barros Fernandes</v>
      </c>
    </row>
    <row r="134" spans="9:20" x14ac:dyDescent="0.25">
      <c r="I134">
        <f t="shared" ca="1" si="0"/>
        <v>23</v>
      </c>
      <c r="J134">
        <f t="shared" ca="1" si="13"/>
        <v>4</v>
      </c>
      <c r="K134">
        <f t="shared" ca="1" si="14"/>
        <v>27</v>
      </c>
      <c r="L134">
        <f t="shared" ca="1" si="14"/>
        <v>88</v>
      </c>
      <c r="M134" t="s">
        <v>66</v>
      </c>
      <c r="N134" t="s">
        <v>75</v>
      </c>
      <c r="O134" t="s">
        <v>79</v>
      </c>
      <c r="P134" s="6" t="str" cm="1">
        <f t="array" aca="1" ref="P134" ca="1">INDEX($E$2:$E$98,K134)</f>
        <v>Jesus</v>
      </c>
      <c r="Q134" s="6" t="str" cm="1">
        <f t="array" aca="1" ref="Q134" ca="1">INDEX($E$2:$E$98,L134)</f>
        <v>Neto</v>
      </c>
      <c r="S134" t="str">
        <f t="shared" si="15"/>
        <v>Feminino</v>
      </c>
      <c r="T134" t="str">
        <f t="shared" ca="1" si="12"/>
        <v>Francisca Bruno Jesus Neto</v>
      </c>
    </row>
    <row r="135" spans="9:20" x14ac:dyDescent="0.25">
      <c r="I135">
        <f t="shared" ca="1" si="0"/>
        <v>36</v>
      </c>
      <c r="J135">
        <f t="shared" ca="1" si="13"/>
        <v>6</v>
      </c>
      <c r="K135">
        <f t="shared" ca="1" si="14"/>
        <v>8</v>
      </c>
      <c r="L135">
        <f t="shared" ca="1" si="14"/>
        <v>80</v>
      </c>
      <c r="M135" t="s">
        <v>53</v>
      </c>
      <c r="N135" t="s">
        <v>63</v>
      </c>
      <c r="O135" t="s">
        <v>57</v>
      </c>
      <c r="P135" s="6" t="str" cm="1">
        <f t="array" aca="1" ref="P135" ca="1">INDEX($E$2:$E$98,K135)</f>
        <v>Carvalho</v>
      </c>
      <c r="Q135" s="6" t="str" cm="1">
        <f t="array" aca="1" ref="Q135" ca="1">INDEX($E$2:$E$98,L135)</f>
        <v>Assunção</v>
      </c>
      <c r="S135" t="str">
        <f t="shared" si="15"/>
        <v>Masculino</v>
      </c>
      <c r="T135" t="str">
        <f t="shared" ca="1" si="12"/>
        <v>Gabriel Afonso Carvalho Assunção</v>
      </c>
    </row>
    <row r="136" spans="9:20" x14ac:dyDescent="0.25">
      <c r="I136">
        <f t="shared" ca="1" si="0"/>
        <v>29</v>
      </c>
      <c r="J136">
        <f t="shared" ca="1" si="13"/>
        <v>28</v>
      </c>
      <c r="K136">
        <f t="shared" ca="1" si="14"/>
        <v>22</v>
      </c>
      <c r="L136">
        <f t="shared" ca="1" si="14"/>
        <v>63</v>
      </c>
      <c r="M136" t="s">
        <v>53</v>
      </c>
      <c r="N136" t="s">
        <v>79</v>
      </c>
      <c r="O136" t="s">
        <v>82</v>
      </c>
      <c r="P136" s="6" t="str" cm="1">
        <f t="array" aca="1" ref="P136" ca="1">INDEX($E$2:$E$98,K136)</f>
        <v>Pereira</v>
      </c>
      <c r="Q136" s="6" t="str" cm="1">
        <f t="array" aca="1" ref="Q136" ca="1">INDEX($E$2:$E$98,L136)</f>
        <v>Esteves</v>
      </c>
      <c r="S136" t="str">
        <f t="shared" si="15"/>
        <v>Masculino</v>
      </c>
      <c r="T136" t="str">
        <f t="shared" ca="1" si="12"/>
        <v>Bruno Ricardo Pereira Esteves</v>
      </c>
    </row>
    <row r="137" spans="9:20" x14ac:dyDescent="0.25">
      <c r="I137">
        <f t="shared" ca="1" si="0"/>
        <v>17</v>
      </c>
      <c r="J137">
        <f t="shared" ca="1" si="13"/>
        <v>30</v>
      </c>
      <c r="K137">
        <f t="shared" ca="1" si="14"/>
        <v>54</v>
      </c>
      <c r="L137">
        <f t="shared" ca="1" si="14"/>
        <v>82</v>
      </c>
      <c r="M137" t="s">
        <v>66</v>
      </c>
      <c r="N137" t="s">
        <v>72</v>
      </c>
      <c r="O137" t="s">
        <v>56</v>
      </c>
      <c r="P137" s="6" t="str" cm="1">
        <f t="array" aca="1" ref="P137" ca="1">INDEX($E$2:$E$98,K137)</f>
        <v>Lima</v>
      </c>
      <c r="Q137" s="6" t="str" cm="1">
        <f t="array" aca="1" ref="Q137" ca="1">INDEX($E$2:$E$98,L137)</f>
        <v>Moura</v>
      </c>
      <c r="S137" t="str">
        <f t="shared" si="15"/>
        <v>Feminino</v>
      </c>
      <c r="T137" t="str">
        <f t="shared" ca="1" si="12"/>
        <v>Mariana João Lima Moura</v>
      </c>
    </row>
    <row r="138" spans="9:20" x14ac:dyDescent="0.25">
      <c r="I138">
        <f t="shared" ca="1" si="0"/>
        <v>16</v>
      </c>
      <c r="J138">
        <f t="shared" ca="1" si="13"/>
        <v>7</v>
      </c>
      <c r="K138">
        <f t="shared" ca="1" si="14"/>
        <v>38</v>
      </c>
      <c r="L138">
        <f t="shared" ca="1" si="14"/>
        <v>63</v>
      </c>
      <c r="M138" t="s">
        <v>53</v>
      </c>
      <c r="N138" t="s">
        <v>63</v>
      </c>
      <c r="O138" t="s">
        <v>55</v>
      </c>
      <c r="P138" s="6" t="str" cm="1">
        <f t="array" aca="1" ref="P138" ca="1">INDEX($E$2:$E$98,K138)</f>
        <v>Reis</v>
      </c>
      <c r="Q138" s="6" t="str" cm="1">
        <f t="array" aca="1" ref="Q138" ca="1">INDEX($E$2:$E$98,L138)</f>
        <v>Esteves</v>
      </c>
      <c r="S138" t="str">
        <f t="shared" si="15"/>
        <v>Masculino</v>
      </c>
      <c r="T138" t="str">
        <f t="shared" ca="1" si="12"/>
        <v>Gabriel Francisco Reis Esteves</v>
      </c>
    </row>
    <row r="139" spans="9:20" x14ac:dyDescent="0.25">
      <c r="I139">
        <f t="shared" ca="1" si="0"/>
        <v>1</v>
      </c>
      <c r="J139">
        <f t="shared" ca="1" si="13"/>
        <v>1</v>
      </c>
      <c r="K139">
        <f t="shared" ca="1" si="14"/>
        <v>66</v>
      </c>
      <c r="L139">
        <f t="shared" ca="1" si="14"/>
        <v>56</v>
      </c>
      <c r="M139" t="s">
        <v>53</v>
      </c>
      <c r="N139" t="s">
        <v>79</v>
      </c>
      <c r="O139" t="s">
        <v>80</v>
      </c>
      <c r="P139" s="6" t="str" cm="1">
        <f t="array" aca="1" ref="P139" ca="1">INDEX($E$2:$E$98,K139)</f>
        <v>Campos</v>
      </c>
      <c r="Q139" s="6" t="str" cm="1">
        <f t="array" aca="1" ref="Q139" ca="1">INDEX($E$2:$E$98,L139)</f>
        <v>Batista</v>
      </c>
      <c r="S139" t="str">
        <f t="shared" si="15"/>
        <v>Masculino</v>
      </c>
      <c r="T139" t="str">
        <f t="shared" ca="1" si="12"/>
        <v>Bruno José Campos Batista</v>
      </c>
    </row>
    <row r="140" spans="9:20" x14ac:dyDescent="0.25">
      <c r="I140">
        <f t="shared" ca="1" si="0"/>
        <v>27</v>
      </c>
      <c r="J140">
        <f t="shared" ca="1" si="13"/>
        <v>7</v>
      </c>
      <c r="K140">
        <f t="shared" ca="1" si="14"/>
        <v>73</v>
      </c>
      <c r="L140">
        <f t="shared" ca="1" si="14"/>
        <v>24</v>
      </c>
      <c r="M140" t="s">
        <v>66</v>
      </c>
      <c r="N140" t="s">
        <v>67</v>
      </c>
      <c r="O140" t="s">
        <v>78</v>
      </c>
      <c r="P140" s="6" t="str" cm="1">
        <f t="array" aca="1" ref="P140" ca="1">INDEX($E$2:$E$98,K140)</f>
        <v>Abreu</v>
      </c>
      <c r="Q140" s="6" t="str" cm="1">
        <f t="array" aca="1" ref="Q140" ca="1">INDEX($E$2:$E$98,L140)</f>
        <v>Costa</v>
      </c>
      <c r="S140" t="str">
        <f t="shared" si="15"/>
        <v>Feminino</v>
      </c>
      <c r="T140" t="str">
        <f t="shared" ca="1" si="12"/>
        <v>Maria Tiago Abreu Costa</v>
      </c>
    </row>
    <row r="141" spans="9:20" x14ac:dyDescent="0.25">
      <c r="I141">
        <f t="shared" ca="1" si="0"/>
        <v>9</v>
      </c>
      <c r="J141">
        <f t="shared" ca="1" si="13"/>
        <v>26</v>
      </c>
      <c r="K141">
        <f t="shared" ca="1" si="14"/>
        <v>95</v>
      </c>
      <c r="L141">
        <f t="shared" ca="1" si="14"/>
        <v>5</v>
      </c>
      <c r="M141" t="s">
        <v>66</v>
      </c>
      <c r="N141" t="s">
        <v>72</v>
      </c>
      <c r="O141" t="s">
        <v>72</v>
      </c>
      <c r="P141" s="6" t="str" cm="1">
        <f t="array" aca="1" ref="P141" ca="1">INDEX($E$2:$E$98,K141)</f>
        <v>Matias</v>
      </c>
      <c r="Q141" s="6" t="str" cm="1">
        <f t="array" aca="1" ref="Q141" ca="1">INDEX($E$2:$E$98,L141)</f>
        <v>Almeida</v>
      </c>
      <c r="S141" t="str">
        <f t="shared" si="15"/>
        <v>Feminino</v>
      </c>
      <c r="T141" t="str">
        <f t="shared" ca="1" si="12"/>
        <v>Mariana Mariana Matias Almeida</v>
      </c>
    </row>
    <row r="142" spans="9:20" x14ac:dyDescent="0.25">
      <c r="I142">
        <f t="shared" ca="1" si="0"/>
        <v>14</v>
      </c>
      <c r="J142">
        <f t="shared" ca="1" si="13"/>
        <v>17</v>
      </c>
      <c r="K142">
        <f t="shared" ca="1" si="14"/>
        <v>11</v>
      </c>
      <c r="L142">
        <f t="shared" ca="1" si="14"/>
        <v>5</v>
      </c>
      <c r="M142" t="s">
        <v>66</v>
      </c>
      <c r="N142" t="s">
        <v>191</v>
      </c>
      <c r="O142" t="s">
        <v>56</v>
      </c>
      <c r="P142" s="6" t="str" cm="1">
        <f t="array" aca="1" ref="P142" ca="1">INDEX($E$2:$E$98,K142)</f>
        <v>Rocha</v>
      </c>
      <c r="Q142" s="6" t="str" cm="1">
        <f t="array" aca="1" ref="Q142" ca="1">INDEX($E$2:$E$98,L142)</f>
        <v>Almeida</v>
      </c>
      <c r="S142" t="str">
        <f t="shared" si="15"/>
        <v>Feminino</v>
      </c>
      <c r="T142" t="str">
        <f t="shared" ca="1" si="12"/>
        <v>Vera João Rocha Almeida</v>
      </c>
    </row>
    <row r="143" spans="9:20" x14ac:dyDescent="0.25">
      <c r="I143">
        <f t="shared" ca="1" si="0"/>
        <v>30</v>
      </c>
      <c r="J143">
        <f t="shared" ca="1" si="13"/>
        <v>29</v>
      </c>
      <c r="K143">
        <f t="shared" ca="1" si="14"/>
        <v>32</v>
      </c>
      <c r="L143">
        <f t="shared" ca="1" si="14"/>
        <v>92</v>
      </c>
      <c r="M143" t="s">
        <v>53</v>
      </c>
      <c r="N143" t="s">
        <v>57</v>
      </c>
      <c r="O143" t="s">
        <v>84</v>
      </c>
      <c r="P143" s="6" t="str" cm="1">
        <f t="array" aca="1" ref="P143" ca="1">INDEX($E$2:$E$98,K143)</f>
        <v>Mendes</v>
      </c>
      <c r="Q143" s="6" t="str" cm="1">
        <f t="array" aca="1" ref="Q143" ca="1">INDEX($E$2:$E$98,L143)</f>
        <v>Pacheco</v>
      </c>
      <c r="S143" t="str">
        <f t="shared" si="15"/>
        <v>Masculino</v>
      </c>
      <c r="T143" t="str">
        <f t="shared" ca="1" si="12"/>
        <v>Afonso Joana Mendes Pacheco</v>
      </c>
    </row>
    <row r="144" spans="9:20" x14ac:dyDescent="0.25">
      <c r="I144">
        <f t="shared" ca="1" si="0"/>
        <v>23</v>
      </c>
      <c r="J144">
        <f t="shared" ca="1" si="13"/>
        <v>25</v>
      </c>
      <c r="K144">
        <f t="shared" ca="1" si="14"/>
        <v>24</v>
      </c>
      <c r="L144">
        <f t="shared" ca="1" si="14"/>
        <v>3</v>
      </c>
      <c r="M144" t="s">
        <v>66</v>
      </c>
      <c r="N144" t="s">
        <v>85</v>
      </c>
      <c r="O144" t="s">
        <v>63</v>
      </c>
      <c r="P144" s="6" t="str" cm="1">
        <f t="array" aca="1" ref="P144" ca="1">INDEX($E$2:$E$98,K144)</f>
        <v>Costa</v>
      </c>
      <c r="Q144" s="6" t="str" cm="1">
        <f t="array" aca="1" ref="Q144" ca="1">INDEX($E$2:$E$98,L144)</f>
        <v>Marques</v>
      </c>
      <c r="S144" t="str">
        <f t="shared" si="15"/>
        <v>Feminino</v>
      </c>
      <c r="T144" t="str">
        <f t="shared" ca="1" si="12"/>
        <v>Catarina Gabriel Costa Marques</v>
      </c>
    </row>
    <row r="145" spans="9:20" x14ac:dyDescent="0.25">
      <c r="I145">
        <f t="shared" ca="1" si="0"/>
        <v>36</v>
      </c>
      <c r="J145">
        <f t="shared" ca="1" si="13"/>
        <v>20</v>
      </c>
      <c r="K145">
        <f t="shared" ca="1" si="14"/>
        <v>45</v>
      </c>
      <c r="L145">
        <f t="shared" ca="1" si="14"/>
        <v>69</v>
      </c>
      <c r="M145" t="s">
        <v>66</v>
      </c>
      <c r="N145" t="s">
        <v>67</v>
      </c>
      <c r="O145" t="s">
        <v>77</v>
      </c>
      <c r="P145" s="6" t="str" cm="1">
        <f t="array" aca="1" ref="P145" ca="1">INDEX($E$2:$E$98,K145)</f>
        <v>Barbosa</v>
      </c>
      <c r="Q145" s="6" t="str" cm="1">
        <f t="array" aca="1" ref="Q145" ca="1">INDEX($E$2:$E$98,L145)</f>
        <v>Brito</v>
      </c>
      <c r="S145" t="str">
        <f t="shared" si="15"/>
        <v>Feminino</v>
      </c>
      <c r="T145" t="str">
        <f t="shared" ca="1" si="12"/>
        <v>Maria Diogo Barbosa Brito</v>
      </c>
    </row>
    <row r="146" spans="9:20" x14ac:dyDescent="0.25">
      <c r="I146">
        <f t="shared" ca="1" si="0"/>
        <v>19</v>
      </c>
      <c r="J146">
        <f t="shared" ca="1" si="13"/>
        <v>5</v>
      </c>
      <c r="K146">
        <f t="shared" ca="1" si="14"/>
        <v>47</v>
      </c>
      <c r="L146">
        <f t="shared" ca="1" si="14"/>
        <v>1</v>
      </c>
      <c r="M146" t="s">
        <v>66</v>
      </c>
      <c r="N146" t="s">
        <v>70</v>
      </c>
      <c r="O146" t="s">
        <v>77</v>
      </c>
      <c r="P146" s="6" t="str" cm="1">
        <f t="array" aca="1" ref="P146" ca="1">INDEX($E$2:$E$98,K146)</f>
        <v>Lourenço</v>
      </c>
      <c r="Q146" s="6" t="str" cm="1">
        <f t="array" aca="1" ref="Q146" ca="1">INDEX($E$2:$E$98,L146)</f>
        <v>Gomes</v>
      </c>
      <c r="S146" t="str">
        <f t="shared" si="15"/>
        <v>Feminino</v>
      </c>
      <c r="T146" t="str">
        <f t="shared" ca="1" si="12"/>
        <v>Beatriz Diogo Lourenço Gomes</v>
      </c>
    </row>
    <row r="147" spans="9:20" x14ac:dyDescent="0.25">
      <c r="I147">
        <f t="shared" ca="1" si="0"/>
        <v>14</v>
      </c>
      <c r="J147">
        <f t="shared" ca="1" si="13"/>
        <v>1</v>
      </c>
      <c r="K147">
        <f t="shared" ca="1" si="14"/>
        <v>56</v>
      </c>
      <c r="L147">
        <f t="shared" ca="1" si="14"/>
        <v>66</v>
      </c>
      <c r="M147" t="s">
        <v>66</v>
      </c>
      <c r="N147" t="s">
        <v>70</v>
      </c>
      <c r="O147" t="s">
        <v>71</v>
      </c>
      <c r="P147" s="6" t="str" cm="1">
        <f t="array" aca="1" ref="P147" ca="1">INDEX($E$2:$E$98,K147)</f>
        <v>Batista</v>
      </c>
      <c r="Q147" s="6" t="str" cm="1">
        <f t="array" aca="1" ref="Q147" ca="1">INDEX($E$2:$E$98,L147)</f>
        <v>Campos</v>
      </c>
      <c r="S147" t="str">
        <f t="shared" si="15"/>
        <v>Feminino</v>
      </c>
      <c r="T147" t="str">
        <f t="shared" ca="1" si="12"/>
        <v>Beatriz Carolina Batista Campos</v>
      </c>
    </row>
    <row r="148" spans="9:20" x14ac:dyDescent="0.25">
      <c r="I148">
        <f t="shared" ca="1" si="0"/>
        <v>29</v>
      </c>
      <c r="J148">
        <f t="shared" ca="1" si="13"/>
        <v>10</v>
      </c>
      <c r="K148">
        <f t="shared" ca="1" si="14"/>
        <v>85</v>
      </c>
      <c r="L148">
        <f t="shared" ca="1" si="14"/>
        <v>37</v>
      </c>
      <c r="M148" t="s">
        <v>53</v>
      </c>
      <c r="N148" t="s">
        <v>56</v>
      </c>
      <c r="O148" t="s">
        <v>87</v>
      </c>
      <c r="P148" s="6" t="str" cm="1">
        <f t="array" aca="1" ref="P148" ca="1">INDEX($E$2:$E$98,K148)</f>
        <v>Garcia</v>
      </c>
      <c r="Q148" s="6" t="str" cm="1">
        <f t="array" aca="1" ref="Q148" ca="1">INDEX($E$2:$E$98,L148)</f>
        <v>Cardoso</v>
      </c>
      <c r="S148" t="str">
        <f t="shared" si="15"/>
        <v>Masculino</v>
      </c>
      <c r="T148" t="str">
        <f t="shared" ca="1" si="12"/>
        <v>João Daniela Garcia Cardoso</v>
      </c>
    </row>
    <row r="149" spans="9:20" x14ac:dyDescent="0.25">
      <c r="I149">
        <f t="shared" ca="1" si="0"/>
        <v>2</v>
      </c>
      <c r="J149">
        <f t="shared" ca="1" si="13"/>
        <v>13</v>
      </c>
      <c r="K149">
        <f t="shared" ca="1" si="14"/>
        <v>94</v>
      </c>
      <c r="L149">
        <f t="shared" ca="1" si="14"/>
        <v>68</v>
      </c>
      <c r="M149" t="s">
        <v>53</v>
      </c>
      <c r="N149" t="s">
        <v>58</v>
      </c>
      <c r="O149" t="s">
        <v>192</v>
      </c>
      <c r="P149" s="6" t="str" cm="1">
        <f t="array" aca="1" ref="P149" ca="1">INDEX($E$2:$E$98,K149)</f>
        <v>Paiva</v>
      </c>
      <c r="Q149" s="6" t="str" cm="1">
        <f t="array" aca="1" ref="Q149" ca="1">INDEX($E$2:$E$98,L149)</f>
        <v>Andrade</v>
      </c>
      <c r="S149" t="str">
        <f t="shared" si="15"/>
        <v>Masculino</v>
      </c>
      <c r="T149" t="str">
        <f t="shared" ca="1" si="12"/>
        <v>Rodrigo Lurdes Paiva Andrade</v>
      </c>
    </row>
    <row r="150" spans="9:20" x14ac:dyDescent="0.25">
      <c r="I150">
        <f t="shared" ref="I150" ca="1" si="16">RANDBETWEEN(1,37)</f>
        <v>4</v>
      </c>
      <c r="J150">
        <f t="shared" ca="1" si="13"/>
        <v>7</v>
      </c>
      <c r="K150">
        <f t="shared" ca="1" si="14"/>
        <v>14</v>
      </c>
      <c r="L150">
        <f t="shared" ca="1" si="14"/>
        <v>31</v>
      </c>
      <c r="M150" t="s">
        <v>53</v>
      </c>
      <c r="N150" t="s">
        <v>81</v>
      </c>
      <c r="O150" t="s">
        <v>77</v>
      </c>
      <c r="P150" s="6" t="str" cm="1">
        <f t="array" aca="1" ref="P150" ca="1">INDEX($E$2:$E$98,K150)</f>
        <v>Coelho</v>
      </c>
      <c r="Q150" s="6" t="str" cm="1">
        <f t="array" aca="1" ref="Q150" ca="1">INDEX($E$2:$E$98,L150)</f>
        <v>Correia</v>
      </c>
      <c r="S150" t="str">
        <f t="shared" si="15"/>
        <v>Masculino</v>
      </c>
      <c r="T150" t="str">
        <f t="shared" ca="1" si="12"/>
        <v>André Diogo Coelho Correia</v>
      </c>
    </row>
    <row r="151" spans="9:20" x14ac:dyDescent="0.25">
      <c r="I151">
        <f t="shared" ca="1" si="0"/>
        <v>18</v>
      </c>
      <c r="J151">
        <f t="shared" ca="1" si="13"/>
        <v>32</v>
      </c>
      <c r="K151">
        <f t="shared" ca="1" si="14"/>
        <v>31</v>
      </c>
      <c r="L151">
        <f t="shared" ca="1" si="14"/>
        <v>87</v>
      </c>
      <c r="M151" t="s">
        <v>66</v>
      </c>
      <c r="N151" t="s">
        <v>75</v>
      </c>
      <c r="O151" t="s">
        <v>62</v>
      </c>
      <c r="P151" s="6" t="str" cm="1">
        <f t="array" aca="1" ref="P151" ca="1">INDEX($E$2:$E$98,K151)</f>
        <v>Correia</v>
      </c>
      <c r="Q151" s="6" t="str" cm="1">
        <f t="array" aca="1" ref="Q151" ca="1">INDEX($E$2:$E$98,L151)</f>
        <v>Loureiro</v>
      </c>
      <c r="S151" t="str">
        <f t="shared" si="15"/>
        <v>Feminino</v>
      </c>
      <c r="T151" t="str">
        <f t="shared" ca="1" si="12"/>
        <v>Francisca Miguel Correia Loureiro</v>
      </c>
    </row>
    <row r="152" spans="9:20" x14ac:dyDescent="0.25">
      <c r="I152">
        <f t="shared" ca="1" si="0"/>
        <v>13</v>
      </c>
      <c r="J152">
        <f t="shared" ca="1" si="13"/>
        <v>34</v>
      </c>
      <c r="K152">
        <f t="shared" ca="1" si="14"/>
        <v>43</v>
      </c>
      <c r="L152">
        <f t="shared" ca="1" si="14"/>
        <v>38</v>
      </c>
      <c r="M152" t="s">
        <v>53</v>
      </c>
      <c r="N152" t="s">
        <v>55</v>
      </c>
      <c r="O152" t="s">
        <v>64</v>
      </c>
      <c r="P152" s="6" t="str" cm="1">
        <f t="array" aca="1" ref="P152" ca="1">INDEX($E$2:$E$98,K152)</f>
        <v>Machado</v>
      </c>
      <c r="Q152" s="6" t="str" cm="1">
        <f t="array" aca="1" ref="Q152" ca="1">INDEX($E$2:$E$98,L152)</f>
        <v>Reis</v>
      </c>
      <c r="S152" t="str">
        <f t="shared" si="15"/>
        <v>Masculino</v>
      </c>
      <c r="T152" t="str">
        <f t="shared" ca="1" si="12"/>
        <v>Francisco Pedro Machado Reis</v>
      </c>
    </row>
    <row r="153" spans="9:20" x14ac:dyDescent="0.25">
      <c r="I153">
        <f t="shared" ca="1" si="0"/>
        <v>33</v>
      </c>
      <c r="J153">
        <f t="shared" ca="1" si="13"/>
        <v>6</v>
      </c>
      <c r="K153">
        <f t="shared" ca="1" si="14"/>
        <v>72</v>
      </c>
      <c r="L153">
        <f t="shared" ca="1" si="14"/>
        <v>67</v>
      </c>
      <c r="M153" t="s">
        <v>53</v>
      </c>
      <c r="N153" t="s">
        <v>80</v>
      </c>
      <c r="O153" t="s">
        <v>55</v>
      </c>
      <c r="P153" s="6" t="str" cm="1">
        <f t="array" aca="1" ref="P153" ca="1">INDEX($E$2:$E$98,K153)</f>
        <v>Leite</v>
      </c>
      <c r="Q153" s="6" t="str" cm="1">
        <f t="array" aca="1" ref="Q153" ca="1">INDEX($E$2:$E$98,L153)</f>
        <v>Mota</v>
      </c>
      <c r="S153" t="str">
        <f t="shared" si="15"/>
        <v>Masculino</v>
      </c>
      <c r="T153" t="str">
        <f t="shared" ca="1" si="12"/>
        <v>José Francisco Leite Mota</v>
      </c>
    </row>
    <row r="154" spans="9:20" x14ac:dyDescent="0.25">
      <c r="I154">
        <f t="shared" ca="1" si="0"/>
        <v>9</v>
      </c>
      <c r="J154">
        <f t="shared" ca="1" si="13"/>
        <v>24</v>
      </c>
      <c r="K154">
        <f t="shared" ca="1" si="14"/>
        <v>62</v>
      </c>
      <c r="L154">
        <f t="shared" ca="1" si="14"/>
        <v>93</v>
      </c>
      <c r="M154" t="s">
        <v>53</v>
      </c>
      <c r="N154" t="s">
        <v>60</v>
      </c>
      <c r="O154" t="s">
        <v>59</v>
      </c>
      <c r="P154" s="6" t="str" cm="1">
        <f t="array" aca="1" ref="P154" ca="1">INDEX($E$2:$E$98,K154)</f>
        <v>Nogueira</v>
      </c>
      <c r="Q154" s="6" t="str" cm="1">
        <f t="array" aca="1" ref="Q154" ca="1">INDEX($E$2:$E$98,L154)</f>
        <v>Macedo</v>
      </c>
      <c r="S154" t="str">
        <f t="shared" si="15"/>
        <v>Masculino</v>
      </c>
      <c r="T154" t="str">
        <f t="shared" ca="1" si="12"/>
        <v>Tomás Martim Nogueira Macedo</v>
      </c>
    </row>
    <row r="155" spans="9:20" x14ac:dyDescent="0.25">
      <c r="I155">
        <f t="shared" ca="1" si="0"/>
        <v>1</v>
      </c>
      <c r="J155">
        <f t="shared" ca="1" si="13"/>
        <v>18</v>
      </c>
      <c r="K155">
        <f t="shared" ca="1" si="14"/>
        <v>20</v>
      </c>
      <c r="L155">
        <f t="shared" ca="1" si="14"/>
        <v>97</v>
      </c>
      <c r="M155" t="s">
        <v>53</v>
      </c>
      <c r="N155" t="s">
        <v>65</v>
      </c>
      <c r="O155" t="s">
        <v>67</v>
      </c>
      <c r="P155" s="6" t="str" cm="1">
        <f t="array" aca="1" ref="P155" ca="1">INDEX($E$2:$E$98,K155)</f>
        <v>Santos</v>
      </c>
      <c r="Q155" s="6" t="str" cm="1">
        <f t="array" aca="1" ref="Q155" ca="1">INDEX($E$2:$E$98,L155)</f>
        <v>Torres</v>
      </c>
      <c r="S155" t="str">
        <f t="shared" si="15"/>
        <v>Masculino</v>
      </c>
      <c r="T155" t="str">
        <f t="shared" ca="1" si="12"/>
        <v>Marco Maria Santos Torres</v>
      </c>
    </row>
    <row r="156" spans="9:20" x14ac:dyDescent="0.25">
      <c r="I156">
        <f t="shared" ca="1" si="0"/>
        <v>2</v>
      </c>
      <c r="J156">
        <f t="shared" ca="1" si="13"/>
        <v>29</v>
      </c>
      <c r="K156">
        <f t="shared" ca="1" si="14"/>
        <v>32</v>
      </c>
      <c r="L156">
        <f t="shared" ca="1" si="14"/>
        <v>2</v>
      </c>
      <c r="M156" t="s">
        <v>53</v>
      </c>
      <c r="N156" t="s">
        <v>65</v>
      </c>
      <c r="O156" t="s">
        <v>63</v>
      </c>
      <c r="P156" s="6" t="str" cm="1">
        <f t="array" aca="1" ref="P156" ca="1">INDEX($E$2:$E$98,K156)</f>
        <v>Mendes</v>
      </c>
      <c r="Q156" s="6" t="str" cm="1">
        <f t="array" aca="1" ref="Q156" ca="1">INDEX($E$2:$E$98,L156)</f>
        <v>Lopes</v>
      </c>
      <c r="S156" t="str">
        <f t="shared" si="15"/>
        <v>Masculino</v>
      </c>
      <c r="T156" t="str">
        <f t="shared" ca="1" si="12"/>
        <v>Marco Gabriel Mendes Lopes</v>
      </c>
    </row>
    <row r="157" spans="9:20" x14ac:dyDescent="0.25">
      <c r="I157">
        <f t="shared" ca="1" si="0"/>
        <v>15</v>
      </c>
      <c r="J157">
        <f t="shared" ca="1" si="13"/>
        <v>26</v>
      </c>
      <c r="K157">
        <f t="shared" ca="1" si="14"/>
        <v>9</v>
      </c>
      <c r="L157">
        <f t="shared" ca="1" si="14"/>
        <v>89</v>
      </c>
      <c r="M157" t="s">
        <v>53</v>
      </c>
      <c r="N157" t="s">
        <v>58</v>
      </c>
      <c r="O157" t="s">
        <v>64</v>
      </c>
      <c r="P157" s="6" t="str" cm="1">
        <f t="array" aca="1" ref="P157" ca="1">INDEX($E$2:$E$98,K157)</f>
        <v>Teixeira</v>
      </c>
      <c r="Q157" s="6" t="str" cm="1">
        <f t="array" aca="1" ref="Q157" ca="1">INDEX($E$2:$E$98,L157)</f>
        <v>Amaral</v>
      </c>
      <c r="S157" t="str">
        <f t="shared" si="15"/>
        <v>Masculino</v>
      </c>
      <c r="T157" t="str">
        <f t="shared" ca="1" si="12"/>
        <v>Rodrigo Pedro Teixeira Amaral</v>
      </c>
    </row>
    <row r="158" spans="9:20" x14ac:dyDescent="0.25">
      <c r="I158">
        <f t="shared" ca="1" si="0"/>
        <v>3</v>
      </c>
      <c r="J158">
        <f t="shared" ca="1" si="13"/>
        <v>23</v>
      </c>
      <c r="K158">
        <f t="shared" ca="1" si="14"/>
        <v>65</v>
      </c>
      <c r="L158">
        <f t="shared" ca="1" si="14"/>
        <v>72</v>
      </c>
      <c r="M158" t="s">
        <v>53</v>
      </c>
      <c r="N158" t="s">
        <v>63</v>
      </c>
      <c r="O158" t="s">
        <v>56</v>
      </c>
      <c r="P158" s="6" t="str" cm="1">
        <f t="array" aca="1" ref="P158" ca="1">INDEX($E$2:$E$98,K158)</f>
        <v>Baptista</v>
      </c>
      <c r="Q158" s="6" t="str" cm="1">
        <f t="array" aca="1" ref="Q158" ca="1">INDEX($E$2:$E$98,L158)</f>
        <v>Leite</v>
      </c>
      <c r="S158" t="str">
        <f t="shared" si="15"/>
        <v>Masculino</v>
      </c>
      <c r="T158" t="str">
        <f t="shared" ca="1" si="12"/>
        <v>Gabriel João Baptista Leite</v>
      </c>
    </row>
    <row r="159" spans="9:20" x14ac:dyDescent="0.25">
      <c r="I159">
        <f t="shared" ca="1" si="0"/>
        <v>36</v>
      </c>
      <c r="J159">
        <f t="shared" ca="1" si="13"/>
        <v>15</v>
      </c>
      <c r="K159">
        <f t="shared" ca="1" si="14"/>
        <v>94</v>
      </c>
      <c r="L159">
        <f t="shared" ca="1" si="14"/>
        <v>49</v>
      </c>
      <c r="M159" t="s">
        <v>66</v>
      </c>
      <c r="N159" t="s">
        <v>87</v>
      </c>
      <c r="O159" t="s">
        <v>72</v>
      </c>
      <c r="P159" s="6" t="str" cm="1">
        <f t="array" aca="1" ref="P159" ca="1">INDEX($E$2:$E$98,K159)</f>
        <v>Paiva</v>
      </c>
      <c r="Q159" s="6" t="str" cm="1">
        <f t="array" aca="1" ref="Q159" ca="1">INDEX($E$2:$E$98,L159)</f>
        <v>Figueiredo</v>
      </c>
      <c r="S159" t="str">
        <f t="shared" si="15"/>
        <v>Feminino</v>
      </c>
      <c r="T159" t="str">
        <f t="shared" ca="1" si="12"/>
        <v>Daniela Mariana Paiva Figueiredo</v>
      </c>
    </row>
    <row r="160" spans="9:20" x14ac:dyDescent="0.25">
      <c r="I160">
        <f t="shared" ca="1" si="0"/>
        <v>17</v>
      </c>
      <c r="J160">
        <f t="shared" ca="1" si="13"/>
        <v>9</v>
      </c>
      <c r="K160">
        <f t="shared" ca="1" si="14"/>
        <v>89</v>
      </c>
      <c r="L160">
        <f t="shared" ca="1" si="14"/>
        <v>73</v>
      </c>
      <c r="M160" t="s">
        <v>53</v>
      </c>
      <c r="N160" t="s">
        <v>79</v>
      </c>
      <c r="O160" t="s">
        <v>85</v>
      </c>
      <c r="P160" s="6" t="str" cm="1">
        <f t="array" aca="1" ref="P160" ca="1">INDEX($E$2:$E$98,K160)</f>
        <v>Amaral</v>
      </c>
      <c r="Q160" s="6" t="str" cm="1">
        <f t="array" aca="1" ref="Q160" ca="1">INDEX($E$2:$E$98,L160)</f>
        <v>Abreu</v>
      </c>
      <c r="S160" t="str">
        <f t="shared" si="15"/>
        <v>Masculino</v>
      </c>
      <c r="T160" t="str">
        <f t="shared" ca="1" si="12"/>
        <v>Bruno Catarina Amaral Abreu</v>
      </c>
    </row>
    <row r="161" spans="9:20" x14ac:dyDescent="0.25">
      <c r="I161">
        <f t="shared" ca="1" si="0"/>
        <v>1</v>
      </c>
      <c r="J161">
        <f t="shared" ca="1" si="13"/>
        <v>22</v>
      </c>
      <c r="K161">
        <f t="shared" ca="1" si="14"/>
        <v>77</v>
      </c>
      <c r="L161">
        <f t="shared" ca="1" si="14"/>
        <v>86</v>
      </c>
      <c r="M161" t="s">
        <v>66</v>
      </c>
      <c r="N161" t="s">
        <v>74</v>
      </c>
      <c r="O161" t="s">
        <v>76</v>
      </c>
      <c r="P161" s="6" t="str" cm="1">
        <f t="array" aca="1" ref="P161" ca="1">INDEX($E$2:$E$98,K161)</f>
        <v>Pinho</v>
      </c>
      <c r="Q161" s="6" t="str" cm="1">
        <f t="array" aca="1" ref="Q161" ca="1">INDEX($E$2:$E$98,L161)</f>
        <v>Carneiro</v>
      </c>
      <c r="S161" t="str">
        <f t="shared" si="15"/>
        <v>Feminino</v>
      </c>
      <c r="T161" t="str">
        <f t="shared" ca="1" si="12"/>
        <v>Sofia Inês Pinho Carneiro</v>
      </c>
    </row>
    <row r="162" spans="9:20" x14ac:dyDescent="0.25">
      <c r="I162">
        <f t="shared" ca="1" si="0"/>
        <v>12</v>
      </c>
      <c r="J162">
        <f t="shared" ca="1" si="13"/>
        <v>26</v>
      </c>
      <c r="K162">
        <f t="shared" ca="1" si="14"/>
        <v>92</v>
      </c>
      <c r="L162">
        <f t="shared" ca="1" si="14"/>
        <v>96</v>
      </c>
      <c r="M162" t="s">
        <v>53</v>
      </c>
      <c r="N162" t="s">
        <v>59</v>
      </c>
      <c r="O162" t="s">
        <v>59</v>
      </c>
      <c r="P162" s="6" t="str" cm="1">
        <f t="array" aca="1" ref="P162" ca="1">INDEX($E$2:$E$98,K162)</f>
        <v>Pacheco</v>
      </c>
      <c r="Q162" s="6" t="str" cm="1">
        <f t="array" aca="1" ref="Q162" ca="1">INDEX($E$2:$E$98,L162)</f>
        <v>Amorim</v>
      </c>
      <c r="S162" t="str">
        <f t="shared" si="15"/>
        <v>Masculino</v>
      </c>
      <c r="T162" t="str">
        <f t="shared" ca="1" si="12"/>
        <v>Martim Martim Pacheco Amorim</v>
      </c>
    </row>
    <row r="163" spans="9:20" x14ac:dyDescent="0.25">
      <c r="I163">
        <f t="shared" ca="1" si="0"/>
        <v>31</v>
      </c>
      <c r="J163">
        <f t="shared" ca="1" si="13"/>
        <v>29</v>
      </c>
      <c r="K163">
        <f t="shared" ca="1" si="14"/>
        <v>55</v>
      </c>
      <c r="L163">
        <f t="shared" ca="1" si="14"/>
        <v>27</v>
      </c>
      <c r="M163" t="s">
        <v>53</v>
      </c>
      <c r="N163" t="s">
        <v>55</v>
      </c>
      <c r="O163" t="s">
        <v>82</v>
      </c>
      <c r="P163" s="6" t="str" cm="1">
        <f t="array" aca="1" ref="P163" ca="1">INDEX($E$2:$E$98,K163)</f>
        <v>Guerreiro</v>
      </c>
      <c r="Q163" s="6" t="str" cm="1">
        <f t="array" aca="1" ref="Q163" ca="1">INDEX($E$2:$E$98,L163)</f>
        <v>Jesus</v>
      </c>
      <c r="S163" t="str">
        <f t="shared" si="15"/>
        <v>Masculino</v>
      </c>
      <c r="T163" t="str">
        <f t="shared" ca="1" si="12"/>
        <v>Francisco Ricardo Guerreiro Jesus</v>
      </c>
    </row>
    <row r="164" spans="9:20" x14ac:dyDescent="0.25">
      <c r="I164">
        <f t="shared" ca="1" si="0"/>
        <v>14</v>
      </c>
      <c r="J164">
        <f t="shared" ca="1" si="13"/>
        <v>4</v>
      </c>
      <c r="K164">
        <f t="shared" ca="1" si="14"/>
        <v>49</v>
      </c>
      <c r="L164">
        <f t="shared" ca="1" si="14"/>
        <v>55</v>
      </c>
      <c r="M164" t="s">
        <v>66</v>
      </c>
      <c r="N164" t="s">
        <v>71</v>
      </c>
      <c r="O164" t="s">
        <v>61</v>
      </c>
      <c r="P164" s="6" t="str" cm="1">
        <f t="array" aca="1" ref="P164" ca="1">INDEX($E$2:$E$98,K164)</f>
        <v>Figueiredo</v>
      </c>
      <c r="Q164" s="6" t="str" cm="1">
        <f t="array" aca="1" ref="Q164" ca="1">INDEX($E$2:$E$98,L164)</f>
        <v>Guerreiro</v>
      </c>
      <c r="S164" t="str">
        <f t="shared" si="15"/>
        <v>Feminino</v>
      </c>
      <c r="T164" t="str">
        <f t="shared" ca="1" si="12"/>
        <v>Carolina Duarte Figueiredo Guerreiro</v>
      </c>
    </row>
    <row r="165" spans="9:20" x14ac:dyDescent="0.25">
      <c r="I165">
        <f t="shared" ca="1" si="0"/>
        <v>25</v>
      </c>
      <c r="J165">
        <f t="shared" ca="1" si="13"/>
        <v>34</v>
      </c>
      <c r="K165">
        <f t="shared" ca="1" si="14"/>
        <v>74</v>
      </c>
      <c r="L165">
        <f t="shared" ca="1" si="14"/>
        <v>88</v>
      </c>
      <c r="M165" t="s">
        <v>66</v>
      </c>
      <c r="N165" t="s">
        <v>192</v>
      </c>
      <c r="O165" t="s">
        <v>70</v>
      </c>
      <c r="P165" s="6" t="str" cm="1">
        <f t="array" aca="1" ref="P165" ca="1">INDEX($E$2:$E$98,K165)</f>
        <v>Borges</v>
      </c>
      <c r="Q165" s="6" t="str" cm="1">
        <f t="array" aca="1" ref="Q165" ca="1">INDEX($E$2:$E$98,L165)</f>
        <v>Neto</v>
      </c>
      <c r="S165" t="str">
        <f t="shared" si="15"/>
        <v>Feminino</v>
      </c>
      <c r="T165" t="str">
        <f t="shared" ca="1" si="12"/>
        <v>Lurdes Beatriz Borges Neto</v>
      </c>
    </row>
    <row r="166" spans="9:20" x14ac:dyDescent="0.25">
      <c r="I166">
        <f t="shared" ca="1" si="0"/>
        <v>1</v>
      </c>
      <c r="J166">
        <f t="shared" ca="1" si="13"/>
        <v>1</v>
      </c>
      <c r="K166">
        <f t="shared" ca="1" si="14"/>
        <v>10</v>
      </c>
      <c r="L166">
        <f t="shared" ca="1" si="14"/>
        <v>44</v>
      </c>
      <c r="M166" t="s">
        <v>66</v>
      </c>
      <c r="N166" t="s">
        <v>75</v>
      </c>
      <c r="O166" t="s">
        <v>84</v>
      </c>
      <c r="P166" s="6" t="str" cm="1">
        <f t="array" aca="1" ref="P166" ca="1">INDEX($E$2:$E$98,K166)</f>
        <v>Moreira</v>
      </c>
      <c r="Q166" s="6" t="str" cm="1">
        <f t="array" aca="1" ref="Q166" ca="1">INDEX($E$2:$E$98,L166)</f>
        <v>Araújo</v>
      </c>
      <c r="S166" t="str">
        <f t="shared" si="15"/>
        <v>Feminino</v>
      </c>
      <c r="T166" t="str">
        <f t="shared" ca="1" si="12"/>
        <v>Francisca Joana Moreira Araújo</v>
      </c>
    </row>
    <row r="167" spans="9:20" x14ac:dyDescent="0.25">
      <c r="I167">
        <f t="shared" ca="1" si="0"/>
        <v>16</v>
      </c>
      <c r="J167">
        <f t="shared" ca="1" si="13"/>
        <v>18</v>
      </c>
      <c r="K167">
        <f t="shared" ca="1" si="14"/>
        <v>34</v>
      </c>
      <c r="L167">
        <f t="shared" ca="1" si="14"/>
        <v>12</v>
      </c>
      <c r="M167" t="s">
        <v>66</v>
      </c>
      <c r="N167" t="s">
        <v>72</v>
      </c>
      <c r="O167" t="s">
        <v>57</v>
      </c>
      <c r="P167" s="6" t="str" cm="1">
        <f t="array" aca="1" ref="P167" ca="1">INDEX($E$2:$E$98,K167)</f>
        <v>Soares</v>
      </c>
      <c r="Q167" s="6" t="str" cm="1">
        <f t="array" aca="1" ref="Q167" ca="1">INDEX($E$2:$E$98,L167)</f>
        <v>Raposo</v>
      </c>
      <c r="S167" t="str">
        <f t="shared" si="15"/>
        <v>Feminino</v>
      </c>
      <c r="T167" t="str">
        <f t="shared" ca="1" si="12"/>
        <v>Mariana Afonso Soares Raposo</v>
      </c>
    </row>
    <row r="168" spans="9:20" x14ac:dyDescent="0.25">
      <c r="I168">
        <f t="shared" ca="1" si="0"/>
        <v>25</v>
      </c>
      <c r="J168">
        <f t="shared" ca="1" si="13"/>
        <v>13</v>
      </c>
      <c r="K168">
        <f t="shared" ca="1" si="14"/>
        <v>57</v>
      </c>
      <c r="L168">
        <f t="shared" ca="1" si="14"/>
        <v>23</v>
      </c>
      <c r="M168" t="s">
        <v>66</v>
      </c>
      <c r="N168" t="s">
        <v>191</v>
      </c>
      <c r="O168" t="s">
        <v>69</v>
      </c>
      <c r="P168" s="6" t="str" cm="1">
        <f t="array" aca="1" ref="P168" ca="1">INDEX($E$2:$E$98,K168)</f>
        <v>Pinheiro</v>
      </c>
      <c r="Q168" s="6" t="str" cm="1">
        <f t="array" aca="1" ref="Q168" ca="1">INDEX($E$2:$E$98,L168)</f>
        <v>Oliveira</v>
      </c>
      <c r="S168" t="str">
        <f t="shared" si="15"/>
        <v>Feminino</v>
      </c>
      <c r="T168" t="str">
        <f t="shared" ca="1" si="12"/>
        <v>Vera Matilde Pinheiro Oliveira</v>
      </c>
    </row>
    <row r="169" spans="9:20" x14ac:dyDescent="0.25">
      <c r="I169">
        <f t="shared" ca="1" si="0"/>
        <v>22</v>
      </c>
      <c r="J169">
        <f t="shared" ca="1" si="13"/>
        <v>29</v>
      </c>
      <c r="K169">
        <f t="shared" ca="1" si="14"/>
        <v>9</v>
      </c>
      <c r="L169">
        <f t="shared" ca="1" si="14"/>
        <v>30</v>
      </c>
      <c r="M169" t="s">
        <v>53</v>
      </c>
      <c r="N169" t="s">
        <v>83</v>
      </c>
      <c r="O169" t="s">
        <v>62</v>
      </c>
      <c r="P169" s="6" t="str" cm="1">
        <f t="array" aca="1" ref="P169" ca="1">INDEX($E$2:$E$98,K169)</f>
        <v>Teixeira</v>
      </c>
      <c r="Q169" s="6" t="str" cm="1">
        <f t="array" aca="1" ref="Q169" ca="1">INDEX($E$2:$E$98,L169)</f>
        <v>Gonçalves</v>
      </c>
      <c r="S169" t="str">
        <f t="shared" si="15"/>
        <v>Masculino</v>
      </c>
      <c r="T169" t="str">
        <f t="shared" ca="1" si="12"/>
        <v>Luís Miguel Teixeira Gonçalves</v>
      </c>
    </row>
    <row r="170" spans="9:20" x14ac:dyDescent="0.25">
      <c r="I170">
        <f t="shared" ca="1" si="0"/>
        <v>20</v>
      </c>
      <c r="J170">
        <f t="shared" ca="1" si="13"/>
        <v>24</v>
      </c>
      <c r="K170">
        <f t="shared" ca="1" si="14"/>
        <v>58</v>
      </c>
      <c r="L170">
        <f t="shared" ca="1" si="14"/>
        <v>91</v>
      </c>
      <c r="M170" t="s">
        <v>53</v>
      </c>
      <c r="N170" t="s">
        <v>78</v>
      </c>
      <c r="O170" t="s">
        <v>85</v>
      </c>
      <c r="P170" s="6" t="str" cm="1">
        <f t="array" aca="1" ref="P170" ca="1">INDEX($E$2:$E$98,K170)</f>
        <v>Faria</v>
      </c>
      <c r="Q170" s="6" t="str" cm="1">
        <f t="array" aca="1" ref="Q170" ca="1">INDEX($E$2:$E$98,L170)</f>
        <v>Leal</v>
      </c>
      <c r="S170" t="str">
        <f t="shared" si="15"/>
        <v>Masculino</v>
      </c>
      <c r="T170" t="str">
        <f t="shared" ca="1" si="12"/>
        <v>Tiago Catarina Faria Leal</v>
      </c>
    </row>
    <row r="171" spans="9:20" x14ac:dyDescent="0.25">
      <c r="I171">
        <f t="shared" ca="1" si="0"/>
        <v>34</v>
      </c>
      <c r="J171">
        <f t="shared" ca="1" si="13"/>
        <v>14</v>
      </c>
      <c r="K171">
        <f t="shared" ca="1" si="14"/>
        <v>83</v>
      </c>
      <c r="L171">
        <f t="shared" ca="1" si="14"/>
        <v>83</v>
      </c>
      <c r="M171" t="s">
        <v>53</v>
      </c>
      <c r="N171" t="s">
        <v>57</v>
      </c>
      <c r="O171" t="s">
        <v>73</v>
      </c>
      <c r="P171" s="6" t="str" cm="1">
        <f t="array" aca="1" ref="P171" ca="1">INDEX($E$2:$E$98,K171)</f>
        <v>Valente</v>
      </c>
      <c r="Q171" s="6" t="str" cm="1">
        <f t="array" aca="1" ref="Q171" ca="1">INDEX($E$2:$E$98,L171)</f>
        <v>Valente</v>
      </c>
      <c r="S171" t="str">
        <f t="shared" si="15"/>
        <v>Masculino</v>
      </c>
      <c r="T171" t="str">
        <f t="shared" ca="1" si="12"/>
        <v>Afonso Ana Valente Valente</v>
      </c>
    </row>
    <row r="172" spans="9:20" x14ac:dyDescent="0.25">
      <c r="I172">
        <f t="shared" ca="1" si="0"/>
        <v>29</v>
      </c>
      <c r="J172">
        <f t="shared" ca="1" si="13"/>
        <v>14</v>
      </c>
      <c r="K172">
        <f t="shared" ca="1" si="14"/>
        <v>43</v>
      </c>
      <c r="L172">
        <f t="shared" ca="1" si="14"/>
        <v>80</v>
      </c>
      <c r="M172" t="s">
        <v>66</v>
      </c>
      <c r="N172" t="s">
        <v>87</v>
      </c>
      <c r="O172" t="s">
        <v>81</v>
      </c>
      <c r="P172" s="6" t="str" cm="1">
        <f t="array" aca="1" ref="P172" ca="1">INDEX($E$2:$E$98,K172)</f>
        <v>Machado</v>
      </c>
      <c r="Q172" s="6" t="str" cm="1">
        <f t="array" aca="1" ref="Q172" ca="1">INDEX($E$2:$E$98,L172)</f>
        <v>Assunção</v>
      </c>
      <c r="S172" t="str">
        <f t="shared" si="15"/>
        <v>Feminino</v>
      </c>
      <c r="T172" t="str">
        <f t="shared" ca="1" si="12"/>
        <v>Daniela André Machado Assunção</v>
      </c>
    </row>
    <row r="173" spans="9:20" x14ac:dyDescent="0.25">
      <c r="I173">
        <f t="shared" ca="1" si="0"/>
        <v>9</v>
      </c>
      <c r="J173">
        <f t="shared" ca="1" si="13"/>
        <v>32</v>
      </c>
      <c r="K173">
        <f t="shared" ca="1" si="14"/>
        <v>56</v>
      </c>
      <c r="L173">
        <f t="shared" ca="1" si="14"/>
        <v>63</v>
      </c>
      <c r="M173" t="s">
        <v>66</v>
      </c>
      <c r="N173" t="s">
        <v>70</v>
      </c>
      <c r="O173" t="s">
        <v>62</v>
      </c>
      <c r="P173" s="6" t="str" cm="1">
        <f t="array" aca="1" ref="P173" ca="1">INDEX($E$2:$E$98,K173)</f>
        <v>Batista</v>
      </c>
      <c r="Q173" s="6" t="str" cm="1">
        <f t="array" aca="1" ref="Q173" ca="1">INDEX($E$2:$E$98,L173)</f>
        <v>Esteves</v>
      </c>
      <c r="S173" t="str">
        <f t="shared" si="15"/>
        <v>Feminino</v>
      </c>
      <c r="T173" t="str">
        <f t="shared" ca="1" si="12"/>
        <v>Beatriz Miguel Batista Esteves</v>
      </c>
    </row>
    <row r="174" spans="9:20" x14ac:dyDescent="0.25">
      <c r="I174">
        <f t="shared" ca="1" si="0"/>
        <v>27</v>
      </c>
      <c r="J174">
        <f t="shared" ca="1" si="13"/>
        <v>22</v>
      </c>
      <c r="K174">
        <f t="shared" ca="1" si="14"/>
        <v>73</v>
      </c>
      <c r="L174">
        <f t="shared" ca="1" si="14"/>
        <v>2</v>
      </c>
      <c r="M174" t="s">
        <v>66</v>
      </c>
      <c r="N174" t="s">
        <v>67</v>
      </c>
      <c r="O174" t="s">
        <v>55</v>
      </c>
      <c r="P174" s="6" t="str" cm="1">
        <f t="array" aca="1" ref="P174" ca="1">INDEX($E$2:$E$98,K174)</f>
        <v>Abreu</v>
      </c>
      <c r="Q174" s="6" t="str" cm="1">
        <f t="array" aca="1" ref="Q174" ca="1">INDEX($E$2:$E$98,L174)</f>
        <v>Lopes</v>
      </c>
      <c r="S174" t="str">
        <f t="shared" si="15"/>
        <v>Feminino</v>
      </c>
      <c r="T174" t="str">
        <f t="shared" ca="1" si="12"/>
        <v>Maria Francisco Abreu Lopes</v>
      </c>
    </row>
    <row r="175" spans="9:20" x14ac:dyDescent="0.25">
      <c r="I175">
        <f t="shared" ca="1" si="0"/>
        <v>30</v>
      </c>
      <c r="J175">
        <f t="shared" ca="1" si="13"/>
        <v>27</v>
      </c>
      <c r="K175">
        <f t="shared" ca="1" si="14"/>
        <v>42</v>
      </c>
      <c r="L175">
        <f t="shared" ca="1" si="14"/>
        <v>19</v>
      </c>
      <c r="M175" t="s">
        <v>66</v>
      </c>
      <c r="N175" t="s">
        <v>192</v>
      </c>
      <c r="O175" t="s">
        <v>72</v>
      </c>
      <c r="P175" s="6" t="str" cm="1">
        <f t="array" aca="1" ref="P175" ca="1">INDEX($E$2:$E$98,K175)</f>
        <v>Fonseca</v>
      </c>
      <c r="Q175" s="6" t="str" cm="1">
        <f t="array" aca="1" ref="Q175" ca="1">INDEX($E$2:$E$98,L175)</f>
        <v>Silva</v>
      </c>
      <c r="S175" t="str">
        <f t="shared" si="15"/>
        <v>Feminino</v>
      </c>
      <c r="T175" t="str">
        <f t="shared" ca="1" si="12"/>
        <v>Lurdes Mariana Fonseca Silva</v>
      </c>
    </row>
    <row r="176" spans="9:20" x14ac:dyDescent="0.25">
      <c r="I176">
        <f t="shared" ca="1" si="0"/>
        <v>2</v>
      </c>
      <c r="J176">
        <f t="shared" ca="1" si="13"/>
        <v>13</v>
      </c>
      <c r="K176">
        <f t="shared" ca="1" si="14"/>
        <v>36</v>
      </c>
      <c r="L176">
        <f t="shared" ca="1" si="14"/>
        <v>35</v>
      </c>
      <c r="M176" t="s">
        <v>53</v>
      </c>
      <c r="N176" t="s">
        <v>77</v>
      </c>
      <c r="O176" t="s">
        <v>79</v>
      </c>
      <c r="P176" s="6" t="str" cm="1">
        <f t="array" aca="1" ref="P176" ca="1">INDEX($E$2:$E$98,K176)</f>
        <v>Monteiro</v>
      </c>
      <c r="Q176" s="6" t="str" cm="1">
        <f t="array" aca="1" ref="Q176" ca="1">INDEX($E$2:$E$98,L176)</f>
        <v>Vieira</v>
      </c>
      <c r="S176" t="str">
        <f t="shared" si="15"/>
        <v>Masculino</v>
      </c>
      <c r="T176" t="str">
        <f t="shared" ca="1" si="12"/>
        <v>Diogo Bruno Monteiro Vieira</v>
      </c>
    </row>
    <row r="177" spans="9:20" x14ac:dyDescent="0.25">
      <c r="I177">
        <f t="shared" ca="1" si="0"/>
        <v>14</v>
      </c>
      <c r="J177">
        <f t="shared" ca="1" si="13"/>
        <v>13</v>
      </c>
      <c r="K177">
        <f t="shared" ca="1" si="14"/>
        <v>31</v>
      </c>
      <c r="L177">
        <f t="shared" ca="1" si="14"/>
        <v>96</v>
      </c>
      <c r="M177" t="s">
        <v>53</v>
      </c>
      <c r="N177" t="s">
        <v>79</v>
      </c>
      <c r="O177" t="s">
        <v>82</v>
      </c>
      <c r="P177" s="6" t="str" cm="1">
        <f t="array" aca="1" ref="P177" ca="1">INDEX($E$2:$E$98,K177)</f>
        <v>Correia</v>
      </c>
      <c r="Q177" s="6" t="str" cm="1">
        <f t="array" aca="1" ref="Q177" ca="1">INDEX($E$2:$E$98,L177)</f>
        <v>Amorim</v>
      </c>
      <c r="S177" t="str">
        <f t="shared" si="15"/>
        <v>Masculino</v>
      </c>
      <c r="T177" t="str">
        <f t="shared" ca="1" si="12"/>
        <v>Bruno Ricardo Correia Amorim</v>
      </c>
    </row>
    <row r="178" spans="9:20" x14ac:dyDescent="0.25">
      <c r="I178">
        <f t="shared" ca="1" si="0"/>
        <v>36</v>
      </c>
      <c r="J178">
        <f t="shared" ca="1" si="13"/>
        <v>4</v>
      </c>
      <c r="K178">
        <f t="shared" ca="1" si="14"/>
        <v>11</v>
      </c>
      <c r="L178">
        <f t="shared" ca="1" si="14"/>
        <v>29</v>
      </c>
      <c r="M178" t="s">
        <v>53</v>
      </c>
      <c r="N178" t="s">
        <v>55</v>
      </c>
      <c r="O178" t="s">
        <v>58</v>
      </c>
      <c r="P178" s="6" t="str" cm="1">
        <f t="array" aca="1" ref="P178" ca="1">INDEX($E$2:$E$98,K178)</f>
        <v>Rocha</v>
      </c>
      <c r="Q178" s="6" t="str" cm="1">
        <f t="array" aca="1" ref="Q178" ca="1">INDEX($E$2:$E$98,L178)</f>
        <v>Fernandes</v>
      </c>
      <c r="S178" t="str">
        <f t="shared" si="15"/>
        <v>Masculino</v>
      </c>
      <c r="T178" t="str">
        <f t="shared" ca="1" si="12"/>
        <v>Francisco Rodrigo Rocha Fernandes</v>
      </c>
    </row>
    <row r="179" spans="9:20" x14ac:dyDescent="0.25">
      <c r="I179">
        <f t="shared" ca="1" si="0"/>
        <v>33</v>
      </c>
      <c r="J179">
        <f t="shared" ca="1" si="13"/>
        <v>35</v>
      </c>
      <c r="K179">
        <f t="shared" ca="1" si="14"/>
        <v>61</v>
      </c>
      <c r="L179">
        <f t="shared" ca="1" si="14"/>
        <v>41</v>
      </c>
      <c r="M179" t="s">
        <v>66</v>
      </c>
      <c r="N179" t="s">
        <v>74</v>
      </c>
      <c r="O179" t="s">
        <v>70</v>
      </c>
      <c r="P179" s="6" t="str" cm="1">
        <f t="array" aca="1" ref="P179" ca="1">INDEX($E$2:$E$98,K179)</f>
        <v>Morais</v>
      </c>
      <c r="Q179" s="6" t="str" cm="1">
        <f t="array" aca="1" ref="Q179" ca="1">INDEX($E$2:$E$98,L179)</f>
        <v>Matos</v>
      </c>
      <c r="S179" t="str">
        <f t="shared" si="15"/>
        <v>Feminino</v>
      </c>
      <c r="T179" t="str">
        <f t="shared" ca="1" si="12"/>
        <v>Sofia Beatriz Morais Matos</v>
      </c>
    </row>
    <row r="180" spans="9:20" x14ac:dyDescent="0.25">
      <c r="I180">
        <f t="shared" ca="1" si="0"/>
        <v>17</v>
      </c>
      <c r="J180">
        <f t="shared" ca="1" si="13"/>
        <v>37</v>
      </c>
      <c r="K180">
        <f t="shared" ca="1" si="14"/>
        <v>80</v>
      </c>
      <c r="L180">
        <f t="shared" ca="1" si="14"/>
        <v>73</v>
      </c>
      <c r="M180" t="s">
        <v>53</v>
      </c>
      <c r="N180" t="s">
        <v>54</v>
      </c>
      <c r="O180" t="s">
        <v>84</v>
      </c>
      <c r="P180" s="6" t="str" cm="1">
        <f t="array" aca="1" ref="P180" ca="1">INDEX($E$2:$E$98,K180)</f>
        <v>Assunção</v>
      </c>
      <c r="Q180" s="6" t="str" cm="1">
        <f t="array" aca="1" ref="Q180" ca="1">INDEX($E$2:$E$98,L180)</f>
        <v>Abreu</v>
      </c>
      <c r="S180" t="str">
        <f t="shared" si="15"/>
        <v>Masculino</v>
      </c>
      <c r="T180" t="str">
        <f t="shared" ca="1" si="12"/>
        <v>Santiago Joana Assunção Abreu</v>
      </c>
    </row>
    <row r="181" spans="9:20" x14ac:dyDescent="0.25">
      <c r="I181">
        <f t="shared" ca="1" si="0"/>
        <v>1</v>
      </c>
      <c r="J181">
        <f t="shared" ca="1" si="13"/>
        <v>3</v>
      </c>
      <c r="K181">
        <f t="shared" ca="1" si="14"/>
        <v>71</v>
      </c>
      <c r="L181">
        <f t="shared" ca="1" si="14"/>
        <v>82</v>
      </c>
      <c r="M181" t="s">
        <v>53</v>
      </c>
      <c r="N181" t="s">
        <v>78</v>
      </c>
      <c r="O181" t="s">
        <v>80</v>
      </c>
      <c r="P181" s="6" t="str" cm="1">
        <f t="array" aca="1" ref="P181" ca="1">INDEX($E$2:$E$98,K181)</f>
        <v>Nascimento</v>
      </c>
      <c r="Q181" s="6" t="str" cm="1">
        <f t="array" aca="1" ref="Q181" ca="1">INDEX($E$2:$E$98,L181)</f>
        <v>Moura</v>
      </c>
      <c r="S181" t="str">
        <f t="shared" si="15"/>
        <v>Masculino</v>
      </c>
      <c r="T181" t="str">
        <f t="shared" ref="T181:T200" ca="1" si="17">N181 &amp; " " &amp; O181 &amp; " " &amp; P181  &amp; " " &amp; Q181</f>
        <v>Tiago José Nascimento Moura</v>
      </c>
    </row>
    <row r="182" spans="9:20" x14ac:dyDescent="0.25">
      <c r="I182">
        <f t="shared" ca="1" si="0"/>
        <v>23</v>
      </c>
      <c r="J182">
        <f t="shared" ca="1" si="13"/>
        <v>36</v>
      </c>
      <c r="K182">
        <f t="shared" ca="1" si="14"/>
        <v>78</v>
      </c>
      <c r="L182">
        <f t="shared" ca="1" si="14"/>
        <v>30</v>
      </c>
      <c r="M182" t="s">
        <v>66</v>
      </c>
      <c r="N182" t="s">
        <v>72</v>
      </c>
      <c r="O182" t="s">
        <v>76</v>
      </c>
      <c r="P182" s="6" t="str" cm="1">
        <f t="array" aca="1" ref="P182" ca="1">INDEX($E$2:$E$98,K182)</f>
        <v>Vicente</v>
      </c>
      <c r="Q182" s="6" t="str" cm="1">
        <f t="array" aca="1" ref="Q182" ca="1">INDEX($E$2:$E$98,L182)</f>
        <v>Gonçalves</v>
      </c>
      <c r="S182" t="str">
        <f t="shared" si="15"/>
        <v>Feminino</v>
      </c>
      <c r="T182" t="str">
        <f t="shared" ca="1" si="17"/>
        <v>Mariana Inês Vicente Gonçalves</v>
      </c>
    </row>
    <row r="183" spans="9:20" x14ac:dyDescent="0.25">
      <c r="I183">
        <f t="shared" ca="1" si="0"/>
        <v>32</v>
      </c>
      <c r="J183">
        <f t="shared" ca="1" si="13"/>
        <v>16</v>
      </c>
      <c r="K183">
        <f t="shared" ca="1" si="14"/>
        <v>49</v>
      </c>
      <c r="L183">
        <f t="shared" ca="1" si="14"/>
        <v>4</v>
      </c>
      <c r="M183" t="s">
        <v>53</v>
      </c>
      <c r="N183" t="s">
        <v>79</v>
      </c>
      <c r="O183" t="s">
        <v>73</v>
      </c>
      <c r="P183" s="6" t="str" cm="1">
        <f t="array" aca="1" ref="P183" ca="1">INDEX($E$2:$E$98,K183)</f>
        <v>Figueiredo</v>
      </c>
      <c r="Q183" s="6" t="str" cm="1">
        <f t="array" aca="1" ref="Q183" ca="1">INDEX($E$2:$E$98,L183)</f>
        <v>Alves</v>
      </c>
      <c r="S183" t="str">
        <f t="shared" si="15"/>
        <v>Masculino</v>
      </c>
      <c r="T183" t="str">
        <f t="shared" ca="1" si="17"/>
        <v>Bruno Ana Figueiredo Alves</v>
      </c>
    </row>
    <row r="184" spans="9:20" x14ac:dyDescent="0.25">
      <c r="I184">
        <f t="shared" ca="1" si="0"/>
        <v>9</v>
      </c>
      <c r="J184">
        <f t="shared" ca="1" si="13"/>
        <v>8</v>
      </c>
      <c r="K184">
        <f t="shared" ca="1" si="14"/>
        <v>73</v>
      </c>
      <c r="L184">
        <f t="shared" ca="1" si="14"/>
        <v>94</v>
      </c>
      <c r="M184" t="s">
        <v>53</v>
      </c>
      <c r="N184" t="s">
        <v>64</v>
      </c>
      <c r="O184" t="s">
        <v>56</v>
      </c>
      <c r="P184" s="6" t="str" cm="1">
        <f t="array" aca="1" ref="P184" ca="1">INDEX($E$2:$E$98,K184)</f>
        <v>Abreu</v>
      </c>
      <c r="Q184" s="6" t="str" cm="1">
        <f t="array" aca="1" ref="Q184" ca="1">INDEX($E$2:$E$98,L184)</f>
        <v>Paiva</v>
      </c>
      <c r="S184" t="str">
        <f t="shared" si="15"/>
        <v>Masculino</v>
      </c>
      <c r="T184" t="str">
        <f t="shared" ca="1" si="17"/>
        <v>Pedro João Abreu Paiva</v>
      </c>
    </row>
    <row r="185" spans="9:20" x14ac:dyDescent="0.25">
      <c r="I185">
        <f t="shared" ca="1" si="0"/>
        <v>3</v>
      </c>
      <c r="J185">
        <f t="shared" ca="1" si="13"/>
        <v>32</v>
      </c>
      <c r="K185">
        <f t="shared" ca="1" si="14"/>
        <v>29</v>
      </c>
      <c r="L185">
        <f t="shared" ca="1" si="14"/>
        <v>97</v>
      </c>
      <c r="M185" t="s">
        <v>66</v>
      </c>
      <c r="N185" t="s">
        <v>76</v>
      </c>
      <c r="O185" t="s">
        <v>74</v>
      </c>
      <c r="P185" s="6" t="str" cm="1">
        <f t="array" aca="1" ref="P185" ca="1">INDEX($E$2:$E$98,K185)</f>
        <v>Fernandes</v>
      </c>
      <c r="Q185" s="6" t="str" cm="1">
        <f t="array" aca="1" ref="Q185" ca="1">INDEX($E$2:$E$98,L185)</f>
        <v>Torres</v>
      </c>
      <c r="S185" t="str">
        <f t="shared" si="15"/>
        <v>Feminino</v>
      </c>
      <c r="T185" t="str">
        <f t="shared" ca="1" si="17"/>
        <v>Inês Sofia Fernandes Torres</v>
      </c>
    </row>
    <row r="186" spans="9:20" x14ac:dyDescent="0.25">
      <c r="I186">
        <f t="shared" ca="1" si="0"/>
        <v>1</v>
      </c>
      <c r="J186">
        <f t="shared" ca="1" si="13"/>
        <v>32</v>
      </c>
      <c r="K186">
        <f t="shared" ca="1" si="14"/>
        <v>96</v>
      </c>
      <c r="L186">
        <f t="shared" ca="1" si="14"/>
        <v>83</v>
      </c>
      <c r="M186" t="s">
        <v>66</v>
      </c>
      <c r="N186" t="s">
        <v>85</v>
      </c>
      <c r="O186" t="s">
        <v>56</v>
      </c>
      <c r="P186" s="6" t="str" cm="1">
        <f t="array" aca="1" ref="P186" ca="1">INDEX($E$2:$E$98,K186)</f>
        <v>Amorim</v>
      </c>
      <c r="Q186" s="6" t="str" cm="1">
        <f t="array" aca="1" ref="Q186" ca="1">INDEX($E$2:$E$98,L186)</f>
        <v>Valente</v>
      </c>
      <c r="S186" t="str">
        <f t="shared" si="15"/>
        <v>Feminino</v>
      </c>
      <c r="T186" t="str">
        <f t="shared" ca="1" si="17"/>
        <v>Catarina João Amorim Valente</v>
      </c>
    </row>
    <row r="187" spans="9:20" x14ac:dyDescent="0.25">
      <c r="I187">
        <f t="shared" ref="I187" ca="1" si="18">RANDBETWEEN(1,37)</f>
        <v>26</v>
      </c>
      <c r="J187">
        <f t="shared" ca="1" si="13"/>
        <v>31</v>
      </c>
      <c r="K187">
        <f t="shared" ca="1" si="14"/>
        <v>42</v>
      </c>
      <c r="L187">
        <f t="shared" ca="1" si="14"/>
        <v>46</v>
      </c>
      <c r="M187" t="s">
        <v>66</v>
      </c>
      <c r="N187" t="s">
        <v>85</v>
      </c>
      <c r="O187" t="s">
        <v>72</v>
      </c>
      <c r="P187" s="6" t="str" cm="1">
        <f t="array" aca="1" ref="P187" ca="1">INDEX($E$2:$E$98,K187)</f>
        <v>Fonseca</v>
      </c>
      <c r="Q187" s="6" t="str" cm="1">
        <f t="array" aca="1" ref="Q187" ca="1">INDEX($E$2:$E$98,L187)</f>
        <v>Tavares</v>
      </c>
      <c r="S187" t="str">
        <f t="shared" si="15"/>
        <v>Feminino</v>
      </c>
      <c r="T187" t="str">
        <f t="shared" ca="1" si="17"/>
        <v>Catarina Mariana Fonseca Tavares</v>
      </c>
    </row>
    <row r="188" spans="9:20" x14ac:dyDescent="0.25">
      <c r="I188">
        <f t="shared" ca="1" si="0"/>
        <v>8</v>
      </c>
      <c r="J188">
        <f t="shared" ca="1" si="13"/>
        <v>23</v>
      </c>
      <c r="K188">
        <f t="shared" ca="1" si="14"/>
        <v>37</v>
      </c>
      <c r="L188">
        <f t="shared" ca="1" si="14"/>
        <v>51</v>
      </c>
      <c r="M188" t="s">
        <v>53</v>
      </c>
      <c r="N188" t="s">
        <v>57</v>
      </c>
      <c r="O188" t="s">
        <v>55</v>
      </c>
      <c r="P188" s="6" t="str" cm="1">
        <f t="array" aca="1" ref="P188" ca="1">INDEX($E$2:$E$98,K188)</f>
        <v>Cardoso</v>
      </c>
      <c r="Q188" s="6" t="str" cm="1">
        <f t="array" aca="1" ref="Q188" ca="1">INDEX($E$2:$E$98,L188)</f>
        <v>Freitas</v>
      </c>
      <c r="S188" t="str">
        <f t="shared" si="15"/>
        <v>Masculino</v>
      </c>
      <c r="T188" t="str">
        <f t="shared" ca="1" si="17"/>
        <v>Afonso Francisco Cardoso Freitas</v>
      </c>
    </row>
    <row r="189" spans="9:20" x14ac:dyDescent="0.25">
      <c r="I189">
        <f t="shared" ca="1" si="0"/>
        <v>29</v>
      </c>
      <c r="J189">
        <f t="shared" ca="1" si="13"/>
        <v>14</v>
      </c>
      <c r="K189">
        <f t="shared" ca="1" si="14"/>
        <v>83</v>
      </c>
      <c r="L189">
        <f t="shared" ca="1" si="14"/>
        <v>70</v>
      </c>
      <c r="M189" t="s">
        <v>66</v>
      </c>
      <c r="N189" t="s">
        <v>85</v>
      </c>
      <c r="O189" t="s">
        <v>73</v>
      </c>
      <c r="P189" s="6" t="str" cm="1">
        <f t="array" aca="1" ref="P189" ca="1">INDEX($E$2:$E$98,K189)</f>
        <v>Valente</v>
      </c>
      <c r="Q189" s="6" t="str" cm="1">
        <f t="array" aca="1" ref="Q189" ca="1">INDEX($E$2:$E$98,L189)</f>
        <v>Sá</v>
      </c>
      <c r="S189" t="str">
        <f t="shared" si="15"/>
        <v>Feminino</v>
      </c>
      <c r="T189" t="str">
        <f t="shared" ca="1" si="17"/>
        <v>Catarina Ana Valente Sá</v>
      </c>
    </row>
    <row r="190" spans="9:20" x14ac:dyDescent="0.25">
      <c r="I190">
        <f t="shared" ca="1" si="0"/>
        <v>34</v>
      </c>
      <c r="J190">
        <f t="shared" ca="1" si="13"/>
        <v>7</v>
      </c>
      <c r="K190">
        <f t="shared" ca="1" si="14"/>
        <v>10</v>
      </c>
      <c r="L190">
        <f t="shared" ca="1" si="14"/>
        <v>82</v>
      </c>
      <c r="M190" t="s">
        <v>53</v>
      </c>
      <c r="N190" t="s">
        <v>54</v>
      </c>
      <c r="O190" t="s">
        <v>55</v>
      </c>
      <c r="P190" s="6" t="str" cm="1">
        <f t="array" aca="1" ref="P190" ca="1">INDEX($E$2:$E$98,K190)</f>
        <v>Moreira</v>
      </c>
      <c r="Q190" s="6" t="str" cm="1">
        <f t="array" aca="1" ref="Q190" ca="1">INDEX($E$2:$E$98,L190)</f>
        <v>Moura</v>
      </c>
      <c r="S190" t="str">
        <f t="shared" si="15"/>
        <v>Masculino</v>
      </c>
      <c r="T190" t="str">
        <f t="shared" ca="1" si="17"/>
        <v>Santiago Francisco Moreira Moura</v>
      </c>
    </row>
    <row r="191" spans="9:20" x14ac:dyDescent="0.25">
      <c r="I191">
        <f t="shared" ca="1" si="0"/>
        <v>31</v>
      </c>
      <c r="J191">
        <f t="shared" ca="1" si="13"/>
        <v>8</v>
      </c>
      <c r="K191">
        <f t="shared" ca="1" si="14"/>
        <v>57</v>
      </c>
      <c r="L191">
        <f t="shared" ca="1" si="14"/>
        <v>58</v>
      </c>
      <c r="M191" t="s">
        <v>53</v>
      </c>
      <c r="N191" t="s">
        <v>63</v>
      </c>
      <c r="O191" t="s">
        <v>72</v>
      </c>
      <c r="P191" s="6" t="str" cm="1">
        <f t="array" aca="1" ref="P191" ca="1">INDEX($E$2:$E$98,K191)</f>
        <v>Pinheiro</v>
      </c>
      <c r="Q191" s="6" t="str" cm="1">
        <f t="array" aca="1" ref="Q191" ca="1">INDEX($E$2:$E$98,L191)</f>
        <v>Faria</v>
      </c>
      <c r="S191" t="str">
        <f t="shared" si="15"/>
        <v>Masculino</v>
      </c>
      <c r="T191" t="str">
        <f t="shared" ca="1" si="17"/>
        <v>Gabriel Mariana Pinheiro Faria</v>
      </c>
    </row>
    <row r="192" spans="9:20" x14ac:dyDescent="0.25">
      <c r="I192">
        <f t="shared" ca="1" si="0"/>
        <v>17</v>
      </c>
      <c r="J192">
        <f t="shared" ref="J192:J200" ca="1" si="19">RANDBETWEEN(1,37)</f>
        <v>23</v>
      </c>
      <c r="K192">
        <f t="shared" ca="1" si="14"/>
        <v>43</v>
      </c>
      <c r="L192">
        <f t="shared" ca="1" si="14"/>
        <v>40</v>
      </c>
      <c r="M192" t="s">
        <v>53</v>
      </c>
      <c r="N192" t="s">
        <v>64</v>
      </c>
      <c r="O192" t="s">
        <v>59</v>
      </c>
      <c r="P192" s="6" t="str" cm="1">
        <f t="array" aca="1" ref="P192" ca="1">INDEX($E$2:$E$98,K192)</f>
        <v>Machado</v>
      </c>
      <c r="Q192" s="6" t="str" cm="1">
        <f t="array" aca="1" ref="Q192" ca="1">INDEX($E$2:$E$98,L192)</f>
        <v>Antunes</v>
      </c>
      <c r="S192" t="str">
        <f t="shared" si="15"/>
        <v>Masculino</v>
      </c>
      <c r="T192" t="str">
        <f t="shared" ca="1" si="17"/>
        <v>Pedro Martim Machado Antunes</v>
      </c>
    </row>
    <row r="193" spans="9:20" x14ac:dyDescent="0.25">
      <c r="I193">
        <f t="shared" ca="1" si="0"/>
        <v>23</v>
      </c>
      <c r="J193">
        <f t="shared" ca="1" si="19"/>
        <v>15</v>
      </c>
      <c r="K193">
        <f t="shared" ca="1" si="14"/>
        <v>94</v>
      </c>
      <c r="L193">
        <f t="shared" ca="1" si="14"/>
        <v>73</v>
      </c>
      <c r="M193" t="s">
        <v>66</v>
      </c>
      <c r="N193" t="s">
        <v>88</v>
      </c>
      <c r="O193" t="s">
        <v>87</v>
      </c>
      <c r="P193" s="6" t="str" cm="1">
        <f t="array" aca="1" ref="P193" ca="1">INDEX($E$2:$E$98,K193)</f>
        <v>Paiva</v>
      </c>
      <c r="Q193" s="6" t="str" cm="1">
        <f t="array" aca="1" ref="Q193" ca="1">INDEX($E$2:$E$98,L193)</f>
        <v>Abreu</v>
      </c>
      <c r="S193" t="str">
        <f t="shared" si="15"/>
        <v>Feminino</v>
      </c>
      <c r="T193" t="str">
        <f t="shared" ca="1" si="17"/>
        <v>Diana Daniela Paiva Abreu</v>
      </c>
    </row>
    <row r="194" spans="9:20" x14ac:dyDescent="0.25">
      <c r="I194">
        <f t="shared" ca="1" si="0"/>
        <v>2</v>
      </c>
      <c r="J194">
        <f t="shared" ca="1" si="19"/>
        <v>10</v>
      </c>
      <c r="K194">
        <f t="shared" ca="1" si="14"/>
        <v>35</v>
      </c>
      <c r="L194">
        <f t="shared" ca="1" si="14"/>
        <v>67</v>
      </c>
      <c r="M194" t="s">
        <v>66</v>
      </c>
      <c r="N194" t="s">
        <v>72</v>
      </c>
      <c r="O194" t="s">
        <v>59</v>
      </c>
      <c r="P194" s="6" t="str" cm="1">
        <f t="array" aca="1" ref="P194" ca="1">INDEX($E$2:$E$98,K194)</f>
        <v>Vieira</v>
      </c>
      <c r="Q194" s="6" t="str" cm="1">
        <f t="array" aca="1" ref="Q194" ca="1">INDEX($E$2:$E$98,L194)</f>
        <v>Mota</v>
      </c>
      <c r="S194" t="str">
        <f t="shared" si="15"/>
        <v>Feminino</v>
      </c>
      <c r="T194" t="str">
        <f t="shared" ca="1" si="17"/>
        <v>Mariana Martim Vieira Mota</v>
      </c>
    </row>
    <row r="195" spans="9:20" x14ac:dyDescent="0.25">
      <c r="I195">
        <f t="shared" ca="1" si="0"/>
        <v>16</v>
      </c>
      <c r="J195">
        <f t="shared" ca="1" si="19"/>
        <v>27</v>
      </c>
      <c r="K195">
        <f t="shared" ref="K195:L200" ca="1" si="20">RANDBETWEEN(1,97)</f>
        <v>36</v>
      </c>
      <c r="L195">
        <f t="shared" ca="1" si="20"/>
        <v>81</v>
      </c>
      <c r="M195" t="s">
        <v>66</v>
      </c>
      <c r="N195" t="s">
        <v>71</v>
      </c>
      <c r="O195" t="s">
        <v>59</v>
      </c>
      <c r="P195" s="6" t="str" cm="1">
        <f t="array" aca="1" ref="P195" ca="1">INDEX($E$2:$E$98,K195)</f>
        <v>Monteiro</v>
      </c>
      <c r="Q195" s="6" t="str" cm="1">
        <f t="array" aca="1" ref="Q195" ca="1">INDEX($E$2:$E$98,L195)</f>
        <v>Maia</v>
      </c>
      <c r="S195" t="str">
        <f t="shared" si="15"/>
        <v>Feminino</v>
      </c>
      <c r="T195" t="str">
        <f t="shared" ca="1" si="17"/>
        <v>Carolina Martim Monteiro Maia</v>
      </c>
    </row>
    <row r="196" spans="9:20" x14ac:dyDescent="0.25">
      <c r="I196">
        <f t="shared" ca="1" si="0"/>
        <v>19</v>
      </c>
      <c r="J196">
        <f t="shared" ca="1" si="19"/>
        <v>17</v>
      </c>
      <c r="K196">
        <f t="shared" ca="1" si="20"/>
        <v>86</v>
      </c>
      <c r="L196">
        <f t="shared" ca="1" si="20"/>
        <v>34</v>
      </c>
      <c r="M196" t="s">
        <v>66</v>
      </c>
      <c r="N196" t="s">
        <v>73</v>
      </c>
      <c r="O196" t="s">
        <v>78</v>
      </c>
      <c r="P196" s="6" t="str" cm="1">
        <f t="array" aca="1" ref="P196" ca="1">INDEX($E$2:$E$98,K196)</f>
        <v>Carneiro</v>
      </c>
      <c r="Q196" s="6" t="str" cm="1">
        <f t="array" aca="1" ref="Q196" ca="1">INDEX($E$2:$E$98,L196)</f>
        <v>Soares</v>
      </c>
      <c r="S196" t="str">
        <f t="shared" ref="S196:S200" si="21">M196</f>
        <v>Feminino</v>
      </c>
      <c r="T196" t="str">
        <f t="shared" ca="1" si="17"/>
        <v>Ana Tiago Carneiro Soares</v>
      </c>
    </row>
    <row r="197" spans="9:20" x14ac:dyDescent="0.25">
      <c r="I197">
        <f t="shared" ca="1" si="0"/>
        <v>13</v>
      </c>
      <c r="J197">
        <f t="shared" ca="1" si="19"/>
        <v>27</v>
      </c>
      <c r="K197">
        <f t="shared" ca="1" si="20"/>
        <v>71</v>
      </c>
      <c r="L197">
        <f t="shared" ca="1" si="20"/>
        <v>7</v>
      </c>
      <c r="M197" t="s">
        <v>53</v>
      </c>
      <c r="N197" t="s">
        <v>59</v>
      </c>
      <c r="O197" t="s">
        <v>73</v>
      </c>
      <c r="P197" s="6" t="str" cm="1">
        <f t="array" aca="1" ref="P197" ca="1">INDEX($E$2:$E$98,K197)</f>
        <v>Nascimento</v>
      </c>
      <c r="Q197" s="6" t="str" cm="1">
        <f t="array" aca="1" ref="Q197" ca="1">INDEX($E$2:$E$98,L197)</f>
        <v>Pinto</v>
      </c>
      <c r="S197" t="str">
        <f t="shared" si="21"/>
        <v>Masculino</v>
      </c>
      <c r="T197" t="str">
        <f t="shared" ca="1" si="17"/>
        <v>Martim Ana Nascimento Pinto</v>
      </c>
    </row>
    <row r="198" spans="9:20" x14ac:dyDescent="0.25">
      <c r="I198">
        <f t="shared" ca="1" si="0"/>
        <v>18</v>
      </c>
      <c r="J198">
        <f t="shared" ca="1" si="19"/>
        <v>20</v>
      </c>
      <c r="K198">
        <f t="shared" ca="1" si="20"/>
        <v>28</v>
      </c>
      <c r="L198">
        <f t="shared" ca="1" si="20"/>
        <v>11</v>
      </c>
      <c r="M198" t="s">
        <v>66</v>
      </c>
      <c r="N198" t="s">
        <v>72</v>
      </c>
      <c r="O198" t="s">
        <v>87</v>
      </c>
      <c r="P198" s="6" t="str" cm="1">
        <f t="array" aca="1" ref="P198" ca="1">INDEX($E$2:$E$98,K198)</f>
        <v>Sousa</v>
      </c>
      <c r="Q198" s="6" t="str" cm="1">
        <f t="array" aca="1" ref="Q198" ca="1">INDEX($E$2:$E$98,L198)</f>
        <v>Rocha</v>
      </c>
      <c r="S198" t="str">
        <f t="shared" si="21"/>
        <v>Feminino</v>
      </c>
      <c r="T198" t="str">
        <f t="shared" ca="1" si="17"/>
        <v>Mariana Daniela Sousa Rocha</v>
      </c>
    </row>
    <row r="199" spans="9:20" x14ac:dyDescent="0.25">
      <c r="I199">
        <f t="shared" ca="1" si="0"/>
        <v>7</v>
      </c>
      <c r="J199">
        <f t="shared" ca="1" si="19"/>
        <v>7</v>
      </c>
      <c r="K199">
        <f t="shared" ca="1" si="20"/>
        <v>92</v>
      </c>
      <c r="L199">
        <f t="shared" ca="1" si="20"/>
        <v>92</v>
      </c>
      <c r="M199" t="s">
        <v>66</v>
      </c>
      <c r="N199" t="s">
        <v>87</v>
      </c>
      <c r="O199" t="s">
        <v>86</v>
      </c>
      <c r="P199" s="6" t="str" cm="1">
        <f t="array" aca="1" ref="P199" ca="1">INDEX($E$2:$E$98,K199)</f>
        <v>Pacheco</v>
      </c>
      <c r="Q199" s="6" t="str" cm="1">
        <f t="array" aca="1" ref="Q199" ca="1">INDEX($E$2:$E$98,L199)</f>
        <v>Pacheco</v>
      </c>
      <c r="S199" t="str">
        <f t="shared" si="21"/>
        <v>Feminino</v>
      </c>
      <c r="T199" t="str">
        <f t="shared" ca="1" si="17"/>
        <v>Daniela Sara Pacheco Pacheco</v>
      </c>
    </row>
    <row r="200" spans="9:20" x14ac:dyDescent="0.25">
      <c r="I200">
        <f t="shared" ca="1" si="0"/>
        <v>3</v>
      </c>
      <c r="J200">
        <f t="shared" ca="1" si="19"/>
        <v>8</v>
      </c>
      <c r="K200">
        <f t="shared" ca="1" si="20"/>
        <v>89</v>
      </c>
      <c r="L200">
        <f t="shared" ca="1" si="20"/>
        <v>77</v>
      </c>
      <c r="M200" t="s">
        <v>53</v>
      </c>
      <c r="N200" t="s">
        <v>80</v>
      </c>
      <c r="O200" t="s">
        <v>67</v>
      </c>
      <c r="P200" s="6" t="str" cm="1">
        <f t="array" aca="1" ref="P200" ca="1">INDEX($E$2:$E$98,K200)</f>
        <v>Amaral</v>
      </c>
      <c r="Q200" s="6" t="str" cm="1">
        <f t="array" aca="1" ref="Q200" ca="1">INDEX($E$2:$E$98,L200)</f>
        <v>Pinho</v>
      </c>
      <c r="S200" t="str">
        <f t="shared" si="21"/>
        <v>Masculino</v>
      </c>
      <c r="T200" t="str">
        <f t="shared" ca="1" si="17"/>
        <v>José Maria Amaral Pinho</v>
      </c>
    </row>
  </sheetData>
  <autoFilter ref="A1:E1" xr:uid="{911E14F0-84F4-46B0-BF8E-B9809B885262}">
    <sortState xmlns:xlrd2="http://schemas.microsoft.com/office/spreadsheetml/2017/richdata2" ref="A2:E38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matras2784</v>
      </c>
      <c r="C2" t="str">
        <f ca="1">"psw" &amp; B2</f>
        <v>pswmatras2784</v>
      </c>
      <c r="D2" t="str">
        <f>Nomes!T3</f>
        <v>Matilde</v>
      </c>
      <c r="E2" t="str">
        <f>Nomes!S3</f>
        <v>Feminino</v>
      </c>
      <c r="F2" s="2">
        <f ca="1">DATE(Y2,Z2,AA2)</f>
        <v>22547</v>
      </c>
      <c r="G2" t="str" cm="1">
        <f t="array" aca="1" ref="G2" ca="1">INDEX(rua_cod!$F:$F,RANDBETWEEN(2,COUNTA(rua_cod!F:F)))</f>
        <v>Rua do Sol a Santana</v>
      </c>
      <c r="H2" t="str" cm="1">
        <f t="array" aca="1" ref="H2" ca="1">INDEX(rua_cod!$A:$A,Users!V2) &amp; "-" &amp; TEXT(RANDBETWEEN(0,999),"000")</f>
        <v>2784-336</v>
      </c>
      <c r="I2" t="str" cm="1">
        <f t="array" aca="1" ref="I2" ca="1">INDEX(rua_cod!$B:$B,Users!V2)</f>
        <v>Oeiras</v>
      </c>
      <c r="J2" t="s">
        <v>3728</v>
      </c>
      <c r="K2" t="s">
        <v>225</v>
      </c>
      <c r="L2" t="s">
        <v>265</v>
      </c>
      <c r="M2" t="str">
        <f ca="1">TEXT(RANDBETWEEN(10000000,99999999),"00000000")</f>
        <v>94572931</v>
      </c>
      <c r="N2" t="str">
        <f ca="1">TEXT(RANDBETWEEN(100000000,999999999),"000000000")</f>
        <v>513923576</v>
      </c>
      <c r="O2" t="str">
        <f ca="1">TEXT(RANDBETWEEN(100000000,999999999),"000000000")</f>
        <v>133375113</v>
      </c>
      <c r="P2" t="str" cm="1">
        <f t="array" aca="1" ref="P2" ca="1">9 &amp; INDEX($AF$3:$AF$6,W2)&amp; TEXT(RANDBETWEEN(0,9999999),"0000000")</f>
        <v>937274646</v>
      </c>
      <c r="Q2" t="str" cm="1">
        <f t="array" aca="1" ref="Q2" ca="1">LOWER(B2) &amp; INDEX($AF$9:$AF$11,X2)</f>
        <v>matras2784@sapo.pt</v>
      </c>
      <c r="R2" t="str">
        <f ca="1">B2 &amp; ".jpg"</f>
        <v>matras2784.jpg</v>
      </c>
      <c r="T2" s="4"/>
      <c r="V2">
        <f ca="1">RANDBETWEEN(2,COUNTA(rua_cod!A:A))</f>
        <v>89</v>
      </c>
      <c r="W2">
        <f ca="1">RANDBETWEEN(1,4)</f>
        <v>3</v>
      </c>
      <c r="X2">
        <f ca="1">RANDBETWEEN(1,3)</f>
        <v>3</v>
      </c>
      <c r="Y2">
        <f ca="1">INT(NORMINV(RAND(),1976,22))</f>
        <v>1961</v>
      </c>
      <c r="Z2">
        <f ca="1">RANDBETWEEN(1,12)</f>
        <v>9</v>
      </c>
      <c r="AA2">
        <f ca="1">RANDBETWEEN(1,31)</f>
        <v>23</v>
      </c>
      <c r="AB2">
        <f ca="1">2020-Y2</f>
        <v>59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ineboa1649</v>
      </c>
      <c r="C3" t="str">
        <f t="shared" ref="C3:C66" ca="1" si="0">"psw" &amp; B3</f>
        <v>pswineboa1649</v>
      </c>
      <c r="D3" t="str">
        <f>Nomes!T4</f>
        <v>Inês</v>
      </c>
      <c r="E3" t="str">
        <f>Nomes!S4</f>
        <v>Feminino</v>
      </c>
      <c r="F3" s="2">
        <v>23831</v>
      </c>
      <c r="G3" t="str" cm="1">
        <f t="array" aca="1" ref="G3" ca="1">INDEX(rua_cod!$F:$F,RANDBETWEEN(2,COUNTA(rua_cod!F:F)))</f>
        <v>Rua do Arsenal</v>
      </c>
      <c r="H3" t="str" cm="1">
        <f t="array" aca="1" ref="H3" ca="1">INDEX(rua_cod!$A:$A,Users!V3) &amp; "-" &amp; TEXT(RANDBETWEEN(0,999),"000")</f>
        <v>1649-729</v>
      </c>
      <c r="I3" t="str" cm="1">
        <f t="array" aca="1" ref="I3" ca="1">INDEX(rua_cod!$B:$B,Users!V3)</f>
        <v>Lisboa</v>
      </c>
      <c r="J3" t="s">
        <v>3728</v>
      </c>
      <c r="K3" t="s">
        <v>225</v>
      </c>
      <c r="L3" t="s">
        <v>265</v>
      </c>
      <c r="M3" t="str">
        <f t="shared" ref="M3:M66" ca="1" si="1">TEXT(RANDBETWEEN(10000000,99999999),"00000000")</f>
        <v>24422091</v>
      </c>
      <c r="N3" t="str">
        <f t="shared" ref="N3:O66" ca="1" si="2">TEXT(RANDBETWEEN(100000000,999999999),"000000000")</f>
        <v>789523213</v>
      </c>
      <c r="O3" t="str">
        <f t="shared" ca="1" si="2"/>
        <v>822422302</v>
      </c>
      <c r="P3" t="str" cm="1">
        <f t="array" aca="1" ref="P3" ca="1">9 &amp; INDEX($AF$3:$AF$6,W3)&amp; TEXT(RANDBETWEEN(0,9999999),"0000000")</f>
        <v>964107751</v>
      </c>
      <c r="Q3" t="str" cm="1">
        <f t="array" aca="1" ref="Q3" ca="1">LOWER(B3) &amp; INDEX($AF$9:$AF$11,X3)</f>
        <v>ineboa1649@outlook.com</v>
      </c>
      <c r="R3" t="str">
        <f t="shared" ref="R3:R66" ca="1" si="3">B3 &amp; ".jpg"</f>
        <v>ineboa1649.jpg</v>
      </c>
      <c r="T3" s="4"/>
      <c r="V3">
        <f ca="1">RANDBETWEEN(2,COUNTA(rua_cod!A:A))</f>
        <v>68</v>
      </c>
      <c r="W3">
        <f t="shared" ref="W3:W66" ca="1" si="4">RANDBETWEEN(1,4)</f>
        <v>4</v>
      </c>
      <c r="X3">
        <f t="shared" ref="X3:X66" ca="1" si="5">RANDBETWEEN(1,3)</f>
        <v>1</v>
      </c>
      <c r="Y3">
        <f t="shared" ref="Y3:Y66" ca="1" si="6">INT(NORMINV(RAND(),1976,22))</f>
        <v>2005</v>
      </c>
      <c r="Z3">
        <f t="shared" ref="Z3:Z66" ca="1" si="7">RANDBETWEEN(1,12)</f>
        <v>10</v>
      </c>
      <c r="AA3">
        <f t="shared" ref="AA3:AA66" ca="1" si="8">RANDBETWEEN(1,31)</f>
        <v>28</v>
      </c>
      <c r="AB3">
        <f t="shared" ref="AB3:AB66" ca="1" si="9">2020-Y3</f>
        <v>15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catboa1170</v>
      </c>
      <c r="C4" t="str">
        <f t="shared" ca="1" si="0"/>
        <v>pswcatboa1170</v>
      </c>
      <c r="D4" t="str">
        <f>Nomes!T5</f>
        <v>Catarina</v>
      </c>
      <c r="E4" t="str">
        <f>Nomes!S5</f>
        <v>Feminino</v>
      </c>
      <c r="F4" s="2">
        <v>26848</v>
      </c>
      <c r="G4" t="str" cm="1">
        <f t="array" aca="1" ref="G4" ca="1">INDEX(rua_cod!$F:$F,RANDBETWEEN(2,COUNTA(rua_cod!F:F)))</f>
        <v>Estrada Militar</v>
      </c>
      <c r="H4" t="str" cm="1">
        <f t="array" aca="1" ref="H4" ca="1">INDEX(rua_cod!$A:$A,Users!V4) &amp; "-" &amp; TEXT(RANDBETWEEN(0,999),"000")</f>
        <v>1170-474</v>
      </c>
      <c r="I4" t="str" cm="1">
        <f t="array" aca="1" ref="I4" ca="1">INDEX(rua_cod!$B:$B,Users!V4)</f>
        <v>Lisboa</v>
      </c>
      <c r="J4" t="s">
        <v>3728</v>
      </c>
      <c r="K4" t="s">
        <v>225</v>
      </c>
      <c r="L4" t="s">
        <v>265</v>
      </c>
      <c r="M4" t="str">
        <f t="shared" ca="1" si="1"/>
        <v>64732015</v>
      </c>
      <c r="N4" t="str">
        <f t="shared" ca="1" si="2"/>
        <v>711617941</v>
      </c>
      <c r="O4" t="str">
        <f t="shared" ca="1" si="2"/>
        <v>808966479</v>
      </c>
      <c r="P4" t="str" cm="1">
        <f t="array" aca="1" ref="P4" ca="1">9 &amp; INDEX($AF$3:$AF$6,W4)&amp; TEXT(RANDBETWEEN(0,9999999),"0000000")</f>
        <v>935640845</v>
      </c>
      <c r="Q4" t="str" cm="1">
        <f t="array" aca="1" ref="Q4" ca="1">LOWER(B4) &amp; INDEX($AF$9:$AF$11,X4)</f>
        <v>catboa1170@outlook.com</v>
      </c>
      <c r="R4" t="str">
        <f t="shared" ca="1" si="3"/>
        <v>catboa1170.jpg</v>
      </c>
      <c r="T4" s="4"/>
      <c r="V4">
        <f ca="1">RANDBETWEEN(2,COUNTA(rua_cod!A:A))</f>
        <v>47</v>
      </c>
      <c r="W4">
        <f t="shared" ca="1" si="4"/>
        <v>3</v>
      </c>
      <c r="X4">
        <f t="shared" ca="1" si="5"/>
        <v>1</v>
      </c>
      <c r="Y4">
        <f t="shared" ca="1" si="6"/>
        <v>1966</v>
      </c>
      <c r="Z4">
        <f t="shared" ca="1" si="7"/>
        <v>7</v>
      </c>
      <c r="AA4">
        <f t="shared" ca="1" si="8"/>
        <v>14</v>
      </c>
      <c r="AB4">
        <f t="shared" ca="1" si="9"/>
        <v>54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sanboa1500</v>
      </c>
      <c r="C5" t="str">
        <f t="shared" ca="1" si="0"/>
        <v>pswsanboa1500</v>
      </c>
      <c r="D5" t="str">
        <f>Nomes!T6</f>
        <v>Santiago</v>
      </c>
      <c r="E5" t="str">
        <f>Nomes!S6</f>
        <v>Masculino</v>
      </c>
      <c r="F5" s="2">
        <v>34485</v>
      </c>
      <c r="G5" t="str" cm="1">
        <f t="array" aca="1" ref="G5" ca="1">INDEX(rua_cod!$F:$F,RANDBETWEEN(2,COUNTA(rua_cod!F:F)))</f>
        <v>Estrada das Laranjeiras</v>
      </c>
      <c r="H5" t="str" cm="1">
        <f t="array" aca="1" ref="H5" ca="1">INDEX(rua_cod!$A:$A,Users!V5) &amp; "-" &amp; TEXT(RANDBETWEEN(0,999),"000")</f>
        <v>1500-094</v>
      </c>
      <c r="I5" t="str" cm="1">
        <f t="array" aca="1" ref="I5" ca="1">INDEX(rua_cod!$B:$B,Users!V5)</f>
        <v>Lisboa</v>
      </c>
      <c r="J5" t="s">
        <v>3728</v>
      </c>
      <c r="K5" t="s">
        <v>225</v>
      </c>
      <c r="L5" t="s">
        <v>265</v>
      </c>
      <c r="M5" t="str">
        <f t="shared" ca="1" si="1"/>
        <v>66458809</v>
      </c>
      <c r="N5" t="str">
        <f t="shared" ca="1" si="2"/>
        <v>994816491</v>
      </c>
      <c r="O5" t="str">
        <f t="shared" ca="1" si="2"/>
        <v>774593819</v>
      </c>
      <c r="P5" t="str" cm="1">
        <f t="array" aca="1" ref="P5" ca="1">9 &amp; INDEX($AF$3:$AF$6,W5)&amp; TEXT(RANDBETWEEN(0,9999999),"0000000")</f>
        <v>930236428</v>
      </c>
      <c r="Q5" t="str" cm="1">
        <f t="array" aca="1" ref="Q5" ca="1">LOWER(B5) &amp; INDEX($AF$9:$AF$11,X5)</f>
        <v>sanboa1500@sapo.pt</v>
      </c>
      <c r="R5" t="str">
        <f t="shared" ca="1" si="3"/>
        <v>sanboa1500.jpg</v>
      </c>
      <c r="T5" s="4"/>
      <c r="V5">
        <f ca="1">RANDBETWEEN(2,COUNTA(rua_cod!A:A))</f>
        <v>43</v>
      </c>
      <c r="W5">
        <f t="shared" ca="1" si="4"/>
        <v>3</v>
      </c>
      <c r="X5">
        <f t="shared" ca="1" si="5"/>
        <v>3</v>
      </c>
      <c r="Y5">
        <f t="shared" ca="1" si="6"/>
        <v>1969</v>
      </c>
      <c r="Z5">
        <f t="shared" ca="1" si="7"/>
        <v>11</v>
      </c>
      <c r="AA5">
        <f t="shared" ca="1" si="8"/>
        <v>5</v>
      </c>
      <c r="AB5">
        <f t="shared" ca="1" si="9"/>
        <v>51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tomluz2745</v>
      </c>
      <c r="C6" t="str">
        <f t="shared" ca="1" si="0"/>
        <v>pswtomluz2745</v>
      </c>
      <c r="D6" t="str">
        <f>Nomes!T7</f>
        <v>Tomás</v>
      </c>
      <c r="E6" t="str">
        <f>Nomes!S7</f>
        <v>Masculino</v>
      </c>
      <c r="F6" s="2">
        <v>25317</v>
      </c>
      <c r="G6" t="str" cm="1">
        <f t="array" aca="1" ref="G6" ca="1">INDEX(rua_cod!$F:$F,RANDBETWEEN(2,COUNTA(rua_cod!F:F)))</f>
        <v>Rua do Guarda-Mor</v>
      </c>
      <c r="H6" t="str" cm="1">
        <f t="array" aca="1" ref="H6" ca="1">INDEX(rua_cod!$A:$A,Users!V6) &amp; "-" &amp; TEXT(RANDBETWEEN(0,999),"000")</f>
        <v>2745-993</v>
      </c>
      <c r="I6" t="str" cm="1">
        <f t="array" aca="1" ref="I6" ca="1">INDEX(rua_cod!$B:$B,Users!V6)</f>
        <v>Queluz</v>
      </c>
      <c r="J6" t="s">
        <v>3728</v>
      </c>
      <c r="K6" t="s">
        <v>225</v>
      </c>
      <c r="L6" t="s">
        <v>265</v>
      </c>
      <c r="M6" t="str">
        <f t="shared" ca="1" si="1"/>
        <v>37949284</v>
      </c>
      <c r="N6" t="str">
        <f t="shared" ca="1" si="2"/>
        <v>243165826</v>
      </c>
      <c r="O6" t="str">
        <f t="shared" ca="1" si="2"/>
        <v>795495432</v>
      </c>
      <c r="P6" t="str" cm="1">
        <f t="array" aca="1" ref="P6" ca="1">9 &amp; INDEX($AF$3:$AF$6,W6)&amp; TEXT(RANDBETWEEN(0,9999999),"0000000")</f>
        <v>911943779</v>
      </c>
      <c r="Q6" t="str" cm="1">
        <f t="array" aca="1" ref="Q6" ca="1">LOWER(B6) &amp; INDEX($AF$9:$AF$11,X6)</f>
        <v>tomluz2745@outlook.com</v>
      </c>
      <c r="R6" t="str">
        <f t="shared" ca="1" si="3"/>
        <v>tomluz2745.jpg</v>
      </c>
      <c r="T6" s="4"/>
      <c r="V6">
        <f ca="1">RANDBETWEEN(2,COUNTA(rua_cod!A:A))</f>
        <v>90</v>
      </c>
      <c r="W6">
        <f t="shared" ca="1" si="4"/>
        <v>1</v>
      </c>
      <c r="X6">
        <f t="shared" ca="1" si="5"/>
        <v>1</v>
      </c>
      <c r="Y6">
        <f t="shared" ca="1" si="6"/>
        <v>1962</v>
      </c>
      <c r="Z6">
        <f t="shared" ca="1" si="7"/>
        <v>3</v>
      </c>
      <c r="AA6">
        <f t="shared" ca="1" si="8"/>
        <v>20</v>
      </c>
      <c r="AB6">
        <f t="shared" ca="1" si="9"/>
        <v>58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danrem2009</v>
      </c>
      <c r="C7" t="str">
        <f t="shared" ca="1" si="0"/>
        <v>pswdanrem2009</v>
      </c>
      <c r="D7" t="str">
        <f>Nomes!T8</f>
        <v>Daniela</v>
      </c>
      <c r="E7" t="str">
        <f>Nomes!S8</f>
        <v>Feminino</v>
      </c>
      <c r="F7" s="2">
        <v>25448</v>
      </c>
      <c r="G7" t="str" cm="1">
        <f t="array" aca="1" ref="G7" ca="1">INDEX(rua_cod!$F:$F,RANDBETWEEN(2,COUNTA(rua_cod!F:F)))</f>
        <v>Rua do Sacramento à Lapa</v>
      </c>
      <c r="H7" t="str" cm="1">
        <f t="array" aca="1" ref="H7" ca="1">INDEX(rua_cod!$A:$A,Users!V7) &amp; "-" &amp; TEXT(RANDBETWEEN(0,999),"000")</f>
        <v>2009-115</v>
      </c>
      <c r="I7" t="str" cm="1">
        <f t="array" aca="1" ref="I7" ca="1">INDEX(rua_cod!$B:$B,Users!V7)</f>
        <v>Santarém</v>
      </c>
      <c r="J7" t="s">
        <v>3728</v>
      </c>
      <c r="K7" t="s">
        <v>225</v>
      </c>
      <c r="L7" t="s">
        <v>265</v>
      </c>
      <c r="M7" t="str">
        <f t="shared" ca="1" si="1"/>
        <v>22384970</v>
      </c>
      <c r="N7" t="str">
        <f t="shared" ca="1" si="2"/>
        <v>715250879</v>
      </c>
      <c r="O7" t="str">
        <f t="shared" ca="1" si="2"/>
        <v>723959916</v>
      </c>
      <c r="P7" t="str" cm="1">
        <f t="array" aca="1" ref="P7" ca="1">9 &amp; INDEX($AF$3:$AF$6,W7)&amp; TEXT(RANDBETWEEN(0,9999999),"0000000")</f>
        <v>961749193</v>
      </c>
      <c r="Q7" t="str" cm="1">
        <f t="array" aca="1" ref="Q7" ca="1">LOWER(B7) &amp; INDEX($AF$9:$AF$11,X7)</f>
        <v>danrem2009@outlook.com</v>
      </c>
      <c r="R7" t="str">
        <f t="shared" ca="1" si="3"/>
        <v>danrem2009.jpg</v>
      </c>
      <c r="T7" s="4"/>
      <c r="V7">
        <f ca="1">RANDBETWEEN(2,COUNTA(rua_cod!A:A))</f>
        <v>95</v>
      </c>
      <c r="W7">
        <f t="shared" ca="1" si="4"/>
        <v>4</v>
      </c>
      <c r="X7">
        <f t="shared" ca="1" si="5"/>
        <v>1</v>
      </c>
      <c r="Y7">
        <f t="shared" ca="1" si="6"/>
        <v>1951</v>
      </c>
      <c r="Z7">
        <f t="shared" ca="1" si="7"/>
        <v>12</v>
      </c>
      <c r="AA7">
        <f t="shared" ca="1" si="8"/>
        <v>11</v>
      </c>
      <c r="AB7">
        <f t="shared" ca="1" si="9"/>
        <v>69</v>
      </c>
    </row>
    <row r="8" spans="1:32" x14ac:dyDescent="0.25">
      <c r="A8">
        <v>7</v>
      </c>
      <c r="B8" t="str" cm="1">
        <f t="array" aca="1" ref="B8" ca="1">replaceChar(LOWER(LEFT(D8,3)&amp;RIGHT(I8,3))&amp;LEFT(H8,4))</f>
        <v>luiora2720</v>
      </c>
      <c r="C8" t="str">
        <f t="shared" ca="1" si="0"/>
        <v>pswluiora2720</v>
      </c>
      <c r="D8" t="str">
        <f>Nomes!T9</f>
        <v>Luís</v>
      </c>
      <c r="E8" t="str">
        <f>Nomes!S9</f>
        <v>Masculino</v>
      </c>
      <c r="F8" s="2">
        <v>26214</v>
      </c>
      <c r="G8" t="str" cm="1">
        <f t="array" aca="1" ref="G8" ca="1">INDEX(rua_cod!$F:$F,RANDBETWEEN(2,COUNTA(rua_cod!F:F)))</f>
        <v>Calçada de Carriche</v>
      </c>
      <c r="H8" t="str" cm="1">
        <f t="array" aca="1" ref="H8" ca="1">INDEX(rua_cod!$A:$A,Users!V8) &amp; "-" &amp; TEXT(RANDBETWEEN(0,999),"000")</f>
        <v>2720-817</v>
      </c>
      <c r="I8" t="str" cm="1">
        <f t="array" aca="1" ref="I8" ca="1">INDEX(rua_cod!$B:$B,Users!V8)</f>
        <v>Amadora</v>
      </c>
      <c r="J8" t="s">
        <v>3728</v>
      </c>
      <c r="K8" t="s">
        <v>225</v>
      </c>
      <c r="L8" t="s">
        <v>265</v>
      </c>
      <c r="M8" t="str">
        <f t="shared" ca="1" si="1"/>
        <v>97503396</v>
      </c>
      <c r="N8" t="str">
        <f t="shared" ca="1" si="2"/>
        <v>661520255</v>
      </c>
      <c r="O8" t="str">
        <f t="shared" ca="1" si="2"/>
        <v>253674924</v>
      </c>
      <c r="P8" t="str" cm="1">
        <f t="array" aca="1" ref="P8" ca="1">9 &amp; INDEX($AF$3:$AF$6,W8)&amp; TEXT(RANDBETWEEN(0,9999999),"0000000")</f>
        <v>914759158</v>
      </c>
      <c r="Q8" t="str" cm="1">
        <f t="array" aca="1" ref="Q8" ca="1">LOWER(B8) &amp; INDEX($AF$9:$AF$11,X8)</f>
        <v>luiora2720@sapo.pt</v>
      </c>
      <c r="R8" t="str">
        <f t="shared" ca="1" si="3"/>
        <v>luiora2720.jpg</v>
      </c>
      <c r="T8" s="4"/>
      <c r="V8">
        <f ca="1">RANDBETWEEN(2,COUNTA(rua_cod!A:A))</f>
        <v>8</v>
      </c>
      <c r="W8">
        <f t="shared" ca="1" si="4"/>
        <v>1</v>
      </c>
      <c r="X8">
        <f t="shared" ca="1" si="5"/>
        <v>3</v>
      </c>
      <c r="Y8">
        <f t="shared" ca="1" si="6"/>
        <v>1996</v>
      </c>
      <c r="Z8">
        <f t="shared" ca="1" si="7"/>
        <v>9</v>
      </c>
      <c r="AA8">
        <f t="shared" ca="1" si="8"/>
        <v>4</v>
      </c>
      <c r="AB8">
        <f t="shared" ca="1" si="9"/>
        <v>24</v>
      </c>
    </row>
    <row r="9" spans="1:32" x14ac:dyDescent="0.25">
      <c r="A9">
        <v>8</v>
      </c>
      <c r="B9" t="str" cm="1">
        <f t="array" aca="1" ref="B9" ca="1">replaceChar(LOWER(LEFT(D9,3)&amp;RIGHT(I9,3))&amp;LEFT(H9,4))</f>
        <v>dantra2714</v>
      </c>
      <c r="C9" t="str">
        <f t="shared" ca="1" si="0"/>
        <v>pswdantra2714</v>
      </c>
      <c r="D9" t="str">
        <f>Nomes!T10</f>
        <v>Daniela</v>
      </c>
      <c r="E9" t="str">
        <f>Nomes!S10</f>
        <v>Feminino</v>
      </c>
      <c r="F9" s="2">
        <v>41662</v>
      </c>
      <c r="G9" t="str" cm="1">
        <f t="array" aca="1" ref="G9" ca="1">INDEX(rua_cod!$F:$F,RANDBETWEEN(2,COUNTA(rua_cod!F:F)))</f>
        <v>Rua Roberto Duarte Silva</v>
      </c>
      <c r="H9" t="str" cm="1">
        <f t="array" aca="1" ref="H9" ca="1">INDEX(rua_cod!$A:$A,Users!V9) &amp; "-" &amp; TEXT(RANDBETWEEN(0,999),"000")</f>
        <v>2714-014</v>
      </c>
      <c r="I9" t="str" cm="1">
        <f t="array" aca="1" ref="I9" ca="1">INDEX(rua_cod!$B:$B,Users!V9)</f>
        <v>Sintra</v>
      </c>
      <c r="J9" t="s">
        <v>3728</v>
      </c>
      <c r="K9" t="s">
        <v>225</v>
      </c>
      <c r="L9" t="s">
        <v>265</v>
      </c>
      <c r="M9" t="str">
        <f t="shared" ca="1" si="1"/>
        <v>34104359</v>
      </c>
      <c r="N9" t="str">
        <f t="shared" ca="1" si="2"/>
        <v>190009424</v>
      </c>
      <c r="O9" t="str">
        <f t="shared" ca="1" si="2"/>
        <v>943199465</v>
      </c>
      <c r="P9" t="str" cm="1">
        <f t="array" aca="1" ref="P9" ca="1">9 &amp; INDEX($AF$3:$AF$6,W9)&amp; TEXT(RANDBETWEEN(0,9999999),"0000000")</f>
        <v>964020397</v>
      </c>
      <c r="Q9" t="str" cm="1">
        <f t="array" aca="1" ref="Q9" ca="1">LOWER(B9) &amp; INDEX($AF$9:$AF$11,X9)</f>
        <v>dantra2714@outlook.com</v>
      </c>
      <c r="R9" t="str">
        <f t="shared" ca="1" si="3"/>
        <v>dantra2714.jpg</v>
      </c>
      <c r="T9" s="4"/>
      <c r="V9">
        <f ca="1">RANDBETWEEN(2,COUNTA(rua_cod!A:A))</f>
        <v>101</v>
      </c>
      <c r="W9">
        <f t="shared" ca="1" si="4"/>
        <v>4</v>
      </c>
      <c r="X9">
        <f t="shared" ca="1" si="5"/>
        <v>1</v>
      </c>
      <c r="Y9">
        <f t="shared" ca="1" si="6"/>
        <v>1996</v>
      </c>
      <c r="Z9">
        <f t="shared" ca="1" si="7"/>
        <v>6</v>
      </c>
      <c r="AA9">
        <f t="shared" ca="1" si="8"/>
        <v>2</v>
      </c>
      <c r="AB9">
        <f t="shared" ca="1" si="9"/>
        <v>24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tiaica2829</v>
      </c>
      <c r="C10" t="str">
        <f t="shared" ca="1" si="0"/>
        <v>pswtiaica2829</v>
      </c>
      <c r="D10" t="str">
        <f>Nomes!T11</f>
        <v>Tiago</v>
      </c>
      <c r="E10" t="str">
        <f>Nomes!S11</f>
        <v>Masculino</v>
      </c>
      <c r="F10" s="2">
        <v>28055</v>
      </c>
      <c r="G10" t="str" cm="1">
        <f t="array" aca="1" ref="G10" ca="1">INDEX(rua_cod!$F:$F,RANDBETWEEN(2,COUNTA(rua_cod!F:F)))</f>
        <v>Rua do Salitre</v>
      </c>
      <c r="H10" t="str" cm="1">
        <f t="array" aca="1" ref="H10" ca="1">INDEX(rua_cod!$A:$A,Users!V10) &amp; "-" &amp; TEXT(RANDBETWEEN(0,999),"000")</f>
        <v>2829-143</v>
      </c>
      <c r="I10" t="str" cm="1">
        <f t="array" aca="1" ref="I10" ca="1">INDEX(rua_cod!$B:$B,Users!V10)</f>
        <v>Caparica</v>
      </c>
      <c r="J10" t="s">
        <v>3728</v>
      </c>
      <c r="K10" t="s">
        <v>225</v>
      </c>
      <c r="L10" t="s">
        <v>265</v>
      </c>
      <c r="M10" t="str">
        <f t="shared" ca="1" si="1"/>
        <v>70218740</v>
      </c>
      <c r="N10" t="str">
        <f t="shared" ca="1" si="2"/>
        <v>990332082</v>
      </c>
      <c r="O10" t="str">
        <f t="shared" ca="1" si="2"/>
        <v>571368569</v>
      </c>
      <c r="P10" t="str" cm="1">
        <f t="array" aca="1" ref="P10" ca="1">9 &amp; INDEX($AF$3:$AF$6,W10)&amp; TEXT(RANDBETWEEN(0,9999999),"0000000")</f>
        <v>960217752</v>
      </c>
      <c r="Q10" t="str" cm="1">
        <f t="array" aca="1" ref="Q10" ca="1">LOWER(B10) &amp; INDEX($AF$9:$AF$11,X10)</f>
        <v>tiaica2829@gmail.com</v>
      </c>
      <c r="R10" t="str">
        <f t="shared" ca="1" si="3"/>
        <v>tiaica2829.jpg</v>
      </c>
      <c r="T10" s="4"/>
      <c r="V10">
        <f ca="1">RANDBETWEEN(2,COUNTA(rua_cod!A:A))</f>
        <v>19</v>
      </c>
      <c r="W10">
        <f t="shared" ca="1" si="4"/>
        <v>4</v>
      </c>
      <c r="X10">
        <f t="shared" ca="1" si="5"/>
        <v>2</v>
      </c>
      <c r="Y10">
        <f t="shared" ca="1" si="6"/>
        <v>2001</v>
      </c>
      <c r="Z10">
        <f t="shared" ca="1" si="7"/>
        <v>11</v>
      </c>
      <c r="AA10">
        <f t="shared" ca="1" si="8"/>
        <v>12</v>
      </c>
      <c r="AB10">
        <f t="shared" ca="1" si="9"/>
        <v>19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danboa1849</v>
      </c>
      <c r="C11" t="str">
        <f t="shared" ca="1" si="0"/>
        <v>pswdanboa1849</v>
      </c>
      <c r="D11" t="str">
        <f>Nomes!T12</f>
        <v>Daniela</v>
      </c>
      <c r="E11" t="str">
        <f>Nomes!S12</f>
        <v>Feminino</v>
      </c>
      <c r="F11" s="2">
        <v>30531</v>
      </c>
      <c r="G11" t="str" cm="1">
        <f t="array" aca="1" ref="G11" ca="1">INDEX(rua_cod!$F:$F,RANDBETWEEN(2,COUNTA(rua_cod!F:F)))</f>
        <v>Calçada de Carriche</v>
      </c>
      <c r="H11" t="str" cm="1">
        <f t="array" aca="1" ref="H11" ca="1">INDEX(rua_cod!$A:$A,Users!V11) &amp; "-" &amp; TEXT(RANDBETWEEN(0,999),"000")</f>
        <v>1849-350</v>
      </c>
      <c r="I11" t="str" cm="1">
        <f t="array" aca="1" ref="I11" ca="1">INDEX(rua_cod!$B:$B,Users!V11)</f>
        <v>Lisboa</v>
      </c>
      <c r="J11" t="s">
        <v>3728</v>
      </c>
      <c r="K11" t="s">
        <v>225</v>
      </c>
      <c r="L11" t="s">
        <v>265</v>
      </c>
      <c r="M11" t="str">
        <f t="shared" ca="1" si="1"/>
        <v>61590522</v>
      </c>
      <c r="N11" t="str">
        <f t="shared" ca="1" si="2"/>
        <v>530451286</v>
      </c>
      <c r="O11" t="str">
        <f t="shared" ca="1" si="2"/>
        <v>567939797</v>
      </c>
      <c r="P11" t="str" cm="1">
        <f t="array" aca="1" ref="P11" ca="1">9 &amp; INDEX($AF$3:$AF$6,W11)&amp; TEXT(RANDBETWEEN(0,9999999),"0000000")</f>
        <v>922142970</v>
      </c>
      <c r="Q11" t="str" cm="1">
        <f t="array" aca="1" ref="Q11" ca="1">LOWER(B11) &amp; INDEX($AF$9:$AF$11,X11)</f>
        <v>danboa1849@gmail.com</v>
      </c>
      <c r="R11" t="str">
        <f t="shared" ca="1" si="3"/>
        <v>danboa1849.jpg</v>
      </c>
      <c r="T11" s="4"/>
      <c r="V11">
        <f ca="1">RANDBETWEEN(2,COUNTA(rua_cod!A:A))</f>
        <v>64</v>
      </c>
      <c r="W11">
        <f t="shared" ca="1" si="4"/>
        <v>2</v>
      </c>
      <c r="X11">
        <f t="shared" ca="1" si="5"/>
        <v>2</v>
      </c>
      <c r="Y11">
        <f t="shared" ca="1" si="6"/>
        <v>1999</v>
      </c>
      <c r="Z11">
        <f t="shared" ca="1" si="7"/>
        <v>8</v>
      </c>
      <c r="AA11">
        <f t="shared" ca="1" si="8"/>
        <v>23</v>
      </c>
      <c r="AB11">
        <f t="shared" ca="1" si="9"/>
        <v>21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ineais2754</v>
      </c>
      <c r="C12" t="str">
        <f t="shared" ca="1" si="0"/>
        <v>pswineais2754</v>
      </c>
      <c r="D12" t="str">
        <f>Nomes!T13</f>
        <v>Inês</v>
      </c>
      <c r="E12" t="str">
        <f>Nomes!S13</f>
        <v>Feminino</v>
      </c>
      <c r="F12" s="2">
        <v>10192</v>
      </c>
      <c r="G12" t="str" cm="1">
        <f t="array" aca="1" ref="G12" ca="1">INDEX(rua_cod!$F:$F,RANDBETWEEN(2,COUNTA(rua_cod!F:F)))</f>
        <v>Rua Ferreira Lapa</v>
      </c>
      <c r="H12" t="str" cm="1">
        <f t="array" aca="1" ref="H12" ca="1">INDEX(rua_cod!$A:$A,Users!V12) &amp; "-" &amp; TEXT(RANDBETWEEN(0,999),"000")</f>
        <v>2754-265</v>
      </c>
      <c r="I12" t="str" cm="1">
        <f t="array" aca="1" ref="I12" ca="1">INDEX(rua_cod!$B:$B,Users!V12)</f>
        <v>Cascais</v>
      </c>
      <c r="J12" t="s">
        <v>3728</v>
      </c>
      <c r="K12" t="s">
        <v>225</v>
      </c>
      <c r="L12" t="s">
        <v>265</v>
      </c>
      <c r="M12" t="str">
        <f t="shared" ca="1" si="1"/>
        <v>43023843</v>
      </c>
      <c r="N12" t="str">
        <f t="shared" ca="1" si="2"/>
        <v>342409352</v>
      </c>
      <c r="O12" t="str">
        <f t="shared" ca="1" si="2"/>
        <v>992738956</v>
      </c>
      <c r="P12" t="str" cm="1">
        <f t="array" aca="1" ref="P12" ca="1">9 &amp; INDEX($AF$3:$AF$6,W12)&amp; TEXT(RANDBETWEEN(0,9999999),"0000000")</f>
        <v>924751168</v>
      </c>
      <c r="Q12" t="str" cm="1">
        <f t="array" aca="1" ref="Q12" ca="1">LOWER(B12) &amp; INDEX($AF$9:$AF$11,X12)</f>
        <v>ineais2754@outlook.com</v>
      </c>
      <c r="R12" t="str">
        <f t="shared" ca="1" si="3"/>
        <v>ineais2754.jpg</v>
      </c>
      <c r="T12" s="4"/>
      <c r="V12">
        <f ca="1">RANDBETWEEN(2,COUNTA(rua_cod!A:A))</f>
        <v>25</v>
      </c>
      <c r="W12">
        <f t="shared" ca="1" si="4"/>
        <v>2</v>
      </c>
      <c r="X12">
        <f t="shared" ca="1" si="5"/>
        <v>1</v>
      </c>
      <c r="Y12">
        <f t="shared" ca="1" si="6"/>
        <v>1953</v>
      </c>
      <c r="Z12">
        <f t="shared" ca="1" si="7"/>
        <v>1</v>
      </c>
      <c r="AA12">
        <f t="shared" ca="1" si="8"/>
        <v>18</v>
      </c>
      <c r="AB12">
        <f t="shared" ca="1" si="9"/>
        <v>67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tomboa1150</v>
      </c>
      <c r="C13" t="str">
        <f t="shared" ca="1" si="0"/>
        <v>pswtomboa1150</v>
      </c>
      <c r="D13" t="str">
        <f ca="1">Nomes!T14</f>
        <v>Tomás Barbosa</v>
      </c>
      <c r="E13" t="str">
        <f>Nomes!S14</f>
        <v>Masculino</v>
      </c>
      <c r="F13" s="2">
        <v>11987</v>
      </c>
      <c r="G13" t="str" cm="1">
        <f t="array" aca="1" ref="G13" ca="1">INDEX(rua_cod!$F:$F,RANDBETWEEN(2,COUNTA(rua_cod!F:F)))</f>
        <v>Rua Cidade de Bolama</v>
      </c>
      <c r="H13" t="str" cm="1">
        <f t="array" aca="1" ref="H13" ca="1">INDEX(rua_cod!$A:$A,Users!V13) &amp; "-" &amp; TEXT(RANDBETWEEN(0,999),"000")</f>
        <v>1150-234</v>
      </c>
      <c r="I13" t="str" cm="1">
        <f t="array" aca="1" ref="I13" ca="1">INDEX(rua_cod!$B:$B,Users!V13)</f>
        <v>Lisboa</v>
      </c>
      <c r="J13" t="s">
        <v>3728</v>
      </c>
      <c r="K13" t="s">
        <v>225</v>
      </c>
      <c r="L13" t="s">
        <v>265</v>
      </c>
      <c r="M13" t="str">
        <f t="shared" ca="1" si="1"/>
        <v>50256981</v>
      </c>
      <c r="N13" t="str">
        <f t="shared" ca="1" si="2"/>
        <v>344964118</v>
      </c>
      <c r="O13" t="str">
        <f t="shared" ca="1" si="2"/>
        <v>486530124</v>
      </c>
      <c r="P13" t="str" cm="1">
        <f t="array" aca="1" ref="P13" ca="1">9 &amp; INDEX($AF$3:$AF$6,W13)&amp; TEXT(RANDBETWEEN(0,9999999),"0000000")</f>
        <v>918435515</v>
      </c>
      <c r="Q13" t="str" cm="1">
        <f t="array" aca="1" ref="Q13" ca="1">LOWER(B13) &amp; INDEX($AF$9:$AF$11,X13)</f>
        <v>tomboa1150@outlook.com</v>
      </c>
      <c r="R13" t="str">
        <f t="shared" ca="1" si="3"/>
        <v>tomboa1150.jpg</v>
      </c>
      <c r="T13" s="4"/>
      <c r="V13">
        <f ca="1">RANDBETWEEN(2,COUNTA(rua_cod!A:A))</f>
        <v>44</v>
      </c>
      <c r="W13">
        <f t="shared" ca="1" si="4"/>
        <v>1</v>
      </c>
      <c r="X13">
        <f t="shared" ca="1" si="5"/>
        <v>1</v>
      </c>
      <c r="Y13">
        <f t="shared" ca="1" si="6"/>
        <v>1989</v>
      </c>
      <c r="Z13">
        <f t="shared" ca="1" si="7"/>
        <v>1</v>
      </c>
      <c r="AA13">
        <f t="shared" ca="1" si="8"/>
        <v>27</v>
      </c>
      <c r="AB13">
        <f t="shared" ca="1" si="9"/>
        <v>31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andboa1750</v>
      </c>
      <c r="C14" t="str">
        <f t="shared" ca="1" si="0"/>
        <v>pswandboa1750</v>
      </c>
      <c r="D14" t="str">
        <f ca="1">Nomes!T15</f>
        <v>André Oliveira</v>
      </c>
      <c r="E14" t="str">
        <f>Nomes!S15</f>
        <v>Masculino</v>
      </c>
      <c r="F14" s="2">
        <v>28287</v>
      </c>
      <c r="G14" t="str" cm="1">
        <f t="array" aca="1" ref="G14" ca="1">INDEX(rua_cod!$F:$F,RANDBETWEEN(2,COUNTA(rua_cod!F:F)))</f>
        <v>Rua dos Heróis de Quionga</v>
      </c>
      <c r="H14" t="str" cm="1">
        <f t="array" aca="1" ref="H14" ca="1">INDEX(rua_cod!$A:$A,Users!V14) &amp; "-" &amp; TEXT(RANDBETWEEN(0,999),"000")</f>
        <v>1750-117</v>
      </c>
      <c r="I14" t="str" cm="1">
        <f t="array" aca="1" ref="I14" ca="1">INDEX(rua_cod!$B:$B,Users!V14)</f>
        <v>Lisboa</v>
      </c>
      <c r="J14" t="s">
        <v>3728</v>
      </c>
      <c r="K14" t="s">
        <v>225</v>
      </c>
      <c r="L14" t="s">
        <v>265</v>
      </c>
      <c r="M14" t="str">
        <f t="shared" ca="1" si="1"/>
        <v>57545814</v>
      </c>
      <c r="N14" t="str">
        <f t="shared" ca="1" si="2"/>
        <v>360407602</v>
      </c>
      <c r="O14" t="str">
        <f t="shared" ca="1" si="2"/>
        <v>119427636</v>
      </c>
      <c r="P14" t="str" cm="1">
        <f t="array" aca="1" ref="P14" ca="1">9 &amp; INDEX($AF$3:$AF$6,W14)&amp; TEXT(RANDBETWEEN(0,9999999),"0000000")</f>
        <v>939148737</v>
      </c>
      <c r="Q14" t="str" cm="1">
        <f t="array" aca="1" ref="Q14" ca="1">LOWER(B14) &amp; INDEX($AF$9:$AF$11,X14)</f>
        <v>andboa1750@gmail.com</v>
      </c>
      <c r="R14" t="str">
        <f t="shared" ca="1" si="3"/>
        <v>andboa1750.jpg</v>
      </c>
      <c r="T14" s="4"/>
      <c r="V14">
        <f ca="1">RANDBETWEEN(2,COUNTA(rua_cod!A:A))</f>
        <v>49</v>
      </c>
      <c r="W14">
        <f t="shared" ca="1" si="4"/>
        <v>3</v>
      </c>
      <c r="X14">
        <f t="shared" ca="1" si="5"/>
        <v>2</v>
      </c>
      <c r="Y14">
        <f t="shared" ca="1" si="6"/>
        <v>1961</v>
      </c>
      <c r="Z14">
        <f t="shared" ca="1" si="7"/>
        <v>7</v>
      </c>
      <c r="AA14">
        <f t="shared" ca="1" si="8"/>
        <v>10</v>
      </c>
      <c r="AB14">
        <f t="shared" ca="1" si="9"/>
        <v>59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sarboa1149</v>
      </c>
      <c r="C15" t="str">
        <f t="shared" ca="1" si="0"/>
        <v>pswsarboa1149</v>
      </c>
      <c r="D15" t="str">
        <f ca="1">Nomes!T16</f>
        <v>Sara Sousa</v>
      </c>
      <c r="E15" t="str">
        <f>Nomes!S16</f>
        <v>Feminino</v>
      </c>
      <c r="F15" s="2">
        <v>26925</v>
      </c>
      <c r="G15" t="str" cm="1">
        <f t="array" aca="1" ref="G15" ca="1">INDEX(rua_cod!$F:$F,RANDBETWEEN(2,COUNTA(rua_cod!F:F)))</f>
        <v>Rua de São Julião</v>
      </c>
      <c r="H15" t="str" cm="1">
        <f t="array" aca="1" ref="H15" ca="1">INDEX(rua_cod!$A:$A,Users!V15) &amp; "-" &amp; TEXT(RANDBETWEEN(0,999),"000")</f>
        <v>1149-621</v>
      </c>
      <c r="I15" t="str" cm="1">
        <f t="array" aca="1" ref="I15" ca="1">INDEX(rua_cod!$B:$B,Users!V15)</f>
        <v>Lisboa</v>
      </c>
      <c r="J15" t="s">
        <v>3728</v>
      </c>
      <c r="K15" t="s">
        <v>225</v>
      </c>
      <c r="L15" t="s">
        <v>265</v>
      </c>
      <c r="M15" t="str">
        <f t="shared" ca="1" si="1"/>
        <v>35802169</v>
      </c>
      <c r="N15" t="str">
        <f t="shared" ca="1" si="2"/>
        <v>145209233</v>
      </c>
      <c r="O15" t="str">
        <f t="shared" ca="1" si="2"/>
        <v>660048967</v>
      </c>
      <c r="P15" t="str" cm="1">
        <f t="array" aca="1" ref="P15" ca="1">9 &amp; INDEX($AF$3:$AF$6,W15)&amp; TEXT(RANDBETWEEN(0,9999999),"0000000")</f>
        <v>960494510</v>
      </c>
      <c r="Q15" t="str" cm="1">
        <f t="array" aca="1" ref="Q15" ca="1">LOWER(B15) &amp; INDEX($AF$9:$AF$11,X15)</f>
        <v>sarboa1149@outlook.com</v>
      </c>
      <c r="R15" t="str">
        <f t="shared" ca="1" si="3"/>
        <v>sarboa1149.jpg</v>
      </c>
      <c r="T15" s="4"/>
      <c r="V15">
        <f ca="1">RANDBETWEEN(2,COUNTA(rua_cod!A:A))</f>
        <v>59</v>
      </c>
      <c r="W15">
        <f t="shared" ca="1" si="4"/>
        <v>4</v>
      </c>
      <c r="X15">
        <f t="shared" ca="1" si="5"/>
        <v>1</v>
      </c>
      <c r="Y15">
        <f t="shared" ca="1" si="6"/>
        <v>1968</v>
      </c>
      <c r="Z15">
        <f t="shared" ca="1" si="7"/>
        <v>7</v>
      </c>
      <c r="AA15">
        <f t="shared" ca="1" si="8"/>
        <v>25</v>
      </c>
      <c r="AB15">
        <f t="shared" ca="1" si="9"/>
        <v>52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sofras2780</v>
      </c>
      <c r="C16" t="str">
        <f t="shared" ca="1" si="0"/>
        <v>pswsofras2780</v>
      </c>
      <c r="D16" t="str">
        <f ca="1">Nomes!T17</f>
        <v>Sofia Moreira</v>
      </c>
      <c r="E16" t="str">
        <f>Nomes!S17</f>
        <v>Feminino</v>
      </c>
      <c r="F16" s="2">
        <v>21109</v>
      </c>
      <c r="G16" t="str" cm="1">
        <f t="array" aca="1" ref="G16" ca="1">INDEX(rua_cod!$F:$F,RANDBETWEEN(2,COUNTA(rua_cod!F:F)))</f>
        <v>Rua Augusta</v>
      </c>
      <c r="H16" t="str" cm="1">
        <f t="array" aca="1" ref="H16" ca="1">INDEX(rua_cod!$A:$A,Users!V16) &amp; "-" &amp; TEXT(RANDBETWEEN(0,999),"000")</f>
        <v>2780-616</v>
      </c>
      <c r="I16" t="str" cm="1">
        <f t="array" aca="1" ref="I16" ca="1">INDEX(rua_cod!$B:$B,Users!V16)</f>
        <v>Oeiras</v>
      </c>
      <c r="J16" t="s">
        <v>3728</v>
      </c>
      <c r="K16" t="s">
        <v>225</v>
      </c>
      <c r="L16" t="s">
        <v>265</v>
      </c>
      <c r="M16" t="str">
        <f t="shared" ca="1" si="1"/>
        <v>26431709</v>
      </c>
      <c r="N16" t="str">
        <f t="shared" ca="1" si="2"/>
        <v>876056642</v>
      </c>
      <c r="O16" t="str">
        <f t="shared" ca="1" si="2"/>
        <v>484627452</v>
      </c>
      <c r="P16" t="str" cm="1">
        <f t="array" aca="1" ref="P16" ca="1">9 &amp; INDEX($AF$3:$AF$6,W16)&amp; TEXT(RANDBETWEEN(0,9999999),"0000000")</f>
        <v>961458374</v>
      </c>
      <c r="Q16" t="str" cm="1">
        <f t="array" aca="1" ref="Q16" ca="1">LOWER(B16) &amp; INDEX($AF$9:$AF$11,X16)</f>
        <v>sofras2780@gmail.com</v>
      </c>
      <c r="R16" t="str">
        <f t="shared" ca="1" si="3"/>
        <v>sofras2780.jpg</v>
      </c>
      <c r="T16" s="4"/>
      <c r="V16">
        <f ca="1">RANDBETWEEN(2,COUNTA(rua_cod!A:A))</f>
        <v>88</v>
      </c>
      <c r="W16">
        <f t="shared" ca="1" si="4"/>
        <v>4</v>
      </c>
      <c r="X16">
        <f t="shared" ca="1" si="5"/>
        <v>2</v>
      </c>
      <c r="Y16">
        <f t="shared" ca="1" si="6"/>
        <v>1966</v>
      </c>
      <c r="Z16">
        <f t="shared" ca="1" si="7"/>
        <v>5</v>
      </c>
      <c r="AA16">
        <f t="shared" ca="1" si="8"/>
        <v>3</v>
      </c>
      <c r="AB16">
        <f t="shared" ca="1" si="9"/>
        <v>54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aforem2004</v>
      </c>
      <c r="C17" t="str">
        <f t="shared" ca="1" si="0"/>
        <v>pswaforem2004</v>
      </c>
      <c r="D17" t="str">
        <f ca="1">Nomes!T18</f>
        <v>Afonso Paiva</v>
      </c>
      <c r="E17" t="str">
        <f>Nomes!S18</f>
        <v>Masculino</v>
      </c>
      <c r="F17" s="2">
        <v>31299</v>
      </c>
      <c r="G17" t="str" cm="1">
        <f t="array" aca="1" ref="G17" ca="1">INDEX(rua_cod!$F:$F,RANDBETWEEN(2,COUNTA(rua_cod!F:F)))</f>
        <v>Rua Ferreira Lapa</v>
      </c>
      <c r="H17" t="str" cm="1">
        <f t="array" aca="1" ref="H17" ca="1">INDEX(rua_cod!$A:$A,Users!V17) &amp; "-" &amp; TEXT(RANDBETWEEN(0,999),"000")</f>
        <v>2004-460</v>
      </c>
      <c r="I17" t="str" cm="1">
        <f t="array" aca="1" ref="I17" ca="1">INDEX(rua_cod!$B:$B,Users!V17)</f>
        <v>Santarém</v>
      </c>
      <c r="J17" t="s">
        <v>3728</v>
      </c>
      <c r="K17" t="s">
        <v>225</v>
      </c>
      <c r="L17" t="s">
        <v>265</v>
      </c>
      <c r="M17" t="str">
        <f t="shared" ca="1" si="1"/>
        <v>69739509</v>
      </c>
      <c r="N17" t="str">
        <f t="shared" ca="1" si="2"/>
        <v>721902082</v>
      </c>
      <c r="O17" t="str">
        <f t="shared" ca="1" si="2"/>
        <v>678970759</v>
      </c>
      <c r="P17" t="str" cm="1">
        <f t="array" aca="1" ref="P17" ca="1">9 &amp; INDEX($AF$3:$AF$6,W17)&amp; TEXT(RANDBETWEEN(0,9999999),"0000000")</f>
        <v>960539204</v>
      </c>
      <c r="Q17" t="str" cm="1">
        <f t="array" aca="1" ref="Q17" ca="1">LOWER(B17) &amp; INDEX($AF$9:$AF$11,X17)</f>
        <v>aforem2004@outlook.com</v>
      </c>
      <c r="R17" t="str">
        <f t="shared" ca="1" si="3"/>
        <v>aforem2004.jpg</v>
      </c>
      <c r="T17" s="4"/>
      <c r="V17">
        <f ca="1">RANDBETWEEN(2,COUNTA(rua_cod!A:A))</f>
        <v>94</v>
      </c>
      <c r="W17">
        <f t="shared" ca="1" si="4"/>
        <v>4</v>
      </c>
      <c r="X17">
        <f t="shared" ca="1" si="5"/>
        <v>1</v>
      </c>
      <c r="Y17">
        <f t="shared" ca="1" si="6"/>
        <v>2022</v>
      </c>
      <c r="Z17">
        <f t="shared" ca="1" si="7"/>
        <v>6</v>
      </c>
      <c r="AA17">
        <f t="shared" ca="1" si="8"/>
        <v>26</v>
      </c>
      <c r="AB17">
        <f t="shared" ca="1" si="9"/>
        <v>-2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sofais2754</v>
      </c>
      <c r="C18" t="str">
        <f t="shared" ca="1" si="0"/>
        <v>pswsofais2754</v>
      </c>
      <c r="D18" t="str">
        <f ca="1">Nomes!T19</f>
        <v>Sofia Sá</v>
      </c>
      <c r="E18" t="str">
        <f>Nomes!S19</f>
        <v>Feminino</v>
      </c>
      <c r="F18" s="2">
        <v>22764</v>
      </c>
      <c r="G18" t="str" cm="1">
        <f t="array" aca="1" ref="G18" ca="1">INDEX(rua_cod!$F:$F,RANDBETWEEN(2,COUNTA(rua_cod!F:F)))</f>
        <v>Rua da Madalena</v>
      </c>
      <c r="H18" t="str" cm="1">
        <f t="array" aca="1" ref="H18" ca="1">INDEX(rua_cod!$A:$A,Users!V18) &amp; "-" &amp; TEXT(RANDBETWEEN(0,999),"000")</f>
        <v>2754-880</v>
      </c>
      <c r="I18" t="str" cm="1">
        <f t="array" aca="1" ref="I18" ca="1">INDEX(rua_cod!$B:$B,Users!V18)</f>
        <v>Cascais</v>
      </c>
      <c r="J18" t="s">
        <v>3728</v>
      </c>
      <c r="K18" t="s">
        <v>225</v>
      </c>
      <c r="L18" t="s">
        <v>265</v>
      </c>
      <c r="M18" t="str">
        <f t="shared" ca="1" si="1"/>
        <v>44296509</v>
      </c>
      <c r="N18" t="str">
        <f t="shared" ca="1" si="2"/>
        <v>233272857</v>
      </c>
      <c r="O18" t="str">
        <f t="shared" ca="1" si="2"/>
        <v>310658103</v>
      </c>
      <c r="P18" t="str" cm="1">
        <f t="array" aca="1" ref="P18" ca="1">9 &amp; INDEX($AF$3:$AF$6,W18)&amp; TEXT(RANDBETWEEN(0,9999999),"0000000")</f>
        <v>929354565</v>
      </c>
      <c r="Q18" t="str" cm="1">
        <f t="array" aca="1" ref="Q18" ca="1">LOWER(B18) &amp; INDEX($AF$9:$AF$11,X18)</f>
        <v>sofais2754@sapo.pt</v>
      </c>
      <c r="R18" t="str">
        <f t="shared" ca="1" si="3"/>
        <v>sofais2754.jpg</v>
      </c>
      <c r="T18" s="4"/>
      <c r="V18">
        <f ca="1">RANDBETWEEN(2,COUNTA(rua_cod!A:A))</f>
        <v>25</v>
      </c>
      <c r="W18">
        <f t="shared" ca="1" si="4"/>
        <v>2</v>
      </c>
      <c r="X18">
        <f t="shared" ca="1" si="5"/>
        <v>3</v>
      </c>
      <c r="Y18">
        <f t="shared" ca="1" si="6"/>
        <v>1989</v>
      </c>
      <c r="Z18">
        <f t="shared" ca="1" si="7"/>
        <v>5</v>
      </c>
      <c r="AA18">
        <f t="shared" ca="1" si="8"/>
        <v>4</v>
      </c>
      <c r="AB18">
        <f t="shared" ca="1" si="9"/>
        <v>31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dioboa1170</v>
      </c>
      <c r="C19" t="str">
        <f t="shared" ca="1" si="0"/>
        <v>pswdioboa1170</v>
      </c>
      <c r="D19" t="str">
        <f ca="1">Nomes!T20</f>
        <v>Diogo Simões</v>
      </c>
      <c r="E19" t="str">
        <f>Nomes!S20</f>
        <v>Masculino</v>
      </c>
      <c r="F19" s="2">
        <v>23791</v>
      </c>
      <c r="G19" t="str" cm="1">
        <f t="array" aca="1" ref="G19" ca="1">INDEX(rua_cod!$F:$F,RANDBETWEEN(2,COUNTA(rua_cod!F:F)))</f>
        <v>Rua Ferreira Lapa</v>
      </c>
      <c r="H19" t="str" cm="1">
        <f t="array" aca="1" ref="H19" ca="1">INDEX(rua_cod!$A:$A,Users!V19) &amp; "-" &amp; TEXT(RANDBETWEEN(0,999),"000")</f>
        <v>1170-118</v>
      </c>
      <c r="I19" t="str" cm="1">
        <f t="array" aca="1" ref="I19" ca="1">INDEX(rua_cod!$B:$B,Users!V19)</f>
        <v>Lisboa</v>
      </c>
      <c r="J19" t="s">
        <v>3728</v>
      </c>
      <c r="K19" t="s">
        <v>225</v>
      </c>
      <c r="L19" t="s">
        <v>265</v>
      </c>
      <c r="M19" t="str">
        <f t="shared" ca="1" si="1"/>
        <v>48676663</v>
      </c>
      <c r="N19" t="str">
        <f t="shared" ca="1" si="2"/>
        <v>528038518</v>
      </c>
      <c r="O19" t="str">
        <f t="shared" ca="1" si="2"/>
        <v>824251374</v>
      </c>
      <c r="P19" t="str" cm="1">
        <f t="array" aca="1" ref="P19" ca="1">9 &amp; INDEX($AF$3:$AF$6,W19)&amp; TEXT(RANDBETWEEN(0,9999999),"0000000")</f>
        <v>921659253</v>
      </c>
      <c r="Q19" t="str" cm="1">
        <f t="array" aca="1" ref="Q19" ca="1">LOWER(B19) &amp; INDEX($AF$9:$AF$11,X19)</f>
        <v>dioboa1170@outlook.com</v>
      </c>
      <c r="R19" t="str">
        <f t="shared" ca="1" si="3"/>
        <v>dioboa1170.jpg</v>
      </c>
      <c r="T19" s="4"/>
      <c r="V19">
        <f ca="1">RANDBETWEEN(2,COUNTA(rua_cod!A:A))</f>
        <v>47</v>
      </c>
      <c r="W19">
        <f t="shared" ca="1" si="4"/>
        <v>2</v>
      </c>
      <c r="X19">
        <f t="shared" ca="1" si="5"/>
        <v>1</v>
      </c>
      <c r="Y19">
        <f t="shared" ca="1" si="6"/>
        <v>1970</v>
      </c>
      <c r="Z19">
        <f t="shared" ca="1" si="7"/>
        <v>1</v>
      </c>
      <c r="AA19">
        <f t="shared" ca="1" si="8"/>
        <v>10</v>
      </c>
      <c r="AB19">
        <f t="shared" ca="1" si="9"/>
        <v>50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verres2670</v>
      </c>
      <c r="C20" t="str">
        <f t="shared" ca="1" si="0"/>
        <v>pswverres2670</v>
      </c>
      <c r="D20" t="str">
        <f ca="1">Nomes!T21</f>
        <v>Vera Jesus</v>
      </c>
      <c r="E20" t="str">
        <f>Nomes!S21</f>
        <v>Feminino</v>
      </c>
      <c r="F20" s="2">
        <v>10827</v>
      </c>
      <c r="G20" t="str" cm="1">
        <f t="array" aca="1" ref="G20" ca="1">INDEX(rua_cod!$F:$F,RANDBETWEEN(2,COUNTA(rua_cod!F:F)))</f>
        <v>Travessa de São João da Praça</v>
      </c>
      <c r="H20" t="str" cm="1">
        <f t="array" aca="1" ref="H20" ca="1">INDEX(rua_cod!$A:$A,Users!V20) &amp; "-" &amp; TEXT(RANDBETWEEN(0,999),"000")</f>
        <v>2670-620</v>
      </c>
      <c r="I20" t="str" cm="1">
        <f t="array" aca="1" ref="I20" ca="1">INDEX(rua_cod!$B:$B,Users!V20)</f>
        <v>Loures</v>
      </c>
      <c r="J20" t="s">
        <v>3728</v>
      </c>
      <c r="K20" t="s">
        <v>225</v>
      </c>
      <c r="L20" t="s">
        <v>265</v>
      </c>
      <c r="M20" t="str">
        <f t="shared" ca="1" si="1"/>
        <v>91398011</v>
      </c>
      <c r="N20" t="str">
        <f t="shared" ca="1" si="2"/>
        <v>219601818</v>
      </c>
      <c r="O20" t="str">
        <f t="shared" ca="1" si="2"/>
        <v>840541131</v>
      </c>
      <c r="P20" t="str" cm="1">
        <f t="array" aca="1" ref="P20" ca="1">9 &amp; INDEX($AF$3:$AF$6,W20)&amp; TEXT(RANDBETWEEN(0,9999999),"0000000")</f>
        <v>962849346</v>
      </c>
      <c r="Q20" t="str" cm="1">
        <f t="array" aca="1" ref="Q20" ca="1">LOWER(B20) &amp; INDEX($AF$9:$AF$11,X20)</f>
        <v>verres2670@outlook.com</v>
      </c>
      <c r="R20" t="str">
        <f t="shared" ca="1" si="3"/>
        <v>verres2670.jpg</v>
      </c>
      <c r="T20" s="4"/>
      <c r="V20">
        <f ca="1">RANDBETWEEN(2,COUNTA(rua_cod!A:A))</f>
        <v>83</v>
      </c>
      <c r="W20">
        <f t="shared" ca="1" si="4"/>
        <v>4</v>
      </c>
      <c r="X20">
        <f t="shared" ca="1" si="5"/>
        <v>1</v>
      </c>
      <c r="Y20">
        <f t="shared" ca="1" si="6"/>
        <v>1948</v>
      </c>
      <c r="Z20">
        <f t="shared" ca="1" si="7"/>
        <v>8</v>
      </c>
      <c r="AA20">
        <f t="shared" ca="1" si="8"/>
        <v>17</v>
      </c>
      <c r="AB20">
        <f t="shared" ca="1" si="9"/>
        <v>72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luiora2614</v>
      </c>
      <c r="C21" t="str">
        <f t="shared" ca="1" si="0"/>
        <v>pswluiora2614</v>
      </c>
      <c r="D21" t="str">
        <f ca="1">Nomes!T22</f>
        <v>Luís Vicente</v>
      </c>
      <c r="E21" t="str">
        <f>Nomes!S22</f>
        <v>Masculino</v>
      </c>
      <c r="F21" s="2">
        <v>29267</v>
      </c>
      <c r="G21" t="str" cm="1">
        <f t="array" aca="1" ref="G21" ca="1">INDEX(rua_cod!$F:$F,RANDBETWEEN(2,COUNTA(rua_cod!F:F)))</f>
        <v>Estrada da Circunvalação de Lisboa</v>
      </c>
      <c r="H21" t="str" cm="1">
        <f t="array" aca="1" ref="H21" ca="1">INDEX(rua_cod!$A:$A,Users!V21) &amp; "-" &amp; TEXT(RANDBETWEEN(0,999),"000")</f>
        <v>2614-055</v>
      </c>
      <c r="I21" t="str" cm="1">
        <f t="array" aca="1" ref="I21" ca="1">INDEX(rua_cod!$B:$B,Users!V21)</f>
        <v>Amadora</v>
      </c>
      <c r="J21" t="s">
        <v>3728</v>
      </c>
      <c r="K21" t="s">
        <v>225</v>
      </c>
      <c r="L21" t="s">
        <v>265</v>
      </c>
      <c r="M21" t="str">
        <f t="shared" ca="1" si="1"/>
        <v>55416528</v>
      </c>
      <c r="N21" t="str">
        <f t="shared" ca="1" si="2"/>
        <v>142515591</v>
      </c>
      <c r="O21" t="str">
        <f t="shared" ca="1" si="2"/>
        <v>257065388</v>
      </c>
      <c r="P21" t="str" cm="1">
        <f t="array" aca="1" ref="P21" ca="1">9 &amp; INDEX($AF$3:$AF$6,W21)&amp; TEXT(RANDBETWEEN(0,9999999),"0000000")</f>
        <v>962626807</v>
      </c>
      <c r="Q21" t="str" cm="1">
        <f t="array" aca="1" ref="Q21" ca="1">LOWER(B21) &amp; INDEX($AF$9:$AF$11,X21)</f>
        <v>luiora2614@gmail.com</v>
      </c>
      <c r="R21" t="str">
        <f t="shared" ca="1" si="3"/>
        <v>luiora2614.jpg</v>
      </c>
      <c r="T21" s="4"/>
      <c r="V21">
        <f ca="1">RANDBETWEEN(2,COUNTA(rua_cod!A:A))</f>
        <v>11</v>
      </c>
      <c r="W21">
        <f t="shared" ca="1" si="4"/>
        <v>4</v>
      </c>
      <c r="X21">
        <f t="shared" ca="1" si="5"/>
        <v>2</v>
      </c>
      <c r="Y21">
        <f t="shared" ca="1" si="6"/>
        <v>1984</v>
      </c>
      <c r="Z21">
        <f t="shared" ca="1" si="7"/>
        <v>5</v>
      </c>
      <c r="AA21">
        <f t="shared" ca="1" si="8"/>
        <v>16</v>
      </c>
      <c r="AB21">
        <f t="shared" ca="1" si="9"/>
        <v>36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beaboa1070</v>
      </c>
      <c r="C22" t="str">
        <f t="shared" ca="1" si="0"/>
        <v>pswbeaboa1070</v>
      </c>
      <c r="D22" t="str">
        <f ca="1">Nomes!T23</f>
        <v>Beatriz Figueiredo</v>
      </c>
      <c r="E22" t="str">
        <f>Nomes!S23</f>
        <v>Feminino</v>
      </c>
      <c r="F22" s="2">
        <v>12111</v>
      </c>
      <c r="G22" t="str" cm="1">
        <f t="array" aca="1" ref="G22" ca="1">INDEX(rua_cod!$F:$F,RANDBETWEEN(2,COUNTA(rua_cod!F:F)))</f>
        <v>Estrada Militar</v>
      </c>
      <c r="H22" t="str" cm="1">
        <f t="array" aca="1" ref="H22" ca="1">INDEX(rua_cod!$A:$A,Users!V22) &amp; "-" &amp; TEXT(RANDBETWEEN(0,999),"000")</f>
        <v>1070-695</v>
      </c>
      <c r="I22" t="str" cm="1">
        <f t="array" aca="1" ref="I22" ca="1">INDEX(rua_cod!$B:$B,Users!V22)</f>
        <v>Lisboa</v>
      </c>
      <c r="J22" t="s">
        <v>3728</v>
      </c>
      <c r="K22" t="s">
        <v>225</v>
      </c>
      <c r="L22" t="s">
        <v>265</v>
      </c>
      <c r="M22" t="str">
        <f t="shared" ca="1" si="1"/>
        <v>94105456</v>
      </c>
      <c r="N22" t="str">
        <f t="shared" ca="1" si="2"/>
        <v>615546038</v>
      </c>
      <c r="O22" t="str">
        <f t="shared" ca="1" si="2"/>
        <v>917605619</v>
      </c>
      <c r="P22" t="str" cm="1">
        <f t="array" aca="1" ref="P22" ca="1">9 &amp; INDEX($AF$3:$AF$6,W22)&amp; TEXT(RANDBETWEEN(0,9999999),"0000000")</f>
        <v>966597789</v>
      </c>
      <c r="Q22" t="str" cm="1">
        <f t="array" aca="1" ref="Q22" ca="1">LOWER(B22) &amp; INDEX($AF$9:$AF$11,X22)</f>
        <v>beaboa1070@gmail.com</v>
      </c>
      <c r="R22" t="str">
        <f t="shared" ca="1" si="3"/>
        <v>beaboa1070.jpg</v>
      </c>
      <c r="T22" s="4"/>
      <c r="V22">
        <f ca="1">RANDBETWEEN(2,COUNTA(rua_cod!A:A))</f>
        <v>51</v>
      </c>
      <c r="W22">
        <f t="shared" ca="1" si="4"/>
        <v>4</v>
      </c>
      <c r="X22">
        <f t="shared" ca="1" si="5"/>
        <v>2</v>
      </c>
      <c r="Y22">
        <f t="shared" ca="1" si="6"/>
        <v>1969</v>
      </c>
      <c r="Z22">
        <f t="shared" ca="1" si="7"/>
        <v>11</v>
      </c>
      <c r="AA22">
        <f t="shared" ca="1" si="8"/>
        <v>23</v>
      </c>
      <c r="AB22">
        <f t="shared" ca="1" si="9"/>
        <v>51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tomboa1959</v>
      </c>
      <c r="C23" t="str">
        <f t="shared" ca="1" si="0"/>
        <v>pswtomboa1959</v>
      </c>
      <c r="D23" t="str">
        <f ca="1">Nomes!T24</f>
        <v>Tomás Costa</v>
      </c>
      <c r="E23" t="str">
        <f>Nomes!S24</f>
        <v>Masculino</v>
      </c>
      <c r="F23" s="2">
        <v>22513</v>
      </c>
      <c r="G23" t="str" cm="1">
        <f t="array" aca="1" ref="G23" ca="1">INDEX(rua_cod!$F:$F,RANDBETWEEN(2,COUNTA(rua_cod!F:F)))</f>
        <v>Rua Roberto Duarte Silva</v>
      </c>
      <c r="H23" t="str" cm="1">
        <f t="array" aca="1" ref="H23" ca="1">INDEX(rua_cod!$A:$A,Users!V23) &amp; "-" &amp; TEXT(RANDBETWEEN(0,999),"000")</f>
        <v>1959-463</v>
      </c>
      <c r="I23" t="str" cm="1">
        <f t="array" aca="1" ref="I23" ca="1">INDEX(rua_cod!$B:$B,Users!V23)</f>
        <v>Lisboa</v>
      </c>
      <c r="J23" t="s">
        <v>3728</v>
      </c>
      <c r="K23" t="s">
        <v>225</v>
      </c>
      <c r="L23" t="s">
        <v>265</v>
      </c>
      <c r="M23" t="str">
        <f t="shared" ca="1" si="1"/>
        <v>60476187</v>
      </c>
      <c r="N23" t="str">
        <f t="shared" ca="1" si="2"/>
        <v>936781713</v>
      </c>
      <c r="O23" t="str">
        <f t="shared" ca="1" si="2"/>
        <v>683466019</v>
      </c>
      <c r="P23" t="str" cm="1">
        <f t="array" aca="1" ref="P23" ca="1">9 &amp; INDEX($AF$3:$AF$6,W23)&amp; TEXT(RANDBETWEEN(0,9999999),"0000000")</f>
        <v>934290797</v>
      </c>
      <c r="Q23" t="str" cm="1">
        <f t="array" aca="1" ref="Q23" ca="1">LOWER(B23) &amp; INDEX($AF$9:$AF$11,X23)</f>
        <v>tomboa1959@outlook.com</v>
      </c>
      <c r="R23" t="str">
        <f t="shared" ca="1" si="3"/>
        <v>tomboa1959.jpg</v>
      </c>
      <c r="T23" s="4"/>
      <c r="V23">
        <f ca="1">RANDBETWEEN(2,COUNTA(rua_cod!A:A))</f>
        <v>72</v>
      </c>
      <c r="W23">
        <f t="shared" ca="1" si="4"/>
        <v>3</v>
      </c>
      <c r="X23">
        <f t="shared" ca="1" si="5"/>
        <v>1</v>
      </c>
      <c r="Y23">
        <f t="shared" ca="1" si="6"/>
        <v>1995</v>
      </c>
      <c r="Z23">
        <f t="shared" ca="1" si="7"/>
        <v>9</v>
      </c>
      <c r="AA23">
        <f t="shared" ca="1" si="8"/>
        <v>17</v>
      </c>
      <c r="AB23">
        <f t="shared" ca="1" si="9"/>
        <v>25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marria2414</v>
      </c>
      <c r="C24" t="str">
        <f t="shared" ca="1" si="0"/>
        <v>pswmarria2414</v>
      </c>
      <c r="D24" t="str">
        <f ca="1">Nomes!T25</f>
        <v>Maria Machado</v>
      </c>
      <c r="E24" t="str">
        <f>Nomes!S25</f>
        <v>Feminino</v>
      </c>
      <c r="F24" s="2">
        <v>22253</v>
      </c>
      <c r="G24" t="str" cm="1">
        <f t="array" aca="1" ref="G24" ca="1">INDEX(rua_cod!$F:$F,RANDBETWEEN(2,COUNTA(rua_cod!F:F)))</f>
        <v>Avenida Ressano Garcia</v>
      </c>
      <c r="H24" t="str" cm="1">
        <f t="array" aca="1" ref="H24" ca="1">INDEX(rua_cod!$A:$A,Users!V24) &amp; "-" &amp; TEXT(RANDBETWEEN(0,999),"000")</f>
        <v>2414-879</v>
      </c>
      <c r="I24" t="str" cm="1">
        <f t="array" aca="1" ref="I24" ca="1">INDEX(rua_cod!$B:$B,Users!V24)</f>
        <v>Leiria</v>
      </c>
      <c r="J24" t="s">
        <v>3728</v>
      </c>
      <c r="K24" t="s">
        <v>225</v>
      </c>
      <c r="L24" t="s">
        <v>265</v>
      </c>
      <c r="M24" t="str">
        <f t="shared" ca="1" si="1"/>
        <v>21454515</v>
      </c>
      <c r="N24" t="str">
        <f t="shared" ca="1" si="2"/>
        <v>122243978</v>
      </c>
      <c r="O24" t="str">
        <f t="shared" ca="1" si="2"/>
        <v>490981524</v>
      </c>
      <c r="P24" t="str" cm="1">
        <f t="array" aca="1" ref="P24" ca="1">9 &amp; INDEX($AF$3:$AF$6,W24)&amp; TEXT(RANDBETWEEN(0,9999999),"0000000")</f>
        <v>927013553</v>
      </c>
      <c r="Q24" t="str" cm="1">
        <f t="array" aca="1" ref="Q24" ca="1">LOWER(B24) &amp; INDEX($AF$9:$AF$11,X24)</f>
        <v>marria2414@sapo.pt</v>
      </c>
      <c r="R24" t="str">
        <f t="shared" ca="1" si="3"/>
        <v>marria2414.jpg</v>
      </c>
      <c r="T24" s="4"/>
      <c r="V24">
        <f ca="1">RANDBETWEEN(2,COUNTA(rua_cod!A:A))</f>
        <v>36</v>
      </c>
      <c r="W24">
        <f t="shared" ca="1" si="4"/>
        <v>2</v>
      </c>
      <c r="X24">
        <f t="shared" ca="1" si="5"/>
        <v>3</v>
      </c>
      <c r="Y24">
        <f t="shared" ca="1" si="6"/>
        <v>2009</v>
      </c>
      <c r="Z24">
        <f t="shared" ca="1" si="7"/>
        <v>2</v>
      </c>
      <c r="AA24">
        <f t="shared" ca="1" si="8"/>
        <v>31</v>
      </c>
      <c r="AB24">
        <f t="shared" ca="1" si="9"/>
        <v>11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lurboa1399</v>
      </c>
      <c r="C25" t="str">
        <f t="shared" ca="1" si="0"/>
        <v>pswlurboa1399</v>
      </c>
      <c r="D25" t="str">
        <f ca="1">Nomes!T26</f>
        <v>Lurdes Pinheiro</v>
      </c>
      <c r="E25" t="str">
        <f>Nomes!S26</f>
        <v>Feminino</v>
      </c>
      <c r="F25" s="2">
        <v>14100</v>
      </c>
      <c r="G25" t="str" cm="1">
        <f t="array" aca="1" ref="G25" ca="1">INDEX(rua_cod!$F:$F,RANDBETWEEN(2,COUNTA(rua_cod!F:F)))</f>
        <v>Rua de São Bento</v>
      </c>
      <c r="H25" t="str" cm="1">
        <f t="array" aca="1" ref="H25" ca="1">INDEX(rua_cod!$A:$A,Users!V25) &amp; "-" &amp; TEXT(RANDBETWEEN(0,999),"000")</f>
        <v>1399-874</v>
      </c>
      <c r="I25" t="str" cm="1">
        <f t="array" aca="1" ref="I25" ca="1">INDEX(rua_cod!$B:$B,Users!V25)</f>
        <v>Lisboa</v>
      </c>
      <c r="J25" t="s">
        <v>3728</v>
      </c>
      <c r="K25" t="s">
        <v>225</v>
      </c>
      <c r="L25" t="s">
        <v>265</v>
      </c>
      <c r="M25" t="str">
        <f t="shared" ca="1" si="1"/>
        <v>45559534</v>
      </c>
      <c r="N25" t="str">
        <f t="shared" ca="1" si="2"/>
        <v>862980002</v>
      </c>
      <c r="O25" t="str">
        <f t="shared" ca="1" si="2"/>
        <v>160623437</v>
      </c>
      <c r="P25" t="str" cm="1">
        <f t="array" aca="1" ref="P25" ca="1">9 &amp; INDEX($AF$3:$AF$6,W25)&amp; TEXT(RANDBETWEEN(0,9999999),"0000000")</f>
        <v>934073040</v>
      </c>
      <c r="Q25" t="str" cm="1">
        <f t="array" aca="1" ref="Q25" ca="1">LOWER(B25) &amp; INDEX($AF$9:$AF$11,X25)</f>
        <v>lurboa1399@sapo.pt</v>
      </c>
      <c r="R25" t="str">
        <f t="shared" ca="1" si="3"/>
        <v>lurboa1399.jpg</v>
      </c>
      <c r="T25" s="4"/>
      <c r="V25">
        <f ca="1">RANDBETWEEN(2,COUNTA(rua_cod!A:A))</f>
        <v>55</v>
      </c>
      <c r="W25">
        <f t="shared" ca="1" si="4"/>
        <v>3</v>
      </c>
      <c r="X25">
        <f t="shared" ca="1" si="5"/>
        <v>3</v>
      </c>
      <c r="Y25">
        <f t="shared" ca="1" si="6"/>
        <v>1915</v>
      </c>
      <c r="Z25">
        <f t="shared" ca="1" si="7"/>
        <v>12</v>
      </c>
      <c r="AA25">
        <f t="shared" ca="1" si="8"/>
        <v>1</v>
      </c>
      <c r="AB25">
        <f t="shared" ca="1" si="9"/>
        <v>105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bruais2750</v>
      </c>
      <c r="C26" t="str">
        <f t="shared" ca="1" si="0"/>
        <v>pswbruais2750</v>
      </c>
      <c r="D26" t="str">
        <f ca="1">Nomes!T27</f>
        <v>Bruno Rocha</v>
      </c>
      <c r="E26" t="str">
        <f>Nomes!S27</f>
        <v>Masculino</v>
      </c>
      <c r="F26" s="2">
        <v>14176</v>
      </c>
      <c r="G26" t="str" cm="1">
        <f t="array" aca="1" ref="G26" ca="1">INDEX(rua_cod!$F:$F,RANDBETWEEN(2,COUNTA(rua_cod!F:F)))</f>
        <v>Rua Augusta</v>
      </c>
      <c r="H26" t="str" cm="1">
        <f t="array" aca="1" ref="H26" ca="1">INDEX(rua_cod!$A:$A,Users!V26) &amp; "-" &amp; TEXT(RANDBETWEEN(0,999),"000")</f>
        <v>2750-585</v>
      </c>
      <c r="I26" t="str" cm="1">
        <f t="array" aca="1" ref="I26" ca="1">INDEX(rua_cod!$B:$B,Users!V26)</f>
        <v>Cascais</v>
      </c>
      <c r="J26" t="s">
        <v>3728</v>
      </c>
      <c r="K26" t="s">
        <v>225</v>
      </c>
      <c r="L26" t="s">
        <v>265</v>
      </c>
      <c r="M26" t="str">
        <f t="shared" ca="1" si="1"/>
        <v>74973562</v>
      </c>
      <c r="N26" t="str">
        <f t="shared" ca="1" si="2"/>
        <v>131257759</v>
      </c>
      <c r="O26" t="str">
        <f t="shared" ca="1" si="2"/>
        <v>120756800</v>
      </c>
      <c r="P26" t="str" cm="1">
        <f t="array" aca="1" ref="P26" ca="1">9 &amp; INDEX($AF$3:$AF$6,W26)&amp; TEXT(RANDBETWEEN(0,9999999),"0000000")</f>
        <v>968199652</v>
      </c>
      <c r="Q26" t="str" cm="1">
        <f t="array" aca="1" ref="Q26" ca="1">LOWER(B26) &amp; INDEX($AF$9:$AF$11,X26)</f>
        <v>bruais2750@sapo.pt</v>
      </c>
      <c r="R26" t="str">
        <f t="shared" ca="1" si="3"/>
        <v>bruais2750.jpg</v>
      </c>
      <c r="T26" s="4"/>
      <c r="V26">
        <f ca="1">RANDBETWEEN(2,COUNTA(rua_cod!A:A))</f>
        <v>24</v>
      </c>
      <c r="W26">
        <f t="shared" ca="1" si="4"/>
        <v>4</v>
      </c>
      <c r="X26">
        <f t="shared" ca="1" si="5"/>
        <v>3</v>
      </c>
      <c r="Y26">
        <f t="shared" ca="1" si="6"/>
        <v>1952</v>
      </c>
      <c r="Z26">
        <f t="shared" ca="1" si="7"/>
        <v>4</v>
      </c>
      <c r="AA26">
        <f t="shared" ca="1" si="8"/>
        <v>21</v>
      </c>
      <c r="AB26">
        <f t="shared" ca="1" si="9"/>
        <v>68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luibal2900</v>
      </c>
      <c r="C27" t="str">
        <f t="shared" ca="1" si="0"/>
        <v>pswluibal2900</v>
      </c>
      <c r="D27" t="str">
        <f ca="1">Nomes!T28</f>
        <v>Luís Abreu</v>
      </c>
      <c r="E27" t="str">
        <f>Nomes!S28</f>
        <v>Masculino</v>
      </c>
      <c r="F27" s="2">
        <v>15060</v>
      </c>
      <c r="G27" t="str" cm="1">
        <f t="array" aca="1" ref="G27" ca="1">INDEX(rua_cod!$F:$F,RANDBETWEEN(2,COUNTA(rua_cod!F:F)))</f>
        <v>Rua do Sacramento à Lapa</v>
      </c>
      <c r="H27" t="str" cm="1">
        <f t="array" aca="1" ref="H27" ca="1">INDEX(rua_cod!$A:$A,Users!V27) &amp; "-" &amp; TEXT(RANDBETWEEN(0,999),"000")</f>
        <v>2900-322</v>
      </c>
      <c r="I27" t="str" cm="1">
        <f t="array" aca="1" ref="I27" ca="1">INDEX(rua_cod!$B:$B,Users!V27)</f>
        <v>Setúbal</v>
      </c>
      <c r="J27" t="s">
        <v>3728</v>
      </c>
      <c r="K27" t="s">
        <v>225</v>
      </c>
      <c r="L27" t="s">
        <v>265</v>
      </c>
      <c r="M27" t="str">
        <f t="shared" ca="1" si="1"/>
        <v>41313845</v>
      </c>
      <c r="N27" t="str">
        <f t="shared" ca="1" si="2"/>
        <v>437397366</v>
      </c>
      <c r="O27" t="str">
        <f t="shared" ca="1" si="2"/>
        <v>347740845</v>
      </c>
      <c r="P27" t="str" cm="1">
        <f t="array" aca="1" ref="P27" ca="1">9 &amp; INDEX($AF$3:$AF$6,W27)&amp; TEXT(RANDBETWEEN(0,9999999),"0000000")</f>
        <v>932154218</v>
      </c>
      <c r="Q27" t="str" cm="1">
        <f t="array" aca="1" ref="Q27" ca="1">LOWER(B27) &amp; INDEX($AF$9:$AF$11,X27)</f>
        <v>luibal2900@gmail.com</v>
      </c>
      <c r="R27" t="str">
        <f t="shared" ca="1" si="3"/>
        <v>luibal2900.jpg</v>
      </c>
      <c r="T27" s="4"/>
      <c r="V27">
        <f ca="1">RANDBETWEEN(2,COUNTA(rua_cod!A:A))</f>
        <v>96</v>
      </c>
      <c r="W27">
        <f t="shared" ca="1" si="4"/>
        <v>3</v>
      </c>
      <c r="X27">
        <f t="shared" ca="1" si="5"/>
        <v>2</v>
      </c>
      <c r="Y27">
        <f t="shared" ca="1" si="6"/>
        <v>1969</v>
      </c>
      <c r="Z27">
        <f t="shared" ca="1" si="7"/>
        <v>12</v>
      </c>
      <c r="AA27">
        <f t="shared" ca="1" si="8"/>
        <v>7</v>
      </c>
      <c r="AB27">
        <f t="shared" ca="1" si="9"/>
        <v>51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migras2784</v>
      </c>
      <c r="C28" t="str">
        <f t="shared" ca="1" si="0"/>
        <v>pswmigras2784</v>
      </c>
      <c r="D28" t="str">
        <f ca="1">Nomes!T29</f>
        <v>Miguel Vieira</v>
      </c>
      <c r="E28" t="str">
        <f>Nomes!S29</f>
        <v>Masculino</v>
      </c>
      <c r="F28" s="2">
        <v>32317</v>
      </c>
      <c r="G28" t="str" cm="1">
        <f t="array" aca="1" ref="G28" ca="1">INDEX(rua_cod!$F:$F,RANDBETWEEN(2,COUNTA(rua_cod!F:F)))</f>
        <v>Rua do Carmo</v>
      </c>
      <c r="H28" t="str" cm="1">
        <f t="array" aca="1" ref="H28" ca="1">INDEX(rua_cod!$A:$A,Users!V28) &amp; "-" &amp; TEXT(RANDBETWEEN(0,999),"000")</f>
        <v>2784-257</v>
      </c>
      <c r="I28" t="str" cm="1">
        <f t="array" aca="1" ref="I28" ca="1">INDEX(rua_cod!$B:$B,Users!V28)</f>
        <v>Oeiras</v>
      </c>
      <c r="J28" t="s">
        <v>3728</v>
      </c>
      <c r="K28" t="s">
        <v>225</v>
      </c>
      <c r="L28" t="s">
        <v>265</v>
      </c>
      <c r="M28" t="str">
        <f t="shared" ca="1" si="1"/>
        <v>59369883</v>
      </c>
      <c r="N28" t="str">
        <f t="shared" ca="1" si="2"/>
        <v>751157827</v>
      </c>
      <c r="O28" t="str">
        <f t="shared" ca="1" si="2"/>
        <v>216931288</v>
      </c>
      <c r="P28" t="str" cm="1">
        <f t="array" aca="1" ref="P28" ca="1">9 &amp; INDEX($AF$3:$AF$6,W28)&amp; TEXT(RANDBETWEEN(0,9999999),"0000000")</f>
        <v>966524880</v>
      </c>
      <c r="Q28" t="str" cm="1">
        <f t="array" aca="1" ref="Q28" ca="1">LOWER(B28) &amp; INDEX($AF$9:$AF$11,X28)</f>
        <v>migras2784@sapo.pt</v>
      </c>
      <c r="R28" t="str">
        <f t="shared" ca="1" si="3"/>
        <v>migras2784.jpg</v>
      </c>
      <c r="T28" s="4"/>
      <c r="V28">
        <f ca="1">RANDBETWEEN(2,COUNTA(rua_cod!A:A))</f>
        <v>89</v>
      </c>
      <c r="W28">
        <f t="shared" ca="1" si="4"/>
        <v>4</v>
      </c>
      <c r="X28">
        <f t="shared" ca="1" si="5"/>
        <v>3</v>
      </c>
      <c r="Y28">
        <f t="shared" ca="1" si="6"/>
        <v>1991</v>
      </c>
      <c r="Z28">
        <f t="shared" ca="1" si="7"/>
        <v>12</v>
      </c>
      <c r="AA28">
        <f t="shared" ca="1" si="8"/>
        <v>8</v>
      </c>
      <c r="AB28">
        <f t="shared" ca="1" si="9"/>
        <v>29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anaboa1200</v>
      </c>
      <c r="C29" t="str">
        <f t="shared" ca="1" si="0"/>
        <v>pswanaboa1200</v>
      </c>
      <c r="D29" t="str">
        <f ca="1">Nomes!T30</f>
        <v>Ana Vicente</v>
      </c>
      <c r="E29" t="str">
        <f>Nomes!S30</f>
        <v>Feminino</v>
      </c>
      <c r="F29" s="2">
        <v>31298</v>
      </c>
      <c r="G29" t="str" cm="1">
        <f t="array" aca="1" ref="G29" ca="1">INDEX(rua_cod!$F:$F,RANDBETWEEN(2,COUNTA(rua_cod!F:F)))</f>
        <v>Rua Garrett</v>
      </c>
      <c r="H29" t="str" cm="1">
        <f t="array" aca="1" ref="H29" ca="1">INDEX(rua_cod!$A:$A,Users!V29) &amp; "-" &amp; TEXT(RANDBETWEEN(0,999),"000")</f>
        <v>1200-981</v>
      </c>
      <c r="I29" t="str" cm="1">
        <f t="array" aca="1" ref="I29" ca="1">INDEX(rua_cod!$B:$B,Users!V29)</f>
        <v>Lisboa</v>
      </c>
      <c r="J29" t="s">
        <v>3728</v>
      </c>
      <c r="K29" t="s">
        <v>225</v>
      </c>
      <c r="L29" t="s">
        <v>265</v>
      </c>
      <c r="M29" t="str">
        <f t="shared" ca="1" si="1"/>
        <v>14253525</v>
      </c>
      <c r="N29" t="str">
        <f t="shared" ca="1" si="2"/>
        <v>503963667</v>
      </c>
      <c r="O29" t="str">
        <f t="shared" ca="1" si="2"/>
        <v>658935521</v>
      </c>
      <c r="P29" t="str" cm="1">
        <f t="array" aca="1" ref="P29" ca="1">9 &amp; INDEX($AF$3:$AF$6,W29)&amp; TEXT(RANDBETWEEN(0,9999999),"0000000")</f>
        <v>966327974</v>
      </c>
      <c r="Q29" t="str" cm="1">
        <f t="array" aca="1" ref="Q29" ca="1">LOWER(B29) &amp; INDEX($AF$9:$AF$11,X29)</f>
        <v>anaboa1200@sapo.pt</v>
      </c>
      <c r="R29" t="str">
        <f t="shared" ca="1" si="3"/>
        <v>anaboa1200.jpg</v>
      </c>
      <c r="T29" s="4"/>
      <c r="V29">
        <f ca="1">RANDBETWEEN(2,COUNTA(rua_cod!A:A))</f>
        <v>48</v>
      </c>
      <c r="W29">
        <f t="shared" ca="1" si="4"/>
        <v>4</v>
      </c>
      <c r="X29">
        <f t="shared" ca="1" si="5"/>
        <v>3</v>
      </c>
      <c r="Y29">
        <f t="shared" ca="1" si="6"/>
        <v>1987</v>
      </c>
      <c r="Z29">
        <f t="shared" ca="1" si="7"/>
        <v>12</v>
      </c>
      <c r="AA29">
        <f t="shared" ca="1" si="8"/>
        <v>28</v>
      </c>
      <c r="AB29">
        <f t="shared" ca="1" si="9"/>
        <v>33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marboa1150</v>
      </c>
      <c r="C30" t="str">
        <f t="shared" ca="1" si="0"/>
        <v>pswmarboa1150</v>
      </c>
      <c r="D30" t="str">
        <f ca="1">Nomes!T31</f>
        <v>Maria Jesus</v>
      </c>
      <c r="E30" t="str">
        <f>Nomes!S31</f>
        <v>Feminino</v>
      </c>
      <c r="F30" s="2">
        <v>20622</v>
      </c>
      <c r="G30" t="str" cm="1">
        <f t="array" aca="1" ref="G30" ca="1">INDEX(rua_cod!$F:$F,RANDBETWEEN(2,COUNTA(rua_cod!F:F)))</f>
        <v>Rua da Betesga</v>
      </c>
      <c r="H30" t="str" cm="1">
        <f t="array" aca="1" ref="H30" ca="1">INDEX(rua_cod!$A:$A,Users!V30) &amp; "-" &amp; TEXT(RANDBETWEEN(0,999),"000")</f>
        <v>1150-316</v>
      </c>
      <c r="I30" t="str" cm="1">
        <f t="array" aca="1" ref="I30" ca="1">INDEX(rua_cod!$B:$B,Users!V30)</f>
        <v>Lisboa</v>
      </c>
      <c r="J30" t="s">
        <v>3728</v>
      </c>
      <c r="K30" t="s">
        <v>225</v>
      </c>
      <c r="L30" t="s">
        <v>265</v>
      </c>
      <c r="M30" t="str">
        <f t="shared" ca="1" si="1"/>
        <v>51608521</v>
      </c>
      <c r="N30" t="str">
        <f t="shared" ca="1" si="2"/>
        <v>458120820</v>
      </c>
      <c r="O30" t="str">
        <f t="shared" ca="1" si="2"/>
        <v>633583584</v>
      </c>
      <c r="P30" t="str" cm="1">
        <f t="array" aca="1" ref="P30" ca="1">9 &amp; INDEX($AF$3:$AF$6,W30)&amp; TEXT(RANDBETWEEN(0,9999999),"0000000")</f>
        <v>960150939</v>
      </c>
      <c r="Q30" t="str" cm="1">
        <f t="array" aca="1" ref="Q30" ca="1">LOWER(B30) &amp; INDEX($AF$9:$AF$11,X30)</f>
        <v>marboa1150@sapo.pt</v>
      </c>
      <c r="R30" t="str">
        <f t="shared" ca="1" si="3"/>
        <v>marboa1150.jpg</v>
      </c>
      <c r="T30" s="4"/>
      <c r="V30">
        <f ca="1">RANDBETWEEN(2,COUNTA(rua_cod!A:A))</f>
        <v>44</v>
      </c>
      <c r="W30">
        <f t="shared" ca="1" si="4"/>
        <v>4</v>
      </c>
      <c r="X30">
        <f t="shared" ca="1" si="5"/>
        <v>3</v>
      </c>
      <c r="Y30">
        <f t="shared" ca="1" si="6"/>
        <v>1972</v>
      </c>
      <c r="Z30">
        <f t="shared" ca="1" si="7"/>
        <v>12</v>
      </c>
      <c r="AA30">
        <f t="shared" ca="1" si="8"/>
        <v>11</v>
      </c>
      <c r="AB30">
        <f t="shared" ca="1" si="9"/>
        <v>48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fraboa1250</v>
      </c>
      <c r="C31" t="str">
        <f t="shared" ca="1" si="0"/>
        <v>pswfraboa1250</v>
      </c>
      <c r="D31" t="str">
        <f ca="1">Nomes!T32</f>
        <v>Francisca Rocha</v>
      </c>
      <c r="E31" t="str">
        <f>Nomes!S32</f>
        <v>Feminino</v>
      </c>
      <c r="F31" s="2">
        <v>15242</v>
      </c>
      <c r="G31" t="str" cm="1">
        <f t="array" aca="1" ref="G31" ca="1">INDEX(rua_cod!$F:$F,RANDBETWEEN(2,COUNTA(rua_cod!F:F)))</f>
        <v>Rua do Sol a Santana</v>
      </c>
      <c r="H31" t="str" cm="1">
        <f t="array" aca="1" ref="H31" ca="1">INDEX(rua_cod!$A:$A,Users!V31) &amp; "-" &amp; TEXT(RANDBETWEEN(0,999),"000")</f>
        <v>1250-767</v>
      </c>
      <c r="I31" t="str" cm="1">
        <f t="array" aca="1" ref="I31" ca="1">INDEX(rua_cod!$B:$B,Users!V31)</f>
        <v>Lisboa</v>
      </c>
      <c r="J31" t="s">
        <v>3728</v>
      </c>
      <c r="K31" t="s">
        <v>225</v>
      </c>
      <c r="L31" t="s">
        <v>265</v>
      </c>
      <c r="M31" t="str">
        <f t="shared" ca="1" si="1"/>
        <v>83951826</v>
      </c>
      <c r="N31" t="str">
        <f t="shared" ca="1" si="2"/>
        <v>268165002</v>
      </c>
      <c r="O31" t="str">
        <f t="shared" ca="1" si="2"/>
        <v>181159340</v>
      </c>
      <c r="P31" t="str" cm="1">
        <f t="array" aca="1" ref="P31" ca="1">9 &amp; INDEX($AF$3:$AF$6,W31)&amp; TEXT(RANDBETWEEN(0,9999999),"0000000")</f>
        <v>912242803</v>
      </c>
      <c r="Q31" t="str" cm="1">
        <f t="array" aca="1" ref="Q31" ca="1">LOWER(B31) &amp; INDEX($AF$9:$AF$11,X31)</f>
        <v>fraboa1250@sapo.pt</v>
      </c>
      <c r="R31" t="str">
        <f t="shared" ca="1" si="3"/>
        <v>fraboa1250.jpg</v>
      </c>
      <c r="T31" s="4"/>
      <c r="V31">
        <f ca="1">RANDBETWEEN(2,COUNTA(rua_cod!A:A))</f>
        <v>50</v>
      </c>
      <c r="W31">
        <f t="shared" ca="1" si="4"/>
        <v>1</v>
      </c>
      <c r="X31">
        <f t="shared" ca="1" si="5"/>
        <v>3</v>
      </c>
      <c r="Y31">
        <f t="shared" ca="1" si="6"/>
        <v>1971</v>
      </c>
      <c r="Z31">
        <f t="shared" ca="1" si="7"/>
        <v>1</v>
      </c>
      <c r="AA31">
        <f t="shared" ca="1" si="8"/>
        <v>1</v>
      </c>
      <c r="AB31">
        <f t="shared" ca="1" si="9"/>
        <v>49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luiboa1748</v>
      </c>
      <c r="C32" t="str">
        <f t="shared" ca="1" si="0"/>
        <v>pswluiboa1748</v>
      </c>
      <c r="D32" t="str">
        <f ca="1">Nomes!T33</f>
        <v>Luís Cunha</v>
      </c>
      <c r="E32" t="str">
        <f>Nomes!S33</f>
        <v>Masculino</v>
      </c>
      <c r="F32" s="2">
        <v>38538</v>
      </c>
      <c r="G32" t="str" cm="1">
        <f t="array" aca="1" ref="G32" ca="1">INDEX(rua_cod!$F:$F,RANDBETWEEN(2,COUNTA(rua_cod!F:F)))</f>
        <v>Rua da Madalena</v>
      </c>
      <c r="H32" t="str" cm="1">
        <f t="array" aca="1" ref="H32" ca="1">INDEX(rua_cod!$A:$A,Users!V32) &amp; "-" &amp; TEXT(RANDBETWEEN(0,999),"000")</f>
        <v>1748-678</v>
      </c>
      <c r="I32" t="str" cm="1">
        <f t="array" aca="1" ref="I32" ca="1">INDEX(rua_cod!$B:$B,Users!V32)</f>
        <v>Lisboa</v>
      </c>
      <c r="J32" t="s">
        <v>3728</v>
      </c>
      <c r="K32" t="s">
        <v>225</v>
      </c>
      <c r="L32" t="s">
        <v>265</v>
      </c>
      <c r="M32" t="str">
        <f t="shared" ca="1" si="1"/>
        <v>71797004</v>
      </c>
      <c r="N32" t="str">
        <f t="shared" ca="1" si="2"/>
        <v>618852501</v>
      </c>
      <c r="O32" t="str">
        <f t="shared" ca="1" si="2"/>
        <v>641570761</v>
      </c>
      <c r="P32" t="str" cm="1">
        <f t="array" aca="1" ref="P32" ca="1">9 &amp; INDEX($AF$3:$AF$6,W32)&amp; TEXT(RANDBETWEEN(0,9999999),"0000000")</f>
        <v>914961576</v>
      </c>
      <c r="Q32" t="str" cm="1">
        <f t="array" aca="1" ref="Q32" ca="1">LOWER(B32) &amp; INDEX($AF$9:$AF$11,X32)</f>
        <v>luiboa1748@sapo.pt</v>
      </c>
      <c r="R32" t="str">
        <f t="shared" ca="1" si="3"/>
        <v>luiboa1748.jpg</v>
      </c>
      <c r="T32" s="4"/>
      <c r="V32">
        <f ca="1">RANDBETWEEN(2,COUNTA(rua_cod!A:A))</f>
        <v>77</v>
      </c>
      <c r="W32">
        <f t="shared" ca="1" si="4"/>
        <v>1</v>
      </c>
      <c r="X32">
        <f t="shared" ca="1" si="5"/>
        <v>3</v>
      </c>
      <c r="Y32">
        <f t="shared" ca="1" si="6"/>
        <v>1979</v>
      </c>
      <c r="Z32">
        <f t="shared" ca="1" si="7"/>
        <v>11</v>
      </c>
      <c r="AA32">
        <f t="shared" ca="1" si="8"/>
        <v>19</v>
      </c>
      <c r="AB32">
        <f t="shared" ca="1" si="9"/>
        <v>41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carboa1949</v>
      </c>
      <c r="C33" t="str">
        <f t="shared" ca="1" si="0"/>
        <v>pswcarboa1949</v>
      </c>
      <c r="D33" t="str">
        <f ca="1">Nomes!T34</f>
        <v>Carolina Nunes</v>
      </c>
      <c r="E33" t="str">
        <f>Nomes!S34</f>
        <v>Feminino</v>
      </c>
      <c r="F33" s="2">
        <v>22147</v>
      </c>
      <c r="G33" t="str" cm="1">
        <f t="array" aca="1" ref="G33" ca="1">INDEX(rua_cod!$F:$F,RANDBETWEEN(2,COUNTA(rua_cod!F:F)))</f>
        <v>Rua de São Bento</v>
      </c>
      <c r="H33" t="str" cm="1">
        <f t="array" aca="1" ref="H33" ca="1">INDEX(rua_cod!$A:$A,Users!V33) &amp; "-" &amp; TEXT(RANDBETWEEN(0,999),"000")</f>
        <v>1949-038</v>
      </c>
      <c r="I33" t="str" cm="1">
        <f t="array" aca="1" ref="I33" ca="1">INDEX(rua_cod!$B:$B,Users!V33)</f>
        <v>Lisboa</v>
      </c>
      <c r="J33" t="s">
        <v>3728</v>
      </c>
      <c r="K33" t="s">
        <v>225</v>
      </c>
      <c r="L33" t="s">
        <v>265</v>
      </c>
      <c r="M33" t="str">
        <f t="shared" ca="1" si="1"/>
        <v>56834583</v>
      </c>
      <c r="N33" t="str">
        <f t="shared" ca="1" si="2"/>
        <v>467990220</v>
      </c>
      <c r="O33" t="str">
        <f t="shared" ca="1" si="2"/>
        <v>193349434</v>
      </c>
      <c r="P33" t="str" cm="1">
        <f t="array" aca="1" ref="P33" ca="1">9 &amp; INDEX($AF$3:$AF$6,W33)&amp; TEXT(RANDBETWEEN(0,9999999),"0000000")</f>
        <v>960796109</v>
      </c>
      <c r="Q33" t="str" cm="1">
        <f t="array" aca="1" ref="Q33" ca="1">LOWER(B33) &amp; INDEX($AF$9:$AF$11,X33)</f>
        <v>carboa1949@outlook.com</v>
      </c>
      <c r="R33" t="str">
        <f t="shared" ca="1" si="3"/>
        <v>carboa1949.jpg</v>
      </c>
      <c r="T33" s="4"/>
      <c r="V33">
        <f ca="1">RANDBETWEEN(2,COUNTA(rua_cod!A:A))</f>
        <v>45</v>
      </c>
      <c r="W33">
        <f t="shared" ca="1" si="4"/>
        <v>4</v>
      </c>
      <c r="X33">
        <f t="shared" ca="1" si="5"/>
        <v>1</v>
      </c>
      <c r="Y33">
        <f t="shared" ca="1" si="6"/>
        <v>1984</v>
      </c>
      <c r="Z33">
        <f t="shared" ca="1" si="7"/>
        <v>4</v>
      </c>
      <c r="AA33">
        <f t="shared" ca="1" si="8"/>
        <v>10</v>
      </c>
      <c r="AB33">
        <f t="shared" ca="1" si="9"/>
        <v>36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danboa1600</v>
      </c>
      <c r="C34" t="str">
        <f t="shared" ca="1" si="0"/>
        <v>pswdanboa1600</v>
      </c>
      <c r="D34" t="str">
        <f ca="1">Nomes!T35</f>
        <v>Daniela Pinho Maia</v>
      </c>
      <c r="E34" t="str">
        <f>Nomes!S35</f>
        <v>Feminino</v>
      </c>
      <c r="F34" s="2">
        <v>26345</v>
      </c>
      <c r="G34" t="str" cm="1">
        <f t="array" aca="1" ref="G34" ca="1">INDEX(rua_cod!$F:$F,RANDBETWEEN(2,COUNTA(rua_cod!F:F)))</f>
        <v>Rua dos Fanqueiros</v>
      </c>
      <c r="H34" t="str" cm="1">
        <f t="array" aca="1" ref="H34" ca="1">INDEX(rua_cod!$A:$A,Users!V34) &amp; "-" &amp; TEXT(RANDBETWEEN(0,999),"000")</f>
        <v>1600-616</v>
      </c>
      <c r="I34" t="str" cm="1">
        <f t="array" aca="1" ref="I34" ca="1">INDEX(rua_cod!$B:$B,Users!V34)</f>
        <v>Lisboa</v>
      </c>
      <c r="J34" t="s">
        <v>3728</v>
      </c>
      <c r="K34" t="s">
        <v>225</v>
      </c>
      <c r="L34" t="s">
        <v>265</v>
      </c>
      <c r="M34" t="str">
        <f t="shared" ca="1" si="1"/>
        <v>13313181</v>
      </c>
      <c r="N34" t="str">
        <f t="shared" ca="1" si="2"/>
        <v>335501065</v>
      </c>
      <c r="O34" t="str">
        <f t="shared" ca="1" si="2"/>
        <v>905266595</v>
      </c>
      <c r="P34" t="str" cm="1">
        <f t="array" aca="1" ref="P34" ca="1">9 &amp; INDEX($AF$3:$AF$6,W34)&amp; TEXT(RANDBETWEEN(0,9999999),"0000000")</f>
        <v>936252441</v>
      </c>
      <c r="Q34" t="str" cm="1">
        <f t="array" aca="1" ref="Q34" ca="1">LOWER(B34) &amp; INDEX($AF$9:$AF$11,X34)</f>
        <v>danboa1600@gmail.com</v>
      </c>
      <c r="R34" t="str">
        <f t="shared" ca="1" si="3"/>
        <v>danboa1600.jpg</v>
      </c>
      <c r="T34" s="4"/>
      <c r="V34">
        <f ca="1">RANDBETWEEN(2,COUNTA(rua_cod!A:A))</f>
        <v>60</v>
      </c>
      <c r="W34">
        <f t="shared" ca="1" si="4"/>
        <v>3</v>
      </c>
      <c r="X34">
        <f t="shared" ca="1" si="5"/>
        <v>2</v>
      </c>
      <c r="Y34">
        <f t="shared" ca="1" si="6"/>
        <v>1956</v>
      </c>
      <c r="Z34">
        <f t="shared" ca="1" si="7"/>
        <v>3</v>
      </c>
      <c r="AA34">
        <f t="shared" ca="1" si="8"/>
        <v>4</v>
      </c>
      <c r="AB34">
        <f t="shared" ca="1" si="9"/>
        <v>64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luiboa1700</v>
      </c>
      <c r="C35" t="str">
        <f t="shared" ca="1" si="0"/>
        <v>pswluiboa1700</v>
      </c>
      <c r="D35" t="str">
        <f ca="1">Nomes!T36</f>
        <v>Luís Valente Azevedo</v>
      </c>
      <c r="E35" t="str">
        <f>Nomes!S36</f>
        <v>Masculino</v>
      </c>
      <c r="F35" s="2">
        <v>24701</v>
      </c>
      <c r="G35" t="str" cm="1">
        <f t="array" aca="1" ref="G35" ca="1">INDEX(rua_cod!$F:$F,RANDBETWEEN(2,COUNTA(rua_cod!F:F)))</f>
        <v>Rua da Betesga</v>
      </c>
      <c r="H35" t="str" cm="1">
        <f t="array" aca="1" ref="H35" ca="1">INDEX(rua_cod!$A:$A,Users!V35) &amp; "-" &amp; TEXT(RANDBETWEEN(0,999),"000")</f>
        <v>1700-111</v>
      </c>
      <c r="I35" t="str" cm="1">
        <f t="array" aca="1" ref="I35" ca="1">INDEX(rua_cod!$B:$B,Users!V35)</f>
        <v>Lisboa</v>
      </c>
      <c r="J35" t="s">
        <v>3728</v>
      </c>
      <c r="K35" t="s">
        <v>225</v>
      </c>
      <c r="L35" t="s">
        <v>265</v>
      </c>
      <c r="M35" t="str">
        <f t="shared" ca="1" si="1"/>
        <v>65383691</v>
      </c>
      <c r="N35" t="str">
        <f t="shared" ca="1" si="2"/>
        <v>174850591</v>
      </c>
      <c r="O35" t="str">
        <f t="shared" ca="1" si="2"/>
        <v>281588030</v>
      </c>
      <c r="P35" t="str" cm="1">
        <f t="array" aca="1" ref="P35" ca="1">9 &amp; INDEX($AF$3:$AF$6,W35)&amp; TEXT(RANDBETWEEN(0,9999999),"0000000")</f>
        <v>939959236</v>
      </c>
      <c r="Q35" t="str" cm="1">
        <f t="array" aca="1" ref="Q35" ca="1">LOWER(B35) &amp; INDEX($AF$9:$AF$11,X35)</f>
        <v>luiboa1700@outlook.com</v>
      </c>
      <c r="R35" t="str">
        <f t="shared" ca="1" si="3"/>
        <v>luiboa1700.jpg</v>
      </c>
      <c r="T35" s="4"/>
      <c r="V35">
        <f ca="1">RANDBETWEEN(2,COUNTA(rua_cod!A:A))</f>
        <v>40</v>
      </c>
      <c r="W35">
        <f t="shared" ca="1" si="4"/>
        <v>3</v>
      </c>
      <c r="X35">
        <f t="shared" ca="1" si="5"/>
        <v>1</v>
      </c>
      <c r="Y35">
        <f t="shared" ca="1" si="6"/>
        <v>1968</v>
      </c>
      <c r="Z35">
        <f t="shared" ca="1" si="7"/>
        <v>7</v>
      </c>
      <c r="AA35">
        <f t="shared" ca="1" si="8"/>
        <v>5</v>
      </c>
      <c r="AB35">
        <f t="shared" ca="1" si="9"/>
        <v>52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joaada2805</v>
      </c>
      <c r="C36" t="str">
        <f t="shared" ca="1" si="0"/>
        <v>pswjoaada2805</v>
      </c>
      <c r="D36" t="str">
        <f ca="1">Nomes!T37</f>
        <v>Joana Correia Santos</v>
      </c>
      <c r="E36" t="str">
        <f>Nomes!S37</f>
        <v>Feminino</v>
      </c>
      <c r="F36" s="2">
        <v>36840</v>
      </c>
      <c r="G36" t="str" cm="1">
        <f t="array" aca="1" ref="G36" ca="1">INDEX(rua_cod!$F:$F,RANDBETWEEN(2,COUNTA(rua_cod!F:F)))</f>
        <v>Rua de São Mamede</v>
      </c>
      <c r="H36" t="str" cm="1">
        <f t="array" aca="1" ref="H36" ca="1">INDEX(rua_cod!$A:$A,Users!V36) &amp; "-" &amp; TEXT(RANDBETWEEN(0,999),"000")</f>
        <v>2805-507</v>
      </c>
      <c r="I36" t="str" cm="1">
        <f t="array" aca="1" ref="I36" ca="1">INDEX(rua_cod!$B:$B,Users!V36)</f>
        <v>Almada</v>
      </c>
      <c r="J36" t="s">
        <v>3728</v>
      </c>
      <c r="K36" t="s">
        <v>225</v>
      </c>
      <c r="L36" t="s">
        <v>265</v>
      </c>
      <c r="M36" t="str">
        <f t="shared" ca="1" si="1"/>
        <v>37901845</v>
      </c>
      <c r="N36" t="str">
        <f t="shared" ca="1" si="2"/>
        <v>820976993</v>
      </c>
      <c r="O36" t="str">
        <f t="shared" ca="1" si="2"/>
        <v>809658511</v>
      </c>
      <c r="P36" t="str" cm="1">
        <f t="array" aca="1" ref="P36" ca="1">9 &amp; INDEX($AF$3:$AF$6,W36)&amp; TEXT(RANDBETWEEN(0,9999999),"0000000")</f>
        <v>929902178</v>
      </c>
      <c r="Q36" t="str" cm="1">
        <f t="array" aca="1" ref="Q36" ca="1">LOWER(B36) &amp; INDEX($AF$9:$AF$11,X36)</f>
        <v>joaada2805@gmail.com</v>
      </c>
      <c r="R36" t="str">
        <f t="shared" ca="1" si="3"/>
        <v>joaada2805.jpg</v>
      </c>
      <c r="T36" s="4"/>
      <c r="V36">
        <f ca="1">RANDBETWEEN(2,COUNTA(rua_cod!A:A))</f>
        <v>4</v>
      </c>
      <c r="W36">
        <f t="shared" ca="1" si="4"/>
        <v>2</v>
      </c>
      <c r="X36">
        <f t="shared" ca="1" si="5"/>
        <v>2</v>
      </c>
      <c r="Y36">
        <f t="shared" ca="1" si="6"/>
        <v>2018</v>
      </c>
      <c r="Z36">
        <f t="shared" ca="1" si="7"/>
        <v>2</v>
      </c>
      <c r="AA36">
        <f t="shared" ca="1" si="8"/>
        <v>19</v>
      </c>
      <c r="AB36">
        <f t="shared" ca="1" si="9"/>
        <v>2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josres2670</v>
      </c>
      <c r="C37" t="str">
        <f t="shared" ca="1" si="0"/>
        <v>pswjosres2670</v>
      </c>
      <c r="D37" t="str">
        <f ca="1">Nomes!T38</f>
        <v>José Paiva Cunha</v>
      </c>
      <c r="E37" t="str">
        <f>Nomes!S38</f>
        <v>Masculino</v>
      </c>
      <c r="F37" s="2">
        <v>40951</v>
      </c>
      <c r="G37" t="str" cm="1">
        <f t="array" aca="1" ref="G37" ca="1">INDEX(rua_cod!$F:$F,RANDBETWEEN(2,COUNTA(rua_cod!F:F)))</f>
        <v>Rua dos Bacalhoeiros</v>
      </c>
      <c r="H37" t="str" cm="1">
        <f t="array" aca="1" ref="H37" ca="1">INDEX(rua_cod!$A:$A,Users!V37) &amp; "-" &amp; TEXT(RANDBETWEEN(0,999),"000")</f>
        <v>2670-543</v>
      </c>
      <c r="I37" t="str" cm="1">
        <f t="array" aca="1" ref="I37" ca="1">INDEX(rua_cod!$B:$B,Users!V37)</f>
        <v>Loures</v>
      </c>
      <c r="J37" t="s">
        <v>3728</v>
      </c>
      <c r="K37" t="s">
        <v>225</v>
      </c>
      <c r="L37" t="s">
        <v>265</v>
      </c>
      <c r="M37" t="str">
        <f t="shared" ca="1" si="1"/>
        <v>49926226</v>
      </c>
      <c r="N37" t="str">
        <f t="shared" ca="1" si="2"/>
        <v>490762227</v>
      </c>
      <c r="O37" t="str">
        <f t="shared" ca="1" si="2"/>
        <v>370294880</v>
      </c>
      <c r="P37" t="str" cm="1">
        <f t="array" aca="1" ref="P37" ca="1">9 &amp; INDEX($AF$3:$AF$6,W37)&amp; TEXT(RANDBETWEEN(0,9999999),"0000000")</f>
        <v>915283516</v>
      </c>
      <c r="Q37" t="str" cm="1">
        <f t="array" aca="1" ref="Q37" ca="1">LOWER(B37) &amp; INDEX($AF$9:$AF$11,X37)</f>
        <v>josres2670@sapo.pt</v>
      </c>
      <c r="R37" t="str">
        <f t="shared" ca="1" si="3"/>
        <v>josres2670.jpg</v>
      </c>
      <c r="T37" s="4"/>
      <c r="V37">
        <f ca="1">RANDBETWEEN(2,COUNTA(rua_cod!A:A))</f>
        <v>83</v>
      </c>
      <c r="W37">
        <f t="shared" ca="1" si="4"/>
        <v>1</v>
      </c>
      <c r="X37">
        <f t="shared" ca="1" si="5"/>
        <v>3</v>
      </c>
      <c r="Y37">
        <f t="shared" ca="1" si="6"/>
        <v>2008</v>
      </c>
      <c r="Z37">
        <f t="shared" ca="1" si="7"/>
        <v>11</v>
      </c>
      <c r="AA37">
        <f t="shared" ca="1" si="8"/>
        <v>6</v>
      </c>
      <c r="AB37">
        <f t="shared" ca="1" si="9"/>
        <v>12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aforia2415</v>
      </c>
      <c r="C38" t="str">
        <f t="shared" ca="1" si="0"/>
        <v>pswaforia2415</v>
      </c>
      <c r="D38" t="str">
        <f ca="1">Nomes!T39</f>
        <v>Afonso Faria Melo</v>
      </c>
      <c r="E38" t="str">
        <f>Nomes!S39</f>
        <v>Masculino</v>
      </c>
      <c r="F38" s="2">
        <v>43838</v>
      </c>
      <c r="G38" t="str" cm="1">
        <f t="array" aca="1" ref="G38" ca="1">INDEX(rua_cod!$F:$F,RANDBETWEEN(2,COUNTA(rua_cod!F:F)))</f>
        <v>Rua do Salitre</v>
      </c>
      <c r="H38" t="str" cm="1">
        <f t="array" aca="1" ref="H38" ca="1">INDEX(rua_cod!$A:$A,Users!V38) &amp; "-" &amp; TEXT(RANDBETWEEN(0,999),"000")</f>
        <v>2415-652</v>
      </c>
      <c r="I38" t="str" cm="1">
        <f t="array" aca="1" ref="I38" ca="1">INDEX(rua_cod!$B:$B,Users!V38)</f>
        <v>Leiria</v>
      </c>
      <c r="J38" t="s">
        <v>3728</v>
      </c>
      <c r="K38" t="s">
        <v>225</v>
      </c>
      <c r="L38" t="s">
        <v>265</v>
      </c>
      <c r="M38" t="str">
        <f t="shared" ca="1" si="1"/>
        <v>33952832</v>
      </c>
      <c r="N38" t="str">
        <f t="shared" ca="1" si="2"/>
        <v>109071459</v>
      </c>
      <c r="O38" t="str">
        <f t="shared" ca="1" si="2"/>
        <v>713689464</v>
      </c>
      <c r="P38" t="str" cm="1">
        <f t="array" aca="1" ref="P38" ca="1">9 &amp; INDEX($AF$3:$AF$6,W38)&amp; TEXT(RANDBETWEEN(0,9999999),"0000000")</f>
        <v>938442115</v>
      </c>
      <c r="Q38" t="str" cm="1">
        <f t="array" aca="1" ref="Q38" ca="1">LOWER(B38) &amp; INDEX($AF$9:$AF$11,X38)</f>
        <v>aforia2415@sapo.pt</v>
      </c>
      <c r="R38" t="str">
        <f t="shared" ca="1" si="3"/>
        <v>aforia2415.jpg</v>
      </c>
      <c r="T38" s="4"/>
      <c r="V38">
        <f ca="1">RANDBETWEEN(2,COUNTA(rua_cod!A:A))</f>
        <v>35</v>
      </c>
      <c r="W38">
        <f t="shared" ca="1" si="4"/>
        <v>3</v>
      </c>
      <c r="X38">
        <f t="shared" ca="1" si="5"/>
        <v>3</v>
      </c>
      <c r="Y38">
        <f t="shared" ca="1" si="6"/>
        <v>1949</v>
      </c>
      <c r="Z38">
        <f t="shared" ca="1" si="7"/>
        <v>12</v>
      </c>
      <c r="AA38">
        <f t="shared" ca="1" si="8"/>
        <v>31</v>
      </c>
      <c r="AB38">
        <f t="shared" ca="1" si="9"/>
        <v>71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luiijo2870</v>
      </c>
      <c r="C39" t="str">
        <f t="shared" ca="1" si="0"/>
        <v>pswluiijo2870</v>
      </c>
      <c r="D39" t="str">
        <f ca="1">Nomes!T40</f>
        <v>Luís Gaspar Domingues</v>
      </c>
      <c r="E39" t="str">
        <f>Nomes!S40</f>
        <v>Masculino</v>
      </c>
      <c r="F39" s="2">
        <v>13937</v>
      </c>
      <c r="G39" t="str" cm="1">
        <f t="array" aca="1" ref="G39" ca="1">INDEX(rua_cod!$F:$F,RANDBETWEEN(2,COUNTA(rua_cod!F:F)))</f>
        <v>Rua Garrett</v>
      </c>
      <c r="H39" t="str" cm="1">
        <f t="array" aca="1" ref="H39" ca="1">INDEX(rua_cod!$A:$A,Users!V39) &amp; "-" &amp; TEXT(RANDBETWEEN(0,999),"000")</f>
        <v>2870-719</v>
      </c>
      <c r="I39" t="str" cm="1">
        <f t="array" aca="1" ref="I39" ca="1">INDEX(rua_cod!$B:$B,Users!V39)</f>
        <v>Montijo</v>
      </c>
      <c r="J39" t="s">
        <v>3728</v>
      </c>
      <c r="K39" t="s">
        <v>225</v>
      </c>
      <c r="L39" t="s">
        <v>265</v>
      </c>
      <c r="M39" t="str">
        <f t="shared" ca="1" si="1"/>
        <v>76013509</v>
      </c>
      <c r="N39" t="str">
        <f t="shared" ca="1" si="2"/>
        <v>485583947</v>
      </c>
      <c r="O39" t="str">
        <f t="shared" ca="1" si="2"/>
        <v>624583062</v>
      </c>
      <c r="P39" t="str" cm="1">
        <f t="array" aca="1" ref="P39" ca="1">9 &amp; INDEX($AF$3:$AF$6,W39)&amp; TEXT(RANDBETWEEN(0,9999999),"0000000")</f>
        <v>938166405</v>
      </c>
      <c r="Q39" t="str" cm="1">
        <f t="array" aca="1" ref="Q39" ca="1">LOWER(B39) &amp; INDEX($AF$9:$AF$11,X39)</f>
        <v>luiijo2870@gmail.com</v>
      </c>
      <c r="R39" t="str">
        <f t="shared" ca="1" si="3"/>
        <v>luiijo2870.jpg</v>
      </c>
      <c r="T39" s="4"/>
      <c r="V39">
        <f ca="1">RANDBETWEEN(2,COUNTA(rua_cod!A:A))</f>
        <v>87</v>
      </c>
      <c r="W39">
        <f t="shared" ca="1" si="4"/>
        <v>3</v>
      </c>
      <c r="X39">
        <f t="shared" ca="1" si="5"/>
        <v>2</v>
      </c>
      <c r="Y39">
        <f t="shared" ca="1" si="6"/>
        <v>1992</v>
      </c>
      <c r="Z39">
        <f t="shared" ca="1" si="7"/>
        <v>3</v>
      </c>
      <c r="AA39">
        <f t="shared" ca="1" si="8"/>
        <v>7</v>
      </c>
      <c r="AB39">
        <f t="shared" ca="1" si="9"/>
        <v>28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josria2424</v>
      </c>
      <c r="C40" t="str">
        <f t="shared" ca="1" si="0"/>
        <v>pswjosria2424</v>
      </c>
      <c r="D40" t="str">
        <f ca="1">Nomes!T41</f>
        <v>José Lopes Pinheiro</v>
      </c>
      <c r="E40" t="str">
        <f>Nomes!S41</f>
        <v>Masculino</v>
      </c>
      <c r="F40" s="2">
        <v>32387</v>
      </c>
      <c r="G40" t="str" cm="1">
        <f t="array" aca="1" ref="G40" ca="1">INDEX(rua_cod!$F:$F,RANDBETWEEN(2,COUNTA(rua_cod!F:F)))</f>
        <v>Rua Ferreira Lapa</v>
      </c>
      <c r="H40" t="str" cm="1">
        <f t="array" aca="1" ref="H40" ca="1">INDEX(rua_cod!$A:$A,Users!V40) &amp; "-" &amp; TEXT(RANDBETWEEN(0,999),"000")</f>
        <v>2424-113</v>
      </c>
      <c r="I40" t="str" cm="1">
        <f t="array" aca="1" ref="I40" ca="1">INDEX(rua_cod!$B:$B,Users!V40)</f>
        <v>Leiria</v>
      </c>
      <c r="J40" t="s">
        <v>3728</v>
      </c>
      <c r="K40" t="s">
        <v>225</v>
      </c>
      <c r="L40" t="s">
        <v>265</v>
      </c>
      <c r="M40" t="str">
        <f t="shared" ca="1" si="1"/>
        <v>30620183</v>
      </c>
      <c r="N40" t="str">
        <f t="shared" ca="1" si="2"/>
        <v>604101032</v>
      </c>
      <c r="O40" t="str">
        <f t="shared" ca="1" si="2"/>
        <v>532908083</v>
      </c>
      <c r="P40" t="str" cm="1">
        <f t="array" aca="1" ref="P40" ca="1">9 &amp; INDEX($AF$3:$AF$6,W40)&amp; TEXT(RANDBETWEEN(0,9999999),"0000000")</f>
        <v>928405599</v>
      </c>
      <c r="Q40" t="str" cm="1">
        <f t="array" aca="1" ref="Q40" ca="1">LOWER(B40) &amp; INDEX($AF$9:$AF$11,X40)</f>
        <v>josria2424@outlook.com</v>
      </c>
      <c r="R40" t="str">
        <f t="shared" ca="1" si="3"/>
        <v>josria2424.jpg</v>
      </c>
      <c r="T40" s="4"/>
      <c r="V40">
        <f ca="1">RANDBETWEEN(2,COUNTA(rua_cod!A:A))</f>
        <v>39</v>
      </c>
      <c r="W40">
        <f t="shared" ca="1" si="4"/>
        <v>2</v>
      </c>
      <c r="X40">
        <f t="shared" ca="1" si="5"/>
        <v>1</v>
      </c>
      <c r="Y40">
        <f t="shared" ca="1" si="6"/>
        <v>1953</v>
      </c>
      <c r="Z40">
        <f t="shared" ca="1" si="7"/>
        <v>6</v>
      </c>
      <c r="AA40">
        <f t="shared" ca="1" si="8"/>
        <v>6</v>
      </c>
      <c r="AB40">
        <f t="shared" ca="1" si="9"/>
        <v>67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josboa1099</v>
      </c>
      <c r="C41" t="str">
        <f t="shared" ca="1" si="0"/>
        <v>pswjosboa1099</v>
      </c>
      <c r="D41" t="str">
        <f ca="1">Nomes!T42</f>
        <v>José Mendes Esteves</v>
      </c>
      <c r="E41" t="str">
        <f>Nomes!S42</f>
        <v>Masculino</v>
      </c>
      <c r="F41" s="2">
        <v>10615</v>
      </c>
      <c r="G41" t="str" cm="1">
        <f t="array" aca="1" ref="G41" ca="1">INDEX(rua_cod!$F:$F,RANDBETWEEN(2,COUNTA(rua_cod!F:F)))</f>
        <v>Rua Augusta</v>
      </c>
      <c r="H41" t="str" cm="1">
        <f t="array" aca="1" ref="H41" ca="1">INDEX(rua_cod!$A:$A,Users!V41) &amp; "-" &amp; TEXT(RANDBETWEEN(0,999),"000")</f>
        <v>1099-766</v>
      </c>
      <c r="I41" t="str" cm="1">
        <f t="array" aca="1" ref="I41" ca="1">INDEX(rua_cod!$B:$B,Users!V41)</f>
        <v>Lisboa</v>
      </c>
      <c r="J41" t="s">
        <v>3728</v>
      </c>
      <c r="K41" t="s">
        <v>225</v>
      </c>
      <c r="L41" t="s">
        <v>265</v>
      </c>
      <c r="M41" t="str">
        <f t="shared" ca="1" si="1"/>
        <v>17619037</v>
      </c>
      <c r="N41" t="str">
        <f t="shared" ca="1" si="2"/>
        <v>913698115</v>
      </c>
      <c r="O41" t="str">
        <f t="shared" ca="1" si="2"/>
        <v>772636254</v>
      </c>
      <c r="P41" t="str" cm="1">
        <f t="array" aca="1" ref="P41" ca="1">9 &amp; INDEX($AF$3:$AF$6,W41)&amp; TEXT(RANDBETWEEN(0,9999999),"0000000")</f>
        <v>918270678</v>
      </c>
      <c r="Q41" t="str" cm="1">
        <f t="array" aca="1" ref="Q41" ca="1">LOWER(B41) &amp; INDEX($AF$9:$AF$11,X41)</f>
        <v>josboa1099@sapo.pt</v>
      </c>
      <c r="R41" t="str">
        <f t="shared" ca="1" si="3"/>
        <v>josboa1099.jpg</v>
      </c>
      <c r="T41" s="4"/>
      <c r="V41">
        <f ca="1">RANDBETWEEN(2,COUNTA(rua_cod!A:A))</f>
        <v>53</v>
      </c>
      <c r="W41">
        <f t="shared" ca="1" si="4"/>
        <v>1</v>
      </c>
      <c r="X41">
        <f t="shared" ca="1" si="5"/>
        <v>3</v>
      </c>
      <c r="Y41">
        <f t="shared" ca="1" si="6"/>
        <v>1920</v>
      </c>
      <c r="Z41">
        <f t="shared" ca="1" si="7"/>
        <v>1</v>
      </c>
      <c r="AA41">
        <f t="shared" ca="1" si="8"/>
        <v>19</v>
      </c>
      <c r="AB41">
        <f t="shared" ca="1" si="9"/>
        <v>100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tiaria2419</v>
      </c>
      <c r="C42" t="str">
        <f t="shared" ca="1" si="0"/>
        <v>pswtiaria2419</v>
      </c>
      <c r="D42" t="str">
        <f ca="1">Nomes!T43</f>
        <v>Tiago Domingues Melo</v>
      </c>
      <c r="E42" t="str">
        <f>Nomes!S43</f>
        <v>Masculino</v>
      </c>
      <c r="F42" s="2">
        <v>28753</v>
      </c>
      <c r="G42" t="str" cm="1">
        <f t="array" aca="1" ref="G42" ca="1">INDEX(rua_cod!$F:$F,RANDBETWEEN(2,COUNTA(rua_cod!F:F)))</f>
        <v>Rua da Junqueira</v>
      </c>
      <c r="H42" t="str" cm="1">
        <f t="array" aca="1" ref="H42" ca="1">INDEX(rua_cod!$A:$A,Users!V42) &amp; "-" &amp; TEXT(RANDBETWEEN(0,999),"000")</f>
        <v>2419-304</v>
      </c>
      <c r="I42" t="str" cm="1">
        <f t="array" aca="1" ref="I42" ca="1">INDEX(rua_cod!$B:$B,Users!V42)</f>
        <v>Leiria</v>
      </c>
      <c r="J42" t="s">
        <v>3728</v>
      </c>
      <c r="K42" t="s">
        <v>225</v>
      </c>
      <c r="L42" t="s">
        <v>265</v>
      </c>
      <c r="M42" t="str">
        <f t="shared" ca="1" si="1"/>
        <v>26377523</v>
      </c>
      <c r="N42" t="str">
        <f t="shared" ca="1" si="2"/>
        <v>163728167</v>
      </c>
      <c r="O42" t="str">
        <f t="shared" ca="1" si="2"/>
        <v>140280932</v>
      </c>
      <c r="P42" t="str" cm="1">
        <f t="array" aca="1" ref="P42" ca="1">9 &amp; INDEX($AF$3:$AF$6,W42)&amp; TEXT(RANDBETWEEN(0,9999999),"0000000")</f>
        <v>919500052</v>
      </c>
      <c r="Q42" t="str" cm="1">
        <f t="array" aca="1" ref="Q42" ca="1">LOWER(B42) &amp; INDEX($AF$9:$AF$11,X42)</f>
        <v>tiaria2419@sapo.pt</v>
      </c>
      <c r="R42" t="str">
        <f t="shared" ca="1" si="3"/>
        <v>tiaria2419.jpg</v>
      </c>
      <c r="T42" s="4"/>
      <c r="V42">
        <f ca="1">RANDBETWEEN(2,COUNTA(rua_cod!A:A))</f>
        <v>37</v>
      </c>
      <c r="W42">
        <f t="shared" ca="1" si="4"/>
        <v>1</v>
      </c>
      <c r="X42">
        <f t="shared" ca="1" si="5"/>
        <v>3</v>
      </c>
      <c r="Y42">
        <f t="shared" ca="1" si="6"/>
        <v>1986</v>
      </c>
      <c r="Z42">
        <f t="shared" ca="1" si="7"/>
        <v>9</v>
      </c>
      <c r="AA42">
        <f t="shared" ca="1" si="8"/>
        <v>20</v>
      </c>
      <c r="AB42">
        <f t="shared" ca="1" si="9"/>
        <v>34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gabboa1700</v>
      </c>
      <c r="C43" t="str">
        <f t="shared" ca="1" si="0"/>
        <v>pswgabboa1700</v>
      </c>
      <c r="D43" t="str">
        <f ca="1">Nomes!T44</f>
        <v>Gabriel Correia Nogueira</v>
      </c>
      <c r="E43" t="str">
        <f>Nomes!S44</f>
        <v>Masculino</v>
      </c>
      <c r="F43" s="2">
        <v>20196</v>
      </c>
      <c r="G43" t="str" cm="1">
        <f t="array" aca="1" ref="G43" ca="1">INDEX(rua_cod!$F:$F,RANDBETWEEN(2,COUNTA(rua_cod!F:F)))</f>
        <v>Rua Nova do Almada</v>
      </c>
      <c r="H43" t="str" cm="1">
        <f t="array" aca="1" ref="H43" ca="1">INDEX(rua_cod!$A:$A,Users!V43) &amp; "-" &amp; TEXT(RANDBETWEEN(0,999),"000")</f>
        <v>1700-009</v>
      </c>
      <c r="I43" t="str" cm="1">
        <f t="array" aca="1" ref="I43" ca="1">INDEX(rua_cod!$B:$B,Users!V43)</f>
        <v>Lisboa</v>
      </c>
      <c r="J43" t="s">
        <v>3728</v>
      </c>
      <c r="K43" t="s">
        <v>225</v>
      </c>
      <c r="L43" t="s">
        <v>265</v>
      </c>
      <c r="M43" t="str">
        <f t="shared" ca="1" si="1"/>
        <v>14033521</v>
      </c>
      <c r="N43" t="str">
        <f t="shared" ca="1" si="2"/>
        <v>292884732</v>
      </c>
      <c r="O43" t="str">
        <f t="shared" ca="1" si="2"/>
        <v>448058029</v>
      </c>
      <c r="P43" t="str" cm="1">
        <f t="array" aca="1" ref="P43" ca="1">9 &amp; INDEX($AF$3:$AF$6,W43)&amp; TEXT(RANDBETWEEN(0,9999999),"0000000")</f>
        <v>922954655</v>
      </c>
      <c r="Q43" t="str" cm="1">
        <f t="array" aca="1" ref="Q43" ca="1">LOWER(B43) &amp; INDEX($AF$9:$AF$11,X43)</f>
        <v>gabboa1700@gmail.com</v>
      </c>
      <c r="R43" t="str">
        <f t="shared" ca="1" si="3"/>
        <v>gabboa1700.jpg</v>
      </c>
      <c r="T43" s="4"/>
      <c r="V43">
        <f ca="1">RANDBETWEEN(2,COUNTA(rua_cod!A:A))</f>
        <v>40</v>
      </c>
      <c r="W43">
        <f t="shared" ca="1" si="4"/>
        <v>2</v>
      </c>
      <c r="X43">
        <f t="shared" ca="1" si="5"/>
        <v>2</v>
      </c>
      <c r="Y43">
        <f t="shared" ca="1" si="6"/>
        <v>1966</v>
      </c>
      <c r="Z43">
        <f t="shared" ca="1" si="7"/>
        <v>6</v>
      </c>
      <c r="AA43">
        <f t="shared" ca="1" si="8"/>
        <v>4</v>
      </c>
      <c r="AB43">
        <f t="shared" ca="1" si="9"/>
        <v>54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migica2829</v>
      </c>
      <c r="C44" t="str">
        <f t="shared" ca="1" si="0"/>
        <v>pswmigica2829</v>
      </c>
      <c r="D44" t="str">
        <f ca="1">Nomes!T45</f>
        <v>Miguel Anjos Torres</v>
      </c>
      <c r="E44" t="str">
        <f>Nomes!S45</f>
        <v>Masculino</v>
      </c>
      <c r="F44" s="2">
        <v>28461</v>
      </c>
      <c r="G44" t="str" cm="1">
        <f t="array" aca="1" ref="G44" ca="1">INDEX(rua_cod!$F:$F,RANDBETWEEN(2,COUNTA(rua_cod!F:F)))</f>
        <v>Rua da Prata</v>
      </c>
      <c r="H44" t="str" cm="1">
        <f t="array" aca="1" ref="H44" ca="1">INDEX(rua_cod!$A:$A,Users!V44) &amp; "-" &amp; TEXT(RANDBETWEEN(0,999),"000")</f>
        <v>2829-490</v>
      </c>
      <c r="I44" t="str" cm="1">
        <f t="array" aca="1" ref="I44" ca="1">INDEX(rua_cod!$B:$B,Users!V44)</f>
        <v>Caparica</v>
      </c>
      <c r="J44" t="s">
        <v>3728</v>
      </c>
      <c r="K44" t="s">
        <v>225</v>
      </c>
      <c r="L44" t="s">
        <v>265</v>
      </c>
      <c r="M44" t="str">
        <f t="shared" ca="1" si="1"/>
        <v>24639214</v>
      </c>
      <c r="N44" t="str">
        <f t="shared" ca="1" si="2"/>
        <v>886655825</v>
      </c>
      <c r="O44" t="str">
        <f t="shared" ca="1" si="2"/>
        <v>267681682</v>
      </c>
      <c r="P44" t="str" cm="1">
        <f t="array" aca="1" ref="P44" ca="1">9 &amp; INDEX($AF$3:$AF$6,W44)&amp; TEXT(RANDBETWEEN(0,9999999),"0000000")</f>
        <v>929616080</v>
      </c>
      <c r="Q44" t="str" cm="1">
        <f t="array" aca="1" ref="Q44" ca="1">LOWER(B44) &amp; INDEX($AF$9:$AF$11,X44)</f>
        <v>migica2829@sapo.pt</v>
      </c>
      <c r="R44" t="str">
        <f t="shared" ca="1" si="3"/>
        <v>migica2829.jpg</v>
      </c>
      <c r="T44" s="4"/>
      <c r="V44">
        <f ca="1">RANDBETWEEN(2,COUNTA(rua_cod!A:A))</f>
        <v>19</v>
      </c>
      <c r="W44">
        <f t="shared" ca="1" si="4"/>
        <v>2</v>
      </c>
      <c r="X44">
        <f t="shared" ca="1" si="5"/>
        <v>3</v>
      </c>
      <c r="Y44">
        <f t="shared" ca="1" si="6"/>
        <v>1968</v>
      </c>
      <c r="Z44">
        <f t="shared" ca="1" si="7"/>
        <v>6</v>
      </c>
      <c r="AA44">
        <f t="shared" ca="1" si="8"/>
        <v>16</v>
      </c>
      <c r="AB44">
        <f t="shared" ca="1" si="9"/>
        <v>52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marras2560</v>
      </c>
      <c r="C45" t="str">
        <f t="shared" ca="1" si="0"/>
        <v>pswmarras2560</v>
      </c>
      <c r="D45" t="str">
        <f ca="1">Nomes!T46</f>
        <v>Marco Neto Araújo</v>
      </c>
      <c r="E45" t="str">
        <f>Nomes!S46</f>
        <v>Masculino</v>
      </c>
      <c r="F45" s="2">
        <v>36293</v>
      </c>
      <c r="G45" t="str" cm="1">
        <f t="array" aca="1" ref="G45" ca="1">INDEX(rua_cod!$F:$F,RANDBETWEEN(2,COUNTA(rua_cod!F:F)))</f>
        <v>Estrada da Circunvalação de Lisboa</v>
      </c>
      <c r="H45" t="str" cm="1">
        <f t="array" aca="1" ref="H45" ca="1">INDEX(rua_cod!$A:$A,Users!V45) &amp; "-" &amp; TEXT(RANDBETWEEN(0,999),"000")</f>
        <v>2560-459</v>
      </c>
      <c r="I45" t="str" cm="1">
        <f t="array" aca="1" ref="I45" ca="1">INDEX(rua_cod!$B:$B,Users!V45)</f>
        <v>Torres Vedras</v>
      </c>
      <c r="J45" t="s">
        <v>3728</v>
      </c>
      <c r="K45" t="s">
        <v>225</v>
      </c>
      <c r="L45" t="s">
        <v>265</v>
      </c>
      <c r="M45" t="str">
        <f t="shared" ca="1" si="1"/>
        <v>38229788</v>
      </c>
      <c r="N45" t="str">
        <f t="shared" ca="1" si="2"/>
        <v>802159242</v>
      </c>
      <c r="O45" t="str">
        <f t="shared" ca="1" si="2"/>
        <v>444384033</v>
      </c>
      <c r="P45" t="str" cm="1">
        <f t="array" aca="1" ref="P45" ca="1">9 &amp; INDEX($AF$3:$AF$6,W45)&amp; TEXT(RANDBETWEEN(0,9999999),"0000000")</f>
        <v>931266472</v>
      </c>
      <c r="Q45" t="str" cm="1">
        <f t="array" aca="1" ref="Q45" ca="1">LOWER(B45) &amp; INDEX($AF$9:$AF$11,X45)</f>
        <v>marras2560@sapo.pt</v>
      </c>
      <c r="R45" t="str">
        <f t="shared" ca="1" si="3"/>
        <v>marras2560.jpg</v>
      </c>
      <c r="T45" s="4"/>
      <c r="V45">
        <f ca="1">RANDBETWEEN(2,COUNTA(rua_cod!A:A))</f>
        <v>104</v>
      </c>
      <c r="W45">
        <f t="shared" ca="1" si="4"/>
        <v>3</v>
      </c>
      <c r="X45">
        <f t="shared" ca="1" si="5"/>
        <v>3</v>
      </c>
      <c r="Y45">
        <f t="shared" ca="1" si="6"/>
        <v>1960</v>
      </c>
      <c r="Z45">
        <f t="shared" ca="1" si="7"/>
        <v>7</v>
      </c>
      <c r="AA45">
        <f t="shared" ca="1" si="8"/>
        <v>29</v>
      </c>
      <c r="AB45">
        <f t="shared" ca="1" si="9"/>
        <v>60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marboa1170</v>
      </c>
      <c r="C46" t="str">
        <f t="shared" ca="1" si="0"/>
        <v>pswmarboa1170</v>
      </c>
      <c r="D46" t="str">
        <f ca="1">Nomes!T47</f>
        <v>Marco Matias Cardoso</v>
      </c>
      <c r="E46" t="str">
        <f>Nomes!S47</f>
        <v>Masculino</v>
      </c>
      <c r="F46" s="2">
        <v>14532</v>
      </c>
      <c r="G46" t="str" cm="1">
        <f t="array" aca="1" ref="G46" ca="1">INDEX(rua_cod!$F:$F,RANDBETWEEN(2,COUNTA(rua_cod!F:F)))</f>
        <v>Rua da Betesga</v>
      </c>
      <c r="H46" t="str" cm="1">
        <f t="array" aca="1" ref="H46" ca="1">INDEX(rua_cod!$A:$A,Users!V46) &amp; "-" &amp; TEXT(RANDBETWEEN(0,999),"000")</f>
        <v>1170-117</v>
      </c>
      <c r="I46" t="str" cm="1">
        <f t="array" aca="1" ref="I46" ca="1">INDEX(rua_cod!$B:$B,Users!V46)</f>
        <v>Lisboa</v>
      </c>
      <c r="J46" t="s">
        <v>3728</v>
      </c>
      <c r="K46" t="s">
        <v>225</v>
      </c>
      <c r="L46" t="s">
        <v>265</v>
      </c>
      <c r="M46" t="str">
        <f t="shared" ca="1" si="1"/>
        <v>79992677</v>
      </c>
      <c r="N46" t="str">
        <f t="shared" ca="1" si="2"/>
        <v>595033487</v>
      </c>
      <c r="O46" t="str">
        <f t="shared" ca="1" si="2"/>
        <v>702579503</v>
      </c>
      <c r="P46" t="str" cm="1">
        <f t="array" aca="1" ref="P46" ca="1">9 &amp; INDEX($AF$3:$AF$6,W46)&amp; TEXT(RANDBETWEEN(0,9999999),"0000000")</f>
        <v>920347578</v>
      </c>
      <c r="Q46" t="str" cm="1">
        <f t="array" aca="1" ref="Q46" ca="1">LOWER(B46) &amp; INDEX($AF$9:$AF$11,X46)</f>
        <v>marboa1170@gmail.com</v>
      </c>
      <c r="R46" t="str">
        <f t="shared" ca="1" si="3"/>
        <v>marboa1170.jpg</v>
      </c>
      <c r="T46" s="4"/>
      <c r="V46">
        <f ca="1">RANDBETWEEN(2,COUNTA(rua_cod!A:A))</f>
        <v>47</v>
      </c>
      <c r="W46">
        <f t="shared" ca="1" si="4"/>
        <v>2</v>
      </c>
      <c r="X46">
        <f t="shared" ca="1" si="5"/>
        <v>2</v>
      </c>
      <c r="Y46">
        <f t="shared" ca="1" si="6"/>
        <v>2018</v>
      </c>
      <c r="Z46">
        <f t="shared" ca="1" si="7"/>
        <v>12</v>
      </c>
      <c r="AA46">
        <f t="shared" ca="1" si="8"/>
        <v>23</v>
      </c>
      <c r="AB46">
        <f t="shared" ca="1" si="9"/>
        <v>2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afoboa1199</v>
      </c>
      <c r="C47" t="str">
        <f t="shared" ca="1" si="0"/>
        <v>pswafoboa1199</v>
      </c>
      <c r="D47" t="str">
        <f ca="1">Nomes!T48</f>
        <v>Afonso Mota Ribeiro</v>
      </c>
      <c r="E47" t="str">
        <f>Nomes!S48</f>
        <v>Masculino</v>
      </c>
      <c r="F47" s="2">
        <v>41931</v>
      </c>
      <c r="G47" t="str" cm="1">
        <f t="array" aca="1" ref="G47" ca="1">INDEX(rua_cod!$F:$F,RANDBETWEEN(2,COUNTA(rua_cod!F:F)))</f>
        <v>Rua General Morais Sarmento</v>
      </c>
      <c r="H47" t="str" cm="1">
        <f t="array" aca="1" ref="H47" ca="1">INDEX(rua_cod!$A:$A,Users!V47) &amp; "-" &amp; TEXT(RANDBETWEEN(0,999),"000")</f>
        <v>1199-123</v>
      </c>
      <c r="I47" t="str" cm="1">
        <f t="array" aca="1" ref="I47" ca="1">INDEX(rua_cod!$B:$B,Users!V47)</f>
        <v>Lisboa</v>
      </c>
      <c r="J47" t="s">
        <v>3728</v>
      </c>
      <c r="K47" t="s">
        <v>225</v>
      </c>
      <c r="L47" t="s">
        <v>265</v>
      </c>
      <c r="M47" t="str">
        <f t="shared" ca="1" si="1"/>
        <v>20620758</v>
      </c>
      <c r="N47" t="str">
        <f t="shared" ca="1" si="2"/>
        <v>144099854</v>
      </c>
      <c r="O47" t="str">
        <f t="shared" ca="1" si="2"/>
        <v>459774913</v>
      </c>
      <c r="P47" t="str" cm="1">
        <f t="array" aca="1" ref="P47" ca="1">9 &amp; INDEX($AF$3:$AF$6,W47)&amp; TEXT(RANDBETWEEN(0,9999999),"0000000")</f>
        <v>912850409</v>
      </c>
      <c r="Q47" t="str" cm="1">
        <f t="array" aca="1" ref="Q47" ca="1">LOWER(B47) &amp; INDEX($AF$9:$AF$11,X47)</f>
        <v>afoboa1199@outlook.com</v>
      </c>
      <c r="R47" t="str">
        <f t="shared" ca="1" si="3"/>
        <v>afoboa1199.jpg</v>
      </c>
      <c r="T47" s="4"/>
      <c r="V47">
        <f ca="1">RANDBETWEEN(2,COUNTA(rua_cod!A:A))</f>
        <v>65</v>
      </c>
      <c r="W47">
        <f t="shared" ca="1" si="4"/>
        <v>1</v>
      </c>
      <c r="X47">
        <f t="shared" ca="1" si="5"/>
        <v>1</v>
      </c>
      <c r="Y47">
        <f t="shared" ca="1" si="6"/>
        <v>1953</v>
      </c>
      <c r="Z47">
        <f t="shared" ca="1" si="7"/>
        <v>5</v>
      </c>
      <c r="AA47">
        <f t="shared" ca="1" si="8"/>
        <v>26</v>
      </c>
      <c r="AB47">
        <f t="shared" ca="1" si="9"/>
        <v>67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sanboa1349</v>
      </c>
      <c r="C48" t="str">
        <f t="shared" ca="1" si="0"/>
        <v>pswsanboa1349</v>
      </c>
      <c r="D48" t="str">
        <f ca="1">Nomes!T49</f>
        <v>Santiago Machado Garcia</v>
      </c>
      <c r="E48" t="str">
        <f>Nomes!S49</f>
        <v>Masculino</v>
      </c>
      <c r="F48" s="2">
        <v>42843</v>
      </c>
      <c r="G48" t="str" cm="1">
        <f t="array" aca="1" ref="G48" ca="1">INDEX(rua_cod!$F:$F,RANDBETWEEN(2,COUNTA(rua_cod!F:F)))</f>
        <v>Rua da Alfândega</v>
      </c>
      <c r="H48" t="str" cm="1">
        <f t="array" aca="1" ref="H48" ca="1">INDEX(rua_cod!$A:$A,Users!V48) &amp; "-" &amp; TEXT(RANDBETWEEN(0,999),"000")</f>
        <v>1349-778</v>
      </c>
      <c r="I48" t="str" cm="1">
        <f t="array" aca="1" ref="I48" ca="1">INDEX(rua_cod!$B:$B,Users!V48)</f>
        <v>Lisboa</v>
      </c>
      <c r="J48" t="s">
        <v>3728</v>
      </c>
      <c r="K48" t="s">
        <v>225</v>
      </c>
      <c r="L48" t="s">
        <v>265</v>
      </c>
      <c r="M48" t="str">
        <f t="shared" ca="1" si="1"/>
        <v>73231223</v>
      </c>
      <c r="N48" t="str">
        <f t="shared" ca="1" si="2"/>
        <v>618723344</v>
      </c>
      <c r="O48" t="str">
        <f t="shared" ca="1" si="2"/>
        <v>722216611</v>
      </c>
      <c r="P48" t="str" cm="1">
        <f t="array" aca="1" ref="P48" ca="1">9 &amp; INDEX($AF$3:$AF$6,W48)&amp; TEXT(RANDBETWEEN(0,9999999),"0000000")</f>
        <v>938624487</v>
      </c>
      <c r="Q48" t="str" cm="1">
        <f t="array" aca="1" ref="Q48" ca="1">LOWER(B48) &amp; INDEX($AF$9:$AF$11,X48)</f>
        <v>sanboa1349@outlook.com</v>
      </c>
      <c r="R48" t="str">
        <f t="shared" ca="1" si="3"/>
        <v>sanboa1349.jpg</v>
      </c>
      <c r="T48" s="4"/>
      <c r="V48">
        <f ca="1">RANDBETWEEN(2,COUNTA(rua_cod!A:A))</f>
        <v>71</v>
      </c>
      <c r="W48">
        <f t="shared" ca="1" si="4"/>
        <v>3</v>
      </c>
      <c r="X48">
        <f t="shared" ca="1" si="5"/>
        <v>1</v>
      </c>
      <c r="Y48">
        <f t="shared" ca="1" si="6"/>
        <v>1959</v>
      </c>
      <c r="Z48">
        <f t="shared" ca="1" si="7"/>
        <v>9</v>
      </c>
      <c r="AA48">
        <f t="shared" ca="1" si="8"/>
        <v>17</v>
      </c>
      <c r="AB48">
        <f t="shared" ca="1" si="9"/>
        <v>61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joaria2415</v>
      </c>
      <c r="C49" t="str">
        <f t="shared" ca="1" si="0"/>
        <v>pswjoaria2415</v>
      </c>
      <c r="D49" t="str">
        <f ca="1">Nomes!T50</f>
        <v>Joana Martins Melo</v>
      </c>
      <c r="E49" t="str">
        <f>Nomes!S50</f>
        <v>Feminino</v>
      </c>
      <c r="F49" s="2">
        <v>25752</v>
      </c>
      <c r="G49" t="str" cm="1">
        <f t="array" aca="1" ref="G49" ca="1">INDEX(rua_cod!$F:$F,RANDBETWEEN(2,COUNTA(rua_cod!F:F)))</f>
        <v>Calçada Marquês de Abrantes</v>
      </c>
      <c r="H49" t="str" cm="1">
        <f t="array" aca="1" ref="H49" ca="1">INDEX(rua_cod!$A:$A,Users!V49) &amp; "-" &amp; TEXT(RANDBETWEEN(0,999),"000")</f>
        <v>2415-808</v>
      </c>
      <c r="I49" t="str" cm="1">
        <f t="array" aca="1" ref="I49" ca="1">INDEX(rua_cod!$B:$B,Users!V49)</f>
        <v>Leiria</v>
      </c>
      <c r="J49" t="s">
        <v>3728</v>
      </c>
      <c r="K49" t="s">
        <v>225</v>
      </c>
      <c r="L49" t="s">
        <v>265</v>
      </c>
      <c r="M49" t="str">
        <f t="shared" ca="1" si="1"/>
        <v>86799813</v>
      </c>
      <c r="N49" t="str">
        <f t="shared" ca="1" si="2"/>
        <v>292337886</v>
      </c>
      <c r="O49" t="str">
        <f t="shared" ca="1" si="2"/>
        <v>151280449</v>
      </c>
      <c r="P49" t="str" cm="1">
        <f t="array" aca="1" ref="P49" ca="1">9 &amp; INDEX($AF$3:$AF$6,W49)&amp; TEXT(RANDBETWEEN(0,9999999),"0000000")</f>
        <v>966949769</v>
      </c>
      <c r="Q49" t="str" cm="1">
        <f t="array" aca="1" ref="Q49" ca="1">LOWER(B49) &amp; INDEX($AF$9:$AF$11,X49)</f>
        <v>joaria2415@outlook.com</v>
      </c>
      <c r="R49" t="str">
        <f t="shared" ca="1" si="3"/>
        <v>joaria2415.jpg</v>
      </c>
      <c r="T49" s="4"/>
      <c r="V49">
        <f ca="1">RANDBETWEEN(2,COUNTA(rua_cod!A:A))</f>
        <v>35</v>
      </c>
      <c r="W49">
        <f t="shared" ca="1" si="4"/>
        <v>4</v>
      </c>
      <c r="X49">
        <f t="shared" ca="1" si="5"/>
        <v>1</v>
      </c>
      <c r="Y49">
        <f t="shared" ca="1" si="6"/>
        <v>2016</v>
      </c>
      <c r="Z49">
        <f t="shared" ca="1" si="7"/>
        <v>10</v>
      </c>
      <c r="AA49">
        <f t="shared" ca="1" si="8"/>
        <v>8</v>
      </c>
      <c r="AB49">
        <f t="shared" ca="1" si="9"/>
        <v>4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beaora2724</v>
      </c>
      <c r="C50" t="str">
        <f t="shared" ca="1" si="0"/>
        <v>pswbeaora2724</v>
      </c>
      <c r="D50" t="str">
        <f ca="1">Nomes!T51</f>
        <v>Beatriz Faria Nascimento</v>
      </c>
      <c r="E50" t="str">
        <f>Nomes!S51</f>
        <v>Feminino</v>
      </c>
      <c r="F50" s="2">
        <v>23798</v>
      </c>
      <c r="G50" t="str" cm="1">
        <f t="array" aca="1" ref="G50" ca="1">INDEX(rua_cod!$F:$F,RANDBETWEEN(2,COUNTA(rua_cod!F:F)))</f>
        <v>Rua de São Mamede</v>
      </c>
      <c r="H50" t="str" cm="1">
        <f t="array" aca="1" ref="H50" ca="1">INDEX(rua_cod!$A:$A,Users!V50) &amp; "-" &amp; TEXT(RANDBETWEEN(0,999),"000")</f>
        <v>2724-722</v>
      </c>
      <c r="I50" t="str" cm="1">
        <f t="array" aca="1" ref="I50" ca="1">INDEX(rua_cod!$B:$B,Users!V50)</f>
        <v>Amadora</v>
      </c>
      <c r="J50" t="s">
        <v>3728</v>
      </c>
      <c r="K50" t="s">
        <v>225</v>
      </c>
      <c r="L50" t="s">
        <v>265</v>
      </c>
      <c r="M50" t="str">
        <f t="shared" ca="1" si="1"/>
        <v>26801538</v>
      </c>
      <c r="N50" t="str">
        <f t="shared" ca="1" si="2"/>
        <v>649044179</v>
      </c>
      <c r="O50" t="str">
        <f t="shared" ca="1" si="2"/>
        <v>945352488</v>
      </c>
      <c r="P50" t="str" cm="1">
        <f t="array" aca="1" ref="P50" ca="1">9 &amp; INDEX($AF$3:$AF$6,W50)&amp; TEXT(RANDBETWEEN(0,9999999),"0000000")</f>
        <v>966466119</v>
      </c>
      <c r="Q50" t="str" cm="1">
        <f t="array" aca="1" ref="Q50" ca="1">LOWER(B50) &amp; INDEX($AF$9:$AF$11,X50)</f>
        <v>beaora2724@outlook.com</v>
      </c>
      <c r="R50" t="str">
        <f t="shared" ca="1" si="3"/>
        <v>beaora2724.jpg</v>
      </c>
      <c r="T50" s="4"/>
      <c r="V50">
        <f ca="1">RANDBETWEEN(2,COUNTA(rua_cod!A:A))</f>
        <v>13</v>
      </c>
      <c r="W50">
        <f t="shared" ca="1" si="4"/>
        <v>4</v>
      </c>
      <c r="X50">
        <f t="shared" ca="1" si="5"/>
        <v>1</v>
      </c>
      <c r="Y50">
        <f t="shared" ca="1" si="6"/>
        <v>2005</v>
      </c>
      <c r="Z50">
        <f t="shared" ca="1" si="7"/>
        <v>8</v>
      </c>
      <c r="AA50">
        <f t="shared" ca="1" si="8"/>
        <v>19</v>
      </c>
      <c r="AB50">
        <f t="shared" ca="1" si="9"/>
        <v>15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aforem2009</v>
      </c>
      <c r="C51" t="str">
        <f t="shared" ca="1" si="0"/>
        <v>pswaforem2009</v>
      </c>
      <c r="D51" t="str">
        <f ca="1">Nomes!T52</f>
        <v>Afonso José Vieira Moura</v>
      </c>
      <c r="E51" t="str">
        <f>Nomes!S52</f>
        <v>Masculino</v>
      </c>
      <c r="F51" s="2">
        <v>10175</v>
      </c>
      <c r="G51" t="str" cm="1">
        <f t="array" aca="1" ref="G51" ca="1">INDEX(rua_cod!$F:$F,RANDBETWEEN(2,COUNTA(rua_cod!F:F)))</f>
        <v>Rua Ferreira Lapa</v>
      </c>
      <c r="H51" t="str" cm="1">
        <f t="array" aca="1" ref="H51" ca="1">INDEX(rua_cod!$A:$A,Users!V51) &amp; "-" &amp; TEXT(RANDBETWEEN(0,999),"000")</f>
        <v>2009-954</v>
      </c>
      <c r="I51" t="str" cm="1">
        <f t="array" aca="1" ref="I51" ca="1">INDEX(rua_cod!$B:$B,Users!V51)</f>
        <v>Santarém</v>
      </c>
      <c r="J51" t="s">
        <v>3728</v>
      </c>
      <c r="K51" t="s">
        <v>225</v>
      </c>
      <c r="L51" t="s">
        <v>265</v>
      </c>
      <c r="M51" t="str">
        <f t="shared" ca="1" si="1"/>
        <v>66878009</v>
      </c>
      <c r="N51" t="str">
        <f t="shared" ca="1" si="2"/>
        <v>150539412</v>
      </c>
      <c r="O51" t="str">
        <f t="shared" ca="1" si="2"/>
        <v>178957104</v>
      </c>
      <c r="P51" t="str" cm="1">
        <f t="array" aca="1" ref="P51" ca="1">9 &amp; INDEX($AF$3:$AF$6,W51)&amp; TEXT(RANDBETWEEN(0,9999999),"0000000")</f>
        <v>927260188</v>
      </c>
      <c r="Q51" t="str" cm="1">
        <f t="array" aca="1" ref="Q51" ca="1">LOWER(B51) &amp; INDEX($AF$9:$AF$11,X51)</f>
        <v>aforem2009@gmail.com</v>
      </c>
      <c r="R51" t="str">
        <f t="shared" ca="1" si="3"/>
        <v>aforem2009.jpg</v>
      </c>
      <c r="T51" s="4"/>
      <c r="V51">
        <f ca="1">RANDBETWEEN(2,COUNTA(rua_cod!A:A))</f>
        <v>95</v>
      </c>
      <c r="W51">
        <f t="shared" ca="1" si="4"/>
        <v>2</v>
      </c>
      <c r="X51">
        <f t="shared" ca="1" si="5"/>
        <v>2</v>
      </c>
      <c r="Y51">
        <f t="shared" ca="1" si="6"/>
        <v>1943</v>
      </c>
      <c r="Z51">
        <f t="shared" ca="1" si="7"/>
        <v>4</v>
      </c>
      <c r="AA51">
        <f t="shared" ca="1" si="8"/>
        <v>11</v>
      </c>
      <c r="AB51">
        <f t="shared" ca="1" si="9"/>
        <v>77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rodria2423</v>
      </c>
      <c r="C52" t="str">
        <f t="shared" ca="1" si="0"/>
        <v>pswrodria2423</v>
      </c>
      <c r="D52" t="str">
        <f ca="1">Nomes!T53</f>
        <v>Rodrigo Mariana Tavares Fonseca</v>
      </c>
      <c r="E52" t="str">
        <f>Nomes!S53</f>
        <v>Masculino</v>
      </c>
      <c r="F52" s="2">
        <v>16409</v>
      </c>
      <c r="G52" t="str" cm="1">
        <f t="array" aca="1" ref="G52" ca="1">INDEX(rua_cod!$F:$F,RANDBETWEEN(2,COUNTA(rua_cod!F:F)))</f>
        <v>Rua Júlio César Machado</v>
      </c>
      <c r="H52" t="str" cm="1">
        <f t="array" aca="1" ref="H52" ca="1">INDEX(rua_cod!$A:$A,Users!V52) &amp; "-" &amp; TEXT(RANDBETWEEN(0,999),"000")</f>
        <v>2423-395</v>
      </c>
      <c r="I52" t="str" cm="1">
        <f t="array" aca="1" ref="I52" ca="1">INDEX(rua_cod!$B:$B,Users!V52)</f>
        <v>Leiria</v>
      </c>
      <c r="J52" t="s">
        <v>3728</v>
      </c>
      <c r="K52" t="s">
        <v>225</v>
      </c>
      <c r="L52" t="s">
        <v>265</v>
      </c>
      <c r="M52" t="str">
        <f t="shared" ca="1" si="1"/>
        <v>29621413</v>
      </c>
      <c r="N52" t="str">
        <f t="shared" ca="1" si="2"/>
        <v>845552518</v>
      </c>
      <c r="O52" t="str">
        <f t="shared" ca="1" si="2"/>
        <v>350746089</v>
      </c>
      <c r="P52" t="str" cm="1">
        <f t="array" aca="1" ref="P52" ca="1">9 &amp; INDEX($AF$3:$AF$6,W52)&amp; TEXT(RANDBETWEEN(0,9999999),"0000000")</f>
        <v>931739483</v>
      </c>
      <c r="Q52" t="str" cm="1">
        <f t="array" aca="1" ref="Q52" ca="1">LOWER(B52) &amp; INDEX($AF$9:$AF$11,X52)</f>
        <v>rodria2423@outlook.com</v>
      </c>
      <c r="R52" t="str">
        <f t="shared" ca="1" si="3"/>
        <v>rodria2423.jpg</v>
      </c>
      <c r="T52" s="4"/>
      <c r="V52">
        <f ca="1">RANDBETWEEN(2,COUNTA(rua_cod!A:A))</f>
        <v>38</v>
      </c>
      <c r="W52">
        <f t="shared" ca="1" si="4"/>
        <v>3</v>
      </c>
      <c r="X52">
        <f t="shared" ca="1" si="5"/>
        <v>1</v>
      </c>
      <c r="Y52">
        <f t="shared" ca="1" si="6"/>
        <v>1986</v>
      </c>
      <c r="Z52">
        <f t="shared" ca="1" si="7"/>
        <v>1</v>
      </c>
      <c r="AA52">
        <f t="shared" ca="1" si="8"/>
        <v>21</v>
      </c>
      <c r="AB52">
        <f t="shared" ca="1" si="9"/>
        <v>34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matora2614</v>
      </c>
      <c r="C53" t="str">
        <f t="shared" ca="1" si="0"/>
        <v>pswmatora2614</v>
      </c>
      <c r="D53" t="str">
        <f ca="1">Nomes!T54</f>
        <v>Matilde Sara Marques Carneiro</v>
      </c>
      <c r="E53" t="str">
        <f>Nomes!S54</f>
        <v>Feminino</v>
      </c>
      <c r="F53" s="2">
        <v>44012</v>
      </c>
      <c r="G53" t="str" cm="1">
        <f t="array" aca="1" ref="G53" ca="1">INDEX(rua_cod!$F:$F,RANDBETWEEN(2,COUNTA(rua_cod!F:F)))</f>
        <v>Rua da Prata</v>
      </c>
      <c r="H53" t="str" cm="1">
        <f t="array" aca="1" ref="H53" ca="1">INDEX(rua_cod!$A:$A,Users!V53) &amp; "-" &amp; TEXT(RANDBETWEEN(0,999),"000")</f>
        <v>2614-042</v>
      </c>
      <c r="I53" t="str" cm="1">
        <f t="array" aca="1" ref="I53" ca="1">INDEX(rua_cod!$B:$B,Users!V53)</f>
        <v>Amadora</v>
      </c>
      <c r="J53" t="s">
        <v>3728</v>
      </c>
      <c r="K53" t="s">
        <v>225</v>
      </c>
      <c r="L53" t="s">
        <v>265</v>
      </c>
      <c r="M53" t="str">
        <f t="shared" ca="1" si="1"/>
        <v>57055166</v>
      </c>
      <c r="N53" t="str">
        <f t="shared" ca="1" si="2"/>
        <v>704051025</v>
      </c>
      <c r="O53" t="str">
        <f t="shared" ca="1" si="2"/>
        <v>676759820</v>
      </c>
      <c r="P53" t="str" cm="1">
        <f t="array" aca="1" ref="P53" ca="1">9 &amp; INDEX($AF$3:$AF$6,W53)&amp; TEXT(RANDBETWEEN(0,9999999),"0000000")</f>
        <v>926112692</v>
      </c>
      <c r="Q53" t="str" cm="1">
        <f t="array" aca="1" ref="Q53" ca="1">LOWER(B53) &amp; INDEX($AF$9:$AF$11,X53)</f>
        <v>matora2614@gmail.com</v>
      </c>
      <c r="R53" t="str">
        <f t="shared" ca="1" si="3"/>
        <v>matora2614.jpg</v>
      </c>
      <c r="T53" s="4"/>
      <c r="V53">
        <f ca="1">RANDBETWEEN(2,COUNTA(rua_cod!A:A))</f>
        <v>11</v>
      </c>
      <c r="W53">
        <f t="shared" ca="1" si="4"/>
        <v>2</v>
      </c>
      <c r="X53">
        <f t="shared" ca="1" si="5"/>
        <v>2</v>
      </c>
      <c r="Y53">
        <f t="shared" ca="1" si="6"/>
        <v>1974</v>
      </c>
      <c r="Z53">
        <f t="shared" ca="1" si="7"/>
        <v>7</v>
      </c>
      <c r="AA53">
        <f t="shared" ca="1" si="8"/>
        <v>19</v>
      </c>
      <c r="AB53">
        <f t="shared" ca="1" si="9"/>
        <v>46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fraboa1200</v>
      </c>
      <c r="C54" t="str">
        <f t="shared" ca="1" si="0"/>
        <v>pswfraboa1200</v>
      </c>
      <c r="D54" t="str">
        <f ca="1">Nomes!T55</f>
        <v>Francisco Diogo Baptista Correia</v>
      </c>
      <c r="E54" t="str">
        <f>Nomes!S55</f>
        <v>Masculino</v>
      </c>
      <c r="F54" s="2">
        <v>21337</v>
      </c>
      <c r="G54" t="str" cm="1">
        <f t="array" aca="1" ref="G54" ca="1">INDEX(rua_cod!$F:$F,RANDBETWEEN(2,COUNTA(rua_cod!F:F)))</f>
        <v>Calçada Marquês de Abrantes</v>
      </c>
      <c r="H54" t="str" cm="1">
        <f t="array" aca="1" ref="H54" ca="1">INDEX(rua_cod!$A:$A,Users!V54) &amp; "-" &amp; TEXT(RANDBETWEEN(0,999),"000")</f>
        <v>1200-472</v>
      </c>
      <c r="I54" t="str" cm="1">
        <f t="array" aca="1" ref="I54" ca="1">INDEX(rua_cod!$B:$B,Users!V54)</f>
        <v>Lisboa</v>
      </c>
      <c r="J54" t="s">
        <v>3728</v>
      </c>
      <c r="K54" t="s">
        <v>225</v>
      </c>
      <c r="L54" t="s">
        <v>265</v>
      </c>
      <c r="M54" t="str">
        <f t="shared" ca="1" si="1"/>
        <v>72833359</v>
      </c>
      <c r="N54" t="str">
        <f t="shared" ca="1" si="2"/>
        <v>835006993</v>
      </c>
      <c r="O54" t="str">
        <f t="shared" ca="1" si="2"/>
        <v>158482139</v>
      </c>
      <c r="P54" t="str" cm="1">
        <f t="array" aca="1" ref="P54" ca="1">9 &amp; INDEX($AF$3:$AF$6,W54)&amp; TEXT(RANDBETWEEN(0,9999999),"0000000")</f>
        <v>938089985</v>
      </c>
      <c r="Q54" t="str" cm="1">
        <f t="array" aca="1" ref="Q54" ca="1">LOWER(B54) &amp; INDEX($AF$9:$AF$11,X54)</f>
        <v>fraboa1200@outlook.com</v>
      </c>
      <c r="R54" t="str">
        <f t="shared" ca="1" si="3"/>
        <v>fraboa1200.jpg</v>
      </c>
      <c r="T54" s="4"/>
      <c r="V54">
        <f ca="1">RANDBETWEEN(2,COUNTA(rua_cod!A:A))</f>
        <v>48</v>
      </c>
      <c r="W54">
        <f t="shared" ca="1" si="4"/>
        <v>3</v>
      </c>
      <c r="X54">
        <f t="shared" ca="1" si="5"/>
        <v>1</v>
      </c>
      <c r="Y54">
        <f t="shared" ca="1" si="6"/>
        <v>1967</v>
      </c>
      <c r="Z54">
        <f t="shared" ca="1" si="7"/>
        <v>4</v>
      </c>
      <c r="AA54">
        <f t="shared" ca="1" si="8"/>
        <v>19</v>
      </c>
      <c r="AB54">
        <f t="shared" ca="1" si="9"/>
        <v>53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tiaboa1250</v>
      </c>
      <c r="C55" t="str">
        <f t="shared" ca="1" si="0"/>
        <v>pswtiaboa1250</v>
      </c>
      <c r="D55" t="str">
        <f ca="1">Nomes!T56</f>
        <v>Tiago João Vaz Soares</v>
      </c>
      <c r="E55" t="str">
        <f>Nomes!S56</f>
        <v>Masculino</v>
      </c>
      <c r="F55" s="2">
        <v>35631</v>
      </c>
      <c r="G55" t="str" cm="1">
        <f t="array" aca="1" ref="G55" ca="1">INDEX(rua_cod!$F:$F,RANDBETWEEN(2,COUNTA(rua_cod!F:F)))</f>
        <v>Rua General Morais Sarmento</v>
      </c>
      <c r="H55" t="str" cm="1">
        <f t="array" aca="1" ref="H55" ca="1">INDEX(rua_cod!$A:$A,Users!V55) &amp; "-" &amp; TEXT(RANDBETWEEN(0,999),"000")</f>
        <v>1250-407</v>
      </c>
      <c r="I55" t="str" cm="1">
        <f t="array" aca="1" ref="I55" ca="1">INDEX(rua_cod!$B:$B,Users!V55)</f>
        <v>Lisboa</v>
      </c>
      <c r="J55" t="s">
        <v>3728</v>
      </c>
      <c r="K55" t="s">
        <v>225</v>
      </c>
      <c r="L55" t="s">
        <v>265</v>
      </c>
      <c r="M55" t="str">
        <f t="shared" ca="1" si="1"/>
        <v>28532862</v>
      </c>
      <c r="N55" t="str">
        <f t="shared" ca="1" si="2"/>
        <v>846707519</v>
      </c>
      <c r="O55" t="str">
        <f t="shared" ca="1" si="2"/>
        <v>738180865</v>
      </c>
      <c r="P55" t="str" cm="1">
        <f t="array" aca="1" ref="P55" ca="1">9 &amp; INDEX($AF$3:$AF$6,W55)&amp; TEXT(RANDBETWEEN(0,9999999),"0000000")</f>
        <v>962682157</v>
      </c>
      <c r="Q55" t="str" cm="1">
        <f t="array" aca="1" ref="Q55" ca="1">LOWER(B55) &amp; INDEX($AF$9:$AF$11,X55)</f>
        <v>tiaboa1250@sapo.pt</v>
      </c>
      <c r="R55" t="str">
        <f t="shared" ca="1" si="3"/>
        <v>tiaboa1250.jpg</v>
      </c>
      <c r="T55" s="4"/>
      <c r="V55">
        <f ca="1">RANDBETWEEN(2,COUNTA(rua_cod!A:A))</f>
        <v>50</v>
      </c>
      <c r="W55">
        <f t="shared" ca="1" si="4"/>
        <v>4</v>
      </c>
      <c r="X55">
        <f t="shared" ca="1" si="5"/>
        <v>3</v>
      </c>
      <c r="Y55">
        <f t="shared" ca="1" si="6"/>
        <v>1992</v>
      </c>
      <c r="Z55">
        <f t="shared" ca="1" si="7"/>
        <v>1</v>
      </c>
      <c r="AA55">
        <f t="shared" ca="1" si="8"/>
        <v>26</v>
      </c>
      <c r="AB55">
        <f t="shared" ca="1" si="9"/>
        <v>28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pedrem2000</v>
      </c>
      <c r="C56" t="str">
        <f t="shared" ca="1" si="0"/>
        <v>pswpedrem2000</v>
      </c>
      <c r="D56" t="str">
        <f ca="1">Nomes!T57</f>
        <v>Pedro João Monteiro Martins</v>
      </c>
      <c r="E56" t="str">
        <f>Nomes!S57</f>
        <v>Masculino</v>
      </c>
      <c r="F56" s="2">
        <v>14541</v>
      </c>
      <c r="G56" t="str" cm="1">
        <f t="array" aca="1" ref="G56" ca="1">INDEX(rua_cod!$F:$F,RANDBETWEEN(2,COUNTA(rua_cod!F:F)))</f>
        <v>Rua da Prata</v>
      </c>
      <c r="H56" t="str" cm="1">
        <f t="array" aca="1" ref="H56" ca="1">INDEX(rua_cod!$A:$A,Users!V56) &amp; "-" &amp; TEXT(RANDBETWEEN(0,999),"000")</f>
        <v>2000-565</v>
      </c>
      <c r="I56" t="str" cm="1">
        <f t="array" aca="1" ref="I56" ca="1">INDEX(rua_cod!$B:$B,Users!V56)</f>
        <v>Santarém</v>
      </c>
      <c r="J56" t="s">
        <v>3728</v>
      </c>
      <c r="K56" t="s">
        <v>225</v>
      </c>
      <c r="L56" t="s">
        <v>265</v>
      </c>
      <c r="M56" t="str">
        <f t="shared" ca="1" si="1"/>
        <v>68203143</v>
      </c>
      <c r="N56" t="str">
        <f t="shared" ca="1" si="2"/>
        <v>531494861</v>
      </c>
      <c r="O56" t="str">
        <f t="shared" ca="1" si="2"/>
        <v>912278616</v>
      </c>
      <c r="P56" t="str" cm="1">
        <f t="array" aca="1" ref="P56" ca="1">9 &amp; INDEX($AF$3:$AF$6,W56)&amp; TEXT(RANDBETWEEN(0,9999999),"0000000")</f>
        <v>968670423</v>
      </c>
      <c r="Q56" t="str" cm="1">
        <f t="array" aca="1" ref="Q56" ca="1">LOWER(B56) &amp; INDEX($AF$9:$AF$11,X56)</f>
        <v>pedrem2000@gmail.com</v>
      </c>
      <c r="R56" t="str">
        <f t="shared" ca="1" si="3"/>
        <v>pedrem2000.jpg</v>
      </c>
      <c r="T56" s="4"/>
      <c r="V56">
        <f ca="1">RANDBETWEEN(2,COUNTA(rua_cod!A:A))</f>
        <v>93</v>
      </c>
      <c r="W56">
        <f t="shared" ca="1" si="4"/>
        <v>4</v>
      </c>
      <c r="X56">
        <f t="shared" ca="1" si="5"/>
        <v>2</v>
      </c>
      <c r="Y56">
        <f t="shared" ca="1" si="6"/>
        <v>1994</v>
      </c>
      <c r="Z56">
        <f t="shared" ca="1" si="7"/>
        <v>3</v>
      </c>
      <c r="AA56">
        <f t="shared" ca="1" si="8"/>
        <v>13</v>
      </c>
      <c r="AB56">
        <f t="shared" ca="1" si="9"/>
        <v>26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fraboa1250</v>
      </c>
      <c r="C57" t="str">
        <f t="shared" ca="1" si="0"/>
        <v>pswfraboa1250</v>
      </c>
      <c r="D57" t="str">
        <f ca="1">Nomes!T58</f>
        <v>Francisca João Amaral Castro</v>
      </c>
      <c r="E57" t="str">
        <f>Nomes!S58</f>
        <v>Feminino</v>
      </c>
      <c r="F57" s="2">
        <v>10289</v>
      </c>
      <c r="G57" t="str" cm="1">
        <f t="array" aca="1" ref="G57" ca="1">INDEX(rua_cod!$F:$F,RANDBETWEEN(2,COUNTA(rua_cod!F:F)))</f>
        <v>Travessa de São João da Praça</v>
      </c>
      <c r="H57" t="str" cm="1">
        <f t="array" aca="1" ref="H57" ca="1">INDEX(rua_cod!$A:$A,Users!V57) &amp; "-" &amp; TEXT(RANDBETWEEN(0,999),"000")</f>
        <v>1250-536</v>
      </c>
      <c r="I57" t="str" cm="1">
        <f t="array" aca="1" ref="I57" ca="1">INDEX(rua_cod!$B:$B,Users!V57)</f>
        <v>Lisboa</v>
      </c>
      <c r="J57" t="s">
        <v>3728</v>
      </c>
      <c r="K57" t="s">
        <v>225</v>
      </c>
      <c r="L57" t="s">
        <v>265</v>
      </c>
      <c r="M57" t="str">
        <f t="shared" ca="1" si="1"/>
        <v>30137734</v>
      </c>
      <c r="N57" t="str">
        <f t="shared" ca="1" si="2"/>
        <v>535881370</v>
      </c>
      <c r="O57" t="str">
        <f t="shared" ca="1" si="2"/>
        <v>221155648</v>
      </c>
      <c r="P57" t="str" cm="1">
        <f t="array" aca="1" ref="P57" ca="1">9 &amp; INDEX($AF$3:$AF$6,W57)&amp; TEXT(RANDBETWEEN(0,9999999),"0000000")</f>
        <v>917620837</v>
      </c>
      <c r="Q57" t="str" cm="1">
        <f t="array" aca="1" ref="Q57" ca="1">LOWER(B57) &amp; INDEX($AF$9:$AF$11,X57)</f>
        <v>fraboa1250@outlook.com</v>
      </c>
      <c r="R57" t="str">
        <f t="shared" ca="1" si="3"/>
        <v>fraboa1250.jpg</v>
      </c>
      <c r="T57" s="4"/>
      <c r="V57">
        <f ca="1">RANDBETWEEN(2,COUNTA(rua_cod!A:A))</f>
        <v>50</v>
      </c>
      <c r="W57">
        <f t="shared" ca="1" si="4"/>
        <v>1</v>
      </c>
      <c r="X57">
        <f t="shared" ca="1" si="5"/>
        <v>1</v>
      </c>
      <c r="Y57">
        <f t="shared" ca="1" si="6"/>
        <v>2002</v>
      </c>
      <c r="Z57">
        <f t="shared" ca="1" si="7"/>
        <v>6</v>
      </c>
      <c r="AA57">
        <f t="shared" ca="1" si="8"/>
        <v>2</v>
      </c>
      <c r="AB57">
        <f t="shared" ca="1" si="9"/>
        <v>18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joaboa1350</v>
      </c>
      <c r="C58" t="str">
        <f t="shared" ca="1" si="0"/>
        <v>pswjoaboa1350</v>
      </c>
      <c r="D58" t="str">
        <f ca="1">Nomes!T59</f>
        <v>João Ana Coelho Matos</v>
      </c>
      <c r="E58" t="str">
        <f>Nomes!S59</f>
        <v>Masculino</v>
      </c>
      <c r="F58" s="2">
        <v>30780</v>
      </c>
      <c r="G58" t="str" cm="1">
        <f t="array" aca="1" ref="G58" ca="1">INDEX(rua_cod!$F:$F,RANDBETWEEN(2,COUNTA(rua_cod!F:F)))</f>
        <v>Rua dos Bacalhoeiros</v>
      </c>
      <c r="H58" t="str" cm="1">
        <f t="array" aca="1" ref="H58" ca="1">INDEX(rua_cod!$A:$A,Users!V58) &amp; "-" &amp; TEXT(RANDBETWEEN(0,999),"000")</f>
        <v>1350-675</v>
      </c>
      <c r="I58" t="str" cm="1">
        <f t="array" aca="1" ref="I58" ca="1">INDEX(rua_cod!$B:$B,Users!V58)</f>
        <v>Lisboa</v>
      </c>
      <c r="J58" t="s">
        <v>3728</v>
      </c>
      <c r="K58" t="s">
        <v>225</v>
      </c>
      <c r="L58" t="s">
        <v>265</v>
      </c>
      <c r="M58" t="str">
        <f t="shared" ca="1" si="1"/>
        <v>61474573</v>
      </c>
      <c r="N58" t="str">
        <f t="shared" ca="1" si="2"/>
        <v>399999634</v>
      </c>
      <c r="O58" t="str">
        <f t="shared" ca="1" si="2"/>
        <v>981281220</v>
      </c>
      <c r="P58" t="str" cm="1">
        <f t="array" aca="1" ref="P58" ca="1">9 &amp; INDEX($AF$3:$AF$6,W58)&amp; TEXT(RANDBETWEEN(0,9999999),"0000000")</f>
        <v>962373764</v>
      </c>
      <c r="Q58" t="str" cm="1">
        <f t="array" aca="1" ref="Q58" ca="1">LOWER(B58) &amp; INDEX($AF$9:$AF$11,X58)</f>
        <v>joaboa1350@sapo.pt</v>
      </c>
      <c r="R58" t="str">
        <f t="shared" ca="1" si="3"/>
        <v>joaboa1350.jpg</v>
      </c>
      <c r="T58" s="4"/>
      <c r="V58">
        <f ca="1">RANDBETWEEN(2,COUNTA(rua_cod!A:A))</f>
        <v>54</v>
      </c>
      <c r="W58">
        <f t="shared" ca="1" si="4"/>
        <v>4</v>
      </c>
      <c r="X58">
        <f t="shared" ca="1" si="5"/>
        <v>3</v>
      </c>
      <c r="Y58">
        <f t="shared" ca="1" si="6"/>
        <v>2005</v>
      </c>
      <c r="Z58">
        <f t="shared" ca="1" si="7"/>
        <v>10</v>
      </c>
      <c r="AA58">
        <f t="shared" ca="1" si="8"/>
        <v>20</v>
      </c>
      <c r="AB58">
        <f t="shared" ca="1" si="9"/>
        <v>15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migvas2350</v>
      </c>
      <c r="C59" t="str">
        <f t="shared" ca="1" si="0"/>
        <v>pswmigvas2350</v>
      </c>
      <c r="D59" t="str">
        <f ca="1">Nomes!T60</f>
        <v>Miguel Leonor Andrade Lopes</v>
      </c>
      <c r="E59" t="str">
        <f>Nomes!S60</f>
        <v>Masculino</v>
      </c>
      <c r="F59" s="2">
        <v>37531</v>
      </c>
      <c r="G59" t="str" cm="1">
        <f t="array" aca="1" ref="G59" ca="1">INDEX(rua_cod!$F:$F,RANDBETWEEN(2,COUNTA(rua_cod!F:F)))</f>
        <v>Rua Nova do Almada</v>
      </c>
      <c r="H59" t="str" cm="1">
        <f t="array" aca="1" ref="H59" ca="1">INDEX(rua_cod!$A:$A,Users!V59) &amp; "-" &amp; TEXT(RANDBETWEEN(0,999),"000")</f>
        <v>2350-881</v>
      </c>
      <c r="I59" t="str" cm="1">
        <f t="array" aca="1" ref="I59" ca="1">INDEX(rua_cod!$B:$B,Users!V59)</f>
        <v>Torres Novas</v>
      </c>
      <c r="J59" t="s">
        <v>3728</v>
      </c>
      <c r="K59" t="s">
        <v>225</v>
      </c>
      <c r="L59" t="s">
        <v>265</v>
      </c>
      <c r="M59" t="str">
        <f t="shared" ca="1" si="1"/>
        <v>75944005</v>
      </c>
      <c r="N59" t="str">
        <f t="shared" ca="1" si="2"/>
        <v>125987841</v>
      </c>
      <c r="O59" t="str">
        <f t="shared" ca="1" si="2"/>
        <v>403065225</v>
      </c>
      <c r="P59" t="str" cm="1">
        <f t="array" aca="1" ref="P59" ca="1">9 &amp; INDEX($AF$3:$AF$6,W59)&amp; TEXT(RANDBETWEEN(0,9999999),"0000000")</f>
        <v>969740831</v>
      </c>
      <c r="Q59" t="str" cm="1">
        <f t="array" aca="1" ref="Q59" ca="1">LOWER(B59) &amp; INDEX($AF$9:$AF$11,X59)</f>
        <v>migvas2350@sapo.pt</v>
      </c>
      <c r="R59" t="str">
        <f t="shared" ca="1" si="3"/>
        <v>migvas2350.jpg</v>
      </c>
      <c r="T59" s="4"/>
      <c r="V59">
        <f ca="1">RANDBETWEEN(2,COUNTA(rua_cod!A:A))</f>
        <v>103</v>
      </c>
      <c r="W59">
        <f t="shared" ca="1" si="4"/>
        <v>4</v>
      </c>
      <c r="X59">
        <f t="shared" ca="1" si="5"/>
        <v>3</v>
      </c>
      <c r="Y59">
        <f t="shared" ca="1" si="6"/>
        <v>2000</v>
      </c>
      <c r="Z59">
        <f t="shared" ca="1" si="7"/>
        <v>5</v>
      </c>
      <c r="AA59">
        <f t="shared" ca="1" si="8"/>
        <v>15</v>
      </c>
      <c r="AB59">
        <f t="shared" ca="1" si="9"/>
        <v>20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luiboa1999</v>
      </c>
      <c r="C60" t="str">
        <f t="shared" ca="1" si="0"/>
        <v>pswluiboa1999</v>
      </c>
      <c r="D60" t="str">
        <f ca="1">Nomes!T61</f>
        <v>Luís Sofia Sousa Valente</v>
      </c>
      <c r="E60" t="str">
        <f>Nomes!S61</f>
        <v>Masculino</v>
      </c>
      <c r="F60" s="2">
        <v>43428</v>
      </c>
      <c r="G60" t="str" cm="1">
        <f t="array" aca="1" ref="G60" ca="1">INDEX(rua_cod!$F:$F,RANDBETWEEN(2,COUNTA(rua_cod!F:F)))</f>
        <v>Estrada Militar</v>
      </c>
      <c r="H60" t="str" cm="1">
        <f t="array" aca="1" ref="H60" ca="1">INDEX(rua_cod!$A:$A,Users!V60) &amp; "-" &amp; TEXT(RANDBETWEEN(0,999),"000")</f>
        <v>1999-158</v>
      </c>
      <c r="I60" t="str" cm="1">
        <f t="array" aca="1" ref="I60" ca="1">INDEX(rua_cod!$B:$B,Users!V60)</f>
        <v>Lisboa</v>
      </c>
      <c r="J60" t="s">
        <v>3728</v>
      </c>
      <c r="K60" t="s">
        <v>225</v>
      </c>
      <c r="L60" t="s">
        <v>265</v>
      </c>
      <c r="M60" t="str">
        <f t="shared" ca="1" si="1"/>
        <v>18208109</v>
      </c>
      <c r="N60" t="str">
        <f t="shared" ca="1" si="2"/>
        <v>790413951</v>
      </c>
      <c r="O60" t="str">
        <f t="shared" ca="1" si="2"/>
        <v>399848614</v>
      </c>
      <c r="P60" t="str" cm="1">
        <f t="array" aca="1" ref="P60" ca="1">9 &amp; INDEX($AF$3:$AF$6,W60)&amp; TEXT(RANDBETWEEN(0,9999999),"0000000")</f>
        <v>927015164</v>
      </c>
      <c r="Q60" t="str" cm="1">
        <f t="array" aca="1" ref="Q60" ca="1">LOWER(B60) &amp; INDEX($AF$9:$AF$11,X60)</f>
        <v>luiboa1999@sapo.pt</v>
      </c>
      <c r="R60" t="str">
        <f t="shared" ca="1" si="3"/>
        <v>luiboa1999.jpg</v>
      </c>
      <c r="T60" s="4"/>
      <c r="V60">
        <f ca="1">RANDBETWEEN(2,COUNTA(rua_cod!A:A))</f>
        <v>79</v>
      </c>
      <c r="W60">
        <f t="shared" ca="1" si="4"/>
        <v>2</v>
      </c>
      <c r="X60">
        <f t="shared" ca="1" si="5"/>
        <v>3</v>
      </c>
      <c r="Y60">
        <f t="shared" ca="1" si="6"/>
        <v>1964</v>
      </c>
      <c r="Z60">
        <f t="shared" ca="1" si="7"/>
        <v>4</v>
      </c>
      <c r="AA60">
        <f t="shared" ca="1" si="8"/>
        <v>22</v>
      </c>
      <c r="AB60">
        <f t="shared" ca="1" si="9"/>
        <v>56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duaora2724</v>
      </c>
      <c r="C61" t="str">
        <f t="shared" ca="1" si="0"/>
        <v>pswduaora2724</v>
      </c>
      <c r="D61" t="str">
        <f ca="1">Nomes!T62</f>
        <v>Duarte Luís Campos Loureiro</v>
      </c>
      <c r="E61" t="str">
        <f>Nomes!S62</f>
        <v>Masculino</v>
      </c>
      <c r="F61" s="2">
        <v>27744</v>
      </c>
      <c r="G61" t="str" cm="1">
        <f t="array" aca="1" ref="G61" ca="1">INDEX(rua_cod!$F:$F,RANDBETWEEN(2,COUNTA(rua_cod!F:F)))</f>
        <v>Rua Cidade de Bolama</v>
      </c>
      <c r="H61" t="str" cm="1">
        <f t="array" aca="1" ref="H61" ca="1">INDEX(rua_cod!$A:$A,Users!V61) &amp; "-" &amp; TEXT(RANDBETWEEN(0,999),"000")</f>
        <v>2724-645</v>
      </c>
      <c r="I61" t="str" cm="1">
        <f t="array" aca="1" ref="I61" ca="1">INDEX(rua_cod!$B:$B,Users!V61)</f>
        <v>Amadora</v>
      </c>
      <c r="J61" t="s">
        <v>3728</v>
      </c>
      <c r="K61" t="s">
        <v>225</v>
      </c>
      <c r="L61" t="s">
        <v>265</v>
      </c>
      <c r="M61" t="str">
        <f t="shared" ca="1" si="1"/>
        <v>13893844</v>
      </c>
      <c r="N61" t="str">
        <f t="shared" ca="1" si="2"/>
        <v>523709446</v>
      </c>
      <c r="O61" t="str">
        <f t="shared" ca="1" si="2"/>
        <v>136262156</v>
      </c>
      <c r="P61" t="str" cm="1">
        <f t="array" aca="1" ref="P61" ca="1">9 &amp; INDEX($AF$3:$AF$6,W61)&amp; TEXT(RANDBETWEEN(0,9999999),"0000000")</f>
        <v>965585514</v>
      </c>
      <c r="Q61" t="str" cm="1">
        <f t="array" aca="1" ref="Q61" ca="1">LOWER(B61) &amp; INDEX($AF$9:$AF$11,X61)</f>
        <v>duaora2724@gmail.com</v>
      </c>
      <c r="R61" t="str">
        <f t="shared" ca="1" si="3"/>
        <v>duaora2724.jpg</v>
      </c>
      <c r="T61" s="4"/>
      <c r="V61">
        <f ca="1">RANDBETWEEN(2,COUNTA(rua_cod!A:A))</f>
        <v>13</v>
      </c>
      <c r="W61">
        <f t="shared" ca="1" si="4"/>
        <v>4</v>
      </c>
      <c r="X61">
        <f t="shared" ca="1" si="5"/>
        <v>2</v>
      </c>
      <c r="Y61">
        <f t="shared" ca="1" si="6"/>
        <v>1972</v>
      </c>
      <c r="Z61">
        <f t="shared" ca="1" si="7"/>
        <v>5</v>
      </c>
      <c r="AA61">
        <f t="shared" ca="1" si="8"/>
        <v>19</v>
      </c>
      <c r="AB61">
        <f t="shared" ca="1" si="9"/>
        <v>48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catboa1069</v>
      </c>
      <c r="C62" t="str">
        <f t="shared" ca="1" si="0"/>
        <v>pswcatboa1069</v>
      </c>
      <c r="D62" t="str">
        <f ca="1">Nomes!T63</f>
        <v>Catarina Carolina Araújo Antunes</v>
      </c>
      <c r="E62" t="str">
        <f>Nomes!S63</f>
        <v>Feminino</v>
      </c>
      <c r="F62" s="2">
        <v>39695</v>
      </c>
      <c r="G62" t="str" cm="1">
        <f t="array" aca="1" ref="G62" ca="1">INDEX(rua_cod!$F:$F,RANDBETWEEN(2,COUNTA(rua_cod!F:F)))</f>
        <v>Rua do Carmo</v>
      </c>
      <c r="H62" t="str" cm="1">
        <f t="array" aca="1" ref="H62" ca="1">INDEX(rua_cod!$A:$A,Users!V62) &amp; "-" &amp; TEXT(RANDBETWEEN(0,999),"000")</f>
        <v>1069-515</v>
      </c>
      <c r="I62" t="str" cm="1">
        <f t="array" aca="1" ref="I62" ca="1">INDEX(rua_cod!$B:$B,Users!V62)</f>
        <v>Lisboa</v>
      </c>
      <c r="J62" t="s">
        <v>3728</v>
      </c>
      <c r="K62" t="s">
        <v>225</v>
      </c>
      <c r="L62" t="s">
        <v>265</v>
      </c>
      <c r="M62" t="str">
        <f t="shared" ca="1" si="1"/>
        <v>97722657</v>
      </c>
      <c r="N62" t="str">
        <f t="shared" ca="1" si="2"/>
        <v>612579742</v>
      </c>
      <c r="O62" t="str">
        <f t="shared" ca="1" si="2"/>
        <v>822086685</v>
      </c>
      <c r="P62" t="str" cm="1">
        <f t="array" aca="1" ref="P62" ca="1">9 &amp; INDEX($AF$3:$AF$6,W62)&amp; TEXT(RANDBETWEEN(0,9999999),"0000000")</f>
        <v>918900577</v>
      </c>
      <c r="Q62" t="str" cm="1">
        <f t="array" aca="1" ref="Q62" ca="1">LOWER(B62) &amp; INDEX($AF$9:$AF$11,X62)</f>
        <v>catboa1069@outlook.com</v>
      </c>
      <c r="R62" t="str">
        <f t="shared" ca="1" si="3"/>
        <v>catboa1069.jpg</v>
      </c>
      <c r="T62" s="4"/>
      <c r="V62">
        <f ca="1">RANDBETWEEN(2,COUNTA(rua_cod!A:A))</f>
        <v>67</v>
      </c>
      <c r="W62">
        <f t="shared" ca="1" si="4"/>
        <v>1</v>
      </c>
      <c r="X62">
        <f t="shared" ca="1" si="5"/>
        <v>1</v>
      </c>
      <c r="Y62">
        <f t="shared" ca="1" si="6"/>
        <v>1995</v>
      </c>
      <c r="Z62">
        <f t="shared" ca="1" si="7"/>
        <v>10</v>
      </c>
      <c r="AA62">
        <f t="shared" ca="1" si="8"/>
        <v>30</v>
      </c>
      <c r="AB62">
        <f t="shared" ca="1" si="9"/>
        <v>25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josrem2005</v>
      </c>
      <c r="C63" t="str">
        <f t="shared" ca="1" si="0"/>
        <v>pswjosrem2005</v>
      </c>
      <c r="D63" t="str">
        <f ca="1">Nomes!T64</f>
        <v>José Catarina Oliveira Coelho</v>
      </c>
      <c r="E63" t="str">
        <f>Nomes!S64</f>
        <v>Masculino</v>
      </c>
      <c r="F63" s="2">
        <v>30630</v>
      </c>
      <c r="G63" t="str" cm="1">
        <f t="array" aca="1" ref="G63" ca="1">INDEX(rua_cod!$F:$F,RANDBETWEEN(2,COUNTA(rua_cod!F:F)))</f>
        <v>Rua Roberto Duarte Silva</v>
      </c>
      <c r="H63" t="str" cm="1">
        <f t="array" aca="1" ref="H63" ca="1">INDEX(rua_cod!$A:$A,Users!V63) &amp; "-" &amp; TEXT(RANDBETWEEN(0,999),"000")</f>
        <v>2005-762</v>
      </c>
      <c r="I63" t="str" cm="1">
        <f t="array" aca="1" ref="I63" ca="1">INDEX(rua_cod!$B:$B,Users!V63)</f>
        <v>Santarém</v>
      </c>
      <c r="J63" t="s">
        <v>3728</v>
      </c>
      <c r="K63" t="s">
        <v>225</v>
      </c>
      <c r="L63" t="s">
        <v>265</v>
      </c>
      <c r="M63" t="str">
        <f t="shared" ca="1" si="1"/>
        <v>89098485</v>
      </c>
      <c r="N63" t="str">
        <f t="shared" ca="1" si="2"/>
        <v>798118067</v>
      </c>
      <c r="O63" t="str">
        <f t="shared" ca="1" si="2"/>
        <v>214753180</v>
      </c>
      <c r="P63" t="str" cm="1">
        <f t="array" aca="1" ref="P63" ca="1">9 &amp; INDEX($AF$3:$AF$6,W63)&amp; TEXT(RANDBETWEEN(0,9999999),"0000000")</f>
        <v>917258687</v>
      </c>
      <c r="Q63" t="str" cm="1">
        <f t="array" aca="1" ref="Q63" ca="1">LOWER(B63) &amp; INDEX($AF$9:$AF$11,X63)</f>
        <v>josrem2005@outlook.com</v>
      </c>
      <c r="R63" t="str">
        <f t="shared" ca="1" si="3"/>
        <v>josrem2005.jpg</v>
      </c>
      <c r="T63" s="4"/>
      <c r="V63">
        <f ca="1">RANDBETWEEN(2,COUNTA(rua_cod!A:A))</f>
        <v>92</v>
      </c>
      <c r="W63">
        <f t="shared" ca="1" si="4"/>
        <v>1</v>
      </c>
      <c r="X63">
        <f t="shared" ca="1" si="5"/>
        <v>1</v>
      </c>
      <c r="Y63">
        <f t="shared" ca="1" si="6"/>
        <v>1973</v>
      </c>
      <c r="Z63">
        <f t="shared" ca="1" si="7"/>
        <v>4</v>
      </c>
      <c r="AA63">
        <f t="shared" ca="1" si="8"/>
        <v>19</v>
      </c>
      <c r="AB63">
        <f t="shared" ca="1" si="9"/>
        <v>47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marfra2640</v>
      </c>
      <c r="C64" t="str">
        <f t="shared" ca="1" si="0"/>
        <v>pswmarfra2640</v>
      </c>
      <c r="D64" t="str">
        <f ca="1">Nomes!T65</f>
        <v>Mariana Carolina Reis Moura</v>
      </c>
      <c r="E64" t="str">
        <f>Nomes!S65</f>
        <v>Feminino</v>
      </c>
      <c r="F64" s="2">
        <v>12753</v>
      </c>
      <c r="G64" t="str" cm="1">
        <f t="array" aca="1" ref="G64" ca="1">INDEX(rua_cod!$F:$F,RANDBETWEEN(2,COUNTA(rua_cod!F:F)))</f>
        <v>Avenida Ressano Garcia</v>
      </c>
      <c r="H64" t="str" cm="1">
        <f t="array" aca="1" ref="H64" ca="1">INDEX(rua_cod!$A:$A,Users!V64) &amp; "-" &amp; TEXT(RANDBETWEEN(0,999),"000")</f>
        <v>2640-050</v>
      </c>
      <c r="I64" t="str" cm="1">
        <f t="array" aca="1" ref="I64" ca="1">INDEX(rua_cod!$B:$B,Users!V64)</f>
        <v>Mafra</v>
      </c>
      <c r="J64" t="s">
        <v>3728</v>
      </c>
      <c r="K64" t="s">
        <v>225</v>
      </c>
      <c r="L64" t="s">
        <v>265</v>
      </c>
      <c r="M64" t="str">
        <f t="shared" ca="1" si="1"/>
        <v>88895632</v>
      </c>
      <c r="N64" t="str">
        <f t="shared" ca="1" si="2"/>
        <v>511795312</v>
      </c>
      <c r="O64" t="str">
        <f t="shared" ca="1" si="2"/>
        <v>709391154</v>
      </c>
      <c r="P64" t="str" cm="1">
        <f t="array" aca="1" ref="P64" ca="1">9 &amp; INDEX($AF$3:$AF$6,W64)&amp; TEXT(RANDBETWEEN(0,9999999),"0000000")</f>
        <v>925537795</v>
      </c>
      <c r="Q64" t="str" cm="1">
        <f t="array" aca="1" ref="Q64" ca="1">LOWER(B64) &amp; INDEX($AF$9:$AF$11,X64)</f>
        <v>marfra2640@outlook.com</v>
      </c>
      <c r="R64" t="str">
        <f t="shared" ca="1" si="3"/>
        <v>marfra2640.jpg</v>
      </c>
      <c r="T64" s="4"/>
      <c r="V64">
        <f ca="1">RANDBETWEEN(2,COUNTA(rua_cod!A:A))</f>
        <v>85</v>
      </c>
      <c r="W64">
        <f t="shared" ca="1" si="4"/>
        <v>2</v>
      </c>
      <c r="X64">
        <f t="shared" ca="1" si="5"/>
        <v>1</v>
      </c>
      <c r="Y64">
        <f t="shared" ca="1" si="6"/>
        <v>1977</v>
      </c>
      <c r="Z64">
        <f t="shared" ca="1" si="7"/>
        <v>10</v>
      </c>
      <c r="AA64">
        <f t="shared" ca="1" si="8"/>
        <v>30</v>
      </c>
      <c r="AB64">
        <f t="shared" ca="1" si="9"/>
        <v>43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fraboa1500</v>
      </c>
      <c r="C65" t="str">
        <f t="shared" ca="1" si="0"/>
        <v>pswfraboa1500</v>
      </c>
      <c r="D65" t="str">
        <f ca="1">Nomes!T66</f>
        <v>Francisca Diana Teixeira Araújo</v>
      </c>
      <c r="E65" t="str">
        <f>Nomes!S66</f>
        <v>Feminino</v>
      </c>
      <c r="F65" s="2">
        <v>13063</v>
      </c>
      <c r="G65" t="str" cm="1">
        <f t="array" aca="1" ref="G65" ca="1">INDEX(rua_cod!$F:$F,RANDBETWEEN(2,COUNTA(rua_cod!F:F)))</f>
        <v>Rua Ferreira Lapa</v>
      </c>
      <c r="H65" t="str" cm="1">
        <f t="array" aca="1" ref="H65" ca="1">INDEX(rua_cod!$A:$A,Users!V65) &amp; "-" &amp; TEXT(RANDBETWEEN(0,999),"000")</f>
        <v>1500-412</v>
      </c>
      <c r="I65" t="str" cm="1">
        <f t="array" aca="1" ref="I65" ca="1">INDEX(rua_cod!$B:$B,Users!V65)</f>
        <v>Lisboa</v>
      </c>
      <c r="J65" t="s">
        <v>3728</v>
      </c>
      <c r="K65" t="s">
        <v>225</v>
      </c>
      <c r="L65" t="s">
        <v>265</v>
      </c>
      <c r="M65" t="str">
        <f t="shared" ca="1" si="1"/>
        <v>60235998</v>
      </c>
      <c r="N65" t="str">
        <f t="shared" ca="1" si="2"/>
        <v>199469447</v>
      </c>
      <c r="O65" t="str">
        <f t="shared" ca="1" si="2"/>
        <v>910136912</v>
      </c>
      <c r="P65" t="str" cm="1">
        <f t="array" aca="1" ref="P65" ca="1">9 &amp; INDEX($AF$3:$AF$6,W65)&amp; TEXT(RANDBETWEEN(0,9999999),"0000000")</f>
        <v>910880814</v>
      </c>
      <c r="Q65" t="str" cm="1">
        <f t="array" aca="1" ref="Q65" ca="1">LOWER(B65) &amp; INDEX($AF$9:$AF$11,X65)</f>
        <v>fraboa1500@outlook.com</v>
      </c>
      <c r="R65" t="str">
        <f t="shared" ca="1" si="3"/>
        <v>fraboa1500.jpg</v>
      </c>
      <c r="T65" s="4"/>
      <c r="V65">
        <f ca="1">RANDBETWEEN(2,COUNTA(rua_cod!A:A))</f>
        <v>43</v>
      </c>
      <c r="W65">
        <f t="shared" ca="1" si="4"/>
        <v>1</v>
      </c>
      <c r="X65">
        <f t="shared" ca="1" si="5"/>
        <v>1</v>
      </c>
      <c r="Y65">
        <f t="shared" ca="1" si="6"/>
        <v>1996</v>
      </c>
      <c r="Z65">
        <f t="shared" ca="1" si="7"/>
        <v>12</v>
      </c>
      <c r="AA65">
        <f t="shared" ca="1" si="8"/>
        <v>10</v>
      </c>
      <c r="AB65">
        <f t="shared" ca="1" si="9"/>
        <v>24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rodluz2749</v>
      </c>
      <c r="C66" t="str">
        <f t="shared" ca="1" si="0"/>
        <v>pswrodluz2749</v>
      </c>
      <c r="D66" t="str">
        <f ca="1">Nomes!T67</f>
        <v>Rodrigo Rodrigo Anjos Pires</v>
      </c>
      <c r="E66" t="str">
        <f>Nomes!S67</f>
        <v>Masculino</v>
      </c>
      <c r="F66" s="2">
        <v>37114</v>
      </c>
      <c r="G66" t="str" cm="1">
        <f t="array" aca="1" ref="G66" ca="1">INDEX(rua_cod!$F:$F,RANDBETWEEN(2,COUNTA(rua_cod!F:F)))</f>
        <v>Rua do Guarda-Mor</v>
      </c>
      <c r="H66" t="str" cm="1">
        <f t="array" aca="1" ref="H66" ca="1">INDEX(rua_cod!$A:$A,Users!V66) &amp; "-" &amp; TEXT(RANDBETWEEN(0,999),"000")</f>
        <v>2749-658</v>
      </c>
      <c r="I66" t="str" cm="1">
        <f t="array" aca="1" ref="I66" ca="1">INDEX(rua_cod!$B:$B,Users!V66)</f>
        <v>Queluz</v>
      </c>
      <c r="J66" t="s">
        <v>3728</v>
      </c>
      <c r="K66" t="s">
        <v>225</v>
      </c>
      <c r="L66" t="s">
        <v>265</v>
      </c>
      <c r="M66" t="str">
        <f t="shared" ca="1" si="1"/>
        <v>70182672</v>
      </c>
      <c r="N66" t="str">
        <f t="shared" ca="1" si="2"/>
        <v>815704683</v>
      </c>
      <c r="O66" t="str">
        <f t="shared" ca="1" si="2"/>
        <v>360676831</v>
      </c>
      <c r="P66" t="str" cm="1">
        <f t="array" aca="1" ref="P66" ca="1">9 &amp; INDEX($AF$3:$AF$6,W66)&amp; TEXT(RANDBETWEEN(0,9999999),"0000000")</f>
        <v>938817573</v>
      </c>
      <c r="Q66" t="str" cm="1">
        <f t="array" aca="1" ref="Q66" ca="1">LOWER(B66) &amp; INDEX($AF$9:$AF$11,X66)</f>
        <v>rodluz2749@sapo.pt</v>
      </c>
      <c r="R66" t="str">
        <f t="shared" ca="1" si="3"/>
        <v>rodluz2749.jpg</v>
      </c>
      <c r="T66" s="4"/>
      <c r="V66">
        <f ca="1">RANDBETWEEN(2,COUNTA(rua_cod!A:A))</f>
        <v>91</v>
      </c>
      <c r="W66">
        <f t="shared" ca="1" si="4"/>
        <v>3</v>
      </c>
      <c r="X66">
        <f t="shared" ca="1" si="5"/>
        <v>3</v>
      </c>
      <c r="Y66">
        <f t="shared" ca="1" si="6"/>
        <v>1956</v>
      </c>
      <c r="Z66">
        <f t="shared" ca="1" si="7"/>
        <v>6</v>
      </c>
      <c r="AA66">
        <f t="shared" ca="1" si="8"/>
        <v>30</v>
      </c>
      <c r="AB66">
        <f t="shared" ca="1" si="9"/>
        <v>64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carora2610</v>
      </c>
      <c r="C67" t="str">
        <f t="shared" ref="C67:C130" ca="1" si="10">"psw" &amp; B67</f>
        <v>pswcarora2610</v>
      </c>
      <c r="D67" t="str">
        <f ca="1">Nomes!T68</f>
        <v>Carolina Catarina Andrade Barbosa</v>
      </c>
      <c r="E67" t="str">
        <f>Nomes!S68</f>
        <v>Feminino</v>
      </c>
      <c r="F67" s="2">
        <v>19832</v>
      </c>
      <c r="G67" t="str" cm="1">
        <f t="array" aca="1" ref="G67" ca="1">INDEX(rua_cod!$F:$F,RANDBETWEEN(2,COUNTA(rua_cod!F:F)))</f>
        <v>Rua Ferreira Lapa</v>
      </c>
      <c r="H67" t="str" cm="1">
        <f t="array" aca="1" ref="H67" ca="1">INDEX(rua_cod!$A:$A,Users!V67) &amp; "-" &amp; TEXT(RANDBETWEEN(0,999),"000")</f>
        <v>2610-888</v>
      </c>
      <c r="I67" t="str" cm="1">
        <f t="array" aca="1" ref="I67" ca="1">INDEX(rua_cod!$B:$B,Users!V67)</f>
        <v>Amadora</v>
      </c>
      <c r="J67" t="s">
        <v>3728</v>
      </c>
      <c r="K67" t="s">
        <v>225</v>
      </c>
      <c r="L67" t="s">
        <v>265</v>
      </c>
      <c r="M67" t="str">
        <f t="shared" ref="M67:M130" ca="1" si="11">TEXT(RANDBETWEEN(10000000,99999999),"00000000")</f>
        <v>35434737</v>
      </c>
      <c r="N67" t="str">
        <f t="shared" ref="N67:O130" ca="1" si="12">TEXT(RANDBETWEEN(100000000,999999999),"000000000")</f>
        <v>685910845</v>
      </c>
      <c r="O67" t="str">
        <f t="shared" ca="1" si="12"/>
        <v>682552673</v>
      </c>
      <c r="P67" t="str" cm="1">
        <f t="array" aca="1" ref="P67" ca="1">9 &amp; INDEX($AF$3:$AF$6,W67)&amp; TEXT(RANDBETWEEN(0,9999999),"0000000")</f>
        <v>969204868</v>
      </c>
      <c r="Q67" t="str" cm="1">
        <f t="array" aca="1" ref="Q67" ca="1">LOWER(B67) &amp; INDEX($AF$9:$AF$11,X67)</f>
        <v>carora2610@outlook.com</v>
      </c>
      <c r="R67" t="str">
        <f t="shared" ref="R67:R130" ca="1" si="13">B67 &amp; ".jpg"</f>
        <v>carora2610.jpg</v>
      </c>
      <c r="T67" s="4"/>
      <c r="V67">
        <f ca="1">RANDBETWEEN(2,COUNTA(rua_cod!A:A))</f>
        <v>12</v>
      </c>
      <c r="W67">
        <f t="shared" ref="W67:W130" ca="1" si="14">RANDBETWEEN(1,4)</f>
        <v>4</v>
      </c>
      <c r="X67">
        <f t="shared" ref="X67:X130" ca="1" si="15">RANDBETWEEN(1,3)</f>
        <v>1</v>
      </c>
      <c r="Y67">
        <f t="shared" ref="Y67:Y130" ca="1" si="16">INT(NORMINV(RAND(),1976,22))</f>
        <v>1982</v>
      </c>
      <c r="Z67">
        <f t="shared" ref="Z67:Z130" ca="1" si="17">RANDBETWEEN(1,12)</f>
        <v>7</v>
      </c>
      <c r="AA67">
        <f t="shared" ref="AA67:AA130" ca="1" si="18">RANDBETWEEN(1,31)</f>
        <v>21</v>
      </c>
      <c r="AB67">
        <f t="shared" ref="AB67:AB130" ca="1" si="19">2020-Y67</f>
        <v>38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leotra2710</v>
      </c>
      <c r="C68" t="str">
        <f t="shared" ca="1" si="10"/>
        <v>pswleotra2710</v>
      </c>
      <c r="D68" t="str">
        <f ca="1">Nomes!T69</f>
        <v>Leonor Rodrigo Leal Sá</v>
      </c>
      <c r="E68" t="str">
        <f>Nomes!S69</f>
        <v>Feminino</v>
      </c>
      <c r="F68" s="2">
        <v>11481</v>
      </c>
      <c r="G68" t="str" cm="1">
        <f t="array" aca="1" ref="G68" ca="1">INDEX(rua_cod!$F:$F,RANDBETWEEN(2,COUNTA(rua_cod!F:F)))</f>
        <v>Rua do Arsenal</v>
      </c>
      <c r="H68" t="str" cm="1">
        <f t="array" aca="1" ref="H68" ca="1">INDEX(rua_cod!$A:$A,Users!V68) &amp; "-" &amp; TEXT(RANDBETWEEN(0,999),"000")</f>
        <v>2710-571</v>
      </c>
      <c r="I68" t="str" cm="1">
        <f t="array" aca="1" ref="I68" ca="1">INDEX(rua_cod!$B:$B,Users!V68)</f>
        <v>Sintra</v>
      </c>
      <c r="J68" t="s">
        <v>3728</v>
      </c>
      <c r="K68" t="s">
        <v>225</v>
      </c>
      <c r="L68" t="s">
        <v>265</v>
      </c>
      <c r="M68" t="str">
        <f t="shared" ca="1" si="11"/>
        <v>49544552</v>
      </c>
      <c r="N68" t="str">
        <f t="shared" ca="1" si="12"/>
        <v>773517712</v>
      </c>
      <c r="O68" t="str">
        <f t="shared" ca="1" si="12"/>
        <v>626311415</v>
      </c>
      <c r="P68" t="str" cm="1">
        <f t="array" aca="1" ref="P68" ca="1">9 &amp; INDEX($AF$3:$AF$6,W68)&amp; TEXT(RANDBETWEEN(0,9999999),"0000000")</f>
        <v>964543662</v>
      </c>
      <c r="Q68" t="str" cm="1">
        <f t="array" aca="1" ref="Q68" ca="1">LOWER(B68) &amp; INDEX($AF$9:$AF$11,X68)</f>
        <v>leotra2710@outlook.com</v>
      </c>
      <c r="R68" t="str">
        <f t="shared" ca="1" si="13"/>
        <v>leotra2710.jpg</v>
      </c>
      <c r="T68" s="4"/>
      <c r="V68">
        <f ca="1">RANDBETWEEN(2,COUNTA(rua_cod!A:A))</f>
        <v>100</v>
      </c>
      <c r="W68">
        <f t="shared" ca="1" si="14"/>
        <v>4</v>
      </c>
      <c r="X68">
        <f t="shared" ca="1" si="15"/>
        <v>1</v>
      </c>
      <c r="Y68">
        <f t="shared" ca="1" si="16"/>
        <v>1982</v>
      </c>
      <c r="Z68">
        <f t="shared" ca="1" si="17"/>
        <v>8</v>
      </c>
      <c r="AA68">
        <f t="shared" ca="1" si="18"/>
        <v>17</v>
      </c>
      <c r="AB68">
        <f t="shared" ca="1" si="19"/>
        <v>38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marras2560</v>
      </c>
      <c r="C69" t="str">
        <f t="shared" ca="1" si="10"/>
        <v>pswmarras2560</v>
      </c>
      <c r="D69" t="str">
        <f ca="1">Nomes!T70</f>
        <v>Mariana Santiago Leite Fernandes</v>
      </c>
      <c r="E69" t="str">
        <f>Nomes!S70</f>
        <v>Feminino</v>
      </c>
      <c r="F69" s="2">
        <v>19996</v>
      </c>
      <c r="G69" t="str" cm="1">
        <f t="array" aca="1" ref="G69" ca="1">INDEX(rua_cod!$F:$F,RANDBETWEEN(2,COUNTA(rua_cod!F:F)))</f>
        <v>Rua dos Fanqueiros</v>
      </c>
      <c r="H69" t="str" cm="1">
        <f t="array" aca="1" ref="H69" ca="1">INDEX(rua_cod!$A:$A,Users!V69) &amp; "-" &amp; TEXT(RANDBETWEEN(0,999),"000")</f>
        <v>2560-066</v>
      </c>
      <c r="I69" t="str" cm="1">
        <f t="array" aca="1" ref="I69" ca="1">INDEX(rua_cod!$B:$B,Users!V69)</f>
        <v>Torres Vedras</v>
      </c>
      <c r="J69" t="s">
        <v>3728</v>
      </c>
      <c r="K69" t="s">
        <v>225</v>
      </c>
      <c r="L69" t="s">
        <v>265</v>
      </c>
      <c r="M69" t="str">
        <f t="shared" ca="1" si="11"/>
        <v>37413820</v>
      </c>
      <c r="N69" t="str">
        <f t="shared" ca="1" si="12"/>
        <v>541281512</v>
      </c>
      <c r="O69" t="str">
        <f t="shared" ca="1" si="12"/>
        <v>493497391</v>
      </c>
      <c r="P69" t="str" cm="1">
        <f t="array" aca="1" ref="P69" ca="1">9 &amp; INDEX($AF$3:$AF$6,W69)&amp; TEXT(RANDBETWEEN(0,9999999),"0000000")</f>
        <v>961187089</v>
      </c>
      <c r="Q69" t="str" cm="1">
        <f t="array" aca="1" ref="Q69" ca="1">LOWER(B69) &amp; INDEX($AF$9:$AF$11,X69)</f>
        <v>marras2560@outlook.com</v>
      </c>
      <c r="R69" t="str">
        <f t="shared" ca="1" si="13"/>
        <v>marras2560.jpg</v>
      </c>
      <c r="T69" s="4"/>
      <c r="V69">
        <f ca="1">RANDBETWEEN(2,COUNTA(rua_cod!A:A))</f>
        <v>104</v>
      </c>
      <c r="W69">
        <f t="shared" ca="1" si="14"/>
        <v>4</v>
      </c>
      <c r="X69">
        <f t="shared" ca="1" si="15"/>
        <v>1</v>
      </c>
      <c r="Y69">
        <f t="shared" ca="1" si="16"/>
        <v>2001</v>
      </c>
      <c r="Z69">
        <f t="shared" ca="1" si="17"/>
        <v>8</v>
      </c>
      <c r="AA69">
        <f t="shared" ca="1" si="18"/>
        <v>29</v>
      </c>
      <c r="AB69">
        <f t="shared" ca="1" si="19"/>
        <v>19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catfra2640</v>
      </c>
      <c r="C70" t="str">
        <f t="shared" ca="1" si="10"/>
        <v>pswcatfra2640</v>
      </c>
      <c r="D70" t="str">
        <f ca="1">Nomes!T71</f>
        <v>Catarina Francisco Guerreiro Nascimento</v>
      </c>
      <c r="E70" t="str">
        <f>Nomes!S71</f>
        <v>Feminino</v>
      </c>
      <c r="F70" s="2">
        <v>9739</v>
      </c>
      <c r="G70" t="str" cm="1">
        <f t="array" aca="1" ref="G70" ca="1">INDEX(rua_cod!$F:$F,RANDBETWEEN(2,COUNTA(rua_cod!F:F)))</f>
        <v>Rua General Morais Sarmento</v>
      </c>
      <c r="H70" t="str" cm="1">
        <f t="array" aca="1" ref="H70" ca="1">INDEX(rua_cod!$A:$A,Users!V70) &amp; "-" &amp; TEXT(RANDBETWEEN(0,999),"000")</f>
        <v>2640-677</v>
      </c>
      <c r="I70" t="str" cm="1">
        <f t="array" aca="1" ref="I70" ca="1">INDEX(rua_cod!$B:$B,Users!V70)</f>
        <v>Mafra</v>
      </c>
      <c r="J70" t="s">
        <v>3728</v>
      </c>
      <c r="K70" t="s">
        <v>225</v>
      </c>
      <c r="L70" t="s">
        <v>265</v>
      </c>
      <c r="M70" t="str">
        <f t="shared" ca="1" si="11"/>
        <v>64325810</v>
      </c>
      <c r="N70" t="str">
        <f t="shared" ca="1" si="12"/>
        <v>267424944</v>
      </c>
      <c r="O70" t="str">
        <f t="shared" ca="1" si="12"/>
        <v>225827007</v>
      </c>
      <c r="P70" t="str" cm="1">
        <f t="array" aca="1" ref="P70" ca="1">9 &amp; INDEX($AF$3:$AF$6,W70)&amp; TEXT(RANDBETWEEN(0,9999999),"0000000")</f>
        <v>969096691</v>
      </c>
      <c r="Q70" t="str" cm="1">
        <f t="array" aca="1" ref="Q70" ca="1">LOWER(B70) &amp; INDEX($AF$9:$AF$11,X70)</f>
        <v>catfra2640@outlook.com</v>
      </c>
      <c r="R70" t="str">
        <f t="shared" ca="1" si="13"/>
        <v>catfra2640.jpg</v>
      </c>
      <c r="T70" s="4"/>
      <c r="V70">
        <f ca="1">RANDBETWEEN(2,COUNTA(rua_cod!A:A))</f>
        <v>85</v>
      </c>
      <c r="W70">
        <f t="shared" ca="1" si="14"/>
        <v>4</v>
      </c>
      <c r="X70">
        <f t="shared" ca="1" si="15"/>
        <v>1</v>
      </c>
      <c r="Y70">
        <f t="shared" ca="1" si="16"/>
        <v>1931</v>
      </c>
      <c r="Z70">
        <f t="shared" ca="1" si="17"/>
        <v>2</v>
      </c>
      <c r="AA70">
        <f t="shared" ca="1" si="18"/>
        <v>7</v>
      </c>
      <c r="AB70">
        <f t="shared" ca="1" si="19"/>
        <v>89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matboa1067</v>
      </c>
      <c r="C71" t="str">
        <f t="shared" ca="1" si="10"/>
        <v>pswmatboa1067</v>
      </c>
      <c r="D71" t="str">
        <f ca="1">Nomes!T72</f>
        <v>Matilde Lurdes Santos Mota</v>
      </c>
      <c r="E71" t="str">
        <f>Nomes!S72</f>
        <v>Feminino</v>
      </c>
      <c r="F71" s="2">
        <v>19419</v>
      </c>
      <c r="G71" t="str" cm="1">
        <f t="array" aca="1" ref="G71" ca="1">INDEX(rua_cod!$F:$F,RANDBETWEEN(2,COUNTA(rua_cod!F:F)))</f>
        <v>Estrada da Circunvalação de Lisboa</v>
      </c>
      <c r="H71" t="str" cm="1">
        <f t="array" aca="1" ref="H71" ca="1">INDEX(rua_cod!$A:$A,Users!V71) &amp; "-" &amp; TEXT(RANDBETWEEN(0,999),"000")</f>
        <v>1067-333</v>
      </c>
      <c r="I71" t="str" cm="1">
        <f t="array" aca="1" ref="I71" ca="1">INDEX(rua_cod!$B:$B,Users!V71)</f>
        <v>Lisboa</v>
      </c>
      <c r="J71" t="s">
        <v>3728</v>
      </c>
      <c r="K71" t="s">
        <v>225</v>
      </c>
      <c r="L71" t="s">
        <v>265</v>
      </c>
      <c r="M71" t="str">
        <f t="shared" ca="1" si="11"/>
        <v>46124483</v>
      </c>
      <c r="N71" t="str">
        <f t="shared" ca="1" si="12"/>
        <v>937641712</v>
      </c>
      <c r="O71" t="str">
        <f t="shared" ca="1" si="12"/>
        <v>683330257</v>
      </c>
      <c r="P71" t="str" cm="1">
        <f t="array" aca="1" ref="P71" ca="1">9 &amp; INDEX($AF$3:$AF$6,W71)&amp; TEXT(RANDBETWEEN(0,9999999),"0000000")</f>
        <v>910631075</v>
      </c>
      <c r="Q71" t="str" cm="1">
        <f t="array" aca="1" ref="Q71" ca="1">LOWER(B71) &amp; INDEX($AF$9:$AF$11,X71)</f>
        <v>matboa1067@sapo.pt</v>
      </c>
      <c r="R71" t="str">
        <f t="shared" ca="1" si="13"/>
        <v>matboa1067.jpg</v>
      </c>
      <c r="T71" s="4"/>
      <c r="V71">
        <f ca="1">RANDBETWEEN(2,COUNTA(rua_cod!A:A))</f>
        <v>82</v>
      </c>
      <c r="W71">
        <f t="shared" ca="1" si="14"/>
        <v>1</v>
      </c>
      <c r="X71">
        <f t="shared" ca="1" si="15"/>
        <v>3</v>
      </c>
      <c r="Y71">
        <f t="shared" ca="1" si="16"/>
        <v>1950</v>
      </c>
      <c r="Z71">
        <f t="shared" ca="1" si="17"/>
        <v>11</v>
      </c>
      <c r="AA71">
        <f t="shared" ca="1" si="18"/>
        <v>6</v>
      </c>
      <c r="AB71">
        <f t="shared" ca="1" si="19"/>
        <v>70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fraboa1449</v>
      </c>
      <c r="C72" t="str">
        <f t="shared" ca="1" si="10"/>
        <v>pswfraboa1449</v>
      </c>
      <c r="D72" t="str">
        <f ca="1">Nomes!T73</f>
        <v>Francisco Tiago Matos Machado</v>
      </c>
      <c r="E72" t="str">
        <f>Nomes!S73</f>
        <v>Masculino</v>
      </c>
      <c r="F72" s="2">
        <v>36001</v>
      </c>
      <c r="G72" t="str" cm="1">
        <f t="array" aca="1" ref="G72" ca="1">INDEX(rua_cod!$F:$F,RANDBETWEEN(2,COUNTA(rua_cod!F:F)))</f>
        <v>Rua de São Bento</v>
      </c>
      <c r="H72" t="str" cm="1">
        <f t="array" aca="1" ref="H72" ca="1">INDEX(rua_cod!$A:$A,Users!V72) &amp; "-" &amp; TEXT(RANDBETWEEN(0,999),"000")</f>
        <v>1449-150</v>
      </c>
      <c r="I72" t="str" cm="1">
        <f t="array" aca="1" ref="I72" ca="1">INDEX(rua_cod!$B:$B,Users!V72)</f>
        <v>Lisboa</v>
      </c>
      <c r="J72" t="s">
        <v>3728</v>
      </c>
      <c r="K72" t="s">
        <v>225</v>
      </c>
      <c r="L72" t="s">
        <v>265</v>
      </c>
      <c r="M72" t="str">
        <f t="shared" ca="1" si="11"/>
        <v>85116897</v>
      </c>
      <c r="N72" t="str">
        <f t="shared" ca="1" si="12"/>
        <v>843046458</v>
      </c>
      <c r="O72" t="str">
        <f t="shared" ca="1" si="12"/>
        <v>750463716</v>
      </c>
      <c r="P72" t="str" cm="1">
        <f t="array" aca="1" ref="P72" ca="1">9 &amp; INDEX($AF$3:$AF$6,W72)&amp; TEXT(RANDBETWEEN(0,9999999),"0000000")</f>
        <v>968842071</v>
      </c>
      <c r="Q72" t="str" cm="1">
        <f t="array" aca="1" ref="Q72" ca="1">LOWER(B72) &amp; INDEX($AF$9:$AF$11,X72)</f>
        <v>fraboa1449@sapo.pt</v>
      </c>
      <c r="R72" t="str">
        <f t="shared" ca="1" si="13"/>
        <v>fraboa1449.jpg</v>
      </c>
      <c r="T72" s="4"/>
      <c r="V72">
        <f ca="1">RANDBETWEEN(2,COUNTA(rua_cod!A:A))</f>
        <v>73</v>
      </c>
      <c r="W72">
        <f t="shared" ca="1" si="14"/>
        <v>4</v>
      </c>
      <c r="X72">
        <f t="shared" ca="1" si="15"/>
        <v>3</v>
      </c>
      <c r="Y72">
        <f t="shared" ca="1" si="16"/>
        <v>2003</v>
      </c>
      <c r="Z72">
        <f t="shared" ca="1" si="17"/>
        <v>3</v>
      </c>
      <c r="AA72">
        <f t="shared" ca="1" si="18"/>
        <v>4</v>
      </c>
      <c r="AB72">
        <f t="shared" ca="1" si="19"/>
        <v>17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migria2410</v>
      </c>
      <c r="C73" t="str">
        <f t="shared" ca="1" si="10"/>
        <v>pswmigria2410</v>
      </c>
      <c r="D73" t="str">
        <f ca="1">Nomes!T74</f>
        <v>Miguel Diogo Tavares Nogueira</v>
      </c>
      <c r="E73" t="str">
        <f>Nomes!S74</f>
        <v>Masculino</v>
      </c>
      <c r="F73" s="2">
        <v>42853</v>
      </c>
      <c r="G73" t="str" cm="1">
        <f t="array" aca="1" ref="G73" ca="1">INDEX(rua_cod!$F:$F,RANDBETWEEN(2,COUNTA(rua_cod!F:F)))</f>
        <v>Rua Cidade de Bolama</v>
      </c>
      <c r="H73" t="str" cm="1">
        <f t="array" aca="1" ref="H73" ca="1">INDEX(rua_cod!$A:$A,Users!V73) &amp; "-" &amp; TEXT(RANDBETWEEN(0,999),"000")</f>
        <v>2410-217</v>
      </c>
      <c r="I73" t="str" cm="1">
        <f t="array" aca="1" ref="I73" ca="1">INDEX(rua_cod!$B:$B,Users!V73)</f>
        <v>Leiria</v>
      </c>
      <c r="J73" t="s">
        <v>3728</v>
      </c>
      <c r="K73" t="s">
        <v>225</v>
      </c>
      <c r="L73" t="s">
        <v>265</v>
      </c>
      <c r="M73" t="str">
        <f t="shared" ca="1" si="11"/>
        <v>43000804</v>
      </c>
      <c r="N73" t="str">
        <f t="shared" ca="1" si="12"/>
        <v>735135835</v>
      </c>
      <c r="O73" t="str">
        <f t="shared" ca="1" si="12"/>
        <v>751469241</v>
      </c>
      <c r="P73" t="str" cm="1">
        <f t="array" aca="1" ref="P73" ca="1">9 &amp; INDEX($AF$3:$AF$6,W73)&amp; TEXT(RANDBETWEEN(0,9999999),"0000000")</f>
        <v>919078333</v>
      </c>
      <c r="Q73" t="str" cm="1">
        <f t="array" aca="1" ref="Q73" ca="1">LOWER(B73) &amp; INDEX($AF$9:$AF$11,X73)</f>
        <v>migria2410@gmail.com</v>
      </c>
      <c r="R73" t="str">
        <f t="shared" ca="1" si="13"/>
        <v>migria2410.jpg</v>
      </c>
      <c r="T73" s="4"/>
      <c r="V73">
        <f ca="1">RANDBETWEEN(2,COUNTA(rua_cod!A:A))</f>
        <v>34</v>
      </c>
      <c r="W73">
        <f t="shared" ca="1" si="14"/>
        <v>1</v>
      </c>
      <c r="X73">
        <f t="shared" ca="1" si="15"/>
        <v>2</v>
      </c>
      <c r="Y73">
        <f t="shared" ca="1" si="16"/>
        <v>1992</v>
      </c>
      <c r="Z73">
        <f t="shared" ca="1" si="17"/>
        <v>3</v>
      </c>
      <c r="AA73">
        <f t="shared" ca="1" si="18"/>
        <v>1</v>
      </c>
      <c r="AB73">
        <f t="shared" ca="1" si="19"/>
        <v>28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tiaras2784</v>
      </c>
      <c r="C74" t="str">
        <f t="shared" ca="1" si="10"/>
        <v>pswtiaras2784</v>
      </c>
      <c r="D74" t="str">
        <f ca="1">Nomes!T75</f>
        <v>Tiago André Mendes Assunção</v>
      </c>
      <c r="E74" t="str">
        <f>Nomes!S75</f>
        <v>Masculino</v>
      </c>
      <c r="F74" s="2">
        <v>38941</v>
      </c>
      <c r="G74" t="str" cm="1">
        <f t="array" aca="1" ref="G74" ca="1">INDEX(rua_cod!$F:$F,RANDBETWEEN(2,COUNTA(rua_cod!F:F)))</f>
        <v>Rua de São Bento</v>
      </c>
      <c r="H74" t="str" cm="1">
        <f t="array" aca="1" ref="H74" ca="1">INDEX(rua_cod!$A:$A,Users!V74) &amp; "-" &amp; TEXT(RANDBETWEEN(0,999),"000")</f>
        <v>2784-198</v>
      </c>
      <c r="I74" t="str" cm="1">
        <f t="array" aca="1" ref="I74" ca="1">INDEX(rua_cod!$B:$B,Users!V74)</f>
        <v>Oeiras</v>
      </c>
      <c r="J74" t="s">
        <v>3728</v>
      </c>
      <c r="K74" t="s">
        <v>225</v>
      </c>
      <c r="L74" t="s">
        <v>265</v>
      </c>
      <c r="M74" t="str">
        <f t="shared" ca="1" si="11"/>
        <v>11004991</v>
      </c>
      <c r="N74" t="str">
        <f t="shared" ca="1" si="12"/>
        <v>462052324</v>
      </c>
      <c r="O74" t="str">
        <f t="shared" ca="1" si="12"/>
        <v>304607145</v>
      </c>
      <c r="P74" t="str" cm="1">
        <f t="array" aca="1" ref="P74" ca="1">9 &amp; INDEX($AF$3:$AF$6,W74)&amp; TEXT(RANDBETWEEN(0,9999999),"0000000")</f>
        <v>931695942</v>
      </c>
      <c r="Q74" t="str" cm="1">
        <f t="array" aca="1" ref="Q74" ca="1">LOWER(B74) &amp; INDEX($AF$9:$AF$11,X74)</f>
        <v>tiaras2784@gmail.com</v>
      </c>
      <c r="R74" t="str">
        <f t="shared" ca="1" si="13"/>
        <v>tiaras2784.jpg</v>
      </c>
      <c r="T74" s="4"/>
      <c r="V74">
        <f ca="1">RANDBETWEEN(2,COUNTA(rua_cod!A:A))</f>
        <v>89</v>
      </c>
      <c r="W74">
        <f t="shared" ca="1" si="14"/>
        <v>3</v>
      </c>
      <c r="X74">
        <f t="shared" ca="1" si="15"/>
        <v>2</v>
      </c>
      <c r="Y74">
        <f t="shared" ca="1" si="16"/>
        <v>1952</v>
      </c>
      <c r="Z74">
        <f t="shared" ca="1" si="17"/>
        <v>10</v>
      </c>
      <c r="AA74">
        <f t="shared" ca="1" si="18"/>
        <v>16</v>
      </c>
      <c r="AB74">
        <f t="shared" ca="1" si="19"/>
        <v>68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frabra3000</v>
      </c>
      <c r="C75" t="str">
        <f t="shared" ca="1" si="10"/>
        <v>pswfrabra3000</v>
      </c>
      <c r="D75" t="str">
        <f ca="1">Nomes!T76</f>
        <v>Francisco Vera Antunes Fonseca</v>
      </c>
      <c r="E75" t="str">
        <f>Nomes!S76</f>
        <v>Masculino</v>
      </c>
      <c r="F75" s="2">
        <v>19821</v>
      </c>
      <c r="G75" t="str" cm="1">
        <f t="array" aca="1" ref="G75" ca="1">INDEX(rua_cod!$F:$F,RANDBETWEEN(2,COUNTA(rua_cod!F:F)))</f>
        <v>Estrada das Laranjeiras</v>
      </c>
      <c r="H75" t="str" cm="1">
        <f t="array" aca="1" ref="H75" ca="1">INDEX(rua_cod!$A:$A,Users!V75) &amp; "-" &amp; TEXT(RANDBETWEEN(0,999),"000")</f>
        <v>3000-364</v>
      </c>
      <c r="I75" t="str" cm="1">
        <f t="array" aca="1" ref="I75" ca="1">INDEX(rua_cod!$B:$B,Users!V75)</f>
        <v>Coimbra</v>
      </c>
      <c r="J75" t="s">
        <v>3728</v>
      </c>
      <c r="K75" t="s">
        <v>225</v>
      </c>
      <c r="L75" t="s">
        <v>265</v>
      </c>
      <c r="M75" t="str">
        <f t="shared" ca="1" si="11"/>
        <v>43539865</v>
      </c>
      <c r="N75" t="str">
        <f t="shared" ca="1" si="12"/>
        <v>274071097</v>
      </c>
      <c r="O75" t="str">
        <f t="shared" ca="1" si="12"/>
        <v>324313218</v>
      </c>
      <c r="P75" t="str" cm="1">
        <f t="array" aca="1" ref="P75" ca="1">9 &amp; INDEX($AF$3:$AF$6,W75)&amp; TEXT(RANDBETWEEN(0,9999999),"0000000")</f>
        <v>934672486</v>
      </c>
      <c r="Q75" t="str" cm="1">
        <f t="array" aca="1" ref="Q75" ca="1">LOWER(B75) &amp; INDEX($AF$9:$AF$11,X75)</f>
        <v>frabra3000@sapo.pt</v>
      </c>
      <c r="R75" t="str">
        <f t="shared" ca="1" si="13"/>
        <v>frabra3000.jpg</v>
      </c>
      <c r="T75" s="4"/>
      <c r="V75">
        <f ca="1">RANDBETWEEN(2,COUNTA(rua_cod!A:A))</f>
        <v>26</v>
      </c>
      <c r="W75">
        <f t="shared" ca="1" si="14"/>
        <v>3</v>
      </c>
      <c r="X75">
        <f t="shared" ca="1" si="15"/>
        <v>3</v>
      </c>
      <c r="Y75">
        <f t="shared" ca="1" si="16"/>
        <v>1977</v>
      </c>
      <c r="Z75">
        <f t="shared" ca="1" si="17"/>
        <v>5</v>
      </c>
      <c r="AA75">
        <f t="shared" ca="1" si="18"/>
        <v>16</v>
      </c>
      <c r="AB75">
        <f t="shared" ca="1" si="19"/>
        <v>43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sanboa1600</v>
      </c>
      <c r="C76" t="str">
        <f t="shared" ca="1" si="10"/>
        <v>pswsanboa1600</v>
      </c>
      <c r="D76" t="str">
        <f ca="1">Nomes!T77</f>
        <v>Santiago Marco Neves Ferreira</v>
      </c>
      <c r="E76" t="str">
        <f>Nomes!S77</f>
        <v>Masculino</v>
      </c>
      <c r="F76" s="2">
        <v>41522</v>
      </c>
      <c r="G76" t="str" cm="1">
        <f t="array" aca="1" ref="G76" ca="1">INDEX(rua_cod!$F:$F,RANDBETWEEN(2,COUNTA(rua_cod!F:F)))</f>
        <v>Rua do Carmo</v>
      </c>
      <c r="H76" t="str" cm="1">
        <f t="array" aca="1" ref="H76" ca="1">INDEX(rua_cod!$A:$A,Users!V76) &amp; "-" &amp; TEXT(RANDBETWEEN(0,999),"000")</f>
        <v>1600-538</v>
      </c>
      <c r="I76" t="str" cm="1">
        <f t="array" aca="1" ref="I76" ca="1">INDEX(rua_cod!$B:$B,Users!V76)</f>
        <v>Lisboa</v>
      </c>
      <c r="J76" t="s">
        <v>3728</v>
      </c>
      <c r="K76" t="s">
        <v>225</v>
      </c>
      <c r="L76" t="s">
        <v>265</v>
      </c>
      <c r="M76" t="str">
        <f t="shared" ca="1" si="11"/>
        <v>87414772</v>
      </c>
      <c r="N76" t="str">
        <f t="shared" ca="1" si="12"/>
        <v>187023057</v>
      </c>
      <c r="O76" t="str">
        <f t="shared" ca="1" si="12"/>
        <v>773624841</v>
      </c>
      <c r="P76" t="str" cm="1">
        <f t="array" aca="1" ref="P76" ca="1">9 &amp; INDEX($AF$3:$AF$6,W76)&amp; TEXT(RANDBETWEEN(0,9999999),"0000000")</f>
        <v>922117868</v>
      </c>
      <c r="Q76" t="str" cm="1">
        <f t="array" aca="1" ref="Q76" ca="1">LOWER(B76) &amp; INDEX($AF$9:$AF$11,X76)</f>
        <v>sanboa1600@gmail.com</v>
      </c>
      <c r="R76" t="str">
        <f t="shared" ca="1" si="13"/>
        <v>sanboa1600.jpg</v>
      </c>
      <c r="T76" s="4"/>
      <c r="V76">
        <f ca="1">RANDBETWEEN(2,COUNTA(rua_cod!A:A))</f>
        <v>60</v>
      </c>
      <c r="W76">
        <f t="shared" ca="1" si="14"/>
        <v>2</v>
      </c>
      <c r="X76">
        <f t="shared" ca="1" si="15"/>
        <v>2</v>
      </c>
      <c r="Y76">
        <f t="shared" ca="1" si="16"/>
        <v>2025</v>
      </c>
      <c r="Z76">
        <f t="shared" ca="1" si="17"/>
        <v>3</v>
      </c>
      <c r="AA76">
        <f t="shared" ca="1" si="18"/>
        <v>13</v>
      </c>
      <c r="AB76">
        <f t="shared" ca="1" si="19"/>
        <v>-5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leoada2814</v>
      </c>
      <c r="C77" t="str">
        <f t="shared" ca="1" si="10"/>
        <v>pswleoada2814</v>
      </c>
      <c r="D77" t="str">
        <f ca="1">Nomes!T78</f>
        <v>Leonor Duarte Macedo Teixeira</v>
      </c>
      <c r="E77" t="str">
        <f>Nomes!S78</f>
        <v>Feminino</v>
      </c>
      <c r="F77" s="2">
        <v>24620</v>
      </c>
      <c r="G77" t="str" cm="1">
        <f t="array" aca="1" ref="G77" ca="1">INDEX(rua_cod!$F:$F,RANDBETWEEN(2,COUNTA(rua_cod!F:F)))</f>
        <v>Rua do Comércio</v>
      </c>
      <c r="H77" t="str" cm="1">
        <f t="array" aca="1" ref="H77" ca="1">INDEX(rua_cod!$A:$A,Users!V77) &amp; "-" &amp; TEXT(RANDBETWEEN(0,999),"000")</f>
        <v>2814-004</v>
      </c>
      <c r="I77" t="str" cm="1">
        <f t="array" aca="1" ref="I77" ca="1">INDEX(rua_cod!$B:$B,Users!V77)</f>
        <v>Almada</v>
      </c>
      <c r="J77" t="s">
        <v>3728</v>
      </c>
      <c r="K77" t="s">
        <v>225</v>
      </c>
      <c r="L77" t="s">
        <v>265</v>
      </c>
      <c r="M77" t="str">
        <f t="shared" ca="1" si="11"/>
        <v>20845301</v>
      </c>
      <c r="N77" t="str">
        <f t="shared" ca="1" si="12"/>
        <v>345465101</v>
      </c>
      <c r="O77" t="str">
        <f t="shared" ca="1" si="12"/>
        <v>348645657</v>
      </c>
      <c r="P77" t="str" cm="1">
        <f t="array" aca="1" ref="P77" ca="1">9 &amp; INDEX($AF$3:$AF$6,W77)&amp; TEXT(RANDBETWEEN(0,9999999),"0000000")</f>
        <v>917655554</v>
      </c>
      <c r="Q77" t="str" cm="1">
        <f t="array" aca="1" ref="Q77" ca="1">LOWER(B77) &amp; INDEX($AF$9:$AF$11,X77)</f>
        <v>leoada2814@sapo.pt</v>
      </c>
      <c r="R77" t="str">
        <f t="shared" ca="1" si="13"/>
        <v>leoada2814.jpg</v>
      </c>
      <c r="T77" s="4"/>
      <c r="V77">
        <f ca="1">RANDBETWEEN(2,COUNTA(rua_cod!A:A))</f>
        <v>6</v>
      </c>
      <c r="W77">
        <f t="shared" ca="1" si="14"/>
        <v>1</v>
      </c>
      <c r="X77">
        <f t="shared" ca="1" si="15"/>
        <v>3</v>
      </c>
      <c r="Y77">
        <f t="shared" ca="1" si="16"/>
        <v>1970</v>
      </c>
      <c r="Z77">
        <f t="shared" ca="1" si="17"/>
        <v>6</v>
      </c>
      <c r="AA77">
        <f t="shared" ca="1" si="18"/>
        <v>19</v>
      </c>
      <c r="AB77">
        <f t="shared" ca="1" si="19"/>
        <v>50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beafra2640</v>
      </c>
      <c r="C78" t="str">
        <f t="shared" ca="1" si="10"/>
        <v>pswbeafra2640</v>
      </c>
      <c r="D78" t="str">
        <f ca="1">Nomes!T79</f>
        <v>Beatriz Diogo Ribeiro Borges</v>
      </c>
      <c r="E78" t="str">
        <f>Nomes!S79</f>
        <v>Feminino</v>
      </c>
      <c r="F78" s="2">
        <v>24983</v>
      </c>
      <c r="G78" t="str" cm="1">
        <f t="array" aca="1" ref="G78" ca="1">INDEX(rua_cod!$F:$F,RANDBETWEEN(2,COUNTA(rua_cod!F:F)))</f>
        <v>Rua do Sacramento à Lapa</v>
      </c>
      <c r="H78" t="str" cm="1">
        <f t="array" aca="1" ref="H78" ca="1">INDEX(rua_cod!$A:$A,Users!V78) &amp; "-" &amp; TEXT(RANDBETWEEN(0,999),"000")</f>
        <v>2640-412</v>
      </c>
      <c r="I78" t="str" cm="1">
        <f t="array" aca="1" ref="I78" ca="1">INDEX(rua_cod!$B:$B,Users!V78)</f>
        <v>Mafra</v>
      </c>
      <c r="J78" t="s">
        <v>3728</v>
      </c>
      <c r="K78" t="s">
        <v>225</v>
      </c>
      <c r="L78" t="s">
        <v>265</v>
      </c>
      <c r="M78" t="str">
        <f t="shared" ca="1" si="11"/>
        <v>40091928</v>
      </c>
      <c r="N78" t="str">
        <f t="shared" ca="1" si="12"/>
        <v>544730931</v>
      </c>
      <c r="O78" t="str">
        <f t="shared" ca="1" si="12"/>
        <v>330647165</v>
      </c>
      <c r="P78" t="str" cm="1">
        <f t="array" aca="1" ref="P78" ca="1">9 &amp; INDEX($AF$3:$AF$6,W78)&amp; TEXT(RANDBETWEEN(0,9999999),"0000000")</f>
        <v>925936035</v>
      </c>
      <c r="Q78" t="str" cm="1">
        <f t="array" aca="1" ref="Q78" ca="1">LOWER(B78) &amp; INDEX($AF$9:$AF$11,X78)</f>
        <v>beafra2640@gmail.com</v>
      </c>
      <c r="R78" t="str">
        <f t="shared" ca="1" si="13"/>
        <v>beafra2640.jpg</v>
      </c>
      <c r="T78" s="4"/>
      <c r="V78">
        <f ca="1">RANDBETWEEN(2,COUNTA(rua_cod!A:A))</f>
        <v>85</v>
      </c>
      <c r="W78">
        <f t="shared" ca="1" si="14"/>
        <v>2</v>
      </c>
      <c r="X78">
        <f t="shared" ca="1" si="15"/>
        <v>2</v>
      </c>
      <c r="Y78">
        <f t="shared" ca="1" si="16"/>
        <v>1965</v>
      </c>
      <c r="Z78">
        <f t="shared" ca="1" si="17"/>
        <v>1</v>
      </c>
      <c r="AA78">
        <f t="shared" ca="1" si="18"/>
        <v>31</v>
      </c>
      <c r="AB78">
        <f t="shared" ca="1" si="19"/>
        <v>55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anaboa1200</v>
      </c>
      <c r="C79" t="str">
        <f t="shared" ca="1" si="10"/>
        <v>pswanaboa1200</v>
      </c>
      <c r="D79" t="str">
        <f ca="1">Nomes!T80</f>
        <v>Ana Tiago Rodrigues Carneiro</v>
      </c>
      <c r="E79" t="str">
        <f>Nomes!S80</f>
        <v>Feminino</v>
      </c>
      <c r="F79" s="2">
        <v>28641</v>
      </c>
      <c r="G79" t="str" cm="1">
        <f t="array" aca="1" ref="G79" ca="1">INDEX(rua_cod!$F:$F,RANDBETWEEN(2,COUNTA(rua_cod!F:F)))</f>
        <v>Rua do Arsenal</v>
      </c>
      <c r="H79" t="str" cm="1">
        <f t="array" aca="1" ref="H79" ca="1">INDEX(rua_cod!$A:$A,Users!V79) &amp; "-" &amp; TEXT(RANDBETWEEN(0,999),"000")</f>
        <v>1200-835</v>
      </c>
      <c r="I79" t="str" cm="1">
        <f t="array" aca="1" ref="I79" ca="1">INDEX(rua_cod!$B:$B,Users!V79)</f>
        <v>Lisboa</v>
      </c>
      <c r="J79" t="s">
        <v>3728</v>
      </c>
      <c r="K79" t="s">
        <v>225</v>
      </c>
      <c r="L79" t="s">
        <v>265</v>
      </c>
      <c r="M79" t="str">
        <f t="shared" ca="1" si="11"/>
        <v>62236179</v>
      </c>
      <c r="N79" t="str">
        <f t="shared" ca="1" si="12"/>
        <v>371471287</v>
      </c>
      <c r="O79" t="str">
        <f t="shared" ca="1" si="12"/>
        <v>880496054</v>
      </c>
      <c r="P79" t="str" cm="1">
        <f t="array" aca="1" ref="P79" ca="1">9 &amp; INDEX($AF$3:$AF$6,W79)&amp; TEXT(RANDBETWEEN(0,9999999),"0000000")</f>
        <v>960781865</v>
      </c>
      <c r="Q79" t="str" cm="1">
        <f t="array" aca="1" ref="Q79" ca="1">LOWER(B79) &amp; INDEX($AF$9:$AF$11,X79)</f>
        <v>anaboa1200@sapo.pt</v>
      </c>
      <c r="R79" t="str">
        <f t="shared" ca="1" si="13"/>
        <v>anaboa1200.jpg</v>
      </c>
      <c r="T79" s="4"/>
      <c r="V79">
        <f ca="1">RANDBETWEEN(2,COUNTA(rua_cod!A:A))</f>
        <v>48</v>
      </c>
      <c r="W79">
        <f t="shared" ca="1" si="14"/>
        <v>4</v>
      </c>
      <c r="X79">
        <f t="shared" ca="1" si="15"/>
        <v>3</v>
      </c>
      <c r="Y79">
        <f t="shared" ca="1" si="16"/>
        <v>1979</v>
      </c>
      <c r="Z79">
        <f t="shared" ca="1" si="17"/>
        <v>9</v>
      </c>
      <c r="AA79">
        <f t="shared" ca="1" si="18"/>
        <v>2</v>
      </c>
      <c r="AB79">
        <f t="shared" ca="1" si="19"/>
        <v>41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beabal2910</v>
      </c>
      <c r="C80" t="str">
        <f t="shared" ca="1" si="10"/>
        <v>pswbeabal2910</v>
      </c>
      <c r="D80" t="str">
        <f ca="1">Nomes!T81</f>
        <v>Beatriz Mariana Faria Cruz</v>
      </c>
      <c r="E80" t="str">
        <f>Nomes!S81</f>
        <v>Feminino</v>
      </c>
      <c r="F80" s="2">
        <v>35043</v>
      </c>
      <c r="G80" t="str" cm="1">
        <f t="array" aca="1" ref="G80" ca="1">INDEX(rua_cod!$F:$F,RANDBETWEEN(2,COUNTA(rua_cod!F:F)))</f>
        <v>Rua da Oliveira ao Carmo</v>
      </c>
      <c r="H80" t="str" cm="1">
        <f t="array" aca="1" ref="H80" ca="1">INDEX(rua_cod!$A:$A,Users!V80) &amp; "-" &amp; TEXT(RANDBETWEEN(0,999),"000")</f>
        <v>2910-239</v>
      </c>
      <c r="I80" t="str" cm="1">
        <f t="array" aca="1" ref="I80" ca="1">INDEX(rua_cod!$B:$B,Users!V80)</f>
        <v>Setúbal</v>
      </c>
      <c r="J80" t="s">
        <v>3728</v>
      </c>
      <c r="K80" t="s">
        <v>225</v>
      </c>
      <c r="L80" t="s">
        <v>265</v>
      </c>
      <c r="M80" t="str">
        <f t="shared" ca="1" si="11"/>
        <v>64308683</v>
      </c>
      <c r="N80" t="str">
        <f t="shared" ca="1" si="12"/>
        <v>107391233</v>
      </c>
      <c r="O80" t="str">
        <f t="shared" ca="1" si="12"/>
        <v>248489207</v>
      </c>
      <c r="P80" t="str" cm="1">
        <f t="array" aca="1" ref="P80" ca="1">9 &amp; INDEX($AF$3:$AF$6,W80)&amp; TEXT(RANDBETWEEN(0,9999999),"0000000")</f>
        <v>930016955</v>
      </c>
      <c r="Q80" t="str" cm="1">
        <f t="array" aca="1" ref="Q80" ca="1">LOWER(B80) &amp; INDEX($AF$9:$AF$11,X80)</f>
        <v>beabal2910@sapo.pt</v>
      </c>
      <c r="R80" t="str">
        <f t="shared" ca="1" si="13"/>
        <v>beabal2910.jpg</v>
      </c>
      <c r="T80" s="4"/>
      <c r="V80">
        <f ca="1">RANDBETWEEN(2,COUNTA(rua_cod!A:A))</f>
        <v>97</v>
      </c>
      <c r="W80">
        <f t="shared" ca="1" si="14"/>
        <v>3</v>
      </c>
      <c r="X80">
        <f t="shared" ca="1" si="15"/>
        <v>3</v>
      </c>
      <c r="Y80">
        <f t="shared" ca="1" si="16"/>
        <v>1988</v>
      </c>
      <c r="Z80">
        <f t="shared" ca="1" si="17"/>
        <v>9</v>
      </c>
      <c r="AA80">
        <f t="shared" ca="1" si="18"/>
        <v>31</v>
      </c>
      <c r="AB80">
        <f t="shared" ca="1" si="19"/>
        <v>32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rodfra2640</v>
      </c>
      <c r="C81" t="str">
        <f t="shared" ca="1" si="10"/>
        <v>pswrodfra2640</v>
      </c>
      <c r="D81" t="str">
        <f ca="1">Nomes!T82</f>
        <v>Rodrigo Diana Abreu Torres</v>
      </c>
      <c r="E81" t="str">
        <f>Nomes!S82</f>
        <v>Masculino</v>
      </c>
      <c r="F81" s="2">
        <v>22527</v>
      </c>
      <c r="G81" t="str" cm="1">
        <f t="array" aca="1" ref="G81" ca="1">INDEX(rua_cod!$F:$F,RANDBETWEEN(2,COUNTA(rua_cod!F:F)))</f>
        <v>Rua da Prata</v>
      </c>
      <c r="H81" t="str" cm="1">
        <f t="array" aca="1" ref="H81" ca="1">INDEX(rua_cod!$A:$A,Users!V81) &amp; "-" &amp; TEXT(RANDBETWEEN(0,999),"000")</f>
        <v>2640-534</v>
      </c>
      <c r="I81" t="str" cm="1">
        <f t="array" aca="1" ref="I81" ca="1">INDEX(rua_cod!$B:$B,Users!V81)</f>
        <v>Mafra</v>
      </c>
      <c r="J81" t="s">
        <v>3728</v>
      </c>
      <c r="K81" t="s">
        <v>225</v>
      </c>
      <c r="L81" t="s">
        <v>265</v>
      </c>
      <c r="M81" t="str">
        <f t="shared" ca="1" si="11"/>
        <v>19324393</v>
      </c>
      <c r="N81" t="str">
        <f t="shared" ca="1" si="12"/>
        <v>614330480</v>
      </c>
      <c r="O81" t="str">
        <f t="shared" ca="1" si="12"/>
        <v>105675274</v>
      </c>
      <c r="P81" t="str" cm="1">
        <f t="array" aca="1" ref="P81" ca="1">9 &amp; INDEX($AF$3:$AF$6,W81)&amp; TEXT(RANDBETWEEN(0,9999999),"0000000")</f>
        <v>916695632</v>
      </c>
      <c r="Q81" t="str" cm="1">
        <f t="array" aca="1" ref="Q81" ca="1">LOWER(B81) &amp; INDEX($AF$9:$AF$11,X81)</f>
        <v>rodfra2640@gmail.com</v>
      </c>
      <c r="R81" t="str">
        <f t="shared" ca="1" si="13"/>
        <v>rodfra2640.jpg</v>
      </c>
      <c r="T81" s="4"/>
      <c r="V81">
        <f ca="1">RANDBETWEEN(2,COUNTA(rua_cod!A:A))</f>
        <v>85</v>
      </c>
      <c r="W81">
        <f t="shared" ca="1" si="14"/>
        <v>1</v>
      </c>
      <c r="X81">
        <f t="shared" ca="1" si="15"/>
        <v>2</v>
      </c>
      <c r="Y81">
        <f t="shared" ca="1" si="16"/>
        <v>1974</v>
      </c>
      <c r="Z81">
        <f t="shared" ca="1" si="17"/>
        <v>11</v>
      </c>
      <c r="AA81">
        <f t="shared" ca="1" si="18"/>
        <v>8</v>
      </c>
      <c r="AB81">
        <f t="shared" ca="1" si="19"/>
        <v>46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bruica2829</v>
      </c>
      <c r="C82" t="str">
        <f t="shared" ca="1" si="10"/>
        <v>pswbruica2829</v>
      </c>
      <c r="D82" t="str">
        <f ca="1">Nomes!T83</f>
        <v>Bruno Joana Pinto Maia</v>
      </c>
      <c r="E82" t="str">
        <f>Nomes!S83</f>
        <v>Masculino</v>
      </c>
      <c r="F82" s="2">
        <v>12686</v>
      </c>
      <c r="G82" t="str" cm="1">
        <f t="array" aca="1" ref="G82" ca="1">INDEX(rua_cod!$F:$F,RANDBETWEEN(2,COUNTA(rua_cod!F:F)))</f>
        <v>Rua Garrett</v>
      </c>
      <c r="H82" t="str" cm="1">
        <f t="array" aca="1" ref="H82" ca="1">INDEX(rua_cod!$A:$A,Users!V82) &amp; "-" &amp; TEXT(RANDBETWEEN(0,999),"000")</f>
        <v>2829-528</v>
      </c>
      <c r="I82" t="str" cm="1">
        <f t="array" aca="1" ref="I82" ca="1">INDEX(rua_cod!$B:$B,Users!V82)</f>
        <v>Costa de Caparica</v>
      </c>
      <c r="J82" t="s">
        <v>3728</v>
      </c>
      <c r="K82" t="s">
        <v>225</v>
      </c>
      <c r="L82" t="s">
        <v>265</v>
      </c>
      <c r="M82" t="str">
        <f t="shared" ca="1" si="11"/>
        <v>67442142</v>
      </c>
      <c r="N82" t="str">
        <f t="shared" ca="1" si="12"/>
        <v>130968597</v>
      </c>
      <c r="O82" t="str">
        <f t="shared" ca="1" si="12"/>
        <v>705277803</v>
      </c>
      <c r="P82" t="str" cm="1">
        <f t="array" aca="1" ref="P82" ca="1">9 &amp; INDEX($AF$3:$AF$6,W82)&amp; TEXT(RANDBETWEEN(0,9999999),"0000000")</f>
        <v>936721562</v>
      </c>
      <c r="Q82" t="str" cm="1">
        <f t="array" aca="1" ref="Q82" ca="1">LOWER(B82) &amp; INDEX($AF$9:$AF$11,X82)</f>
        <v>bruica2829@sapo.pt</v>
      </c>
      <c r="R82" t="str">
        <f t="shared" ca="1" si="13"/>
        <v>bruica2829.jpg</v>
      </c>
      <c r="T82" s="4"/>
      <c r="V82">
        <f ca="1">RANDBETWEEN(2,COUNTA(rua_cod!A:A))</f>
        <v>28</v>
      </c>
      <c r="W82">
        <f t="shared" ca="1" si="14"/>
        <v>3</v>
      </c>
      <c r="X82">
        <f t="shared" ca="1" si="15"/>
        <v>3</v>
      </c>
      <c r="Y82">
        <f t="shared" ca="1" si="16"/>
        <v>1960</v>
      </c>
      <c r="Z82">
        <f t="shared" ca="1" si="17"/>
        <v>12</v>
      </c>
      <c r="AA82">
        <f t="shared" ca="1" si="18"/>
        <v>19</v>
      </c>
      <c r="AB82">
        <f t="shared" ca="1" si="19"/>
        <v>60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fraboa1269</v>
      </c>
      <c r="C83" t="str">
        <f t="shared" ca="1" si="10"/>
        <v>pswfraboa1269</v>
      </c>
      <c r="D83" t="str">
        <f ca="1">Nomes!T84</f>
        <v>Francisca Mariana Gonçalves Silva</v>
      </c>
      <c r="E83" t="str">
        <f>Nomes!S84</f>
        <v>Feminino</v>
      </c>
      <c r="F83" s="2">
        <v>36263</v>
      </c>
      <c r="G83" t="str" cm="1">
        <f t="array" aca="1" ref="G83" ca="1">INDEX(rua_cod!$F:$F,RANDBETWEEN(2,COUNTA(rua_cod!F:F)))</f>
        <v>Rua do Carmo</v>
      </c>
      <c r="H83" t="str" cm="1">
        <f t="array" aca="1" ref="H83" ca="1">INDEX(rua_cod!$A:$A,Users!V83) &amp; "-" &amp; TEXT(RANDBETWEEN(0,999),"000")</f>
        <v>1269-630</v>
      </c>
      <c r="I83" t="str" cm="1">
        <f t="array" aca="1" ref="I83" ca="1">INDEX(rua_cod!$B:$B,Users!V83)</f>
        <v>Lisboa</v>
      </c>
      <c r="J83" t="s">
        <v>3728</v>
      </c>
      <c r="K83" t="s">
        <v>225</v>
      </c>
      <c r="L83" t="s">
        <v>265</v>
      </c>
      <c r="M83" t="str">
        <f t="shared" ca="1" si="11"/>
        <v>54565647</v>
      </c>
      <c r="N83" t="str">
        <f t="shared" ca="1" si="12"/>
        <v>202871644</v>
      </c>
      <c r="O83" t="str">
        <f t="shared" ca="1" si="12"/>
        <v>998621005</v>
      </c>
      <c r="P83" t="str" cm="1">
        <f t="array" aca="1" ref="P83" ca="1">9 &amp; INDEX($AF$3:$AF$6,W83)&amp; TEXT(RANDBETWEEN(0,9999999),"0000000")</f>
        <v>927119899</v>
      </c>
      <c r="Q83" t="str" cm="1">
        <f t="array" aca="1" ref="Q83" ca="1">LOWER(B83) &amp; INDEX($AF$9:$AF$11,X83)</f>
        <v>fraboa1269@gmail.com</v>
      </c>
      <c r="R83" t="str">
        <f t="shared" ca="1" si="13"/>
        <v>fraboa1269.jpg</v>
      </c>
      <c r="T83" s="4"/>
      <c r="V83">
        <f ca="1">RANDBETWEEN(2,COUNTA(rua_cod!A:A))</f>
        <v>52</v>
      </c>
      <c r="W83">
        <f t="shared" ca="1" si="14"/>
        <v>2</v>
      </c>
      <c r="X83">
        <f t="shared" ca="1" si="15"/>
        <v>2</v>
      </c>
      <c r="Y83">
        <f t="shared" ca="1" si="16"/>
        <v>1978</v>
      </c>
      <c r="Z83">
        <f t="shared" ca="1" si="17"/>
        <v>12</v>
      </c>
      <c r="AA83">
        <f t="shared" ca="1" si="18"/>
        <v>8</v>
      </c>
      <c r="AB83">
        <f t="shared" ca="1" si="19"/>
        <v>42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marada2814</v>
      </c>
      <c r="C84" t="str">
        <f t="shared" ca="1" si="10"/>
        <v>pswmarada2814</v>
      </c>
      <c r="D84" t="str">
        <f ca="1">Nomes!T85</f>
        <v>Martim Bruno Branco Costa</v>
      </c>
      <c r="E84" t="str">
        <f>Nomes!S85</f>
        <v>Masculino</v>
      </c>
      <c r="F84" s="2">
        <v>13617</v>
      </c>
      <c r="G84" t="str" cm="1">
        <f t="array" aca="1" ref="G84" ca="1">INDEX(rua_cod!$F:$F,RANDBETWEEN(2,COUNTA(rua_cod!F:F)))</f>
        <v>Rua General Morais Sarmento</v>
      </c>
      <c r="H84" t="str" cm="1">
        <f t="array" aca="1" ref="H84" ca="1">INDEX(rua_cod!$A:$A,Users!V84) &amp; "-" &amp; TEXT(RANDBETWEEN(0,999),"000")</f>
        <v>2814-069</v>
      </c>
      <c r="I84" t="str" cm="1">
        <f t="array" aca="1" ref="I84" ca="1">INDEX(rua_cod!$B:$B,Users!V84)</f>
        <v>Almada</v>
      </c>
      <c r="J84" t="s">
        <v>3728</v>
      </c>
      <c r="K84" t="s">
        <v>225</v>
      </c>
      <c r="L84" t="s">
        <v>265</v>
      </c>
      <c r="M84" t="str">
        <f t="shared" ca="1" si="11"/>
        <v>34159555</v>
      </c>
      <c r="N84" t="str">
        <f t="shared" ca="1" si="12"/>
        <v>209936978</v>
      </c>
      <c r="O84" t="str">
        <f t="shared" ca="1" si="12"/>
        <v>151801547</v>
      </c>
      <c r="P84" t="str" cm="1">
        <f t="array" aca="1" ref="P84" ca="1">9 &amp; INDEX($AF$3:$AF$6,W84)&amp; TEXT(RANDBETWEEN(0,9999999),"0000000")</f>
        <v>962620532</v>
      </c>
      <c r="Q84" t="str" cm="1">
        <f t="array" aca="1" ref="Q84" ca="1">LOWER(B84) &amp; INDEX($AF$9:$AF$11,X84)</f>
        <v>marada2814@gmail.com</v>
      </c>
      <c r="R84" t="str">
        <f t="shared" ca="1" si="13"/>
        <v>marada2814.jpg</v>
      </c>
      <c r="T84" s="4"/>
      <c r="V84">
        <f ca="1">RANDBETWEEN(2,COUNTA(rua_cod!A:A))</f>
        <v>6</v>
      </c>
      <c r="W84">
        <f t="shared" ca="1" si="14"/>
        <v>4</v>
      </c>
      <c r="X84">
        <f t="shared" ca="1" si="15"/>
        <v>2</v>
      </c>
      <c r="Y84">
        <f t="shared" ca="1" si="16"/>
        <v>1978</v>
      </c>
      <c r="Z84">
        <f t="shared" ca="1" si="17"/>
        <v>3</v>
      </c>
      <c r="AA84">
        <f t="shared" ca="1" si="18"/>
        <v>23</v>
      </c>
      <c r="AB84">
        <f t="shared" ca="1" si="19"/>
        <v>42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gabvas2350</v>
      </c>
      <c r="C85" t="str">
        <f t="shared" ca="1" si="10"/>
        <v>pswgabvas2350</v>
      </c>
      <c r="D85" t="str">
        <f ca="1">Nomes!T86</f>
        <v>Gabriel Sara Matos Gomes</v>
      </c>
      <c r="E85" t="str">
        <f>Nomes!S86</f>
        <v>Masculino</v>
      </c>
      <c r="F85" s="2">
        <v>41552</v>
      </c>
      <c r="G85" t="str" cm="1">
        <f t="array" aca="1" ref="G85" ca="1">INDEX(rua_cod!$F:$F,RANDBETWEEN(2,COUNTA(rua_cod!F:F)))</f>
        <v>Rua do Instituto Bacteriológico</v>
      </c>
      <c r="H85" t="str" cm="1">
        <f t="array" aca="1" ref="H85" ca="1">INDEX(rua_cod!$A:$A,Users!V85) &amp; "-" &amp; TEXT(RANDBETWEEN(0,999),"000")</f>
        <v>2350-367</v>
      </c>
      <c r="I85" t="str" cm="1">
        <f t="array" aca="1" ref="I85" ca="1">INDEX(rua_cod!$B:$B,Users!V85)</f>
        <v>Torres Novas</v>
      </c>
      <c r="J85" t="s">
        <v>3728</v>
      </c>
      <c r="K85" t="s">
        <v>225</v>
      </c>
      <c r="L85" t="s">
        <v>265</v>
      </c>
      <c r="M85" t="str">
        <f t="shared" ca="1" si="11"/>
        <v>65436165</v>
      </c>
      <c r="N85" t="str">
        <f t="shared" ca="1" si="12"/>
        <v>364453743</v>
      </c>
      <c r="O85" t="str">
        <f t="shared" ca="1" si="12"/>
        <v>768034068</v>
      </c>
      <c r="P85" t="str" cm="1">
        <f t="array" aca="1" ref="P85" ca="1">9 &amp; INDEX($AF$3:$AF$6,W85)&amp; TEXT(RANDBETWEEN(0,9999999),"0000000")</f>
        <v>967266155</v>
      </c>
      <c r="Q85" t="str" cm="1">
        <f t="array" aca="1" ref="Q85" ca="1">LOWER(B85) &amp; INDEX($AF$9:$AF$11,X85)</f>
        <v>gabvas2350@gmail.com</v>
      </c>
      <c r="R85" t="str">
        <f t="shared" ca="1" si="13"/>
        <v>gabvas2350.jpg</v>
      </c>
      <c r="T85" s="4"/>
      <c r="V85">
        <f ca="1">RANDBETWEEN(2,COUNTA(rua_cod!A:A))</f>
        <v>103</v>
      </c>
      <c r="W85">
        <f t="shared" ca="1" si="14"/>
        <v>4</v>
      </c>
      <c r="X85">
        <f t="shared" ca="1" si="15"/>
        <v>2</v>
      </c>
      <c r="Y85">
        <f t="shared" ca="1" si="16"/>
        <v>1960</v>
      </c>
      <c r="Z85">
        <f t="shared" ca="1" si="17"/>
        <v>10</v>
      </c>
      <c r="AA85">
        <f t="shared" ca="1" si="18"/>
        <v>7</v>
      </c>
      <c r="AB85">
        <f t="shared" ca="1" si="19"/>
        <v>60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beafra2644</v>
      </c>
      <c r="C86" t="str">
        <f t="shared" ca="1" si="10"/>
        <v>pswbeafra2644</v>
      </c>
      <c r="D86" t="str">
        <f ca="1">Nomes!T87</f>
        <v>Beatriz Afonso Barros Pinho</v>
      </c>
      <c r="E86" t="str">
        <f>Nomes!S87</f>
        <v>Feminino</v>
      </c>
      <c r="F86" s="2">
        <v>27773</v>
      </c>
      <c r="G86" t="str" cm="1">
        <f t="array" aca="1" ref="G86" ca="1">INDEX(rua_cod!$F:$F,RANDBETWEEN(2,COUNTA(rua_cod!F:F)))</f>
        <v>Rua dos Heróis de Quionga</v>
      </c>
      <c r="H86" t="str" cm="1">
        <f t="array" aca="1" ref="H86" ca="1">INDEX(rua_cod!$A:$A,Users!V86) &amp; "-" &amp; TEXT(RANDBETWEEN(0,999),"000")</f>
        <v>2644-833</v>
      </c>
      <c r="I86" t="str" cm="1">
        <f t="array" aca="1" ref="I86" ca="1">INDEX(rua_cod!$B:$B,Users!V86)</f>
        <v>Mafra</v>
      </c>
      <c r="J86" t="s">
        <v>3728</v>
      </c>
      <c r="K86" t="s">
        <v>225</v>
      </c>
      <c r="L86" t="s">
        <v>265</v>
      </c>
      <c r="M86" t="str">
        <f t="shared" ca="1" si="11"/>
        <v>62685771</v>
      </c>
      <c r="N86" t="str">
        <f t="shared" ca="1" si="12"/>
        <v>660537034</v>
      </c>
      <c r="O86" t="str">
        <f t="shared" ca="1" si="12"/>
        <v>392191868</v>
      </c>
      <c r="P86" t="str" cm="1">
        <f t="array" aca="1" ref="P86" ca="1">9 &amp; INDEX($AF$3:$AF$6,W86)&amp; TEXT(RANDBETWEEN(0,9999999),"0000000")</f>
        <v>936622000</v>
      </c>
      <c r="Q86" t="str" cm="1">
        <f t="array" aca="1" ref="Q86" ca="1">LOWER(B86) &amp; INDEX($AF$9:$AF$11,X86)</f>
        <v>beafra2644@sapo.pt</v>
      </c>
      <c r="R86" t="str">
        <f t="shared" ca="1" si="13"/>
        <v>beafra2644.jpg</v>
      </c>
      <c r="T86" s="4"/>
      <c r="V86">
        <f ca="1">RANDBETWEEN(2,COUNTA(rua_cod!A:A))</f>
        <v>86</v>
      </c>
      <c r="W86">
        <f t="shared" ca="1" si="14"/>
        <v>3</v>
      </c>
      <c r="X86">
        <f t="shared" ca="1" si="15"/>
        <v>3</v>
      </c>
      <c r="Y86">
        <f t="shared" ca="1" si="16"/>
        <v>1969</v>
      </c>
      <c r="Z86">
        <f t="shared" ca="1" si="17"/>
        <v>3</v>
      </c>
      <c r="AA86">
        <f t="shared" ca="1" si="18"/>
        <v>14</v>
      </c>
      <c r="AB86">
        <f t="shared" ca="1" si="19"/>
        <v>51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gabboa1300</v>
      </c>
      <c r="C87" t="str">
        <f t="shared" ca="1" si="10"/>
        <v>pswgabboa1300</v>
      </c>
      <c r="D87" t="str">
        <f ca="1">Nomes!T88</f>
        <v>Gabriel Duarte Vieira Pires</v>
      </c>
      <c r="E87" t="str">
        <f>Nomes!S88</f>
        <v>Masculino</v>
      </c>
      <c r="F87" s="2">
        <v>27273</v>
      </c>
      <c r="G87" t="str" cm="1">
        <f t="array" aca="1" ref="G87" ca="1">INDEX(rua_cod!$F:$F,RANDBETWEEN(2,COUNTA(rua_cod!F:F)))</f>
        <v>Calçada do Moinho de Vento</v>
      </c>
      <c r="H87" t="str" cm="1">
        <f t="array" aca="1" ref="H87" ca="1">INDEX(rua_cod!$A:$A,Users!V87) &amp; "-" &amp; TEXT(RANDBETWEEN(0,999),"000")</f>
        <v>1300-959</v>
      </c>
      <c r="I87" t="str" cm="1">
        <f t="array" aca="1" ref="I87" ca="1">INDEX(rua_cod!$B:$B,Users!V87)</f>
        <v>Lisboa</v>
      </c>
      <c r="J87" t="s">
        <v>3728</v>
      </c>
      <c r="K87" t="s">
        <v>225</v>
      </c>
      <c r="L87" t="s">
        <v>265</v>
      </c>
      <c r="M87" t="str">
        <f t="shared" ca="1" si="11"/>
        <v>98916339</v>
      </c>
      <c r="N87" t="str">
        <f t="shared" ca="1" si="12"/>
        <v>637171895</v>
      </c>
      <c r="O87" t="str">
        <f t="shared" ca="1" si="12"/>
        <v>482873417</v>
      </c>
      <c r="P87" t="str" cm="1">
        <f t="array" aca="1" ref="P87" ca="1">9 &amp; INDEX($AF$3:$AF$6,W87)&amp; TEXT(RANDBETWEEN(0,9999999),"0000000")</f>
        <v>966790816</v>
      </c>
      <c r="Q87" t="str" cm="1">
        <f t="array" aca="1" ref="Q87" ca="1">LOWER(B87) &amp; INDEX($AF$9:$AF$11,X87)</f>
        <v>gabboa1300@gmail.com</v>
      </c>
      <c r="R87" t="str">
        <f t="shared" ca="1" si="13"/>
        <v>gabboa1300.jpg</v>
      </c>
      <c r="T87" s="4"/>
      <c r="V87">
        <f ca="1">RANDBETWEEN(2,COUNTA(rua_cod!A:A))</f>
        <v>58</v>
      </c>
      <c r="W87">
        <f t="shared" ca="1" si="14"/>
        <v>4</v>
      </c>
      <c r="X87">
        <f t="shared" ca="1" si="15"/>
        <v>2</v>
      </c>
      <c r="Y87">
        <f t="shared" ca="1" si="16"/>
        <v>1985</v>
      </c>
      <c r="Z87">
        <f t="shared" ca="1" si="17"/>
        <v>12</v>
      </c>
      <c r="AA87">
        <f t="shared" ca="1" si="18"/>
        <v>27</v>
      </c>
      <c r="AB87">
        <f t="shared" ca="1" si="19"/>
        <v>35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fraboa1069</v>
      </c>
      <c r="C88" t="str">
        <f t="shared" ca="1" si="10"/>
        <v>pswfraboa1069</v>
      </c>
      <c r="D88" t="str">
        <f ca="1">Nomes!T89</f>
        <v>Francisco Mariana Gaspar Andrade</v>
      </c>
      <c r="E88" t="str">
        <f>Nomes!S89</f>
        <v>Masculino</v>
      </c>
      <c r="F88" s="2">
        <v>33962</v>
      </c>
      <c r="G88" t="str" cm="1">
        <f t="array" aca="1" ref="G88" ca="1">INDEX(rua_cod!$F:$F,RANDBETWEEN(2,COUNTA(rua_cod!F:F)))</f>
        <v>Rua da Junqueira</v>
      </c>
      <c r="H88" t="str" cm="1">
        <f t="array" aca="1" ref="H88" ca="1">INDEX(rua_cod!$A:$A,Users!V88) &amp; "-" &amp; TEXT(RANDBETWEEN(0,999),"000")</f>
        <v>1069-274</v>
      </c>
      <c r="I88" t="str" cm="1">
        <f t="array" aca="1" ref="I88" ca="1">INDEX(rua_cod!$B:$B,Users!V88)</f>
        <v>Lisboa</v>
      </c>
      <c r="J88" t="s">
        <v>3728</v>
      </c>
      <c r="K88" t="s">
        <v>225</v>
      </c>
      <c r="L88" t="s">
        <v>265</v>
      </c>
      <c r="M88" t="str">
        <f t="shared" ca="1" si="11"/>
        <v>77407308</v>
      </c>
      <c r="N88" t="str">
        <f t="shared" ca="1" si="12"/>
        <v>431981105</v>
      </c>
      <c r="O88" t="str">
        <f t="shared" ca="1" si="12"/>
        <v>151972369</v>
      </c>
      <c r="P88" t="str" cm="1">
        <f t="array" aca="1" ref="P88" ca="1">9 &amp; INDEX($AF$3:$AF$6,W88)&amp; TEXT(RANDBETWEEN(0,9999999),"0000000")</f>
        <v>969339053</v>
      </c>
      <c r="Q88" t="str" cm="1">
        <f t="array" aca="1" ref="Q88" ca="1">LOWER(B88) &amp; INDEX($AF$9:$AF$11,X88)</f>
        <v>fraboa1069@gmail.com</v>
      </c>
      <c r="R88" t="str">
        <f t="shared" ca="1" si="13"/>
        <v>fraboa1069.jpg</v>
      </c>
      <c r="T88" s="4"/>
      <c r="V88">
        <f ca="1">RANDBETWEEN(2,COUNTA(rua_cod!A:A))</f>
        <v>67</v>
      </c>
      <c r="W88">
        <f t="shared" ca="1" si="14"/>
        <v>4</v>
      </c>
      <c r="X88">
        <f t="shared" ca="1" si="15"/>
        <v>2</v>
      </c>
      <c r="Y88">
        <f t="shared" ca="1" si="16"/>
        <v>1998</v>
      </c>
      <c r="Z88">
        <f t="shared" ca="1" si="17"/>
        <v>3</v>
      </c>
      <c r="AA88">
        <f t="shared" ca="1" si="18"/>
        <v>3</v>
      </c>
      <c r="AB88">
        <f t="shared" ca="1" si="19"/>
        <v>22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carora2704</v>
      </c>
      <c r="C89" t="str">
        <f t="shared" ca="1" si="10"/>
        <v>pswcarora2704</v>
      </c>
      <c r="D89" t="str">
        <f ca="1">Nomes!T90</f>
        <v>Carolina André Almeida Valente</v>
      </c>
      <c r="E89" t="str">
        <f>Nomes!S90</f>
        <v>Feminino</v>
      </c>
      <c r="F89" s="2">
        <v>16313</v>
      </c>
      <c r="G89" t="str" cm="1">
        <f t="array" aca="1" ref="G89" ca="1">INDEX(rua_cod!$F:$F,RANDBETWEEN(2,COUNTA(rua_cod!F:F)))</f>
        <v>Rua dos Fanqueiros</v>
      </c>
      <c r="H89" t="str" cm="1">
        <f t="array" aca="1" ref="H89" ca="1">INDEX(rua_cod!$A:$A,Users!V89) &amp; "-" &amp; TEXT(RANDBETWEEN(0,999),"000")</f>
        <v>2704-057</v>
      </c>
      <c r="I89" t="str" cm="1">
        <f t="array" aca="1" ref="I89" ca="1">INDEX(rua_cod!$B:$B,Users!V89)</f>
        <v>Amadora</v>
      </c>
      <c r="J89" t="s">
        <v>3728</v>
      </c>
      <c r="K89" t="s">
        <v>225</v>
      </c>
      <c r="L89" t="s">
        <v>265</v>
      </c>
      <c r="M89" t="str">
        <f t="shared" ca="1" si="11"/>
        <v>25365918</v>
      </c>
      <c r="N89" t="str">
        <f t="shared" ca="1" si="12"/>
        <v>593148882</v>
      </c>
      <c r="O89" t="str">
        <f t="shared" ca="1" si="12"/>
        <v>737307656</v>
      </c>
      <c r="P89" t="str" cm="1">
        <f t="array" aca="1" ref="P89" ca="1">9 &amp; INDEX($AF$3:$AF$6,W89)&amp; TEXT(RANDBETWEEN(0,9999999),"0000000")</f>
        <v>936261625</v>
      </c>
      <c r="Q89" t="str" cm="1">
        <f t="array" aca="1" ref="Q89" ca="1">LOWER(B89) &amp; INDEX($AF$9:$AF$11,X89)</f>
        <v>carora2704@outlook.com</v>
      </c>
      <c r="R89" t="str">
        <f t="shared" ca="1" si="13"/>
        <v>carora2704.jpg</v>
      </c>
      <c r="T89" s="4"/>
      <c r="V89">
        <f ca="1">RANDBETWEEN(2,COUNTA(rua_cod!A:A))</f>
        <v>15</v>
      </c>
      <c r="W89">
        <f t="shared" ca="1" si="14"/>
        <v>3</v>
      </c>
      <c r="X89">
        <f t="shared" ca="1" si="15"/>
        <v>1</v>
      </c>
      <c r="Y89">
        <f t="shared" ca="1" si="16"/>
        <v>1959</v>
      </c>
      <c r="Z89">
        <f t="shared" ca="1" si="17"/>
        <v>5</v>
      </c>
      <c r="AA89">
        <f t="shared" ca="1" si="18"/>
        <v>4</v>
      </c>
      <c r="AB89">
        <f t="shared" ca="1" si="19"/>
        <v>61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marica2829</v>
      </c>
      <c r="C90" t="str">
        <f t="shared" ca="1" si="10"/>
        <v>pswmarica2829</v>
      </c>
      <c r="D90" t="str">
        <f ca="1">Nomes!T91</f>
        <v>Martim Ana Anjos Nogueira</v>
      </c>
      <c r="E90" t="str">
        <f>Nomes!S91</f>
        <v>Masculino</v>
      </c>
      <c r="F90" s="2">
        <v>40133</v>
      </c>
      <c r="G90" t="str" cm="1">
        <f t="array" aca="1" ref="G90" ca="1">INDEX(rua_cod!$F:$F,RANDBETWEEN(2,COUNTA(rua_cod!F:F)))</f>
        <v>Rua Augusta</v>
      </c>
      <c r="H90" t="str" cm="1">
        <f t="array" aca="1" ref="H90" ca="1">INDEX(rua_cod!$A:$A,Users!V90) &amp; "-" &amp; TEXT(RANDBETWEEN(0,999),"000")</f>
        <v>2829-945</v>
      </c>
      <c r="I90" t="str" cm="1">
        <f t="array" aca="1" ref="I90" ca="1">INDEX(rua_cod!$B:$B,Users!V90)</f>
        <v>Costa de Caparica</v>
      </c>
      <c r="J90" t="s">
        <v>3728</v>
      </c>
      <c r="K90" t="s">
        <v>225</v>
      </c>
      <c r="L90" t="s">
        <v>265</v>
      </c>
      <c r="M90" t="str">
        <f t="shared" ca="1" si="11"/>
        <v>37795782</v>
      </c>
      <c r="N90" t="str">
        <f t="shared" ca="1" si="12"/>
        <v>106311482</v>
      </c>
      <c r="O90" t="str">
        <f t="shared" ca="1" si="12"/>
        <v>293112870</v>
      </c>
      <c r="P90" t="str" cm="1">
        <f t="array" aca="1" ref="P90" ca="1">9 &amp; INDEX($AF$3:$AF$6,W90)&amp; TEXT(RANDBETWEEN(0,9999999),"0000000")</f>
        <v>961158849</v>
      </c>
      <c r="Q90" t="str" cm="1">
        <f t="array" aca="1" ref="Q90" ca="1">LOWER(B90) &amp; INDEX($AF$9:$AF$11,X90)</f>
        <v>marica2829@outlook.com</v>
      </c>
      <c r="R90" t="str">
        <f t="shared" ca="1" si="13"/>
        <v>marica2829.jpg</v>
      </c>
      <c r="T90" s="4"/>
      <c r="V90">
        <f ca="1">RANDBETWEEN(2,COUNTA(rua_cod!A:A))</f>
        <v>28</v>
      </c>
      <c r="W90">
        <f t="shared" ca="1" si="14"/>
        <v>4</v>
      </c>
      <c r="X90">
        <f t="shared" ca="1" si="15"/>
        <v>1</v>
      </c>
      <c r="Y90">
        <f t="shared" ca="1" si="16"/>
        <v>1959</v>
      </c>
      <c r="Z90">
        <f t="shared" ca="1" si="17"/>
        <v>6</v>
      </c>
      <c r="AA90">
        <f t="shared" ca="1" si="18"/>
        <v>4</v>
      </c>
      <c r="AB90">
        <f t="shared" ca="1" si="19"/>
        <v>61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diofra2640</v>
      </c>
      <c r="C91" t="str">
        <f t="shared" ca="1" si="10"/>
        <v>pswdiofra2640</v>
      </c>
      <c r="D91" t="str">
        <f ca="1">Nomes!T92</f>
        <v>Diogo Maria Martins Matos</v>
      </c>
      <c r="E91" t="str">
        <f>Nomes!S92</f>
        <v>Masculino</v>
      </c>
      <c r="F91" s="2">
        <v>16302</v>
      </c>
      <c r="G91" t="str" cm="1">
        <f t="array" aca="1" ref="G91" ca="1">INDEX(rua_cod!$F:$F,RANDBETWEEN(2,COUNTA(rua_cod!F:F)))</f>
        <v>Rua Roberto Duarte Silva</v>
      </c>
      <c r="H91" t="str" cm="1">
        <f t="array" aca="1" ref="H91" ca="1">INDEX(rua_cod!$A:$A,Users!V91) &amp; "-" &amp; TEXT(RANDBETWEEN(0,999),"000")</f>
        <v>2640-252</v>
      </c>
      <c r="I91" t="str" cm="1">
        <f t="array" aca="1" ref="I91" ca="1">INDEX(rua_cod!$B:$B,Users!V91)</f>
        <v>Mafra</v>
      </c>
      <c r="J91" t="s">
        <v>3728</v>
      </c>
      <c r="K91" t="s">
        <v>225</v>
      </c>
      <c r="L91" t="s">
        <v>265</v>
      </c>
      <c r="M91" t="str">
        <f t="shared" ca="1" si="11"/>
        <v>36919751</v>
      </c>
      <c r="N91" t="str">
        <f t="shared" ca="1" si="12"/>
        <v>240497145</v>
      </c>
      <c r="O91" t="str">
        <f t="shared" ca="1" si="12"/>
        <v>343024714</v>
      </c>
      <c r="P91" t="str" cm="1">
        <f t="array" aca="1" ref="P91" ca="1">9 &amp; INDEX($AF$3:$AF$6,W91)&amp; TEXT(RANDBETWEEN(0,9999999),"0000000")</f>
        <v>921423991</v>
      </c>
      <c r="Q91" t="str" cm="1">
        <f t="array" aca="1" ref="Q91" ca="1">LOWER(B91) &amp; INDEX($AF$9:$AF$11,X91)</f>
        <v>diofra2640@gmail.com</v>
      </c>
      <c r="R91" t="str">
        <f t="shared" ca="1" si="13"/>
        <v>diofra2640.jpg</v>
      </c>
      <c r="T91" s="4"/>
      <c r="V91">
        <f ca="1">RANDBETWEEN(2,COUNTA(rua_cod!A:A))</f>
        <v>85</v>
      </c>
      <c r="W91">
        <f t="shared" ca="1" si="14"/>
        <v>2</v>
      </c>
      <c r="X91">
        <f t="shared" ca="1" si="15"/>
        <v>2</v>
      </c>
      <c r="Y91">
        <f t="shared" ca="1" si="16"/>
        <v>1965</v>
      </c>
      <c r="Z91">
        <f t="shared" ca="1" si="17"/>
        <v>3</v>
      </c>
      <c r="AA91">
        <f t="shared" ca="1" si="18"/>
        <v>17</v>
      </c>
      <c r="AB91">
        <f t="shared" ca="1" si="19"/>
        <v>55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migria2410</v>
      </c>
      <c r="C92" t="str">
        <f t="shared" ca="1" si="10"/>
        <v>pswmigria2410</v>
      </c>
      <c r="D92" t="str">
        <f ca="1">Nomes!T93</f>
        <v>Miguel Daniela Costa Magalhães</v>
      </c>
      <c r="E92" t="str">
        <f>Nomes!S93</f>
        <v>Masculino</v>
      </c>
      <c r="F92" s="2">
        <v>15230</v>
      </c>
      <c r="G92" t="str" cm="1">
        <f t="array" aca="1" ref="G92" ca="1">INDEX(rua_cod!$F:$F,RANDBETWEEN(2,COUNTA(rua_cod!F:F)))</f>
        <v>Estrada das Laranjeiras</v>
      </c>
      <c r="H92" t="str" cm="1">
        <f t="array" aca="1" ref="H92" ca="1">INDEX(rua_cod!$A:$A,Users!V92) &amp; "-" &amp; TEXT(RANDBETWEEN(0,999),"000")</f>
        <v>2410-627</v>
      </c>
      <c r="I92" t="str" cm="1">
        <f t="array" aca="1" ref="I92" ca="1">INDEX(rua_cod!$B:$B,Users!V92)</f>
        <v>Leiria</v>
      </c>
      <c r="J92" t="s">
        <v>3728</v>
      </c>
      <c r="K92" t="s">
        <v>225</v>
      </c>
      <c r="L92" t="s">
        <v>265</v>
      </c>
      <c r="M92" t="str">
        <f t="shared" ca="1" si="11"/>
        <v>15920959</v>
      </c>
      <c r="N92" t="str">
        <f t="shared" ca="1" si="12"/>
        <v>181312205</v>
      </c>
      <c r="O92" t="str">
        <f t="shared" ca="1" si="12"/>
        <v>147455009</v>
      </c>
      <c r="P92" t="str" cm="1">
        <f t="array" aca="1" ref="P92" ca="1">9 &amp; INDEX($AF$3:$AF$6,W92)&amp; TEXT(RANDBETWEEN(0,9999999),"0000000")</f>
        <v>938812413</v>
      </c>
      <c r="Q92" t="str" cm="1">
        <f t="array" aca="1" ref="Q92" ca="1">LOWER(B92) &amp; INDEX($AF$9:$AF$11,X92)</f>
        <v>migria2410@gmail.com</v>
      </c>
      <c r="R92" t="str">
        <f t="shared" ca="1" si="13"/>
        <v>migria2410.jpg</v>
      </c>
      <c r="T92" s="4"/>
      <c r="V92">
        <f ca="1">RANDBETWEEN(2,COUNTA(rua_cod!A:A))</f>
        <v>34</v>
      </c>
      <c r="W92">
        <f t="shared" ca="1" si="14"/>
        <v>3</v>
      </c>
      <c r="X92">
        <f t="shared" ca="1" si="15"/>
        <v>2</v>
      </c>
      <c r="Y92">
        <f t="shared" ca="1" si="16"/>
        <v>1983</v>
      </c>
      <c r="Z92">
        <f t="shared" ca="1" si="17"/>
        <v>6</v>
      </c>
      <c r="AA92">
        <f t="shared" ca="1" si="18"/>
        <v>31</v>
      </c>
      <c r="AB92">
        <f t="shared" ca="1" si="19"/>
        <v>37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danbra3000</v>
      </c>
      <c r="C93" t="str">
        <f t="shared" ca="1" si="10"/>
        <v>pswdanbra3000</v>
      </c>
      <c r="D93" t="str">
        <f ca="1">Nomes!T94</f>
        <v>Daniela Marco Amorim Garcia</v>
      </c>
      <c r="E93" t="str">
        <f>Nomes!S94</f>
        <v>Feminino</v>
      </c>
      <c r="F93" s="2">
        <v>33682</v>
      </c>
      <c r="G93" t="str" cm="1">
        <f t="array" aca="1" ref="G93" ca="1">INDEX(rua_cod!$F:$F,RANDBETWEEN(2,COUNTA(rua_cod!F:F)))</f>
        <v>Rua da Oliveira ao Carmo</v>
      </c>
      <c r="H93" t="str" cm="1">
        <f t="array" aca="1" ref="H93" ca="1">INDEX(rua_cod!$A:$A,Users!V93) &amp; "-" &amp; TEXT(RANDBETWEEN(0,999),"000")</f>
        <v>3000-759</v>
      </c>
      <c r="I93" t="str" cm="1">
        <f t="array" aca="1" ref="I93" ca="1">INDEX(rua_cod!$B:$B,Users!V93)</f>
        <v>Coimbra</v>
      </c>
      <c r="J93" t="s">
        <v>3728</v>
      </c>
      <c r="K93" t="s">
        <v>225</v>
      </c>
      <c r="L93" t="s">
        <v>265</v>
      </c>
      <c r="M93" t="str">
        <f t="shared" ca="1" si="11"/>
        <v>64603662</v>
      </c>
      <c r="N93" t="str">
        <f t="shared" ca="1" si="12"/>
        <v>257519965</v>
      </c>
      <c r="O93" t="str">
        <f t="shared" ca="1" si="12"/>
        <v>173652664</v>
      </c>
      <c r="P93" t="str" cm="1">
        <f t="array" aca="1" ref="P93" ca="1">9 &amp; INDEX($AF$3:$AF$6,W93)&amp; TEXT(RANDBETWEEN(0,9999999),"0000000")</f>
        <v>968979070</v>
      </c>
      <c r="Q93" t="str" cm="1">
        <f t="array" aca="1" ref="Q93" ca="1">LOWER(B93) &amp; INDEX($AF$9:$AF$11,X93)</f>
        <v>danbra3000@gmail.com</v>
      </c>
      <c r="R93" t="str">
        <f t="shared" ca="1" si="13"/>
        <v>danbra3000.jpg</v>
      </c>
      <c r="T93" s="4"/>
      <c r="V93">
        <f ca="1">RANDBETWEEN(2,COUNTA(rua_cod!A:A))</f>
        <v>26</v>
      </c>
      <c r="W93">
        <f t="shared" ca="1" si="14"/>
        <v>4</v>
      </c>
      <c r="X93">
        <f t="shared" ca="1" si="15"/>
        <v>2</v>
      </c>
      <c r="Y93">
        <f t="shared" ca="1" si="16"/>
        <v>1958</v>
      </c>
      <c r="Z93">
        <f t="shared" ca="1" si="17"/>
        <v>4</v>
      </c>
      <c r="AA93">
        <f t="shared" ca="1" si="18"/>
        <v>29</v>
      </c>
      <c r="AB93">
        <f t="shared" ca="1" si="19"/>
        <v>62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aforia2420</v>
      </c>
      <c r="C94" t="str">
        <f t="shared" ca="1" si="10"/>
        <v>pswaforia2420</v>
      </c>
      <c r="D94" t="str">
        <f ca="1">Nomes!T95</f>
        <v>Afonso Luís Cruz Branco</v>
      </c>
      <c r="E94" t="str">
        <f>Nomes!S95</f>
        <v>Masculino</v>
      </c>
      <c r="F94" s="2">
        <v>19081</v>
      </c>
      <c r="G94" t="str" cm="1">
        <f t="array" aca="1" ref="G94" ca="1">INDEX(rua_cod!$F:$F,RANDBETWEEN(2,COUNTA(rua_cod!F:F)))</f>
        <v>Rua Cidade de Bolama</v>
      </c>
      <c r="H94" t="str" cm="1">
        <f t="array" aca="1" ref="H94" ca="1">INDEX(rua_cod!$A:$A,Users!V94) &amp; "-" &amp; TEXT(RANDBETWEEN(0,999),"000")</f>
        <v>2420-226</v>
      </c>
      <c r="I94" t="str" cm="1">
        <f t="array" aca="1" ref="I94" ca="1">INDEX(rua_cod!$B:$B,Users!V94)</f>
        <v>Leiria</v>
      </c>
      <c r="J94" t="s">
        <v>3728</v>
      </c>
      <c r="K94" t="s">
        <v>225</v>
      </c>
      <c r="L94" t="s">
        <v>265</v>
      </c>
      <c r="M94" t="str">
        <f t="shared" ca="1" si="11"/>
        <v>84297000</v>
      </c>
      <c r="N94" t="str">
        <f t="shared" ca="1" si="12"/>
        <v>612873206</v>
      </c>
      <c r="O94" t="str">
        <f t="shared" ca="1" si="12"/>
        <v>326151521</v>
      </c>
      <c r="P94" t="str" cm="1">
        <f t="array" aca="1" ref="P94" ca="1">9 &amp; INDEX($AF$3:$AF$6,W94)&amp; TEXT(RANDBETWEEN(0,9999999),"0000000")</f>
        <v>927973260</v>
      </c>
      <c r="Q94" t="str" cm="1">
        <f t="array" aca="1" ref="Q94" ca="1">LOWER(B94) &amp; INDEX($AF$9:$AF$11,X94)</f>
        <v>aforia2420@outlook.com</v>
      </c>
      <c r="R94" t="str">
        <f t="shared" ca="1" si="13"/>
        <v>aforia2420.jpg</v>
      </c>
      <c r="T94" s="4"/>
      <c r="V94">
        <f ca="1">RANDBETWEEN(2,COUNTA(rua_cod!A:A))</f>
        <v>33</v>
      </c>
      <c r="W94">
        <f t="shared" ca="1" si="14"/>
        <v>2</v>
      </c>
      <c r="X94">
        <f t="shared" ca="1" si="15"/>
        <v>1</v>
      </c>
      <c r="Y94">
        <f t="shared" ca="1" si="16"/>
        <v>1987</v>
      </c>
      <c r="Z94">
        <f t="shared" ca="1" si="17"/>
        <v>9</v>
      </c>
      <c r="AA94">
        <f t="shared" ca="1" si="18"/>
        <v>2</v>
      </c>
      <c r="AB94">
        <f t="shared" ca="1" si="19"/>
        <v>33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dioria2415</v>
      </c>
      <c r="C95" t="str">
        <f t="shared" ca="1" si="10"/>
        <v>pswdioria2415</v>
      </c>
      <c r="D95" t="str">
        <f ca="1">Nomes!T96</f>
        <v>Diogo Gabriel Fonseca Pires</v>
      </c>
      <c r="E95" t="str">
        <f>Nomes!S96</f>
        <v>Masculino</v>
      </c>
      <c r="F95" s="2">
        <v>28822</v>
      </c>
      <c r="G95" t="str" cm="1">
        <f t="array" aca="1" ref="G95" ca="1">INDEX(rua_cod!$F:$F,RANDBETWEEN(2,COUNTA(rua_cod!F:F)))</f>
        <v>Estrada das Laranjeiras</v>
      </c>
      <c r="H95" t="str" cm="1">
        <f t="array" aca="1" ref="H95" ca="1">INDEX(rua_cod!$A:$A,Users!V95) &amp; "-" &amp; TEXT(RANDBETWEEN(0,999),"000")</f>
        <v>2415-295</v>
      </c>
      <c r="I95" t="str" cm="1">
        <f t="array" aca="1" ref="I95" ca="1">INDEX(rua_cod!$B:$B,Users!V95)</f>
        <v>Leiria</v>
      </c>
      <c r="J95" t="s">
        <v>3728</v>
      </c>
      <c r="K95" t="s">
        <v>225</v>
      </c>
      <c r="L95" t="s">
        <v>265</v>
      </c>
      <c r="M95" t="str">
        <f t="shared" ca="1" si="11"/>
        <v>90595433</v>
      </c>
      <c r="N95" t="str">
        <f t="shared" ca="1" si="12"/>
        <v>301808590</v>
      </c>
      <c r="O95" t="str">
        <f t="shared" ca="1" si="12"/>
        <v>870740707</v>
      </c>
      <c r="P95" t="str" cm="1">
        <f t="array" aca="1" ref="P95" ca="1">9 &amp; INDEX($AF$3:$AF$6,W95)&amp; TEXT(RANDBETWEEN(0,9999999),"0000000")</f>
        <v>961261923</v>
      </c>
      <c r="Q95" t="str" cm="1">
        <f t="array" aca="1" ref="Q95" ca="1">LOWER(B95) &amp; INDEX($AF$9:$AF$11,X95)</f>
        <v>dioria2415@gmail.com</v>
      </c>
      <c r="R95" t="str">
        <f t="shared" ca="1" si="13"/>
        <v>dioria2415.jpg</v>
      </c>
      <c r="T95" s="4"/>
      <c r="V95">
        <f ca="1">RANDBETWEEN(2,COUNTA(rua_cod!A:A))</f>
        <v>35</v>
      </c>
      <c r="W95">
        <f t="shared" ca="1" si="14"/>
        <v>4</v>
      </c>
      <c r="X95">
        <f t="shared" ca="1" si="15"/>
        <v>2</v>
      </c>
      <c r="Y95">
        <f t="shared" ca="1" si="16"/>
        <v>1978</v>
      </c>
      <c r="Z95">
        <f t="shared" ca="1" si="17"/>
        <v>6</v>
      </c>
      <c r="AA95">
        <f t="shared" ca="1" si="18"/>
        <v>8</v>
      </c>
      <c r="AB95">
        <f t="shared" ca="1" si="19"/>
        <v>42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tomboa1199</v>
      </c>
      <c r="C96" t="str">
        <f t="shared" ca="1" si="10"/>
        <v>pswtomboa1199</v>
      </c>
      <c r="D96" t="str">
        <f ca="1">Nomes!T97</f>
        <v>Tomás Francisca Borges Torres</v>
      </c>
      <c r="E96" t="str">
        <f>Nomes!S97</f>
        <v>Masculino</v>
      </c>
      <c r="F96" s="2">
        <v>23243</v>
      </c>
      <c r="G96" t="str" cm="1">
        <f t="array" aca="1" ref="G96" ca="1">INDEX(rua_cod!$F:$F,RANDBETWEEN(2,COUNTA(rua_cod!F:F)))</f>
        <v>Calçada do Moinho de Vento</v>
      </c>
      <c r="H96" t="str" cm="1">
        <f t="array" aca="1" ref="H96" ca="1">INDEX(rua_cod!$A:$A,Users!V96) &amp; "-" &amp; TEXT(RANDBETWEEN(0,999),"000")</f>
        <v>1199-226</v>
      </c>
      <c r="I96" t="str" cm="1">
        <f t="array" aca="1" ref="I96" ca="1">INDEX(rua_cod!$B:$B,Users!V96)</f>
        <v>Lisboa</v>
      </c>
      <c r="J96" t="s">
        <v>3728</v>
      </c>
      <c r="K96" t="s">
        <v>225</v>
      </c>
      <c r="L96" t="s">
        <v>265</v>
      </c>
      <c r="M96" t="str">
        <f t="shared" ca="1" si="11"/>
        <v>87518439</v>
      </c>
      <c r="N96" t="str">
        <f t="shared" ca="1" si="12"/>
        <v>189949988</v>
      </c>
      <c r="O96" t="str">
        <f t="shared" ca="1" si="12"/>
        <v>985477087</v>
      </c>
      <c r="P96" t="str" cm="1">
        <f t="array" aca="1" ref="P96" ca="1">9 &amp; INDEX($AF$3:$AF$6,W96)&amp; TEXT(RANDBETWEEN(0,9999999),"0000000")</f>
        <v>922270061</v>
      </c>
      <c r="Q96" t="str" cm="1">
        <f t="array" aca="1" ref="Q96" ca="1">LOWER(B96) &amp; INDEX($AF$9:$AF$11,X96)</f>
        <v>tomboa1199@gmail.com</v>
      </c>
      <c r="R96" t="str">
        <f t="shared" ca="1" si="13"/>
        <v>tomboa1199.jpg</v>
      </c>
      <c r="T96" s="4"/>
      <c r="V96">
        <f ca="1">RANDBETWEEN(2,COUNTA(rua_cod!A:A))</f>
        <v>65</v>
      </c>
      <c r="W96">
        <f t="shared" ca="1" si="14"/>
        <v>2</v>
      </c>
      <c r="X96">
        <f t="shared" ca="1" si="15"/>
        <v>2</v>
      </c>
      <c r="Y96">
        <f t="shared" ca="1" si="16"/>
        <v>1936</v>
      </c>
      <c r="Z96">
        <f t="shared" ca="1" si="17"/>
        <v>10</v>
      </c>
      <c r="AA96">
        <f t="shared" ca="1" si="18"/>
        <v>13</v>
      </c>
      <c r="AB96">
        <f t="shared" ca="1" si="19"/>
        <v>84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ricboa1249</v>
      </c>
      <c r="C97" t="str">
        <f t="shared" ca="1" si="10"/>
        <v>pswricboa1249</v>
      </c>
      <c r="D97" t="str">
        <f ca="1">Nomes!T98</f>
        <v>Ricardo Carolina Soares Baptista</v>
      </c>
      <c r="E97" t="str">
        <f>Nomes!S98</f>
        <v>Masculino</v>
      </c>
      <c r="F97" s="2">
        <v>18576</v>
      </c>
      <c r="G97" t="str" cm="1">
        <f t="array" aca="1" ref="G97" ca="1">INDEX(rua_cod!$F:$F,RANDBETWEEN(2,COUNTA(rua_cod!F:F)))</f>
        <v>Estrada das Laranjeiras</v>
      </c>
      <c r="H97" t="str" cm="1">
        <f t="array" aca="1" ref="H97" ca="1">INDEX(rua_cod!$A:$A,Users!V97) &amp; "-" &amp; TEXT(RANDBETWEEN(0,999),"000")</f>
        <v>1249-016</v>
      </c>
      <c r="I97" t="str" cm="1">
        <f t="array" aca="1" ref="I97" ca="1">INDEX(rua_cod!$B:$B,Users!V97)</f>
        <v>Lisboa</v>
      </c>
      <c r="J97" t="s">
        <v>3728</v>
      </c>
      <c r="K97" t="s">
        <v>225</v>
      </c>
      <c r="L97" t="s">
        <v>265</v>
      </c>
      <c r="M97" t="str">
        <f t="shared" ca="1" si="11"/>
        <v>56939053</v>
      </c>
      <c r="N97" t="str">
        <f t="shared" ca="1" si="12"/>
        <v>536438277</v>
      </c>
      <c r="O97" t="str">
        <f t="shared" ca="1" si="12"/>
        <v>519779793</v>
      </c>
      <c r="P97" t="str" cm="1">
        <f t="array" aca="1" ref="P97" ca="1">9 &amp; INDEX($AF$3:$AF$6,W97)&amp; TEXT(RANDBETWEEN(0,9999999),"0000000")</f>
        <v>961162519</v>
      </c>
      <c r="Q97" t="str" cm="1">
        <f t="array" aca="1" ref="Q97" ca="1">LOWER(B97) &amp; INDEX($AF$9:$AF$11,X97)</f>
        <v>ricboa1249@gmail.com</v>
      </c>
      <c r="R97" t="str">
        <f t="shared" ca="1" si="13"/>
        <v>ricboa1249.jpg</v>
      </c>
      <c r="T97" s="4"/>
      <c r="V97">
        <f ca="1">RANDBETWEEN(2,COUNTA(rua_cod!A:A))</f>
        <v>63</v>
      </c>
      <c r="W97">
        <f t="shared" ca="1" si="14"/>
        <v>4</v>
      </c>
      <c r="X97">
        <f t="shared" ca="1" si="15"/>
        <v>2</v>
      </c>
      <c r="Y97">
        <f t="shared" ca="1" si="16"/>
        <v>2018</v>
      </c>
      <c r="Z97">
        <f t="shared" ca="1" si="17"/>
        <v>5</v>
      </c>
      <c r="AA97">
        <f t="shared" ca="1" si="18"/>
        <v>30</v>
      </c>
      <c r="AB97">
        <f t="shared" ca="1" si="19"/>
        <v>2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marbal2900</v>
      </c>
      <c r="C98" t="str">
        <f t="shared" ca="1" si="10"/>
        <v>pswmarbal2900</v>
      </c>
      <c r="D98" t="str">
        <f ca="1">Nomes!T99</f>
        <v>Maria Martim Fernandes Tavares</v>
      </c>
      <c r="E98" t="str">
        <f>Nomes!S99</f>
        <v>Feminino</v>
      </c>
      <c r="F98" s="2">
        <v>36577</v>
      </c>
      <c r="G98" t="str" cm="1">
        <f t="array" aca="1" ref="G98" ca="1">INDEX(rua_cod!$F:$F,RANDBETWEEN(2,COUNTA(rua_cod!F:F)))</f>
        <v>Rua do Arsenal</v>
      </c>
      <c r="H98" t="str" cm="1">
        <f t="array" aca="1" ref="H98" ca="1">INDEX(rua_cod!$A:$A,Users!V98) &amp; "-" &amp; TEXT(RANDBETWEEN(0,999),"000")</f>
        <v>2900-341</v>
      </c>
      <c r="I98" t="str" cm="1">
        <f t="array" aca="1" ref="I98" ca="1">INDEX(rua_cod!$B:$B,Users!V98)</f>
        <v>Setúbal</v>
      </c>
      <c r="J98" t="s">
        <v>3728</v>
      </c>
      <c r="K98" t="s">
        <v>225</v>
      </c>
      <c r="L98" t="s">
        <v>265</v>
      </c>
      <c r="M98" t="str">
        <f t="shared" ca="1" si="11"/>
        <v>31295065</v>
      </c>
      <c r="N98" t="str">
        <f t="shared" ca="1" si="12"/>
        <v>870499187</v>
      </c>
      <c r="O98" t="str">
        <f t="shared" ca="1" si="12"/>
        <v>241105848</v>
      </c>
      <c r="P98" t="str" cm="1">
        <f t="array" aca="1" ref="P98" ca="1">9 &amp; INDEX($AF$3:$AF$6,W98)&amp; TEXT(RANDBETWEEN(0,9999999),"0000000")</f>
        <v>917522599</v>
      </c>
      <c r="Q98" t="str" cm="1">
        <f t="array" aca="1" ref="Q98" ca="1">LOWER(B98) &amp; INDEX($AF$9:$AF$11,X98)</f>
        <v>marbal2900@gmail.com</v>
      </c>
      <c r="R98" t="str">
        <f t="shared" ca="1" si="13"/>
        <v>marbal2900.jpg</v>
      </c>
      <c r="T98" s="4"/>
      <c r="V98">
        <f ca="1">RANDBETWEEN(2,COUNTA(rua_cod!A:A))</f>
        <v>96</v>
      </c>
      <c r="W98">
        <f t="shared" ca="1" si="14"/>
        <v>1</v>
      </c>
      <c r="X98">
        <f t="shared" ca="1" si="15"/>
        <v>2</v>
      </c>
      <c r="Y98">
        <f t="shared" ca="1" si="16"/>
        <v>1973</v>
      </c>
      <c r="Z98">
        <f t="shared" ca="1" si="17"/>
        <v>10</v>
      </c>
      <c r="AA98">
        <f t="shared" ca="1" si="18"/>
        <v>11</v>
      </c>
      <c r="AB98">
        <f t="shared" ca="1" si="19"/>
        <v>47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migboa1449</v>
      </c>
      <c r="C99" t="str">
        <f t="shared" ca="1" si="10"/>
        <v>pswmigboa1449</v>
      </c>
      <c r="D99" t="str">
        <f ca="1">Nomes!T100</f>
        <v>Miguel Santiago Miranda Torres</v>
      </c>
      <c r="E99" t="str">
        <f>Nomes!S100</f>
        <v>Masculino</v>
      </c>
      <c r="F99" s="2">
        <v>18365</v>
      </c>
      <c r="G99" t="str" cm="1">
        <f t="array" aca="1" ref="G99" ca="1">INDEX(rua_cod!$F:$F,RANDBETWEEN(2,COUNTA(rua_cod!F:F)))</f>
        <v>Rua do Arsenal</v>
      </c>
      <c r="H99" t="str" cm="1">
        <f t="array" aca="1" ref="H99" ca="1">INDEX(rua_cod!$A:$A,Users!V99) &amp; "-" &amp; TEXT(RANDBETWEEN(0,999),"000")</f>
        <v>1449-586</v>
      </c>
      <c r="I99" t="str" cm="1">
        <f t="array" aca="1" ref="I99" ca="1">INDEX(rua_cod!$B:$B,Users!V99)</f>
        <v>Lisboa</v>
      </c>
      <c r="J99" t="s">
        <v>3728</v>
      </c>
      <c r="K99" t="s">
        <v>225</v>
      </c>
      <c r="L99" t="s">
        <v>265</v>
      </c>
      <c r="M99" t="str">
        <f t="shared" ca="1" si="11"/>
        <v>15610020</v>
      </c>
      <c r="N99" t="str">
        <f t="shared" ca="1" si="12"/>
        <v>918914380</v>
      </c>
      <c r="O99" t="str">
        <f t="shared" ca="1" si="12"/>
        <v>658778127</v>
      </c>
      <c r="P99" t="str" cm="1">
        <f t="array" aca="1" ref="P99" ca="1">9 &amp; INDEX($AF$3:$AF$6,W99)&amp; TEXT(RANDBETWEEN(0,9999999),"0000000")</f>
        <v>969034464</v>
      </c>
      <c r="Q99" t="str" cm="1">
        <f t="array" aca="1" ref="Q99" ca="1">LOWER(B99) &amp; INDEX($AF$9:$AF$11,X99)</f>
        <v>migboa1449@sapo.pt</v>
      </c>
      <c r="R99" t="str">
        <f t="shared" ca="1" si="13"/>
        <v>migboa1449.jpg</v>
      </c>
      <c r="T99" s="4"/>
      <c r="V99">
        <f ca="1">RANDBETWEEN(2,COUNTA(rua_cod!A:A))</f>
        <v>73</v>
      </c>
      <c r="W99">
        <f t="shared" ca="1" si="14"/>
        <v>4</v>
      </c>
      <c r="X99">
        <f t="shared" ca="1" si="15"/>
        <v>3</v>
      </c>
      <c r="Y99">
        <f t="shared" ca="1" si="16"/>
        <v>1990</v>
      </c>
      <c r="Z99">
        <f t="shared" ca="1" si="17"/>
        <v>11</v>
      </c>
      <c r="AA99">
        <f t="shared" ca="1" si="18"/>
        <v>17</v>
      </c>
      <c r="AB99">
        <f t="shared" ca="1" si="19"/>
        <v>30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andluz2745</v>
      </c>
      <c r="C100" t="str">
        <f t="shared" ca="1" si="10"/>
        <v>pswandluz2745</v>
      </c>
      <c r="D100" t="str">
        <f ca="1">Nomes!T101</f>
        <v>André Rodrigo Moura Andrade</v>
      </c>
      <c r="E100" t="str">
        <f>Nomes!S101</f>
        <v>Masculino</v>
      </c>
      <c r="F100" s="2">
        <v>31062</v>
      </c>
      <c r="G100" t="str" cm="1">
        <f t="array" aca="1" ref="G100" ca="1">INDEX(rua_cod!$F:$F,RANDBETWEEN(2,COUNTA(rua_cod!F:F)))</f>
        <v>Rua do Sol a Santana</v>
      </c>
      <c r="H100" t="str" cm="1">
        <f t="array" aca="1" ref="H100" ca="1">INDEX(rua_cod!$A:$A,Users!V100) &amp; "-" &amp; TEXT(RANDBETWEEN(0,999),"000")</f>
        <v>2745-948</v>
      </c>
      <c r="I100" t="str" cm="1">
        <f t="array" aca="1" ref="I100" ca="1">INDEX(rua_cod!$B:$B,Users!V100)</f>
        <v>Queluz</v>
      </c>
      <c r="J100" t="s">
        <v>3728</v>
      </c>
      <c r="K100" t="s">
        <v>225</v>
      </c>
      <c r="L100" t="s">
        <v>265</v>
      </c>
      <c r="M100" t="str">
        <f t="shared" ca="1" si="11"/>
        <v>94904112</v>
      </c>
      <c r="N100" t="str">
        <f t="shared" ca="1" si="12"/>
        <v>636033899</v>
      </c>
      <c r="O100" t="str">
        <f t="shared" ca="1" si="12"/>
        <v>159765554</v>
      </c>
      <c r="P100" t="str" cm="1">
        <f t="array" aca="1" ref="P100" ca="1">9 &amp; INDEX($AF$3:$AF$6,W100)&amp; TEXT(RANDBETWEEN(0,9999999),"0000000")</f>
        <v>912707248</v>
      </c>
      <c r="Q100" t="str" cm="1">
        <f t="array" aca="1" ref="Q100" ca="1">LOWER(B100) &amp; INDEX($AF$9:$AF$11,X100)</f>
        <v>andluz2745@sapo.pt</v>
      </c>
      <c r="R100" t="str">
        <f t="shared" ca="1" si="13"/>
        <v>andluz2745.jpg</v>
      </c>
      <c r="T100" s="4"/>
      <c r="V100">
        <f ca="1">RANDBETWEEN(2,COUNTA(rua_cod!A:A))</f>
        <v>90</v>
      </c>
      <c r="W100">
        <f t="shared" ca="1" si="14"/>
        <v>1</v>
      </c>
      <c r="X100">
        <f t="shared" ca="1" si="15"/>
        <v>3</v>
      </c>
      <c r="Y100">
        <f t="shared" ca="1" si="16"/>
        <v>1960</v>
      </c>
      <c r="Z100">
        <f t="shared" ca="1" si="17"/>
        <v>1</v>
      </c>
      <c r="AA100">
        <f t="shared" ca="1" si="18"/>
        <v>14</v>
      </c>
      <c r="AB100">
        <f t="shared" ca="1" si="19"/>
        <v>60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duabal2914</v>
      </c>
      <c r="C101" t="str">
        <f t="shared" ca="1" si="10"/>
        <v>pswduabal2914</v>
      </c>
      <c r="D101" t="str">
        <f ca="1">Nomes!T102</f>
        <v>Duarte Duarte Assunção Branco</v>
      </c>
      <c r="E101" t="str">
        <f>Nomes!S102</f>
        <v>Masculino</v>
      </c>
      <c r="F101" s="2">
        <v>37490</v>
      </c>
      <c r="G101" t="str" cm="1">
        <f t="array" aca="1" ref="G101" ca="1">INDEX(rua_cod!$F:$F,RANDBETWEEN(2,COUNTA(rua_cod!F:F)))</f>
        <v>Rua Augusta</v>
      </c>
      <c r="H101" t="str" cm="1">
        <f t="array" aca="1" ref="H101" ca="1">INDEX(rua_cod!$A:$A,Users!V101) &amp; "-" &amp; TEXT(RANDBETWEEN(0,999),"000")</f>
        <v>2914-026</v>
      </c>
      <c r="I101" t="str" cm="1">
        <f t="array" aca="1" ref="I101" ca="1">INDEX(rua_cod!$B:$B,Users!V101)</f>
        <v>Setúbal</v>
      </c>
      <c r="J101" t="s">
        <v>3728</v>
      </c>
      <c r="K101" t="s">
        <v>225</v>
      </c>
      <c r="L101" t="s">
        <v>265</v>
      </c>
      <c r="M101" t="str">
        <f t="shared" ca="1" si="11"/>
        <v>35807000</v>
      </c>
      <c r="N101" t="str">
        <f t="shared" ca="1" si="12"/>
        <v>153221416</v>
      </c>
      <c r="O101" t="str">
        <f t="shared" ca="1" si="12"/>
        <v>791211203</v>
      </c>
      <c r="P101" t="str" cm="1">
        <f t="array" aca="1" ref="P101" ca="1">9 &amp; INDEX($AF$3:$AF$6,W101)&amp; TEXT(RANDBETWEEN(0,9999999),"0000000")</f>
        <v>926586978</v>
      </c>
      <c r="Q101" t="str" cm="1">
        <f t="array" aca="1" ref="Q101" ca="1">LOWER(B101) &amp; INDEX($AF$9:$AF$11,X101)</f>
        <v>duabal2914@gmail.com</v>
      </c>
      <c r="R101" t="str">
        <f t="shared" ca="1" si="13"/>
        <v>duabal2914.jpg</v>
      </c>
      <c r="T101" s="4"/>
      <c r="V101">
        <f ca="1">RANDBETWEEN(2,COUNTA(rua_cod!A:A))</f>
        <v>98</v>
      </c>
      <c r="W101">
        <f t="shared" ca="1" si="14"/>
        <v>2</v>
      </c>
      <c r="X101">
        <f t="shared" ca="1" si="15"/>
        <v>2</v>
      </c>
      <c r="Y101">
        <f t="shared" ca="1" si="16"/>
        <v>1955</v>
      </c>
      <c r="Z101">
        <f t="shared" ca="1" si="17"/>
        <v>4</v>
      </c>
      <c r="AA101">
        <f t="shared" ca="1" si="18"/>
        <v>15</v>
      </c>
      <c r="AB101">
        <f t="shared" ca="1" si="19"/>
        <v>65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josboa1748</v>
      </c>
      <c r="C102" t="str">
        <f t="shared" ca="1" si="10"/>
        <v>pswjosboa1748</v>
      </c>
      <c r="D102" t="str">
        <f ca="1">Nomes!T103</f>
        <v>José Tomás Vaz Matias</v>
      </c>
      <c r="E102" t="str">
        <f>Nomes!S103</f>
        <v>Masculino</v>
      </c>
      <c r="F102" s="2">
        <v>23523</v>
      </c>
      <c r="G102" t="str" cm="1">
        <f t="array" aca="1" ref="G102" ca="1">INDEX(rua_cod!$F:$F,RANDBETWEEN(2,COUNTA(rua_cod!F:F)))</f>
        <v>Rua da Junqueira</v>
      </c>
      <c r="H102" t="str" cm="1">
        <f t="array" aca="1" ref="H102" ca="1">INDEX(rua_cod!$A:$A,Users!V102) &amp; "-" &amp; TEXT(RANDBETWEEN(0,999),"000")</f>
        <v>1748-257</v>
      </c>
      <c r="I102" t="str" cm="1">
        <f t="array" aca="1" ref="I102" ca="1">INDEX(rua_cod!$B:$B,Users!V102)</f>
        <v>Lisboa</v>
      </c>
      <c r="J102" t="s">
        <v>3728</v>
      </c>
      <c r="K102" t="s">
        <v>225</v>
      </c>
      <c r="L102" t="s">
        <v>265</v>
      </c>
      <c r="M102" t="str">
        <f t="shared" ca="1" si="11"/>
        <v>50807595</v>
      </c>
      <c r="N102" t="str">
        <f t="shared" ca="1" si="12"/>
        <v>680672003</v>
      </c>
      <c r="O102" t="str">
        <f t="shared" ca="1" si="12"/>
        <v>370142524</v>
      </c>
      <c r="P102" t="str" cm="1">
        <f t="array" aca="1" ref="P102" ca="1">9 &amp; INDEX($AF$3:$AF$6,W102)&amp; TEXT(RANDBETWEEN(0,9999999),"0000000")</f>
        <v>967757046</v>
      </c>
      <c r="Q102" t="str" cm="1">
        <f t="array" aca="1" ref="Q102" ca="1">LOWER(B102) &amp; INDEX($AF$9:$AF$11,X102)</f>
        <v>josboa1748@outlook.com</v>
      </c>
      <c r="R102" t="str">
        <f t="shared" ca="1" si="13"/>
        <v>josboa1748.jpg</v>
      </c>
      <c r="T102" s="4"/>
      <c r="V102">
        <f ca="1">RANDBETWEEN(2,COUNTA(rua_cod!A:A))</f>
        <v>77</v>
      </c>
      <c r="W102">
        <f t="shared" ca="1" si="14"/>
        <v>4</v>
      </c>
      <c r="X102">
        <f t="shared" ca="1" si="15"/>
        <v>1</v>
      </c>
      <c r="Y102">
        <f t="shared" ca="1" si="16"/>
        <v>1992</v>
      </c>
      <c r="Z102">
        <f t="shared" ca="1" si="17"/>
        <v>11</v>
      </c>
      <c r="AA102">
        <f t="shared" ca="1" si="18"/>
        <v>13</v>
      </c>
      <c r="AB102">
        <f t="shared" ca="1" si="19"/>
        <v>28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rodboa1067</v>
      </c>
      <c r="C103" t="str">
        <f t="shared" ca="1" si="10"/>
        <v>pswrodboa1067</v>
      </c>
      <c r="D103" t="str">
        <f ca="1">Nomes!T104</f>
        <v>Rodrigo Inês Batista Abreu</v>
      </c>
      <c r="E103" t="str">
        <f>Nomes!S104</f>
        <v>Masculino</v>
      </c>
      <c r="F103" s="2">
        <v>43571</v>
      </c>
      <c r="G103" t="str" cm="1">
        <f t="array" aca="1" ref="G103" ca="1">INDEX(rua_cod!$F:$F,RANDBETWEEN(2,COUNTA(rua_cod!F:F)))</f>
        <v>Rua do Salitre</v>
      </c>
      <c r="H103" t="str" cm="1">
        <f t="array" aca="1" ref="H103" ca="1">INDEX(rua_cod!$A:$A,Users!V103) &amp; "-" &amp; TEXT(RANDBETWEEN(0,999),"000")</f>
        <v>1067-808</v>
      </c>
      <c r="I103" t="str" cm="1">
        <f t="array" aca="1" ref="I103" ca="1">INDEX(rua_cod!$B:$B,Users!V103)</f>
        <v>Lisboa</v>
      </c>
      <c r="J103" t="s">
        <v>3728</v>
      </c>
      <c r="K103" t="s">
        <v>225</v>
      </c>
      <c r="L103" t="s">
        <v>265</v>
      </c>
      <c r="M103" t="str">
        <f t="shared" ca="1" si="11"/>
        <v>29984867</v>
      </c>
      <c r="N103" t="str">
        <f t="shared" ca="1" si="12"/>
        <v>692510630</v>
      </c>
      <c r="O103" t="str">
        <f t="shared" ca="1" si="12"/>
        <v>488166451</v>
      </c>
      <c r="P103" t="str" cm="1">
        <f t="array" aca="1" ref="P103" ca="1">9 &amp; INDEX($AF$3:$AF$6,W103)&amp; TEXT(RANDBETWEEN(0,9999999),"0000000")</f>
        <v>923951481</v>
      </c>
      <c r="Q103" t="str" cm="1">
        <f t="array" aca="1" ref="Q103" ca="1">LOWER(B103) &amp; INDEX($AF$9:$AF$11,X103)</f>
        <v>rodboa1067@gmail.com</v>
      </c>
      <c r="R103" t="str">
        <f t="shared" ca="1" si="13"/>
        <v>rodboa1067.jpg</v>
      </c>
      <c r="T103" s="4"/>
      <c r="V103">
        <f ca="1">RANDBETWEEN(2,COUNTA(rua_cod!A:A))</f>
        <v>82</v>
      </c>
      <c r="W103">
        <f t="shared" ca="1" si="14"/>
        <v>2</v>
      </c>
      <c r="X103">
        <f t="shared" ca="1" si="15"/>
        <v>2</v>
      </c>
      <c r="Y103">
        <f t="shared" ca="1" si="16"/>
        <v>1935</v>
      </c>
      <c r="Z103">
        <f t="shared" ca="1" si="17"/>
        <v>10</v>
      </c>
      <c r="AA103">
        <f t="shared" ca="1" si="18"/>
        <v>19</v>
      </c>
      <c r="AB103">
        <f t="shared" ca="1" si="19"/>
        <v>85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danboa1170</v>
      </c>
      <c r="C104" t="str">
        <f t="shared" ca="1" si="10"/>
        <v>pswdanboa1170</v>
      </c>
      <c r="D104" t="str">
        <f ca="1">Nomes!T105</f>
        <v>Daniela Tiago Rocha Figueiredo</v>
      </c>
      <c r="E104" t="str">
        <f>Nomes!S105</f>
        <v>Feminino</v>
      </c>
      <c r="F104" s="2">
        <v>35936</v>
      </c>
      <c r="G104" t="str" cm="1">
        <f t="array" aca="1" ref="G104" ca="1">INDEX(rua_cod!$F:$F,RANDBETWEEN(2,COUNTA(rua_cod!F:F)))</f>
        <v>Rua dos Bacalhoeiros</v>
      </c>
      <c r="H104" t="str" cm="1">
        <f t="array" aca="1" ref="H104" ca="1">INDEX(rua_cod!$A:$A,Users!V104) &amp; "-" &amp; TEXT(RANDBETWEEN(0,999),"000")</f>
        <v>1170-499</v>
      </c>
      <c r="I104" t="str" cm="1">
        <f t="array" aca="1" ref="I104" ca="1">INDEX(rua_cod!$B:$B,Users!V104)</f>
        <v>Lisboa</v>
      </c>
      <c r="J104" t="s">
        <v>3728</v>
      </c>
      <c r="K104" t="s">
        <v>225</v>
      </c>
      <c r="L104" t="s">
        <v>265</v>
      </c>
      <c r="M104" t="str">
        <f t="shared" ca="1" si="11"/>
        <v>88883492</v>
      </c>
      <c r="N104" t="str">
        <f t="shared" ca="1" si="12"/>
        <v>392315926</v>
      </c>
      <c r="O104" t="str">
        <f t="shared" ca="1" si="12"/>
        <v>958707186</v>
      </c>
      <c r="P104" t="str" cm="1">
        <f t="array" aca="1" ref="P104" ca="1">9 &amp; INDEX($AF$3:$AF$6,W104)&amp; TEXT(RANDBETWEEN(0,9999999),"0000000")</f>
        <v>930778441</v>
      </c>
      <c r="Q104" t="str" cm="1">
        <f t="array" aca="1" ref="Q104" ca="1">LOWER(B104) &amp; INDEX($AF$9:$AF$11,X104)</f>
        <v>danboa1170@sapo.pt</v>
      </c>
      <c r="R104" t="str">
        <f t="shared" ca="1" si="13"/>
        <v>danboa1170.jpg</v>
      </c>
      <c r="T104" s="4"/>
      <c r="V104">
        <f ca="1">RANDBETWEEN(2,COUNTA(rua_cod!A:A))</f>
        <v>47</v>
      </c>
      <c r="W104">
        <f t="shared" ca="1" si="14"/>
        <v>3</v>
      </c>
      <c r="X104">
        <f t="shared" ca="1" si="15"/>
        <v>3</v>
      </c>
      <c r="Y104">
        <f t="shared" ca="1" si="16"/>
        <v>1985</v>
      </c>
      <c r="Z104">
        <f t="shared" ca="1" si="17"/>
        <v>11</v>
      </c>
      <c r="AA104">
        <f t="shared" ca="1" si="18"/>
        <v>9</v>
      </c>
      <c r="AB104">
        <f t="shared" ca="1" si="19"/>
        <v>35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duaora2614</v>
      </c>
      <c r="C105" t="str">
        <f t="shared" ca="1" si="10"/>
        <v>pswduaora2614</v>
      </c>
      <c r="D105" t="str">
        <f ca="1">Nomes!T106</f>
        <v>Duarte Inês Matos Anjos</v>
      </c>
      <c r="E105" t="str">
        <f>Nomes!S106</f>
        <v>Masculino</v>
      </c>
      <c r="F105" s="2">
        <v>33299</v>
      </c>
      <c r="G105" t="str" cm="1">
        <f t="array" aca="1" ref="G105" ca="1">INDEX(rua_cod!$F:$F,RANDBETWEEN(2,COUNTA(rua_cod!F:F)))</f>
        <v>Rua dos Heróis de Quionga</v>
      </c>
      <c r="H105" t="str" cm="1">
        <f t="array" aca="1" ref="H105" ca="1">INDEX(rua_cod!$A:$A,Users!V105) &amp; "-" &amp; TEXT(RANDBETWEEN(0,999),"000")</f>
        <v>2614-432</v>
      </c>
      <c r="I105" t="str" cm="1">
        <f t="array" aca="1" ref="I105" ca="1">INDEX(rua_cod!$B:$B,Users!V105)</f>
        <v>Amadora</v>
      </c>
      <c r="J105" t="s">
        <v>3728</v>
      </c>
      <c r="K105" t="s">
        <v>225</v>
      </c>
      <c r="L105" t="s">
        <v>265</v>
      </c>
      <c r="M105" t="str">
        <f t="shared" ca="1" si="11"/>
        <v>67538643</v>
      </c>
      <c r="N105" t="str">
        <f t="shared" ca="1" si="12"/>
        <v>975755043</v>
      </c>
      <c r="O105" t="str">
        <f t="shared" ca="1" si="12"/>
        <v>873411967</v>
      </c>
      <c r="P105" t="str" cm="1">
        <f t="array" aca="1" ref="P105" ca="1">9 &amp; INDEX($AF$3:$AF$6,W105)&amp; TEXT(RANDBETWEEN(0,9999999),"0000000")</f>
        <v>939176363</v>
      </c>
      <c r="Q105" t="str" cm="1">
        <f t="array" aca="1" ref="Q105" ca="1">LOWER(B105) &amp; INDEX($AF$9:$AF$11,X105)</f>
        <v>duaora2614@outlook.com</v>
      </c>
      <c r="R105" t="str">
        <f t="shared" ca="1" si="13"/>
        <v>duaora2614.jpg</v>
      </c>
      <c r="T105" s="4"/>
      <c r="V105">
        <f ca="1">RANDBETWEEN(2,COUNTA(rua_cod!A:A))</f>
        <v>11</v>
      </c>
      <c r="W105">
        <f t="shared" ca="1" si="14"/>
        <v>3</v>
      </c>
      <c r="X105">
        <f t="shared" ca="1" si="15"/>
        <v>1</v>
      </c>
      <c r="Y105">
        <f t="shared" ca="1" si="16"/>
        <v>1997</v>
      </c>
      <c r="Z105">
        <f t="shared" ca="1" si="17"/>
        <v>11</v>
      </c>
      <c r="AA105">
        <f t="shared" ca="1" si="18"/>
        <v>7</v>
      </c>
      <c r="AB105">
        <f t="shared" ca="1" si="19"/>
        <v>23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fraboa1300</v>
      </c>
      <c r="C106" t="str">
        <f t="shared" ca="1" si="10"/>
        <v>pswfraboa1300</v>
      </c>
      <c r="D106" t="str">
        <f ca="1">Nomes!T107</f>
        <v>Francisca Diana Assunção Henriques</v>
      </c>
      <c r="E106" t="str">
        <f>Nomes!S107</f>
        <v>Feminino</v>
      </c>
      <c r="F106" s="2">
        <v>12890</v>
      </c>
      <c r="G106" t="str" cm="1">
        <f t="array" aca="1" ref="G106" ca="1">INDEX(rua_cod!$F:$F,RANDBETWEEN(2,COUNTA(rua_cod!F:F)))</f>
        <v>Calçada de Carriche</v>
      </c>
      <c r="H106" t="str" cm="1">
        <f t="array" aca="1" ref="H106" ca="1">INDEX(rua_cod!$A:$A,Users!V106) &amp; "-" &amp; TEXT(RANDBETWEEN(0,999),"000")</f>
        <v>1300-073</v>
      </c>
      <c r="I106" t="str" cm="1">
        <f t="array" aca="1" ref="I106" ca="1">INDEX(rua_cod!$B:$B,Users!V106)</f>
        <v>Lisboa</v>
      </c>
      <c r="J106" t="s">
        <v>3728</v>
      </c>
      <c r="K106" t="s">
        <v>225</v>
      </c>
      <c r="L106" t="s">
        <v>265</v>
      </c>
      <c r="M106" t="str">
        <f t="shared" ca="1" si="11"/>
        <v>99108682</v>
      </c>
      <c r="N106" t="str">
        <f t="shared" ca="1" si="12"/>
        <v>229714828</v>
      </c>
      <c r="O106" t="str">
        <f t="shared" ca="1" si="12"/>
        <v>858654430</v>
      </c>
      <c r="P106" t="str" cm="1">
        <f t="array" aca="1" ref="P106" ca="1">9 &amp; INDEX($AF$3:$AF$6,W106)&amp; TEXT(RANDBETWEEN(0,9999999),"0000000")</f>
        <v>932837815</v>
      </c>
      <c r="Q106" t="str" cm="1">
        <f t="array" aca="1" ref="Q106" ca="1">LOWER(B106) &amp; INDEX($AF$9:$AF$11,X106)</f>
        <v>fraboa1300@outlook.com</v>
      </c>
      <c r="R106" t="str">
        <f t="shared" ca="1" si="13"/>
        <v>fraboa1300.jpg</v>
      </c>
      <c r="T106" s="4"/>
      <c r="V106">
        <f ca="1">RANDBETWEEN(2,COUNTA(rua_cod!A:A))</f>
        <v>58</v>
      </c>
      <c r="W106">
        <f t="shared" ca="1" si="14"/>
        <v>3</v>
      </c>
      <c r="X106">
        <f t="shared" ca="1" si="15"/>
        <v>1</v>
      </c>
      <c r="Y106">
        <f t="shared" ca="1" si="16"/>
        <v>2006</v>
      </c>
      <c r="Z106">
        <f t="shared" ca="1" si="17"/>
        <v>5</v>
      </c>
      <c r="AA106">
        <f t="shared" ca="1" si="18"/>
        <v>17</v>
      </c>
      <c r="AB106">
        <f t="shared" ca="1" si="19"/>
        <v>14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marboa1098</v>
      </c>
      <c r="C107" t="str">
        <f t="shared" ca="1" si="10"/>
        <v>pswmarboa1098</v>
      </c>
      <c r="D107" t="str">
        <f ca="1">Nomes!T108</f>
        <v>Marco Joana Oliveira Lourenço</v>
      </c>
      <c r="E107" t="str">
        <f>Nomes!S108</f>
        <v>Masculino</v>
      </c>
      <c r="F107" s="2">
        <v>39911</v>
      </c>
      <c r="G107" t="str" cm="1">
        <f t="array" aca="1" ref="G107" ca="1">INDEX(rua_cod!$F:$F,RANDBETWEEN(2,COUNTA(rua_cod!F:F)))</f>
        <v>Rua da Junqueira</v>
      </c>
      <c r="H107" t="str" cm="1">
        <f t="array" aca="1" ref="H107" ca="1">INDEX(rua_cod!$A:$A,Users!V107) &amp; "-" &amp; TEXT(RANDBETWEEN(0,999),"000")</f>
        <v>1098-823</v>
      </c>
      <c r="I107" t="str" cm="1">
        <f t="array" aca="1" ref="I107" ca="1">INDEX(rua_cod!$B:$B,Users!V107)</f>
        <v>Lisboa</v>
      </c>
      <c r="J107" t="s">
        <v>3728</v>
      </c>
      <c r="K107" t="s">
        <v>225</v>
      </c>
      <c r="L107" t="s">
        <v>265</v>
      </c>
      <c r="M107" t="str">
        <f t="shared" ca="1" si="11"/>
        <v>98997579</v>
      </c>
      <c r="N107" t="str">
        <f t="shared" ca="1" si="12"/>
        <v>556098845</v>
      </c>
      <c r="O107" t="str">
        <f t="shared" ca="1" si="12"/>
        <v>682435234</v>
      </c>
      <c r="P107" t="str" cm="1">
        <f t="array" aca="1" ref="P107" ca="1">9 &amp; INDEX($AF$3:$AF$6,W107)&amp; TEXT(RANDBETWEEN(0,9999999),"0000000")</f>
        <v>935847394</v>
      </c>
      <c r="Q107" t="str" cm="1">
        <f t="array" aca="1" ref="Q107" ca="1">LOWER(B107) &amp; INDEX($AF$9:$AF$11,X107)</f>
        <v>marboa1098@sapo.pt</v>
      </c>
      <c r="R107" t="str">
        <f t="shared" ca="1" si="13"/>
        <v>marboa1098.jpg</v>
      </c>
      <c r="T107" s="4"/>
      <c r="V107">
        <f ca="1">RANDBETWEEN(2,COUNTA(rua_cod!A:A))</f>
        <v>80</v>
      </c>
      <c r="W107">
        <f t="shared" ca="1" si="14"/>
        <v>3</v>
      </c>
      <c r="X107">
        <f t="shared" ca="1" si="15"/>
        <v>3</v>
      </c>
      <c r="Y107">
        <f t="shared" ca="1" si="16"/>
        <v>1963</v>
      </c>
      <c r="Z107">
        <f t="shared" ca="1" si="17"/>
        <v>12</v>
      </c>
      <c r="AA107">
        <f t="shared" ca="1" si="18"/>
        <v>4</v>
      </c>
      <c r="AB107">
        <f t="shared" ca="1" si="19"/>
        <v>57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tiaboa1069</v>
      </c>
      <c r="C108" t="str">
        <f t="shared" ca="1" si="10"/>
        <v>pswtiaboa1069</v>
      </c>
      <c r="D108" t="str">
        <f ca="1">Nomes!T109</f>
        <v>Tiago Matilde Monteiro Fonseca</v>
      </c>
      <c r="E108" t="str">
        <f>Nomes!S109</f>
        <v>Masculino</v>
      </c>
      <c r="F108" s="2">
        <v>24416</v>
      </c>
      <c r="G108" t="str" cm="1">
        <f t="array" aca="1" ref="G108" ca="1">INDEX(rua_cod!$F:$F,RANDBETWEEN(2,COUNTA(rua_cod!F:F)))</f>
        <v>Rua do Guarda-Mor</v>
      </c>
      <c r="H108" t="str" cm="1">
        <f t="array" aca="1" ref="H108" ca="1">INDEX(rua_cod!$A:$A,Users!V108) &amp; "-" &amp; TEXT(RANDBETWEEN(0,999),"000")</f>
        <v>1069-817</v>
      </c>
      <c r="I108" t="str" cm="1">
        <f t="array" aca="1" ref="I108" ca="1">INDEX(rua_cod!$B:$B,Users!V108)</f>
        <v>Lisboa</v>
      </c>
      <c r="J108" t="s">
        <v>3728</v>
      </c>
      <c r="K108" t="s">
        <v>225</v>
      </c>
      <c r="L108" t="s">
        <v>265</v>
      </c>
      <c r="M108" t="str">
        <f t="shared" ca="1" si="11"/>
        <v>77706533</v>
      </c>
      <c r="N108" t="str">
        <f t="shared" ca="1" si="12"/>
        <v>139192374</v>
      </c>
      <c r="O108" t="str">
        <f t="shared" ca="1" si="12"/>
        <v>641143144</v>
      </c>
      <c r="P108" t="str" cm="1">
        <f t="array" aca="1" ref="P108" ca="1">9 &amp; INDEX($AF$3:$AF$6,W108)&amp; TEXT(RANDBETWEEN(0,9999999),"0000000")</f>
        <v>963463663</v>
      </c>
      <c r="Q108" t="str" cm="1">
        <f t="array" aca="1" ref="Q108" ca="1">LOWER(B108) &amp; INDEX($AF$9:$AF$11,X108)</f>
        <v>tiaboa1069@gmail.com</v>
      </c>
      <c r="R108" t="str">
        <f t="shared" ca="1" si="13"/>
        <v>tiaboa1069.jpg</v>
      </c>
      <c r="T108" s="4"/>
      <c r="V108">
        <f ca="1">RANDBETWEEN(2,COUNTA(rua_cod!A:A))</f>
        <v>67</v>
      </c>
      <c r="W108">
        <f t="shared" ca="1" si="14"/>
        <v>4</v>
      </c>
      <c r="X108">
        <f t="shared" ca="1" si="15"/>
        <v>2</v>
      </c>
      <c r="Y108">
        <f t="shared" ca="1" si="16"/>
        <v>1953</v>
      </c>
      <c r="Z108">
        <f t="shared" ca="1" si="17"/>
        <v>10</v>
      </c>
      <c r="AA108">
        <f t="shared" ca="1" si="18"/>
        <v>18</v>
      </c>
      <c r="AB108">
        <f t="shared" ca="1" si="19"/>
        <v>67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fraboa1200</v>
      </c>
      <c r="C109" t="str">
        <f t="shared" ca="1" si="10"/>
        <v>pswfraboa1200</v>
      </c>
      <c r="D109" t="str">
        <f ca="1">Nomes!T110</f>
        <v>Francisco Sofia Nogueira Abreu</v>
      </c>
      <c r="E109" t="str">
        <f>Nomes!S110</f>
        <v>Masculino</v>
      </c>
      <c r="F109" s="2">
        <v>33423</v>
      </c>
      <c r="G109" t="str" cm="1">
        <f t="array" aca="1" ref="G109" ca="1">INDEX(rua_cod!$F:$F,RANDBETWEEN(2,COUNTA(rua_cod!F:F)))</f>
        <v>Rua do Arsenal</v>
      </c>
      <c r="H109" t="str" cm="1">
        <f t="array" aca="1" ref="H109" ca="1">INDEX(rua_cod!$A:$A,Users!V109) &amp; "-" &amp; TEXT(RANDBETWEEN(0,999),"000")</f>
        <v>1200-776</v>
      </c>
      <c r="I109" t="str" cm="1">
        <f t="array" aca="1" ref="I109" ca="1">INDEX(rua_cod!$B:$B,Users!V109)</f>
        <v>Lisboa</v>
      </c>
      <c r="J109" t="s">
        <v>3728</v>
      </c>
      <c r="K109" t="s">
        <v>225</v>
      </c>
      <c r="L109" t="s">
        <v>265</v>
      </c>
      <c r="M109" t="str">
        <f t="shared" ca="1" si="11"/>
        <v>48625568</v>
      </c>
      <c r="N109" t="str">
        <f t="shared" ca="1" si="12"/>
        <v>179879595</v>
      </c>
      <c r="O109" t="str">
        <f t="shared" ca="1" si="12"/>
        <v>302207874</v>
      </c>
      <c r="P109" t="str" cm="1">
        <f t="array" aca="1" ref="P109" ca="1">9 &amp; INDEX($AF$3:$AF$6,W109)&amp; TEXT(RANDBETWEEN(0,9999999),"0000000")</f>
        <v>931940447</v>
      </c>
      <c r="Q109" t="str" cm="1">
        <f t="array" aca="1" ref="Q109" ca="1">LOWER(B109) &amp; INDEX($AF$9:$AF$11,X109)</f>
        <v>fraboa1200@outlook.com</v>
      </c>
      <c r="R109" t="str">
        <f t="shared" ca="1" si="13"/>
        <v>fraboa1200.jpg</v>
      </c>
      <c r="T109" s="4"/>
      <c r="V109">
        <f ca="1">RANDBETWEEN(2,COUNTA(rua_cod!A:A))</f>
        <v>48</v>
      </c>
      <c r="W109">
        <f t="shared" ca="1" si="14"/>
        <v>3</v>
      </c>
      <c r="X109">
        <f t="shared" ca="1" si="15"/>
        <v>1</v>
      </c>
      <c r="Y109">
        <f t="shared" ca="1" si="16"/>
        <v>1987</v>
      </c>
      <c r="Z109">
        <f t="shared" ca="1" si="17"/>
        <v>10</v>
      </c>
      <c r="AA109">
        <f t="shared" ca="1" si="18"/>
        <v>7</v>
      </c>
      <c r="AB109">
        <f t="shared" ca="1" si="19"/>
        <v>33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anaboa1350</v>
      </c>
      <c r="C110" t="str">
        <f t="shared" ca="1" si="10"/>
        <v>pswanaboa1350</v>
      </c>
      <c r="D110" t="str">
        <f ca="1">Nomes!T111</f>
        <v>Ana Daniela Pires Amorim</v>
      </c>
      <c r="E110" t="str">
        <f>Nomes!S111</f>
        <v>Feminino</v>
      </c>
      <c r="F110" s="2">
        <v>9013</v>
      </c>
      <c r="G110" t="str" cm="1">
        <f t="array" aca="1" ref="G110" ca="1">INDEX(rua_cod!$F:$F,RANDBETWEEN(2,COUNTA(rua_cod!F:F)))</f>
        <v>Rua do Salitre</v>
      </c>
      <c r="H110" t="str" cm="1">
        <f t="array" aca="1" ref="H110" ca="1">INDEX(rua_cod!$A:$A,Users!V110) &amp; "-" &amp; TEXT(RANDBETWEEN(0,999),"000")</f>
        <v>1350-145</v>
      </c>
      <c r="I110" t="str" cm="1">
        <f t="array" aca="1" ref="I110" ca="1">INDEX(rua_cod!$B:$B,Users!V110)</f>
        <v>Lisboa</v>
      </c>
      <c r="J110" t="s">
        <v>3728</v>
      </c>
      <c r="K110" t="s">
        <v>225</v>
      </c>
      <c r="L110" t="s">
        <v>265</v>
      </c>
      <c r="M110" t="str">
        <f t="shared" ca="1" si="11"/>
        <v>71011111</v>
      </c>
      <c r="N110" t="str">
        <f t="shared" ca="1" si="12"/>
        <v>862480320</v>
      </c>
      <c r="O110" t="str">
        <f t="shared" ca="1" si="12"/>
        <v>117978749</v>
      </c>
      <c r="P110" t="str" cm="1">
        <f t="array" aca="1" ref="P110" ca="1">9 &amp; INDEX($AF$3:$AF$6,W110)&amp; TEXT(RANDBETWEEN(0,9999999),"0000000")</f>
        <v>920750918</v>
      </c>
      <c r="Q110" t="str" cm="1">
        <f t="array" aca="1" ref="Q110" ca="1">LOWER(B110) &amp; INDEX($AF$9:$AF$11,X110)</f>
        <v>anaboa1350@sapo.pt</v>
      </c>
      <c r="R110" t="str">
        <f t="shared" ca="1" si="13"/>
        <v>anaboa1350.jpg</v>
      </c>
      <c r="T110" s="4"/>
      <c r="V110">
        <f ca="1">RANDBETWEEN(2,COUNTA(rua_cod!A:A))</f>
        <v>54</v>
      </c>
      <c r="W110">
        <f t="shared" ca="1" si="14"/>
        <v>2</v>
      </c>
      <c r="X110">
        <f t="shared" ca="1" si="15"/>
        <v>3</v>
      </c>
      <c r="Y110">
        <f t="shared" ca="1" si="16"/>
        <v>1987</v>
      </c>
      <c r="Z110">
        <f t="shared" ca="1" si="17"/>
        <v>5</v>
      </c>
      <c r="AA110">
        <f t="shared" ca="1" si="18"/>
        <v>11</v>
      </c>
      <c r="AB110">
        <f t="shared" ca="1" si="19"/>
        <v>33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tiaboa1050</v>
      </c>
      <c r="C111" t="str">
        <f t="shared" ca="1" si="10"/>
        <v>pswtiaboa1050</v>
      </c>
      <c r="D111" t="str">
        <f ca="1">Nomes!T112</f>
        <v>Tiago Marco Lima Rocha</v>
      </c>
      <c r="E111" t="str">
        <f>Nomes!S112</f>
        <v>Masculino</v>
      </c>
      <c r="F111" s="2">
        <v>34653</v>
      </c>
      <c r="G111" t="str" cm="1">
        <f t="array" aca="1" ref="G111" ca="1">INDEX(rua_cod!$F:$F,RANDBETWEEN(2,COUNTA(rua_cod!F:F)))</f>
        <v>Rua dos Bacalhoeiros</v>
      </c>
      <c r="H111" t="str" cm="1">
        <f t="array" aca="1" ref="H111" ca="1">INDEX(rua_cod!$A:$A,Users!V111) &amp; "-" &amp; TEXT(RANDBETWEEN(0,999),"000")</f>
        <v>1050-697</v>
      </c>
      <c r="I111" t="str" cm="1">
        <f t="array" aca="1" ref="I111" ca="1">INDEX(rua_cod!$B:$B,Users!V111)</f>
        <v>Lisboa</v>
      </c>
      <c r="J111" t="s">
        <v>3728</v>
      </c>
      <c r="K111" t="s">
        <v>225</v>
      </c>
      <c r="L111" t="s">
        <v>265</v>
      </c>
      <c r="M111" t="str">
        <f t="shared" ca="1" si="11"/>
        <v>55024238</v>
      </c>
      <c r="N111" t="str">
        <f t="shared" ca="1" si="12"/>
        <v>644751324</v>
      </c>
      <c r="O111" t="str">
        <f t="shared" ca="1" si="12"/>
        <v>977742973</v>
      </c>
      <c r="P111" t="str" cm="1">
        <f t="array" aca="1" ref="P111" ca="1">9 &amp; INDEX($AF$3:$AF$6,W111)&amp; TEXT(RANDBETWEEN(0,9999999),"0000000")</f>
        <v>968054032</v>
      </c>
      <c r="Q111" t="str" cm="1">
        <f t="array" aca="1" ref="Q111" ca="1">LOWER(B111) &amp; INDEX($AF$9:$AF$11,X111)</f>
        <v>tiaboa1050@gmail.com</v>
      </c>
      <c r="R111" t="str">
        <f t="shared" ca="1" si="13"/>
        <v>tiaboa1050.jpg</v>
      </c>
      <c r="T111" s="4"/>
      <c r="V111">
        <f ca="1">RANDBETWEEN(2,COUNTA(rua_cod!A:A))</f>
        <v>66</v>
      </c>
      <c r="W111">
        <f t="shared" ca="1" si="14"/>
        <v>4</v>
      </c>
      <c r="X111">
        <f t="shared" ca="1" si="15"/>
        <v>2</v>
      </c>
      <c r="Y111">
        <f t="shared" ca="1" si="16"/>
        <v>1978</v>
      </c>
      <c r="Z111">
        <f t="shared" ca="1" si="17"/>
        <v>9</v>
      </c>
      <c r="AA111">
        <f t="shared" ca="1" si="18"/>
        <v>4</v>
      </c>
      <c r="AB111">
        <f t="shared" ca="1" si="19"/>
        <v>42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ineboa1049</v>
      </c>
      <c r="C112" t="str">
        <f t="shared" ca="1" si="10"/>
        <v>pswineboa1049</v>
      </c>
      <c r="D112" t="str">
        <f ca="1">Nomes!T113</f>
        <v>Inês André Nunes Silva</v>
      </c>
      <c r="E112" t="str">
        <f>Nomes!S113</f>
        <v>Feminino</v>
      </c>
      <c r="F112" s="2">
        <v>11305</v>
      </c>
      <c r="G112" t="str" cm="1">
        <f t="array" aca="1" ref="G112" ca="1">INDEX(rua_cod!$F:$F,RANDBETWEEN(2,COUNTA(rua_cod!F:F)))</f>
        <v>Estrada da Circunvalação de Lisboa</v>
      </c>
      <c r="H112" t="str" cm="1">
        <f t="array" aca="1" ref="H112" ca="1">INDEX(rua_cod!$A:$A,Users!V112) &amp; "-" &amp; TEXT(RANDBETWEEN(0,999),"000")</f>
        <v>1049-496</v>
      </c>
      <c r="I112" t="str" cm="1">
        <f t="array" aca="1" ref="I112" ca="1">INDEX(rua_cod!$B:$B,Users!V112)</f>
        <v>Lisboa</v>
      </c>
      <c r="J112" t="s">
        <v>3728</v>
      </c>
      <c r="K112" t="s">
        <v>225</v>
      </c>
      <c r="L112" t="s">
        <v>265</v>
      </c>
      <c r="M112" t="str">
        <f t="shared" ca="1" si="11"/>
        <v>52722329</v>
      </c>
      <c r="N112" t="str">
        <f t="shared" ca="1" si="12"/>
        <v>884651727</v>
      </c>
      <c r="O112" t="str">
        <f t="shared" ca="1" si="12"/>
        <v>518020688</v>
      </c>
      <c r="P112" t="str" cm="1">
        <f t="array" aca="1" ref="P112" ca="1">9 &amp; INDEX($AF$3:$AF$6,W112)&amp; TEXT(RANDBETWEEN(0,9999999),"0000000")</f>
        <v>922271043</v>
      </c>
      <c r="Q112" t="str" cm="1">
        <f t="array" aca="1" ref="Q112" ca="1">LOWER(B112) &amp; INDEX($AF$9:$AF$11,X112)</f>
        <v>ineboa1049@sapo.pt</v>
      </c>
      <c r="R112" t="str">
        <f t="shared" ca="1" si="13"/>
        <v>ineboa1049.jpg</v>
      </c>
      <c r="T112" s="4"/>
      <c r="V112">
        <f ca="1">RANDBETWEEN(2,COUNTA(rua_cod!A:A))</f>
        <v>76</v>
      </c>
      <c r="W112">
        <f t="shared" ca="1" si="14"/>
        <v>2</v>
      </c>
      <c r="X112">
        <f t="shared" ca="1" si="15"/>
        <v>3</v>
      </c>
      <c r="Y112">
        <f t="shared" ca="1" si="16"/>
        <v>1984</v>
      </c>
      <c r="Z112">
        <f t="shared" ca="1" si="17"/>
        <v>6</v>
      </c>
      <c r="AA112">
        <f t="shared" ca="1" si="18"/>
        <v>10</v>
      </c>
      <c r="AB112">
        <f t="shared" ca="1" si="19"/>
        <v>36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carboa1350</v>
      </c>
      <c r="C113" t="str">
        <f t="shared" ca="1" si="10"/>
        <v>pswcarboa1350</v>
      </c>
      <c r="D113" t="str">
        <f ca="1">Nomes!T114</f>
        <v>Carolina Ana Raposo Sousa</v>
      </c>
      <c r="E113" t="str">
        <f>Nomes!S114</f>
        <v>Feminino</v>
      </c>
      <c r="F113" s="2">
        <v>13043</v>
      </c>
      <c r="G113" t="str" cm="1">
        <f t="array" aca="1" ref="G113" ca="1">INDEX(rua_cod!$F:$F,RANDBETWEEN(2,COUNTA(rua_cod!F:F)))</f>
        <v>Rua da Junqueira</v>
      </c>
      <c r="H113" t="str" cm="1">
        <f t="array" aca="1" ref="H113" ca="1">INDEX(rua_cod!$A:$A,Users!V113) &amp; "-" &amp; TEXT(RANDBETWEEN(0,999),"000")</f>
        <v>1350-132</v>
      </c>
      <c r="I113" t="str" cm="1">
        <f t="array" aca="1" ref="I113" ca="1">INDEX(rua_cod!$B:$B,Users!V113)</f>
        <v>Lisboa</v>
      </c>
      <c r="J113" t="s">
        <v>3728</v>
      </c>
      <c r="K113" t="s">
        <v>225</v>
      </c>
      <c r="L113" t="s">
        <v>265</v>
      </c>
      <c r="M113" t="str">
        <f t="shared" ca="1" si="11"/>
        <v>87984097</v>
      </c>
      <c r="N113" t="str">
        <f t="shared" ca="1" si="12"/>
        <v>542792169</v>
      </c>
      <c r="O113" t="str">
        <f t="shared" ca="1" si="12"/>
        <v>724794556</v>
      </c>
      <c r="P113" t="str" cm="1">
        <f t="array" aca="1" ref="P113" ca="1">9 &amp; INDEX($AF$3:$AF$6,W113)&amp; TEXT(RANDBETWEEN(0,9999999),"0000000")</f>
        <v>931453446</v>
      </c>
      <c r="Q113" t="str" cm="1">
        <f t="array" aca="1" ref="Q113" ca="1">LOWER(B113) &amp; INDEX($AF$9:$AF$11,X113)</f>
        <v>carboa1350@outlook.com</v>
      </c>
      <c r="R113" t="str">
        <f t="shared" ca="1" si="13"/>
        <v>carboa1350.jpg</v>
      </c>
      <c r="T113" s="4"/>
      <c r="V113">
        <f ca="1">RANDBETWEEN(2,COUNTA(rua_cod!A:A))</f>
        <v>54</v>
      </c>
      <c r="W113">
        <f t="shared" ca="1" si="14"/>
        <v>3</v>
      </c>
      <c r="X113">
        <f t="shared" ca="1" si="15"/>
        <v>1</v>
      </c>
      <c r="Y113">
        <f t="shared" ca="1" si="16"/>
        <v>1975</v>
      </c>
      <c r="Z113">
        <f t="shared" ca="1" si="17"/>
        <v>2</v>
      </c>
      <c r="AA113">
        <f t="shared" ca="1" si="18"/>
        <v>11</v>
      </c>
      <c r="AB113">
        <f t="shared" ca="1" si="19"/>
        <v>45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danboa1949</v>
      </c>
      <c r="C114" t="str">
        <f t="shared" ca="1" si="10"/>
        <v>pswdanboa1949</v>
      </c>
      <c r="D114" t="str">
        <f ca="1">Nomes!T115</f>
        <v>Daniela Lurdes Cardoso Guerreiro</v>
      </c>
      <c r="E114" t="str">
        <f>Nomes!S115</f>
        <v>Feminino</v>
      </c>
      <c r="F114" s="2">
        <v>43678</v>
      </c>
      <c r="G114" t="str" cm="1">
        <f t="array" aca="1" ref="G114" ca="1">INDEX(rua_cod!$F:$F,RANDBETWEEN(2,COUNTA(rua_cod!F:F)))</f>
        <v>Rua de São Julião</v>
      </c>
      <c r="H114" t="str" cm="1">
        <f t="array" aca="1" ref="H114" ca="1">INDEX(rua_cod!$A:$A,Users!V114) &amp; "-" &amp; TEXT(RANDBETWEEN(0,999),"000")</f>
        <v>1949-977</v>
      </c>
      <c r="I114" t="str" cm="1">
        <f t="array" aca="1" ref="I114" ca="1">INDEX(rua_cod!$B:$B,Users!V114)</f>
        <v>Lisboa</v>
      </c>
      <c r="J114" t="s">
        <v>3728</v>
      </c>
      <c r="K114" t="s">
        <v>225</v>
      </c>
      <c r="L114" t="s">
        <v>265</v>
      </c>
      <c r="M114" t="str">
        <f t="shared" ca="1" si="11"/>
        <v>50458594</v>
      </c>
      <c r="N114" t="str">
        <f t="shared" ca="1" si="12"/>
        <v>462018378</v>
      </c>
      <c r="O114" t="str">
        <f t="shared" ca="1" si="12"/>
        <v>550286802</v>
      </c>
      <c r="P114" t="str" cm="1">
        <f t="array" aca="1" ref="P114" ca="1">9 &amp; INDEX($AF$3:$AF$6,W114)&amp; TEXT(RANDBETWEEN(0,9999999),"0000000")</f>
        <v>963304558</v>
      </c>
      <c r="Q114" t="str" cm="1">
        <f t="array" aca="1" ref="Q114" ca="1">LOWER(B114) &amp; INDEX($AF$9:$AF$11,X114)</f>
        <v>danboa1949@gmail.com</v>
      </c>
      <c r="R114" t="str">
        <f t="shared" ca="1" si="13"/>
        <v>danboa1949.jpg</v>
      </c>
      <c r="T114" s="4"/>
      <c r="V114">
        <f ca="1">RANDBETWEEN(2,COUNTA(rua_cod!A:A))</f>
        <v>45</v>
      </c>
      <c r="W114">
        <f t="shared" ca="1" si="14"/>
        <v>4</v>
      </c>
      <c r="X114">
        <f t="shared" ca="1" si="15"/>
        <v>2</v>
      </c>
      <c r="Y114">
        <f t="shared" ca="1" si="16"/>
        <v>1960</v>
      </c>
      <c r="Z114">
        <f t="shared" ca="1" si="17"/>
        <v>12</v>
      </c>
      <c r="AA114">
        <f t="shared" ca="1" si="18"/>
        <v>6</v>
      </c>
      <c r="AB114">
        <f t="shared" ca="1" si="19"/>
        <v>60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carria2419</v>
      </c>
      <c r="C115" t="str">
        <f t="shared" ca="1" si="10"/>
        <v>pswcarria2419</v>
      </c>
      <c r="D115" t="str">
        <f ca="1">Nomes!T116</f>
        <v>Carolina Lurdes Vaz Carneiro</v>
      </c>
      <c r="E115" t="str">
        <f>Nomes!S116</f>
        <v>Feminino</v>
      </c>
      <c r="F115" s="2">
        <v>16742</v>
      </c>
      <c r="G115" t="str" cm="1">
        <f t="array" aca="1" ref="G115" ca="1">INDEX(rua_cod!$F:$F,RANDBETWEEN(2,COUNTA(rua_cod!F:F)))</f>
        <v>Rua Júlio César Machado</v>
      </c>
      <c r="H115" t="str" cm="1">
        <f t="array" aca="1" ref="H115" ca="1">INDEX(rua_cod!$A:$A,Users!V115) &amp; "-" &amp; TEXT(RANDBETWEEN(0,999),"000")</f>
        <v>2419-024</v>
      </c>
      <c r="I115" t="str" cm="1">
        <f t="array" aca="1" ref="I115" ca="1">INDEX(rua_cod!$B:$B,Users!V115)</f>
        <v>Leiria</v>
      </c>
      <c r="J115" t="s">
        <v>3728</v>
      </c>
      <c r="K115" t="s">
        <v>225</v>
      </c>
      <c r="L115" t="s">
        <v>265</v>
      </c>
      <c r="M115" t="str">
        <f t="shared" ca="1" si="11"/>
        <v>87681138</v>
      </c>
      <c r="N115" t="str">
        <f t="shared" ca="1" si="12"/>
        <v>774716902</v>
      </c>
      <c r="O115" t="str">
        <f t="shared" ca="1" si="12"/>
        <v>643560666</v>
      </c>
      <c r="P115" t="str" cm="1">
        <f t="array" aca="1" ref="P115" ca="1">9 &amp; INDEX($AF$3:$AF$6,W115)&amp; TEXT(RANDBETWEEN(0,9999999),"0000000")</f>
        <v>923383560</v>
      </c>
      <c r="Q115" t="str" cm="1">
        <f t="array" aca="1" ref="Q115" ca="1">LOWER(B115) &amp; INDEX($AF$9:$AF$11,X115)</f>
        <v>carria2419@sapo.pt</v>
      </c>
      <c r="R115" t="str">
        <f t="shared" ca="1" si="13"/>
        <v>carria2419.jpg</v>
      </c>
      <c r="T115" s="4"/>
      <c r="V115">
        <f ca="1">RANDBETWEEN(2,COUNTA(rua_cod!A:A))</f>
        <v>37</v>
      </c>
      <c r="W115">
        <f t="shared" ca="1" si="14"/>
        <v>2</v>
      </c>
      <c r="X115">
        <f t="shared" ca="1" si="15"/>
        <v>3</v>
      </c>
      <c r="Y115">
        <f t="shared" ca="1" si="16"/>
        <v>2020</v>
      </c>
      <c r="Z115">
        <f t="shared" ca="1" si="17"/>
        <v>1</v>
      </c>
      <c r="AA115">
        <f t="shared" ca="1" si="18"/>
        <v>3</v>
      </c>
      <c r="AB115">
        <f t="shared" ca="1" si="19"/>
        <v>0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ineboa1649</v>
      </c>
      <c r="C116" t="str">
        <f t="shared" ca="1" si="10"/>
        <v>pswineboa1649</v>
      </c>
      <c r="D116" t="str">
        <f ca="1">Nomes!T117</f>
        <v>Inês Inês Sousa Costa</v>
      </c>
      <c r="E116" t="str">
        <f>Nomes!S117</f>
        <v>Feminino</v>
      </c>
      <c r="F116" s="2">
        <v>31845</v>
      </c>
      <c r="G116" t="str" cm="1">
        <f t="array" aca="1" ref="G116" ca="1">INDEX(rua_cod!$F:$F,RANDBETWEEN(2,COUNTA(rua_cod!F:F)))</f>
        <v>Rua dos Fanqueiros</v>
      </c>
      <c r="H116" t="str" cm="1">
        <f t="array" aca="1" ref="H116" ca="1">INDEX(rua_cod!$A:$A,Users!V116) &amp; "-" &amp; TEXT(RANDBETWEEN(0,999),"000")</f>
        <v>1649-683</v>
      </c>
      <c r="I116" t="str" cm="1">
        <f t="array" aca="1" ref="I116" ca="1">INDEX(rua_cod!$B:$B,Users!V116)</f>
        <v>Lisboa</v>
      </c>
      <c r="J116" t="s">
        <v>3728</v>
      </c>
      <c r="K116" t="s">
        <v>225</v>
      </c>
      <c r="L116" t="s">
        <v>265</v>
      </c>
      <c r="M116" t="str">
        <f t="shared" ca="1" si="11"/>
        <v>58158837</v>
      </c>
      <c r="N116" t="str">
        <f t="shared" ca="1" si="12"/>
        <v>614225160</v>
      </c>
      <c r="O116" t="str">
        <f t="shared" ca="1" si="12"/>
        <v>233698764</v>
      </c>
      <c r="P116" t="str" cm="1">
        <f t="array" aca="1" ref="P116" ca="1">9 &amp; INDEX($AF$3:$AF$6,W116)&amp; TEXT(RANDBETWEEN(0,9999999),"0000000")</f>
        <v>969613428</v>
      </c>
      <c r="Q116" t="str" cm="1">
        <f t="array" aca="1" ref="Q116" ca="1">LOWER(B116) &amp; INDEX($AF$9:$AF$11,X116)</f>
        <v>ineboa1649@outlook.com</v>
      </c>
      <c r="R116" t="str">
        <f t="shared" ca="1" si="13"/>
        <v>ineboa1649.jpg</v>
      </c>
      <c r="T116" s="4"/>
      <c r="V116">
        <f ca="1">RANDBETWEEN(2,COUNTA(rua_cod!A:A))</f>
        <v>68</v>
      </c>
      <c r="W116">
        <f t="shared" ca="1" si="14"/>
        <v>4</v>
      </c>
      <c r="X116">
        <f t="shared" ca="1" si="15"/>
        <v>1</v>
      </c>
      <c r="Y116">
        <f t="shared" ca="1" si="16"/>
        <v>2006</v>
      </c>
      <c r="Z116">
        <f t="shared" ca="1" si="17"/>
        <v>8</v>
      </c>
      <c r="AA116">
        <f t="shared" ca="1" si="18"/>
        <v>1</v>
      </c>
      <c r="AB116">
        <f t="shared" ca="1" si="19"/>
        <v>14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verres2674</v>
      </c>
      <c r="C117" t="str">
        <f t="shared" ca="1" si="10"/>
        <v>pswverres2674</v>
      </c>
      <c r="D117" t="str">
        <f ca="1">Nomes!T118</f>
        <v>Vera Pedro Azevedo Lima</v>
      </c>
      <c r="E117" t="str">
        <f>Nomes!S118</f>
        <v>Feminino</v>
      </c>
      <c r="F117" s="2">
        <v>13451</v>
      </c>
      <c r="G117" t="str" cm="1">
        <f t="array" aca="1" ref="G117" ca="1">INDEX(rua_cod!$F:$F,RANDBETWEEN(2,COUNTA(rua_cod!F:F)))</f>
        <v>Rua do Salitre</v>
      </c>
      <c r="H117" t="str" cm="1">
        <f t="array" aca="1" ref="H117" ca="1">INDEX(rua_cod!$A:$A,Users!V117) &amp; "-" &amp; TEXT(RANDBETWEEN(0,999),"000")</f>
        <v>2674-892</v>
      </c>
      <c r="I117" t="str" cm="1">
        <f t="array" aca="1" ref="I117" ca="1">INDEX(rua_cod!$B:$B,Users!V117)</f>
        <v>Loures</v>
      </c>
      <c r="J117" t="s">
        <v>3728</v>
      </c>
      <c r="K117" t="s">
        <v>225</v>
      </c>
      <c r="L117" t="s">
        <v>265</v>
      </c>
      <c r="M117" t="str">
        <f t="shared" ca="1" si="11"/>
        <v>77574157</v>
      </c>
      <c r="N117" t="str">
        <f t="shared" ca="1" si="12"/>
        <v>615567545</v>
      </c>
      <c r="O117" t="str">
        <f t="shared" ca="1" si="12"/>
        <v>549769873</v>
      </c>
      <c r="P117" t="str" cm="1">
        <f t="array" aca="1" ref="P117" ca="1">9 &amp; INDEX($AF$3:$AF$6,W117)&amp; TEXT(RANDBETWEEN(0,9999999),"0000000")</f>
        <v>936102898</v>
      </c>
      <c r="Q117" t="str" cm="1">
        <f t="array" aca="1" ref="Q117" ca="1">LOWER(B117) &amp; INDEX($AF$9:$AF$11,X117)</f>
        <v>verres2674@outlook.com</v>
      </c>
      <c r="R117" t="str">
        <f t="shared" ca="1" si="13"/>
        <v>verres2674.jpg</v>
      </c>
      <c r="T117" s="4"/>
      <c r="V117">
        <f ca="1">RANDBETWEEN(2,COUNTA(rua_cod!A:A))</f>
        <v>84</v>
      </c>
      <c r="W117">
        <f t="shared" ca="1" si="14"/>
        <v>3</v>
      </c>
      <c r="X117">
        <f t="shared" ca="1" si="15"/>
        <v>1</v>
      </c>
      <c r="Y117">
        <f t="shared" ca="1" si="16"/>
        <v>1958</v>
      </c>
      <c r="Z117">
        <f t="shared" ca="1" si="17"/>
        <v>10</v>
      </c>
      <c r="AA117">
        <f t="shared" ca="1" si="18"/>
        <v>30</v>
      </c>
      <c r="AB117">
        <f t="shared" ca="1" si="19"/>
        <v>62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luifra2640</v>
      </c>
      <c r="C118" t="str">
        <f t="shared" ca="1" si="10"/>
        <v>pswluifra2640</v>
      </c>
      <c r="D118" t="str">
        <f ca="1">Nomes!T119</f>
        <v>Luís Ana Branco Azevedo</v>
      </c>
      <c r="E118" t="str">
        <f>Nomes!S119</f>
        <v>Masculino</v>
      </c>
      <c r="F118" s="2">
        <v>13647</v>
      </c>
      <c r="G118" t="str" cm="1">
        <f t="array" aca="1" ref="G118" ca="1">INDEX(rua_cod!$F:$F,RANDBETWEEN(2,COUNTA(rua_cod!F:F)))</f>
        <v>Rua do Guarda-Mor</v>
      </c>
      <c r="H118" t="str" cm="1">
        <f t="array" aca="1" ref="H118" ca="1">INDEX(rua_cod!$A:$A,Users!V118) &amp; "-" &amp; TEXT(RANDBETWEEN(0,999),"000")</f>
        <v>2640-183</v>
      </c>
      <c r="I118" t="str" cm="1">
        <f t="array" aca="1" ref="I118" ca="1">INDEX(rua_cod!$B:$B,Users!V118)</f>
        <v>Mafra</v>
      </c>
      <c r="J118" t="s">
        <v>3728</v>
      </c>
      <c r="K118" t="s">
        <v>225</v>
      </c>
      <c r="L118" t="s">
        <v>265</v>
      </c>
      <c r="M118" t="str">
        <f t="shared" ca="1" si="11"/>
        <v>25003539</v>
      </c>
      <c r="N118" t="str">
        <f t="shared" ca="1" si="12"/>
        <v>317261427</v>
      </c>
      <c r="O118" t="str">
        <f t="shared" ca="1" si="12"/>
        <v>381534208</v>
      </c>
      <c r="P118" t="str" cm="1">
        <f t="array" aca="1" ref="P118" ca="1">9 &amp; INDEX($AF$3:$AF$6,W118)&amp; TEXT(RANDBETWEEN(0,9999999),"0000000")</f>
        <v>937952591</v>
      </c>
      <c r="Q118" t="str" cm="1">
        <f t="array" aca="1" ref="Q118" ca="1">LOWER(B118) &amp; INDEX($AF$9:$AF$11,X118)</f>
        <v>luifra2640@gmail.com</v>
      </c>
      <c r="R118" t="str">
        <f t="shared" ca="1" si="13"/>
        <v>luifra2640.jpg</v>
      </c>
      <c r="T118" s="4"/>
      <c r="V118">
        <f ca="1">RANDBETWEEN(2,COUNTA(rua_cod!A:A))</f>
        <v>85</v>
      </c>
      <c r="W118">
        <f t="shared" ca="1" si="14"/>
        <v>3</v>
      </c>
      <c r="X118">
        <f t="shared" ca="1" si="15"/>
        <v>2</v>
      </c>
      <c r="Y118">
        <f t="shared" ca="1" si="16"/>
        <v>1985</v>
      </c>
      <c r="Z118">
        <f t="shared" ca="1" si="17"/>
        <v>1</v>
      </c>
      <c r="AA118">
        <f t="shared" ca="1" si="18"/>
        <v>8</v>
      </c>
      <c r="AB118">
        <f t="shared" ca="1" si="19"/>
        <v>35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tomvas2350</v>
      </c>
      <c r="C119" t="str">
        <f t="shared" ca="1" si="10"/>
        <v>pswtomvas2350</v>
      </c>
      <c r="D119" t="str">
        <f ca="1">Nomes!T120</f>
        <v>Tomás Vera Andrade Torres</v>
      </c>
      <c r="E119" t="str">
        <f>Nomes!S120</f>
        <v>Masculino</v>
      </c>
      <c r="F119" s="2">
        <v>33045</v>
      </c>
      <c r="G119" t="str" cm="1">
        <f t="array" aca="1" ref="G119" ca="1">INDEX(rua_cod!$F:$F,RANDBETWEEN(2,COUNTA(rua_cod!F:F)))</f>
        <v>Rua da Alfândega</v>
      </c>
      <c r="H119" t="str" cm="1">
        <f t="array" aca="1" ref="H119" ca="1">INDEX(rua_cod!$A:$A,Users!V119) &amp; "-" &amp; TEXT(RANDBETWEEN(0,999),"000")</f>
        <v>2350-103</v>
      </c>
      <c r="I119" t="str" cm="1">
        <f t="array" aca="1" ref="I119" ca="1">INDEX(rua_cod!$B:$B,Users!V119)</f>
        <v>Torres Novas</v>
      </c>
      <c r="J119" t="s">
        <v>3728</v>
      </c>
      <c r="K119" t="s">
        <v>225</v>
      </c>
      <c r="L119" t="s">
        <v>265</v>
      </c>
      <c r="M119" t="str">
        <f t="shared" ca="1" si="11"/>
        <v>81758509</v>
      </c>
      <c r="N119" t="str">
        <f t="shared" ca="1" si="12"/>
        <v>985861370</v>
      </c>
      <c r="O119" t="str">
        <f t="shared" ca="1" si="12"/>
        <v>708947886</v>
      </c>
      <c r="P119" t="str" cm="1">
        <f t="array" aca="1" ref="P119" ca="1">9 &amp; INDEX($AF$3:$AF$6,W119)&amp; TEXT(RANDBETWEEN(0,9999999),"0000000")</f>
        <v>918092958</v>
      </c>
      <c r="Q119" t="str" cm="1">
        <f t="array" aca="1" ref="Q119" ca="1">LOWER(B119) &amp; INDEX($AF$9:$AF$11,X119)</f>
        <v>tomvas2350@sapo.pt</v>
      </c>
      <c r="R119" t="str">
        <f t="shared" ca="1" si="13"/>
        <v>tomvas2350.jpg</v>
      </c>
      <c r="T119" s="4"/>
      <c r="V119">
        <f ca="1">RANDBETWEEN(2,COUNTA(rua_cod!A:A))</f>
        <v>103</v>
      </c>
      <c r="W119">
        <f t="shared" ca="1" si="14"/>
        <v>1</v>
      </c>
      <c r="X119">
        <f t="shared" ca="1" si="15"/>
        <v>3</v>
      </c>
      <c r="Y119">
        <f t="shared" ca="1" si="16"/>
        <v>1976</v>
      </c>
      <c r="Z119">
        <f t="shared" ca="1" si="17"/>
        <v>11</v>
      </c>
      <c r="AA119">
        <f t="shared" ca="1" si="18"/>
        <v>17</v>
      </c>
      <c r="AB119">
        <f t="shared" ca="1" si="19"/>
        <v>44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gabres2674</v>
      </c>
      <c r="C120" t="str">
        <f t="shared" ca="1" si="10"/>
        <v>pswgabres2674</v>
      </c>
      <c r="D120" t="str">
        <f ca="1">Nomes!T121</f>
        <v>Gabriel Leonor Cardoso Nogueira</v>
      </c>
      <c r="E120" t="str">
        <f>Nomes!S121</f>
        <v>Masculino</v>
      </c>
      <c r="F120" s="2">
        <v>18446</v>
      </c>
      <c r="G120" t="str" cm="1">
        <f t="array" aca="1" ref="G120" ca="1">INDEX(rua_cod!$F:$F,RANDBETWEEN(2,COUNTA(rua_cod!F:F)))</f>
        <v>Rua do Sacramento à Lapa</v>
      </c>
      <c r="H120" t="str" cm="1">
        <f t="array" aca="1" ref="H120" ca="1">INDEX(rua_cod!$A:$A,Users!V120) &amp; "-" &amp; TEXT(RANDBETWEEN(0,999),"000")</f>
        <v>2674-389</v>
      </c>
      <c r="I120" t="str" cm="1">
        <f t="array" aca="1" ref="I120" ca="1">INDEX(rua_cod!$B:$B,Users!V120)</f>
        <v>Loures</v>
      </c>
      <c r="J120" t="s">
        <v>3728</v>
      </c>
      <c r="K120" t="s">
        <v>225</v>
      </c>
      <c r="L120" t="s">
        <v>265</v>
      </c>
      <c r="M120" t="str">
        <f t="shared" ca="1" si="11"/>
        <v>66720900</v>
      </c>
      <c r="N120" t="str">
        <f t="shared" ca="1" si="12"/>
        <v>260849784</v>
      </c>
      <c r="O120" t="str">
        <f t="shared" ca="1" si="12"/>
        <v>699228752</v>
      </c>
      <c r="P120" t="str" cm="1">
        <f t="array" aca="1" ref="P120" ca="1">9 &amp; INDEX($AF$3:$AF$6,W120)&amp; TEXT(RANDBETWEEN(0,9999999),"0000000")</f>
        <v>913996809</v>
      </c>
      <c r="Q120" t="str" cm="1">
        <f t="array" aca="1" ref="Q120" ca="1">LOWER(B120) &amp; INDEX($AF$9:$AF$11,X120)</f>
        <v>gabres2674@outlook.com</v>
      </c>
      <c r="R120" t="str">
        <f t="shared" ca="1" si="13"/>
        <v>gabres2674.jpg</v>
      </c>
      <c r="T120" s="4"/>
      <c r="V120">
        <f ca="1">RANDBETWEEN(2,COUNTA(rua_cod!A:A))</f>
        <v>84</v>
      </c>
      <c r="W120">
        <f t="shared" ca="1" si="14"/>
        <v>1</v>
      </c>
      <c r="X120">
        <f t="shared" ca="1" si="15"/>
        <v>1</v>
      </c>
      <c r="Y120">
        <f t="shared" ca="1" si="16"/>
        <v>1948</v>
      </c>
      <c r="Z120">
        <f t="shared" ca="1" si="17"/>
        <v>3</v>
      </c>
      <c r="AA120">
        <f t="shared" ca="1" si="18"/>
        <v>1</v>
      </c>
      <c r="AB120">
        <f t="shared" ca="1" si="19"/>
        <v>72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beaboa1950</v>
      </c>
      <c r="C121" t="str">
        <f t="shared" ca="1" si="10"/>
        <v>pswbeaboa1950</v>
      </c>
      <c r="D121" t="str">
        <f ca="1">Nomes!T122</f>
        <v>Beatriz Sara Loureiro Mendes</v>
      </c>
      <c r="E121" t="str">
        <f>Nomes!S122</f>
        <v>Feminino</v>
      </c>
      <c r="F121" s="2">
        <v>28450</v>
      </c>
      <c r="G121" t="str" cm="1">
        <f t="array" aca="1" ref="G121" ca="1">INDEX(rua_cod!$F:$F,RANDBETWEEN(2,COUNTA(rua_cod!F:F)))</f>
        <v>Rua Cidade de Bolama</v>
      </c>
      <c r="H121" t="str" cm="1">
        <f t="array" aca="1" ref="H121" ca="1">INDEX(rua_cod!$A:$A,Users!V121) &amp; "-" &amp; TEXT(RANDBETWEEN(0,999),"000")</f>
        <v>1950-605</v>
      </c>
      <c r="I121" t="str" cm="1">
        <f t="array" aca="1" ref="I121" ca="1">INDEX(rua_cod!$B:$B,Users!V121)</f>
        <v>Lisboa</v>
      </c>
      <c r="J121" t="s">
        <v>3728</v>
      </c>
      <c r="K121" t="s">
        <v>225</v>
      </c>
      <c r="L121" t="s">
        <v>265</v>
      </c>
      <c r="M121" t="str">
        <f t="shared" ca="1" si="11"/>
        <v>84622395</v>
      </c>
      <c r="N121" t="str">
        <f t="shared" ca="1" si="12"/>
        <v>174536713</v>
      </c>
      <c r="O121" t="str">
        <f t="shared" ca="1" si="12"/>
        <v>157977074</v>
      </c>
      <c r="P121" t="str" cm="1">
        <f t="array" aca="1" ref="P121" ca="1">9 &amp; INDEX($AF$3:$AF$6,W121)&amp; TEXT(RANDBETWEEN(0,9999999),"0000000")</f>
        <v>927081743</v>
      </c>
      <c r="Q121" t="str" cm="1">
        <f t="array" aca="1" ref="Q121" ca="1">LOWER(B121) &amp; INDEX($AF$9:$AF$11,X121)</f>
        <v>beaboa1950@outlook.com</v>
      </c>
      <c r="R121" t="str">
        <f t="shared" ca="1" si="13"/>
        <v>beaboa1950.jpg</v>
      </c>
      <c r="T121" s="4"/>
      <c r="V121">
        <f ca="1">RANDBETWEEN(2,COUNTA(rua_cod!A:A))</f>
        <v>41</v>
      </c>
      <c r="W121">
        <f t="shared" ca="1" si="14"/>
        <v>2</v>
      </c>
      <c r="X121">
        <f t="shared" ca="1" si="15"/>
        <v>1</v>
      </c>
      <c r="Y121">
        <f t="shared" ca="1" si="16"/>
        <v>1987</v>
      </c>
      <c r="Z121">
        <f t="shared" ca="1" si="17"/>
        <v>12</v>
      </c>
      <c r="AA121">
        <f t="shared" ca="1" si="18"/>
        <v>18</v>
      </c>
      <c r="AB121">
        <f t="shared" ca="1" si="19"/>
        <v>33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fraada2809</v>
      </c>
      <c r="C122" t="str">
        <f t="shared" ca="1" si="10"/>
        <v>pswfraada2809</v>
      </c>
      <c r="D122" t="str">
        <f ca="1">Nomes!T123</f>
        <v>Francisco Tomás Magalhães Matos</v>
      </c>
      <c r="E122" t="str">
        <f>Nomes!S123</f>
        <v>Masculino</v>
      </c>
      <c r="F122" s="2">
        <v>42428</v>
      </c>
      <c r="G122" t="str" cm="1">
        <f t="array" aca="1" ref="G122" ca="1">INDEX(rua_cod!$F:$F,RANDBETWEEN(2,COUNTA(rua_cod!F:F)))</f>
        <v>Rua Cidade de Bolama</v>
      </c>
      <c r="H122" t="str" cm="1">
        <f t="array" aca="1" ref="H122" ca="1">INDEX(rua_cod!$A:$A,Users!V122) &amp; "-" &amp; TEXT(RANDBETWEEN(0,999),"000")</f>
        <v>2809-068</v>
      </c>
      <c r="I122" t="str" cm="1">
        <f t="array" aca="1" ref="I122" ca="1">INDEX(rua_cod!$B:$B,Users!V122)</f>
        <v>Almada</v>
      </c>
      <c r="J122" t="s">
        <v>3728</v>
      </c>
      <c r="K122" t="s">
        <v>225</v>
      </c>
      <c r="L122" t="s">
        <v>265</v>
      </c>
      <c r="M122" t="str">
        <f t="shared" ca="1" si="11"/>
        <v>33688283</v>
      </c>
      <c r="N122" t="str">
        <f t="shared" ca="1" si="12"/>
        <v>589232962</v>
      </c>
      <c r="O122" t="str">
        <f t="shared" ca="1" si="12"/>
        <v>854483094</v>
      </c>
      <c r="P122" t="str" cm="1">
        <f t="array" aca="1" ref="P122" ca="1">9 &amp; INDEX($AF$3:$AF$6,W122)&amp; TEXT(RANDBETWEEN(0,9999999),"0000000")</f>
        <v>915699813</v>
      </c>
      <c r="Q122" t="str" cm="1">
        <f t="array" aca="1" ref="Q122" ca="1">LOWER(B122) &amp; INDEX($AF$9:$AF$11,X122)</f>
        <v>fraada2809@gmail.com</v>
      </c>
      <c r="R122" t="str">
        <f t="shared" ca="1" si="13"/>
        <v>fraada2809.jpg</v>
      </c>
      <c r="T122" s="4"/>
      <c r="V122">
        <f ca="1">RANDBETWEEN(2,COUNTA(rua_cod!A:A))</f>
        <v>5</v>
      </c>
      <c r="W122">
        <f t="shared" ca="1" si="14"/>
        <v>1</v>
      </c>
      <c r="X122">
        <f t="shared" ca="1" si="15"/>
        <v>2</v>
      </c>
      <c r="Y122">
        <f t="shared" ca="1" si="16"/>
        <v>1966</v>
      </c>
      <c r="Z122">
        <f t="shared" ca="1" si="17"/>
        <v>11</v>
      </c>
      <c r="AA122">
        <f t="shared" ca="1" si="18"/>
        <v>13</v>
      </c>
      <c r="AB122">
        <f t="shared" ca="1" si="19"/>
        <v>54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beaboa1300</v>
      </c>
      <c r="C123" t="str">
        <f t="shared" ca="1" si="10"/>
        <v>pswbeaboa1300</v>
      </c>
      <c r="D123" t="str">
        <f ca="1">Nomes!T124</f>
        <v>Beatriz Leonor Fernandes Carneiro</v>
      </c>
      <c r="E123" t="str">
        <f>Nomes!S124</f>
        <v>Feminino</v>
      </c>
      <c r="F123" s="2">
        <v>43463</v>
      </c>
      <c r="G123" t="str" cm="1">
        <f t="array" aca="1" ref="G123" ca="1">INDEX(rua_cod!$F:$F,RANDBETWEEN(2,COUNTA(rua_cod!F:F)))</f>
        <v>Calçada do Moinho de Vento</v>
      </c>
      <c r="H123" t="str" cm="1">
        <f t="array" aca="1" ref="H123" ca="1">INDEX(rua_cod!$A:$A,Users!V123) &amp; "-" &amp; TEXT(RANDBETWEEN(0,999),"000")</f>
        <v>1300-775</v>
      </c>
      <c r="I123" t="str" cm="1">
        <f t="array" aca="1" ref="I123" ca="1">INDEX(rua_cod!$B:$B,Users!V123)</f>
        <v>Lisboa</v>
      </c>
      <c r="J123" t="s">
        <v>3728</v>
      </c>
      <c r="K123" t="s">
        <v>225</v>
      </c>
      <c r="L123" t="s">
        <v>265</v>
      </c>
      <c r="M123" t="str">
        <f t="shared" ca="1" si="11"/>
        <v>22216782</v>
      </c>
      <c r="N123" t="str">
        <f t="shared" ca="1" si="12"/>
        <v>798917054</v>
      </c>
      <c r="O123" t="str">
        <f t="shared" ca="1" si="12"/>
        <v>481389274</v>
      </c>
      <c r="P123" t="str" cm="1">
        <f t="array" aca="1" ref="P123" ca="1">9 &amp; INDEX($AF$3:$AF$6,W123)&amp; TEXT(RANDBETWEEN(0,9999999),"0000000")</f>
        <v>931857841</v>
      </c>
      <c r="Q123" t="str" cm="1">
        <f t="array" aca="1" ref="Q123" ca="1">LOWER(B123) &amp; INDEX($AF$9:$AF$11,X123)</f>
        <v>beaboa1300@gmail.com</v>
      </c>
      <c r="R123" t="str">
        <f t="shared" ca="1" si="13"/>
        <v>beaboa1300.jpg</v>
      </c>
      <c r="T123" s="4"/>
      <c r="V123">
        <f ca="1">RANDBETWEEN(2,COUNTA(rua_cod!A:A))</f>
        <v>58</v>
      </c>
      <c r="W123">
        <f t="shared" ca="1" si="14"/>
        <v>3</v>
      </c>
      <c r="X123">
        <f t="shared" ca="1" si="15"/>
        <v>2</v>
      </c>
      <c r="Y123">
        <f t="shared" ca="1" si="16"/>
        <v>1945</v>
      </c>
      <c r="Z123">
        <f t="shared" ca="1" si="17"/>
        <v>8</v>
      </c>
      <c r="AA123">
        <f t="shared" ca="1" si="18"/>
        <v>20</v>
      </c>
      <c r="AB123">
        <f t="shared" ca="1" si="19"/>
        <v>75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andora2654</v>
      </c>
      <c r="C124" t="str">
        <f t="shared" ca="1" si="10"/>
        <v>pswandora2654</v>
      </c>
      <c r="D124" t="str">
        <f ca="1">Nomes!T125</f>
        <v>André André Borges Pinheiro</v>
      </c>
      <c r="E124" t="str">
        <f>Nomes!S125</f>
        <v>Masculino</v>
      </c>
      <c r="F124" s="2">
        <v>8971</v>
      </c>
      <c r="G124" t="str" cm="1">
        <f t="array" aca="1" ref="G124" ca="1">INDEX(rua_cod!$F:$F,RANDBETWEEN(2,COUNTA(rua_cod!F:F)))</f>
        <v>Estrada das Laranjeiras</v>
      </c>
      <c r="H124" t="str" cm="1">
        <f t="array" aca="1" ref="H124" ca="1">INDEX(rua_cod!$A:$A,Users!V124) &amp; "-" &amp; TEXT(RANDBETWEEN(0,999),"000")</f>
        <v>2654-735</v>
      </c>
      <c r="I124" t="str" cm="1">
        <f t="array" aca="1" ref="I124" ca="1">INDEX(rua_cod!$B:$B,Users!V124)</f>
        <v>Amadora</v>
      </c>
      <c r="J124" t="s">
        <v>3728</v>
      </c>
      <c r="K124" t="s">
        <v>225</v>
      </c>
      <c r="L124" t="s">
        <v>265</v>
      </c>
      <c r="M124" t="str">
        <f t="shared" ca="1" si="11"/>
        <v>16815873</v>
      </c>
      <c r="N124" t="str">
        <f t="shared" ca="1" si="12"/>
        <v>940794451</v>
      </c>
      <c r="O124" t="str">
        <f t="shared" ca="1" si="12"/>
        <v>593524593</v>
      </c>
      <c r="P124" t="str" cm="1">
        <f t="array" aca="1" ref="P124" ca="1">9 &amp; INDEX($AF$3:$AF$6,W124)&amp; TEXT(RANDBETWEEN(0,9999999),"0000000")</f>
        <v>915845770</v>
      </c>
      <c r="Q124" t="str" cm="1">
        <f t="array" aca="1" ref="Q124" ca="1">LOWER(B124) &amp; INDEX($AF$9:$AF$11,X124)</f>
        <v>andora2654@gmail.com</v>
      </c>
      <c r="R124" t="str">
        <f t="shared" ca="1" si="13"/>
        <v>andora2654.jpg</v>
      </c>
      <c r="T124" s="4"/>
      <c r="V124">
        <f ca="1">RANDBETWEEN(2,COUNTA(rua_cod!A:A))</f>
        <v>14</v>
      </c>
      <c r="W124">
        <f t="shared" ca="1" si="14"/>
        <v>1</v>
      </c>
      <c r="X124">
        <f t="shared" ca="1" si="15"/>
        <v>2</v>
      </c>
      <c r="Y124">
        <f t="shared" ca="1" si="16"/>
        <v>1979</v>
      </c>
      <c r="Z124">
        <f t="shared" ca="1" si="17"/>
        <v>12</v>
      </c>
      <c r="AA124">
        <f t="shared" ca="1" si="18"/>
        <v>8</v>
      </c>
      <c r="AB124">
        <f t="shared" ca="1" si="19"/>
        <v>41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andrem2009</v>
      </c>
      <c r="C125" t="str">
        <f t="shared" ca="1" si="10"/>
        <v>pswandrem2009</v>
      </c>
      <c r="D125" t="str">
        <f ca="1">Nomes!T126</f>
        <v>André Francisco Amaral Gonçalves</v>
      </c>
      <c r="E125" t="str">
        <f>Nomes!S126</f>
        <v>Masculino</v>
      </c>
      <c r="F125" s="2">
        <v>13497</v>
      </c>
      <c r="G125" t="str" cm="1">
        <f t="array" aca="1" ref="G125" ca="1">INDEX(rua_cod!$F:$F,RANDBETWEEN(2,COUNTA(rua_cod!F:F)))</f>
        <v>Rua dos Fanqueiros</v>
      </c>
      <c r="H125" t="str" cm="1">
        <f t="array" aca="1" ref="H125" ca="1">INDEX(rua_cod!$A:$A,Users!V125) &amp; "-" &amp; TEXT(RANDBETWEEN(0,999),"000")</f>
        <v>2009-540</v>
      </c>
      <c r="I125" t="str" cm="1">
        <f t="array" aca="1" ref="I125" ca="1">INDEX(rua_cod!$B:$B,Users!V125)</f>
        <v>Santarém</v>
      </c>
      <c r="J125" t="s">
        <v>3728</v>
      </c>
      <c r="K125" t="s">
        <v>225</v>
      </c>
      <c r="L125" t="s">
        <v>265</v>
      </c>
      <c r="M125" t="str">
        <f t="shared" ca="1" si="11"/>
        <v>67048150</v>
      </c>
      <c r="N125" t="str">
        <f t="shared" ca="1" si="12"/>
        <v>290336970</v>
      </c>
      <c r="O125" t="str">
        <f t="shared" ca="1" si="12"/>
        <v>699697509</v>
      </c>
      <c r="P125" t="str" cm="1">
        <f t="array" aca="1" ref="P125" ca="1">9 &amp; INDEX($AF$3:$AF$6,W125)&amp; TEXT(RANDBETWEEN(0,9999999),"0000000")</f>
        <v>937556964</v>
      </c>
      <c r="Q125" t="str" cm="1">
        <f t="array" aca="1" ref="Q125" ca="1">LOWER(B125) &amp; INDEX($AF$9:$AF$11,X125)</f>
        <v>andrem2009@outlook.com</v>
      </c>
      <c r="R125" t="str">
        <f t="shared" ca="1" si="13"/>
        <v>andrem2009.jpg</v>
      </c>
      <c r="T125" s="4"/>
      <c r="V125">
        <f ca="1">RANDBETWEEN(2,COUNTA(rua_cod!A:A))</f>
        <v>95</v>
      </c>
      <c r="W125">
        <f t="shared" ca="1" si="14"/>
        <v>3</v>
      </c>
      <c r="X125">
        <f t="shared" ca="1" si="15"/>
        <v>1</v>
      </c>
      <c r="Y125">
        <f t="shared" ca="1" si="16"/>
        <v>1970</v>
      </c>
      <c r="Z125">
        <f t="shared" ca="1" si="17"/>
        <v>7</v>
      </c>
      <c r="AA125">
        <f t="shared" ca="1" si="18"/>
        <v>12</v>
      </c>
      <c r="AB125">
        <f t="shared" ca="1" si="19"/>
        <v>50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tomluz2749</v>
      </c>
      <c r="C126" t="str">
        <f t="shared" ca="1" si="10"/>
        <v>pswtomluz2749</v>
      </c>
      <c r="D126" t="str">
        <f ca="1">Nomes!T127</f>
        <v>Tomás Luís Freitas Torres</v>
      </c>
      <c r="E126" t="str">
        <f>Nomes!S127</f>
        <v>Masculino</v>
      </c>
      <c r="F126" s="2">
        <v>25240</v>
      </c>
      <c r="G126" t="str" cm="1">
        <f t="array" aca="1" ref="G126" ca="1">INDEX(rua_cod!$F:$F,RANDBETWEEN(2,COUNTA(rua_cod!F:F)))</f>
        <v>Rua Garrett</v>
      </c>
      <c r="H126" t="str" cm="1">
        <f t="array" aca="1" ref="H126" ca="1">INDEX(rua_cod!$A:$A,Users!V126) &amp; "-" &amp; TEXT(RANDBETWEEN(0,999),"000")</f>
        <v>2749-340</v>
      </c>
      <c r="I126" t="str" cm="1">
        <f t="array" aca="1" ref="I126" ca="1">INDEX(rua_cod!$B:$B,Users!V126)</f>
        <v>Queluz</v>
      </c>
      <c r="J126" t="s">
        <v>3728</v>
      </c>
      <c r="K126" t="s">
        <v>225</v>
      </c>
      <c r="L126" t="s">
        <v>265</v>
      </c>
      <c r="M126" t="str">
        <f t="shared" ca="1" si="11"/>
        <v>70065752</v>
      </c>
      <c r="N126" t="str">
        <f t="shared" ca="1" si="12"/>
        <v>981837217</v>
      </c>
      <c r="O126" t="str">
        <f t="shared" ca="1" si="12"/>
        <v>461945788</v>
      </c>
      <c r="P126" t="str" cm="1">
        <f t="array" aca="1" ref="P126" ca="1">9 &amp; INDEX($AF$3:$AF$6,W126)&amp; TEXT(RANDBETWEEN(0,9999999),"0000000")</f>
        <v>919553250</v>
      </c>
      <c r="Q126" t="str" cm="1">
        <f t="array" aca="1" ref="Q126" ca="1">LOWER(B126) &amp; INDEX($AF$9:$AF$11,X126)</f>
        <v>tomluz2749@sapo.pt</v>
      </c>
      <c r="R126" t="str">
        <f t="shared" ca="1" si="13"/>
        <v>tomluz2749.jpg</v>
      </c>
      <c r="T126" s="4"/>
      <c r="V126">
        <f ca="1">RANDBETWEEN(2,COUNTA(rua_cod!A:A))</f>
        <v>91</v>
      </c>
      <c r="W126">
        <f t="shared" ca="1" si="14"/>
        <v>1</v>
      </c>
      <c r="X126">
        <f t="shared" ca="1" si="15"/>
        <v>3</v>
      </c>
      <c r="Y126">
        <f t="shared" ca="1" si="16"/>
        <v>1970</v>
      </c>
      <c r="Z126">
        <f t="shared" ca="1" si="17"/>
        <v>1</v>
      </c>
      <c r="AA126">
        <f t="shared" ca="1" si="18"/>
        <v>20</v>
      </c>
      <c r="AB126">
        <f t="shared" ca="1" si="19"/>
        <v>50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lurboa1400</v>
      </c>
      <c r="C127" t="str">
        <f t="shared" ca="1" si="10"/>
        <v>pswlurboa1400</v>
      </c>
      <c r="D127" t="str">
        <f ca="1">Nomes!T128</f>
        <v>Lurdes José Pinho Lourenço</v>
      </c>
      <c r="E127" t="str">
        <f>Nomes!S128</f>
        <v>Feminino</v>
      </c>
      <c r="F127" s="2">
        <v>16827</v>
      </c>
      <c r="G127" t="str" cm="1">
        <f t="array" aca="1" ref="G127" ca="1">INDEX(rua_cod!$F:$F,RANDBETWEEN(2,COUNTA(rua_cod!F:F)))</f>
        <v>Rua do Sacramento à Lapa</v>
      </c>
      <c r="H127" t="str" cm="1">
        <f t="array" aca="1" ref="H127" ca="1">INDEX(rua_cod!$A:$A,Users!V127) &amp; "-" &amp; TEXT(RANDBETWEEN(0,999),"000")</f>
        <v>1400-307</v>
      </c>
      <c r="I127" t="str" cm="1">
        <f t="array" aca="1" ref="I127" ca="1">INDEX(rua_cod!$B:$B,Users!V127)</f>
        <v>Lisboa</v>
      </c>
      <c r="J127" t="s">
        <v>3728</v>
      </c>
      <c r="K127" t="s">
        <v>225</v>
      </c>
      <c r="L127" t="s">
        <v>265</v>
      </c>
      <c r="M127" t="str">
        <f t="shared" ca="1" si="11"/>
        <v>41374839</v>
      </c>
      <c r="N127" t="str">
        <f t="shared" ca="1" si="12"/>
        <v>759932349</v>
      </c>
      <c r="O127" t="str">
        <f t="shared" ca="1" si="12"/>
        <v>888322026</v>
      </c>
      <c r="P127" t="str" cm="1">
        <f t="array" aca="1" ref="P127" ca="1">9 &amp; INDEX($AF$3:$AF$6,W127)&amp; TEXT(RANDBETWEEN(0,9999999),"0000000")</f>
        <v>927901686</v>
      </c>
      <c r="Q127" t="str" cm="1">
        <f t="array" aca="1" ref="Q127" ca="1">LOWER(B127) &amp; INDEX($AF$9:$AF$11,X127)</f>
        <v>lurboa1400@gmail.com</v>
      </c>
      <c r="R127" t="str">
        <f t="shared" ca="1" si="13"/>
        <v>lurboa1400.jpg</v>
      </c>
      <c r="T127" s="4"/>
      <c r="V127">
        <f ca="1">RANDBETWEEN(2,COUNTA(rua_cod!A:A))</f>
        <v>57</v>
      </c>
      <c r="W127">
        <f t="shared" ca="1" si="14"/>
        <v>2</v>
      </c>
      <c r="X127">
        <f t="shared" ca="1" si="15"/>
        <v>2</v>
      </c>
      <c r="Y127">
        <f t="shared" ca="1" si="16"/>
        <v>1981</v>
      </c>
      <c r="Z127">
        <f t="shared" ca="1" si="17"/>
        <v>8</v>
      </c>
      <c r="AA127">
        <f t="shared" ca="1" si="18"/>
        <v>10</v>
      </c>
      <c r="AB127">
        <f t="shared" ca="1" si="19"/>
        <v>39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sarora2704</v>
      </c>
      <c r="C128" t="str">
        <f t="shared" ca="1" si="10"/>
        <v>pswsarora2704</v>
      </c>
      <c r="D128" t="str">
        <f ca="1">Nomes!T129</f>
        <v>Sara Ana Batista Sousa</v>
      </c>
      <c r="E128" t="str">
        <f>Nomes!S129</f>
        <v>Feminino</v>
      </c>
      <c r="F128" s="2">
        <v>14246</v>
      </c>
      <c r="G128" t="str" cm="1">
        <f t="array" aca="1" ref="G128" ca="1">INDEX(rua_cod!$F:$F,RANDBETWEEN(2,COUNTA(rua_cod!F:F)))</f>
        <v>Rua Júlio César Machado</v>
      </c>
      <c r="H128" t="str" cm="1">
        <f t="array" aca="1" ref="H128" ca="1">INDEX(rua_cod!$A:$A,Users!V128) &amp; "-" &amp; TEXT(RANDBETWEEN(0,999),"000")</f>
        <v>2704-690</v>
      </c>
      <c r="I128" t="str" cm="1">
        <f t="array" aca="1" ref="I128" ca="1">INDEX(rua_cod!$B:$B,Users!V128)</f>
        <v>Amadora</v>
      </c>
      <c r="J128" t="s">
        <v>3728</v>
      </c>
      <c r="K128" t="s">
        <v>225</v>
      </c>
      <c r="L128" t="s">
        <v>265</v>
      </c>
      <c r="M128" t="str">
        <f t="shared" ca="1" si="11"/>
        <v>34573166</v>
      </c>
      <c r="N128" t="str">
        <f t="shared" ca="1" si="12"/>
        <v>902741084</v>
      </c>
      <c r="O128" t="str">
        <f t="shared" ca="1" si="12"/>
        <v>378136330</v>
      </c>
      <c r="P128" t="str" cm="1">
        <f t="array" aca="1" ref="P128" ca="1">9 &amp; INDEX($AF$3:$AF$6,W128)&amp; TEXT(RANDBETWEEN(0,9999999),"0000000")</f>
        <v>937096582</v>
      </c>
      <c r="Q128" t="str" cm="1">
        <f t="array" aca="1" ref="Q128" ca="1">LOWER(B128) &amp; INDEX($AF$9:$AF$11,X128)</f>
        <v>sarora2704@sapo.pt</v>
      </c>
      <c r="R128" t="str">
        <f t="shared" ca="1" si="13"/>
        <v>sarora2704.jpg</v>
      </c>
      <c r="T128" s="4"/>
      <c r="V128">
        <f ca="1">RANDBETWEEN(2,COUNTA(rua_cod!A:A))</f>
        <v>15</v>
      </c>
      <c r="W128">
        <f t="shared" ca="1" si="14"/>
        <v>3</v>
      </c>
      <c r="X128">
        <f t="shared" ca="1" si="15"/>
        <v>3</v>
      </c>
      <c r="Y128">
        <f t="shared" ca="1" si="16"/>
        <v>2007</v>
      </c>
      <c r="Z128">
        <f t="shared" ca="1" si="17"/>
        <v>12</v>
      </c>
      <c r="AA128">
        <f t="shared" ca="1" si="18"/>
        <v>4</v>
      </c>
      <c r="AB128">
        <f t="shared" ca="1" si="19"/>
        <v>13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andres2670</v>
      </c>
      <c r="C129" t="str">
        <f t="shared" ca="1" si="10"/>
        <v>pswandres2670</v>
      </c>
      <c r="D129" t="str">
        <f ca="1">Nomes!T130</f>
        <v>André Lurdes Figueiredo Andrade</v>
      </c>
      <c r="E129" t="str">
        <f>Nomes!S130</f>
        <v>Masculino</v>
      </c>
      <c r="F129" s="2">
        <v>43342</v>
      </c>
      <c r="G129" t="str" cm="1">
        <f t="array" aca="1" ref="G129" ca="1">INDEX(rua_cod!$F:$F,RANDBETWEEN(2,COUNTA(rua_cod!F:F)))</f>
        <v>Rua do Sol a Santana</v>
      </c>
      <c r="H129" t="str" cm="1">
        <f t="array" aca="1" ref="H129" ca="1">INDEX(rua_cod!$A:$A,Users!V129) &amp; "-" &amp; TEXT(RANDBETWEEN(0,999),"000")</f>
        <v>2670-031</v>
      </c>
      <c r="I129" t="str" cm="1">
        <f t="array" aca="1" ref="I129" ca="1">INDEX(rua_cod!$B:$B,Users!V129)</f>
        <v>Loures</v>
      </c>
      <c r="J129" t="s">
        <v>3728</v>
      </c>
      <c r="K129" t="s">
        <v>225</v>
      </c>
      <c r="L129" t="s">
        <v>265</v>
      </c>
      <c r="M129" t="str">
        <f t="shared" ca="1" si="11"/>
        <v>42240330</v>
      </c>
      <c r="N129" t="str">
        <f t="shared" ca="1" si="12"/>
        <v>105085929</v>
      </c>
      <c r="O129" t="str">
        <f t="shared" ca="1" si="12"/>
        <v>380889939</v>
      </c>
      <c r="P129" t="str" cm="1">
        <f t="array" aca="1" ref="P129" ca="1">9 &amp; INDEX($AF$3:$AF$6,W129)&amp; TEXT(RANDBETWEEN(0,9999999),"0000000")</f>
        <v>932951376</v>
      </c>
      <c r="Q129" t="str" cm="1">
        <f t="array" aca="1" ref="Q129" ca="1">LOWER(B129) &amp; INDEX($AF$9:$AF$11,X129)</f>
        <v>andres2670@sapo.pt</v>
      </c>
      <c r="R129" t="str">
        <f t="shared" ca="1" si="13"/>
        <v>andres2670.jpg</v>
      </c>
      <c r="T129" s="4"/>
      <c r="V129">
        <f ca="1">RANDBETWEEN(2,COUNTA(rua_cod!A:A))</f>
        <v>83</v>
      </c>
      <c r="W129">
        <f t="shared" ca="1" si="14"/>
        <v>3</v>
      </c>
      <c r="X129">
        <f t="shared" ca="1" si="15"/>
        <v>3</v>
      </c>
      <c r="Y129">
        <f t="shared" ca="1" si="16"/>
        <v>1976</v>
      </c>
      <c r="Z129">
        <f t="shared" ca="1" si="17"/>
        <v>1</v>
      </c>
      <c r="AA129">
        <f t="shared" ca="1" si="18"/>
        <v>20</v>
      </c>
      <c r="AB129">
        <f t="shared" ca="1" si="19"/>
        <v>44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marrem2000</v>
      </c>
      <c r="C130" t="str">
        <f t="shared" ca="1" si="10"/>
        <v>pswmarrem2000</v>
      </c>
      <c r="D130" t="str">
        <f ca="1">Nomes!T131</f>
        <v>Mariana Rodrigo Baptista Torres</v>
      </c>
      <c r="E130" t="str">
        <f>Nomes!S131</f>
        <v>Feminino</v>
      </c>
      <c r="F130" s="2">
        <v>37343</v>
      </c>
      <c r="G130" t="str" cm="1">
        <f t="array" aca="1" ref="G130" ca="1">INDEX(rua_cod!$F:$F,RANDBETWEEN(2,COUNTA(rua_cod!F:F)))</f>
        <v>Calçada de Carriche</v>
      </c>
      <c r="H130" t="str" cm="1">
        <f t="array" aca="1" ref="H130" ca="1">INDEX(rua_cod!$A:$A,Users!V130) &amp; "-" &amp; TEXT(RANDBETWEEN(0,999),"000")</f>
        <v>2000-817</v>
      </c>
      <c r="I130" t="str" cm="1">
        <f t="array" aca="1" ref="I130" ca="1">INDEX(rua_cod!$B:$B,Users!V130)</f>
        <v>Santarém</v>
      </c>
      <c r="J130" t="s">
        <v>3728</v>
      </c>
      <c r="K130" t="s">
        <v>225</v>
      </c>
      <c r="L130" t="s">
        <v>265</v>
      </c>
      <c r="M130" t="str">
        <f t="shared" ca="1" si="11"/>
        <v>12546938</v>
      </c>
      <c r="N130" t="str">
        <f t="shared" ca="1" si="12"/>
        <v>965226550</v>
      </c>
      <c r="O130" t="str">
        <f t="shared" ca="1" si="12"/>
        <v>458392787</v>
      </c>
      <c r="P130" t="str" cm="1">
        <f t="array" aca="1" ref="P130" ca="1">9 &amp; INDEX($AF$3:$AF$6,W130)&amp; TEXT(RANDBETWEEN(0,9999999),"0000000")</f>
        <v>962477814</v>
      </c>
      <c r="Q130" t="str" cm="1">
        <f t="array" aca="1" ref="Q130" ca="1">LOWER(B130) &amp; INDEX($AF$9:$AF$11,X130)</f>
        <v>marrem2000@gmail.com</v>
      </c>
      <c r="R130" t="str">
        <f t="shared" ca="1" si="13"/>
        <v>marrem2000.jpg</v>
      </c>
      <c r="T130" s="4"/>
      <c r="V130">
        <f ca="1">RANDBETWEEN(2,COUNTA(rua_cod!A:A))</f>
        <v>93</v>
      </c>
      <c r="W130">
        <f t="shared" ca="1" si="14"/>
        <v>4</v>
      </c>
      <c r="X130">
        <f t="shared" ca="1" si="15"/>
        <v>2</v>
      </c>
      <c r="Y130">
        <f t="shared" ca="1" si="16"/>
        <v>1969</v>
      </c>
      <c r="Z130">
        <f t="shared" ca="1" si="17"/>
        <v>12</v>
      </c>
      <c r="AA130">
        <f t="shared" ca="1" si="18"/>
        <v>9</v>
      </c>
      <c r="AB130">
        <f t="shared" ca="1" si="19"/>
        <v>51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ricica2829</v>
      </c>
      <c r="C131" t="str">
        <f t="shared" ref="C131:C194" ca="1" si="20">"psw" &amp; B131</f>
        <v>pswricica2829</v>
      </c>
      <c r="D131" t="str">
        <f ca="1">Nomes!T132</f>
        <v>Ricardo Martim Neto Vicente</v>
      </c>
      <c r="E131" t="str">
        <f>Nomes!S132</f>
        <v>Masculino</v>
      </c>
      <c r="F131" s="2">
        <v>35503</v>
      </c>
      <c r="G131" t="str" cm="1">
        <f t="array" aca="1" ref="G131" ca="1">INDEX(rua_cod!$F:$F,RANDBETWEEN(2,COUNTA(rua_cod!F:F)))</f>
        <v>Rua do Comércio</v>
      </c>
      <c r="H131" t="str" cm="1">
        <f t="array" aca="1" ref="H131" ca="1">INDEX(rua_cod!$A:$A,Users!V131) &amp; "-" &amp; TEXT(RANDBETWEEN(0,999),"000")</f>
        <v>2829-666</v>
      </c>
      <c r="I131" t="str" cm="1">
        <f t="array" aca="1" ref="I131" ca="1">INDEX(rua_cod!$B:$B,Users!V131)</f>
        <v>Caparica</v>
      </c>
      <c r="J131" t="s">
        <v>3728</v>
      </c>
      <c r="K131" t="s">
        <v>225</v>
      </c>
      <c r="L131" t="s">
        <v>265</v>
      </c>
      <c r="M131" t="str">
        <f t="shared" ref="M131:M194" ca="1" si="21">TEXT(RANDBETWEEN(10000000,99999999),"00000000")</f>
        <v>46897380</v>
      </c>
      <c r="N131" t="str">
        <f t="shared" ref="N131:O194" ca="1" si="22">TEXT(RANDBETWEEN(100000000,999999999),"000000000")</f>
        <v>256815184</v>
      </c>
      <c r="O131" t="str">
        <f t="shared" ca="1" si="22"/>
        <v>229801831</v>
      </c>
      <c r="P131" t="str" cm="1">
        <f t="array" aca="1" ref="P131" ca="1">9 &amp; INDEX($AF$3:$AF$6,W131)&amp; TEXT(RANDBETWEEN(0,9999999),"0000000")</f>
        <v>911076791</v>
      </c>
      <c r="Q131" t="str" cm="1">
        <f t="array" aca="1" ref="Q131" ca="1">LOWER(B131) &amp; INDEX($AF$9:$AF$11,X131)</f>
        <v>ricica2829@outlook.com</v>
      </c>
      <c r="R131" t="str">
        <f t="shared" ref="R131:R194" ca="1" si="23">B131 &amp; ".jpg"</f>
        <v>ricica2829.jpg</v>
      </c>
      <c r="T131" s="4"/>
      <c r="V131">
        <f ca="1">RANDBETWEEN(2,COUNTA(rua_cod!A:A))</f>
        <v>19</v>
      </c>
      <c r="W131">
        <f t="shared" ref="W131:W194" ca="1" si="24">RANDBETWEEN(1,4)</f>
        <v>1</v>
      </c>
      <c r="X131">
        <f t="shared" ref="X131:X194" ca="1" si="25">RANDBETWEEN(1,3)</f>
        <v>1</v>
      </c>
      <c r="Y131">
        <f t="shared" ref="Y131:Y194" ca="1" si="26">INT(NORMINV(RAND(),1976,22))</f>
        <v>1972</v>
      </c>
      <c r="Z131">
        <f t="shared" ref="Z131:Z194" ca="1" si="27">RANDBETWEEN(1,12)</f>
        <v>12</v>
      </c>
      <c r="AA131">
        <f t="shared" ref="AA131:AA194" ca="1" si="28">RANDBETWEEN(1,31)</f>
        <v>26</v>
      </c>
      <c r="AB131">
        <f t="shared" ref="AB131:AB194" ca="1" si="29">2020-Y131</f>
        <v>48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migboa1150</v>
      </c>
      <c r="C132" t="str">
        <f t="shared" ca="1" si="20"/>
        <v>pswmigboa1150</v>
      </c>
      <c r="D132" t="str">
        <f ca="1">Nomes!T133</f>
        <v>Miguel Beatriz Barros Fernandes</v>
      </c>
      <c r="E132" t="str">
        <f>Nomes!S133</f>
        <v>Masculino</v>
      </c>
      <c r="F132" s="2">
        <v>10487</v>
      </c>
      <c r="G132" t="str" cm="1">
        <f t="array" aca="1" ref="G132" ca="1">INDEX(rua_cod!$F:$F,RANDBETWEEN(2,COUNTA(rua_cod!F:F)))</f>
        <v>Rua Roberto Duarte Silva</v>
      </c>
      <c r="H132" t="str" cm="1">
        <f t="array" aca="1" ref="H132" ca="1">INDEX(rua_cod!$A:$A,Users!V132) &amp; "-" &amp; TEXT(RANDBETWEEN(0,999),"000")</f>
        <v>1150-097</v>
      </c>
      <c r="I132" t="str" cm="1">
        <f t="array" aca="1" ref="I132" ca="1">INDEX(rua_cod!$B:$B,Users!V132)</f>
        <v>Lisboa</v>
      </c>
      <c r="J132" t="s">
        <v>3728</v>
      </c>
      <c r="K132" t="s">
        <v>225</v>
      </c>
      <c r="L132" t="s">
        <v>265</v>
      </c>
      <c r="M132" t="str">
        <f t="shared" ca="1" si="21"/>
        <v>77030782</v>
      </c>
      <c r="N132" t="str">
        <f t="shared" ca="1" si="22"/>
        <v>436041295</v>
      </c>
      <c r="O132" t="str">
        <f t="shared" ca="1" si="22"/>
        <v>772267978</v>
      </c>
      <c r="P132" t="str" cm="1">
        <f t="array" aca="1" ref="P132" ca="1">9 &amp; INDEX($AF$3:$AF$6,W132)&amp; TEXT(RANDBETWEEN(0,9999999),"0000000")</f>
        <v>910156396</v>
      </c>
      <c r="Q132" t="str" cm="1">
        <f t="array" aca="1" ref="Q132" ca="1">LOWER(B132) &amp; INDEX($AF$9:$AF$11,X132)</f>
        <v>migboa1150@gmail.com</v>
      </c>
      <c r="R132" t="str">
        <f t="shared" ca="1" si="23"/>
        <v>migboa1150.jpg</v>
      </c>
      <c r="T132" s="4"/>
      <c r="V132">
        <f ca="1">RANDBETWEEN(2,COUNTA(rua_cod!A:A))</f>
        <v>44</v>
      </c>
      <c r="W132">
        <f t="shared" ca="1" si="24"/>
        <v>1</v>
      </c>
      <c r="X132">
        <f t="shared" ca="1" si="25"/>
        <v>2</v>
      </c>
      <c r="Y132">
        <f t="shared" ca="1" si="26"/>
        <v>1987</v>
      </c>
      <c r="Z132">
        <f t="shared" ca="1" si="27"/>
        <v>7</v>
      </c>
      <c r="AA132">
        <f t="shared" ca="1" si="28"/>
        <v>23</v>
      </c>
      <c r="AB132">
        <f t="shared" ca="1" si="29"/>
        <v>33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fraras2780</v>
      </c>
      <c r="C133" t="str">
        <f t="shared" ca="1" si="20"/>
        <v>pswfraras2780</v>
      </c>
      <c r="D133" t="str">
        <f ca="1">Nomes!T134</f>
        <v>Francisca Bruno Jesus Neto</v>
      </c>
      <c r="E133" t="str">
        <f>Nomes!S134</f>
        <v>Feminino</v>
      </c>
      <c r="F133" s="2">
        <v>20453</v>
      </c>
      <c r="G133" t="str" cm="1">
        <f t="array" aca="1" ref="G133" ca="1">INDEX(rua_cod!$F:$F,RANDBETWEEN(2,COUNTA(rua_cod!F:F)))</f>
        <v>Rua da Junqueira</v>
      </c>
      <c r="H133" t="str" cm="1">
        <f t="array" aca="1" ref="H133" ca="1">INDEX(rua_cod!$A:$A,Users!V133) &amp; "-" &amp; TEXT(RANDBETWEEN(0,999),"000")</f>
        <v>2780-931</v>
      </c>
      <c r="I133" t="str" cm="1">
        <f t="array" aca="1" ref="I133" ca="1">INDEX(rua_cod!$B:$B,Users!V133)</f>
        <v>Oeiras</v>
      </c>
      <c r="J133" t="s">
        <v>3728</v>
      </c>
      <c r="K133" t="s">
        <v>225</v>
      </c>
      <c r="L133" t="s">
        <v>265</v>
      </c>
      <c r="M133" t="str">
        <f t="shared" ca="1" si="21"/>
        <v>42488884</v>
      </c>
      <c r="N133" t="str">
        <f t="shared" ca="1" si="22"/>
        <v>438158131</v>
      </c>
      <c r="O133" t="str">
        <f t="shared" ca="1" si="22"/>
        <v>113264649</v>
      </c>
      <c r="P133" t="str" cm="1">
        <f t="array" aca="1" ref="P133" ca="1">9 &amp; INDEX($AF$3:$AF$6,W133)&amp; TEXT(RANDBETWEEN(0,9999999),"0000000")</f>
        <v>915523473</v>
      </c>
      <c r="Q133" t="str" cm="1">
        <f t="array" aca="1" ref="Q133" ca="1">LOWER(B133) &amp; INDEX($AF$9:$AF$11,X133)</f>
        <v>fraras2780@sapo.pt</v>
      </c>
      <c r="R133" t="str">
        <f t="shared" ca="1" si="23"/>
        <v>fraras2780.jpg</v>
      </c>
      <c r="T133" s="4"/>
      <c r="V133">
        <f ca="1">RANDBETWEEN(2,COUNTA(rua_cod!A:A))</f>
        <v>88</v>
      </c>
      <c r="W133">
        <f t="shared" ca="1" si="24"/>
        <v>1</v>
      </c>
      <c r="X133">
        <f t="shared" ca="1" si="25"/>
        <v>3</v>
      </c>
      <c r="Y133">
        <f t="shared" ca="1" si="26"/>
        <v>2018</v>
      </c>
      <c r="Z133">
        <f t="shared" ca="1" si="27"/>
        <v>9</v>
      </c>
      <c r="AA133">
        <f t="shared" ca="1" si="28"/>
        <v>16</v>
      </c>
      <c r="AB133">
        <f t="shared" ca="1" si="29"/>
        <v>2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gabboa1150</v>
      </c>
      <c r="C134" t="str">
        <f t="shared" ca="1" si="20"/>
        <v>pswgabboa1150</v>
      </c>
      <c r="D134" t="str">
        <f ca="1">Nomes!T135</f>
        <v>Gabriel Afonso Carvalho Assunção</v>
      </c>
      <c r="E134" t="str">
        <f>Nomes!S135</f>
        <v>Masculino</v>
      </c>
      <c r="F134" s="2">
        <v>43922</v>
      </c>
      <c r="G134" t="str" cm="1">
        <f t="array" aca="1" ref="G134" ca="1">INDEX(rua_cod!$F:$F,RANDBETWEEN(2,COUNTA(rua_cod!F:F)))</f>
        <v>Rua Cidade de Bolama</v>
      </c>
      <c r="H134" t="str" cm="1">
        <f t="array" aca="1" ref="H134" ca="1">INDEX(rua_cod!$A:$A,Users!V134) &amp; "-" &amp; TEXT(RANDBETWEEN(0,999),"000")</f>
        <v>1150-482</v>
      </c>
      <c r="I134" t="str" cm="1">
        <f t="array" aca="1" ref="I134" ca="1">INDEX(rua_cod!$B:$B,Users!V134)</f>
        <v>Lisboa</v>
      </c>
      <c r="J134" t="s">
        <v>3728</v>
      </c>
      <c r="K134" t="s">
        <v>225</v>
      </c>
      <c r="L134" t="s">
        <v>265</v>
      </c>
      <c r="M134" t="str">
        <f t="shared" ca="1" si="21"/>
        <v>75462839</v>
      </c>
      <c r="N134" t="str">
        <f t="shared" ca="1" si="22"/>
        <v>619659300</v>
      </c>
      <c r="O134" t="str">
        <f t="shared" ca="1" si="22"/>
        <v>377952016</v>
      </c>
      <c r="P134" t="str" cm="1">
        <f t="array" aca="1" ref="P134" ca="1">9 &amp; INDEX($AF$3:$AF$6,W134)&amp; TEXT(RANDBETWEEN(0,9999999),"0000000")</f>
        <v>936061420</v>
      </c>
      <c r="Q134" t="str" cm="1">
        <f t="array" aca="1" ref="Q134" ca="1">LOWER(B134) &amp; INDEX($AF$9:$AF$11,X134)</f>
        <v>gabboa1150@gmail.com</v>
      </c>
      <c r="R134" t="str">
        <f t="shared" ca="1" si="23"/>
        <v>gabboa1150.jpg</v>
      </c>
      <c r="T134" s="4"/>
      <c r="V134">
        <f ca="1">RANDBETWEEN(2,COUNTA(rua_cod!A:A))</f>
        <v>44</v>
      </c>
      <c r="W134">
        <f t="shared" ca="1" si="24"/>
        <v>3</v>
      </c>
      <c r="X134">
        <f t="shared" ca="1" si="25"/>
        <v>2</v>
      </c>
      <c r="Y134">
        <f t="shared" ca="1" si="26"/>
        <v>1973</v>
      </c>
      <c r="Z134">
        <f t="shared" ca="1" si="27"/>
        <v>1</v>
      </c>
      <c r="AA134">
        <f t="shared" ca="1" si="28"/>
        <v>31</v>
      </c>
      <c r="AB134">
        <f t="shared" ca="1" si="29"/>
        <v>47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bruvas2350</v>
      </c>
      <c r="C135" t="str">
        <f t="shared" ca="1" si="20"/>
        <v>pswbruvas2350</v>
      </c>
      <c r="D135" t="str">
        <f ca="1">Nomes!T136</f>
        <v>Bruno Ricardo Pereira Esteves</v>
      </c>
      <c r="E135" t="str">
        <f>Nomes!S136</f>
        <v>Masculino</v>
      </c>
      <c r="F135" s="2">
        <v>25320</v>
      </c>
      <c r="G135" t="str" cm="1">
        <f t="array" aca="1" ref="G135" ca="1">INDEX(rua_cod!$F:$F,RANDBETWEEN(2,COUNTA(rua_cod!F:F)))</f>
        <v>Rua General Morais Sarmento</v>
      </c>
      <c r="H135" t="str" cm="1">
        <f t="array" aca="1" ref="H135" ca="1">INDEX(rua_cod!$A:$A,Users!V135) &amp; "-" &amp; TEXT(RANDBETWEEN(0,999),"000")</f>
        <v>2350-413</v>
      </c>
      <c r="I135" t="str" cm="1">
        <f t="array" aca="1" ref="I135" ca="1">INDEX(rua_cod!$B:$B,Users!V135)</f>
        <v>Torres Novas</v>
      </c>
      <c r="J135" t="s">
        <v>3728</v>
      </c>
      <c r="K135" t="s">
        <v>225</v>
      </c>
      <c r="L135" t="s">
        <v>265</v>
      </c>
      <c r="M135" t="str">
        <f t="shared" ca="1" si="21"/>
        <v>35753215</v>
      </c>
      <c r="N135" t="str">
        <f t="shared" ca="1" si="22"/>
        <v>639331394</v>
      </c>
      <c r="O135" t="str">
        <f t="shared" ca="1" si="22"/>
        <v>695361895</v>
      </c>
      <c r="P135" t="str" cm="1">
        <f t="array" aca="1" ref="P135" ca="1">9 &amp; INDEX($AF$3:$AF$6,W135)&amp; TEXT(RANDBETWEEN(0,9999999),"0000000")</f>
        <v>937199578</v>
      </c>
      <c r="Q135" t="str" cm="1">
        <f t="array" aca="1" ref="Q135" ca="1">LOWER(B135) &amp; INDEX($AF$9:$AF$11,X135)</f>
        <v>bruvas2350@sapo.pt</v>
      </c>
      <c r="R135" t="str">
        <f t="shared" ca="1" si="23"/>
        <v>bruvas2350.jpg</v>
      </c>
      <c r="T135" s="4"/>
      <c r="V135">
        <f ca="1">RANDBETWEEN(2,COUNTA(rua_cod!A:A))</f>
        <v>103</v>
      </c>
      <c r="W135">
        <f t="shared" ca="1" si="24"/>
        <v>3</v>
      </c>
      <c r="X135">
        <f t="shared" ca="1" si="25"/>
        <v>3</v>
      </c>
      <c r="Y135">
        <f t="shared" ca="1" si="26"/>
        <v>1959</v>
      </c>
      <c r="Z135">
        <f t="shared" ca="1" si="27"/>
        <v>4</v>
      </c>
      <c r="AA135">
        <f t="shared" ca="1" si="28"/>
        <v>8</v>
      </c>
      <c r="AB135">
        <f t="shared" ca="1" si="29"/>
        <v>61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marora2650</v>
      </c>
      <c r="C136" t="str">
        <f t="shared" ca="1" si="20"/>
        <v>pswmarora2650</v>
      </c>
      <c r="D136" t="str">
        <f ca="1">Nomes!T137</f>
        <v>Mariana João Lima Moura</v>
      </c>
      <c r="E136" t="str">
        <f>Nomes!S137</f>
        <v>Feminino</v>
      </c>
      <c r="F136" s="2">
        <v>20063</v>
      </c>
      <c r="G136" t="str" cm="1">
        <f t="array" aca="1" ref="G136" ca="1">INDEX(rua_cod!$F:$F,RANDBETWEEN(2,COUNTA(rua_cod!F:F)))</f>
        <v>Rua de São Bento</v>
      </c>
      <c r="H136" t="str" cm="1">
        <f t="array" aca="1" ref="H136" ca="1">INDEX(rua_cod!$A:$A,Users!V136) &amp; "-" &amp; TEXT(RANDBETWEEN(0,999),"000")</f>
        <v>2650-019</v>
      </c>
      <c r="I136" t="str" cm="1">
        <f t="array" aca="1" ref="I136" ca="1">INDEX(rua_cod!$B:$B,Users!V136)</f>
        <v>Amadora</v>
      </c>
      <c r="J136" t="s">
        <v>3728</v>
      </c>
      <c r="K136" t="s">
        <v>225</v>
      </c>
      <c r="L136" t="s">
        <v>265</v>
      </c>
      <c r="M136" t="str">
        <f t="shared" ca="1" si="21"/>
        <v>60548450</v>
      </c>
      <c r="N136" t="str">
        <f t="shared" ca="1" si="22"/>
        <v>230723116</v>
      </c>
      <c r="O136" t="str">
        <f t="shared" ca="1" si="22"/>
        <v>702744816</v>
      </c>
      <c r="P136" t="str" cm="1">
        <f t="array" aca="1" ref="P136" ca="1">9 &amp; INDEX($AF$3:$AF$6,W136)&amp; TEXT(RANDBETWEEN(0,9999999),"0000000")</f>
        <v>934107281</v>
      </c>
      <c r="Q136" t="str" cm="1">
        <f t="array" aca="1" ref="Q136" ca="1">LOWER(B136) &amp; INDEX($AF$9:$AF$11,X136)</f>
        <v>marora2650@sapo.pt</v>
      </c>
      <c r="R136" t="str">
        <f t="shared" ca="1" si="23"/>
        <v>marora2650.jpg</v>
      </c>
      <c r="T136" s="4"/>
      <c r="V136">
        <f ca="1">RANDBETWEEN(2,COUNTA(rua_cod!A:A))</f>
        <v>9</v>
      </c>
      <c r="W136">
        <f t="shared" ca="1" si="24"/>
        <v>3</v>
      </c>
      <c r="X136">
        <f t="shared" ca="1" si="25"/>
        <v>3</v>
      </c>
      <c r="Y136">
        <f t="shared" ca="1" si="26"/>
        <v>1984</v>
      </c>
      <c r="Z136">
        <f t="shared" ca="1" si="27"/>
        <v>1</v>
      </c>
      <c r="AA136">
        <f t="shared" ca="1" si="28"/>
        <v>27</v>
      </c>
      <c r="AB136">
        <f t="shared" ca="1" si="29"/>
        <v>36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gabluz2745</v>
      </c>
      <c r="C137" t="str">
        <f t="shared" ca="1" si="20"/>
        <v>pswgabluz2745</v>
      </c>
      <c r="D137" t="str">
        <f ca="1">Nomes!T138</f>
        <v>Gabriel Francisco Reis Esteves</v>
      </c>
      <c r="E137" t="str">
        <f>Nomes!S138</f>
        <v>Masculino</v>
      </c>
      <c r="F137" s="2">
        <v>34756</v>
      </c>
      <c r="G137" t="str" cm="1">
        <f t="array" aca="1" ref="G137" ca="1">INDEX(rua_cod!$F:$F,RANDBETWEEN(2,COUNTA(rua_cod!F:F)))</f>
        <v>Calçada do Moinho de Vento</v>
      </c>
      <c r="H137" t="str" cm="1">
        <f t="array" aca="1" ref="H137" ca="1">INDEX(rua_cod!$A:$A,Users!V137) &amp; "-" &amp; TEXT(RANDBETWEEN(0,999),"000")</f>
        <v>2745-995</v>
      </c>
      <c r="I137" t="str" cm="1">
        <f t="array" aca="1" ref="I137" ca="1">INDEX(rua_cod!$B:$B,Users!V137)</f>
        <v>Queluz</v>
      </c>
      <c r="J137" t="s">
        <v>3728</v>
      </c>
      <c r="K137" t="s">
        <v>225</v>
      </c>
      <c r="L137" t="s">
        <v>265</v>
      </c>
      <c r="M137" t="str">
        <f t="shared" ca="1" si="21"/>
        <v>16009308</v>
      </c>
      <c r="N137" t="str">
        <f t="shared" ca="1" si="22"/>
        <v>439240999</v>
      </c>
      <c r="O137" t="str">
        <f t="shared" ca="1" si="22"/>
        <v>159994665</v>
      </c>
      <c r="P137" t="str" cm="1">
        <f t="array" aca="1" ref="P137" ca="1">9 &amp; INDEX($AF$3:$AF$6,W137)&amp; TEXT(RANDBETWEEN(0,9999999),"0000000")</f>
        <v>925552947</v>
      </c>
      <c r="Q137" t="str" cm="1">
        <f t="array" aca="1" ref="Q137" ca="1">LOWER(B137) &amp; INDEX($AF$9:$AF$11,X137)</f>
        <v>gabluz2745@outlook.com</v>
      </c>
      <c r="R137" t="str">
        <f t="shared" ca="1" si="23"/>
        <v>gabluz2745.jpg</v>
      </c>
      <c r="T137" s="4"/>
      <c r="V137">
        <f ca="1">RANDBETWEEN(2,COUNTA(rua_cod!A:A))</f>
        <v>90</v>
      </c>
      <c r="W137">
        <f t="shared" ca="1" si="24"/>
        <v>2</v>
      </c>
      <c r="X137">
        <f t="shared" ca="1" si="25"/>
        <v>1</v>
      </c>
      <c r="Y137">
        <f t="shared" ca="1" si="26"/>
        <v>1984</v>
      </c>
      <c r="Z137">
        <f t="shared" ca="1" si="27"/>
        <v>7</v>
      </c>
      <c r="AA137">
        <f t="shared" ca="1" si="28"/>
        <v>12</v>
      </c>
      <c r="AB137">
        <f t="shared" ca="1" si="29"/>
        <v>36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bruora2610</v>
      </c>
      <c r="C138" t="str">
        <f t="shared" ca="1" si="20"/>
        <v>pswbruora2610</v>
      </c>
      <c r="D138" t="str">
        <f ca="1">Nomes!T139</f>
        <v>Bruno José Campos Batista</v>
      </c>
      <c r="E138" t="str">
        <f>Nomes!S139</f>
        <v>Masculino</v>
      </c>
      <c r="F138" s="2">
        <v>14392</v>
      </c>
      <c r="G138" t="str" cm="1">
        <f t="array" aca="1" ref="G138" ca="1">INDEX(rua_cod!$F:$F,RANDBETWEEN(2,COUNTA(rua_cod!F:F)))</f>
        <v>Rua do Comércio</v>
      </c>
      <c r="H138" t="str" cm="1">
        <f t="array" aca="1" ref="H138" ca="1">INDEX(rua_cod!$A:$A,Users!V138) &amp; "-" &amp; TEXT(RANDBETWEEN(0,999),"000")</f>
        <v>2610-062</v>
      </c>
      <c r="I138" t="str" cm="1">
        <f t="array" aca="1" ref="I138" ca="1">INDEX(rua_cod!$B:$B,Users!V138)</f>
        <v>Amadora</v>
      </c>
      <c r="J138" t="s">
        <v>3728</v>
      </c>
      <c r="K138" t="s">
        <v>225</v>
      </c>
      <c r="L138" t="s">
        <v>265</v>
      </c>
      <c r="M138" t="str">
        <f t="shared" ca="1" si="21"/>
        <v>79618941</v>
      </c>
      <c r="N138" t="str">
        <f t="shared" ca="1" si="22"/>
        <v>944733209</v>
      </c>
      <c r="O138" t="str">
        <f t="shared" ca="1" si="22"/>
        <v>164543169</v>
      </c>
      <c r="P138" t="str" cm="1">
        <f t="array" aca="1" ref="P138" ca="1">9 &amp; INDEX($AF$3:$AF$6,W138)&amp; TEXT(RANDBETWEEN(0,9999999),"0000000")</f>
        <v>937345920</v>
      </c>
      <c r="Q138" t="str" cm="1">
        <f t="array" aca="1" ref="Q138" ca="1">LOWER(B138) &amp; INDEX($AF$9:$AF$11,X138)</f>
        <v>bruora2610@outlook.com</v>
      </c>
      <c r="R138" t="str">
        <f t="shared" ca="1" si="23"/>
        <v>bruora2610.jpg</v>
      </c>
      <c r="T138" s="4"/>
      <c r="V138">
        <f ca="1">RANDBETWEEN(2,COUNTA(rua_cod!A:A))</f>
        <v>12</v>
      </c>
      <c r="W138">
        <f t="shared" ca="1" si="24"/>
        <v>3</v>
      </c>
      <c r="X138">
        <f t="shared" ca="1" si="25"/>
        <v>1</v>
      </c>
      <c r="Y138">
        <f t="shared" ca="1" si="26"/>
        <v>1970</v>
      </c>
      <c r="Z138">
        <f t="shared" ca="1" si="27"/>
        <v>2</v>
      </c>
      <c r="AA138">
        <f t="shared" ca="1" si="28"/>
        <v>13</v>
      </c>
      <c r="AB138">
        <f t="shared" ca="1" si="29"/>
        <v>50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marica2829</v>
      </c>
      <c r="C139" t="str">
        <f t="shared" ca="1" si="20"/>
        <v>pswmarica2829</v>
      </c>
      <c r="D139" t="str">
        <f ca="1">Nomes!T140</f>
        <v>Maria Tiago Abreu Costa</v>
      </c>
      <c r="E139" t="str">
        <f>Nomes!S140</f>
        <v>Feminino</v>
      </c>
      <c r="F139" s="2">
        <v>17070</v>
      </c>
      <c r="G139" t="str" cm="1">
        <f t="array" aca="1" ref="G139" ca="1">INDEX(rua_cod!$F:$F,RANDBETWEEN(2,COUNTA(rua_cod!F:F)))</f>
        <v>Rua do Guarda-Mor</v>
      </c>
      <c r="H139" t="str" cm="1">
        <f t="array" aca="1" ref="H139" ca="1">INDEX(rua_cod!$A:$A,Users!V139) &amp; "-" &amp; TEXT(RANDBETWEEN(0,999),"000")</f>
        <v>2829-408</v>
      </c>
      <c r="I139" t="str" cm="1">
        <f t="array" aca="1" ref="I139" ca="1">INDEX(rua_cod!$B:$B,Users!V139)</f>
        <v>Costa de Caparica</v>
      </c>
      <c r="J139" t="s">
        <v>3728</v>
      </c>
      <c r="K139" t="s">
        <v>225</v>
      </c>
      <c r="L139" t="s">
        <v>265</v>
      </c>
      <c r="M139" t="str">
        <f t="shared" ca="1" si="21"/>
        <v>52287054</v>
      </c>
      <c r="N139" t="str">
        <f t="shared" ca="1" si="22"/>
        <v>944383185</v>
      </c>
      <c r="O139" t="str">
        <f t="shared" ca="1" si="22"/>
        <v>624856183</v>
      </c>
      <c r="P139" t="str" cm="1">
        <f t="array" aca="1" ref="P139" ca="1">9 &amp; INDEX($AF$3:$AF$6,W139)&amp; TEXT(RANDBETWEEN(0,9999999),"0000000")</f>
        <v>969265468</v>
      </c>
      <c r="Q139" t="str" cm="1">
        <f t="array" aca="1" ref="Q139" ca="1">LOWER(B139) &amp; INDEX($AF$9:$AF$11,X139)</f>
        <v>marica2829@gmail.com</v>
      </c>
      <c r="R139" t="str">
        <f t="shared" ca="1" si="23"/>
        <v>marica2829.jpg</v>
      </c>
      <c r="T139" s="4"/>
      <c r="V139">
        <f ca="1">RANDBETWEEN(2,COUNTA(rua_cod!A:A))</f>
        <v>28</v>
      </c>
      <c r="W139">
        <f t="shared" ca="1" si="24"/>
        <v>4</v>
      </c>
      <c r="X139">
        <f t="shared" ca="1" si="25"/>
        <v>2</v>
      </c>
      <c r="Y139">
        <f t="shared" ca="1" si="26"/>
        <v>1969</v>
      </c>
      <c r="Z139">
        <f t="shared" ca="1" si="27"/>
        <v>8</v>
      </c>
      <c r="AA139">
        <f t="shared" ca="1" si="28"/>
        <v>2</v>
      </c>
      <c r="AB139">
        <f t="shared" ca="1" si="29"/>
        <v>51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marres2674</v>
      </c>
      <c r="C140" t="str">
        <f t="shared" ca="1" si="20"/>
        <v>pswmarres2674</v>
      </c>
      <c r="D140" t="str">
        <f ca="1">Nomes!T141</f>
        <v>Mariana Mariana Matias Almeida</v>
      </c>
      <c r="E140" t="str">
        <f>Nomes!S141</f>
        <v>Feminino</v>
      </c>
      <c r="F140" s="2">
        <v>18282</v>
      </c>
      <c r="G140" t="str" cm="1">
        <f t="array" aca="1" ref="G140" ca="1">INDEX(rua_cod!$F:$F,RANDBETWEEN(2,COUNTA(rua_cod!F:F)))</f>
        <v>Rua da Junqueira</v>
      </c>
      <c r="H140" t="str" cm="1">
        <f t="array" aca="1" ref="H140" ca="1">INDEX(rua_cod!$A:$A,Users!V140) &amp; "-" &amp; TEXT(RANDBETWEEN(0,999),"000")</f>
        <v>2674-439</v>
      </c>
      <c r="I140" t="str" cm="1">
        <f t="array" aca="1" ref="I140" ca="1">INDEX(rua_cod!$B:$B,Users!V140)</f>
        <v>Loures</v>
      </c>
      <c r="J140" t="s">
        <v>3728</v>
      </c>
      <c r="K140" t="s">
        <v>225</v>
      </c>
      <c r="L140" t="s">
        <v>265</v>
      </c>
      <c r="M140" t="str">
        <f t="shared" ca="1" si="21"/>
        <v>44621955</v>
      </c>
      <c r="N140" t="str">
        <f t="shared" ca="1" si="22"/>
        <v>144691123</v>
      </c>
      <c r="O140" t="str">
        <f t="shared" ca="1" si="22"/>
        <v>683861408</v>
      </c>
      <c r="P140" t="str" cm="1">
        <f t="array" aca="1" ref="P140" ca="1">9 &amp; INDEX($AF$3:$AF$6,W140)&amp; TEXT(RANDBETWEEN(0,9999999),"0000000")</f>
        <v>965786881</v>
      </c>
      <c r="Q140" t="str" cm="1">
        <f t="array" aca="1" ref="Q140" ca="1">LOWER(B140) &amp; INDEX($AF$9:$AF$11,X140)</f>
        <v>marres2674@outlook.com</v>
      </c>
      <c r="R140" t="str">
        <f t="shared" ca="1" si="23"/>
        <v>marres2674.jpg</v>
      </c>
      <c r="T140" s="4"/>
      <c r="V140">
        <f ca="1">RANDBETWEEN(2,COUNTA(rua_cod!A:A))</f>
        <v>84</v>
      </c>
      <c r="W140">
        <f t="shared" ca="1" si="24"/>
        <v>4</v>
      </c>
      <c r="X140">
        <f t="shared" ca="1" si="25"/>
        <v>1</v>
      </c>
      <c r="Y140">
        <f t="shared" ca="1" si="26"/>
        <v>2022</v>
      </c>
      <c r="Z140">
        <f t="shared" ca="1" si="27"/>
        <v>8</v>
      </c>
      <c r="AA140">
        <f t="shared" ca="1" si="28"/>
        <v>12</v>
      </c>
      <c r="AB140">
        <f t="shared" ca="1" si="29"/>
        <v>-2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veriro2830</v>
      </c>
      <c r="C141" t="str">
        <f t="shared" ca="1" si="20"/>
        <v>pswveriro2830</v>
      </c>
      <c r="D141" t="str">
        <f ca="1">Nomes!T142</f>
        <v>Vera João Rocha Almeida</v>
      </c>
      <c r="E141" t="str">
        <f>Nomes!S142</f>
        <v>Feminino</v>
      </c>
      <c r="F141" s="2">
        <v>9562</v>
      </c>
      <c r="G141" t="str" cm="1">
        <f t="array" aca="1" ref="G141" ca="1">INDEX(rua_cod!$F:$F,RANDBETWEEN(2,COUNTA(rua_cod!F:F)))</f>
        <v>Rua de São Mamede</v>
      </c>
      <c r="H141" t="str" cm="1">
        <f t="array" aca="1" ref="H141" ca="1">INDEX(rua_cod!$A:$A,Users!V141) &amp; "-" &amp; TEXT(RANDBETWEEN(0,999),"000")</f>
        <v>2830-350</v>
      </c>
      <c r="I141" t="str" cm="1">
        <f t="array" aca="1" ref="I141" ca="1">INDEX(rua_cod!$B:$B,Users!V141)</f>
        <v>Barreiro</v>
      </c>
      <c r="J141" t="s">
        <v>3728</v>
      </c>
      <c r="K141" t="s">
        <v>225</v>
      </c>
      <c r="L141" t="s">
        <v>265</v>
      </c>
      <c r="M141" t="str">
        <f t="shared" ca="1" si="21"/>
        <v>29730179</v>
      </c>
      <c r="N141" t="str">
        <f t="shared" ca="1" si="22"/>
        <v>684401874</v>
      </c>
      <c r="O141" t="str">
        <f t="shared" ca="1" si="22"/>
        <v>596211703</v>
      </c>
      <c r="P141" t="str" cm="1">
        <f t="array" aca="1" ref="P141" ca="1">9 &amp; INDEX($AF$3:$AF$6,W141)&amp; TEXT(RANDBETWEEN(0,9999999),"0000000")</f>
        <v>919558571</v>
      </c>
      <c r="Q141" t="str" cm="1">
        <f t="array" aca="1" ref="Q141" ca="1">LOWER(B141) &amp; INDEX($AF$9:$AF$11,X141)</f>
        <v>veriro2830@outlook.com</v>
      </c>
      <c r="R141" t="str">
        <f t="shared" ca="1" si="23"/>
        <v>veriro2830.jpg</v>
      </c>
      <c r="T141" s="4"/>
      <c r="V141">
        <f ca="1">RANDBETWEEN(2,COUNTA(rua_cod!A:A))</f>
        <v>16</v>
      </c>
      <c r="W141">
        <f t="shared" ca="1" si="24"/>
        <v>1</v>
      </c>
      <c r="X141">
        <f t="shared" ca="1" si="25"/>
        <v>1</v>
      </c>
      <c r="Y141">
        <f t="shared" ca="1" si="26"/>
        <v>2010</v>
      </c>
      <c r="Z141">
        <f t="shared" ca="1" si="27"/>
        <v>11</v>
      </c>
      <c r="AA141">
        <f t="shared" ca="1" si="28"/>
        <v>3</v>
      </c>
      <c r="AB141">
        <f t="shared" ca="1" si="29"/>
        <v>10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aforas2560</v>
      </c>
      <c r="C142" t="str">
        <f t="shared" ca="1" si="20"/>
        <v>pswaforas2560</v>
      </c>
      <c r="D142" t="str">
        <f ca="1">Nomes!T143</f>
        <v>Afonso Joana Mendes Pacheco</v>
      </c>
      <c r="E142" t="str">
        <f>Nomes!S143</f>
        <v>Masculino</v>
      </c>
      <c r="F142" s="2">
        <v>10733</v>
      </c>
      <c r="G142" t="str" cm="1">
        <f t="array" aca="1" ref="G142" ca="1">INDEX(rua_cod!$F:$F,RANDBETWEEN(2,COUNTA(rua_cod!F:F)))</f>
        <v>Rua do Instituto Bacteriológico</v>
      </c>
      <c r="H142" t="str" cm="1">
        <f t="array" aca="1" ref="H142" ca="1">INDEX(rua_cod!$A:$A,Users!V142) &amp; "-" &amp; TEXT(RANDBETWEEN(0,999),"000")</f>
        <v>2560-890</v>
      </c>
      <c r="I142" t="str" cm="1">
        <f t="array" aca="1" ref="I142" ca="1">INDEX(rua_cod!$B:$B,Users!V142)</f>
        <v>Torres Vedras</v>
      </c>
      <c r="J142" t="s">
        <v>3728</v>
      </c>
      <c r="K142" t="s">
        <v>225</v>
      </c>
      <c r="L142" t="s">
        <v>265</v>
      </c>
      <c r="M142" t="str">
        <f t="shared" ca="1" si="21"/>
        <v>45817672</v>
      </c>
      <c r="N142" t="str">
        <f t="shared" ca="1" si="22"/>
        <v>518068139</v>
      </c>
      <c r="O142" t="str">
        <f t="shared" ca="1" si="22"/>
        <v>770928307</v>
      </c>
      <c r="P142" t="str" cm="1">
        <f t="array" aca="1" ref="P142" ca="1">9 &amp; INDEX($AF$3:$AF$6,W142)&amp; TEXT(RANDBETWEEN(0,9999999),"0000000")</f>
        <v>926094310</v>
      </c>
      <c r="Q142" t="str" cm="1">
        <f t="array" aca="1" ref="Q142" ca="1">LOWER(B142) &amp; INDEX($AF$9:$AF$11,X142)</f>
        <v>aforas2560@sapo.pt</v>
      </c>
      <c r="R142" t="str">
        <f t="shared" ca="1" si="23"/>
        <v>aforas2560.jpg</v>
      </c>
      <c r="T142" s="4"/>
      <c r="V142">
        <f ca="1">RANDBETWEEN(2,COUNTA(rua_cod!A:A))</f>
        <v>104</v>
      </c>
      <c r="W142">
        <f t="shared" ca="1" si="24"/>
        <v>2</v>
      </c>
      <c r="X142">
        <f t="shared" ca="1" si="25"/>
        <v>3</v>
      </c>
      <c r="Y142">
        <f t="shared" ca="1" si="26"/>
        <v>1957</v>
      </c>
      <c r="Z142">
        <f t="shared" ca="1" si="27"/>
        <v>2</v>
      </c>
      <c r="AA142">
        <f t="shared" ca="1" si="28"/>
        <v>7</v>
      </c>
      <c r="AB142">
        <f t="shared" ca="1" si="29"/>
        <v>63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catboa1649</v>
      </c>
      <c r="C143" t="str">
        <f t="shared" ca="1" si="20"/>
        <v>pswcatboa1649</v>
      </c>
      <c r="D143" t="str">
        <f ca="1">Nomes!T144</f>
        <v>Catarina Gabriel Costa Marques</v>
      </c>
      <c r="E143" t="str">
        <f>Nomes!S144</f>
        <v>Feminino</v>
      </c>
      <c r="F143" s="2">
        <v>43003</v>
      </c>
      <c r="G143" t="str" cm="1">
        <f t="array" aca="1" ref="G143" ca="1">INDEX(rua_cod!$F:$F,RANDBETWEEN(2,COUNTA(rua_cod!F:F)))</f>
        <v>Rua de São Mamede</v>
      </c>
      <c r="H143" t="str" cm="1">
        <f t="array" aca="1" ref="H143" ca="1">INDEX(rua_cod!$A:$A,Users!V143) &amp; "-" &amp; TEXT(RANDBETWEEN(0,999),"000")</f>
        <v>1649-892</v>
      </c>
      <c r="I143" t="str" cm="1">
        <f t="array" aca="1" ref="I143" ca="1">INDEX(rua_cod!$B:$B,Users!V143)</f>
        <v>Lisboa</v>
      </c>
      <c r="J143" t="s">
        <v>3728</v>
      </c>
      <c r="K143" t="s">
        <v>225</v>
      </c>
      <c r="L143" t="s">
        <v>265</v>
      </c>
      <c r="M143" t="str">
        <f t="shared" ca="1" si="21"/>
        <v>24789105</v>
      </c>
      <c r="N143" t="str">
        <f t="shared" ca="1" si="22"/>
        <v>939075746</v>
      </c>
      <c r="O143" t="str">
        <f t="shared" ca="1" si="22"/>
        <v>546176408</v>
      </c>
      <c r="P143" t="str" cm="1">
        <f t="array" aca="1" ref="P143" ca="1">9 &amp; INDEX($AF$3:$AF$6,W143)&amp; TEXT(RANDBETWEEN(0,9999999),"0000000")</f>
        <v>935893781</v>
      </c>
      <c r="Q143" t="str" cm="1">
        <f t="array" aca="1" ref="Q143" ca="1">LOWER(B143) &amp; INDEX($AF$9:$AF$11,X143)</f>
        <v>catboa1649@outlook.com</v>
      </c>
      <c r="R143" t="str">
        <f t="shared" ca="1" si="23"/>
        <v>catboa1649.jpg</v>
      </c>
      <c r="T143" s="4"/>
      <c r="V143">
        <f ca="1">RANDBETWEEN(2,COUNTA(rua_cod!A:A))</f>
        <v>68</v>
      </c>
      <c r="W143">
        <f t="shared" ca="1" si="24"/>
        <v>3</v>
      </c>
      <c r="X143">
        <f t="shared" ca="1" si="25"/>
        <v>1</v>
      </c>
      <c r="Y143">
        <f t="shared" ca="1" si="26"/>
        <v>1965</v>
      </c>
      <c r="Z143">
        <f t="shared" ca="1" si="27"/>
        <v>9</v>
      </c>
      <c r="AA143">
        <f t="shared" ca="1" si="28"/>
        <v>14</v>
      </c>
      <c r="AB143">
        <f t="shared" ca="1" si="29"/>
        <v>55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marboa1749</v>
      </c>
      <c r="C144" t="str">
        <f t="shared" ca="1" si="20"/>
        <v>pswmarboa1749</v>
      </c>
      <c r="D144" t="str">
        <f ca="1">Nomes!T145</f>
        <v>Maria Diogo Barbosa Brito</v>
      </c>
      <c r="E144" t="str">
        <f>Nomes!S145</f>
        <v>Feminino</v>
      </c>
      <c r="F144" s="2">
        <v>29468</v>
      </c>
      <c r="G144" t="str" cm="1">
        <f t="array" aca="1" ref="G144" ca="1">INDEX(rua_cod!$F:$F,RANDBETWEEN(2,COUNTA(rua_cod!F:F)))</f>
        <v>Rua da Oliveira ao Carmo</v>
      </c>
      <c r="H144" t="str" cm="1">
        <f t="array" aca="1" ref="H144" ca="1">INDEX(rua_cod!$A:$A,Users!V144) &amp; "-" &amp; TEXT(RANDBETWEEN(0,999),"000")</f>
        <v>1749-100</v>
      </c>
      <c r="I144" t="str" cm="1">
        <f t="array" aca="1" ref="I144" ca="1">INDEX(rua_cod!$B:$B,Users!V144)</f>
        <v>Lisboa</v>
      </c>
      <c r="J144" t="s">
        <v>3728</v>
      </c>
      <c r="K144" t="s">
        <v>225</v>
      </c>
      <c r="L144" t="s">
        <v>265</v>
      </c>
      <c r="M144" t="str">
        <f t="shared" ca="1" si="21"/>
        <v>74128002</v>
      </c>
      <c r="N144" t="str">
        <f t="shared" ca="1" si="22"/>
        <v>829562658</v>
      </c>
      <c r="O144" t="str">
        <f t="shared" ca="1" si="22"/>
        <v>786142924</v>
      </c>
      <c r="P144" t="str" cm="1">
        <f t="array" aca="1" ref="P144" ca="1">9 &amp; INDEX($AF$3:$AF$6,W144)&amp; TEXT(RANDBETWEEN(0,9999999),"0000000")</f>
        <v>938690849</v>
      </c>
      <c r="Q144" t="str" cm="1">
        <f t="array" aca="1" ref="Q144" ca="1">LOWER(B144) &amp; INDEX($AF$9:$AF$11,X144)</f>
        <v>marboa1749@gmail.com</v>
      </c>
      <c r="R144" t="str">
        <f t="shared" ca="1" si="23"/>
        <v>marboa1749.jpg</v>
      </c>
      <c r="T144" s="4"/>
      <c r="V144">
        <f ca="1">RANDBETWEEN(2,COUNTA(rua_cod!A:A))</f>
        <v>61</v>
      </c>
      <c r="W144">
        <f t="shared" ca="1" si="24"/>
        <v>3</v>
      </c>
      <c r="X144">
        <f t="shared" ca="1" si="25"/>
        <v>2</v>
      </c>
      <c r="Y144">
        <f t="shared" ca="1" si="26"/>
        <v>1972</v>
      </c>
      <c r="Z144">
        <f t="shared" ca="1" si="27"/>
        <v>10</v>
      </c>
      <c r="AA144">
        <f t="shared" ca="1" si="28"/>
        <v>30</v>
      </c>
      <c r="AB144">
        <f t="shared" ca="1" si="29"/>
        <v>48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bearia2423</v>
      </c>
      <c r="C145" t="str">
        <f t="shared" ca="1" si="20"/>
        <v>pswbearia2423</v>
      </c>
      <c r="D145" t="str">
        <f ca="1">Nomes!T146</f>
        <v>Beatriz Diogo Lourenço Gomes</v>
      </c>
      <c r="E145" t="str">
        <f>Nomes!S146</f>
        <v>Feminino</v>
      </c>
      <c r="F145" s="2">
        <v>26648</v>
      </c>
      <c r="G145" t="str" cm="1">
        <f t="array" aca="1" ref="G145" ca="1">INDEX(rua_cod!$F:$F,RANDBETWEEN(2,COUNTA(rua_cod!F:F)))</f>
        <v>Estrada da Circunvalação de Lisboa</v>
      </c>
      <c r="H145" t="str" cm="1">
        <f t="array" aca="1" ref="H145" ca="1">INDEX(rua_cod!$A:$A,Users!V145) &amp; "-" &amp; TEXT(RANDBETWEEN(0,999),"000")</f>
        <v>2423-928</v>
      </c>
      <c r="I145" t="str" cm="1">
        <f t="array" aca="1" ref="I145" ca="1">INDEX(rua_cod!$B:$B,Users!V145)</f>
        <v>Leiria</v>
      </c>
      <c r="J145" t="s">
        <v>3728</v>
      </c>
      <c r="K145" t="s">
        <v>225</v>
      </c>
      <c r="L145" t="s">
        <v>265</v>
      </c>
      <c r="M145" t="str">
        <f t="shared" ca="1" si="21"/>
        <v>88382946</v>
      </c>
      <c r="N145" t="str">
        <f t="shared" ca="1" si="22"/>
        <v>922313203</v>
      </c>
      <c r="O145" t="str">
        <f t="shared" ca="1" si="22"/>
        <v>299979993</v>
      </c>
      <c r="P145" t="str" cm="1">
        <f t="array" aca="1" ref="P145" ca="1">9 &amp; INDEX($AF$3:$AF$6,W145)&amp; TEXT(RANDBETWEEN(0,9999999),"0000000")</f>
        <v>969877675</v>
      </c>
      <c r="Q145" t="str" cm="1">
        <f t="array" aca="1" ref="Q145" ca="1">LOWER(B145) &amp; INDEX($AF$9:$AF$11,X145)</f>
        <v>bearia2423@gmail.com</v>
      </c>
      <c r="R145" t="str">
        <f t="shared" ca="1" si="23"/>
        <v>bearia2423.jpg</v>
      </c>
      <c r="T145" s="4"/>
      <c r="V145">
        <f ca="1">RANDBETWEEN(2,COUNTA(rua_cod!A:A))</f>
        <v>38</v>
      </c>
      <c r="W145">
        <f t="shared" ca="1" si="24"/>
        <v>4</v>
      </c>
      <c r="X145">
        <f t="shared" ca="1" si="25"/>
        <v>2</v>
      </c>
      <c r="Y145">
        <f t="shared" ca="1" si="26"/>
        <v>2007</v>
      </c>
      <c r="Z145">
        <f t="shared" ca="1" si="27"/>
        <v>6</v>
      </c>
      <c r="AA145">
        <f t="shared" ca="1" si="28"/>
        <v>25</v>
      </c>
      <c r="AB145">
        <f t="shared" ca="1" si="29"/>
        <v>13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beaboa1049</v>
      </c>
      <c r="C146" t="str">
        <f t="shared" ca="1" si="20"/>
        <v>pswbeaboa1049</v>
      </c>
      <c r="D146" t="str">
        <f ca="1">Nomes!T147</f>
        <v>Beatriz Carolina Batista Campos</v>
      </c>
      <c r="E146" t="str">
        <f>Nomes!S147</f>
        <v>Feminino</v>
      </c>
      <c r="F146" s="2">
        <v>12366</v>
      </c>
      <c r="G146" t="str" cm="1">
        <f t="array" aca="1" ref="G146" ca="1">INDEX(rua_cod!$F:$F,RANDBETWEEN(2,COUNTA(rua_cod!F:F)))</f>
        <v>Rua do Instituto Bacteriológico</v>
      </c>
      <c r="H146" t="str" cm="1">
        <f t="array" aca="1" ref="H146" ca="1">INDEX(rua_cod!$A:$A,Users!V146) &amp; "-" &amp; TEXT(RANDBETWEEN(0,999),"000")</f>
        <v>1049-687</v>
      </c>
      <c r="I146" t="str" cm="1">
        <f t="array" aca="1" ref="I146" ca="1">INDEX(rua_cod!$B:$B,Users!V146)</f>
        <v>Lisboa</v>
      </c>
      <c r="J146" t="s">
        <v>3728</v>
      </c>
      <c r="K146" t="s">
        <v>225</v>
      </c>
      <c r="L146" t="s">
        <v>265</v>
      </c>
      <c r="M146" t="str">
        <f t="shared" ca="1" si="21"/>
        <v>43814734</v>
      </c>
      <c r="N146" t="str">
        <f t="shared" ca="1" si="22"/>
        <v>913068036</v>
      </c>
      <c r="O146" t="str">
        <f t="shared" ca="1" si="22"/>
        <v>699031218</v>
      </c>
      <c r="P146" t="str" cm="1">
        <f t="array" aca="1" ref="P146" ca="1">9 &amp; INDEX($AF$3:$AF$6,W146)&amp; TEXT(RANDBETWEEN(0,9999999),"0000000")</f>
        <v>913583164</v>
      </c>
      <c r="Q146" t="str" cm="1">
        <f t="array" aca="1" ref="Q146" ca="1">LOWER(B146) &amp; INDEX($AF$9:$AF$11,X146)</f>
        <v>beaboa1049@outlook.com</v>
      </c>
      <c r="R146" t="str">
        <f t="shared" ca="1" si="23"/>
        <v>beaboa1049.jpg</v>
      </c>
      <c r="T146" s="4"/>
      <c r="V146">
        <f ca="1">RANDBETWEEN(2,COUNTA(rua_cod!A:A))</f>
        <v>76</v>
      </c>
      <c r="W146">
        <f t="shared" ca="1" si="24"/>
        <v>1</v>
      </c>
      <c r="X146">
        <f t="shared" ca="1" si="25"/>
        <v>1</v>
      </c>
      <c r="Y146">
        <f t="shared" ca="1" si="26"/>
        <v>2032</v>
      </c>
      <c r="Z146">
        <f t="shared" ca="1" si="27"/>
        <v>8</v>
      </c>
      <c r="AA146">
        <f t="shared" ca="1" si="28"/>
        <v>2</v>
      </c>
      <c r="AB146">
        <f t="shared" ca="1" si="29"/>
        <v>-12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joaboa1070</v>
      </c>
      <c r="C147" t="str">
        <f t="shared" ca="1" si="20"/>
        <v>pswjoaboa1070</v>
      </c>
      <c r="D147" t="str">
        <f ca="1">Nomes!T148</f>
        <v>João Daniela Garcia Cardoso</v>
      </c>
      <c r="E147" t="str">
        <f>Nomes!S148</f>
        <v>Masculino</v>
      </c>
      <c r="F147" s="2">
        <v>15788</v>
      </c>
      <c r="G147" t="str" cm="1">
        <f t="array" aca="1" ref="G147" ca="1">INDEX(rua_cod!$F:$F,RANDBETWEEN(2,COUNTA(rua_cod!F:F)))</f>
        <v>Rua da Prata</v>
      </c>
      <c r="H147" t="str" cm="1">
        <f t="array" aca="1" ref="H147" ca="1">INDEX(rua_cod!$A:$A,Users!V147) &amp; "-" &amp; TEXT(RANDBETWEEN(0,999),"000")</f>
        <v>1070-408</v>
      </c>
      <c r="I147" t="str" cm="1">
        <f t="array" aca="1" ref="I147" ca="1">INDEX(rua_cod!$B:$B,Users!V147)</f>
        <v>Lisboa</v>
      </c>
      <c r="J147" t="s">
        <v>3728</v>
      </c>
      <c r="K147" t="s">
        <v>225</v>
      </c>
      <c r="L147" t="s">
        <v>265</v>
      </c>
      <c r="M147" t="str">
        <f t="shared" ca="1" si="21"/>
        <v>17088856</v>
      </c>
      <c r="N147" t="str">
        <f t="shared" ca="1" si="22"/>
        <v>634368742</v>
      </c>
      <c r="O147" t="str">
        <f t="shared" ca="1" si="22"/>
        <v>930511250</v>
      </c>
      <c r="P147" t="str" cm="1">
        <f t="array" aca="1" ref="P147" ca="1">9 &amp; INDEX($AF$3:$AF$6,W147)&amp; TEXT(RANDBETWEEN(0,9999999),"0000000")</f>
        <v>961774177</v>
      </c>
      <c r="Q147" t="str" cm="1">
        <f t="array" aca="1" ref="Q147" ca="1">LOWER(B147) &amp; INDEX($AF$9:$AF$11,X147)</f>
        <v>joaboa1070@sapo.pt</v>
      </c>
      <c r="R147" t="str">
        <f t="shared" ca="1" si="23"/>
        <v>joaboa1070.jpg</v>
      </c>
      <c r="T147" s="4"/>
      <c r="V147">
        <f ca="1">RANDBETWEEN(2,COUNTA(rua_cod!A:A))</f>
        <v>51</v>
      </c>
      <c r="W147">
        <f t="shared" ca="1" si="24"/>
        <v>4</v>
      </c>
      <c r="X147">
        <f t="shared" ca="1" si="25"/>
        <v>3</v>
      </c>
      <c r="Y147">
        <f t="shared" ca="1" si="26"/>
        <v>1979</v>
      </c>
      <c r="Z147">
        <f t="shared" ca="1" si="27"/>
        <v>3</v>
      </c>
      <c r="AA147">
        <f t="shared" ca="1" si="28"/>
        <v>26</v>
      </c>
      <c r="AB147">
        <f t="shared" ca="1" si="29"/>
        <v>41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rodlos2779</v>
      </c>
      <c r="C148" t="str">
        <f t="shared" ca="1" si="20"/>
        <v>pswrodlos2779</v>
      </c>
      <c r="D148" t="str">
        <f ca="1">Nomes!T149</f>
        <v>Rodrigo Lurdes Paiva Andrade</v>
      </c>
      <c r="E148" t="str">
        <f>Nomes!S149</f>
        <v>Masculino</v>
      </c>
      <c r="F148" s="2">
        <v>37028</v>
      </c>
      <c r="G148" t="str" cm="1">
        <f t="array" aca="1" ref="G148" ca="1">INDEX(rua_cod!$F:$F,RANDBETWEEN(2,COUNTA(rua_cod!F:F)))</f>
        <v>Avenida Ressano Garcia</v>
      </c>
      <c r="H148" t="str" cm="1">
        <f t="array" aca="1" ref="H148" ca="1">INDEX(rua_cod!$A:$A,Users!V148) &amp; "-" &amp; TEXT(RANDBETWEEN(0,999),"000")</f>
        <v>2779-041</v>
      </c>
      <c r="I148" t="str" cm="1">
        <f t="array" aca="1" ref="I148" ca="1">INDEX(rua_cod!$B:$B,Users!V148)</f>
        <v>Carcavelos</v>
      </c>
      <c r="J148" t="s">
        <v>3728</v>
      </c>
      <c r="K148" t="s">
        <v>225</v>
      </c>
      <c r="L148" t="s">
        <v>265</v>
      </c>
      <c r="M148" t="str">
        <f t="shared" ca="1" si="21"/>
        <v>30734060</v>
      </c>
      <c r="N148" t="str">
        <f t="shared" ca="1" si="22"/>
        <v>682332053</v>
      </c>
      <c r="O148" t="str">
        <f t="shared" ca="1" si="22"/>
        <v>424332650</v>
      </c>
      <c r="P148" t="str" cm="1">
        <f t="array" aca="1" ref="P148" ca="1">9 &amp; INDEX($AF$3:$AF$6,W148)&amp; TEXT(RANDBETWEEN(0,9999999),"0000000")</f>
        <v>916800337</v>
      </c>
      <c r="Q148" t="str" cm="1">
        <f t="array" aca="1" ref="Q148" ca="1">LOWER(B148) &amp; INDEX($AF$9:$AF$11,X148)</f>
        <v>rodlos2779@gmail.com</v>
      </c>
      <c r="R148" t="str">
        <f t="shared" ca="1" si="23"/>
        <v>rodlos2779.jpg</v>
      </c>
      <c r="T148" s="4"/>
      <c r="V148">
        <f ca="1">RANDBETWEEN(2,COUNTA(rua_cod!A:A))</f>
        <v>21</v>
      </c>
      <c r="W148">
        <f t="shared" ca="1" si="24"/>
        <v>1</v>
      </c>
      <c r="X148">
        <f t="shared" ca="1" si="25"/>
        <v>2</v>
      </c>
      <c r="Y148">
        <f t="shared" ca="1" si="26"/>
        <v>1973</v>
      </c>
      <c r="Z148">
        <f t="shared" ca="1" si="27"/>
        <v>1</v>
      </c>
      <c r="AA148">
        <f t="shared" ca="1" si="28"/>
        <v>7</v>
      </c>
      <c r="AB148">
        <f t="shared" ca="1" si="29"/>
        <v>47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andora2650</v>
      </c>
      <c r="C149" t="str">
        <f t="shared" ca="1" si="20"/>
        <v>pswandora2650</v>
      </c>
      <c r="D149" t="str">
        <f ca="1">Nomes!T150</f>
        <v>André Diogo Coelho Correia</v>
      </c>
      <c r="E149" t="str">
        <f>Nomes!S150</f>
        <v>Masculino</v>
      </c>
      <c r="F149" s="2">
        <v>36735</v>
      </c>
      <c r="G149" t="str" cm="1">
        <f t="array" aca="1" ref="G149" ca="1">INDEX(rua_cod!$F:$F,RANDBETWEEN(2,COUNTA(rua_cod!F:F)))</f>
        <v>Estrada Militar</v>
      </c>
      <c r="H149" t="str" cm="1">
        <f t="array" aca="1" ref="H149" ca="1">INDEX(rua_cod!$A:$A,Users!V149) &amp; "-" &amp; TEXT(RANDBETWEEN(0,999),"000")</f>
        <v>2650-564</v>
      </c>
      <c r="I149" t="str" cm="1">
        <f t="array" aca="1" ref="I149" ca="1">INDEX(rua_cod!$B:$B,Users!V149)</f>
        <v>Amadora</v>
      </c>
      <c r="J149" t="s">
        <v>3728</v>
      </c>
      <c r="K149" t="s">
        <v>225</v>
      </c>
      <c r="L149" t="s">
        <v>265</v>
      </c>
      <c r="M149" t="str">
        <f t="shared" ca="1" si="21"/>
        <v>22970671</v>
      </c>
      <c r="N149" t="str">
        <f t="shared" ca="1" si="22"/>
        <v>959751092</v>
      </c>
      <c r="O149" t="str">
        <f t="shared" ca="1" si="22"/>
        <v>504797798</v>
      </c>
      <c r="P149" t="str" cm="1">
        <f t="array" aca="1" ref="P149" ca="1">9 &amp; INDEX($AF$3:$AF$6,W149)&amp; TEXT(RANDBETWEEN(0,9999999),"0000000")</f>
        <v>920868714</v>
      </c>
      <c r="Q149" t="str" cm="1">
        <f t="array" aca="1" ref="Q149" ca="1">LOWER(B149) &amp; INDEX($AF$9:$AF$11,X149)</f>
        <v>andora2650@outlook.com</v>
      </c>
      <c r="R149" t="str">
        <f t="shared" ca="1" si="23"/>
        <v>andora2650.jpg</v>
      </c>
      <c r="T149" s="4"/>
      <c r="V149">
        <f ca="1">RANDBETWEEN(2,COUNTA(rua_cod!A:A))</f>
        <v>9</v>
      </c>
      <c r="W149">
        <f t="shared" ca="1" si="24"/>
        <v>2</v>
      </c>
      <c r="X149">
        <f t="shared" ca="1" si="25"/>
        <v>1</v>
      </c>
      <c r="Y149">
        <f t="shared" ca="1" si="26"/>
        <v>1983</v>
      </c>
      <c r="Z149">
        <f t="shared" ca="1" si="27"/>
        <v>11</v>
      </c>
      <c r="AA149">
        <f t="shared" ca="1" si="28"/>
        <v>25</v>
      </c>
      <c r="AB149">
        <f t="shared" ca="1" si="29"/>
        <v>37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fraboa1800</v>
      </c>
      <c r="C150" t="str">
        <f t="shared" ca="1" si="20"/>
        <v>pswfraboa1800</v>
      </c>
      <c r="D150" t="str">
        <f ca="1">Nomes!T151</f>
        <v>Francisca Miguel Correia Loureiro</v>
      </c>
      <c r="E150" t="str">
        <f>Nomes!S151</f>
        <v>Feminino</v>
      </c>
      <c r="F150" s="2">
        <v>29002</v>
      </c>
      <c r="G150" t="str" cm="1">
        <f t="array" aca="1" ref="G150" ca="1">INDEX(rua_cod!$F:$F,RANDBETWEEN(2,COUNTA(rua_cod!F:F)))</f>
        <v>Rua do Salitre</v>
      </c>
      <c r="H150" t="str" cm="1">
        <f t="array" aca="1" ref="H150" ca="1">INDEX(rua_cod!$A:$A,Users!V150) &amp; "-" &amp; TEXT(RANDBETWEEN(0,999),"000")</f>
        <v>1800-685</v>
      </c>
      <c r="I150" t="str" cm="1">
        <f t="array" aca="1" ref="I150" ca="1">INDEX(rua_cod!$B:$B,Users!V150)</f>
        <v>Lisboa</v>
      </c>
      <c r="J150" t="s">
        <v>3728</v>
      </c>
      <c r="K150" t="s">
        <v>225</v>
      </c>
      <c r="L150" t="s">
        <v>265</v>
      </c>
      <c r="M150" t="str">
        <f t="shared" ca="1" si="21"/>
        <v>67977170</v>
      </c>
      <c r="N150" t="str">
        <f t="shared" ca="1" si="22"/>
        <v>104520671</v>
      </c>
      <c r="O150" t="str">
        <f t="shared" ca="1" si="22"/>
        <v>247601799</v>
      </c>
      <c r="P150" t="str" cm="1">
        <f t="array" aca="1" ref="P150" ca="1">9 &amp; INDEX($AF$3:$AF$6,W150)&amp; TEXT(RANDBETWEEN(0,9999999),"0000000")</f>
        <v>928999574</v>
      </c>
      <c r="Q150" t="str" cm="1">
        <f t="array" aca="1" ref="Q150" ca="1">LOWER(B150) &amp; INDEX($AF$9:$AF$11,X150)</f>
        <v>fraboa1800@gmail.com</v>
      </c>
      <c r="R150" t="str">
        <f t="shared" ca="1" si="23"/>
        <v>fraboa1800.jpg</v>
      </c>
      <c r="T150" s="4"/>
      <c r="V150">
        <f ca="1">RANDBETWEEN(2,COUNTA(rua_cod!A:A))</f>
        <v>56</v>
      </c>
      <c r="W150">
        <f t="shared" ca="1" si="24"/>
        <v>2</v>
      </c>
      <c r="X150">
        <f t="shared" ca="1" si="25"/>
        <v>2</v>
      </c>
      <c r="Y150">
        <f t="shared" ca="1" si="26"/>
        <v>2014</v>
      </c>
      <c r="Z150">
        <f t="shared" ca="1" si="27"/>
        <v>12</v>
      </c>
      <c r="AA150">
        <f t="shared" ca="1" si="28"/>
        <v>15</v>
      </c>
      <c r="AB150">
        <f t="shared" ca="1" si="29"/>
        <v>6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fraada2809</v>
      </c>
      <c r="C151" t="str">
        <f t="shared" ca="1" si="20"/>
        <v>pswfraada2809</v>
      </c>
      <c r="D151" t="str">
        <f ca="1">Nomes!T152</f>
        <v>Francisco Pedro Machado Reis</v>
      </c>
      <c r="E151" t="str">
        <f>Nomes!S152</f>
        <v>Masculino</v>
      </c>
      <c r="F151" s="2">
        <v>41285</v>
      </c>
      <c r="G151" t="str" cm="1">
        <f t="array" aca="1" ref="G151" ca="1">INDEX(rua_cod!$F:$F,RANDBETWEEN(2,COUNTA(rua_cod!F:F)))</f>
        <v>Rua do Sol a Santana</v>
      </c>
      <c r="H151" t="str" cm="1">
        <f t="array" aca="1" ref="H151" ca="1">INDEX(rua_cod!$A:$A,Users!V151) &amp; "-" &amp; TEXT(RANDBETWEEN(0,999),"000")</f>
        <v>2809-317</v>
      </c>
      <c r="I151" t="str" cm="1">
        <f t="array" aca="1" ref="I151" ca="1">INDEX(rua_cod!$B:$B,Users!V151)</f>
        <v>Almada</v>
      </c>
      <c r="J151" t="s">
        <v>3728</v>
      </c>
      <c r="K151" t="s">
        <v>225</v>
      </c>
      <c r="L151" t="s">
        <v>265</v>
      </c>
      <c r="M151" t="str">
        <f t="shared" ca="1" si="21"/>
        <v>16003884</v>
      </c>
      <c r="N151" t="str">
        <f t="shared" ca="1" si="22"/>
        <v>193904937</v>
      </c>
      <c r="O151" t="str">
        <f t="shared" ca="1" si="22"/>
        <v>557314361</v>
      </c>
      <c r="P151" t="str" cm="1">
        <f t="array" aca="1" ref="P151" ca="1">9 &amp; INDEX($AF$3:$AF$6,W151)&amp; TEXT(RANDBETWEEN(0,9999999),"0000000")</f>
        <v>937561750</v>
      </c>
      <c r="Q151" t="str" cm="1">
        <f t="array" aca="1" ref="Q151" ca="1">LOWER(B151) &amp; INDEX($AF$9:$AF$11,X151)</f>
        <v>fraada2809@outlook.com</v>
      </c>
      <c r="R151" t="str">
        <f t="shared" ca="1" si="23"/>
        <v>fraada2809.jpg</v>
      </c>
      <c r="T151" s="4"/>
      <c r="V151">
        <f ca="1">RANDBETWEEN(2,COUNTA(rua_cod!A:A))</f>
        <v>5</v>
      </c>
      <c r="W151">
        <f t="shared" ca="1" si="24"/>
        <v>3</v>
      </c>
      <c r="X151">
        <f t="shared" ca="1" si="25"/>
        <v>1</v>
      </c>
      <c r="Y151">
        <f t="shared" ca="1" si="26"/>
        <v>1993</v>
      </c>
      <c r="Z151">
        <f t="shared" ca="1" si="27"/>
        <v>11</v>
      </c>
      <c r="AA151">
        <f t="shared" ca="1" si="28"/>
        <v>4</v>
      </c>
      <c r="AB151">
        <f t="shared" ca="1" si="29"/>
        <v>27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josora2720</v>
      </c>
      <c r="C152" t="str">
        <f t="shared" ca="1" si="20"/>
        <v>pswjosora2720</v>
      </c>
      <c r="D152" t="str">
        <f ca="1">Nomes!T153</f>
        <v>José Francisco Leite Mota</v>
      </c>
      <c r="E152" t="str">
        <f>Nomes!S153</f>
        <v>Masculino</v>
      </c>
      <c r="F152" s="2">
        <v>27590</v>
      </c>
      <c r="G152" t="str" cm="1">
        <f t="array" aca="1" ref="G152" ca="1">INDEX(rua_cod!$F:$F,RANDBETWEEN(2,COUNTA(rua_cod!F:F)))</f>
        <v>Rua do Arsenal</v>
      </c>
      <c r="H152" t="str" cm="1">
        <f t="array" aca="1" ref="H152" ca="1">INDEX(rua_cod!$A:$A,Users!V152) &amp; "-" &amp; TEXT(RANDBETWEEN(0,999),"000")</f>
        <v>2720-239</v>
      </c>
      <c r="I152" t="str" cm="1">
        <f t="array" aca="1" ref="I152" ca="1">INDEX(rua_cod!$B:$B,Users!V152)</f>
        <v>Amadora</v>
      </c>
      <c r="J152" t="s">
        <v>3728</v>
      </c>
      <c r="K152" t="s">
        <v>225</v>
      </c>
      <c r="L152" t="s">
        <v>265</v>
      </c>
      <c r="M152" t="str">
        <f t="shared" ca="1" si="21"/>
        <v>83243607</v>
      </c>
      <c r="N152" t="str">
        <f t="shared" ca="1" si="22"/>
        <v>822966778</v>
      </c>
      <c r="O152" t="str">
        <f t="shared" ca="1" si="22"/>
        <v>174808230</v>
      </c>
      <c r="P152" t="str" cm="1">
        <f t="array" aca="1" ref="P152" ca="1">9 &amp; INDEX($AF$3:$AF$6,W152)&amp; TEXT(RANDBETWEEN(0,9999999),"0000000")</f>
        <v>963626779</v>
      </c>
      <c r="Q152" t="str" cm="1">
        <f t="array" aca="1" ref="Q152" ca="1">LOWER(B152) &amp; INDEX($AF$9:$AF$11,X152)</f>
        <v>josora2720@sapo.pt</v>
      </c>
      <c r="R152" t="str">
        <f t="shared" ca="1" si="23"/>
        <v>josora2720.jpg</v>
      </c>
      <c r="T152" s="4"/>
      <c r="V152">
        <f ca="1">RANDBETWEEN(2,COUNTA(rua_cod!A:A))</f>
        <v>8</v>
      </c>
      <c r="W152">
        <f t="shared" ca="1" si="24"/>
        <v>4</v>
      </c>
      <c r="X152">
        <f t="shared" ca="1" si="25"/>
        <v>3</v>
      </c>
      <c r="Y152">
        <f t="shared" ca="1" si="26"/>
        <v>1983</v>
      </c>
      <c r="Z152">
        <f t="shared" ca="1" si="27"/>
        <v>11</v>
      </c>
      <c r="AA152">
        <f t="shared" ca="1" si="28"/>
        <v>19</v>
      </c>
      <c r="AB152">
        <f t="shared" ca="1" si="29"/>
        <v>37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tomboa1959</v>
      </c>
      <c r="C153" t="str">
        <f t="shared" ca="1" si="20"/>
        <v>pswtomboa1959</v>
      </c>
      <c r="D153" t="str">
        <f ca="1">Nomes!T154</f>
        <v>Tomás Martim Nogueira Macedo</v>
      </c>
      <c r="E153" t="str">
        <f>Nomes!S154</f>
        <v>Masculino</v>
      </c>
      <c r="F153" s="2">
        <v>30972</v>
      </c>
      <c r="G153" t="str" cm="1">
        <f t="array" aca="1" ref="G153" ca="1">INDEX(rua_cod!$F:$F,RANDBETWEEN(2,COUNTA(rua_cod!F:F)))</f>
        <v>Rua da Alfândega</v>
      </c>
      <c r="H153" t="str" cm="1">
        <f t="array" aca="1" ref="H153" ca="1">INDEX(rua_cod!$A:$A,Users!V153) &amp; "-" &amp; TEXT(RANDBETWEEN(0,999),"000")</f>
        <v>1959-145</v>
      </c>
      <c r="I153" t="str" cm="1">
        <f t="array" aca="1" ref="I153" ca="1">INDEX(rua_cod!$B:$B,Users!V153)</f>
        <v>Lisboa</v>
      </c>
      <c r="J153" t="s">
        <v>3728</v>
      </c>
      <c r="K153" t="s">
        <v>225</v>
      </c>
      <c r="L153" t="s">
        <v>265</v>
      </c>
      <c r="M153" t="str">
        <f t="shared" ca="1" si="21"/>
        <v>98070789</v>
      </c>
      <c r="N153" t="str">
        <f t="shared" ca="1" si="22"/>
        <v>631126404</v>
      </c>
      <c r="O153" t="str">
        <f t="shared" ca="1" si="22"/>
        <v>968908092</v>
      </c>
      <c r="P153" t="str" cm="1">
        <f t="array" aca="1" ref="P153" ca="1">9 &amp; INDEX($AF$3:$AF$6,W153)&amp; TEXT(RANDBETWEEN(0,9999999),"0000000")</f>
        <v>936642550</v>
      </c>
      <c r="Q153" t="str" cm="1">
        <f t="array" aca="1" ref="Q153" ca="1">LOWER(B153) &amp; INDEX($AF$9:$AF$11,X153)</f>
        <v>tomboa1959@outlook.com</v>
      </c>
      <c r="R153" t="str">
        <f t="shared" ca="1" si="23"/>
        <v>tomboa1959.jpg</v>
      </c>
      <c r="T153" s="4"/>
      <c r="V153">
        <f ca="1">RANDBETWEEN(2,COUNTA(rua_cod!A:A))</f>
        <v>72</v>
      </c>
      <c r="W153">
        <f t="shared" ca="1" si="24"/>
        <v>3</v>
      </c>
      <c r="X153">
        <f t="shared" ca="1" si="25"/>
        <v>1</v>
      </c>
      <c r="Y153">
        <f t="shared" ca="1" si="26"/>
        <v>1954</v>
      </c>
      <c r="Z153">
        <f t="shared" ca="1" si="27"/>
        <v>10</v>
      </c>
      <c r="AA153">
        <f t="shared" ca="1" si="28"/>
        <v>20</v>
      </c>
      <c r="AB153">
        <f t="shared" ca="1" si="29"/>
        <v>66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marais2750</v>
      </c>
      <c r="C154" t="str">
        <f t="shared" ca="1" si="20"/>
        <v>pswmarais2750</v>
      </c>
      <c r="D154" t="str">
        <f ca="1">Nomes!T155</f>
        <v>Marco Maria Santos Torres</v>
      </c>
      <c r="E154" t="str">
        <f>Nomes!S155</f>
        <v>Masculino</v>
      </c>
      <c r="F154" s="2">
        <v>9540</v>
      </c>
      <c r="G154" t="str" cm="1">
        <f t="array" aca="1" ref="G154" ca="1">INDEX(rua_cod!$F:$F,RANDBETWEEN(2,COUNTA(rua_cod!F:F)))</f>
        <v>Rua do Comércio</v>
      </c>
      <c r="H154" t="str" cm="1">
        <f t="array" aca="1" ref="H154" ca="1">INDEX(rua_cod!$A:$A,Users!V154) &amp; "-" &amp; TEXT(RANDBETWEEN(0,999),"000")</f>
        <v>2750-095</v>
      </c>
      <c r="I154" t="str" cm="1">
        <f t="array" aca="1" ref="I154" ca="1">INDEX(rua_cod!$B:$B,Users!V154)</f>
        <v>Cascais</v>
      </c>
      <c r="J154" t="s">
        <v>3728</v>
      </c>
      <c r="K154" t="s">
        <v>225</v>
      </c>
      <c r="L154" t="s">
        <v>265</v>
      </c>
      <c r="M154" t="str">
        <f t="shared" ca="1" si="21"/>
        <v>94915149</v>
      </c>
      <c r="N154" t="str">
        <f t="shared" ca="1" si="22"/>
        <v>270378463</v>
      </c>
      <c r="O154" t="str">
        <f t="shared" ca="1" si="22"/>
        <v>704185229</v>
      </c>
      <c r="P154" t="str" cm="1">
        <f t="array" aca="1" ref="P154" ca="1">9 &amp; INDEX($AF$3:$AF$6,W154)&amp; TEXT(RANDBETWEEN(0,9999999),"0000000")</f>
        <v>960191379</v>
      </c>
      <c r="Q154" t="str" cm="1">
        <f t="array" aca="1" ref="Q154" ca="1">LOWER(B154) &amp; INDEX($AF$9:$AF$11,X154)</f>
        <v>marais2750@sapo.pt</v>
      </c>
      <c r="R154" t="str">
        <f t="shared" ca="1" si="23"/>
        <v>marais2750.jpg</v>
      </c>
      <c r="T154" s="4"/>
      <c r="V154">
        <f ca="1">RANDBETWEEN(2,COUNTA(rua_cod!A:A))</f>
        <v>24</v>
      </c>
      <c r="W154">
        <f t="shared" ca="1" si="24"/>
        <v>4</v>
      </c>
      <c r="X154">
        <f t="shared" ca="1" si="25"/>
        <v>3</v>
      </c>
      <c r="Y154">
        <f t="shared" ca="1" si="26"/>
        <v>1992</v>
      </c>
      <c r="Z154">
        <f t="shared" ca="1" si="27"/>
        <v>4</v>
      </c>
      <c r="AA154">
        <f t="shared" ca="1" si="28"/>
        <v>4</v>
      </c>
      <c r="AB154">
        <f t="shared" ca="1" si="29"/>
        <v>28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marada2814</v>
      </c>
      <c r="C155" t="str">
        <f t="shared" ca="1" si="20"/>
        <v>pswmarada2814</v>
      </c>
      <c r="D155" t="str">
        <f ca="1">Nomes!T156</f>
        <v>Marco Gabriel Mendes Lopes</v>
      </c>
      <c r="E155" t="str">
        <f>Nomes!S156</f>
        <v>Masculino</v>
      </c>
      <c r="F155" s="2">
        <v>9785</v>
      </c>
      <c r="G155" t="str" cm="1">
        <f t="array" aca="1" ref="G155" ca="1">INDEX(rua_cod!$F:$F,RANDBETWEEN(2,COUNTA(rua_cod!F:F)))</f>
        <v>Estrada Militar</v>
      </c>
      <c r="H155" t="str" cm="1">
        <f t="array" aca="1" ref="H155" ca="1">INDEX(rua_cod!$A:$A,Users!V155) &amp; "-" &amp; TEXT(RANDBETWEEN(0,999),"000")</f>
        <v>2814-785</v>
      </c>
      <c r="I155" t="str" cm="1">
        <f t="array" aca="1" ref="I155" ca="1">INDEX(rua_cod!$B:$B,Users!V155)</f>
        <v>Almada</v>
      </c>
      <c r="J155" t="s">
        <v>3728</v>
      </c>
      <c r="K155" t="s">
        <v>225</v>
      </c>
      <c r="L155" t="s">
        <v>265</v>
      </c>
      <c r="M155" t="str">
        <f t="shared" ca="1" si="21"/>
        <v>10888167</v>
      </c>
      <c r="N155" t="str">
        <f t="shared" ca="1" si="22"/>
        <v>427652771</v>
      </c>
      <c r="O155" t="str">
        <f t="shared" ca="1" si="22"/>
        <v>286061730</v>
      </c>
      <c r="P155" t="str" cm="1">
        <f t="array" aca="1" ref="P155" ca="1">9 &amp; INDEX($AF$3:$AF$6,W155)&amp; TEXT(RANDBETWEEN(0,9999999),"0000000")</f>
        <v>933725086</v>
      </c>
      <c r="Q155" t="str" cm="1">
        <f t="array" aca="1" ref="Q155" ca="1">LOWER(B155) &amp; INDEX($AF$9:$AF$11,X155)</f>
        <v>marada2814@gmail.com</v>
      </c>
      <c r="R155" t="str">
        <f t="shared" ca="1" si="23"/>
        <v>marada2814.jpg</v>
      </c>
      <c r="T155" s="4"/>
      <c r="V155">
        <f ca="1">RANDBETWEEN(2,COUNTA(rua_cod!A:A))</f>
        <v>6</v>
      </c>
      <c r="W155">
        <f t="shared" ca="1" si="24"/>
        <v>3</v>
      </c>
      <c r="X155">
        <f t="shared" ca="1" si="25"/>
        <v>2</v>
      </c>
      <c r="Y155">
        <f t="shared" ca="1" si="26"/>
        <v>1953</v>
      </c>
      <c r="Z155">
        <f t="shared" ca="1" si="27"/>
        <v>2</v>
      </c>
      <c r="AA155">
        <f t="shared" ca="1" si="28"/>
        <v>4</v>
      </c>
      <c r="AB155">
        <f t="shared" ca="1" si="29"/>
        <v>67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rodboa1400</v>
      </c>
      <c r="C156" t="str">
        <f t="shared" ca="1" si="20"/>
        <v>pswrodboa1400</v>
      </c>
      <c r="D156" t="str">
        <f ca="1">Nomes!T157</f>
        <v>Rodrigo Pedro Teixeira Amaral</v>
      </c>
      <c r="E156" t="str">
        <f>Nomes!S157</f>
        <v>Masculino</v>
      </c>
      <c r="F156" s="2">
        <v>26847</v>
      </c>
      <c r="G156" t="str" cm="1">
        <f t="array" aca="1" ref="G156" ca="1">INDEX(rua_cod!$F:$F,RANDBETWEEN(2,COUNTA(rua_cod!F:F)))</f>
        <v>Rua do Salitre</v>
      </c>
      <c r="H156" t="str" cm="1">
        <f t="array" aca="1" ref="H156" ca="1">INDEX(rua_cod!$A:$A,Users!V156) &amp; "-" &amp; TEXT(RANDBETWEEN(0,999),"000")</f>
        <v>1400-890</v>
      </c>
      <c r="I156" t="str" cm="1">
        <f t="array" aca="1" ref="I156" ca="1">INDEX(rua_cod!$B:$B,Users!V156)</f>
        <v>Lisboa</v>
      </c>
      <c r="J156" t="s">
        <v>3728</v>
      </c>
      <c r="K156" t="s">
        <v>225</v>
      </c>
      <c r="L156" t="s">
        <v>265</v>
      </c>
      <c r="M156" t="str">
        <f t="shared" ca="1" si="21"/>
        <v>19514692</v>
      </c>
      <c r="N156" t="str">
        <f t="shared" ca="1" si="22"/>
        <v>687778682</v>
      </c>
      <c r="O156" t="str">
        <f t="shared" ca="1" si="22"/>
        <v>121510809</v>
      </c>
      <c r="P156" t="str" cm="1">
        <f t="array" aca="1" ref="P156" ca="1">9 &amp; INDEX($AF$3:$AF$6,W156)&amp; TEXT(RANDBETWEEN(0,9999999),"0000000")</f>
        <v>920774688</v>
      </c>
      <c r="Q156" t="str" cm="1">
        <f t="array" aca="1" ref="Q156" ca="1">LOWER(B156) &amp; INDEX($AF$9:$AF$11,X156)</f>
        <v>rodboa1400@outlook.com</v>
      </c>
      <c r="R156" t="str">
        <f t="shared" ca="1" si="23"/>
        <v>rodboa1400.jpg</v>
      </c>
      <c r="T156" s="4"/>
      <c r="V156">
        <f ca="1">RANDBETWEEN(2,COUNTA(rua_cod!A:A))</f>
        <v>57</v>
      </c>
      <c r="W156">
        <f t="shared" ca="1" si="24"/>
        <v>2</v>
      </c>
      <c r="X156">
        <f t="shared" ca="1" si="25"/>
        <v>1</v>
      </c>
      <c r="Y156">
        <f t="shared" ca="1" si="26"/>
        <v>1938</v>
      </c>
      <c r="Z156">
        <f t="shared" ca="1" si="27"/>
        <v>10</v>
      </c>
      <c r="AA156">
        <f t="shared" ca="1" si="28"/>
        <v>21</v>
      </c>
      <c r="AB156">
        <f t="shared" ca="1" si="29"/>
        <v>82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gabboa1800</v>
      </c>
      <c r="C157" t="str">
        <f t="shared" ca="1" si="20"/>
        <v>pswgabboa1800</v>
      </c>
      <c r="D157" t="str">
        <f ca="1">Nomes!T158</f>
        <v>Gabriel João Baptista Leite</v>
      </c>
      <c r="E157" t="str">
        <f>Nomes!S158</f>
        <v>Masculino</v>
      </c>
      <c r="F157" s="2">
        <v>44029</v>
      </c>
      <c r="G157" t="str" cm="1">
        <f t="array" aca="1" ref="G157" ca="1">INDEX(rua_cod!$F:$F,RANDBETWEEN(2,COUNTA(rua_cod!F:F)))</f>
        <v>Rua do Sol a Santana</v>
      </c>
      <c r="H157" t="str" cm="1">
        <f t="array" aca="1" ref="H157" ca="1">INDEX(rua_cod!$A:$A,Users!V157) &amp; "-" &amp; TEXT(RANDBETWEEN(0,999),"000")</f>
        <v>1800-909</v>
      </c>
      <c r="I157" t="str" cm="1">
        <f t="array" aca="1" ref="I157" ca="1">INDEX(rua_cod!$B:$B,Users!V157)</f>
        <v>Lisboa</v>
      </c>
      <c r="J157" t="s">
        <v>3728</v>
      </c>
      <c r="K157" t="s">
        <v>225</v>
      </c>
      <c r="L157" t="s">
        <v>265</v>
      </c>
      <c r="M157" t="str">
        <f t="shared" ca="1" si="21"/>
        <v>59203359</v>
      </c>
      <c r="N157" t="str">
        <f t="shared" ca="1" si="22"/>
        <v>254981847</v>
      </c>
      <c r="O157" t="str">
        <f t="shared" ca="1" si="22"/>
        <v>866712130</v>
      </c>
      <c r="P157" t="str" cm="1">
        <f t="array" aca="1" ref="P157" ca="1">9 &amp; INDEX($AF$3:$AF$6,W157)&amp; TEXT(RANDBETWEEN(0,9999999),"0000000")</f>
        <v>936597696</v>
      </c>
      <c r="Q157" t="str" cm="1">
        <f t="array" aca="1" ref="Q157" ca="1">LOWER(B157) &amp; INDEX($AF$9:$AF$11,X157)</f>
        <v>gabboa1800@outlook.com</v>
      </c>
      <c r="R157" t="str">
        <f t="shared" ca="1" si="23"/>
        <v>gabboa1800.jpg</v>
      </c>
      <c r="T157" s="4"/>
      <c r="V157">
        <f ca="1">RANDBETWEEN(2,COUNTA(rua_cod!A:A))</f>
        <v>56</v>
      </c>
      <c r="W157">
        <f t="shared" ca="1" si="24"/>
        <v>3</v>
      </c>
      <c r="X157">
        <f t="shared" ca="1" si="25"/>
        <v>1</v>
      </c>
      <c r="Y157">
        <f t="shared" ca="1" si="26"/>
        <v>1964</v>
      </c>
      <c r="Z157">
        <f t="shared" ca="1" si="27"/>
        <v>5</v>
      </c>
      <c r="AA157">
        <f t="shared" ca="1" si="28"/>
        <v>16</v>
      </c>
      <c r="AB157">
        <f t="shared" ca="1" si="29"/>
        <v>56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danais2754</v>
      </c>
      <c r="C158" t="str">
        <f t="shared" ca="1" si="20"/>
        <v>pswdanais2754</v>
      </c>
      <c r="D158" t="str">
        <f ca="1">Nomes!T159</f>
        <v>Daniela Mariana Paiva Figueiredo</v>
      </c>
      <c r="E158" t="str">
        <f>Nomes!S159</f>
        <v>Feminino</v>
      </c>
      <c r="F158" s="2">
        <v>11043</v>
      </c>
      <c r="G158" t="str" cm="1">
        <f t="array" aca="1" ref="G158" ca="1">INDEX(rua_cod!$F:$F,RANDBETWEEN(2,COUNTA(rua_cod!F:F)))</f>
        <v>Rua do Carmo</v>
      </c>
      <c r="H158" t="str" cm="1">
        <f t="array" aca="1" ref="H158" ca="1">INDEX(rua_cod!$A:$A,Users!V158) &amp; "-" &amp; TEXT(RANDBETWEEN(0,999),"000")</f>
        <v>2754-127</v>
      </c>
      <c r="I158" t="str" cm="1">
        <f t="array" aca="1" ref="I158" ca="1">INDEX(rua_cod!$B:$B,Users!V158)</f>
        <v>Cascais</v>
      </c>
      <c r="J158" t="s">
        <v>3728</v>
      </c>
      <c r="K158" t="s">
        <v>225</v>
      </c>
      <c r="L158" t="s">
        <v>265</v>
      </c>
      <c r="M158" t="str">
        <f t="shared" ca="1" si="21"/>
        <v>79149766</v>
      </c>
      <c r="N158" t="str">
        <f t="shared" ca="1" si="22"/>
        <v>476708984</v>
      </c>
      <c r="O158" t="str">
        <f t="shared" ca="1" si="22"/>
        <v>770353685</v>
      </c>
      <c r="P158" t="str" cm="1">
        <f t="array" aca="1" ref="P158" ca="1">9 &amp; INDEX($AF$3:$AF$6,W158)&amp; TEXT(RANDBETWEEN(0,9999999),"0000000")</f>
        <v>919940019</v>
      </c>
      <c r="Q158" t="str" cm="1">
        <f t="array" aca="1" ref="Q158" ca="1">LOWER(B158) &amp; INDEX($AF$9:$AF$11,X158)</f>
        <v>danais2754@gmail.com</v>
      </c>
      <c r="R158" t="str">
        <f t="shared" ca="1" si="23"/>
        <v>danais2754.jpg</v>
      </c>
      <c r="T158" s="4"/>
      <c r="V158">
        <f ca="1">RANDBETWEEN(2,COUNTA(rua_cod!A:A))</f>
        <v>25</v>
      </c>
      <c r="W158">
        <f t="shared" ca="1" si="24"/>
        <v>1</v>
      </c>
      <c r="X158">
        <f t="shared" ca="1" si="25"/>
        <v>2</v>
      </c>
      <c r="Y158">
        <f t="shared" ca="1" si="26"/>
        <v>2033</v>
      </c>
      <c r="Z158">
        <f t="shared" ca="1" si="27"/>
        <v>6</v>
      </c>
      <c r="AA158">
        <f t="shared" ca="1" si="28"/>
        <v>15</v>
      </c>
      <c r="AB158">
        <f t="shared" ca="1" si="29"/>
        <v>-13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bruica2825</v>
      </c>
      <c r="C159" t="str">
        <f t="shared" ca="1" si="20"/>
        <v>pswbruica2825</v>
      </c>
      <c r="D159" t="str">
        <f ca="1">Nomes!T160</f>
        <v>Bruno Catarina Amaral Abreu</v>
      </c>
      <c r="E159" t="str">
        <f>Nomes!S160</f>
        <v>Masculino</v>
      </c>
      <c r="F159" s="2">
        <v>28184</v>
      </c>
      <c r="G159" t="str" cm="1">
        <f t="array" aca="1" ref="G159" ca="1">INDEX(rua_cod!$F:$F,RANDBETWEEN(2,COUNTA(rua_cod!F:F)))</f>
        <v>Rua de São Julião</v>
      </c>
      <c r="H159" t="str" cm="1">
        <f t="array" aca="1" ref="H159" ca="1">INDEX(rua_cod!$A:$A,Users!V159) &amp; "-" &amp; TEXT(RANDBETWEEN(0,999),"000")</f>
        <v>2825-119</v>
      </c>
      <c r="I159" t="str" cm="1">
        <f t="array" aca="1" ref="I159" ca="1">INDEX(rua_cod!$B:$B,Users!V159)</f>
        <v>Costa de Caparica</v>
      </c>
      <c r="J159" t="s">
        <v>3728</v>
      </c>
      <c r="K159" t="s">
        <v>225</v>
      </c>
      <c r="L159" t="s">
        <v>265</v>
      </c>
      <c r="M159" t="str">
        <f t="shared" ca="1" si="21"/>
        <v>21188479</v>
      </c>
      <c r="N159" t="str">
        <f t="shared" ca="1" si="22"/>
        <v>973596693</v>
      </c>
      <c r="O159" t="str">
        <f t="shared" ca="1" si="22"/>
        <v>148874359</v>
      </c>
      <c r="P159" t="str" cm="1">
        <f t="array" aca="1" ref="P159" ca="1">9 &amp; INDEX($AF$3:$AF$6,W159)&amp; TEXT(RANDBETWEEN(0,9999999),"0000000")</f>
        <v>939297597</v>
      </c>
      <c r="Q159" t="str" cm="1">
        <f t="array" aca="1" ref="Q159" ca="1">LOWER(B159) &amp; INDEX($AF$9:$AF$11,X159)</f>
        <v>bruica2825@gmail.com</v>
      </c>
      <c r="R159" t="str">
        <f t="shared" ca="1" si="23"/>
        <v>bruica2825.jpg</v>
      </c>
      <c r="T159" s="4"/>
      <c r="V159">
        <f ca="1">RANDBETWEEN(2,COUNTA(rua_cod!A:A))</f>
        <v>27</v>
      </c>
      <c r="W159">
        <f t="shared" ca="1" si="24"/>
        <v>3</v>
      </c>
      <c r="X159">
        <f t="shared" ca="1" si="25"/>
        <v>2</v>
      </c>
      <c r="Y159">
        <f t="shared" ca="1" si="26"/>
        <v>1941</v>
      </c>
      <c r="Z159">
        <f t="shared" ca="1" si="27"/>
        <v>8</v>
      </c>
      <c r="AA159">
        <f t="shared" ca="1" si="28"/>
        <v>8</v>
      </c>
      <c r="AB159">
        <f t="shared" ca="1" si="29"/>
        <v>79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sofboa1959</v>
      </c>
      <c r="C160" t="str">
        <f t="shared" ca="1" si="20"/>
        <v>pswsofboa1959</v>
      </c>
      <c r="D160" t="str">
        <f ca="1">Nomes!T161</f>
        <v>Sofia Inês Pinho Carneiro</v>
      </c>
      <c r="E160" t="str">
        <f>Nomes!S161</f>
        <v>Feminino</v>
      </c>
      <c r="F160" s="2">
        <v>20148</v>
      </c>
      <c r="G160" t="str" cm="1">
        <f t="array" aca="1" ref="G160" ca="1">INDEX(rua_cod!$F:$F,RANDBETWEEN(2,COUNTA(rua_cod!F:F)))</f>
        <v>Rua Ferreira Lapa</v>
      </c>
      <c r="H160" t="str" cm="1">
        <f t="array" aca="1" ref="H160" ca="1">INDEX(rua_cod!$A:$A,Users!V160) &amp; "-" &amp; TEXT(RANDBETWEEN(0,999),"000")</f>
        <v>1959-111</v>
      </c>
      <c r="I160" t="str" cm="1">
        <f t="array" aca="1" ref="I160" ca="1">INDEX(rua_cod!$B:$B,Users!V160)</f>
        <v>Lisboa</v>
      </c>
      <c r="J160" t="s">
        <v>3728</v>
      </c>
      <c r="K160" t="s">
        <v>225</v>
      </c>
      <c r="L160" t="s">
        <v>265</v>
      </c>
      <c r="M160" t="str">
        <f t="shared" ca="1" si="21"/>
        <v>15368160</v>
      </c>
      <c r="N160" t="str">
        <f t="shared" ca="1" si="22"/>
        <v>848325964</v>
      </c>
      <c r="O160" t="str">
        <f t="shared" ca="1" si="22"/>
        <v>325120993</v>
      </c>
      <c r="P160" t="str" cm="1">
        <f t="array" aca="1" ref="P160" ca="1">9 &amp; INDEX($AF$3:$AF$6,W160)&amp; TEXT(RANDBETWEEN(0,9999999),"0000000")</f>
        <v>965206635</v>
      </c>
      <c r="Q160" t="str" cm="1">
        <f t="array" aca="1" ref="Q160" ca="1">LOWER(B160) &amp; INDEX($AF$9:$AF$11,X160)</f>
        <v>sofboa1959@outlook.com</v>
      </c>
      <c r="R160" t="str">
        <f t="shared" ca="1" si="23"/>
        <v>sofboa1959.jpg</v>
      </c>
      <c r="T160" s="4"/>
      <c r="V160">
        <f ca="1">RANDBETWEEN(2,COUNTA(rua_cod!A:A))</f>
        <v>72</v>
      </c>
      <c r="W160">
        <f t="shared" ca="1" si="24"/>
        <v>4</v>
      </c>
      <c r="X160">
        <f t="shared" ca="1" si="25"/>
        <v>1</v>
      </c>
      <c r="Y160">
        <f t="shared" ca="1" si="26"/>
        <v>1996</v>
      </c>
      <c r="Z160">
        <f t="shared" ca="1" si="27"/>
        <v>10</v>
      </c>
      <c r="AA160">
        <f t="shared" ca="1" si="28"/>
        <v>2</v>
      </c>
      <c r="AB160">
        <f t="shared" ca="1" si="29"/>
        <v>24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marrem2004</v>
      </c>
      <c r="C161" t="str">
        <f t="shared" ca="1" si="20"/>
        <v>pswmarrem2004</v>
      </c>
      <c r="D161" t="str">
        <f ca="1">Nomes!T162</f>
        <v>Martim Martim Pacheco Amorim</v>
      </c>
      <c r="E161" t="str">
        <f>Nomes!S162</f>
        <v>Masculino</v>
      </c>
      <c r="F161" s="2">
        <v>40822</v>
      </c>
      <c r="G161" t="str" cm="1">
        <f t="array" aca="1" ref="G161" ca="1">INDEX(rua_cod!$F:$F,RANDBETWEEN(2,COUNTA(rua_cod!F:F)))</f>
        <v>Rua Júlio César Machado</v>
      </c>
      <c r="H161" t="str" cm="1">
        <f t="array" aca="1" ref="H161" ca="1">INDEX(rua_cod!$A:$A,Users!V161) &amp; "-" &amp; TEXT(RANDBETWEEN(0,999),"000")</f>
        <v>2004-807</v>
      </c>
      <c r="I161" t="str" cm="1">
        <f t="array" aca="1" ref="I161" ca="1">INDEX(rua_cod!$B:$B,Users!V161)</f>
        <v>Santarém</v>
      </c>
      <c r="J161" t="s">
        <v>3728</v>
      </c>
      <c r="K161" t="s">
        <v>225</v>
      </c>
      <c r="L161" t="s">
        <v>265</v>
      </c>
      <c r="M161" t="str">
        <f t="shared" ca="1" si="21"/>
        <v>14751030</v>
      </c>
      <c r="N161" t="str">
        <f t="shared" ca="1" si="22"/>
        <v>337073392</v>
      </c>
      <c r="O161" t="str">
        <f t="shared" ca="1" si="22"/>
        <v>238439835</v>
      </c>
      <c r="P161" t="str" cm="1">
        <f t="array" aca="1" ref="P161" ca="1">9 &amp; INDEX($AF$3:$AF$6,W161)&amp; TEXT(RANDBETWEEN(0,9999999),"0000000")</f>
        <v>932818839</v>
      </c>
      <c r="Q161" t="str" cm="1">
        <f t="array" aca="1" ref="Q161" ca="1">LOWER(B161) &amp; INDEX($AF$9:$AF$11,X161)</f>
        <v>marrem2004@sapo.pt</v>
      </c>
      <c r="R161" t="str">
        <f t="shared" ca="1" si="23"/>
        <v>marrem2004.jpg</v>
      </c>
      <c r="T161" s="4"/>
      <c r="V161">
        <f ca="1">RANDBETWEEN(2,COUNTA(rua_cod!A:A))</f>
        <v>94</v>
      </c>
      <c r="W161">
        <f t="shared" ca="1" si="24"/>
        <v>3</v>
      </c>
      <c r="X161">
        <f t="shared" ca="1" si="25"/>
        <v>3</v>
      </c>
      <c r="Y161">
        <f t="shared" ca="1" si="26"/>
        <v>1952</v>
      </c>
      <c r="Z161">
        <f t="shared" ca="1" si="27"/>
        <v>1</v>
      </c>
      <c r="AA161">
        <f t="shared" ca="1" si="28"/>
        <v>17</v>
      </c>
      <c r="AB161">
        <f t="shared" ca="1" si="29"/>
        <v>68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fraboa1067</v>
      </c>
      <c r="C162" t="str">
        <f t="shared" ca="1" si="20"/>
        <v>pswfraboa1067</v>
      </c>
      <c r="D162" t="str">
        <f ca="1">Nomes!T163</f>
        <v>Francisco Ricardo Guerreiro Jesus</v>
      </c>
      <c r="E162" t="str">
        <f>Nomes!S163</f>
        <v>Masculino</v>
      </c>
      <c r="F162" s="2">
        <v>24061</v>
      </c>
      <c r="G162" t="str" cm="1">
        <f t="array" aca="1" ref="G162" ca="1">INDEX(rua_cod!$F:$F,RANDBETWEEN(2,COUNTA(rua_cod!F:F)))</f>
        <v>Rua do Sol a Santana</v>
      </c>
      <c r="H162" t="str" cm="1">
        <f t="array" aca="1" ref="H162" ca="1">INDEX(rua_cod!$A:$A,Users!V162) &amp; "-" &amp; TEXT(RANDBETWEEN(0,999),"000")</f>
        <v>1067-744</v>
      </c>
      <c r="I162" t="str" cm="1">
        <f t="array" aca="1" ref="I162" ca="1">INDEX(rua_cod!$B:$B,Users!V162)</f>
        <v>Lisboa</v>
      </c>
      <c r="J162" t="s">
        <v>3728</v>
      </c>
      <c r="K162" t="s">
        <v>225</v>
      </c>
      <c r="L162" t="s">
        <v>265</v>
      </c>
      <c r="M162" t="str">
        <f t="shared" ca="1" si="21"/>
        <v>41825580</v>
      </c>
      <c r="N162" t="str">
        <f t="shared" ca="1" si="22"/>
        <v>367258751</v>
      </c>
      <c r="O162" t="str">
        <f t="shared" ca="1" si="22"/>
        <v>614902939</v>
      </c>
      <c r="P162" t="str" cm="1">
        <f t="array" aca="1" ref="P162" ca="1">9 &amp; INDEX($AF$3:$AF$6,W162)&amp; TEXT(RANDBETWEEN(0,9999999),"0000000")</f>
        <v>928871713</v>
      </c>
      <c r="Q162" t="str" cm="1">
        <f t="array" aca="1" ref="Q162" ca="1">LOWER(B162) &amp; INDEX($AF$9:$AF$11,X162)</f>
        <v>fraboa1067@outlook.com</v>
      </c>
      <c r="R162" t="str">
        <f t="shared" ca="1" si="23"/>
        <v>fraboa1067.jpg</v>
      </c>
      <c r="T162" s="4"/>
      <c r="V162">
        <f ca="1">RANDBETWEEN(2,COUNTA(rua_cod!A:A))</f>
        <v>82</v>
      </c>
      <c r="W162">
        <f t="shared" ca="1" si="24"/>
        <v>2</v>
      </c>
      <c r="X162">
        <f t="shared" ca="1" si="25"/>
        <v>1</v>
      </c>
      <c r="Y162">
        <f t="shared" ca="1" si="26"/>
        <v>1998</v>
      </c>
      <c r="Z162">
        <f t="shared" ca="1" si="27"/>
        <v>12</v>
      </c>
      <c r="AA162">
        <f t="shared" ca="1" si="28"/>
        <v>1</v>
      </c>
      <c r="AB162">
        <f t="shared" ca="1" si="29"/>
        <v>22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carijo2870</v>
      </c>
      <c r="C163" t="str">
        <f t="shared" ca="1" si="20"/>
        <v>pswcarijo2870</v>
      </c>
      <c r="D163" t="str">
        <f ca="1">Nomes!T164</f>
        <v>Carolina Duarte Figueiredo Guerreiro</v>
      </c>
      <c r="E163" t="str">
        <f>Nomes!S164</f>
        <v>Feminino</v>
      </c>
      <c r="F163" s="2">
        <v>29777</v>
      </c>
      <c r="G163" t="str" cm="1">
        <f t="array" aca="1" ref="G163" ca="1">INDEX(rua_cod!$F:$F,RANDBETWEEN(2,COUNTA(rua_cod!F:F)))</f>
        <v>Travessa de São João da Praça</v>
      </c>
      <c r="H163" t="str" cm="1">
        <f t="array" aca="1" ref="H163" ca="1">INDEX(rua_cod!$A:$A,Users!V163) &amp; "-" &amp; TEXT(RANDBETWEEN(0,999),"000")</f>
        <v>2870-380</v>
      </c>
      <c r="I163" t="str" cm="1">
        <f t="array" aca="1" ref="I163" ca="1">INDEX(rua_cod!$B:$B,Users!V163)</f>
        <v>Montijo</v>
      </c>
      <c r="J163" t="s">
        <v>3728</v>
      </c>
      <c r="K163" t="s">
        <v>225</v>
      </c>
      <c r="L163" t="s">
        <v>265</v>
      </c>
      <c r="M163" t="str">
        <f t="shared" ca="1" si="21"/>
        <v>75755478</v>
      </c>
      <c r="N163" t="str">
        <f t="shared" ca="1" si="22"/>
        <v>898792242</v>
      </c>
      <c r="O163" t="str">
        <f t="shared" ca="1" si="22"/>
        <v>249268188</v>
      </c>
      <c r="P163" t="str" cm="1">
        <f t="array" aca="1" ref="P163" ca="1">9 &amp; INDEX($AF$3:$AF$6,W163)&amp; TEXT(RANDBETWEEN(0,9999999),"0000000")</f>
        <v>921434795</v>
      </c>
      <c r="Q163" t="str" cm="1">
        <f t="array" aca="1" ref="Q163" ca="1">LOWER(B163) &amp; INDEX($AF$9:$AF$11,X163)</f>
        <v>carijo2870@sapo.pt</v>
      </c>
      <c r="R163" t="str">
        <f t="shared" ca="1" si="23"/>
        <v>carijo2870.jpg</v>
      </c>
      <c r="T163" s="4"/>
      <c r="V163">
        <f ca="1">RANDBETWEEN(2,COUNTA(rua_cod!A:A))</f>
        <v>87</v>
      </c>
      <c r="W163">
        <f t="shared" ca="1" si="24"/>
        <v>2</v>
      </c>
      <c r="X163">
        <f t="shared" ca="1" si="25"/>
        <v>3</v>
      </c>
      <c r="Y163">
        <f t="shared" ca="1" si="26"/>
        <v>1977</v>
      </c>
      <c r="Z163">
        <f t="shared" ca="1" si="27"/>
        <v>7</v>
      </c>
      <c r="AA163">
        <f t="shared" ca="1" si="28"/>
        <v>29</v>
      </c>
      <c r="AB163">
        <f t="shared" ca="1" si="29"/>
        <v>43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lurijo2870</v>
      </c>
      <c r="C164" t="str">
        <f t="shared" ca="1" si="20"/>
        <v>pswlurijo2870</v>
      </c>
      <c r="D164" t="str">
        <f ca="1">Nomes!T165</f>
        <v>Lurdes Beatriz Borges Neto</v>
      </c>
      <c r="E164" t="str">
        <f>Nomes!S165</f>
        <v>Feminino</v>
      </c>
      <c r="F164" s="2">
        <v>22302</v>
      </c>
      <c r="G164" t="str" cm="1">
        <f t="array" aca="1" ref="G164" ca="1">INDEX(rua_cod!$F:$F,RANDBETWEEN(2,COUNTA(rua_cod!F:F)))</f>
        <v>Rua Ferreira Lapa</v>
      </c>
      <c r="H164" t="str" cm="1">
        <f t="array" aca="1" ref="H164" ca="1">INDEX(rua_cod!$A:$A,Users!V164) &amp; "-" &amp; TEXT(RANDBETWEEN(0,999),"000")</f>
        <v>2870-010</v>
      </c>
      <c r="I164" t="str" cm="1">
        <f t="array" aca="1" ref="I164" ca="1">INDEX(rua_cod!$B:$B,Users!V164)</f>
        <v>Montijo</v>
      </c>
      <c r="J164" t="s">
        <v>3728</v>
      </c>
      <c r="K164" t="s">
        <v>225</v>
      </c>
      <c r="L164" t="s">
        <v>265</v>
      </c>
      <c r="M164" t="str">
        <f t="shared" ca="1" si="21"/>
        <v>58301014</v>
      </c>
      <c r="N164" t="str">
        <f t="shared" ca="1" si="22"/>
        <v>444668753</v>
      </c>
      <c r="O164" t="str">
        <f t="shared" ca="1" si="22"/>
        <v>692218272</v>
      </c>
      <c r="P164" t="str" cm="1">
        <f t="array" aca="1" ref="P164" ca="1">9 &amp; INDEX($AF$3:$AF$6,W164)&amp; TEXT(RANDBETWEEN(0,9999999),"0000000")</f>
        <v>960067370</v>
      </c>
      <c r="Q164" t="str" cm="1">
        <f t="array" aca="1" ref="Q164" ca="1">LOWER(B164) &amp; INDEX($AF$9:$AF$11,X164)</f>
        <v>lurijo2870@outlook.com</v>
      </c>
      <c r="R164" t="str">
        <f t="shared" ca="1" si="23"/>
        <v>lurijo2870.jpg</v>
      </c>
      <c r="T164" s="4"/>
      <c r="V164">
        <f ca="1">RANDBETWEEN(2,COUNTA(rua_cod!A:A))</f>
        <v>87</v>
      </c>
      <c r="W164">
        <f t="shared" ca="1" si="24"/>
        <v>4</v>
      </c>
      <c r="X164">
        <f t="shared" ca="1" si="25"/>
        <v>1</v>
      </c>
      <c r="Y164">
        <f t="shared" ca="1" si="26"/>
        <v>1984</v>
      </c>
      <c r="Z164">
        <f t="shared" ca="1" si="27"/>
        <v>2</v>
      </c>
      <c r="AA164">
        <f t="shared" ca="1" si="28"/>
        <v>11</v>
      </c>
      <c r="AB164">
        <f t="shared" ca="1" si="29"/>
        <v>36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fraboa1800</v>
      </c>
      <c r="C165" t="str">
        <f t="shared" ca="1" si="20"/>
        <v>pswfraboa1800</v>
      </c>
      <c r="D165" t="str">
        <f ca="1">Nomes!T166</f>
        <v>Francisca Joana Moreira Araújo</v>
      </c>
      <c r="E165" t="str">
        <f>Nomes!S166</f>
        <v>Feminino</v>
      </c>
      <c r="F165" s="2">
        <v>44419</v>
      </c>
      <c r="G165" t="str" cm="1">
        <f t="array" aca="1" ref="G165" ca="1">INDEX(rua_cod!$F:$F,RANDBETWEEN(2,COUNTA(rua_cod!F:F)))</f>
        <v>Rua Nova do Almada</v>
      </c>
      <c r="H165" t="str" cm="1">
        <f t="array" aca="1" ref="H165" ca="1">INDEX(rua_cod!$A:$A,Users!V165) &amp; "-" &amp; TEXT(RANDBETWEEN(0,999),"000")</f>
        <v>1800-718</v>
      </c>
      <c r="I165" t="str" cm="1">
        <f t="array" aca="1" ref="I165" ca="1">INDEX(rua_cod!$B:$B,Users!V165)</f>
        <v>Lisboa</v>
      </c>
      <c r="J165" t="s">
        <v>3728</v>
      </c>
      <c r="K165" t="s">
        <v>225</v>
      </c>
      <c r="L165" t="s">
        <v>265</v>
      </c>
      <c r="M165" t="str">
        <f t="shared" ca="1" si="21"/>
        <v>55998657</v>
      </c>
      <c r="N165" t="str">
        <f t="shared" ca="1" si="22"/>
        <v>915905460</v>
      </c>
      <c r="O165" t="str">
        <f t="shared" ca="1" si="22"/>
        <v>384263282</v>
      </c>
      <c r="P165" t="str" cm="1">
        <f t="array" aca="1" ref="P165" ca="1">9 &amp; INDEX($AF$3:$AF$6,W165)&amp; TEXT(RANDBETWEEN(0,9999999),"0000000")</f>
        <v>933912228</v>
      </c>
      <c r="Q165" t="str" cm="1">
        <f t="array" aca="1" ref="Q165" ca="1">LOWER(B165) &amp; INDEX($AF$9:$AF$11,X165)</f>
        <v>fraboa1800@sapo.pt</v>
      </c>
      <c r="R165" t="str">
        <f t="shared" ca="1" si="23"/>
        <v>fraboa1800.jpg</v>
      </c>
      <c r="T165" s="4"/>
      <c r="V165">
        <f ca="1">RANDBETWEEN(2,COUNTA(rua_cod!A:A))</f>
        <v>56</v>
      </c>
      <c r="W165">
        <f t="shared" ca="1" si="24"/>
        <v>3</v>
      </c>
      <c r="X165">
        <f t="shared" ca="1" si="25"/>
        <v>3</v>
      </c>
      <c r="Y165">
        <f t="shared" ca="1" si="26"/>
        <v>1994</v>
      </c>
      <c r="Z165">
        <f t="shared" ca="1" si="27"/>
        <v>10</v>
      </c>
      <c r="AA165">
        <f t="shared" ca="1" si="28"/>
        <v>25</v>
      </c>
      <c r="AB165">
        <f t="shared" ca="1" si="29"/>
        <v>26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marais2754</v>
      </c>
      <c r="C166" t="str">
        <f t="shared" ca="1" si="20"/>
        <v>pswmarais2754</v>
      </c>
      <c r="D166" t="str">
        <f ca="1">Nomes!T167</f>
        <v>Mariana Afonso Soares Raposo</v>
      </c>
      <c r="E166" t="str">
        <f>Nomes!S167</f>
        <v>Feminino</v>
      </c>
      <c r="F166" s="2">
        <v>11307</v>
      </c>
      <c r="G166" t="str" cm="1">
        <f t="array" aca="1" ref="G166" ca="1">INDEX(rua_cod!$F:$F,RANDBETWEEN(2,COUNTA(rua_cod!F:F)))</f>
        <v>Rua Roberto Duarte Silva</v>
      </c>
      <c r="H166" t="str" cm="1">
        <f t="array" aca="1" ref="H166" ca="1">INDEX(rua_cod!$A:$A,Users!V166) &amp; "-" &amp; TEXT(RANDBETWEEN(0,999),"000")</f>
        <v>2754-125</v>
      </c>
      <c r="I166" t="str" cm="1">
        <f t="array" aca="1" ref="I166" ca="1">INDEX(rua_cod!$B:$B,Users!V166)</f>
        <v>Cascais</v>
      </c>
      <c r="J166" t="s">
        <v>3728</v>
      </c>
      <c r="K166" t="s">
        <v>225</v>
      </c>
      <c r="L166" t="s">
        <v>265</v>
      </c>
      <c r="M166" t="str">
        <f t="shared" ca="1" si="21"/>
        <v>77969116</v>
      </c>
      <c r="N166" t="str">
        <f t="shared" ca="1" si="22"/>
        <v>601670795</v>
      </c>
      <c r="O166" t="str">
        <f t="shared" ca="1" si="22"/>
        <v>838116316</v>
      </c>
      <c r="P166" t="str" cm="1">
        <f t="array" aca="1" ref="P166" ca="1">9 &amp; INDEX($AF$3:$AF$6,W166)&amp; TEXT(RANDBETWEEN(0,9999999),"0000000")</f>
        <v>921109536</v>
      </c>
      <c r="Q166" t="str" cm="1">
        <f t="array" aca="1" ref="Q166" ca="1">LOWER(B166) &amp; INDEX($AF$9:$AF$11,X166)</f>
        <v>marais2754@sapo.pt</v>
      </c>
      <c r="R166" t="str">
        <f t="shared" ca="1" si="23"/>
        <v>marais2754.jpg</v>
      </c>
      <c r="T166" s="4"/>
      <c r="V166">
        <f ca="1">RANDBETWEEN(2,COUNTA(rua_cod!A:A))</f>
        <v>25</v>
      </c>
      <c r="W166">
        <f t="shared" ca="1" si="24"/>
        <v>2</v>
      </c>
      <c r="X166">
        <f t="shared" ca="1" si="25"/>
        <v>3</v>
      </c>
      <c r="Y166">
        <f t="shared" ca="1" si="26"/>
        <v>1979</v>
      </c>
      <c r="Z166">
        <f t="shared" ca="1" si="27"/>
        <v>4</v>
      </c>
      <c r="AA166">
        <f t="shared" ca="1" si="28"/>
        <v>4</v>
      </c>
      <c r="AB166">
        <f t="shared" ca="1" si="29"/>
        <v>41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verira2655</v>
      </c>
      <c r="C167" t="str">
        <f t="shared" ca="1" si="20"/>
        <v>pswverira2655</v>
      </c>
      <c r="D167" t="str">
        <f ca="1">Nomes!T168</f>
        <v>Vera Matilde Pinheiro Oliveira</v>
      </c>
      <c r="E167" t="str">
        <f>Nomes!S168</f>
        <v>Feminino</v>
      </c>
      <c r="F167" s="2">
        <v>31637</v>
      </c>
      <c r="G167" t="str" cm="1">
        <f t="array" aca="1" ref="G167" ca="1">INDEX(rua_cod!$F:$F,RANDBETWEEN(2,COUNTA(rua_cod!F:F)))</f>
        <v>Rua da Oliveira ao Carmo</v>
      </c>
      <c r="H167" t="str" cm="1">
        <f t="array" aca="1" ref="H167" ca="1">INDEX(rua_cod!$A:$A,Users!V167) &amp; "-" &amp; TEXT(RANDBETWEEN(0,999),"000")</f>
        <v>2655-991</v>
      </c>
      <c r="I167" t="str" cm="1">
        <f t="array" aca="1" ref="I167" ca="1">INDEX(rua_cod!$B:$B,Users!V167)</f>
        <v>Ericeira</v>
      </c>
      <c r="J167" t="s">
        <v>3728</v>
      </c>
      <c r="K167" t="s">
        <v>225</v>
      </c>
      <c r="L167" t="s">
        <v>265</v>
      </c>
      <c r="M167" t="str">
        <f t="shared" ca="1" si="21"/>
        <v>84333654</v>
      </c>
      <c r="N167" t="str">
        <f t="shared" ca="1" si="22"/>
        <v>548161345</v>
      </c>
      <c r="O167" t="str">
        <f t="shared" ca="1" si="22"/>
        <v>904456817</v>
      </c>
      <c r="P167" t="str" cm="1">
        <f t="array" aca="1" ref="P167" ca="1">9 &amp; INDEX($AF$3:$AF$6,W167)&amp; TEXT(RANDBETWEEN(0,9999999),"0000000")</f>
        <v>930993874</v>
      </c>
      <c r="Q167" t="str" cm="1">
        <f t="array" aca="1" ref="Q167" ca="1">LOWER(B167) &amp; INDEX($AF$9:$AF$11,X167)</f>
        <v>verira2655@gmail.com</v>
      </c>
      <c r="R167" t="str">
        <f t="shared" ca="1" si="23"/>
        <v>verira2655.jpg</v>
      </c>
      <c r="T167" s="4"/>
      <c r="V167">
        <f ca="1">RANDBETWEEN(2,COUNTA(rua_cod!A:A))</f>
        <v>31</v>
      </c>
      <c r="W167">
        <f t="shared" ca="1" si="24"/>
        <v>3</v>
      </c>
      <c r="X167">
        <f t="shared" ca="1" si="25"/>
        <v>2</v>
      </c>
      <c r="Y167">
        <f t="shared" ca="1" si="26"/>
        <v>1998</v>
      </c>
      <c r="Z167">
        <f t="shared" ca="1" si="27"/>
        <v>2</v>
      </c>
      <c r="AA167">
        <f t="shared" ca="1" si="28"/>
        <v>15</v>
      </c>
      <c r="AB167">
        <f t="shared" ca="1" si="29"/>
        <v>22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luiboa1600</v>
      </c>
      <c r="C168" t="str">
        <f t="shared" ca="1" si="20"/>
        <v>pswluiboa1600</v>
      </c>
      <c r="D168" t="str">
        <f ca="1">Nomes!T169</f>
        <v>Luís Miguel Teixeira Gonçalves</v>
      </c>
      <c r="E168" t="str">
        <f>Nomes!S169</f>
        <v>Masculino</v>
      </c>
      <c r="F168" s="2">
        <v>42520</v>
      </c>
      <c r="G168" t="str" cm="1">
        <f t="array" aca="1" ref="G168" ca="1">INDEX(rua_cod!$F:$F,RANDBETWEEN(2,COUNTA(rua_cod!F:F)))</f>
        <v>Rua do Arsenal</v>
      </c>
      <c r="H168" t="str" cm="1">
        <f t="array" aca="1" ref="H168" ca="1">INDEX(rua_cod!$A:$A,Users!V168) &amp; "-" &amp; TEXT(RANDBETWEEN(0,999),"000")</f>
        <v>1600-969</v>
      </c>
      <c r="I168" t="str" cm="1">
        <f t="array" aca="1" ref="I168" ca="1">INDEX(rua_cod!$B:$B,Users!V168)</f>
        <v>Lisboa</v>
      </c>
      <c r="J168" t="s">
        <v>3728</v>
      </c>
      <c r="K168" t="s">
        <v>225</v>
      </c>
      <c r="L168" t="s">
        <v>265</v>
      </c>
      <c r="M168" t="str">
        <f t="shared" ca="1" si="21"/>
        <v>76070588</v>
      </c>
      <c r="N168" t="str">
        <f t="shared" ca="1" si="22"/>
        <v>772131286</v>
      </c>
      <c r="O168" t="str">
        <f t="shared" ca="1" si="22"/>
        <v>349874755</v>
      </c>
      <c r="P168" t="str" cm="1">
        <f t="array" aca="1" ref="P168" ca="1">9 &amp; INDEX($AF$3:$AF$6,W168)&amp; TEXT(RANDBETWEEN(0,9999999),"0000000")</f>
        <v>927957518</v>
      </c>
      <c r="Q168" t="str" cm="1">
        <f t="array" aca="1" ref="Q168" ca="1">LOWER(B168) &amp; INDEX($AF$9:$AF$11,X168)</f>
        <v>luiboa1600@outlook.com</v>
      </c>
      <c r="R168" t="str">
        <f t="shared" ca="1" si="23"/>
        <v>luiboa1600.jpg</v>
      </c>
      <c r="T168" s="4"/>
      <c r="V168">
        <f ca="1">RANDBETWEEN(2,COUNTA(rua_cod!A:A))</f>
        <v>60</v>
      </c>
      <c r="W168">
        <f t="shared" ca="1" si="24"/>
        <v>2</v>
      </c>
      <c r="X168">
        <f t="shared" ca="1" si="25"/>
        <v>1</v>
      </c>
      <c r="Y168">
        <f t="shared" ca="1" si="26"/>
        <v>1930</v>
      </c>
      <c r="Z168">
        <f t="shared" ca="1" si="27"/>
        <v>5</v>
      </c>
      <c r="AA168">
        <f t="shared" ca="1" si="28"/>
        <v>23</v>
      </c>
      <c r="AB168">
        <f t="shared" ca="1" si="29"/>
        <v>90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tiaboa1900</v>
      </c>
      <c r="C169" t="str">
        <f t="shared" ca="1" si="20"/>
        <v>pswtiaboa1900</v>
      </c>
      <c r="D169" t="str">
        <f ca="1">Nomes!T170</f>
        <v>Tiago Catarina Faria Leal</v>
      </c>
      <c r="E169" t="str">
        <f>Nomes!S170</f>
        <v>Masculino</v>
      </c>
      <c r="F169" s="2">
        <v>37371</v>
      </c>
      <c r="G169" t="str" cm="1">
        <f t="array" aca="1" ref="G169" ca="1">INDEX(rua_cod!$F:$F,RANDBETWEEN(2,COUNTA(rua_cod!F:F)))</f>
        <v>Rua do Sol a Santana</v>
      </c>
      <c r="H169" t="str" cm="1">
        <f t="array" aca="1" ref="H169" ca="1">INDEX(rua_cod!$A:$A,Users!V169) &amp; "-" &amp; TEXT(RANDBETWEEN(0,999),"000")</f>
        <v>1900-621</v>
      </c>
      <c r="I169" t="str" cm="1">
        <f t="array" aca="1" ref="I169" ca="1">INDEX(rua_cod!$B:$B,Users!V169)</f>
        <v>Lisboa</v>
      </c>
      <c r="J169" t="s">
        <v>3728</v>
      </c>
      <c r="K169" t="s">
        <v>225</v>
      </c>
      <c r="L169" t="s">
        <v>265</v>
      </c>
      <c r="M169" t="str">
        <f t="shared" ca="1" si="21"/>
        <v>20258561</v>
      </c>
      <c r="N169" t="str">
        <f t="shared" ca="1" si="22"/>
        <v>692497350</v>
      </c>
      <c r="O169" t="str">
        <f t="shared" ca="1" si="22"/>
        <v>306145630</v>
      </c>
      <c r="P169" t="str" cm="1">
        <f t="array" aca="1" ref="P169" ca="1">9 &amp; INDEX($AF$3:$AF$6,W169)&amp; TEXT(RANDBETWEEN(0,9999999),"0000000")</f>
        <v>917674896</v>
      </c>
      <c r="Q169" t="str" cm="1">
        <f t="array" aca="1" ref="Q169" ca="1">LOWER(B169) &amp; INDEX($AF$9:$AF$11,X169)</f>
        <v>tiaboa1900@sapo.pt</v>
      </c>
      <c r="R169" t="str">
        <f t="shared" ca="1" si="23"/>
        <v>tiaboa1900.jpg</v>
      </c>
      <c r="T169" s="4"/>
      <c r="V169">
        <f ca="1">RANDBETWEEN(2,COUNTA(rua_cod!A:A))</f>
        <v>42</v>
      </c>
      <c r="W169">
        <f t="shared" ca="1" si="24"/>
        <v>1</v>
      </c>
      <c r="X169">
        <f t="shared" ca="1" si="25"/>
        <v>3</v>
      </c>
      <c r="Y169">
        <f t="shared" ca="1" si="26"/>
        <v>1965</v>
      </c>
      <c r="Z169">
        <f t="shared" ca="1" si="27"/>
        <v>2</v>
      </c>
      <c r="AA169">
        <f t="shared" ca="1" si="28"/>
        <v>4</v>
      </c>
      <c r="AB169">
        <f t="shared" ca="1" si="29"/>
        <v>55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afoide2790</v>
      </c>
      <c r="C170" t="str">
        <f t="shared" ca="1" si="20"/>
        <v>pswafoide2790</v>
      </c>
      <c r="D170" t="str">
        <f ca="1">Nomes!T171</f>
        <v>Afonso Ana Valente Valente</v>
      </c>
      <c r="E170" t="str">
        <f>Nomes!S171</f>
        <v>Masculino</v>
      </c>
      <c r="F170" s="2">
        <v>19794</v>
      </c>
      <c r="G170" t="str" cm="1">
        <f t="array" aca="1" ref="G170" ca="1">INDEX(rua_cod!$F:$F,RANDBETWEEN(2,COUNTA(rua_cod!F:F)))</f>
        <v>Rua Júlio César Machado</v>
      </c>
      <c r="H170" t="str" cm="1">
        <f t="array" aca="1" ref="H170" ca="1">INDEX(rua_cod!$A:$A,Users!V170) &amp; "-" &amp; TEXT(RANDBETWEEN(0,999),"000")</f>
        <v>2790-489</v>
      </c>
      <c r="I170" t="str" cm="1">
        <f t="array" aca="1" ref="I170" ca="1">INDEX(rua_cod!$B:$B,Users!V170)</f>
        <v>Carnaxide</v>
      </c>
      <c r="J170" t="s">
        <v>3728</v>
      </c>
      <c r="K170" t="s">
        <v>225</v>
      </c>
      <c r="L170" t="s">
        <v>265</v>
      </c>
      <c r="M170" t="str">
        <f t="shared" ca="1" si="21"/>
        <v>30649360</v>
      </c>
      <c r="N170" t="str">
        <f t="shared" ca="1" si="22"/>
        <v>397366153</v>
      </c>
      <c r="O170" t="str">
        <f t="shared" ca="1" si="22"/>
        <v>767957599</v>
      </c>
      <c r="P170" t="str" cm="1">
        <f t="array" aca="1" ref="P170" ca="1">9 &amp; INDEX($AF$3:$AF$6,W170)&amp; TEXT(RANDBETWEEN(0,9999999),"0000000")</f>
        <v>913512996</v>
      </c>
      <c r="Q170" t="str" cm="1">
        <f t="array" aca="1" ref="Q170" ca="1">LOWER(B170) &amp; INDEX($AF$9:$AF$11,X170)</f>
        <v>afoide2790@sapo.pt</v>
      </c>
      <c r="R170" t="str">
        <f t="shared" ca="1" si="23"/>
        <v>afoide2790.jpg</v>
      </c>
      <c r="T170" s="4"/>
      <c r="V170">
        <f ca="1">RANDBETWEEN(2,COUNTA(rua_cod!A:A))</f>
        <v>22</v>
      </c>
      <c r="W170">
        <f t="shared" ca="1" si="24"/>
        <v>1</v>
      </c>
      <c r="X170">
        <f t="shared" ca="1" si="25"/>
        <v>3</v>
      </c>
      <c r="Y170">
        <f t="shared" ca="1" si="26"/>
        <v>1965</v>
      </c>
      <c r="Z170">
        <f t="shared" ca="1" si="27"/>
        <v>6</v>
      </c>
      <c r="AA170">
        <f t="shared" ca="1" si="28"/>
        <v>18</v>
      </c>
      <c r="AB170">
        <f t="shared" ca="1" si="29"/>
        <v>55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danboa1749</v>
      </c>
      <c r="C171" t="str">
        <f t="shared" ca="1" si="20"/>
        <v>pswdanboa1749</v>
      </c>
      <c r="D171" t="str">
        <f ca="1">Nomes!T172</f>
        <v>Daniela André Machado Assunção</v>
      </c>
      <c r="E171" t="str">
        <f>Nomes!S172</f>
        <v>Feminino</v>
      </c>
      <c r="F171" s="2">
        <v>18245</v>
      </c>
      <c r="G171" t="str" cm="1">
        <f t="array" aca="1" ref="G171" ca="1">INDEX(rua_cod!$F:$F,RANDBETWEEN(2,COUNTA(rua_cod!F:F)))</f>
        <v>Rua do Sol a Santana</v>
      </c>
      <c r="H171" t="str" cm="1">
        <f t="array" aca="1" ref="H171" ca="1">INDEX(rua_cod!$A:$A,Users!V171) &amp; "-" &amp; TEXT(RANDBETWEEN(0,999),"000")</f>
        <v>1749-621</v>
      </c>
      <c r="I171" t="str" cm="1">
        <f t="array" aca="1" ref="I171" ca="1">INDEX(rua_cod!$B:$B,Users!V171)</f>
        <v>Lisboa</v>
      </c>
      <c r="J171" t="s">
        <v>3728</v>
      </c>
      <c r="K171" t="s">
        <v>225</v>
      </c>
      <c r="L171" t="s">
        <v>265</v>
      </c>
      <c r="M171" t="str">
        <f t="shared" ca="1" si="21"/>
        <v>43889484</v>
      </c>
      <c r="N171" t="str">
        <f t="shared" ca="1" si="22"/>
        <v>341936119</v>
      </c>
      <c r="O171" t="str">
        <f t="shared" ca="1" si="22"/>
        <v>302416035</v>
      </c>
      <c r="P171" t="str" cm="1">
        <f t="array" aca="1" ref="P171" ca="1">9 &amp; INDEX($AF$3:$AF$6,W171)&amp; TEXT(RANDBETWEEN(0,9999999),"0000000")</f>
        <v>962186895</v>
      </c>
      <c r="Q171" t="str" cm="1">
        <f t="array" aca="1" ref="Q171" ca="1">LOWER(B171) &amp; INDEX($AF$9:$AF$11,X171)</f>
        <v>danboa1749@sapo.pt</v>
      </c>
      <c r="R171" t="str">
        <f t="shared" ca="1" si="23"/>
        <v>danboa1749.jpg</v>
      </c>
      <c r="T171" s="4"/>
      <c r="V171">
        <f ca="1">RANDBETWEEN(2,COUNTA(rua_cod!A:A))</f>
        <v>61</v>
      </c>
      <c r="W171">
        <f t="shared" ca="1" si="24"/>
        <v>4</v>
      </c>
      <c r="X171">
        <f t="shared" ca="1" si="25"/>
        <v>3</v>
      </c>
      <c r="Y171">
        <f t="shared" ca="1" si="26"/>
        <v>1960</v>
      </c>
      <c r="Z171">
        <f t="shared" ca="1" si="27"/>
        <v>1</v>
      </c>
      <c r="AA171">
        <f t="shared" ca="1" si="28"/>
        <v>24</v>
      </c>
      <c r="AB171">
        <f t="shared" ca="1" si="29"/>
        <v>60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bealuz2749</v>
      </c>
      <c r="C172" t="str">
        <f t="shared" ca="1" si="20"/>
        <v>pswbealuz2749</v>
      </c>
      <c r="D172" t="str">
        <f ca="1">Nomes!T173</f>
        <v>Beatriz Miguel Batista Esteves</v>
      </c>
      <c r="E172" t="str">
        <f>Nomes!S173</f>
        <v>Feminino</v>
      </c>
      <c r="F172" s="2">
        <v>36726</v>
      </c>
      <c r="G172" t="str" cm="1">
        <f t="array" aca="1" ref="G172" ca="1">INDEX(rua_cod!$F:$F,RANDBETWEEN(2,COUNTA(rua_cod!F:F)))</f>
        <v>Rua Júlio César Machado</v>
      </c>
      <c r="H172" t="str" cm="1">
        <f t="array" aca="1" ref="H172" ca="1">INDEX(rua_cod!$A:$A,Users!V172) &amp; "-" &amp; TEXT(RANDBETWEEN(0,999),"000")</f>
        <v>2749-788</v>
      </c>
      <c r="I172" t="str" cm="1">
        <f t="array" aca="1" ref="I172" ca="1">INDEX(rua_cod!$B:$B,Users!V172)</f>
        <v>Queluz</v>
      </c>
      <c r="J172" t="s">
        <v>3728</v>
      </c>
      <c r="K172" t="s">
        <v>225</v>
      </c>
      <c r="L172" t="s">
        <v>265</v>
      </c>
      <c r="M172" t="str">
        <f t="shared" ca="1" si="21"/>
        <v>54983718</v>
      </c>
      <c r="N172" t="str">
        <f t="shared" ca="1" si="22"/>
        <v>945521735</v>
      </c>
      <c r="O172" t="str">
        <f t="shared" ca="1" si="22"/>
        <v>570369512</v>
      </c>
      <c r="P172" t="str" cm="1">
        <f t="array" aca="1" ref="P172" ca="1">9 &amp; INDEX($AF$3:$AF$6,W172)&amp; TEXT(RANDBETWEEN(0,9999999),"0000000")</f>
        <v>932703429</v>
      </c>
      <c r="Q172" t="str" cm="1">
        <f t="array" aca="1" ref="Q172" ca="1">LOWER(B172) &amp; INDEX($AF$9:$AF$11,X172)</f>
        <v>bealuz2749@sapo.pt</v>
      </c>
      <c r="R172" t="str">
        <f t="shared" ca="1" si="23"/>
        <v>bealuz2749.jpg</v>
      </c>
      <c r="T172" s="4"/>
      <c r="V172">
        <f ca="1">RANDBETWEEN(2,COUNTA(rua_cod!A:A))</f>
        <v>91</v>
      </c>
      <c r="W172">
        <f t="shared" ca="1" si="24"/>
        <v>3</v>
      </c>
      <c r="X172">
        <f t="shared" ca="1" si="25"/>
        <v>3</v>
      </c>
      <c r="Y172">
        <f t="shared" ca="1" si="26"/>
        <v>2016</v>
      </c>
      <c r="Z172">
        <f t="shared" ca="1" si="27"/>
        <v>2</v>
      </c>
      <c r="AA172">
        <f t="shared" ca="1" si="28"/>
        <v>13</v>
      </c>
      <c r="AB172">
        <f t="shared" ca="1" si="29"/>
        <v>4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marira2655</v>
      </c>
      <c r="C173" t="str">
        <f t="shared" ca="1" si="20"/>
        <v>pswmarira2655</v>
      </c>
      <c r="D173" t="str">
        <f ca="1">Nomes!T174</f>
        <v>Maria Francisco Abreu Lopes</v>
      </c>
      <c r="E173" t="str">
        <f>Nomes!S174</f>
        <v>Feminino</v>
      </c>
      <c r="F173" s="2">
        <v>21504</v>
      </c>
      <c r="G173" t="str" cm="1">
        <f t="array" aca="1" ref="G173" ca="1">INDEX(rua_cod!$F:$F,RANDBETWEEN(2,COUNTA(rua_cod!F:F)))</f>
        <v>Rua de São Bento</v>
      </c>
      <c r="H173" t="str" cm="1">
        <f t="array" aca="1" ref="H173" ca="1">INDEX(rua_cod!$A:$A,Users!V173) &amp; "-" &amp; TEXT(RANDBETWEEN(0,999),"000")</f>
        <v>2655-725</v>
      </c>
      <c r="I173" t="str" cm="1">
        <f t="array" aca="1" ref="I173" ca="1">INDEX(rua_cod!$B:$B,Users!V173)</f>
        <v>Ericeira</v>
      </c>
      <c r="J173" t="s">
        <v>3728</v>
      </c>
      <c r="K173" t="s">
        <v>225</v>
      </c>
      <c r="L173" t="s">
        <v>265</v>
      </c>
      <c r="M173" t="str">
        <f t="shared" ca="1" si="21"/>
        <v>63692982</v>
      </c>
      <c r="N173" t="str">
        <f t="shared" ca="1" si="22"/>
        <v>217635470</v>
      </c>
      <c r="O173" t="str">
        <f t="shared" ca="1" si="22"/>
        <v>275940613</v>
      </c>
      <c r="P173" t="str" cm="1">
        <f t="array" aca="1" ref="P173" ca="1">9 &amp; INDEX($AF$3:$AF$6,W173)&amp; TEXT(RANDBETWEEN(0,9999999),"0000000")</f>
        <v>934639596</v>
      </c>
      <c r="Q173" t="str" cm="1">
        <f t="array" aca="1" ref="Q173" ca="1">LOWER(B173) &amp; INDEX($AF$9:$AF$11,X173)</f>
        <v>marira2655@gmail.com</v>
      </c>
      <c r="R173" t="str">
        <f t="shared" ca="1" si="23"/>
        <v>marira2655.jpg</v>
      </c>
      <c r="T173" s="4"/>
      <c r="V173">
        <f ca="1">RANDBETWEEN(2,COUNTA(rua_cod!A:A))</f>
        <v>31</v>
      </c>
      <c r="W173">
        <f t="shared" ca="1" si="24"/>
        <v>3</v>
      </c>
      <c r="X173">
        <f t="shared" ca="1" si="25"/>
        <v>2</v>
      </c>
      <c r="Y173">
        <f t="shared" ca="1" si="26"/>
        <v>2008</v>
      </c>
      <c r="Z173">
        <f t="shared" ca="1" si="27"/>
        <v>6</v>
      </c>
      <c r="AA173">
        <f t="shared" ca="1" si="28"/>
        <v>30</v>
      </c>
      <c r="AB173">
        <f t="shared" ca="1" si="29"/>
        <v>12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lurboa1070</v>
      </c>
      <c r="C174" t="str">
        <f t="shared" ca="1" si="20"/>
        <v>pswlurboa1070</v>
      </c>
      <c r="D174" t="str">
        <f ca="1">Nomes!T175</f>
        <v>Lurdes Mariana Fonseca Silva</v>
      </c>
      <c r="E174" t="str">
        <f>Nomes!S175</f>
        <v>Feminino</v>
      </c>
      <c r="F174" s="2">
        <v>20070</v>
      </c>
      <c r="G174" t="str" cm="1">
        <f t="array" aca="1" ref="G174" ca="1">INDEX(rua_cod!$F:$F,RANDBETWEEN(2,COUNTA(rua_cod!F:F)))</f>
        <v>Rua de São Julião</v>
      </c>
      <c r="H174" t="str" cm="1">
        <f t="array" aca="1" ref="H174" ca="1">INDEX(rua_cod!$A:$A,Users!V174) &amp; "-" &amp; TEXT(RANDBETWEEN(0,999),"000")</f>
        <v>1070-962</v>
      </c>
      <c r="I174" t="str" cm="1">
        <f t="array" aca="1" ref="I174" ca="1">INDEX(rua_cod!$B:$B,Users!V174)</f>
        <v>Lisboa</v>
      </c>
      <c r="J174" t="s">
        <v>3728</v>
      </c>
      <c r="K174" t="s">
        <v>225</v>
      </c>
      <c r="L174" t="s">
        <v>265</v>
      </c>
      <c r="M174" t="str">
        <f t="shared" ca="1" si="21"/>
        <v>68131647</v>
      </c>
      <c r="N174" t="str">
        <f t="shared" ca="1" si="22"/>
        <v>100305218</v>
      </c>
      <c r="O174" t="str">
        <f t="shared" ca="1" si="22"/>
        <v>838332271</v>
      </c>
      <c r="P174" t="str" cm="1">
        <f t="array" aca="1" ref="P174" ca="1">9 &amp; INDEX($AF$3:$AF$6,W174)&amp; TEXT(RANDBETWEEN(0,9999999),"0000000")</f>
        <v>910245628</v>
      </c>
      <c r="Q174" t="str" cm="1">
        <f t="array" aca="1" ref="Q174" ca="1">LOWER(B174) &amp; INDEX($AF$9:$AF$11,X174)</f>
        <v>lurboa1070@sapo.pt</v>
      </c>
      <c r="R174" t="str">
        <f t="shared" ca="1" si="23"/>
        <v>lurboa1070.jpg</v>
      </c>
      <c r="T174" s="4"/>
      <c r="V174">
        <f ca="1">RANDBETWEEN(2,COUNTA(rua_cod!A:A))</f>
        <v>51</v>
      </c>
      <c r="W174">
        <f t="shared" ca="1" si="24"/>
        <v>1</v>
      </c>
      <c r="X174">
        <f t="shared" ca="1" si="25"/>
        <v>3</v>
      </c>
      <c r="Y174">
        <f t="shared" ca="1" si="26"/>
        <v>1950</v>
      </c>
      <c r="Z174">
        <f t="shared" ca="1" si="27"/>
        <v>10</v>
      </c>
      <c r="AA174">
        <f t="shared" ca="1" si="28"/>
        <v>12</v>
      </c>
      <c r="AB174">
        <f t="shared" ca="1" si="29"/>
        <v>70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dioiro2834</v>
      </c>
      <c r="C175" t="str">
        <f t="shared" ca="1" si="20"/>
        <v>pswdioiro2834</v>
      </c>
      <c r="D175" t="str">
        <f ca="1">Nomes!T176</f>
        <v>Diogo Bruno Monteiro Vieira</v>
      </c>
      <c r="E175" t="str">
        <f>Nomes!S176</f>
        <v>Masculino</v>
      </c>
      <c r="F175" s="2">
        <v>24653</v>
      </c>
      <c r="G175" t="str" cm="1">
        <f t="array" aca="1" ref="G175" ca="1">INDEX(rua_cod!$F:$F,RANDBETWEEN(2,COUNTA(rua_cod!F:F)))</f>
        <v>Rua Roberto Duarte Silva</v>
      </c>
      <c r="H175" t="str" cm="1">
        <f t="array" aca="1" ref="H175" ca="1">INDEX(rua_cod!$A:$A,Users!V175) &amp; "-" &amp; TEXT(RANDBETWEEN(0,999),"000")</f>
        <v>2834-747</v>
      </c>
      <c r="I175" t="str" cm="1">
        <f t="array" aca="1" ref="I175" ca="1">INDEX(rua_cod!$B:$B,Users!V175)</f>
        <v>Barreiro</v>
      </c>
      <c r="J175" t="s">
        <v>3728</v>
      </c>
      <c r="K175" t="s">
        <v>225</v>
      </c>
      <c r="L175" t="s">
        <v>265</v>
      </c>
      <c r="M175" t="str">
        <f t="shared" ca="1" si="21"/>
        <v>79837954</v>
      </c>
      <c r="N175" t="str">
        <f t="shared" ca="1" si="22"/>
        <v>742458956</v>
      </c>
      <c r="O175" t="str">
        <f t="shared" ca="1" si="22"/>
        <v>323517241</v>
      </c>
      <c r="P175" t="str" cm="1">
        <f t="array" aca="1" ref="P175" ca="1">9 &amp; INDEX($AF$3:$AF$6,W175)&amp; TEXT(RANDBETWEEN(0,9999999),"0000000")</f>
        <v>936095351</v>
      </c>
      <c r="Q175" t="str" cm="1">
        <f t="array" aca="1" ref="Q175" ca="1">LOWER(B175) &amp; INDEX($AF$9:$AF$11,X175)</f>
        <v>dioiro2834@gmail.com</v>
      </c>
      <c r="R175" t="str">
        <f t="shared" ca="1" si="23"/>
        <v>dioiro2834.jpg</v>
      </c>
      <c r="T175" s="4"/>
      <c r="V175">
        <f ca="1">RANDBETWEEN(2,COUNTA(rua_cod!A:A))</f>
        <v>17</v>
      </c>
      <c r="W175">
        <f t="shared" ca="1" si="24"/>
        <v>3</v>
      </c>
      <c r="X175">
        <f t="shared" ca="1" si="25"/>
        <v>2</v>
      </c>
      <c r="Y175">
        <f t="shared" ca="1" si="26"/>
        <v>1962</v>
      </c>
      <c r="Z175">
        <f t="shared" ca="1" si="27"/>
        <v>4</v>
      </c>
      <c r="AA175">
        <f t="shared" ca="1" si="28"/>
        <v>13</v>
      </c>
      <c r="AB175">
        <f t="shared" ca="1" si="29"/>
        <v>58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bruboa1950</v>
      </c>
      <c r="C176" t="str">
        <f t="shared" ca="1" si="20"/>
        <v>pswbruboa1950</v>
      </c>
      <c r="D176" t="str">
        <f ca="1">Nomes!T177</f>
        <v>Bruno Ricardo Correia Amorim</v>
      </c>
      <c r="E176" t="str">
        <f>Nomes!S177</f>
        <v>Masculino</v>
      </c>
      <c r="F176" s="2">
        <v>43783</v>
      </c>
      <c r="G176" t="str" cm="1">
        <f t="array" aca="1" ref="G176" ca="1">INDEX(rua_cod!$F:$F,RANDBETWEEN(2,COUNTA(rua_cod!F:F)))</f>
        <v>Avenida Ressano Garcia</v>
      </c>
      <c r="H176" t="str" cm="1">
        <f t="array" aca="1" ref="H176" ca="1">INDEX(rua_cod!$A:$A,Users!V176) &amp; "-" &amp; TEXT(RANDBETWEEN(0,999),"000")</f>
        <v>1950-327</v>
      </c>
      <c r="I176" t="str" cm="1">
        <f t="array" aca="1" ref="I176" ca="1">INDEX(rua_cod!$B:$B,Users!V176)</f>
        <v>Lisboa</v>
      </c>
      <c r="J176" t="s">
        <v>3728</v>
      </c>
      <c r="K176" t="s">
        <v>225</v>
      </c>
      <c r="L176" t="s">
        <v>265</v>
      </c>
      <c r="M176" t="str">
        <f t="shared" ca="1" si="21"/>
        <v>31194446</v>
      </c>
      <c r="N176" t="str">
        <f t="shared" ca="1" si="22"/>
        <v>224209326</v>
      </c>
      <c r="O176" t="str">
        <f t="shared" ca="1" si="22"/>
        <v>342645625</v>
      </c>
      <c r="P176" t="str" cm="1">
        <f t="array" aca="1" ref="P176" ca="1">9 &amp; INDEX($AF$3:$AF$6,W176)&amp; TEXT(RANDBETWEEN(0,9999999),"0000000")</f>
        <v>969265560</v>
      </c>
      <c r="Q176" t="str" cm="1">
        <f t="array" aca="1" ref="Q176" ca="1">LOWER(B176) &amp; INDEX($AF$9:$AF$11,X176)</f>
        <v>bruboa1950@outlook.com</v>
      </c>
      <c r="R176" t="str">
        <f t="shared" ca="1" si="23"/>
        <v>bruboa1950.jpg</v>
      </c>
      <c r="T176" s="4"/>
      <c r="V176">
        <f ca="1">RANDBETWEEN(2,COUNTA(rua_cod!A:A))</f>
        <v>41</v>
      </c>
      <c r="W176">
        <f t="shared" ca="1" si="24"/>
        <v>4</v>
      </c>
      <c r="X176">
        <f t="shared" ca="1" si="25"/>
        <v>1</v>
      </c>
      <c r="Y176">
        <f t="shared" ca="1" si="26"/>
        <v>1949</v>
      </c>
      <c r="Z176">
        <f t="shared" ca="1" si="27"/>
        <v>4</v>
      </c>
      <c r="AA176">
        <f t="shared" ca="1" si="28"/>
        <v>16</v>
      </c>
      <c r="AB176">
        <f t="shared" ca="1" si="29"/>
        <v>71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fraica2829</v>
      </c>
      <c r="C177" t="str">
        <f t="shared" ca="1" si="20"/>
        <v>pswfraica2829</v>
      </c>
      <c r="D177" t="str">
        <f ca="1">Nomes!T178</f>
        <v>Francisco Rodrigo Rocha Fernandes</v>
      </c>
      <c r="E177" t="str">
        <f>Nomes!S178</f>
        <v>Masculino</v>
      </c>
      <c r="F177" s="2">
        <v>36076</v>
      </c>
      <c r="G177" t="str" cm="1">
        <f t="array" aca="1" ref="G177" ca="1">INDEX(rua_cod!$F:$F,RANDBETWEEN(2,COUNTA(rua_cod!F:F)))</f>
        <v>Rua da Junqueira</v>
      </c>
      <c r="H177" t="str" cm="1">
        <f t="array" aca="1" ref="H177" ca="1">INDEX(rua_cod!$A:$A,Users!V177) &amp; "-" &amp; TEXT(RANDBETWEEN(0,999),"000")</f>
        <v>2829-514</v>
      </c>
      <c r="I177" t="str" cm="1">
        <f t="array" aca="1" ref="I177" ca="1">INDEX(rua_cod!$B:$B,Users!V177)</f>
        <v>Costa de Caparica</v>
      </c>
      <c r="J177" t="s">
        <v>3728</v>
      </c>
      <c r="K177" t="s">
        <v>225</v>
      </c>
      <c r="L177" t="s">
        <v>265</v>
      </c>
      <c r="M177" t="str">
        <f t="shared" ca="1" si="21"/>
        <v>32551323</v>
      </c>
      <c r="N177" t="str">
        <f t="shared" ca="1" si="22"/>
        <v>935414324</v>
      </c>
      <c r="O177" t="str">
        <f t="shared" ca="1" si="22"/>
        <v>584314966</v>
      </c>
      <c r="P177" t="str" cm="1">
        <f t="array" aca="1" ref="P177" ca="1">9 &amp; INDEX($AF$3:$AF$6,W177)&amp; TEXT(RANDBETWEEN(0,9999999),"0000000")</f>
        <v>913987180</v>
      </c>
      <c r="Q177" t="str" cm="1">
        <f t="array" aca="1" ref="Q177" ca="1">LOWER(B177) &amp; INDEX($AF$9:$AF$11,X177)</f>
        <v>fraica2829@outlook.com</v>
      </c>
      <c r="R177" t="str">
        <f t="shared" ca="1" si="23"/>
        <v>fraica2829.jpg</v>
      </c>
      <c r="T177" s="4"/>
      <c r="V177">
        <f ca="1">RANDBETWEEN(2,COUNTA(rua_cod!A:A))</f>
        <v>28</v>
      </c>
      <c r="W177">
        <f t="shared" ca="1" si="24"/>
        <v>1</v>
      </c>
      <c r="X177">
        <f t="shared" ca="1" si="25"/>
        <v>1</v>
      </c>
      <c r="Y177">
        <f t="shared" ca="1" si="26"/>
        <v>2005</v>
      </c>
      <c r="Z177">
        <f t="shared" ca="1" si="27"/>
        <v>7</v>
      </c>
      <c r="AA177">
        <f t="shared" ca="1" si="28"/>
        <v>31</v>
      </c>
      <c r="AB177">
        <f t="shared" ca="1" si="29"/>
        <v>15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sofijo2870</v>
      </c>
      <c r="C178" t="str">
        <f t="shared" ca="1" si="20"/>
        <v>pswsofijo2870</v>
      </c>
      <c r="D178" t="str">
        <f ca="1">Nomes!T179</f>
        <v>Sofia Beatriz Morais Matos</v>
      </c>
      <c r="E178" t="str">
        <f>Nomes!S179</f>
        <v>Feminino</v>
      </c>
      <c r="F178" s="2">
        <v>25872</v>
      </c>
      <c r="G178" t="str" cm="1">
        <f t="array" aca="1" ref="G178" ca="1">INDEX(rua_cod!$F:$F,RANDBETWEEN(2,COUNTA(rua_cod!F:F)))</f>
        <v>Rua do Guarda-Mor</v>
      </c>
      <c r="H178" t="str" cm="1">
        <f t="array" aca="1" ref="H178" ca="1">INDEX(rua_cod!$A:$A,Users!V178) &amp; "-" &amp; TEXT(RANDBETWEEN(0,999),"000")</f>
        <v>2870-536</v>
      </c>
      <c r="I178" t="str" cm="1">
        <f t="array" aca="1" ref="I178" ca="1">INDEX(rua_cod!$B:$B,Users!V178)</f>
        <v>Montijo</v>
      </c>
      <c r="J178" t="s">
        <v>3728</v>
      </c>
      <c r="K178" t="s">
        <v>225</v>
      </c>
      <c r="L178" t="s">
        <v>265</v>
      </c>
      <c r="M178" t="str">
        <f t="shared" ca="1" si="21"/>
        <v>36517010</v>
      </c>
      <c r="N178" t="str">
        <f t="shared" ca="1" si="22"/>
        <v>972436300</v>
      </c>
      <c r="O178" t="str">
        <f t="shared" ca="1" si="22"/>
        <v>933642619</v>
      </c>
      <c r="P178" t="str" cm="1">
        <f t="array" aca="1" ref="P178" ca="1">9 &amp; INDEX($AF$3:$AF$6,W178)&amp; TEXT(RANDBETWEEN(0,9999999),"0000000")</f>
        <v>925496329</v>
      </c>
      <c r="Q178" t="str" cm="1">
        <f t="array" aca="1" ref="Q178" ca="1">LOWER(B178) &amp; INDEX($AF$9:$AF$11,X178)</f>
        <v>sofijo2870@sapo.pt</v>
      </c>
      <c r="R178" t="str">
        <f t="shared" ca="1" si="23"/>
        <v>sofijo2870.jpg</v>
      </c>
      <c r="T178" s="4"/>
      <c r="V178">
        <f ca="1">RANDBETWEEN(2,COUNTA(rua_cod!A:A))</f>
        <v>87</v>
      </c>
      <c r="W178">
        <f t="shared" ca="1" si="24"/>
        <v>2</v>
      </c>
      <c r="X178">
        <f t="shared" ca="1" si="25"/>
        <v>3</v>
      </c>
      <c r="Y178">
        <f t="shared" ca="1" si="26"/>
        <v>1970</v>
      </c>
      <c r="Z178">
        <f t="shared" ca="1" si="27"/>
        <v>3</v>
      </c>
      <c r="AA178">
        <f t="shared" ca="1" si="28"/>
        <v>6</v>
      </c>
      <c r="AB178">
        <f t="shared" ca="1" si="29"/>
        <v>50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sanada2814</v>
      </c>
      <c r="C179" t="str">
        <f t="shared" ca="1" si="20"/>
        <v>pswsanada2814</v>
      </c>
      <c r="D179" t="str">
        <f ca="1">Nomes!T180</f>
        <v>Santiago Joana Assunção Abreu</v>
      </c>
      <c r="E179" t="str">
        <f>Nomes!S180</f>
        <v>Masculino</v>
      </c>
      <c r="F179" s="2">
        <v>30608</v>
      </c>
      <c r="G179" t="str" cm="1">
        <f t="array" aca="1" ref="G179" ca="1">INDEX(rua_cod!$F:$F,RANDBETWEEN(2,COUNTA(rua_cod!F:F)))</f>
        <v>Rua do Sol a Santana</v>
      </c>
      <c r="H179" t="str" cm="1">
        <f t="array" aca="1" ref="H179" ca="1">INDEX(rua_cod!$A:$A,Users!V179) &amp; "-" &amp; TEXT(RANDBETWEEN(0,999),"000")</f>
        <v>2814-874</v>
      </c>
      <c r="I179" t="str" cm="1">
        <f t="array" aca="1" ref="I179" ca="1">INDEX(rua_cod!$B:$B,Users!V179)</f>
        <v>Almada</v>
      </c>
      <c r="J179" t="s">
        <v>3728</v>
      </c>
      <c r="K179" t="s">
        <v>225</v>
      </c>
      <c r="L179" t="s">
        <v>265</v>
      </c>
      <c r="M179" t="str">
        <f t="shared" ca="1" si="21"/>
        <v>49585552</v>
      </c>
      <c r="N179" t="str">
        <f t="shared" ca="1" si="22"/>
        <v>125639724</v>
      </c>
      <c r="O179" t="str">
        <f t="shared" ca="1" si="22"/>
        <v>995717230</v>
      </c>
      <c r="P179" t="str" cm="1">
        <f t="array" aca="1" ref="P179" ca="1">9 &amp; INDEX($AF$3:$AF$6,W179)&amp; TEXT(RANDBETWEEN(0,9999999),"0000000")</f>
        <v>914358371</v>
      </c>
      <c r="Q179" t="str" cm="1">
        <f t="array" aca="1" ref="Q179" ca="1">LOWER(B179) &amp; INDEX($AF$9:$AF$11,X179)</f>
        <v>sanada2814@gmail.com</v>
      </c>
      <c r="R179" t="str">
        <f t="shared" ca="1" si="23"/>
        <v>sanada2814.jpg</v>
      </c>
      <c r="T179" s="4"/>
      <c r="V179">
        <f ca="1">RANDBETWEEN(2,COUNTA(rua_cod!A:A))</f>
        <v>6</v>
      </c>
      <c r="W179">
        <f t="shared" ca="1" si="24"/>
        <v>1</v>
      </c>
      <c r="X179">
        <f t="shared" ca="1" si="25"/>
        <v>2</v>
      </c>
      <c r="Y179">
        <f t="shared" ca="1" si="26"/>
        <v>2006</v>
      </c>
      <c r="Z179">
        <f t="shared" ca="1" si="27"/>
        <v>6</v>
      </c>
      <c r="AA179">
        <f t="shared" ca="1" si="28"/>
        <v>8</v>
      </c>
      <c r="AB179">
        <f t="shared" ca="1" si="29"/>
        <v>14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tiaora2720</v>
      </c>
      <c r="C180" t="str">
        <f t="shared" ca="1" si="20"/>
        <v>pswtiaora2720</v>
      </c>
      <c r="D180" t="str">
        <f ca="1">Nomes!T181</f>
        <v>Tiago José Nascimento Moura</v>
      </c>
      <c r="E180" t="str">
        <f>Nomes!S181</f>
        <v>Masculino</v>
      </c>
      <c r="F180" s="2">
        <v>22927</v>
      </c>
      <c r="G180" t="str" cm="1">
        <f t="array" aca="1" ref="G180" ca="1">INDEX(rua_cod!$F:$F,RANDBETWEEN(2,COUNTA(rua_cod!F:F)))</f>
        <v>Rua do Sacramento à Lapa</v>
      </c>
      <c r="H180" t="str" cm="1">
        <f t="array" aca="1" ref="H180" ca="1">INDEX(rua_cod!$A:$A,Users!V180) &amp; "-" &amp; TEXT(RANDBETWEEN(0,999),"000")</f>
        <v>2720-743</v>
      </c>
      <c r="I180" t="str" cm="1">
        <f t="array" aca="1" ref="I180" ca="1">INDEX(rua_cod!$B:$B,Users!V180)</f>
        <v>Amadora</v>
      </c>
      <c r="J180" t="s">
        <v>3728</v>
      </c>
      <c r="K180" t="s">
        <v>225</v>
      </c>
      <c r="L180" t="s">
        <v>265</v>
      </c>
      <c r="M180" t="str">
        <f t="shared" ca="1" si="21"/>
        <v>96984623</v>
      </c>
      <c r="N180" t="str">
        <f t="shared" ca="1" si="22"/>
        <v>811376821</v>
      </c>
      <c r="O180" t="str">
        <f t="shared" ca="1" si="22"/>
        <v>415854938</v>
      </c>
      <c r="P180" t="str" cm="1">
        <f t="array" aca="1" ref="P180" ca="1">9 &amp; INDEX($AF$3:$AF$6,W180)&amp; TEXT(RANDBETWEEN(0,9999999),"0000000")</f>
        <v>967097233</v>
      </c>
      <c r="Q180" t="str" cm="1">
        <f t="array" aca="1" ref="Q180" ca="1">LOWER(B180) &amp; INDEX($AF$9:$AF$11,X180)</f>
        <v>tiaora2720@sapo.pt</v>
      </c>
      <c r="R180" t="str">
        <f t="shared" ca="1" si="23"/>
        <v>tiaora2720.jpg</v>
      </c>
      <c r="T180" s="4"/>
      <c r="V180">
        <f ca="1">RANDBETWEEN(2,COUNTA(rua_cod!A:A))</f>
        <v>8</v>
      </c>
      <c r="W180">
        <f t="shared" ca="1" si="24"/>
        <v>4</v>
      </c>
      <c r="X180">
        <f t="shared" ca="1" si="25"/>
        <v>3</v>
      </c>
      <c r="Y180">
        <f t="shared" ca="1" si="26"/>
        <v>1991</v>
      </c>
      <c r="Z180">
        <f t="shared" ca="1" si="27"/>
        <v>11</v>
      </c>
      <c r="AA180">
        <f t="shared" ca="1" si="28"/>
        <v>13</v>
      </c>
      <c r="AB180">
        <f t="shared" ca="1" si="29"/>
        <v>29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marboa1649</v>
      </c>
      <c r="C181" t="str">
        <f t="shared" ca="1" si="20"/>
        <v>pswmarboa1649</v>
      </c>
      <c r="D181" t="str">
        <f ca="1">Nomes!T182</f>
        <v>Mariana Inês Vicente Gonçalves</v>
      </c>
      <c r="E181" t="str">
        <f>Nomes!S182</f>
        <v>Feminino</v>
      </c>
      <c r="F181" s="2">
        <v>42761</v>
      </c>
      <c r="G181" t="str" cm="1">
        <f t="array" aca="1" ref="G181" ca="1">INDEX(rua_cod!$F:$F,RANDBETWEEN(2,COUNTA(rua_cod!F:F)))</f>
        <v>Estrada da Circunvalação de Lisboa</v>
      </c>
      <c r="H181" t="str" cm="1">
        <f t="array" aca="1" ref="H181" ca="1">INDEX(rua_cod!$A:$A,Users!V181) &amp; "-" &amp; TEXT(RANDBETWEEN(0,999),"000")</f>
        <v>1649-496</v>
      </c>
      <c r="I181" t="str" cm="1">
        <f t="array" aca="1" ref="I181" ca="1">INDEX(rua_cod!$B:$B,Users!V181)</f>
        <v>Lisboa</v>
      </c>
      <c r="J181" t="s">
        <v>3728</v>
      </c>
      <c r="K181" t="s">
        <v>225</v>
      </c>
      <c r="L181" t="s">
        <v>265</v>
      </c>
      <c r="M181" t="str">
        <f t="shared" ca="1" si="21"/>
        <v>85208402</v>
      </c>
      <c r="N181" t="str">
        <f t="shared" ca="1" si="22"/>
        <v>397389050</v>
      </c>
      <c r="O181" t="str">
        <f t="shared" ca="1" si="22"/>
        <v>398215551</v>
      </c>
      <c r="P181" t="str" cm="1">
        <f t="array" aca="1" ref="P181" ca="1">9 &amp; INDEX($AF$3:$AF$6,W181)&amp; TEXT(RANDBETWEEN(0,9999999),"0000000")</f>
        <v>962410612</v>
      </c>
      <c r="Q181" t="str" cm="1">
        <f t="array" aca="1" ref="Q181" ca="1">LOWER(B181) &amp; INDEX($AF$9:$AF$11,X181)</f>
        <v>marboa1649@outlook.com</v>
      </c>
      <c r="R181" t="str">
        <f t="shared" ca="1" si="23"/>
        <v>marboa1649.jpg</v>
      </c>
      <c r="T181" s="4"/>
      <c r="V181">
        <f ca="1">RANDBETWEEN(2,COUNTA(rua_cod!A:A))</f>
        <v>68</v>
      </c>
      <c r="W181">
        <f t="shared" ca="1" si="24"/>
        <v>4</v>
      </c>
      <c r="X181">
        <f t="shared" ca="1" si="25"/>
        <v>1</v>
      </c>
      <c r="Y181">
        <f t="shared" ca="1" si="26"/>
        <v>1968</v>
      </c>
      <c r="Z181">
        <f t="shared" ca="1" si="27"/>
        <v>4</v>
      </c>
      <c r="AA181">
        <f t="shared" ca="1" si="28"/>
        <v>5</v>
      </c>
      <c r="AB181">
        <f t="shared" ca="1" si="29"/>
        <v>52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bruora2610</v>
      </c>
      <c r="C182" t="str">
        <f t="shared" ca="1" si="20"/>
        <v>pswbruora2610</v>
      </c>
      <c r="D182" t="str">
        <f ca="1">Nomes!T183</f>
        <v>Bruno Ana Figueiredo Alves</v>
      </c>
      <c r="E182" t="str">
        <f>Nomes!S183</f>
        <v>Masculino</v>
      </c>
      <c r="F182" s="2">
        <v>13720</v>
      </c>
      <c r="G182" t="str" cm="1">
        <f t="array" aca="1" ref="G182" ca="1">INDEX(rua_cod!$F:$F,RANDBETWEEN(2,COUNTA(rua_cod!F:F)))</f>
        <v>Rua General Morais Sarmento</v>
      </c>
      <c r="H182" t="str" cm="1">
        <f t="array" aca="1" ref="H182" ca="1">INDEX(rua_cod!$A:$A,Users!V182) &amp; "-" &amp; TEXT(RANDBETWEEN(0,999),"000")</f>
        <v>2610-468</v>
      </c>
      <c r="I182" t="str" cm="1">
        <f t="array" aca="1" ref="I182" ca="1">INDEX(rua_cod!$B:$B,Users!V182)</f>
        <v>Amadora</v>
      </c>
      <c r="J182" t="s">
        <v>3728</v>
      </c>
      <c r="K182" t="s">
        <v>225</v>
      </c>
      <c r="L182" t="s">
        <v>265</v>
      </c>
      <c r="M182" t="str">
        <f t="shared" ca="1" si="21"/>
        <v>89384899</v>
      </c>
      <c r="N182" t="str">
        <f t="shared" ca="1" si="22"/>
        <v>442134238</v>
      </c>
      <c r="O182" t="str">
        <f t="shared" ca="1" si="22"/>
        <v>333714215</v>
      </c>
      <c r="P182" t="str" cm="1">
        <f t="array" aca="1" ref="P182" ca="1">9 &amp; INDEX($AF$3:$AF$6,W182)&amp; TEXT(RANDBETWEEN(0,9999999),"0000000")</f>
        <v>922696068</v>
      </c>
      <c r="Q182" t="str" cm="1">
        <f t="array" aca="1" ref="Q182" ca="1">LOWER(B182) &amp; INDEX($AF$9:$AF$11,X182)</f>
        <v>bruora2610@gmail.com</v>
      </c>
      <c r="R182" t="str">
        <f t="shared" ca="1" si="23"/>
        <v>bruora2610.jpg</v>
      </c>
      <c r="T182" s="4"/>
      <c r="V182">
        <f ca="1">RANDBETWEEN(2,COUNTA(rua_cod!A:A))</f>
        <v>12</v>
      </c>
      <c r="W182">
        <f t="shared" ca="1" si="24"/>
        <v>2</v>
      </c>
      <c r="X182">
        <f t="shared" ca="1" si="25"/>
        <v>2</v>
      </c>
      <c r="Y182">
        <f t="shared" ca="1" si="26"/>
        <v>1968</v>
      </c>
      <c r="Z182">
        <f t="shared" ca="1" si="27"/>
        <v>2</v>
      </c>
      <c r="AA182">
        <f t="shared" ca="1" si="28"/>
        <v>17</v>
      </c>
      <c r="AB182">
        <f t="shared" ca="1" si="29"/>
        <v>52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pedada2814</v>
      </c>
      <c r="C183" t="str">
        <f t="shared" ca="1" si="20"/>
        <v>pswpedada2814</v>
      </c>
      <c r="D183" t="str">
        <f ca="1">Nomes!T184</f>
        <v>Pedro João Abreu Paiva</v>
      </c>
      <c r="E183" t="str">
        <f>Nomes!S184</f>
        <v>Masculino</v>
      </c>
      <c r="F183" s="2">
        <v>31325</v>
      </c>
      <c r="G183" t="str" cm="1">
        <f t="array" aca="1" ref="G183" ca="1">INDEX(rua_cod!$F:$F,RANDBETWEEN(2,COUNTA(rua_cod!F:F)))</f>
        <v>Calçada de Carriche</v>
      </c>
      <c r="H183" t="str" cm="1">
        <f t="array" aca="1" ref="H183" ca="1">INDEX(rua_cod!$A:$A,Users!V183) &amp; "-" &amp; TEXT(RANDBETWEEN(0,999),"000")</f>
        <v>2814-079</v>
      </c>
      <c r="I183" t="str" cm="1">
        <f t="array" aca="1" ref="I183" ca="1">INDEX(rua_cod!$B:$B,Users!V183)</f>
        <v>Almada</v>
      </c>
      <c r="J183" t="s">
        <v>3728</v>
      </c>
      <c r="K183" t="s">
        <v>225</v>
      </c>
      <c r="L183" t="s">
        <v>265</v>
      </c>
      <c r="M183" t="str">
        <f t="shared" ca="1" si="21"/>
        <v>16849370</v>
      </c>
      <c r="N183" t="str">
        <f t="shared" ca="1" si="22"/>
        <v>343798717</v>
      </c>
      <c r="O183" t="str">
        <f t="shared" ca="1" si="22"/>
        <v>838680985</v>
      </c>
      <c r="P183" t="str" cm="1">
        <f t="array" aca="1" ref="P183" ca="1">9 &amp; INDEX($AF$3:$AF$6,W183)&amp; TEXT(RANDBETWEEN(0,9999999),"0000000")</f>
        <v>938564342</v>
      </c>
      <c r="Q183" t="str" cm="1">
        <f t="array" aca="1" ref="Q183" ca="1">LOWER(B183) &amp; INDEX($AF$9:$AF$11,X183)</f>
        <v>pedada2814@gmail.com</v>
      </c>
      <c r="R183" t="str">
        <f t="shared" ca="1" si="23"/>
        <v>pedada2814.jpg</v>
      </c>
      <c r="T183" s="4"/>
      <c r="V183">
        <f ca="1">RANDBETWEEN(2,COUNTA(rua_cod!A:A))</f>
        <v>6</v>
      </c>
      <c r="W183">
        <f t="shared" ca="1" si="24"/>
        <v>3</v>
      </c>
      <c r="X183">
        <f t="shared" ca="1" si="25"/>
        <v>2</v>
      </c>
      <c r="Y183">
        <f t="shared" ca="1" si="26"/>
        <v>1959</v>
      </c>
      <c r="Z183">
        <f t="shared" ca="1" si="27"/>
        <v>3</v>
      </c>
      <c r="AA183">
        <f t="shared" ca="1" si="28"/>
        <v>21</v>
      </c>
      <c r="AB183">
        <f t="shared" ca="1" si="29"/>
        <v>61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ineboa1069</v>
      </c>
      <c r="C184" t="str">
        <f t="shared" ca="1" si="20"/>
        <v>pswineboa1069</v>
      </c>
      <c r="D184" t="str">
        <f ca="1">Nomes!T185</f>
        <v>Inês Sofia Fernandes Torres</v>
      </c>
      <c r="E184" t="str">
        <f>Nomes!S185</f>
        <v>Feminino</v>
      </c>
      <c r="F184" s="2">
        <v>21600</v>
      </c>
      <c r="G184" t="str" cm="1">
        <f t="array" aca="1" ref="G184" ca="1">INDEX(rua_cod!$F:$F,RANDBETWEEN(2,COUNTA(rua_cod!F:F)))</f>
        <v>Calçada do Moinho de Vento</v>
      </c>
      <c r="H184" t="str" cm="1">
        <f t="array" aca="1" ref="H184" ca="1">INDEX(rua_cod!$A:$A,Users!V184) &amp; "-" &amp; TEXT(RANDBETWEEN(0,999),"000")</f>
        <v>1069-008</v>
      </c>
      <c r="I184" t="str" cm="1">
        <f t="array" aca="1" ref="I184" ca="1">INDEX(rua_cod!$B:$B,Users!V184)</f>
        <v>Lisboa</v>
      </c>
      <c r="J184" t="s">
        <v>3728</v>
      </c>
      <c r="K184" t="s">
        <v>225</v>
      </c>
      <c r="L184" t="s">
        <v>265</v>
      </c>
      <c r="M184" t="str">
        <f t="shared" ca="1" si="21"/>
        <v>22910820</v>
      </c>
      <c r="N184" t="str">
        <f t="shared" ca="1" si="22"/>
        <v>611065231</v>
      </c>
      <c r="O184" t="str">
        <f t="shared" ca="1" si="22"/>
        <v>902063419</v>
      </c>
      <c r="P184" t="str" cm="1">
        <f t="array" aca="1" ref="P184" ca="1">9 &amp; INDEX($AF$3:$AF$6,W184)&amp; TEXT(RANDBETWEEN(0,9999999),"0000000")</f>
        <v>936686508</v>
      </c>
      <c r="Q184" t="str" cm="1">
        <f t="array" aca="1" ref="Q184" ca="1">LOWER(B184) &amp; INDEX($AF$9:$AF$11,X184)</f>
        <v>ineboa1069@gmail.com</v>
      </c>
      <c r="R184" t="str">
        <f t="shared" ca="1" si="23"/>
        <v>ineboa1069.jpg</v>
      </c>
      <c r="T184" s="4"/>
      <c r="V184">
        <f ca="1">RANDBETWEEN(2,COUNTA(rua_cod!A:A))</f>
        <v>67</v>
      </c>
      <c r="W184">
        <f t="shared" ca="1" si="24"/>
        <v>3</v>
      </c>
      <c r="X184">
        <f t="shared" ca="1" si="25"/>
        <v>2</v>
      </c>
      <c r="Y184">
        <f t="shared" ca="1" si="26"/>
        <v>2009</v>
      </c>
      <c r="Z184">
        <f t="shared" ca="1" si="27"/>
        <v>9</v>
      </c>
      <c r="AA184">
        <f t="shared" ca="1" si="28"/>
        <v>5</v>
      </c>
      <c r="AB184">
        <f t="shared" ca="1" si="29"/>
        <v>11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catboa1999</v>
      </c>
      <c r="C185" t="str">
        <f t="shared" ca="1" si="20"/>
        <v>pswcatboa1999</v>
      </c>
      <c r="D185" t="str">
        <f ca="1">Nomes!T186</f>
        <v>Catarina João Amorim Valente</v>
      </c>
      <c r="E185" t="str">
        <f>Nomes!S186</f>
        <v>Feminino</v>
      </c>
      <c r="F185" s="2">
        <v>42111</v>
      </c>
      <c r="G185" t="str" cm="1">
        <f t="array" aca="1" ref="G185" ca="1">INDEX(rua_cod!$F:$F,RANDBETWEEN(2,COUNTA(rua_cod!F:F)))</f>
        <v>Estrada Militar</v>
      </c>
      <c r="H185" t="str" cm="1">
        <f t="array" aca="1" ref="H185" ca="1">INDEX(rua_cod!$A:$A,Users!V185) &amp; "-" &amp; TEXT(RANDBETWEEN(0,999),"000")</f>
        <v>1999-606</v>
      </c>
      <c r="I185" t="str" cm="1">
        <f t="array" aca="1" ref="I185" ca="1">INDEX(rua_cod!$B:$B,Users!V185)</f>
        <v>Lisboa</v>
      </c>
      <c r="J185" t="s">
        <v>3728</v>
      </c>
      <c r="K185" t="s">
        <v>225</v>
      </c>
      <c r="L185" t="s">
        <v>265</v>
      </c>
      <c r="M185" t="str">
        <f t="shared" ca="1" si="21"/>
        <v>90302380</v>
      </c>
      <c r="N185" t="str">
        <f t="shared" ca="1" si="22"/>
        <v>764887066</v>
      </c>
      <c r="O185" t="str">
        <f t="shared" ca="1" si="22"/>
        <v>986382429</v>
      </c>
      <c r="P185" t="str" cm="1">
        <f t="array" aca="1" ref="P185" ca="1">9 &amp; INDEX($AF$3:$AF$6,W185)&amp; TEXT(RANDBETWEEN(0,9999999),"0000000")</f>
        <v>937821028</v>
      </c>
      <c r="Q185" t="str" cm="1">
        <f t="array" aca="1" ref="Q185" ca="1">LOWER(B185) &amp; INDEX($AF$9:$AF$11,X185)</f>
        <v>catboa1999@gmail.com</v>
      </c>
      <c r="R185" t="str">
        <f t="shared" ca="1" si="23"/>
        <v>catboa1999.jpg</v>
      </c>
      <c r="T185" s="4"/>
      <c r="V185">
        <f ca="1">RANDBETWEEN(2,COUNTA(rua_cod!A:A))</f>
        <v>79</v>
      </c>
      <c r="W185">
        <f t="shared" ca="1" si="24"/>
        <v>3</v>
      </c>
      <c r="X185">
        <f t="shared" ca="1" si="25"/>
        <v>2</v>
      </c>
      <c r="Y185">
        <f t="shared" ca="1" si="26"/>
        <v>1985</v>
      </c>
      <c r="Z185">
        <f t="shared" ca="1" si="27"/>
        <v>7</v>
      </c>
      <c r="AA185">
        <f t="shared" ca="1" si="28"/>
        <v>14</v>
      </c>
      <c r="AB185">
        <f t="shared" ca="1" si="29"/>
        <v>35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catboa1000</v>
      </c>
      <c r="C186" t="str">
        <f t="shared" ca="1" si="20"/>
        <v>pswcatboa1000</v>
      </c>
      <c r="D186" t="str">
        <f ca="1">Nomes!T187</f>
        <v>Catarina Mariana Fonseca Tavares</v>
      </c>
      <c r="E186" t="str">
        <f>Nomes!S187</f>
        <v>Feminino</v>
      </c>
      <c r="F186" s="2">
        <v>30832</v>
      </c>
      <c r="G186" t="str" cm="1">
        <f t="array" aca="1" ref="G186" ca="1">INDEX(rua_cod!$F:$F,RANDBETWEEN(2,COUNTA(rua_cod!F:F)))</f>
        <v>Rua Júlio César Machado</v>
      </c>
      <c r="H186" t="str" cm="1">
        <f t="array" aca="1" ref="H186" ca="1">INDEX(rua_cod!$A:$A,Users!V186) &amp; "-" &amp; TEXT(RANDBETWEEN(0,999),"000")</f>
        <v>1000-081</v>
      </c>
      <c r="I186" t="str" cm="1">
        <f t="array" aca="1" ref="I186" ca="1">INDEX(rua_cod!$B:$B,Users!V186)</f>
        <v>Lisboa</v>
      </c>
      <c r="J186" t="s">
        <v>3728</v>
      </c>
      <c r="K186" t="s">
        <v>225</v>
      </c>
      <c r="L186" t="s">
        <v>265</v>
      </c>
      <c r="M186" t="str">
        <f t="shared" ca="1" si="21"/>
        <v>49284837</v>
      </c>
      <c r="N186" t="str">
        <f t="shared" ca="1" si="22"/>
        <v>238614816</v>
      </c>
      <c r="O186" t="str">
        <f t="shared" ca="1" si="22"/>
        <v>331624329</v>
      </c>
      <c r="P186" t="str" cm="1">
        <f t="array" aca="1" ref="P186" ca="1">9 &amp; INDEX($AF$3:$AF$6,W186)&amp; TEXT(RANDBETWEEN(0,9999999),"0000000")</f>
        <v>939150569</v>
      </c>
      <c r="Q186" t="str" cm="1">
        <f t="array" aca="1" ref="Q186" ca="1">LOWER(B186) &amp; INDEX($AF$9:$AF$11,X186)</f>
        <v>catboa1000@sapo.pt</v>
      </c>
      <c r="R186" t="str">
        <f t="shared" ca="1" si="23"/>
        <v>catboa1000.jpg</v>
      </c>
      <c r="T186" s="4"/>
      <c r="V186">
        <f ca="1">RANDBETWEEN(2,COUNTA(rua_cod!A:A))</f>
        <v>62</v>
      </c>
      <c r="W186">
        <f t="shared" ca="1" si="24"/>
        <v>3</v>
      </c>
      <c r="X186">
        <f t="shared" ca="1" si="25"/>
        <v>3</v>
      </c>
      <c r="Y186">
        <f t="shared" ca="1" si="26"/>
        <v>2004</v>
      </c>
      <c r="Z186">
        <f t="shared" ca="1" si="27"/>
        <v>7</v>
      </c>
      <c r="AA186">
        <f t="shared" ca="1" si="28"/>
        <v>13</v>
      </c>
      <c r="AB186">
        <f t="shared" ca="1" si="29"/>
        <v>16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afoboa1990</v>
      </c>
      <c r="C187" t="str">
        <f t="shared" ca="1" si="20"/>
        <v>pswafoboa1990</v>
      </c>
      <c r="D187" t="str">
        <f ca="1">Nomes!T188</f>
        <v>Afonso Francisco Cardoso Freitas</v>
      </c>
      <c r="E187" t="str">
        <f>Nomes!S188</f>
        <v>Masculino</v>
      </c>
      <c r="F187" s="2">
        <v>39033</v>
      </c>
      <c r="G187" t="str" cm="1">
        <f t="array" aca="1" ref="G187" ca="1">INDEX(rua_cod!$F:$F,RANDBETWEEN(2,COUNTA(rua_cod!F:F)))</f>
        <v>Rua Garrett</v>
      </c>
      <c r="H187" t="str" cm="1">
        <f t="array" aca="1" ref="H187" ca="1">INDEX(rua_cod!$A:$A,Users!V187) &amp; "-" &amp; TEXT(RANDBETWEEN(0,999),"000")</f>
        <v>1990-547</v>
      </c>
      <c r="I187" t="str" cm="1">
        <f t="array" aca="1" ref="I187" ca="1">INDEX(rua_cod!$B:$B,Users!V187)</f>
        <v>Lisboa</v>
      </c>
      <c r="J187" t="s">
        <v>3728</v>
      </c>
      <c r="K187" t="s">
        <v>225</v>
      </c>
      <c r="L187" t="s">
        <v>265</v>
      </c>
      <c r="M187" t="str">
        <f t="shared" ca="1" si="21"/>
        <v>85707574</v>
      </c>
      <c r="N187" t="str">
        <f t="shared" ca="1" si="22"/>
        <v>517995024</v>
      </c>
      <c r="O187" t="str">
        <f t="shared" ca="1" si="22"/>
        <v>169590056</v>
      </c>
      <c r="P187" t="str" cm="1">
        <f t="array" aca="1" ref="P187" ca="1">9 &amp; INDEX($AF$3:$AF$6,W187)&amp; TEXT(RANDBETWEEN(0,9999999),"0000000")</f>
        <v>922213119</v>
      </c>
      <c r="Q187" t="str" cm="1">
        <f t="array" aca="1" ref="Q187" ca="1">LOWER(B187) &amp; INDEX($AF$9:$AF$11,X187)</f>
        <v>afoboa1990@sapo.pt</v>
      </c>
      <c r="R187" t="str">
        <f t="shared" ca="1" si="23"/>
        <v>afoboa1990.jpg</v>
      </c>
      <c r="T187" s="4"/>
      <c r="V187">
        <f ca="1">RANDBETWEEN(2,COUNTA(rua_cod!A:A))</f>
        <v>75</v>
      </c>
      <c r="W187">
        <f t="shared" ca="1" si="24"/>
        <v>2</v>
      </c>
      <c r="X187">
        <f t="shared" ca="1" si="25"/>
        <v>3</v>
      </c>
      <c r="Y187">
        <f t="shared" ca="1" si="26"/>
        <v>1970</v>
      </c>
      <c r="Z187">
        <f t="shared" ca="1" si="27"/>
        <v>9</v>
      </c>
      <c r="AA187">
        <f t="shared" ca="1" si="28"/>
        <v>28</v>
      </c>
      <c r="AB187">
        <f t="shared" ca="1" si="29"/>
        <v>50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catiro2830</v>
      </c>
      <c r="C188" t="str">
        <f t="shared" ca="1" si="20"/>
        <v>pswcatiro2830</v>
      </c>
      <c r="D188" t="str">
        <f ca="1">Nomes!T189</f>
        <v>Catarina Ana Valente Sá</v>
      </c>
      <c r="E188" t="str">
        <f>Nomes!S189</f>
        <v>Feminino</v>
      </c>
      <c r="F188" s="2">
        <v>27447</v>
      </c>
      <c r="G188" t="str" cm="1">
        <f t="array" aca="1" ref="G188" ca="1">INDEX(rua_cod!$F:$F,RANDBETWEEN(2,COUNTA(rua_cod!F:F)))</f>
        <v>Rua da Betesga</v>
      </c>
      <c r="H188" t="str" cm="1">
        <f t="array" aca="1" ref="H188" ca="1">INDEX(rua_cod!$A:$A,Users!V188) &amp; "-" &amp; TEXT(RANDBETWEEN(0,999),"000")</f>
        <v>2830-025</v>
      </c>
      <c r="I188" t="str" cm="1">
        <f t="array" aca="1" ref="I188" ca="1">INDEX(rua_cod!$B:$B,Users!V188)</f>
        <v>Barreiro</v>
      </c>
      <c r="J188" t="s">
        <v>3728</v>
      </c>
      <c r="K188" t="s">
        <v>225</v>
      </c>
      <c r="L188" t="s">
        <v>265</v>
      </c>
      <c r="M188" t="str">
        <f t="shared" ca="1" si="21"/>
        <v>48340517</v>
      </c>
      <c r="N188" t="str">
        <f t="shared" ca="1" si="22"/>
        <v>157181350</v>
      </c>
      <c r="O188" t="str">
        <f t="shared" ca="1" si="22"/>
        <v>895291151</v>
      </c>
      <c r="P188" t="str" cm="1">
        <f t="array" aca="1" ref="P188" ca="1">9 &amp; INDEX($AF$3:$AF$6,W188)&amp; TEXT(RANDBETWEEN(0,9999999),"0000000")</f>
        <v>965089119</v>
      </c>
      <c r="Q188" t="str" cm="1">
        <f t="array" aca="1" ref="Q188" ca="1">LOWER(B188) &amp; INDEX($AF$9:$AF$11,X188)</f>
        <v>catiro2830@gmail.com</v>
      </c>
      <c r="R188" t="str">
        <f t="shared" ca="1" si="23"/>
        <v>catiro2830.jpg</v>
      </c>
      <c r="T188" s="4"/>
      <c r="V188">
        <f ca="1">RANDBETWEEN(2,COUNTA(rua_cod!A:A))</f>
        <v>16</v>
      </c>
      <c r="W188">
        <f t="shared" ca="1" si="24"/>
        <v>4</v>
      </c>
      <c r="X188">
        <f t="shared" ca="1" si="25"/>
        <v>2</v>
      </c>
      <c r="Y188">
        <f t="shared" ca="1" si="26"/>
        <v>2002</v>
      </c>
      <c r="Z188">
        <f t="shared" ca="1" si="27"/>
        <v>10</v>
      </c>
      <c r="AA188">
        <f t="shared" ca="1" si="28"/>
        <v>20</v>
      </c>
      <c r="AB188">
        <f t="shared" ca="1" si="29"/>
        <v>18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sanboa1700</v>
      </c>
      <c r="C189" t="str">
        <f t="shared" ca="1" si="20"/>
        <v>pswsanboa1700</v>
      </c>
      <c r="D189" t="str">
        <f ca="1">Nomes!T190</f>
        <v>Santiago Francisco Moreira Moura</v>
      </c>
      <c r="E189" t="str">
        <f>Nomes!S190</f>
        <v>Masculino</v>
      </c>
      <c r="F189" s="2">
        <v>19510</v>
      </c>
      <c r="G189" t="str" cm="1">
        <f t="array" aca="1" ref="G189" ca="1">INDEX(rua_cod!$F:$F,RANDBETWEEN(2,COUNTA(rua_cod!F:F)))</f>
        <v>Estrada das Laranjeiras</v>
      </c>
      <c r="H189" t="str" cm="1">
        <f t="array" aca="1" ref="H189" ca="1">INDEX(rua_cod!$A:$A,Users!V189) &amp; "-" &amp; TEXT(RANDBETWEEN(0,999),"000")</f>
        <v>1700-666</v>
      </c>
      <c r="I189" t="str" cm="1">
        <f t="array" aca="1" ref="I189" ca="1">INDEX(rua_cod!$B:$B,Users!V189)</f>
        <v>Lisboa</v>
      </c>
      <c r="J189" t="s">
        <v>3728</v>
      </c>
      <c r="K189" t="s">
        <v>225</v>
      </c>
      <c r="L189" t="s">
        <v>265</v>
      </c>
      <c r="M189" t="str">
        <f t="shared" ca="1" si="21"/>
        <v>67150340</v>
      </c>
      <c r="N189" t="str">
        <f t="shared" ca="1" si="22"/>
        <v>499717114</v>
      </c>
      <c r="O189" t="str">
        <f t="shared" ca="1" si="22"/>
        <v>999861161</v>
      </c>
      <c r="P189" t="str" cm="1">
        <f t="array" aca="1" ref="P189" ca="1">9 &amp; INDEX($AF$3:$AF$6,W189)&amp; TEXT(RANDBETWEEN(0,9999999),"0000000")</f>
        <v>934170926</v>
      </c>
      <c r="Q189" t="str" cm="1">
        <f t="array" aca="1" ref="Q189" ca="1">LOWER(B189) &amp; INDEX($AF$9:$AF$11,X189)</f>
        <v>sanboa1700@outlook.com</v>
      </c>
      <c r="R189" t="str">
        <f t="shared" ca="1" si="23"/>
        <v>sanboa1700.jpg</v>
      </c>
      <c r="T189" s="4"/>
      <c r="V189">
        <f ca="1">RANDBETWEEN(2,COUNTA(rua_cod!A:A))</f>
        <v>40</v>
      </c>
      <c r="W189">
        <f t="shared" ca="1" si="24"/>
        <v>3</v>
      </c>
      <c r="X189">
        <f t="shared" ca="1" si="25"/>
        <v>1</v>
      </c>
      <c r="Y189">
        <f t="shared" ca="1" si="26"/>
        <v>1983</v>
      </c>
      <c r="Z189">
        <f t="shared" ca="1" si="27"/>
        <v>12</v>
      </c>
      <c r="AA189">
        <f t="shared" ca="1" si="28"/>
        <v>28</v>
      </c>
      <c r="AB189">
        <f t="shared" ca="1" si="29"/>
        <v>37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gabrem2009</v>
      </c>
      <c r="C190" t="str">
        <f t="shared" ca="1" si="20"/>
        <v>pswgabrem2009</v>
      </c>
      <c r="D190" t="str">
        <f ca="1">Nomes!T191</f>
        <v>Gabriel Mariana Pinheiro Faria</v>
      </c>
      <c r="E190" t="str">
        <f>Nomes!S191</f>
        <v>Masculino</v>
      </c>
      <c r="F190" s="2">
        <v>35493</v>
      </c>
      <c r="G190" t="str" cm="1">
        <f t="array" aca="1" ref="G190" ca="1">INDEX(rua_cod!$F:$F,RANDBETWEEN(2,COUNTA(rua_cod!F:F)))</f>
        <v>Rua General Morais Sarmento</v>
      </c>
      <c r="H190" t="str" cm="1">
        <f t="array" aca="1" ref="H190" ca="1">INDEX(rua_cod!$A:$A,Users!V190) &amp; "-" &amp; TEXT(RANDBETWEEN(0,999),"000")</f>
        <v>2009-506</v>
      </c>
      <c r="I190" t="str" cm="1">
        <f t="array" aca="1" ref="I190" ca="1">INDEX(rua_cod!$B:$B,Users!V190)</f>
        <v>Santarém</v>
      </c>
      <c r="J190" t="s">
        <v>3728</v>
      </c>
      <c r="K190" t="s">
        <v>225</v>
      </c>
      <c r="L190" t="s">
        <v>265</v>
      </c>
      <c r="M190" t="str">
        <f t="shared" ca="1" si="21"/>
        <v>32454163</v>
      </c>
      <c r="N190" t="str">
        <f t="shared" ca="1" si="22"/>
        <v>323938890</v>
      </c>
      <c r="O190" t="str">
        <f t="shared" ca="1" si="22"/>
        <v>423165874</v>
      </c>
      <c r="P190" t="str" cm="1">
        <f t="array" aca="1" ref="P190" ca="1">9 &amp; INDEX($AF$3:$AF$6,W190)&amp; TEXT(RANDBETWEEN(0,9999999),"0000000")</f>
        <v>913113830</v>
      </c>
      <c r="Q190" t="str" cm="1">
        <f t="array" aca="1" ref="Q190" ca="1">LOWER(B190) &amp; INDEX($AF$9:$AF$11,X190)</f>
        <v>gabrem2009@sapo.pt</v>
      </c>
      <c r="R190" t="str">
        <f t="shared" ca="1" si="23"/>
        <v>gabrem2009.jpg</v>
      </c>
      <c r="T190" s="4"/>
      <c r="V190">
        <f ca="1">RANDBETWEEN(2,COUNTA(rua_cod!A:A))</f>
        <v>95</v>
      </c>
      <c r="W190">
        <f t="shared" ca="1" si="24"/>
        <v>1</v>
      </c>
      <c r="X190">
        <f t="shared" ca="1" si="25"/>
        <v>3</v>
      </c>
      <c r="Y190">
        <f t="shared" ca="1" si="26"/>
        <v>1966</v>
      </c>
      <c r="Z190">
        <f t="shared" ca="1" si="27"/>
        <v>2</v>
      </c>
      <c r="AA190">
        <f t="shared" ca="1" si="28"/>
        <v>23</v>
      </c>
      <c r="AB190">
        <f t="shared" ca="1" si="29"/>
        <v>54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pedboa1800</v>
      </c>
      <c r="C191" t="str">
        <f t="shared" ca="1" si="20"/>
        <v>pswpedboa1800</v>
      </c>
      <c r="D191" t="str">
        <f ca="1">Nomes!T192</f>
        <v>Pedro Martim Machado Antunes</v>
      </c>
      <c r="E191" t="str">
        <f>Nomes!S192</f>
        <v>Masculino</v>
      </c>
      <c r="F191" s="2">
        <v>40749</v>
      </c>
      <c r="G191" t="str" cm="1">
        <f t="array" aca="1" ref="G191" ca="1">INDEX(rua_cod!$F:$F,RANDBETWEEN(2,COUNTA(rua_cod!F:F)))</f>
        <v>Rua do Sol a Santana</v>
      </c>
      <c r="H191" t="str" cm="1">
        <f t="array" aca="1" ref="H191" ca="1">INDEX(rua_cod!$A:$A,Users!V191) &amp; "-" &amp; TEXT(RANDBETWEEN(0,999),"000")</f>
        <v>1800-824</v>
      </c>
      <c r="I191" t="str" cm="1">
        <f t="array" aca="1" ref="I191" ca="1">INDEX(rua_cod!$B:$B,Users!V191)</f>
        <v>Lisboa</v>
      </c>
      <c r="J191" t="s">
        <v>3728</v>
      </c>
      <c r="K191" t="s">
        <v>225</v>
      </c>
      <c r="L191" t="s">
        <v>265</v>
      </c>
      <c r="M191" t="str">
        <f t="shared" ca="1" si="21"/>
        <v>99417958</v>
      </c>
      <c r="N191" t="str">
        <f t="shared" ca="1" si="22"/>
        <v>137689210</v>
      </c>
      <c r="O191" t="str">
        <f t="shared" ca="1" si="22"/>
        <v>515559144</v>
      </c>
      <c r="P191" t="str" cm="1">
        <f t="array" aca="1" ref="P191" ca="1">9 &amp; INDEX($AF$3:$AF$6,W191)&amp; TEXT(RANDBETWEEN(0,9999999),"0000000")</f>
        <v>962619758</v>
      </c>
      <c r="Q191" t="str" cm="1">
        <f t="array" aca="1" ref="Q191" ca="1">LOWER(B191) &amp; INDEX($AF$9:$AF$11,X191)</f>
        <v>pedboa1800@gmail.com</v>
      </c>
      <c r="R191" t="str">
        <f t="shared" ca="1" si="23"/>
        <v>pedboa1800.jpg</v>
      </c>
      <c r="T191" s="4"/>
      <c r="V191">
        <f ca="1">RANDBETWEEN(2,COUNTA(rua_cod!A:A))</f>
        <v>56</v>
      </c>
      <c r="W191">
        <f t="shared" ca="1" si="24"/>
        <v>4</v>
      </c>
      <c r="X191">
        <f t="shared" ca="1" si="25"/>
        <v>2</v>
      </c>
      <c r="Y191">
        <f t="shared" ca="1" si="26"/>
        <v>1907</v>
      </c>
      <c r="Z191">
        <f t="shared" ca="1" si="27"/>
        <v>7</v>
      </c>
      <c r="AA191">
        <f t="shared" ca="1" si="28"/>
        <v>4</v>
      </c>
      <c r="AB191">
        <f t="shared" ca="1" si="29"/>
        <v>113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diaboa1990</v>
      </c>
      <c r="C192" t="str">
        <f t="shared" ca="1" si="20"/>
        <v>pswdiaboa1990</v>
      </c>
      <c r="D192" t="str">
        <f ca="1">Nomes!T193</f>
        <v>Diana Daniela Paiva Abreu</v>
      </c>
      <c r="E192" t="str">
        <f>Nomes!S193</f>
        <v>Feminino</v>
      </c>
      <c r="F192" s="2">
        <v>14252</v>
      </c>
      <c r="G192" t="str" cm="1">
        <f t="array" aca="1" ref="G192" ca="1">INDEX(rua_cod!$F:$F,RANDBETWEEN(2,COUNTA(rua_cod!F:F)))</f>
        <v>Rua Garrett</v>
      </c>
      <c r="H192" t="str" cm="1">
        <f t="array" aca="1" ref="H192" ca="1">INDEX(rua_cod!$A:$A,Users!V192) &amp; "-" &amp; TEXT(RANDBETWEEN(0,999),"000")</f>
        <v>1990-211</v>
      </c>
      <c r="I192" t="str" cm="1">
        <f t="array" aca="1" ref="I192" ca="1">INDEX(rua_cod!$B:$B,Users!V192)</f>
        <v>Lisboa</v>
      </c>
      <c r="J192" t="s">
        <v>3728</v>
      </c>
      <c r="K192" t="s">
        <v>225</v>
      </c>
      <c r="L192" t="s">
        <v>265</v>
      </c>
      <c r="M192" t="str">
        <f t="shared" ca="1" si="21"/>
        <v>21683068</v>
      </c>
      <c r="N192" t="str">
        <f t="shared" ca="1" si="22"/>
        <v>705557883</v>
      </c>
      <c r="O192" t="str">
        <f t="shared" ca="1" si="22"/>
        <v>795412874</v>
      </c>
      <c r="P192" t="str" cm="1">
        <f t="array" aca="1" ref="P192" ca="1">9 &amp; INDEX($AF$3:$AF$6,W192)&amp; TEXT(RANDBETWEEN(0,9999999),"0000000")</f>
        <v>917066299</v>
      </c>
      <c r="Q192" t="str" cm="1">
        <f t="array" aca="1" ref="Q192" ca="1">LOWER(B192) &amp; INDEX($AF$9:$AF$11,X192)</f>
        <v>diaboa1990@sapo.pt</v>
      </c>
      <c r="R192" t="str">
        <f t="shared" ca="1" si="23"/>
        <v>diaboa1990.jpg</v>
      </c>
      <c r="T192" s="4"/>
      <c r="V192">
        <f ca="1">RANDBETWEEN(2,COUNTA(rua_cod!A:A))</f>
        <v>75</v>
      </c>
      <c r="W192">
        <f t="shared" ca="1" si="24"/>
        <v>1</v>
      </c>
      <c r="X192">
        <f t="shared" ca="1" si="25"/>
        <v>3</v>
      </c>
      <c r="Y192">
        <f t="shared" ca="1" si="26"/>
        <v>1967</v>
      </c>
      <c r="Z192">
        <f t="shared" ca="1" si="27"/>
        <v>3</v>
      </c>
      <c r="AA192">
        <f t="shared" ca="1" si="28"/>
        <v>2</v>
      </c>
      <c r="AB192">
        <f t="shared" ca="1" si="29"/>
        <v>53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marras2560</v>
      </c>
      <c r="C193" t="str">
        <f t="shared" ca="1" si="20"/>
        <v>pswmarras2560</v>
      </c>
      <c r="D193" t="str">
        <f ca="1">Nomes!T194</f>
        <v>Mariana Martim Vieira Mota</v>
      </c>
      <c r="E193" t="str">
        <f>Nomes!S194</f>
        <v>Feminino</v>
      </c>
      <c r="F193" s="2">
        <v>31720</v>
      </c>
      <c r="G193" t="str" cm="1">
        <f t="array" aca="1" ref="G193" ca="1">INDEX(rua_cod!$F:$F,RANDBETWEEN(2,COUNTA(rua_cod!F:F)))</f>
        <v>Rua da Alfândega</v>
      </c>
      <c r="H193" t="str" cm="1">
        <f t="array" aca="1" ref="H193" ca="1">INDEX(rua_cod!$A:$A,Users!V193) &amp; "-" &amp; TEXT(RANDBETWEEN(0,999),"000")</f>
        <v>2560-939</v>
      </c>
      <c r="I193" t="str" cm="1">
        <f t="array" aca="1" ref="I193" ca="1">INDEX(rua_cod!$B:$B,Users!V193)</f>
        <v>Torres Vedras</v>
      </c>
      <c r="J193" t="s">
        <v>3728</v>
      </c>
      <c r="K193" t="s">
        <v>225</v>
      </c>
      <c r="L193" t="s">
        <v>265</v>
      </c>
      <c r="M193" t="str">
        <f t="shared" ca="1" si="21"/>
        <v>29528007</v>
      </c>
      <c r="N193" t="str">
        <f t="shared" ca="1" si="22"/>
        <v>932542877</v>
      </c>
      <c r="O193" t="str">
        <f t="shared" ca="1" si="22"/>
        <v>325980844</v>
      </c>
      <c r="P193" t="str" cm="1">
        <f t="array" aca="1" ref="P193" ca="1">9 &amp; INDEX($AF$3:$AF$6,W193)&amp; TEXT(RANDBETWEEN(0,9999999),"0000000")</f>
        <v>965160152</v>
      </c>
      <c r="Q193" t="str" cm="1">
        <f t="array" aca="1" ref="Q193" ca="1">LOWER(B193) &amp; INDEX($AF$9:$AF$11,X193)</f>
        <v>marras2560@sapo.pt</v>
      </c>
      <c r="R193" t="str">
        <f t="shared" ca="1" si="23"/>
        <v>marras2560.jpg</v>
      </c>
      <c r="T193" s="4"/>
      <c r="V193">
        <f ca="1">RANDBETWEEN(2,COUNTA(rua_cod!A:A))</f>
        <v>104</v>
      </c>
      <c r="W193">
        <f t="shared" ca="1" si="24"/>
        <v>4</v>
      </c>
      <c r="X193">
        <f t="shared" ca="1" si="25"/>
        <v>3</v>
      </c>
      <c r="Y193">
        <f t="shared" ca="1" si="26"/>
        <v>1965</v>
      </c>
      <c r="Z193">
        <f t="shared" ca="1" si="27"/>
        <v>3</v>
      </c>
      <c r="AA193">
        <f t="shared" ca="1" si="28"/>
        <v>8</v>
      </c>
      <c r="AB193">
        <f t="shared" ca="1" si="29"/>
        <v>55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carboa1649</v>
      </c>
      <c r="C194" t="str">
        <f t="shared" ca="1" si="20"/>
        <v>pswcarboa1649</v>
      </c>
      <c r="D194" t="str">
        <f ca="1">Nomes!T195</f>
        <v>Carolina Martim Monteiro Maia</v>
      </c>
      <c r="E194" t="str">
        <f>Nomes!S195</f>
        <v>Feminino</v>
      </c>
      <c r="F194" s="2">
        <v>32584</v>
      </c>
      <c r="G194" t="str" cm="1">
        <f t="array" aca="1" ref="G194" ca="1">INDEX(rua_cod!$F:$F,RANDBETWEEN(2,COUNTA(rua_cod!F:F)))</f>
        <v>Rua do Arsenal</v>
      </c>
      <c r="H194" t="str" cm="1">
        <f t="array" aca="1" ref="H194" ca="1">INDEX(rua_cod!$A:$A,Users!V194) &amp; "-" &amp; TEXT(RANDBETWEEN(0,999),"000")</f>
        <v>1649-534</v>
      </c>
      <c r="I194" t="str" cm="1">
        <f t="array" aca="1" ref="I194" ca="1">INDEX(rua_cod!$B:$B,Users!V194)</f>
        <v>Lisboa</v>
      </c>
      <c r="J194" t="s">
        <v>3728</v>
      </c>
      <c r="K194" t="s">
        <v>225</v>
      </c>
      <c r="L194" t="s">
        <v>265</v>
      </c>
      <c r="M194" t="str">
        <f t="shared" ca="1" si="21"/>
        <v>45139155</v>
      </c>
      <c r="N194" t="str">
        <f t="shared" ca="1" si="22"/>
        <v>506171850</v>
      </c>
      <c r="O194" t="str">
        <f t="shared" ca="1" si="22"/>
        <v>464413747</v>
      </c>
      <c r="P194" t="str" cm="1">
        <f t="array" aca="1" ref="P194" ca="1">9 &amp; INDEX($AF$3:$AF$6,W194)&amp; TEXT(RANDBETWEEN(0,9999999),"0000000")</f>
        <v>936463800</v>
      </c>
      <c r="Q194" t="str" cm="1">
        <f t="array" aca="1" ref="Q194" ca="1">LOWER(B194) &amp; INDEX($AF$9:$AF$11,X194)</f>
        <v>carboa1649@outlook.com</v>
      </c>
      <c r="R194" t="str">
        <f t="shared" ca="1" si="23"/>
        <v>carboa1649.jpg</v>
      </c>
      <c r="T194" s="4"/>
      <c r="V194">
        <f ca="1">RANDBETWEEN(2,COUNTA(rua_cod!A:A))</f>
        <v>68</v>
      </c>
      <c r="W194">
        <f t="shared" ca="1" si="24"/>
        <v>3</v>
      </c>
      <c r="X194">
        <f t="shared" ca="1" si="25"/>
        <v>1</v>
      </c>
      <c r="Y194">
        <f t="shared" ca="1" si="26"/>
        <v>1995</v>
      </c>
      <c r="Z194">
        <f t="shared" ca="1" si="27"/>
        <v>11</v>
      </c>
      <c r="AA194">
        <f t="shared" ca="1" si="28"/>
        <v>5</v>
      </c>
      <c r="AB194">
        <f t="shared" ca="1" si="29"/>
        <v>25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anaica2829</v>
      </c>
      <c r="C195" t="str">
        <f t="shared" ref="C195:C199" ca="1" si="30">"psw" &amp; B195</f>
        <v>pswanaica2829</v>
      </c>
      <c r="D195" t="str">
        <f ca="1">Nomes!T196</f>
        <v>Ana Tiago Carneiro Soares</v>
      </c>
      <c r="E195" t="str">
        <f>Nomes!S196</f>
        <v>Feminino</v>
      </c>
      <c r="F195" s="2">
        <v>23808</v>
      </c>
      <c r="G195" t="str" cm="1">
        <f t="array" aca="1" ref="G195" ca="1">INDEX(rua_cod!$F:$F,RANDBETWEEN(2,COUNTA(rua_cod!F:F)))</f>
        <v>Rua da Junqueira</v>
      </c>
      <c r="H195" t="str" cm="1">
        <f t="array" aca="1" ref="H195" ca="1">INDEX(rua_cod!$A:$A,Users!V195) &amp; "-" &amp; TEXT(RANDBETWEEN(0,999),"000")</f>
        <v>2829-201</v>
      </c>
      <c r="I195" t="str" cm="1">
        <f t="array" aca="1" ref="I195" ca="1">INDEX(rua_cod!$B:$B,Users!V195)</f>
        <v>Costa de Caparica</v>
      </c>
      <c r="J195" t="s">
        <v>3728</v>
      </c>
      <c r="K195" t="s">
        <v>225</v>
      </c>
      <c r="L195" t="s">
        <v>265</v>
      </c>
      <c r="M195" t="str">
        <f t="shared" ref="M195:M199" ca="1" si="31">TEXT(RANDBETWEEN(10000000,99999999),"00000000")</f>
        <v>42944421</v>
      </c>
      <c r="N195" t="str">
        <f t="shared" ref="N195:O199" ca="1" si="32">TEXT(RANDBETWEEN(100000000,999999999),"000000000")</f>
        <v>667932305</v>
      </c>
      <c r="O195" t="str">
        <f t="shared" ca="1" si="32"/>
        <v>161420203</v>
      </c>
      <c r="P195" t="str" cm="1">
        <f t="array" aca="1" ref="P195" ca="1">9 &amp; INDEX($AF$3:$AF$6,W195)&amp; TEXT(RANDBETWEEN(0,9999999),"0000000")</f>
        <v>927338897</v>
      </c>
      <c r="Q195" t="str" cm="1">
        <f t="array" aca="1" ref="Q195" ca="1">LOWER(B195) &amp; INDEX($AF$9:$AF$11,X195)</f>
        <v>anaica2829@gmail.com</v>
      </c>
      <c r="R195" t="str">
        <f t="shared" ref="R195:R199" ca="1" si="33">B195 &amp; ".jpg"</f>
        <v>anaica2829.jpg</v>
      </c>
      <c r="T195" s="4"/>
      <c r="V195">
        <f ca="1">RANDBETWEEN(2,COUNTA(rua_cod!A:A))</f>
        <v>28</v>
      </c>
      <c r="W195">
        <f t="shared" ref="W195:W199" ca="1" si="34">RANDBETWEEN(1,4)</f>
        <v>2</v>
      </c>
      <c r="X195">
        <f t="shared" ref="X195:X199" ca="1" si="35">RANDBETWEEN(1,3)</f>
        <v>2</v>
      </c>
      <c r="Y195">
        <f t="shared" ref="Y195:Y199" ca="1" si="36">INT(NORMINV(RAND(),1976,22))</f>
        <v>1992</v>
      </c>
      <c r="Z195">
        <f t="shared" ref="Z195:Z199" ca="1" si="37">RANDBETWEEN(1,12)</f>
        <v>2</v>
      </c>
      <c r="AA195">
        <f t="shared" ref="AA195:AA199" ca="1" si="38">RANDBETWEEN(1,31)</f>
        <v>24</v>
      </c>
      <c r="AB195">
        <f t="shared" ref="AB195:AB199" ca="1" si="39">2020-Y195</f>
        <v>28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marboa1400</v>
      </c>
      <c r="C196" t="str">
        <f t="shared" ca="1" si="30"/>
        <v>pswmarboa1400</v>
      </c>
      <c r="D196" t="str">
        <f ca="1">Nomes!T197</f>
        <v>Martim Ana Nascimento Pinto</v>
      </c>
      <c r="E196" t="str">
        <f>Nomes!S197</f>
        <v>Masculino</v>
      </c>
      <c r="F196" s="2">
        <v>38168</v>
      </c>
      <c r="G196" t="str" cm="1">
        <f t="array" aca="1" ref="G196" ca="1">INDEX(rua_cod!$F:$F,RANDBETWEEN(2,COUNTA(rua_cod!F:F)))</f>
        <v>Rua Garrett</v>
      </c>
      <c r="H196" t="str" cm="1">
        <f t="array" aca="1" ref="H196" ca="1">INDEX(rua_cod!$A:$A,Users!V196) &amp; "-" &amp; TEXT(RANDBETWEEN(0,999),"000")</f>
        <v>1400-935</v>
      </c>
      <c r="I196" t="str" cm="1">
        <f t="array" aca="1" ref="I196" ca="1">INDEX(rua_cod!$B:$B,Users!V196)</f>
        <v>Lisboa</v>
      </c>
      <c r="J196" t="s">
        <v>3728</v>
      </c>
      <c r="K196" t="s">
        <v>225</v>
      </c>
      <c r="L196" t="s">
        <v>265</v>
      </c>
      <c r="M196" t="str">
        <f t="shared" ca="1" si="31"/>
        <v>27079152</v>
      </c>
      <c r="N196" t="str">
        <f t="shared" ca="1" si="32"/>
        <v>576995431</v>
      </c>
      <c r="O196" t="str">
        <f t="shared" ca="1" si="32"/>
        <v>483743358</v>
      </c>
      <c r="P196" t="str" cm="1">
        <f t="array" aca="1" ref="P196" ca="1">9 &amp; INDEX($AF$3:$AF$6,W196)&amp; TEXT(RANDBETWEEN(0,9999999),"0000000")</f>
        <v>929688135</v>
      </c>
      <c r="Q196" t="str" cm="1">
        <f t="array" aca="1" ref="Q196" ca="1">LOWER(B196) &amp; INDEX($AF$9:$AF$11,X196)</f>
        <v>marboa1400@outlook.com</v>
      </c>
      <c r="R196" t="str">
        <f t="shared" ca="1" si="33"/>
        <v>marboa1400.jpg</v>
      </c>
      <c r="T196" s="4"/>
      <c r="V196">
        <f ca="1">RANDBETWEEN(2,COUNTA(rua_cod!A:A))</f>
        <v>57</v>
      </c>
      <c r="W196">
        <f t="shared" ca="1" si="34"/>
        <v>2</v>
      </c>
      <c r="X196">
        <f t="shared" ca="1" si="35"/>
        <v>1</v>
      </c>
      <c r="Y196">
        <f t="shared" ca="1" si="36"/>
        <v>1958</v>
      </c>
      <c r="Z196">
        <f t="shared" ca="1" si="37"/>
        <v>3</v>
      </c>
      <c r="AA196">
        <f t="shared" ca="1" si="38"/>
        <v>25</v>
      </c>
      <c r="AB196">
        <f t="shared" ca="1" si="39"/>
        <v>62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marboa1750</v>
      </c>
      <c r="C197" t="str">
        <f t="shared" ca="1" si="30"/>
        <v>pswmarboa1750</v>
      </c>
      <c r="D197" t="str">
        <f ca="1">Nomes!T198</f>
        <v>Mariana Daniela Sousa Rocha</v>
      </c>
      <c r="E197" t="str">
        <f>Nomes!S198</f>
        <v>Feminino</v>
      </c>
      <c r="F197" s="2">
        <v>44443</v>
      </c>
      <c r="G197" t="str" cm="1">
        <f t="array" aca="1" ref="G197" ca="1">INDEX(rua_cod!$F:$F,RANDBETWEEN(2,COUNTA(rua_cod!F:F)))</f>
        <v>Rua do Comércio</v>
      </c>
      <c r="H197" t="str" cm="1">
        <f t="array" aca="1" ref="H197" ca="1">INDEX(rua_cod!$A:$A,Users!V197) &amp; "-" &amp; TEXT(RANDBETWEEN(0,999),"000")</f>
        <v>1750-886</v>
      </c>
      <c r="I197" t="str" cm="1">
        <f t="array" aca="1" ref="I197" ca="1">INDEX(rua_cod!$B:$B,Users!V197)</f>
        <v>Lisboa</v>
      </c>
      <c r="J197" t="s">
        <v>3728</v>
      </c>
      <c r="K197" t="s">
        <v>225</v>
      </c>
      <c r="L197" t="s">
        <v>265</v>
      </c>
      <c r="M197" t="str">
        <f t="shared" ca="1" si="31"/>
        <v>55556372</v>
      </c>
      <c r="N197" t="str">
        <f t="shared" ca="1" si="32"/>
        <v>946855785</v>
      </c>
      <c r="O197" t="str">
        <f t="shared" ca="1" si="32"/>
        <v>282672925</v>
      </c>
      <c r="P197" t="str" cm="1">
        <f t="array" aca="1" ref="P197" ca="1">9 &amp; INDEX($AF$3:$AF$6,W197)&amp; TEXT(RANDBETWEEN(0,9999999),"0000000")</f>
        <v>960272654</v>
      </c>
      <c r="Q197" t="str" cm="1">
        <f t="array" aca="1" ref="Q197" ca="1">LOWER(B197) &amp; INDEX($AF$9:$AF$11,X197)</f>
        <v>marboa1750@sapo.pt</v>
      </c>
      <c r="R197" t="str">
        <f t="shared" ca="1" si="33"/>
        <v>marboa1750.jpg</v>
      </c>
      <c r="T197" s="4"/>
      <c r="V197">
        <f ca="1">RANDBETWEEN(2,COUNTA(rua_cod!A:A))</f>
        <v>49</v>
      </c>
      <c r="W197">
        <f t="shared" ca="1" si="34"/>
        <v>4</v>
      </c>
      <c r="X197">
        <f t="shared" ca="1" si="35"/>
        <v>3</v>
      </c>
      <c r="Y197">
        <f t="shared" ca="1" si="36"/>
        <v>2024</v>
      </c>
      <c r="Z197">
        <f t="shared" ca="1" si="37"/>
        <v>6</v>
      </c>
      <c r="AA197">
        <f t="shared" ca="1" si="38"/>
        <v>4</v>
      </c>
      <c r="AB197">
        <f t="shared" ca="1" si="39"/>
        <v>-4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danria2423</v>
      </c>
      <c r="C198" t="str">
        <f t="shared" ca="1" si="30"/>
        <v>pswdanria2423</v>
      </c>
      <c r="D198" t="str">
        <f ca="1">Nomes!T199</f>
        <v>Daniela Sara Pacheco Pacheco</v>
      </c>
      <c r="E198" t="str">
        <f>Nomes!S199</f>
        <v>Feminino</v>
      </c>
      <c r="F198" s="2">
        <v>14423</v>
      </c>
      <c r="G198" t="str" cm="1">
        <f t="array" aca="1" ref="G198" ca="1">INDEX(rua_cod!$F:$F,RANDBETWEEN(2,COUNTA(rua_cod!F:F)))</f>
        <v>Rua Nova do Almada</v>
      </c>
      <c r="H198" t="str" cm="1">
        <f t="array" aca="1" ref="H198" ca="1">INDEX(rua_cod!$A:$A,Users!V198) &amp; "-" &amp; TEXT(RANDBETWEEN(0,999),"000")</f>
        <v>2423-084</v>
      </c>
      <c r="I198" t="str" cm="1">
        <f t="array" aca="1" ref="I198" ca="1">INDEX(rua_cod!$B:$B,Users!V198)</f>
        <v>Leiria</v>
      </c>
      <c r="J198" t="s">
        <v>3728</v>
      </c>
      <c r="K198" t="s">
        <v>225</v>
      </c>
      <c r="L198" t="s">
        <v>265</v>
      </c>
      <c r="M198" t="str">
        <f t="shared" ca="1" si="31"/>
        <v>76106232</v>
      </c>
      <c r="N198" t="str">
        <f t="shared" ca="1" si="32"/>
        <v>478977247</v>
      </c>
      <c r="O198" t="str">
        <f t="shared" ca="1" si="32"/>
        <v>341473396</v>
      </c>
      <c r="P198" t="str" cm="1">
        <f t="array" aca="1" ref="P198" ca="1">9 &amp; INDEX($AF$3:$AF$6,W198)&amp; TEXT(RANDBETWEEN(0,9999999),"0000000")</f>
        <v>913162002</v>
      </c>
      <c r="Q198" t="str" cm="1">
        <f t="array" aca="1" ref="Q198" ca="1">LOWER(B198) &amp; INDEX($AF$9:$AF$11,X198)</f>
        <v>danria2423@sapo.pt</v>
      </c>
      <c r="R198" t="str">
        <f t="shared" ca="1" si="33"/>
        <v>danria2423.jpg</v>
      </c>
      <c r="T198" s="4"/>
      <c r="V198">
        <f ca="1">RANDBETWEEN(2,COUNTA(rua_cod!A:A))</f>
        <v>38</v>
      </c>
      <c r="W198">
        <f t="shared" ca="1" si="34"/>
        <v>1</v>
      </c>
      <c r="X198">
        <f t="shared" ca="1" si="35"/>
        <v>3</v>
      </c>
      <c r="Y198">
        <f t="shared" ca="1" si="36"/>
        <v>2013</v>
      </c>
      <c r="Z198">
        <f t="shared" ca="1" si="37"/>
        <v>1</v>
      </c>
      <c r="AA198">
        <f t="shared" ca="1" si="38"/>
        <v>8</v>
      </c>
      <c r="AB198">
        <f t="shared" ca="1" si="39"/>
        <v>7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josboa1400</v>
      </c>
      <c r="C199" t="str">
        <f t="shared" ca="1" si="30"/>
        <v>pswjosboa1400</v>
      </c>
      <c r="D199" t="str">
        <f ca="1">Nomes!T200</f>
        <v>José Maria Amaral Pinho</v>
      </c>
      <c r="E199" t="str">
        <f>Nomes!S200</f>
        <v>Masculino</v>
      </c>
      <c r="F199" s="2">
        <v>12035</v>
      </c>
      <c r="G199" t="str" cm="1">
        <f t="array" aca="1" ref="G199" ca="1">INDEX(rua_cod!$F:$F,RANDBETWEEN(2,COUNTA(rua_cod!F:F)))</f>
        <v>Rua dos Fanqueiros</v>
      </c>
      <c r="H199" t="str" cm="1">
        <f t="array" aca="1" ref="H199" ca="1">INDEX(rua_cod!$A:$A,Users!V199) &amp; "-" &amp; TEXT(RANDBETWEEN(0,999),"000")</f>
        <v>1400-487</v>
      </c>
      <c r="I199" t="str" cm="1">
        <f t="array" aca="1" ref="I199" ca="1">INDEX(rua_cod!$B:$B,Users!V199)</f>
        <v>Lisboa</v>
      </c>
      <c r="J199" t="s">
        <v>3728</v>
      </c>
      <c r="K199" t="s">
        <v>225</v>
      </c>
      <c r="L199" t="s">
        <v>265</v>
      </c>
      <c r="M199" t="str">
        <f t="shared" ca="1" si="31"/>
        <v>37162888</v>
      </c>
      <c r="N199" t="str">
        <f t="shared" ca="1" si="32"/>
        <v>921087785</v>
      </c>
      <c r="O199" t="str">
        <f t="shared" ca="1" si="32"/>
        <v>121731001</v>
      </c>
      <c r="P199" t="str" cm="1">
        <f t="array" aca="1" ref="P199" ca="1">9 &amp; INDEX($AF$3:$AF$6,W199)&amp; TEXT(RANDBETWEEN(0,9999999),"0000000")</f>
        <v>939920954</v>
      </c>
      <c r="Q199" t="str" cm="1">
        <f t="array" aca="1" ref="Q199" ca="1">LOWER(B199) &amp; INDEX($AF$9:$AF$11,X199)</f>
        <v>josboa1400@outlook.com</v>
      </c>
      <c r="R199" t="str">
        <f t="shared" ca="1" si="33"/>
        <v>josboa1400.jpg</v>
      </c>
      <c r="T199" s="4"/>
      <c r="V199">
        <f ca="1">RANDBETWEEN(2,COUNTA(rua_cod!A:A))</f>
        <v>57</v>
      </c>
      <c r="W199">
        <f t="shared" ca="1" si="34"/>
        <v>3</v>
      </c>
      <c r="X199">
        <f t="shared" ca="1" si="35"/>
        <v>1</v>
      </c>
      <c r="Y199">
        <f t="shared" ca="1" si="36"/>
        <v>1988</v>
      </c>
      <c r="Z199">
        <f t="shared" ca="1" si="37"/>
        <v>2</v>
      </c>
      <c r="AA199">
        <f t="shared" ca="1" si="38"/>
        <v>24</v>
      </c>
      <c r="AB199">
        <f t="shared" ca="1" si="39"/>
        <v>32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tabSelected="1" workbookViewId="0">
      <selection activeCell="F7" sqref="F7"/>
    </sheetView>
  </sheetViews>
  <sheetFormatPr defaultRowHeight="15" x14ac:dyDescent="0.25"/>
  <cols>
    <col min="6" max="6" width="10.7109375" bestFit="1" customWidth="1"/>
  </cols>
  <sheetData>
    <row r="1" spans="1:2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3735</v>
      </c>
      <c r="V1" s="5" t="s">
        <v>3734</v>
      </c>
    </row>
    <row r="2" spans="1:22" x14ac:dyDescent="0.25">
      <c r="A2">
        <v>188</v>
      </c>
      <c r="B2" t="s">
        <v>2027</v>
      </c>
      <c r="C2" t="s">
        <v>2028</v>
      </c>
      <c r="D2" t="s">
        <v>69</v>
      </c>
      <c r="E2" t="s">
        <v>66</v>
      </c>
      <c r="F2" s="7">
        <v>34816</v>
      </c>
      <c r="G2" t="s">
        <v>254</v>
      </c>
      <c r="H2" t="s">
        <v>2029</v>
      </c>
      <c r="I2" t="s">
        <v>211</v>
      </c>
      <c r="J2" t="s">
        <v>3728</v>
      </c>
      <c r="K2" t="s">
        <v>225</v>
      </c>
      <c r="L2" t="s">
        <v>265</v>
      </c>
      <c r="M2" t="s">
        <v>2030</v>
      </c>
      <c r="N2" t="s">
        <v>2031</v>
      </c>
      <c r="O2" t="s">
        <v>2032</v>
      </c>
      <c r="P2" t="s">
        <v>2033</v>
      </c>
      <c r="Q2" t="s">
        <v>2034</v>
      </c>
      <c r="R2" s="3" t="s">
        <v>3731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25">
      <c r="A3">
        <v>189</v>
      </c>
      <c r="B3" t="s">
        <v>2035</v>
      </c>
      <c r="C3" t="s">
        <v>2036</v>
      </c>
      <c r="D3" t="s">
        <v>76</v>
      </c>
      <c r="E3" t="s">
        <v>66</v>
      </c>
      <c r="F3" s="7">
        <v>23831</v>
      </c>
      <c r="G3" t="s">
        <v>249</v>
      </c>
      <c r="H3" t="s">
        <v>2037</v>
      </c>
      <c r="I3" t="s">
        <v>211</v>
      </c>
      <c r="J3" t="s">
        <v>3728</v>
      </c>
      <c r="K3" t="s">
        <v>225</v>
      </c>
      <c r="L3" t="s">
        <v>265</v>
      </c>
      <c r="M3" t="s">
        <v>2038</v>
      </c>
      <c r="N3" t="s">
        <v>2039</v>
      </c>
      <c r="O3" t="s">
        <v>2040</v>
      </c>
      <c r="P3" t="s">
        <v>2041</v>
      </c>
      <c r="Q3" t="s">
        <v>2042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25">
      <c r="A4">
        <v>190</v>
      </c>
      <c r="B4" t="s">
        <v>2043</v>
      </c>
      <c r="C4" t="s">
        <v>2044</v>
      </c>
      <c r="D4" t="s">
        <v>85</v>
      </c>
      <c r="E4" t="s">
        <v>66</v>
      </c>
      <c r="F4" s="7">
        <v>26848</v>
      </c>
      <c r="G4" t="s">
        <v>255</v>
      </c>
      <c r="H4" t="s">
        <v>2045</v>
      </c>
      <c r="I4" t="s">
        <v>208</v>
      </c>
      <c r="J4" t="s">
        <v>3728</v>
      </c>
      <c r="K4" t="s">
        <v>225</v>
      </c>
      <c r="L4" t="s">
        <v>265</v>
      </c>
      <c r="M4" t="s">
        <v>2046</v>
      </c>
      <c r="N4" t="s">
        <v>2047</v>
      </c>
      <c r="O4" t="s">
        <v>2048</v>
      </c>
      <c r="P4" t="s">
        <v>2049</v>
      </c>
      <c r="Q4" t="s">
        <v>2050</v>
      </c>
      <c r="R4" t="str">
        <f t="shared" si="0"/>
        <v>user-female.jpg</v>
      </c>
      <c r="U4" t="str">
        <f t="shared" ref="U4:U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25">
      <c r="A5">
        <v>191</v>
      </c>
      <c r="B5" t="s">
        <v>2051</v>
      </c>
      <c r="C5" t="s">
        <v>2052</v>
      </c>
      <c r="D5" t="s">
        <v>54</v>
      </c>
      <c r="E5" t="s">
        <v>53</v>
      </c>
      <c r="F5" s="7">
        <v>34485</v>
      </c>
      <c r="G5" t="s">
        <v>250</v>
      </c>
      <c r="H5" t="s">
        <v>2053</v>
      </c>
      <c r="I5" t="s">
        <v>223</v>
      </c>
      <c r="J5" t="s">
        <v>3728</v>
      </c>
      <c r="K5" t="s">
        <v>225</v>
      </c>
      <c r="L5" t="s">
        <v>265</v>
      </c>
      <c r="M5" t="s">
        <v>2054</v>
      </c>
      <c r="N5" t="s">
        <v>2055</v>
      </c>
      <c r="O5" t="s">
        <v>2056</v>
      </c>
      <c r="P5" t="s">
        <v>2057</v>
      </c>
      <c r="Q5" t="s">
        <v>2058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2059</v>
      </c>
      <c r="I6" t="s">
        <v>211</v>
      </c>
      <c r="J6" t="s">
        <v>3728</v>
      </c>
      <c r="K6" t="s">
        <v>225</v>
      </c>
      <c r="L6" t="s">
        <v>265</v>
      </c>
      <c r="M6" t="s">
        <v>2060</v>
      </c>
      <c r="N6" t="s">
        <v>2061</v>
      </c>
      <c r="O6" t="s">
        <v>2062</v>
      </c>
      <c r="P6" t="s">
        <v>2063</v>
      </c>
      <c r="Q6" t="s">
        <v>2064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25">
      <c r="A7">
        <v>193</v>
      </c>
      <c r="B7" t="s">
        <v>2065</v>
      </c>
      <c r="C7" t="s">
        <v>2066</v>
      </c>
      <c r="D7" t="s">
        <v>87</v>
      </c>
      <c r="E7" t="s">
        <v>66</v>
      </c>
      <c r="F7" s="7">
        <v>25448</v>
      </c>
      <c r="G7" t="s">
        <v>226</v>
      </c>
      <c r="H7" t="s">
        <v>2067</v>
      </c>
      <c r="I7" t="s">
        <v>211</v>
      </c>
      <c r="J7" t="s">
        <v>3728</v>
      </c>
      <c r="K7" t="s">
        <v>225</v>
      </c>
      <c r="L7" t="s">
        <v>265</v>
      </c>
      <c r="M7" t="s">
        <v>2068</v>
      </c>
      <c r="N7" t="s">
        <v>2069</v>
      </c>
      <c r="O7" t="s">
        <v>2070</v>
      </c>
      <c r="P7" t="s">
        <v>2071</v>
      </c>
      <c r="Q7" t="s">
        <v>2072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2073</v>
      </c>
      <c r="I8" t="s">
        <v>211</v>
      </c>
      <c r="J8" t="s">
        <v>3728</v>
      </c>
      <c r="K8" t="s">
        <v>225</v>
      </c>
      <c r="L8" t="s">
        <v>265</v>
      </c>
      <c r="M8" t="s">
        <v>2074</v>
      </c>
      <c r="N8" t="s">
        <v>2075</v>
      </c>
      <c r="O8" t="s">
        <v>2076</v>
      </c>
      <c r="P8" t="s">
        <v>2077</v>
      </c>
      <c r="Q8" t="s">
        <v>2078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25">
      <c r="A9">
        <v>195</v>
      </c>
      <c r="B9" t="s">
        <v>2079</v>
      </c>
      <c r="C9" t="s">
        <v>2080</v>
      </c>
      <c r="D9" t="s">
        <v>87</v>
      </c>
      <c r="E9" t="s">
        <v>66</v>
      </c>
      <c r="F9" s="7">
        <v>41662</v>
      </c>
      <c r="G9" t="s">
        <v>246</v>
      </c>
      <c r="H9" t="s">
        <v>2081</v>
      </c>
      <c r="I9" t="s">
        <v>211</v>
      </c>
      <c r="J9" t="s">
        <v>3728</v>
      </c>
      <c r="K9" t="s">
        <v>225</v>
      </c>
      <c r="L9" t="s">
        <v>265</v>
      </c>
      <c r="M9" t="s">
        <v>2082</v>
      </c>
      <c r="N9" t="s">
        <v>2083</v>
      </c>
      <c r="O9" t="s">
        <v>2084</v>
      </c>
      <c r="P9" t="s">
        <v>2085</v>
      </c>
      <c r="Q9" t="s">
        <v>2086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25">
      <c r="A10">
        <v>196</v>
      </c>
      <c r="B10" t="s">
        <v>2087</v>
      </c>
      <c r="C10" t="s">
        <v>2088</v>
      </c>
      <c r="D10" t="s">
        <v>78</v>
      </c>
      <c r="E10" t="s">
        <v>53</v>
      </c>
      <c r="F10" s="7">
        <v>28055</v>
      </c>
      <c r="G10" t="s">
        <v>238</v>
      </c>
      <c r="H10" t="s">
        <v>2089</v>
      </c>
      <c r="I10" t="s">
        <v>202</v>
      </c>
      <c r="J10" t="s">
        <v>3728</v>
      </c>
      <c r="K10" t="s">
        <v>225</v>
      </c>
      <c r="L10" t="s">
        <v>265</v>
      </c>
      <c r="M10" t="s">
        <v>2090</v>
      </c>
      <c r="N10" t="s">
        <v>2091</v>
      </c>
      <c r="O10" t="s">
        <v>2092</v>
      </c>
      <c r="P10" t="s">
        <v>2093</v>
      </c>
      <c r="Q10" t="s">
        <v>2094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25">
      <c r="A11">
        <v>197</v>
      </c>
      <c r="B11" t="s">
        <v>2095</v>
      </c>
      <c r="C11" t="s">
        <v>2096</v>
      </c>
      <c r="D11" t="s">
        <v>87</v>
      </c>
      <c r="E11" t="s">
        <v>66</v>
      </c>
      <c r="F11" s="7">
        <v>30531</v>
      </c>
      <c r="G11" t="s">
        <v>232</v>
      </c>
      <c r="H11" t="s">
        <v>2097</v>
      </c>
      <c r="I11" t="s">
        <v>201</v>
      </c>
      <c r="J11" t="s">
        <v>3728</v>
      </c>
      <c r="K11" t="s">
        <v>225</v>
      </c>
      <c r="L11" t="s">
        <v>265</v>
      </c>
      <c r="M11" t="s">
        <v>2098</v>
      </c>
      <c r="N11" t="s">
        <v>2099</v>
      </c>
      <c r="O11" t="s">
        <v>2100</v>
      </c>
      <c r="P11" t="s">
        <v>2101</v>
      </c>
      <c r="Q11" t="s">
        <v>2102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25">
      <c r="A12">
        <v>198</v>
      </c>
      <c r="B12" t="s">
        <v>3739</v>
      </c>
      <c r="C12" t="s">
        <v>2104</v>
      </c>
      <c r="D12" t="s">
        <v>76</v>
      </c>
      <c r="E12" t="s">
        <v>66</v>
      </c>
      <c r="F12" s="7">
        <v>10192</v>
      </c>
      <c r="G12" t="s">
        <v>237</v>
      </c>
      <c r="H12" t="s">
        <v>2105</v>
      </c>
      <c r="I12" t="s">
        <v>209</v>
      </c>
      <c r="J12" t="s">
        <v>3728</v>
      </c>
      <c r="K12" t="s">
        <v>225</v>
      </c>
      <c r="L12" t="s">
        <v>265</v>
      </c>
      <c r="M12" t="s">
        <v>2106</v>
      </c>
      <c r="N12" t="s">
        <v>2107</v>
      </c>
      <c r="O12" t="s">
        <v>2108</v>
      </c>
      <c r="P12" t="s">
        <v>2109</v>
      </c>
      <c r="Q12" t="s">
        <v>2110</v>
      </c>
      <c r="R12" t="str">
        <f t="shared" si="0"/>
        <v>user-female.jpg</v>
      </c>
      <c r="U12" t="str">
        <f t="shared" si="1"/>
        <v>(198,'ineada2810w',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25">
      <c r="A13">
        <v>199</v>
      </c>
      <c r="B13" t="s">
        <v>2111</v>
      </c>
      <c r="C13" t="s">
        <v>2112</v>
      </c>
      <c r="D13" t="s">
        <v>2113</v>
      </c>
      <c r="E13" t="s">
        <v>53</v>
      </c>
      <c r="F13" s="7">
        <v>11987</v>
      </c>
      <c r="G13" t="s">
        <v>252</v>
      </c>
      <c r="H13" t="s">
        <v>2114</v>
      </c>
      <c r="I13" t="s">
        <v>223</v>
      </c>
      <c r="J13" t="s">
        <v>3728</v>
      </c>
      <c r="K13" t="s">
        <v>225</v>
      </c>
      <c r="L13" t="s">
        <v>265</v>
      </c>
      <c r="M13" t="s">
        <v>2115</v>
      </c>
      <c r="N13" t="s">
        <v>2116</v>
      </c>
      <c r="O13" t="s">
        <v>2117</v>
      </c>
      <c r="P13" t="s">
        <v>2118</v>
      </c>
      <c r="Q13" t="s">
        <v>2119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25">
      <c r="A14">
        <v>200</v>
      </c>
      <c r="B14" t="s">
        <v>2120</v>
      </c>
      <c r="C14" t="s">
        <v>2121</v>
      </c>
      <c r="D14" t="s">
        <v>2122</v>
      </c>
      <c r="E14" t="s">
        <v>53</v>
      </c>
      <c r="F14" s="7">
        <v>28287</v>
      </c>
      <c r="G14" t="s">
        <v>241</v>
      </c>
      <c r="H14" t="s">
        <v>2123</v>
      </c>
      <c r="I14" t="s">
        <v>211</v>
      </c>
      <c r="J14" t="s">
        <v>3728</v>
      </c>
      <c r="K14" t="s">
        <v>225</v>
      </c>
      <c r="L14" t="s">
        <v>265</v>
      </c>
      <c r="M14" t="s">
        <v>2124</v>
      </c>
      <c r="N14" t="s">
        <v>2125</v>
      </c>
      <c r="O14" t="s">
        <v>2126</v>
      </c>
      <c r="P14" t="s">
        <v>2127</v>
      </c>
      <c r="Q14" t="s">
        <v>2128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25">
      <c r="A15">
        <v>201</v>
      </c>
      <c r="B15" t="s">
        <v>2129</v>
      </c>
      <c r="C15" t="s">
        <v>2130</v>
      </c>
      <c r="D15" t="s">
        <v>2131</v>
      </c>
      <c r="E15" t="s">
        <v>66</v>
      </c>
      <c r="F15" s="7">
        <v>26925</v>
      </c>
      <c r="G15" t="s">
        <v>262</v>
      </c>
      <c r="H15" t="s">
        <v>2132</v>
      </c>
      <c r="I15" t="s">
        <v>211</v>
      </c>
      <c r="J15" t="s">
        <v>3728</v>
      </c>
      <c r="K15" t="s">
        <v>225</v>
      </c>
      <c r="L15" t="s">
        <v>265</v>
      </c>
      <c r="M15" t="s">
        <v>2133</v>
      </c>
      <c r="N15" t="s">
        <v>2134</v>
      </c>
      <c r="O15" t="s">
        <v>2135</v>
      </c>
      <c r="P15" t="s">
        <v>2136</v>
      </c>
      <c r="Q15" t="s">
        <v>2137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25">
      <c r="A16">
        <v>202</v>
      </c>
      <c r="B16" t="s">
        <v>2138</v>
      </c>
      <c r="C16" t="s">
        <v>2139</v>
      </c>
      <c r="D16" t="s">
        <v>2140</v>
      </c>
      <c r="E16" t="s">
        <v>66</v>
      </c>
      <c r="F16" s="7">
        <v>21109</v>
      </c>
      <c r="G16" t="s">
        <v>257</v>
      </c>
      <c r="H16" t="s">
        <v>2141</v>
      </c>
      <c r="I16" t="s">
        <v>211</v>
      </c>
      <c r="J16" t="s">
        <v>3728</v>
      </c>
      <c r="K16" t="s">
        <v>225</v>
      </c>
      <c r="L16" t="s">
        <v>265</v>
      </c>
      <c r="M16" t="s">
        <v>2142</v>
      </c>
      <c r="N16" t="s">
        <v>2143</v>
      </c>
      <c r="O16" t="s">
        <v>2144</v>
      </c>
      <c r="P16" t="s">
        <v>2145</v>
      </c>
      <c r="Q16" t="s">
        <v>2146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25">
      <c r="A17">
        <v>203</v>
      </c>
      <c r="B17" t="s">
        <v>2147</v>
      </c>
      <c r="C17" t="s">
        <v>2148</v>
      </c>
      <c r="D17" t="s">
        <v>2149</v>
      </c>
      <c r="E17" t="s">
        <v>53</v>
      </c>
      <c r="F17" s="7">
        <v>31299</v>
      </c>
      <c r="G17" t="s">
        <v>244</v>
      </c>
      <c r="H17" t="s">
        <v>2150</v>
      </c>
      <c r="I17" t="s">
        <v>203</v>
      </c>
      <c r="J17" t="s">
        <v>3728</v>
      </c>
      <c r="K17" t="s">
        <v>225</v>
      </c>
      <c r="L17" t="s">
        <v>265</v>
      </c>
      <c r="M17" t="s">
        <v>2151</v>
      </c>
      <c r="N17" t="s">
        <v>2152</v>
      </c>
      <c r="O17" t="s">
        <v>2153</v>
      </c>
      <c r="P17" t="s">
        <v>2154</v>
      </c>
      <c r="Q17" t="s">
        <v>2155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25">
      <c r="A18">
        <v>204</v>
      </c>
      <c r="B18" t="s">
        <v>2156</v>
      </c>
      <c r="C18" t="s">
        <v>2157</v>
      </c>
      <c r="D18" t="s">
        <v>2158</v>
      </c>
      <c r="E18" t="s">
        <v>66</v>
      </c>
      <c r="F18" s="7">
        <v>22764</v>
      </c>
      <c r="G18" t="s">
        <v>241</v>
      </c>
      <c r="H18" t="s">
        <v>2159</v>
      </c>
      <c r="I18" t="s">
        <v>210</v>
      </c>
      <c r="J18" t="s">
        <v>3728</v>
      </c>
      <c r="K18" t="s">
        <v>225</v>
      </c>
      <c r="L18" t="s">
        <v>265</v>
      </c>
      <c r="M18" t="s">
        <v>2160</v>
      </c>
      <c r="N18" t="s">
        <v>2161</v>
      </c>
      <c r="O18" t="s">
        <v>2162</v>
      </c>
      <c r="P18" t="s">
        <v>2163</v>
      </c>
      <c r="Q18" t="s">
        <v>2164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25">
      <c r="A19">
        <v>205</v>
      </c>
      <c r="B19" t="s">
        <v>2165</v>
      </c>
      <c r="C19" t="s">
        <v>2166</v>
      </c>
      <c r="D19" t="s">
        <v>2167</v>
      </c>
      <c r="E19" t="s">
        <v>53</v>
      </c>
      <c r="F19" s="7">
        <v>23791</v>
      </c>
      <c r="G19" t="s">
        <v>234</v>
      </c>
      <c r="H19" t="s">
        <v>2168</v>
      </c>
      <c r="I19" t="s">
        <v>211</v>
      </c>
      <c r="J19" t="s">
        <v>3728</v>
      </c>
      <c r="K19" t="s">
        <v>225</v>
      </c>
      <c r="L19" t="s">
        <v>265</v>
      </c>
      <c r="M19" t="s">
        <v>2169</v>
      </c>
      <c r="N19" t="s">
        <v>2170</v>
      </c>
      <c r="O19" t="s">
        <v>2171</v>
      </c>
      <c r="P19" t="s">
        <v>2172</v>
      </c>
      <c r="Q19" t="s">
        <v>2173</v>
      </c>
      <c r="R19" s="3" t="s">
        <v>3730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25">
      <c r="A20">
        <v>206</v>
      </c>
      <c r="B20" t="s">
        <v>2174</v>
      </c>
      <c r="C20" t="s">
        <v>2175</v>
      </c>
      <c r="D20" t="s">
        <v>2176</v>
      </c>
      <c r="E20" t="s">
        <v>66</v>
      </c>
      <c r="F20" s="7">
        <v>10827</v>
      </c>
      <c r="G20" t="s">
        <v>245</v>
      </c>
      <c r="H20" t="s">
        <v>2177</v>
      </c>
      <c r="I20" t="s">
        <v>211</v>
      </c>
      <c r="J20" t="s">
        <v>3728</v>
      </c>
      <c r="K20" t="s">
        <v>225</v>
      </c>
      <c r="L20" t="s">
        <v>265</v>
      </c>
      <c r="M20" t="s">
        <v>2178</v>
      </c>
      <c r="N20" t="s">
        <v>2179</v>
      </c>
      <c r="O20" t="s">
        <v>2180</v>
      </c>
      <c r="P20" t="s">
        <v>2181</v>
      </c>
      <c r="Q20" t="s">
        <v>2182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25">
      <c r="A21">
        <v>207</v>
      </c>
      <c r="B21" t="s">
        <v>2183</v>
      </c>
      <c r="C21" t="s">
        <v>2184</v>
      </c>
      <c r="D21" t="s">
        <v>2185</v>
      </c>
      <c r="E21" t="s">
        <v>53</v>
      </c>
      <c r="F21" s="7">
        <v>29267</v>
      </c>
      <c r="G21" t="s">
        <v>262</v>
      </c>
      <c r="H21" t="s">
        <v>2186</v>
      </c>
      <c r="I21" t="s">
        <v>212</v>
      </c>
      <c r="J21" t="s">
        <v>3728</v>
      </c>
      <c r="K21" t="s">
        <v>225</v>
      </c>
      <c r="L21" t="s">
        <v>265</v>
      </c>
      <c r="M21" t="s">
        <v>2187</v>
      </c>
      <c r="N21" t="s">
        <v>2188</v>
      </c>
      <c r="O21" t="s">
        <v>2189</v>
      </c>
      <c r="P21" t="s">
        <v>2190</v>
      </c>
      <c r="Q21" t="s">
        <v>2191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25">
      <c r="A22">
        <v>208</v>
      </c>
      <c r="B22" t="s">
        <v>2192</v>
      </c>
      <c r="C22" t="s">
        <v>2193</v>
      </c>
      <c r="D22" t="s">
        <v>2194</v>
      </c>
      <c r="E22" t="s">
        <v>66</v>
      </c>
      <c r="F22" s="7">
        <v>12111</v>
      </c>
      <c r="G22" t="s">
        <v>248</v>
      </c>
      <c r="H22" t="s">
        <v>2195</v>
      </c>
      <c r="I22" t="s">
        <v>211</v>
      </c>
      <c r="J22" t="s">
        <v>3728</v>
      </c>
      <c r="K22" t="s">
        <v>225</v>
      </c>
      <c r="L22" t="s">
        <v>265</v>
      </c>
      <c r="M22" t="s">
        <v>2196</v>
      </c>
      <c r="N22" t="s">
        <v>2197</v>
      </c>
      <c r="O22" t="s">
        <v>2198</v>
      </c>
      <c r="P22" t="s">
        <v>2199</v>
      </c>
      <c r="Q22" t="s">
        <v>2200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25">
      <c r="A23">
        <v>209</v>
      </c>
      <c r="B23" t="s">
        <v>2201</v>
      </c>
      <c r="C23" t="s">
        <v>2202</v>
      </c>
      <c r="D23" t="s">
        <v>2203</v>
      </c>
      <c r="E23" t="s">
        <v>53</v>
      </c>
      <c r="F23" s="7">
        <v>22513</v>
      </c>
      <c r="G23" t="s">
        <v>241</v>
      </c>
      <c r="H23" t="s">
        <v>2204</v>
      </c>
      <c r="I23" t="s">
        <v>216</v>
      </c>
      <c r="J23" t="s">
        <v>3728</v>
      </c>
      <c r="K23" t="s">
        <v>225</v>
      </c>
      <c r="L23" t="s">
        <v>265</v>
      </c>
      <c r="M23" t="s">
        <v>2205</v>
      </c>
      <c r="N23" t="s">
        <v>2206</v>
      </c>
      <c r="O23" t="s">
        <v>2207</v>
      </c>
      <c r="P23" t="s">
        <v>2208</v>
      </c>
      <c r="Q23" t="s">
        <v>2209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25">
      <c r="A24">
        <v>210</v>
      </c>
      <c r="B24" t="s">
        <v>2210</v>
      </c>
      <c r="C24" t="s">
        <v>2211</v>
      </c>
      <c r="D24" t="s">
        <v>2212</v>
      </c>
      <c r="E24" t="s">
        <v>66</v>
      </c>
      <c r="F24" s="7">
        <v>22253</v>
      </c>
      <c r="G24" t="s">
        <v>244</v>
      </c>
      <c r="H24" t="s">
        <v>2213</v>
      </c>
      <c r="I24" t="s">
        <v>211</v>
      </c>
      <c r="J24" t="s">
        <v>3728</v>
      </c>
      <c r="K24" t="s">
        <v>225</v>
      </c>
      <c r="L24" t="s">
        <v>265</v>
      </c>
      <c r="M24" t="s">
        <v>2214</v>
      </c>
      <c r="N24" t="s">
        <v>2215</v>
      </c>
      <c r="O24" t="s">
        <v>2216</v>
      </c>
      <c r="P24" t="s">
        <v>2217</v>
      </c>
      <c r="Q24" t="s">
        <v>2218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25">
      <c r="A25">
        <v>211</v>
      </c>
      <c r="B25" t="s">
        <v>2219</v>
      </c>
      <c r="C25" t="s">
        <v>2220</v>
      </c>
      <c r="D25" t="s">
        <v>2221</v>
      </c>
      <c r="E25" t="s">
        <v>66</v>
      </c>
      <c r="F25" s="7">
        <v>14100</v>
      </c>
      <c r="G25" t="s">
        <v>240</v>
      </c>
      <c r="H25" t="s">
        <v>2222</v>
      </c>
      <c r="I25" t="s">
        <v>210</v>
      </c>
      <c r="J25" t="s">
        <v>3728</v>
      </c>
      <c r="K25" t="s">
        <v>225</v>
      </c>
      <c r="L25" t="s">
        <v>265</v>
      </c>
      <c r="M25" t="s">
        <v>2223</v>
      </c>
      <c r="N25" t="s">
        <v>2224</v>
      </c>
      <c r="O25" t="s">
        <v>2225</v>
      </c>
      <c r="P25" t="s">
        <v>2226</v>
      </c>
      <c r="Q25" t="s">
        <v>2227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25">
      <c r="A26">
        <v>212</v>
      </c>
      <c r="B26" t="s">
        <v>2228</v>
      </c>
      <c r="C26" t="s">
        <v>2229</v>
      </c>
      <c r="D26" t="s">
        <v>2230</v>
      </c>
      <c r="E26" t="s">
        <v>53</v>
      </c>
      <c r="F26" s="7">
        <v>14176</v>
      </c>
      <c r="G26" t="s">
        <v>246</v>
      </c>
      <c r="H26" t="s">
        <v>2231</v>
      </c>
      <c r="I26" t="s">
        <v>202</v>
      </c>
      <c r="J26" t="s">
        <v>3728</v>
      </c>
      <c r="K26" t="s">
        <v>225</v>
      </c>
      <c r="L26" t="s">
        <v>265</v>
      </c>
      <c r="M26" t="s">
        <v>2232</v>
      </c>
      <c r="N26" t="s">
        <v>2233</v>
      </c>
      <c r="O26" t="s">
        <v>2234</v>
      </c>
      <c r="P26" t="s">
        <v>2235</v>
      </c>
      <c r="Q26" t="s">
        <v>2236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25">
      <c r="A27">
        <v>213</v>
      </c>
      <c r="B27" t="s">
        <v>2237</v>
      </c>
      <c r="C27" t="s">
        <v>2238</v>
      </c>
      <c r="D27" t="s">
        <v>2239</v>
      </c>
      <c r="E27" t="s">
        <v>53</v>
      </c>
      <c r="F27" s="7">
        <v>15060</v>
      </c>
      <c r="G27" t="s">
        <v>230</v>
      </c>
      <c r="H27" t="s">
        <v>2240</v>
      </c>
      <c r="I27" t="s">
        <v>208</v>
      </c>
      <c r="J27" t="s">
        <v>3728</v>
      </c>
      <c r="K27" t="s">
        <v>225</v>
      </c>
      <c r="L27" t="s">
        <v>265</v>
      </c>
      <c r="M27" t="s">
        <v>2241</v>
      </c>
      <c r="N27" t="s">
        <v>2242</v>
      </c>
      <c r="O27" t="s">
        <v>2243</v>
      </c>
      <c r="P27" t="s">
        <v>2244</v>
      </c>
      <c r="Q27" t="s">
        <v>2245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25">
      <c r="A28">
        <v>214</v>
      </c>
      <c r="B28" t="s">
        <v>2246</v>
      </c>
      <c r="C28" t="s">
        <v>2247</v>
      </c>
      <c r="D28" t="s">
        <v>2248</v>
      </c>
      <c r="E28" t="s">
        <v>53</v>
      </c>
      <c r="F28" s="7">
        <v>32317</v>
      </c>
      <c r="G28" t="s">
        <v>240</v>
      </c>
      <c r="H28" t="s">
        <v>2249</v>
      </c>
      <c r="I28" t="s">
        <v>211</v>
      </c>
      <c r="J28" t="s">
        <v>3728</v>
      </c>
      <c r="K28" t="s">
        <v>225</v>
      </c>
      <c r="L28" t="s">
        <v>265</v>
      </c>
      <c r="M28" t="s">
        <v>2250</v>
      </c>
      <c r="N28" t="s">
        <v>2251</v>
      </c>
      <c r="O28" t="s">
        <v>2252</v>
      </c>
      <c r="P28" t="s">
        <v>2253</v>
      </c>
      <c r="Q28" t="s">
        <v>2254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25">
      <c r="A29">
        <v>215</v>
      </c>
      <c r="B29" t="s">
        <v>2255</v>
      </c>
      <c r="C29" t="s">
        <v>2256</v>
      </c>
      <c r="D29" t="s">
        <v>2257</v>
      </c>
      <c r="E29" t="s">
        <v>66</v>
      </c>
      <c r="F29" s="7">
        <v>31298</v>
      </c>
      <c r="G29" t="s">
        <v>254</v>
      </c>
      <c r="H29" t="s">
        <v>2258</v>
      </c>
      <c r="I29" t="s">
        <v>211</v>
      </c>
      <c r="J29" t="s">
        <v>3728</v>
      </c>
      <c r="K29" t="s">
        <v>225</v>
      </c>
      <c r="L29" t="s">
        <v>265</v>
      </c>
      <c r="M29" t="s">
        <v>2259</v>
      </c>
      <c r="N29" t="s">
        <v>2260</v>
      </c>
      <c r="O29" t="s">
        <v>2261</v>
      </c>
      <c r="P29" t="s">
        <v>2262</v>
      </c>
      <c r="Q29" t="s">
        <v>2263</v>
      </c>
      <c r="R29" s="3" t="s">
        <v>3729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25">
      <c r="A30">
        <v>216</v>
      </c>
      <c r="B30" t="s">
        <v>296</v>
      </c>
      <c r="C30" t="s">
        <v>297</v>
      </c>
      <c r="D30" t="s">
        <v>2264</v>
      </c>
      <c r="E30" t="s">
        <v>66</v>
      </c>
      <c r="F30" s="7">
        <v>20622</v>
      </c>
      <c r="G30" t="s">
        <v>247</v>
      </c>
      <c r="H30" t="s">
        <v>2265</v>
      </c>
      <c r="I30" t="s">
        <v>220</v>
      </c>
      <c r="J30" t="s">
        <v>3728</v>
      </c>
      <c r="K30" t="s">
        <v>225</v>
      </c>
      <c r="L30" t="s">
        <v>265</v>
      </c>
      <c r="M30" t="s">
        <v>2266</v>
      </c>
      <c r="N30" t="s">
        <v>2267</v>
      </c>
      <c r="O30" t="s">
        <v>2268</v>
      </c>
      <c r="P30" t="s">
        <v>2269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25">
      <c r="A31">
        <v>217</v>
      </c>
      <c r="B31" t="s">
        <v>2270</v>
      </c>
      <c r="C31" t="s">
        <v>2271</v>
      </c>
      <c r="D31" t="s">
        <v>2272</v>
      </c>
      <c r="E31" t="s">
        <v>66</v>
      </c>
      <c r="F31" s="7">
        <v>15242</v>
      </c>
      <c r="G31" t="s">
        <v>230</v>
      </c>
      <c r="H31" t="s">
        <v>2273</v>
      </c>
      <c r="I31" t="s">
        <v>219</v>
      </c>
      <c r="J31" t="s">
        <v>3728</v>
      </c>
      <c r="K31" t="s">
        <v>225</v>
      </c>
      <c r="L31" t="s">
        <v>265</v>
      </c>
      <c r="M31" t="s">
        <v>2274</v>
      </c>
      <c r="N31" t="s">
        <v>2275</v>
      </c>
      <c r="O31" t="s">
        <v>2276</v>
      </c>
      <c r="P31" t="s">
        <v>2277</v>
      </c>
      <c r="Q31" t="s">
        <v>2278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25">
      <c r="A32">
        <v>218</v>
      </c>
      <c r="B32" t="s">
        <v>2279</v>
      </c>
      <c r="C32" t="s">
        <v>2280</v>
      </c>
      <c r="D32" t="s">
        <v>2281</v>
      </c>
      <c r="E32" t="s">
        <v>53</v>
      </c>
      <c r="F32" s="7">
        <v>38538</v>
      </c>
      <c r="G32" t="s">
        <v>260</v>
      </c>
      <c r="H32" t="s">
        <v>2282</v>
      </c>
      <c r="I32" t="s">
        <v>211</v>
      </c>
      <c r="J32" t="s">
        <v>3728</v>
      </c>
      <c r="K32" t="s">
        <v>225</v>
      </c>
      <c r="L32" t="s">
        <v>265</v>
      </c>
      <c r="M32" t="s">
        <v>2283</v>
      </c>
      <c r="N32" t="s">
        <v>2284</v>
      </c>
      <c r="O32" t="s">
        <v>2285</v>
      </c>
      <c r="P32" t="s">
        <v>2286</v>
      </c>
      <c r="Q32" t="s">
        <v>2287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25">
      <c r="A33">
        <v>219</v>
      </c>
      <c r="B33" t="s">
        <v>2288</v>
      </c>
      <c r="C33" t="s">
        <v>2289</v>
      </c>
      <c r="D33" t="s">
        <v>2290</v>
      </c>
      <c r="E33" t="s">
        <v>66</v>
      </c>
      <c r="F33" s="7">
        <v>22147</v>
      </c>
      <c r="G33" t="s">
        <v>243</v>
      </c>
      <c r="H33" t="s">
        <v>2291</v>
      </c>
      <c r="I33" t="s">
        <v>211</v>
      </c>
      <c r="J33" t="s">
        <v>3728</v>
      </c>
      <c r="K33" t="s">
        <v>225</v>
      </c>
      <c r="L33" t="s">
        <v>265</v>
      </c>
      <c r="M33" t="s">
        <v>2292</v>
      </c>
      <c r="N33" t="s">
        <v>2293</v>
      </c>
      <c r="O33" t="s">
        <v>2294</v>
      </c>
      <c r="P33" t="s">
        <v>2295</v>
      </c>
      <c r="Q33" t="s">
        <v>2296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25">
      <c r="A34">
        <v>220</v>
      </c>
      <c r="B34" t="s">
        <v>2297</v>
      </c>
      <c r="C34" t="s">
        <v>2298</v>
      </c>
      <c r="D34" t="s">
        <v>2299</v>
      </c>
      <c r="E34" t="s">
        <v>66</v>
      </c>
      <c r="F34" s="7">
        <v>26345</v>
      </c>
      <c r="G34" t="s">
        <v>241</v>
      </c>
      <c r="H34" t="s">
        <v>2300</v>
      </c>
      <c r="I34" t="s">
        <v>207</v>
      </c>
      <c r="J34" t="s">
        <v>3728</v>
      </c>
      <c r="K34" t="s">
        <v>225</v>
      </c>
      <c r="L34" t="s">
        <v>265</v>
      </c>
      <c r="M34" t="s">
        <v>2301</v>
      </c>
      <c r="N34" t="s">
        <v>2302</v>
      </c>
      <c r="O34" t="s">
        <v>2303</v>
      </c>
      <c r="P34" t="s">
        <v>2304</v>
      </c>
      <c r="Q34" t="s">
        <v>2305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25">
      <c r="A35">
        <v>221</v>
      </c>
      <c r="B35" t="s">
        <v>2306</v>
      </c>
      <c r="C35" t="s">
        <v>2307</v>
      </c>
      <c r="D35" t="s">
        <v>2308</v>
      </c>
      <c r="E35" t="s">
        <v>53</v>
      </c>
      <c r="F35" s="7">
        <v>24701</v>
      </c>
      <c r="G35" t="s">
        <v>256</v>
      </c>
      <c r="H35" t="s">
        <v>2309</v>
      </c>
      <c r="I35" t="s">
        <v>211</v>
      </c>
      <c r="J35" t="s">
        <v>3728</v>
      </c>
      <c r="K35" t="s">
        <v>225</v>
      </c>
      <c r="L35" t="s">
        <v>265</v>
      </c>
      <c r="M35" t="s">
        <v>2310</v>
      </c>
      <c r="N35" t="s">
        <v>2311</v>
      </c>
      <c r="O35" t="s">
        <v>2312</v>
      </c>
      <c r="P35" t="s">
        <v>2313</v>
      </c>
      <c r="Q35" t="s">
        <v>2314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25">
      <c r="A36">
        <v>222</v>
      </c>
      <c r="B36" t="s">
        <v>2315</v>
      </c>
      <c r="C36" t="s">
        <v>2316</v>
      </c>
      <c r="D36" t="s">
        <v>2317</v>
      </c>
      <c r="E36" t="s">
        <v>66</v>
      </c>
      <c r="F36" s="7">
        <v>36840</v>
      </c>
      <c r="G36" t="s">
        <v>246</v>
      </c>
      <c r="H36" t="s">
        <v>2318</v>
      </c>
      <c r="I36" t="s">
        <v>220</v>
      </c>
      <c r="J36" t="s">
        <v>3728</v>
      </c>
      <c r="K36" t="s">
        <v>225</v>
      </c>
      <c r="L36" t="s">
        <v>265</v>
      </c>
      <c r="M36" t="s">
        <v>2319</v>
      </c>
      <c r="N36" t="s">
        <v>2320</v>
      </c>
      <c r="O36" t="s">
        <v>2321</v>
      </c>
      <c r="P36" t="s">
        <v>2322</v>
      </c>
      <c r="Q36" t="s">
        <v>2323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25">
      <c r="A37">
        <v>223</v>
      </c>
      <c r="B37" t="s">
        <v>2324</v>
      </c>
      <c r="C37" t="s">
        <v>2325</v>
      </c>
      <c r="D37" t="s">
        <v>2326</v>
      </c>
      <c r="E37" t="s">
        <v>53</v>
      </c>
      <c r="F37" s="7">
        <v>40951</v>
      </c>
      <c r="G37" t="s">
        <v>238</v>
      </c>
      <c r="H37" t="s">
        <v>2327</v>
      </c>
      <c r="I37" t="s">
        <v>211</v>
      </c>
      <c r="J37" t="s">
        <v>3728</v>
      </c>
      <c r="K37" t="s">
        <v>225</v>
      </c>
      <c r="L37" t="s">
        <v>265</v>
      </c>
      <c r="M37" t="s">
        <v>2328</v>
      </c>
      <c r="N37" t="s">
        <v>2329</v>
      </c>
      <c r="O37" t="s">
        <v>2330</v>
      </c>
      <c r="P37" t="s">
        <v>2331</v>
      </c>
      <c r="Q37" t="s">
        <v>2332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25">
      <c r="A38">
        <v>224</v>
      </c>
      <c r="B38" t="s">
        <v>2333</v>
      </c>
      <c r="C38" t="s">
        <v>2334</v>
      </c>
      <c r="D38" t="s">
        <v>2335</v>
      </c>
      <c r="E38" t="s">
        <v>53</v>
      </c>
      <c r="F38" s="7">
        <v>43838</v>
      </c>
      <c r="G38" t="s">
        <v>257</v>
      </c>
      <c r="H38" t="s">
        <v>2336</v>
      </c>
      <c r="I38" t="s">
        <v>209</v>
      </c>
      <c r="J38" t="s">
        <v>3728</v>
      </c>
      <c r="K38" t="s">
        <v>225</v>
      </c>
      <c r="L38" t="s">
        <v>265</v>
      </c>
      <c r="M38" t="s">
        <v>2337</v>
      </c>
      <c r="N38" t="s">
        <v>2338</v>
      </c>
      <c r="O38" t="s">
        <v>2339</v>
      </c>
      <c r="P38" t="s">
        <v>2340</v>
      </c>
      <c r="Q38" t="s">
        <v>2341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25">
      <c r="A39">
        <v>225</v>
      </c>
      <c r="B39" t="s">
        <v>2342</v>
      </c>
      <c r="C39" t="s">
        <v>2343</v>
      </c>
      <c r="D39" t="s">
        <v>2344</v>
      </c>
      <c r="E39" t="s">
        <v>53</v>
      </c>
      <c r="F39" s="7">
        <v>13937</v>
      </c>
      <c r="G39" t="s">
        <v>245</v>
      </c>
      <c r="H39" t="s">
        <v>2345</v>
      </c>
      <c r="I39" t="s">
        <v>222</v>
      </c>
      <c r="J39" t="s">
        <v>3728</v>
      </c>
      <c r="K39" t="s">
        <v>225</v>
      </c>
      <c r="L39" t="s">
        <v>265</v>
      </c>
      <c r="M39" t="s">
        <v>2346</v>
      </c>
      <c r="N39" t="s">
        <v>2347</v>
      </c>
      <c r="O39" t="s">
        <v>2348</v>
      </c>
      <c r="P39" t="s">
        <v>2349</v>
      </c>
      <c r="Q39" t="s">
        <v>2350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25">
      <c r="A40">
        <v>226</v>
      </c>
      <c r="B40" t="s">
        <v>2351</v>
      </c>
      <c r="C40" t="s">
        <v>2352</v>
      </c>
      <c r="D40" t="s">
        <v>2353</v>
      </c>
      <c r="E40" t="s">
        <v>53</v>
      </c>
      <c r="F40" s="7">
        <v>32387</v>
      </c>
      <c r="G40" t="s">
        <v>254</v>
      </c>
      <c r="H40" t="s">
        <v>2354</v>
      </c>
      <c r="I40" t="s">
        <v>223</v>
      </c>
      <c r="J40" t="s">
        <v>3728</v>
      </c>
      <c r="K40" t="s">
        <v>225</v>
      </c>
      <c r="L40" t="s">
        <v>265</v>
      </c>
      <c r="M40" t="s">
        <v>2355</v>
      </c>
      <c r="N40" t="s">
        <v>2356</v>
      </c>
      <c r="O40" t="s">
        <v>2357</v>
      </c>
      <c r="P40" t="s">
        <v>2358</v>
      </c>
      <c r="Q40" t="s">
        <v>2359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25">
      <c r="A41">
        <v>227</v>
      </c>
      <c r="B41" t="s">
        <v>2360</v>
      </c>
      <c r="C41" t="s">
        <v>2361</v>
      </c>
      <c r="D41" t="s">
        <v>2362</v>
      </c>
      <c r="E41" t="s">
        <v>53</v>
      </c>
      <c r="F41" s="7">
        <v>10615</v>
      </c>
      <c r="G41" t="s">
        <v>227</v>
      </c>
      <c r="H41" t="s">
        <v>2363</v>
      </c>
      <c r="I41" t="s">
        <v>200</v>
      </c>
      <c r="J41" t="s">
        <v>3728</v>
      </c>
      <c r="K41" t="s">
        <v>225</v>
      </c>
      <c r="L41" t="s">
        <v>265</v>
      </c>
      <c r="M41" t="s">
        <v>2364</v>
      </c>
      <c r="N41" t="s">
        <v>2365</v>
      </c>
      <c r="O41" t="s">
        <v>2366</v>
      </c>
      <c r="P41" t="s">
        <v>2367</v>
      </c>
      <c r="Q41" t="s">
        <v>2368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25">
      <c r="A42">
        <v>228</v>
      </c>
      <c r="B42" t="s">
        <v>2369</v>
      </c>
      <c r="C42" t="s">
        <v>2370</v>
      </c>
      <c r="D42" t="s">
        <v>2371</v>
      </c>
      <c r="E42" t="s">
        <v>53</v>
      </c>
      <c r="F42" s="7">
        <v>28753</v>
      </c>
      <c r="G42" t="s">
        <v>256</v>
      </c>
      <c r="H42" t="s">
        <v>2372</v>
      </c>
      <c r="I42" t="s">
        <v>211</v>
      </c>
      <c r="J42" t="s">
        <v>3728</v>
      </c>
      <c r="K42" t="s">
        <v>225</v>
      </c>
      <c r="L42" t="s">
        <v>265</v>
      </c>
      <c r="M42" t="s">
        <v>2373</v>
      </c>
      <c r="N42" t="s">
        <v>2374</v>
      </c>
      <c r="O42" t="s">
        <v>2375</v>
      </c>
      <c r="P42" t="s">
        <v>2376</v>
      </c>
      <c r="Q42" t="s">
        <v>2377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25">
      <c r="A43">
        <v>229</v>
      </c>
      <c r="B43" t="s">
        <v>2378</v>
      </c>
      <c r="C43" t="s">
        <v>2379</v>
      </c>
      <c r="D43" t="s">
        <v>2380</v>
      </c>
      <c r="E43" t="s">
        <v>53</v>
      </c>
      <c r="F43" s="7">
        <v>20196</v>
      </c>
      <c r="G43" t="s">
        <v>246</v>
      </c>
      <c r="H43" t="s">
        <v>2381</v>
      </c>
      <c r="I43" t="s">
        <v>223</v>
      </c>
      <c r="J43" t="s">
        <v>3728</v>
      </c>
      <c r="K43" t="s">
        <v>225</v>
      </c>
      <c r="L43" t="s">
        <v>265</v>
      </c>
      <c r="M43" t="s">
        <v>2382</v>
      </c>
      <c r="N43" t="s">
        <v>2383</v>
      </c>
      <c r="O43" t="s">
        <v>2384</v>
      </c>
      <c r="P43" t="s">
        <v>2385</v>
      </c>
      <c r="Q43" t="s">
        <v>2386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25">
      <c r="A44">
        <v>230</v>
      </c>
      <c r="B44" t="s">
        <v>2387</v>
      </c>
      <c r="C44" t="s">
        <v>2388</v>
      </c>
      <c r="D44" t="s">
        <v>2389</v>
      </c>
      <c r="E44" t="s">
        <v>53</v>
      </c>
      <c r="F44" s="7">
        <v>28461</v>
      </c>
      <c r="G44" t="s">
        <v>240</v>
      </c>
      <c r="H44" t="s">
        <v>2390</v>
      </c>
      <c r="I44" t="s">
        <v>211</v>
      </c>
      <c r="J44" t="s">
        <v>3728</v>
      </c>
      <c r="K44" t="s">
        <v>225</v>
      </c>
      <c r="L44" t="s">
        <v>265</v>
      </c>
      <c r="M44" t="s">
        <v>2391</v>
      </c>
      <c r="N44" t="s">
        <v>2392</v>
      </c>
      <c r="O44" t="s">
        <v>2393</v>
      </c>
      <c r="P44" t="s">
        <v>2394</v>
      </c>
      <c r="Q44" t="s">
        <v>2395</v>
      </c>
      <c r="R44" s="3" t="s">
        <v>3732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25">
      <c r="A45">
        <v>231</v>
      </c>
      <c r="B45" t="s">
        <v>291</v>
      </c>
      <c r="C45" t="s">
        <v>292</v>
      </c>
      <c r="D45" t="s">
        <v>2396</v>
      </c>
      <c r="E45" t="s">
        <v>53</v>
      </c>
      <c r="F45" s="7">
        <v>36293</v>
      </c>
      <c r="G45" t="s">
        <v>259</v>
      </c>
      <c r="H45" t="s">
        <v>2397</v>
      </c>
      <c r="I45" t="s">
        <v>223</v>
      </c>
      <c r="J45" t="s">
        <v>3728</v>
      </c>
      <c r="K45" t="s">
        <v>225</v>
      </c>
      <c r="L45" t="s">
        <v>265</v>
      </c>
      <c r="M45" t="s">
        <v>2398</v>
      </c>
      <c r="N45" t="s">
        <v>2399</v>
      </c>
      <c r="O45" t="s">
        <v>2400</v>
      </c>
      <c r="P45" t="s">
        <v>2401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25">
      <c r="A46">
        <v>232</v>
      </c>
      <c r="B46" t="s">
        <v>2402</v>
      </c>
      <c r="C46" t="s">
        <v>2403</v>
      </c>
      <c r="D46" t="s">
        <v>2404</v>
      </c>
      <c r="E46" t="s">
        <v>53</v>
      </c>
      <c r="F46" s="7">
        <v>14532</v>
      </c>
      <c r="G46" t="s">
        <v>251</v>
      </c>
      <c r="H46" t="s">
        <v>2405</v>
      </c>
      <c r="I46" t="s">
        <v>223</v>
      </c>
      <c r="J46" t="s">
        <v>3728</v>
      </c>
      <c r="K46" t="s">
        <v>225</v>
      </c>
      <c r="L46" t="s">
        <v>265</v>
      </c>
      <c r="M46" t="s">
        <v>2406</v>
      </c>
      <c r="N46" t="s">
        <v>2407</v>
      </c>
      <c r="O46" t="s">
        <v>2408</v>
      </c>
      <c r="P46" t="s">
        <v>2409</v>
      </c>
      <c r="Q46" t="s">
        <v>2410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25">
      <c r="A47">
        <v>233</v>
      </c>
      <c r="B47" t="s">
        <v>2411</v>
      </c>
      <c r="C47" t="s">
        <v>2412</v>
      </c>
      <c r="D47" t="s">
        <v>2413</v>
      </c>
      <c r="E47" t="s">
        <v>53</v>
      </c>
      <c r="F47" s="7">
        <v>41931</v>
      </c>
      <c r="G47" t="s">
        <v>243</v>
      </c>
      <c r="H47" t="s">
        <v>2414</v>
      </c>
      <c r="I47" t="s">
        <v>201</v>
      </c>
      <c r="J47" t="s">
        <v>3728</v>
      </c>
      <c r="K47" t="s">
        <v>225</v>
      </c>
      <c r="L47" t="s">
        <v>265</v>
      </c>
      <c r="M47" t="s">
        <v>2415</v>
      </c>
      <c r="N47" t="s">
        <v>2416</v>
      </c>
      <c r="O47" t="s">
        <v>2417</v>
      </c>
      <c r="P47" t="s">
        <v>2418</v>
      </c>
      <c r="Q47" t="s">
        <v>2419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25">
      <c r="A48">
        <v>234</v>
      </c>
      <c r="B48" t="s">
        <v>2420</v>
      </c>
      <c r="C48" t="s">
        <v>2421</v>
      </c>
      <c r="D48" t="s">
        <v>2422</v>
      </c>
      <c r="E48" t="s">
        <v>53</v>
      </c>
      <c r="F48" s="7">
        <v>42843</v>
      </c>
      <c r="G48" t="s">
        <v>254</v>
      </c>
      <c r="H48" t="s">
        <v>2423</v>
      </c>
      <c r="I48" t="s">
        <v>211</v>
      </c>
      <c r="J48" t="s">
        <v>3728</v>
      </c>
      <c r="K48" t="s">
        <v>225</v>
      </c>
      <c r="L48" t="s">
        <v>265</v>
      </c>
      <c r="M48" t="s">
        <v>2424</v>
      </c>
      <c r="N48" t="s">
        <v>2425</v>
      </c>
      <c r="O48" t="s">
        <v>2426</v>
      </c>
      <c r="P48" t="s">
        <v>2427</v>
      </c>
      <c r="Q48" t="s">
        <v>2428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25">
      <c r="A49">
        <v>235</v>
      </c>
      <c r="B49" t="s">
        <v>2429</v>
      </c>
      <c r="C49" t="s">
        <v>2430</v>
      </c>
      <c r="D49" t="s">
        <v>2431</v>
      </c>
      <c r="E49" t="s">
        <v>66</v>
      </c>
      <c r="F49" s="7">
        <v>25752</v>
      </c>
      <c r="G49" t="s">
        <v>236</v>
      </c>
      <c r="H49" t="s">
        <v>2432</v>
      </c>
      <c r="I49" t="s">
        <v>211</v>
      </c>
      <c r="J49" t="s">
        <v>3728</v>
      </c>
      <c r="K49" t="s">
        <v>225</v>
      </c>
      <c r="L49" t="s">
        <v>265</v>
      </c>
      <c r="M49" t="s">
        <v>2433</v>
      </c>
      <c r="N49" t="s">
        <v>2434</v>
      </c>
      <c r="O49" t="s">
        <v>2435</v>
      </c>
      <c r="P49" t="s">
        <v>2436</v>
      </c>
      <c r="Q49" t="s">
        <v>2437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25">
      <c r="A50">
        <v>236</v>
      </c>
      <c r="B50" t="s">
        <v>2438</v>
      </c>
      <c r="C50" t="s">
        <v>2439</v>
      </c>
      <c r="D50" t="s">
        <v>2440</v>
      </c>
      <c r="E50" t="s">
        <v>66</v>
      </c>
      <c r="F50" s="7">
        <v>23798</v>
      </c>
      <c r="G50" t="s">
        <v>237</v>
      </c>
      <c r="H50" t="s">
        <v>2441</v>
      </c>
      <c r="I50" t="s">
        <v>208</v>
      </c>
      <c r="J50" t="s">
        <v>3728</v>
      </c>
      <c r="K50" t="s">
        <v>225</v>
      </c>
      <c r="L50" t="s">
        <v>265</v>
      </c>
      <c r="M50" t="s">
        <v>2442</v>
      </c>
      <c r="N50" t="s">
        <v>2443</v>
      </c>
      <c r="O50" t="s">
        <v>2444</v>
      </c>
      <c r="P50" t="s">
        <v>2445</v>
      </c>
      <c r="Q50" t="s">
        <v>2446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25">
      <c r="A51">
        <v>237</v>
      </c>
      <c r="B51" t="s">
        <v>2447</v>
      </c>
      <c r="C51" t="s">
        <v>2448</v>
      </c>
      <c r="D51" t="s">
        <v>2449</v>
      </c>
      <c r="E51" t="s">
        <v>53</v>
      </c>
      <c r="F51" s="7">
        <v>10175</v>
      </c>
      <c r="G51" t="s">
        <v>246</v>
      </c>
      <c r="H51" t="s">
        <v>2450</v>
      </c>
      <c r="I51" t="s">
        <v>221</v>
      </c>
      <c r="J51" t="s">
        <v>3728</v>
      </c>
      <c r="K51" t="s">
        <v>225</v>
      </c>
      <c r="L51" t="s">
        <v>265</v>
      </c>
      <c r="M51" t="s">
        <v>2451</v>
      </c>
      <c r="N51" t="s">
        <v>2452</v>
      </c>
      <c r="O51" t="s">
        <v>2453</v>
      </c>
      <c r="P51" t="s">
        <v>2454</v>
      </c>
      <c r="Q51" t="s">
        <v>2455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25">
      <c r="A52">
        <v>238</v>
      </c>
      <c r="B52" t="s">
        <v>2456</v>
      </c>
      <c r="C52" t="s">
        <v>2457</v>
      </c>
      <c r="D52" t="s">
        <v>2458</v>
      </c>
      <c r="E52" t="s">
        <v>53</v>
      </c>
      <c r="F52" s="7">
        <v>16409</v>
      </c>
      <c r="G52" t="s">
        <v>252</v>
      </c>
      <c r="H52" t="s">
        <v>2459</v>
      </c>
      <c r="I52" t="s">
        <v>211</v>
      </c>
      <c r="J52" t="s">
        <v>3728</v>
      </c>
      <c r="K52" t="s">
        <v>225</v>
      </c>
      <c r="L52" t="s">
        <v>265</v>
      </c>
      <c r="M52" t="s">
        <v>2460</v>
      </c>
      <c r="N52" t="s">
        <v>2461</v>
      </c>
      <c r="O52" t="s">
        <v>2462</v>
      </c>
      <c r="P52" t="s">
        <v>2463</v>
      </c>
      <c r="Q52" t="s">
        <v>2464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25">
      <c r="A53">
        <v>239</v>
      </c>
      <c r="B53" t="s">
        <v>2465</v>
      </c>
      <c r="C53" t="s">
        <v>2466</v>
      </c>
      <c r="D53" t="s">
        <v>2467</v>
      </c>
      <c r="E53" t="s">
        <v>66</v>
      </c>
      <c r="F53" s="7">
        <v>44012</v>
      </c>
      <c r="G53" t="s">
        <v>228</v>
      </c>
      <c r="H53" t="s">
        <v>2468</v>
      </c>
      <c r="I53" t="s">
        <v>211</v>
      </c>
      <c r="J53" t="s">
        <v>3728</v>
      </c>
      <c r="K53" t="s">
        <v>225</v>
      </c>
      <c r="L53" t="s">
        <v>265</v>
      </c>
      <c r="M53" t="s">
        <v>2469</v>
      </c>
      <c r="N53" t="s">
        <v>2470</v>
      </c>
      <c r="O53" t="s">
        <v>2471</v>
      </c>
      <c r="P53" t="s">
        <v>2472</v>
      </c>
      <c r="Q53" t="s">
        <v>2473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25">
      <c r="A54">
        <v>240</v>
      </c>
      <c r="B54" t="s">
        <v>2474</v>
      </c>
      <c r="C54" t="s">
        <v>2475</v>
      </c>
      <c r="D54" t="s">
        <v>2476</v>
      </c>
      <c r="E54" t="s">
        <v>53</v>
      </c>
      <c r="F54" s="7">
        <v>21337</v>
      </c>
      <c r="G54" t="s">
        <v>244</v>
      </c>
      <c r="H54" t="s">
        <v>2477</v>
      </c>
      <c r="I54" t="s">
        <v>205</v>
      </c>
      <c r="J54" t="s">
        <v>3728</v>
      </c>
      <c r="K54" t="s">
        <v>225</v>
      </c>
      <c r="L54" t="s">
        <v>265</v>
      </c>
      <c r="M54" t="s">
        <v>2478</v>
      </c>
      <c r="N54" t="s">
        <v>2479</v>
      </c>
      <c r="O54" t="s">
        <v>2480</v>
      </c>
      <c r="P54" t="s">
        <v>2481</v>
      </c>
      <c r="Q54" t="s">
        <v>2482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25">
      <c r="A55">
        <v>241</v>
      </c>
      <c r="B55" t="s">
        <v>2483</v>
      </c>
      <c r="C55" t="s">
        <v>2484</v>
      </c>
      <c r="D55" t="s">
        <v>2485</v>
      </c>
      <c r="E55" t="s">
        <v>53</v>
      </c>
      <c r="F55" s="7">
        <v>35631</v>
      </c>
      <c r="G55" t="s">
        <v>255</v>
      </c>
      <c r="H55" t="s">
        <v>2486</v>
      </c>
      <c r="I55" t="s">
        <v>216</v>
      </c>
      <c r="J55" t="s">
        <v>3728</v>
      </c>
      <c r="K55" t="s">
        <v>225</v>
      </c>
      <c r="L55" t="s">
        <v>265</v>
      </c>
      <c r="M55" t="s">
        <v>2487</v>
      </c>
      <c r="N55" t="s">
        <v>2488</v>
      </c>
      <c r="O55" t="s">
        <v>2489</v>
      </c>
      <c r="P55" t="s">
        <v>2490</v>
      </c>
      <c r="Q55" t="s">
        <v>2491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25">
      <c r="A56">
        <v>242</v>
      </c>
      <c r="B56" t="s">
        <v>2492</v>
      </c>
      <c r="C56" t="s">
        <v>2493</v>
      </c>
      <c r="D56" t="s">
        <v>2494</v>
      </c>
      <c r="E56" t="s">
        <v>53</v>
      </c>
      <c r="F56" s="7">
        <v>14541</v>
      </c>
      <c r="G56" t="s">
        <v>237</v>
      </c>
      <c r="H56" t="s">
        <v>2495</v>
      </c>
      <c r="I56" t="s">
        <v>222</v>
      </c>
      <c r="J56" t="s">
        <v>3728</v>
      </c>
      <c r="K56" t="s">
        <v>225</v>
      </c>
      <c r="L56" t="s">
        <v>265</v>
      </c>
      <c r="M56" t="s">
        <v>2496</v>
      </c>
      <c r="N56" t="s">
        <v>2497</v>
      </c>
      <c r="O56" t="s">
        <v>2498</v>
      </c>
      <c r="P56" t="s">
        <v>2499</v>
      </c>
      <c r="Q56" t="s">
        <v>2500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25">
      <c r="A57">
        <v>243</v>
      </c>
      <c r="B57" t="s">
        <v>2501</v>
      </c>
      <c r="C57" t="s">
        <v>2502</v>
      </c>
      <c r="D57" t="s">
        <v>2503</v>
      </c>
      <c r="E57" t="s">
        <v>66</v>
      </c>
      <c r="F57" s="7">
        <v>10289</v>
      </c>
      <c r="G57" t="s">
        <v>252</v>
      </c>
      <c r="H57" t="s">
        <v>2504</v>
      </c>
      <c r="I57" t="s">
        <v>203</v>
      </c>
      <c r="J57" t="s">
        <v>3728</v>
      </c>
      <c r="K57" t="s">
        <v>225</v>
      </c>
      <c r="L57" t="s">
        <v>265</v>
      </c>
      <c r="M57" t="s">
        <v>2505</v>
      </c>
      <c r="N57" t="s">
        <v>2506</v>
      </c>
      <c r="O57" t="s">
        <v>2507</v>
      </c>
      <c r="P57" t="s">
        <v>2508</v>
      </c>
      <c r="Q57" t="s">
        <v>2509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25">
      <c r="A58">
        <v>244</v>
      </c>
      <c r="B58" t="s">
        <v>2510</v>
      </c>
      <c r="C58" t="s">
        <v>2511</v>
      </c>
      <c r="D58" t="s">
        <v>2512</v>
      </c>
      <c r="E58" t="s">
        <v>53</v>
      </c>
      <c r="F58" s="7">
        <v>30780</v>
      </c>
      <c r="G58" t="s">
        <v>254</v>
      </c>
      <c r="H58" t="s">
        <v>2513</v>
      </c>
      <c r="I58" t="s">
        <v>209</v>
      </c>
      <c r="J58" t="s">
        <v>3728</v>
      </c>
      <c r="K58" t="s">
        <v>225</v>
      </c>
      <c r="L58" t="s">
        <v>265</v>
      </c>
      <c r="M58" t="s">
        <v>2514</v>
      </c>
      <c r="N58" t="s">
        <v>2515</v>
      </c>
      <c r="O58" t="s">
        <v>2516</v>
      </c>
      <c r="P58" t="s">
        <v>2517</v>
      </c>
      <c r="Q58" t="s">
        <v>2518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25">
      <c r="A59">
        <v>245</v>
      </c>
      <c r="B59" t="s">
        <v>2519</v>
      </c>
      <c r="C59" t="s">
        <v>2520</v>
      </c>
      <c r="D59" t="s">
        <v>2521</v>
      </c>
      <c r="E59" t="s">
        <v>53</v>
      </c>
      <c r="F59" s="7">
        <v>37531</v>
      </c>
      <c r="G59" t="s">
        <v>232</v>
      </c>
      <c r="H59" t="s">
        <v>2522</v>
      </c>
      <c r="I59" t="s">
        <v>205</v>
      </c>
      <c r="J59" t="s">
        <v>3728</v>
      </c>
      <c r="K59" t="s">
        <v>225</v>
      </c>
      <c r="L59" t="s">
        <v>265</v>
      </c>
      <c r="M59" t="s">
        <v>2523</v>
      </c>
      <c r="N59" t="s">
        <v>2524</v>
      </c>
      <c r="O59" t="s">
        <v>2525</v>
      </c>
      <c r="P59" t="s">
        <v>2526</v>
      </c>
      <c r="Q59" t="s">
        <v>2527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25">
      <c r="A60">
        <v>246</v>
      </c>
      <c r="B60" t="s">
        <v>2528</v>
      </c>
      <c r="C60" t="s">
        <v>2529</v>
      </c>
      <c r="D60" t="s">
        <v>2530</v>
      </c>
      <c r="E60" t="s">
        <v>53</v>
      </c>
      <c r="F60" s="7">
        <v>43428</v>
      </c>
      <c r="G60" t="s">
        <v>232</v>
      </c>
      <c r="H60" t="s">
        <v>2531</v>
      </c>
      <c r="I60" t="s">
        <v>211</v>
      </c>
      <c r="J60" t="s">
        <v>3728</v>
      </c>
      <c r="K60" t="s">
        <v>225</v>
      </c>
      <c r="L60" t="s">
        <v>265</v>
      </c>
      <c r="M60" t="s">
        <v>2532</v>
      </c>
      <c r="N60" t="s">
        <v>2533</v>
      </c>
      <c r="O60" t="s">
        <v>2534</v>
      </c>
      <c r="P60" t="s">
        <v>2535</v>
      </c>
      <c r="Q60" t="s">
        <v>2536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25">
      <c r="A61">
        <v>247</v>
      </c>
      <c r="B61" t="s">
        <v>2537</v>
      </c>
      <c r="C61" t="s">
        <v>2538</v>
      </c>
      <c r="D61" t="s">
        <v>2539</v>
      </c>
      <c r="E61" t="s">
        <v>53</v>
      </c>
      <c r="F61" s="7">
        <v>27744</v>
      </c>
      <c r="G61" t="s">
        <v>250</v>
      </c>
      <c r="H61" t="s">
        <v>2540</v>
      </c>
      <c r="I61" t="s">
        <v>211</v>
      </c>
      <c r="J61" t="s">
        <v>3728</v>
      </c>
      <c r="K61" t="s">
        <v>225</v>
      </c>
      <c r="L61" t="s">
        <v>265</v>
      </c>
      <c r="M61" t="s">
        <v>2541</v>
      </c>
      <c r="N61" t="s">
        <v>2542</v>
      </c>
      <c r="O61" t="s">
        <v>2543</v>
      </c>
      <c r="P61" t="s">
        <v>2544</v>
      </c>
      <c r="Q61" t="s">
        <v>2545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25">
      <c r="A62">
        <v>248</v>
      </c>
      <c r="B62" t="s">
        <v>2546</v>
      </c>
      <c r="C62" t="s">
        <v>2547</v>
      </c>
      <c r="D62" t="s">
        <v>2548</v>
      </c>
      <c r="E62" t="s">
        <v>66</v>
      </c>
      <c r="F62" s="7">
        <v>39695</v>
      </c>
      <c r="G62" t="s">
        <v>257</v>
      </c>
      <c r="H62" t="s">
        <v>2549</v>
      </c>
      <c r="I62" t="s">
        <v>216</v>
      </c>
      <c r="J62" t="s">
        <v>3728</v>
      </c>
      <c r="K62" t="s">
        <v>225</v>
      </c>
      <c r="L62" t="s">
        <v>265</v>
      </c>
      <c r="M62" t="s">
        <v>2550</v>
      </c>
      <c r="N62" t="s">
        <v>2551</v>
      </c>
      <c r="O62" t="s">
        <v>2552</v>
      </c>
      <c r="P62" t="s">
        <v>2553</v>
      </c>
      <c r="Q62" t="s">
        <v>2554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25">
      <c r="A63">
        <v>249</v>
      </c>
      <c r="B63" t="s">
        <v>2555</v>
      </c>
      <c r="C63" t="s">
        <v>2556</v>
      </c>
      <c r="D63" t="s">
        <v>2557</v>
      </c>
      <c r="E63" t="s">
        <v>53</v>
      </c>
      <c r="F63" s="7">
        <v>30630</v>
      </c>
      <c r="G63" t="s">
        <v>262</v>
      </c>
      <c r="H63" t="s">
        <v>2558</v>
      </c>
      <c r="I63" t="s">
        <v>211</v>
      </c>
      <c r="J63" t="s">
        <v>3728</v>
      </c>
      <c r="K63" t="s">
        <v>225</v>
      </c>
      <c r="L63" t="s">
        <v>265</v>
      </c>
      <c r="M63" t="s">
        <v>2559</v>
      </c>
      <c r="N63" t="s">
        <v>2560</v>
      </c>
      <c r="O63" t="s">
        <v>2561</v>
      </c>
      <c r="P63" t="s">
        <v>2562</v>
      </c>
      <c r="Q63" t="s">
        <v>2563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25">
      <c r="A64">
        <v>250</v>
      </c>
      <c r="B64" t="s">
        <v>2564</v>
      </c>
      <c r="C64" t="s">
        <v>2565</v>
      </c>
      <c r="D64" t="s">
        <v>2566</v>
      </c>
      <c r="E64" t="s">
        <v>66</v>
      </c>
      <c r="F64" s="7">
        <v>12753</v>
      </c>
      <c r="G64" t="s">
        <v>238</v>
      </c>
      <c r="H64" t="s">
        <v>2567</v>
      </c>
      <c r="I64" t="s">
        <v>211</v>
      </c>
      <c r="J64" t="s">
        <v>3728</v>
      </c>
      <c r="K64" t="s">
        <v>225</v>
      </c>
      <c r="L64" t="s">
        <v>265</v>
      </c>
      <c r="M64" t="s">
        <v>2568</v>
      </c>
      <c r="N64" t="s">
        <v>2569</v>
      </c>
      <c r="O64" t="s">
        <v>2570</v>
      </c>
      <c r="P64" t="s">
        <v>2571</v>
      </c>
      <c r="Q64" t="s">
        <v>2572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25">
      <c r="A65">
        <v>251</v>
      </c>
      <c r="B65" t="s">
        <v>2573</v>
      </c>
      <c r="C65" t="s">
        <v>2574</v>
      </c>
      <c r="D65" t="s">
        <v>2575</v>
      </c>
      <c r="E65" t="s">
        <v>66</v>
      </c>
      <c r="F65" s="7">
        <v>13063</v>
      </c>
      <c r="G65" t="s">
        <v>256</v>
      </c>
      <c r="H65" t="s">
        <v>2576</v>
      </c>
      <c r="I65" t="s">
        <v>201</v>
      </c>
      <c r="J65" t="s">
        <v>3728</v>
      </c>
      <c r="K65" t="s">
        <v>225</v>
      </c>
      <c r="L65" t="s">
        <v>265</v>
      </c>
      <c r="M65" t="s">
        <v>2577</v>
      </c>
      <c r="N65" t="s">
        <v>2578</v>
      </c>
      <c r="O65" t="s">
        <v>2579</v>
      </c>
      <c r="P65" t="s">
        <v>2580</v>
      </c>
      <c r="Q65" t="s">
        <v>2581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25">
      <c r="A66">
        <v>252</v>
      </c>
      <c r="B66" t="s">
        <v>2582</v>
      </c>
      <c r="C66" t="s">
        <v>2583</v>
      </c>
      <c r="D66" t="s">
        <v>2584</v>
      </c>
      <c r="E66" t="s">
        <v>53</v>
      </c>
      <c r="F66" s="7">
        <v>37114</v>
      </c>
      <c r="G66" t="s">
        <v>241</v>
      </c>
      <c r="H66" t="s">
        <v>2585</v>
      </c>
      <c r="I66" t="s">
        <v>201</v>
      </c>
      <c r="J66" t="s">
        <v>3728</v>
      </c>
      <c r="K66" t="s">
        <v>225</v>
      </c>
      <c r="L66" t="s">
        <v>265</v>
      </c>
      <c r="M66" t="s">
        <v>2586</v>
      </c>
      <c r="N66" t="s">
        <v>2587</v>
      </c>
      <c r="O66" t="s">
        <v>2588</v>
      </c>
      <c r="P66" t="s">
        <v>2589</v>
      </c>
      <c r="Q66" t="s">
        <v>2590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25">
      <c r="A67">
        <v>253</v>
      </c>
      <c r="B67" t="s">
        <v>2591</v>
      </c>
      <c r="C67" t="s">
        <v>2592</v>
      </c>
      <c r="D67" t="s">
        <v>2593</v>
      </c>
      <c r="E67" t="s">
        <v>66</v>
      </c>
      <c r="F67" s="7">
        <v>19832</v>
      </c>
      <c r="G67" t="s">
        <v>253</v>
      </c>
      <c r="H67" t="s">
        <v>2594</v>
      </c>
      <c r="I67" t="s">
        <v>211</v>
      </c>
      <c r="J67" t="s">
        <v>3728</v>
      </c>
      <c r="K67" t="s">
        <v>225</v>
      </c>
      <c r="L67" t="s">
        <v>265</v>
      </c>
      <c r="M67" t="s">
        <v>2595</v>
      </c>
      <c r="N67" t="s">
        <v>2596</v>
      </c>
      <c r="O67" t="s">
        <v>2597</v>
      </c>
      <c r="P67" t="s">
        <v>2598</v>
      </c>
      <c r="Q67" t="s">
        <v>2599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25">
      <c r="A68">
        <v>254</v>
      </c>
      <c r="B68" t="s">
        <v>2600</v>
      </c>
      <c r="C68" t="s">
        <v>2601</v>
      </c>
      <c r="D68" t="s">
        <v>2602</v>
      </c>
      <c r="E68" t="s">
        <v>66</v>
      </c>
      <c r="F68" s="7">
        <v>11481</v>
      </c>
      <c r="G68" t="s">
        <v>259</v>
      </c>
      <c r="H68" t="s">
        <v>2603</v>
      </c>
      <c r="I68" t="s">
        <v>211</v>
      </c>
      <c r="J68" t="s">
        <v>3728</v>
      </c>
      <c r="K68" t="s">
        <v>225</v>
      </c>
      <c r="L68" t="s">
        <v>265</v>
      </c>
      <c r="M68" t="s">
        <v>2604</v>
      </c>
      <c r="N68" t="s">
        <v>2605</v>
      </c>
      <c r="O68" t="s">
        <v>2606</v>
      </c>
      <c r="P68" t="s">
        <v>2607</v>
      </c>
      <c r="Q68" t="s">
        <v>2608</v>
      </c>
      <c r="R68" t="str">
        <f t="shared" si="3"/>
        <v>user-female.jpg</v>
      </c>
      <c r="U68" t="str">
        <f t="shared" ref="U68:U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25">
      <c r="A69">
        <v>255</v>
      </c>
      <c r="B69" t="s">
        <v>329</v>
      </c>
      <c r="C69" t="s">
        <v>330</v>
      </c>
      <c r="D69" t="s">
        <v>2609</v>
      </c>
      <c r="E69" t="s">
        <v>66</v>
      </c>
      <c r="F69" s="7">
        <v>19996</v>
      </c>
      <c r="G69" t="s">
        <v>255</v>
      </c>
      <c r="H69" t="s">
        <v>2610</v>
      </c>
      <c r="I69" t="s">
        <v>202</v>
      </c>
      <c r="J69" t="s">
        <v>3728</v>
      </c>
      <c r="K69" t="s">
        <v>225</v>
      </c>
      <c r="L69" t="s">
        <v>265</v>
      </c>
      <c r="M69" t="s">
        <v>2611</v>
      </c>
      <c r="N69" t="s">
        <v>2612</v>
      </c>
      <c r="O69" t="s">
        <v>2613</v>
      </c>
      <c r="P69" t="s">
        <v>2614</v>
      </c>
      <c r="Q69" t="s">
        <v>2615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25">
      <c r="A70">
        <v>256</v>
      </c>
      <c r="B70" t="s">
        <v>2616</v>
      </c>
      <c r="C70" t="s">
        <v>2617</v>
      </c>
      <c r="D70" t="s">
        <v>2618</v>
      </c>
      <c r="E70" t="s">
        <v>66</v>
      </c>
      <c r="F70" s="7">
        <v>9739</v>
      </c>
      <c r="G70" t="s">
        <v>251</v>
      </c>
      <c r="H70" t="s">
        <v>2619</v>
      </c>
      <c r="I70" t="s">
        <v>217</v>
      </c>
      <c r="J70" t="s">
        <v>3728</v>
      </c>
      <c r="K70" t="s">
        <v>225</v>
      </c>
      <c r="L70" t="s">
        <v>265</v>
      </c>
      <c r="M70" t="s">
        <v>2620</v>
      </c>
      <c r="N70" t="s">
        <v>2621</v>
      </c>
      <c r="O70" t="s">
        <v>2622</v>
      </c>
      <c r="P70" t="s">
        <v>2623</v>
      </c>
      <c r="Q70" t="s">
        <v>2624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25">
      <c r="A71">
        <v>257</v>
      </c>
      <c r="B71" t="s">
        <v>2625</v>
      </c>
      <c r="C71" t="s">
        <v>2626</v>
      </c>
      <c r="D71" t="s">
        <v>2627</v>
      </c>
      <c r="E71" t="s">
        <v>66</v>
      </c>
      <c r="F71" s="7">
        <v>19419</v>
      </c>
      <c r="G71" t="s">
        <v>250</v>
      </c>
      <c r="H71" t="s">
        <v>2628</v>
      </c>
      <c r="I71" t="s">
        <v>211</v>
      </c>
      <c r="J71" t="s">
        <v>3728</v>
      </c>
      <c r="K71" t="s">
        <v>225</v>
      </c>
      <c r="L71" t="s">
        <v>265</v>
      </c>
      <c r="M71" t="s">
        <v>2629</v>
      </c>
      <c r="N71" t="s">
        <v>2630</v>
      </c>
      <c r="O71" t="s">
        <v>2631</v>
      </c>
      <c r="P71" t="s">
        <v>2632</v>
      </c>
      <c r="Q71" t="s">
        <v>2633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25">
      <c r="A72">
        <v>258</v>
      </c>
      <c r="B72" t="s">
        <v>2634</v>
      </c>
      <c r="C72" t="s">
        <v>2635</v>
      </c>
      <c r="D72" t="s">
        <v>2636</v>
      </c>
      <c r="E72" t="s">
        <v>53</v>
      </c>
      <c r="F72" s="7">
        <v>36001</v>
      </c>
      <c r="G72" t="s">
        <v>230</v>
      </c>
      <c r="H72" t="s">
        <v>2637</v>
      </c>
      <c r="I72" t="s">
        <v>211</v>
      </c>
      <c r="J72" t="s">
        <v>3728</v>
      </c>
      <c r="K72" t="s">
        <v>225</v>
      </c>
      <c r="L72" t="s">
        <v>265</v>
      </c>
      <c r="M72" t="s">
        <v>2638</v>
      </c>
      <c r="N72" t="s">
        <v>2639</v>
      </c>
      <c r="O72" t="s">
        <v>2640</v>
      </c>
      <c r="P72" t="s">
        <v>2641</v>
      </c>
      <c r="Q72" t="s">
        <v>2642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25">
      <c r="A73">
        <v>259</v>
      </c>
      <c r="B73" t="s">
        <v>2643</v>
      </c>
      <c r="C73" t="s">
        <v>2644</v>
      </c>
      <c r="D73" t="s">
        <v>2645</v>
      </c>
      <c r="E73" t="s">
        <v>53</v>
      </c>
      <c r="F73" s="7">
        <v>42853</v>
      </c>
      <c r="G73" t="s">
        <v>227</v>
      </c>
      <c r="H73" t="s">
        <v>2646</v>
      </c>
      <c r="I73" t="s">
        <v>208</v>
      </c>
      <c r="J73" t="s">
        <v>3728</v>
      </c>
      <c r="K73" t="s">
        <v>225</v>
      </c>
      <c r="L73" t="s">
        <v>265</v>
      </c>
      <c r="M73" t="s">
        <v>2647</v>
      </c>
      <c r="N73" t="s">
        <v>2648</v>
      </c>
      <c r="O73" t="s">
        <v>2649</v>
      </c>
      <c r="P73" t="s">
        <v>2650</v>
      </c>
      <c r="Q73" t="s">
        <v>2651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25">
      <c r="A74">
        <v>260</v>
      </c>
      <c r="B74" t="s">
        <v>2652</v>
      </c>
      <c r="C74" t="s">
        <v>2653</v>
      </c>
      <c r="D74" t="s">
        <v>2654</v>
      </c>
      <c r="E74" t="s">
        <v>53</v>
      </c>
      <c r="F74" s="7">
        <v>38941</v>
      </c>
      <c r="G74" t="s">
        <v>256</v>
      </c>
      <c r="H74" t="s">
        <v>2655</v>
      </c>
      <c r="I74" t="s">
        <v>223</v>
      </c>
      <c r="J74" t="s">
        <v>3728</v>
      </c>
      <c r="K74" t="s">
        <v>225</v>
      </c>
      <c r="L74" t="s">
        <v>265</v>
      </c>
      <c r="M74" t="s">
        <v>2656</v>
      </c>
      <c r="N74" t="s">
        <v>2657</v>
      </c>
      <c r="O74" t="s">
        <v>2658</v>
      </c>
      <c r="P74" t="s">
        <v>2659</v>
      </c>
      <c r="Q74" t="s">
        <v>2660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25">
      <c r="A75">
        <v>261</v>
      </c>
      <c r="B75" t="s">
        <v>2661</v>
      </c>
      <c r="C75" t="s">
        <v>2662</v>
      </c>
      <c r="D75" t="s">
        <v>2663</v>
      </c>
      <c r="E75" t="s">
        <v>53</v>
      </c>
      <c r="F75" s="7">
        <v>19821</v>
      </c>
      <c r="G75" t="s">
        <v>231</v>
      </c>
      <c r="H75" t="s">
        <v>2664</v>
      </c>
      <c r="I75" t="s">
        <v>211</v>
      </c>
      <c r="J75" t="s">
        <v>3728</v>
      </c>
      <c r="K75" t="s">
        <v>225</v>
      </c>
      <c r="L75" t="s">
        <v>265</v>
      </c>
      <c r="M75" t="s">
        <v>2665</v>
      </c>
      <c r="N75" t="s">
        <v>2666</v>
      </c>
      <c r="O75" t="s">
        <v>2667</v>
      </c>
      <c r="P75" t="s">
        <v>2668</v>
      </c>
      <c r="Q75" t="s">
        <v>2669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25">
      <c r="A76">
        <v>262</v>
      </c>
      <c r="B76" t="s">
        <v>2420</v>
      </c>
      <c r="C76" t="s">
        <v>2421</v>
      </c>
      <c r="D76" t="s">
        <v>2670</v>
      </c>
      <c r="E76" t="s">
        <v>53</v>
      </c>
      <c r="F76" s="7">
        <v>41522</v>
      </c>
      <c r="G76" t="s">
        <v>229</v>
      </c>
      <c r="H76" t="s">
        <v>2671</v>
      </c>
      <c r="I76" t="s">
        <v>211</v>
      </c>
      <c r="J76" t="s">
        <v>3728</v>
      </c>
      <c r="K76" t="s">
        <v>225</v>
      </c>
      <c r="L76" t="s">
        <v>265</v>
      </c>
      <c r="M76" t="s">
        <v>2672</v>
      </c>
      <c r="N76" t="s">
        <v>2673</v>
      </c>
      <c r="O76" t="s">
        <v>2674</v>
      </c>
      <c r="P76" t="s">
        <v>2675</v>
      </c>
      <c r="Q76" t="s">
        <v>2428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25">
      <c r="A77">
        <v>263</v>
      </c>
      <c r="B77" t="s">
        <v>2676</v>
      </c>
      <c r="C77" t="s">
        <v>2677</v>
      </c>
      <c r="D77" t="s">
        <v>2678</v>
      </c>
      <c r="E77" t="s">
        <v>66</v>
      </c>
      <c r="F77" s="7">
        <v>24620</v>
      </c>
      <c r="G77" t="s">
        <v>257</v>
      </c>
      <c r="H77" t="s">
        <v>2679</v>
      </c>
      <c r="I77" t="s">
        <v>211</v>
      </c>
      <c r="J77" t="s">
        <v>3728</v>
      </c>
      <c r="K77" t="s">
        <v>225</v>
      </c>
      <c r="L77" t="s">
        <v>265</v>
      </c>
      <c r="M77" t="s">
        <v>2680</v>
      </c>
      <c r="N77" t="s">
        <v>2681</v>
      </c>
      <c r="O77" t="s">
        <v>2682</v>
      </c>
      <c r="P77" t="s">
        <v>2683</v>
      </c>
      <c r="Q77" t="s">
        <v>2684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25">
      <c r="A78">
        <v>264</v>
      </c>
      <c r="B78" t="s">
        <v>2685</v>
      </c>
      <c r="C78" t="s">
        <v>2686</v>
      </c>
      <c r="D78" t="s">
        <v>2687</v>
      </c>
      <c r="E78" t="s">
        <v>66</v>
      </c>
      <c r="F78" s="7">
        <v>24983</v>
      </c>
      <c r="G78" t="s">
        <v>238</v>
      </c>
      <c r="H78" t="s">
        <v>2688</v>
      </c>
      <c r="I78" t="s">
        <v>210</v>
      </c>
      <c r="J78" t="s">
        <v>3728</v>
      </c>
      <c r="K78" t="s">
        <v>225</v>
      </c>
      <c r="L78" t="s">
        <v>265</v>
      </c>
      <c r="M78" t="s">
        <v>2689</v>
      </c>
      <c r="N78" t="s">
        <v>2690</v>
      </c>
      <c r="O78" t="s">
        <v>2691</v>
      </c>
      <c r="P78" t="s">
        <v>2692</v>
      </c>
      <c r="Q78" t="s">
        <v>2693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25">
      <c r="A79">
        <v>265</v>
      </c>
      <c r="B79" t="s">
        <v>2694</v>
      </c>
      <c r="C79" t="s">
        <v>2695</v>
      </c>
      <c r="D79" t="s">
        <v>2696</v>
      </c>
      <c r="E79" t="s">
        <v>66</v>
      </c>
      <c r="F79" s="7">
        <v>28641</v>
      </c>
      <c r="G79" t="s">
        <v>240</v>
      </c>
      <c r="H79" t="s">
        <v>2697</v>
      </c>
      <c r="I79" t="s">
        <v>211</v>
      </c>
      <c r="J79" t="s">
        <v>3728</v>
      </c>
      <c r="K79" t="s">
        <v>225</v>
      </c>
      <c r="L79" t="s">
        <v>265</v>
      </c>
      <c r="M79" t="s">
        <v>2698</v>
      </c>
      <c r="N79" t="s">
        <v>2699</v>
      </c>
      <c r="O79" t="s">
        <v>2700</v>
      </c>
      <c r="P79" t="s">
        <v>2701</v>
      </c>
      <c r="Q79" t="s">
        <v>2702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25">
      <c r="A80">
        <v>266</v>
      </c>
      <c r="B80" t="s">
        <v>2703</v>
      </c>
      <c r="C80" t="s">
        <v>2704</v>
      </c>
      <c r="D80" t="s">
        <v>2705</v>
      </c>
      <c r="E80" t="s">
        <v>66</v>
      </c>
      <c r="F80" s="7">
        <v>35043</v>
      </c>
      <c r="G80" t="s">
        <v>229</v>
      </c>
      <c r="H80" t="s">
        <v>2706</v>
      </c>
      <c r="I80" t="s">
        <v>211</v>
      </c>
      <c r="J80" t="s">
        <v>3728</v>
      </c>
      <c r="K80" t="s">
        <v>225</v>
      </c>
      <c r="L80" t="s">
        <v>265</v>
      </c>
      <c r="M80" t="s">
        <v>2707</v>
      </c>
      <c r="N80" t="s">
        <v>2708</v>
      </c>
      <c r="O80" t="s">
        <v>2709</v>
      </c>
      <c r="P80" t="s">
        <v>2710</v>
      </c>
      <c r="Q80" t="s">
        <v>2711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25">
      <c r="A81">
        <v>267</v>
      </c>
      <c r="B81" t="s">
        <v>2712</v>
      </c>
      <c r="C81" t="s">
        <v>2713</v>
      </c>
      <c r="D81" t="s">
        <v>2714</v>
      </c>
      <c r="E81" t="s">
        <v>53</v>
      </c>
      <c r="F81" s="7">
        <v>22527</v>
      </c>
      <c r="G81" t="s">
        <v>240</v>
      </c>
      <c r="H81" t="s">
        <v>2715</v>
      </c>
      <c r="I81" t="s">
        <v>205</v>
      </c>
      <c r="J81" t="s">
        <v>3728</v>
      </c>
      <c r="K81" t="s">
        <v>225</v>
      </c>
      <c r="L81" t="s">
        <v>265</v>
      </c>
      <c r="M81" t="s">
        <v>2716</v>
      </c>
      <c r="N81" t="s">
        <v>2717</v>
      </c>
      <c r="O81" t="s">
        <v>2718</v>
      </c>
      <c r="P81" t="s">
        <v>2719</v>
      </c>
      <c r="Q81" t="s">
        <v>2720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25">
      <c r="A82">
        <v>268</v>
      </c>
      <c r="B82" t="s">
        <v>2721</v>
      </c>
      <c r="C82" t="s">
        <v>2722</v>
      </c>
      <c r="D82" t="s">
        <v>2723</v>
      </c>
      <c r="E82" t="s">
        <v>53</v>
      </c>
      <c r="F82" s="7">
        <v>12686</v>
      </c>
      <c r="G82" t="s">
        <v>250</v>
      </c>
      <c r="H82" t="s">
        <v>2724</v>
      </c>
      <c r="I82" t="s">
        <v>211</v>
      </c>
      <c r="J82" t="s">
        <v>3728</v>
      </c>
      <c r="K82" t="s">
        <v>225</v>
      </c>
      <c r="L82" t="s">
        <v>265</v>
      </c>
      <c r="M82" t="s">
        <v>2725</v>
      </c>
      <c r="N82" t="s">
        <v>2726</v>
      </c>
      <c r="O82" t="s">
        <v>2727</v>
      </c>
      <c r="P82" t="s">
        <v>2728</v>
      </c>
      <c r="Q82" t="s">
        <v>2729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25">
      <c r="A83">
        <v>269</v>
      </c>
      <c r="B83" t="s">
        <v>2730</v>
      </c>
      <c r="C83" t="s">
        <v>2731</v>
      </c>
      <c r="D83" t="s">
        <v>2732</v>
      </c>
      <c r="E83" t="s">
        <v>66</v>
      </c>
      <c r="F83" s="7">
        <v>36263</v>
      </c>
      <c r="G83" t="s">
        <v>241</v>
      </c>
      <c r="H83" t="s">
        <v>2733</v>
      </c>
      <c r="I83" t="s">
        <v>211</v>
      </c>
      <c r="J83" t="s">
        <v>3728</v>
      </c>
      <c r="K83" t="s">
        <v>225</v>
      </c>
      <c r="L83" t="s">
        <v>265</v>
      </c>
      <c r="M83" t="s">
        <v>2734</v>
      </c>
      <c r="N83" t="s">
        <v>2735</v>
      </c>
      <c r="O83" t="s">
        <v>2736</v>
      </c>
      <c r="P83" t="s">
        <v>2737</v>
      </c>
      <c r="Q83" t="s">
        <v>2738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25">
      <c r="A84">
        <v>270</v>
      </c>
      <c r="B84" t="s">
        <v>326</v>
      </c>
      <c r="C84" t="s">
        <v>327</v>
      </c>
      <c r="D84" t="s">
        <v>2739</v>
      </c>
      <c r="E84" t="s">
        <v>53</v>
      </c>
      <c r="F84" s="7">
        <v>13617</v>
      </c>
      <c r="G84" t="s">
        <v>228</v>
      </c>
      <c r="H84" t="s">
        <v>2740</v>
      </c>
      <c r="I84" t="s">
        <v>218</v>
      </c>
      <c r="J84" t="s">
        <v>3728</v>
      </c>
      <c r="K84" t="s">
        <v>225</v>
      </c>
      <c r="L84" t="s">
        <v>265</v>
      </c>
      <c r="M84" t="s">
        <v>2741</v>
      </c>
      <c r="N84" t="s">
        <v>2742</v>
      </c>
      <c r="O84" t="s">
        <v>2743</v>
      </c>
      <c r="P84" t="s">
        <v>2744</v>
      </c>
      <c r="Q84" t="s">
        <v>2745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25">
      <c r="A85">
        <v>271</v>
      </c>
      <c r="B85" t="s">
        <v>2746</v>
      </c>
      <c r="C85" t="s">
        <v>2747</v>
      </c>
      <c r="D85" t="s">
        <v>2748</v>
      </c>
      <c r="E85" t="s">
        <v>53</v>
      </c>
      <c r="F85" s="7">
        <v>41552</v>
      </c>
      <c r="G85" t="s">
        <v>247</v>
      </c>
      <c r="H85" t="s">
        <v>2749</v>
      </c>
      <c r="I85" t="s">
        <v>222</v>
      </c>
      <c r="J85" t="s">
        <v>3728</v>
      </c>
      <c r="K85" t="s">
        <v>225</v>
      </c>
      <c r="L85" t="s">
        <v>265</v>
      </c>
      <c r="M85" t="s">
        <v>2750</v>
      </c>
      <c r="N85" t="s">
        <v>2751</v>
      </c>
      <c r="O85" t="s">
        <v>2752</v>
      </c>
      <c r="P85" t="s">
        <v>2753</v>
      </c>
      <c r="Q85" t="s">
        <v>2754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25">
      <c r="A86">
        <v>272</v>
      </c>
      <c r="B86" t="s">
        <v>2755</v>
      </c>
      <c r="C86" t="s">
        <v>2756</v>
      </c>
      <c r="D86" t="s">
        <v>2757</v>
      </c>
      <c r="E86" t="s">
        <v>66</v>
      </c>
      <c r="F86" s="7">
        <v>27773</v>
      </c>
      <c r="G86" t="s">
        <v>242</v>
      </c>
      <c r="H86" t="s">
        <v>2758</v>
      </c>
      <c r="I86" t="s">
        <v>211</v>
      </c>
      <c r="J86" t="s">
        <v>3728</v>
      </c>
      <c r="K86" t="s">
        <v>225</v>
      </c>
      <c r="L86" t="s">
        <v>265</v>
      </c>
      <c r="M86" t="s">
        <v>2759</v>
      </c>
      <c r="N86" t="s">
        <v>2760</v>
      </c>
      <c r="O86" t="s">
        <v>2761</v>
      </c>
      <c r="P86" t="s">
        <v>2762</v>
      </c>
      <c r="Q86" t="s">
        <v>2763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25">
      <c r="A87">
        <v>273</v>
      </c>
      <c r="B87" t="s">
        <v>2764</v>
      </c>
      <c r="C87" t="s">
        <v>2765</v>
      </c>
      <c r="D87" t="s">
        <v>2766</v>
      </c>
      <c r="E87" t="s">
        <v>53</v>
      </c>
      <c r="F87" s="7">
        <v>27273</v>
      </c>
      <c r="G87" t="s">
        <v>240</v>
      </c>
      <c r="H87" t="s">
        <v>2767</v>
      </c>
      <c r="I87" t="s">
        <v>205</v>
      </c>
      <c r="J87" t="s">
        <v>3728</v>
      </c>
      <c r="K87" t="s">
        <v>225</v>
      </c>
      <c r="L87" t="s">
        <v>265</v>
      </c>
      <c r="M87" t="s">
        <v>2768</v>
      </c>
      <c r="N87" t="s">
        <v>2769</v>
      </c>
      <c r="O87" t="s">
        <v>2770</v>
      </c>
      <c r="P87" t="s">
        <v>2771</v>
      </c>
      <c r="Q87" t="s">
        <v>2772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25">
      <c r="A88">
        <v>274</v>
      </c>
      <c r="B88" t="s">
        <v>2773</v>
      </c>
      <c r="C88" t="s">
        <v>2774</v>
      </c>
      <c r="D88" t="s">
        <v>2775</v>
      </c>
      <c r="E88" t="s">
        <v>53</v>
      </c>
      <c r="F88" s="7">
        <v>33962</v>
      </c>
      <c r="G88" t="s">
        <v>239</v>
      </c>
      <c r="H88" t="s">
        <v>2776</v>
      </c>
      <c r="I88" t="s">
        <v>211</v>
      </c>
      <c r="J88" t="s">
        <v>3728</v>
      </c>
      <c r="K88" t="s">
        <v>225</v>
      </c>
      <c r="L88" t="s">
        <v>265</v>
      </c>
      <c r="M88" t="s">
        <v>2777</v>
      </c>
      <c r="N88" t="s">
        <v>2778</v>
      </c>
      <c r="O88" t="s">
        <v>2779</v>
      </c>
      <c r="P88" t="s">
        <v>2780</v>
      </c>
      <c r="Q88" t="s">
        <v>2781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25">
      <c r="A89">
        <v>275</v>
      </c>
      <c r="B89" t="s">
        <v>2782</v>
      </c>
      <c r="C89" t="s">
        <v>2783</v>
      </c>
      <c r="D89" t="s">
        <v>2784</v>
      </c>
      <c r="E89" t="s">
        <v>66</v>
      </c>
      <c r="F89" s="7">
        <v>16313</v>
      </c>
      <c r="G89" t="s">
        <v>238</v>
      </c>
      <c r="H89" t="s">
        <v>2785</v>
      </c>
      <c r="I89" t="s">
        <v>218</v>
      </c>
      <c r="J89" t="s">
        <v>3728</v>
      </c>
      <c r="K89" t="s">
        <v>225</v>
      </c>
      <c r="L89" t="s">
        <v>265</v>
      </c>
      <c r="M89" t="s">
        <v>2786</v>
      </c>
      <c r="N89" t="s">
        <v>2787</v>
      </c>
      <c r="O89" t="s">
        <v>2788</v>
      </c>
      <c r="P89" t="s">
        <v>2789</v>
      </c>
      <c r="Q89" t="s">
        <v>2790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25">
      <c r="A90">
        <v>276</v>
      </c>
      <c r="B90" t="s">
        <v>294</v>
      </c>
      <c r="C90" t="s">
        <v>295</v>
      </c>
      <c r="D90" t="s">
        <v>2791</v>
      </c>
      <c r="E90" t="s">
        <v>53</v>
      </c>
      <c r="F90" s="7">
        <v>40133</v>
      </c>
      <c r="G90" t="s">
        <v>254</v>
      </c>
      <c r="H90" t="s">
        <v>2792</v>
      </c>
      <c r="I90" t="s">
        <v>211</v>
      </c>
      <c r="J90" t="s">
        <v>3728</v>
      </c>
      <c r="K90" t="s">
        <v>225</v>
      </c>
      <c r="L90" t="s">
        <v>265</v>
      </c>
      <c r="M90" t="s">
        <v>2793</v>
      </c>
      <c r="N90" t="s">
        <v>2794</v>
      </c>
      <c r="O90" t="s">
        <v>2795</v>
      </c>
      <c r="P90" t="s">
        <v>2796</v>
      </c>
      <c r="Q90" t="s">
        <v>2797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25">
      <c r="A91">
        <v>277</v>
      </c>
      <c r="B91" t="s">
        <v>2798</v>
      </c>
      <c r="C91" t="s">
        <v>2799</v>
      </c>
      <c r="D91" t="s">
        <v>2800</v>
      </c>
      <c r="E91" t="s">
        <v>53</v>
      </c>
      <c r="F91" s="7">
        <v>16302</v>
      </c>
      <c r="G91" t="s">
        <v>236</v>
      </c>
      <c r="H91" t="s">
        <v>2801</v>
      </c>
      <c r="I91" t="s">
        <v>211</v>
      </c>
      <c r="J91" t="s">
        <v>3728</v>
      </c>
      <c r="K91" t="s">
        <v>225</v>
      </c>
      <c r="L91" t="s">
        <v>265</v>
      </c>
      <c r="M91" t="s">
        <v>2802</v>
      </c>
      <c r="N91" t="s">
        <v>2803</v>
      </c>
      <c r="O91" t="s">
        <v>2804</v>
      </c>
      <c r="P91" t="s">
        <v>2805</v>
      </c>
      <c r="Q91" t="s">
        <v>2806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25">
      <c r="A92">
        <v>278</v>
      </c>
      <c r="B92" t="s">
        <v>2807</v>
      </c>
      <c r="C92" t="s">
        <v>2808</v>
      </c>
      <c r="D92" t="s">
        <v>2809</v>
      </c>
      <c r="E92" t="s">
        <v>53</v>
      </c>
      <c r="F92" s="7">
        <v>15230</v>
      </c>
      <c r="G92" t="s">
        <v>243</v>
      </c>
      <c r="H92" t="s">
        <v>2810</v>
      </c>
      <c r="I92" t="s">
        <v>211</v>
      </c>
      <c r="J92" t="s">
        <v>3728</v>
      </c>
      <c r="K92" t="s">
        <v>225</v>
      </c>
      <c r="L92" t="s">
        <v>265</v>
      </c>
      <c r="M92" t="s">
        <v>2811</v>
      </c>
      <c r="N92" t="s">
        <v>2812</v>
      </c>
      <c r="O92" t="s">
        <v>2813</v>
      </c>
      <c r="P92" t="s">
        <v>2814</v>
      </c>
      <c r="Q92" t="s">
        <v>2815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25">
      <c r="A93">
        <v>279</v>
      </c>
      <c r="B93" t="s">
        <v>2816</v>
      </c>
      <c r="C93" t="s">
        <v>2817</v>
      </c>
      <c r="D93" t="s">
        <v>2818</v>
      </c>
      <c r="E93" t="s">
        <v>66</v>
      </c>
      <c r="F93" s="7">
        <v>33682</v>
      </c>
      <c r="G93" t="s">
        <v>261</v>
      </c>
      <c r="H93" t="s">
        <v>2819</v>
      </c>
      <c r="I93" t="s">
        <v>216</v>
      </c>
      <c r="J93" t="s">
        <v>3728</v>
      </c>
      <c r="K93" t="s">
        <v>225</v>
      </c>
      <c r="L93" t="s">
        <v>265</v>
      </c>
      <c r="M93" t="s">
        <v>2820</v>
      </c>
      <c r="N93" t="s">
        <v>2821</v>
      </c>
      <c r="O93" t="s">
        <v>2822</v>
      </c>
      <c r="P93" t="s">
        <v>2823</v>
      </c>
      <c r="Q93" t="s">
        <v>2824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25">
      <c r="A94">
        <v>280</v>
      </c>
      <c r="B94" t="s">
        <v>332</v>
      </c>
      <c r="C94" t="s">
        <v>333</v>
      </c>
      <c r="D94" t="s">
        <v>2825</v>
      </c>
      <c r="E94" t="s">
        <v>53</v>
      </c>
      <c r="F94" s="7">
        <v>19081</v>
      </c>
      <c r="G94" t="s">
        <v>238</v>
      </c>
      <c r="H94" t="s">
        <v>2826</v>
      </c>
      <c r="I94" t="s">
        <v>205</v>
      </c>
      <c r="J94" t="s">
        <v>3728</v>
      </c>
      <c r="K94" t="s">
        <v>225</v>
      </c>
      <c r="L94" t="s">
        <v>265</v>
      </c>
      <c r="M94" t="s">
        <v>2827</v>
      </c>
      <c r="N94" t="s">
        <v>2828</v>
      </c>
      <c r="O94" t="s">
        <v>2829</v>
      </c>
      <c r="P94" t="s">
        <v>2830</v>
      </c>
      <c r="Q94" t="s">
        <v>2831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25">
      <c r="A95">
        <v>281</v>
      </c>
      <c r="B95" t="s">
        <v>2832</v>
      </c>
      <c r="C95" t="s">
        <v>2833</v>
      </c>
      <c r="D95" t="s">
        <v>2834</v>
      </c>
      <c r="E95" t="s">
        <v>53</v>
      </c>
      <c r="F95" s="7">
        <v>28822</v>
      </c>
      <c r="G95" t="s">
        <v>259</v>
      </c>
      <c r="H95" t="s">
        <v>2835</v>
      </c>
      <c r="I95" t="s">
        <v>222</v>
      </c>
      <c r="J95" t="s">
        <v>3728</v>
      </c>
      <c r="K95" t="s">
        <v>225</v>
      </c>
      <c r="L95" t="s">
        <v>265</v>
      </c>
      <c r="M95" t="s">
        <v>2836</v>
      </c>
      <c r="N95" t="s">
        <v>2837</v>
      </c>
      <c r="O95" t="s">
        <v>2838</v>
      </c>
      <c r="P95" t="s">
        <v>2839</v>
      </c>
      <c r="Q95" t="s">
        <v>2840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25">
      <c r="A96">
        <v>282</v>
      </c>
      <c r="B96" t="s">
        <v>2841</v>
      </c>
      <c r="C96" t="s">
        <v>2842</v>
      </c>
      <c r="D96" t="s">
        <v>2843</v>
      </c>
      <c r="E96" t="s">
        <v>53</v>
      </c>
      <c r="F96" s="7">
        <v>23243</v>
      </c>
      <c r="G96" t="s">
        <v>256</v>
      </c>
      <c r="H96" t="s">
        <v>2844</v>
      </c>
      <c r="I96" t="s">
        <v>218</v>
      </c>
      <c r="J96" t="s">
        <v>3728</v>
      </c>
      <c r="K96" t="s">
        <v>225</v>
      </c>
      <c r="L96" t="s">
        <v>265</v>
      </c>
      <c r="M96" t="s">
        <v>2845</v>
      </c>
      <c r="N96" t="s">
        <v>2846</v>
      </c>
      <c r="O96" t="s">
        <v>2847</v>
      </c>
      <c r="P96" t="s">
        <v>2848</v>
      </c>
      <c r="Q96" t="s">
        <v>2849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25">
      <c r="A97">
        <v>283</v>
      </c>
      <c r="B97" t="s">
        <v>2850</v>
      </c>
      <c r="C97" t="s">
        <v>2851</v>
      </c>
      <c r="D97" t="s">
        <v>2852</v>
      </c>
      <c r="E97" t="s">
        <v>53</v>
      </c>
      <c r="F97" s="7">
        <v>18576</v>
      </c>
      <c r="G97" t="s">
        <v>229</v>
      </c>
      <c r="H97" t="s">
        <v>2853</v>
      </c>
      <c r="I97" t="s">
        <v>211</v>
      </c>
      <c r="J97" t="s">
        <v>3728</v>
      </c>
      <c r="K97" t="s">
        <v>225</v>
      </c>
      <c r="L97" t="s">
        <v>265</v>
      </c>
      <c r="M97" t="s">
        <v>2854</v>
      </c>
      <c r="N97" t="s">
        <v>2855</v>
      </c>
      <c r="O97" t="s">
        <v>2856</v>
      </c>
      <c r="P97" t="s">
        <v>2857</v>
      </c>
      <c r="Q97" t="s">
        <v>2858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25">
      <c r="A98">
        <v>284</v>
      </c>
      <c r="B98" t="s">
        <v>2859</v>
      </c>
      <c r="C98" t="s">
        <v>2860</v>
      </c>
      <c r="D98" t="s">
        <v>2861</v>
      </c>
      <c r="E98" t="s">
        <v>66</v>
      </c>
      <c r="F98" s="7">
        <v>36577</v>
      </c>
      <c r="G98" t="s">
        <v>255</v>
      </c>
      <c r="H98" t="s">
        <v>2862</v>
      </c>
      <c r="I98" t="s">
        <v>210</v>
      </c>
      <c r="J98" t="s">
        <v>3728</v>
      </c>
      <c r="K98" t="s">
        <v>225</v>
      </c>
      <c r="L98" t="s">
        <v>265</v>
      </c>
      <c r="M98" t="s">
        <v>2863</v>
      </c>
      <c r="N98" t="s">
        <v>2864</v>
      </c>
      <c r="O98" t="s">
        <v>2865</v>
      </c>
      <c r="P98" t="s">
        <v>2866</v>
      </c>
      <c r="Q98" t="s">
        <v>2867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25">
      <c r="A99">
        <v>285</v>
      </c>
      <c r="B99" t="s">
        <v>2868</v>
      </c>
      <c r="C99" t="s">
        <v>2869</v>
      </c>
      <c r="D99" t="s">
        <v>2870</v>
      </c>
      <c r="E99" t="s">
        <v>53</v>
      </c>
      <c r="F99" s="7">
        <v>18365</v>
      </c>
      <c r="G99" t="s">
        <v>241</v>
      </c>
      <c r="H99" t="s">
        <v>2871</v>
      </c>
      <c r="I99" t="s">
        <v>211</v>
      </c>
      <c r="J99" t="s">
        <v>3728</v>
      </c>
      <c r="K99" t="s">
        <v>225</v>
      </c>
      <c r="L99" t="s">
        <v>265</v>
      </c>
      <c r="M99" t="s">
        <v>2872</v>
      </c>
      <c r="N99" t="s">
        <v>2873</v>
      </c>
      <c r="O99" t="s">
        <v>2874</v>
      </c>
      <c r="P99" t="s">
        <v>2875</v>
      </c>
      <c r="Q99" t="s">
        <v>2876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25">
      <c r="A100">
        <v>286</v>
      </c>
      <c r="B100" t="s">
        <v>2877</v>
      </c>
      <c r="C100" t="s">
        <v>2878</v>
      </c>
      <c r="D100" t="s">
        <v>2879</v>
      </c>
      <c r="E100" t="s">
        <v>53</v>
      </c>
      <c r="F100" s="7">
        <v>31062</v>
      </c>
      <c r="G100" t="s">
        <v>238</v>
      </c>
      <c r="H100" t="s">
        <v>2880</v>
      </c>
      <c r="I100" t="s">
        <v>201</v>
      </c>
      <c r="J100" t="s">
        <v>3728</v>
      </c>
      <c r="K100" t="s">
        <v>225</v>
      </c>
      <c r="L100" t="s">
        <v>265</v>
      </c>
      <c r="M100" t="s">
        <v>2881</v>
      </c>
      <c r="N100" t="s">
        <v>2882</v>
      </c>
      <c r="O100" t="s">
        <v>2883</v>
      </c>
      <c r="P100" t="s">
        <v>2884</v>
      </c>
      <c r="Q100" t="s">
        <v>2885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25">
      <c r="A101">
        <v>287</v>
      </c>
      <c r="B101" t="s">
        <v>2886</v>
      </c>
      <c r="C101" t="s">
        <v>2887</v>
      </c>
      <c r="D101" t="s">
        <v>2888</v>
      </c>
      <c r="E101" t="s">
        <v>53</v>
      </c>
      <c r="F101" s="7">
        <v>37490</v>
      </c>
      <c r="G101" t="s">
        <v>226</v>
      </c>
      <c r="H101" t="s">
        <v>2889</v>
      </c>
      <c r="I101" t="s">
        <v>211</v>
      </c>
      <c r="J101" t="s">
        <v>3728</v>
      </c>
      <c r="K101" t="s">
        <v>225</v>
      </c>
      <c r="L101" t="s">
        <v>265</v>
      </c>
      <c r="M101" t="s">
        <v>2890</v>
      </c>
      <c r="N101" t="s">
        <v>2891</v>
      </c>
      <c r="O101" t="s">
        <v>2892</v>
      </c>
      <c r="P101" t="s">
        <v>2893</v>
      </c>
      <c r="Q101" t="s">
        <v>2894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25">
      <c r="A102">
        <v>288</v>
      </c>
      <c r="B102" t="s">
        <v>2324</v>
      </c>
      <c r="C102" t="s">
        <v>2325</v>
      </c>
      <c r="D102" t="s">
        <v>2895</v>
      </c>
      <c r="E102" t="s">
        <v>53</v>
      </c>
      <c r="F102" s="7">
        <v>23523</v>
      </c>
      <c r="G102" t="s">
        <v>238</v>
      </c>
      <c r="H102" t="s">
        <v>2896</v>
      </c>
      <c r="I102" t="s">
        <v>211</v>
      </c>
      <c r="J102" t="s">
        <v>3728</v>
      </c>
      <c r="K102" t="s">
        <v>225</v>
      </c>
      <c r="L102" t="s">
        <v>265</v>
      </c>
      <c r="M102" t="s">
        <v>2897</v>
      </c>
      <c r="N102" t="s">
        <v>2898</v>
      </c>
      <c r="O102" t="s">
        <v>2899</v>
      </c>
      <c r="P102" t="s">
        <v>2900</v>
      </c>
      <c r="Q102" t="s">
        <v>2332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25">
      <c r="A103">
        <v>289</v>
      </c>
      <c r="B103" t="s">
        <v>2901</v>
      </c>
      <c r="C103" t="s">
        <v>2902</v>
      </c>
      <c r="D103" t="s">
        <v>2903</v>
      </c>
      <c r="E103" t="s">
        <v>53</v>
      </c>
      <c r="F103" s="7">
        <v>43571</v>
      </c>
      <c r="G103" t="s">
        <v>242</v>
      </c>
      <c r="H103" t="s">
        <v>2904</v>
      </c>
      <c r="I103" t="s">
        <v>211</v>
      </c>
      <c r="J103" t="s">
        <v>3728</v>
      </c>
      <c r="K103" t="s">
        <v>225</v>
      </c>
      <c r="L103" t="s">
        <v>265</v>
      </c>
      <c r="M103" t="s">
        <v>2905</v>
      </c>
      <c r="N103" t="s">
        <v>2906</v>
      </c>
      <c r="O103" t="s">
        <v>2907</v>
      </c>
      <c r="P103" t="s">
        <v>2908</v>
      </c>
      <c r="Q103" t="s">
        <v>2909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25">
      <c r="A104">
        <v>290</v>
      </c>
      <c r="B104" t="s">
        <v>2910</v>
      </c>
      <c r="C104" t="s">
        <v>2911</v>
      </c>
      <c r="D104" t="s">
        <v>2912</v>
      </c>
      <c r="E104" t="s">
        <v>66</v>
      </c>
      <c r="F104" s="7">
        <v>35936</v>
      </c>
      <c r="G104" t="s">
        <v>252</v>
      </c>
      <c r="H104" t="s">
        <v>2913</v>
      </c>
      <c r="I104" t="s">
        <v>217</v>
      </c>
      <c r="J104" t="s">
        <v>3728</v>
      </c>
      <c r="K104" t="s">
        <v>225</v>
      </c>
      <c r="L104" t="s">
        <v>265</v>
      </c>
      <c r="M104" t="s">
        <v>2914</v>
      </c>
      <c r="N104" t="s">
        <v>2915</v>
      </c>
      <c r="O104" t="s">
        <v>2916</v>
      </c>
      <c r="P104" t="s">
        <v>2917</v>
      </c>
      <c r="Q104" t="s">
        <v>2918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25">
      <c r="A105">
        <v>291</v>
      </c>
      <c r="B105" t="s">
        <v>2919</v>
      </c>
      <c r="C105" t="s">
        <v>2920</v>
      </c>
      <c r="D105" t="s">
        <v>2921</v>
      </c>
      <c r="E105" t="s">
        <v>53</v>
      </c>
      <c r="F105" s="7">
        <v>33299</v>
      </c>
      <c r="G105" t="s">
        <v>244</v>
      </c>
      <c r="H105" t="s">
        <v>2922</v>
      </c>
      <c r="I105" t="s">
        <v>217</v>
      </c>
      <c r="J105" t="s">
        <v>3728</v>
      </c>
      <c r="K105" t="s">
        <v>225</v>
      </c>
      <c r="L105" t="s">
        <v>265</v>
      </c>
      <c r="M105" t="s">
        <v>2923</v>
      </c>
      <c r="N105" t="s">
        <v>2924</v>
      </c>
      <c r="O105" t="s">
        <v>2925</v>
      </c>
      <c r="P105" t="s">
        <v>2926</v>
      </c>
      <c r="Q105" t="s">
        <v>2927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25">
      <c r="A106">
        <v>292</v>
      </c>
      <c r="B106" t="s">
        <v>2928</v>
      </c>
      <c r="C106" t="s">
        <v>2929</v>
      </c>
      <c r="D106" t="s">
        <v>2930</v>
      </c>
      <c r="E106" t="s">
        <v>66</v>
      </c>
      <c r="F106" s="7">
        <v>12890</v>
      </c>
      <c r="G106" t="s">
        <v>236</v>
      </c>
      <c r="H106" t="s">
        <v>2931</v>
      </c>
      <c r="I106" t="s">
        <v>215</v>
      </c>
      <c r="J106" t="s">
        <v>3728</v>
      </c>
      <c r="K106" t="s">
        <v>225</v>
      </c>
      <c r="L106" t="s">
        <v>265</v>
      </c>
      <c r="M106" t="s">
        <v>2932</v>
      </c>
      <c r="N106" t="s">
        <v>2933</v>
      </c>
      <c r="O106" t="s">
        <v>2934</v>
      </c>
      <c r="P106" t="s">
        <v>2935</v>
      </c>
      <c r="Q106" t="s">
        <v>2936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25">
      <c r="A107">
        <v>293</v>
      </c>
      <c r="B107" t="s">
        <v>326</v>
      </c>
      <c r="C107" t="s">
        <v>327</v>
      </c>
      <c r="D107" t="s">
        <v>2937</v>
      </c>
      <c r="E107" t="s">
        <v>53</v>
      </c>
      <c r="F107" s="7">
        <v>39911</v>
      </c>
      <c r="G107" t="s">
        <v>247</v>
      </c>
      <c r="H107" t="s">
        <v>2938</v>
      </c>
      <c r="I107" t="s">
        <v>218</v>
      </c>
      <c r="J107" t="s">
        <v>3728</v>
      </c>
      <c r="K107" t="s">
        <v>225</v>
      </c>
      <c r="L107" t="s">
        <v>265</v>
      </c>
      <c r="M107" t="s">
        <v>2939</v>
      </c>
      <c r="N107" t="s">
        <v>2940</v>
      </c>
      <c r="O107" t="s">
        <v>2941</v>
      </c>
      <c r="P107" t="s">
        <v>2942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25">
      <c r="A108">
        <v>294</v>
      </c>
      <c r="B108" t="s">
        <v>2943</v>
      </c>
      <c r="C108" t="s">
        <v>2944</v>
      </c>
      <c r="D108" t="s">
        <v>2945</v>
      </c>
      <c r="E108" t="s">
        <v>53</v>
      </c>
      <c r="F108" s="7">
        <v>24416</v>
      </c>
      <c r="G108" t="s">
        <v>250</v>
      </c>
      <c r="H108" t="s">
        <v>2946</v>
      </c>
      <c r="I108" t="s">
        <v>210</v>
      </c>
      <c r="J108" t="s">
        <v>3728</v>
      </c>
      <c r="K108" t="s">
        <v>225</v>
      </c>
      <c r="L108" t="s">
        <v>265</v>
      </c>
      <c r="M108" t="s">
        <v>2947</v>
      </c>
      <c r="N108" t="s">
        <v>2948</v>
      </c>
      <c r="O108" t="s">
        <v>2949</v>
      </c>
      <c r="P108" t="s">
        <v>2950</v>
      </c>
      <c r="Q108" t="s">
        <v>2951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25">
      <c r="A109">
        <v>295</v>
      </c>
      <c r="B109" t="s">
        <v>2952</v>
      </c>
      <c r="C109" t="s">
        <v>2953</v>
      </c>
      <c r="D109" t="s">
        <v>2954</v>
      </c>
      <c r="E109" t="s">
        <v>53</v>
      </c>
      <c r="F109" s="7">
        <v>33423</v>
      </c>
      <c r="G109" t="s">
        <v>246</v>
      </c>
      <c r="H109" t="s">
        <v>2955</v>
      </c>
      <c r="I109" t="s">
        <v>211</v>
      </c>
      <c r="J109" t="s">
        <v>3728</v>
      </c>
      <c r="K109" t="s">
        <v>225</v>
      </c>
      <c r="L109" t="s">
        <v>265</v>
      </c>
      <c r="M109" t="s">
        <v>2956</v>
      </c>
      <c r="N109" t="s">
        <v>2957</v>
      </c>
      <c r="O109" t="s">
        <v>2958</v>
      </c>
      <c r="P109" t="s">
        <v>2959</v>
      </c>
      <c r="Q109" t="s">
        <v>2960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25">
      <c r="A110">
        <v>296</v>
      </c>
      <c r="B110" t="s">
        <v>2961</v>
      </c>
      <c r="C110" t="s">
        <v>2962</v>
      </c>
      <c r="D110" t="s">
        <v>2963</v>
      </c>
      <c r="E110" t="s">
        <v>66</v>
      </c>
      <c r="F110" s="7">
        <v>9013</v>
      </c>
      <c r="G110" t="s">
        <v>263</v>
      </c>
      <c r="H110" t="s">
        <v>2964</v>
      </c>
      <c r="I110" t="s">
        <v>211</v>
      </c>
      <c r="J110" t="s">
        <v>3728</v>
      </c>
      <c r="K110" t="s">
        <v>225</v>
      </c>
      <c r="L110" t="s">
        <v>265</v>
      </c>
      <c r="M110" t="s">
        <v>2965</v>
      </c>
      <c r="N110" t="s">
        <v>2966</v>
      </c>
      <c r="O110" t="s">
        <v>2967</v>
      </c>
      <c r="P110" t="s">
        <v>2968</v>
      </c>
      <c r="Q110" t="s">
        <v>2969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25">
      <c r="A111">
        <v>297</v>
      </c>
      <c r="B111" t="s">
        <v>301</v>
      </c>
      <c r="C111" t="s">
        <v>302</v>
      </c>
      <c r="D111" t="s">
        <v>2970</v>
      </c>
      <c r="E111" t="s">
        <v>53</v>
      </c>
      <c r="F111" s="7">
        <v>34653</v>
      </c>
      <c r="G111" t="s">
        <v>254</v>
      </c>
      <c r="H111" t="s">
        <v>2971</v>
      </c>
      <c r="I111" t="s">
        <v>211</v>
      </c>
      <c r="J111" t="s">
        <v>3728</v>
      </c>
      <c r="K111" t="s">
        <v>225</v>
      </c>
      <c r="L111" t="s">
        <v>265</v>
      </c>
      <c r="M111" t="s">
        <v>2972</v>
      </c>
      <c r="N111" t="s">
        <v>2973</v>
      </c>
      <c r="O111" t="s">
        <v>2974</v>
      </c>
      <c r="P111" t="s">
        <v>2975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25">
      <c r="A112">
        <v>298</v>
      </c>
      <c r="B112" t="s">
        <v>2035</v>
      </c>
      <c r="C112" t="s">
        <v>2036</v>
      </c>
      <c r="D112" t="s">
        <v>2976</v>
      </c>
      <c r="E112" t="s">
        <v>66</v>
      </c>
      <c r="F112" s="7">
        <v>11305</v>
      </c>
      <c r="G112" t="s">
        <v>249</v>
      </c>
      <c r="H112" t="s">
        <v>2977</v>
      </c>
      <c r="I112" t="s">
        <v>211</v>
      </c>
      <c r="J112" t="s">
        <v>3728</v>
      </c>
      <c r="K112" t="s">
        <v>225</v>
      </c>
      <c r="L112" t="s">
        <v>265</v>
      </c>
      <c r="M112" t="s">
        <v>2978</v>
      </c>
      <c r="N112" t="s">
        <v>2979</v>
      </c>
      <c r="O112" t="s">
        <v>2980</v>
      </c>
      <c r="P112" t="s">
        <v>2981</v>
      </c>
      <c r="Q112" t="s">
        <v>2982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25">
      <c r="A113">
        <v>299</v>
      </c>
      <c r="B113" t="s">
        <v>2983</v>
      </c>
      <c r="C113" t="s">
        <v>2984</v>
      </c>
      <c r="D113" t="s">
        <v>2985</v>
      </c>
      <c r="E113" t="s">
        <v>66</v>
      </c>
      <c r="F113" s="7">
        <v>13043</v>
      </c>
      <c r="G113" t="s">
        <v>232</v>
      </c>
      <c r="H113" t="s">
        <v>2986</v>
      </c>
      <c r="I113" t="s">
        <v>211</v>
      </c>
      <c r="J113" t="s">
        <v>3728</v>
      </c>
      <c r="K113" t="s">
        <v>225</v>
      </c>
      <c r="L113" t="s">
        <v>265</v>
      </c>
      <c r="M113" t="s">
        <v>2987</v>
      </c>
      <c r="N113" t="s">
        <v>2988</v>
      </c>
      <c r="O113" t="s">
        <v>2989</v>
      </c>
      <c r="P113" t="s">
        <v>2990</v>
      </c>
      <c r="Q113" t="s">
        <v>2991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25">
      <c r="A114">
        <v>300</v>
      </c>
      <c r="B114" t="s">
        <v>2992</v>
      </c>
      <c r="C114" t="s">
        <v>2993</v>
      </c>
      <c r="D114" t="s">
        <v>2994</v>
      </c>
      <c r="E114" t="s">
        <v>66</v>
      </c>
      <c r="F114" s="7">
        <v>43678</v>
      </c>
      <c r="G114" t="s">
        <v>244</v>
      </c>
      <c r="H114" t="s">
        <v>2995</v>
      </c>
      <c r="I114" t="s">
        <v>211</v>
      </c>
      <c r="J114" t="s">
        <v>3728</v>
      </c>
      <c r="K114" t="s">
        <v>225</v>
      </c>
      <c r="L114" t="s">
        <v>265</v>
      </c>
      <c r="M114" t="s">
        <v>2996</v>
      </c>
      <c r="N114" t="s">
        <v>2997</v>
      </c>
      <c r="O114" t="s">
        <v>2998</v>
      </c>
      <c r="P114" t="s">
        <v>2999</v>
      </c>
      <c r="Q114" t="s">
        <v>3000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25">
      <c r="A115">
        <v>301</v>
      </c>
      <c r="B115" t="s">
        <v>3001</v>
      </c>
      <c r="C115" t="s">
        <v>3002</v>
      </c>
      <c r="D115" t="s">
        <v>3003</v>
      </c>
      <c r="E115" t="s">
        <v>66</v>
      </c>
      <c r="F115" s="7">
        <v>16742</v>
      </c>
      <c r="G115" t="s">
        <v>256</v>
      </c>
      <c r="H115" t="s">
        <v>3004</v>
      </c>
      <c r="I115" t="s">
        <v>211</v>
      </c>
      <c r="J115" t="s">
        <v>3728</v>
      </c>
      <c r="K115" t="s">
        <v>225</v>
      </c>
      <c r="L115" t="s">
        <v>265</v>
      </c>
      <c r="M115" t="s">
        <v>3005</v>
      </c>
      <c r="N115" t="s">
        <v>3006</v>
      </c>
      <c r="O115" t="s">
        <v>3007</v>
      </c>
      <c r="P115" t="s">
        <v>3008</v>
      </c>
      <c r="Q115" t="s">
        <v>3009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25">
      <c r="A116">
        <v>302</v>
      </c>
      <c r="B116" t="s">
        <v>3010</v>
      </c>
      <c r="C116" t="s">
        <v>3011</v>
      </c>
      <c r="D116" t="s">
        <v>3012</v>
      </c>
      <c r="E116" t="s">
        <v>66</v>
      </c>
      <c r="F116" s="7">
        <v>31845</v>
      </c>
      <c r="G116" t="s">
        <v>250</v>
      </c>
      <c r="H116" t="s">
        <v>3013</v>
      </c>
      <c r="I116" t="s">
        <v>211</v>
      </c>
      <c r="J116" t="s">
        <v>3728</v>
      </c>
      <c r="K116" t="s">
        <v>225</v>
      </c>
      <c r="L116" t="s">
        <v>265</v>
      </c>
      <c r="M116" t="s">
        <v>3014</v>
      </c>
      <c r="N116" t="s">
        <v>3015</v>
      </c>
      <c r="O116" t="s">
        <v>3016</v>
      </c>
      <c r="P116" t="s">
        <v>3017</v>
      </c>
      <c r="Q116" t="s">
        <v>3018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25">
      <c r="A117">
        <v>303</v>
      </c>
      <c r="B117" t="s">
        <v>3019</v>
      </c>
      <c r="C117" t="s">
        <v>3020</v>
      </c>
      <c r="D117" t="s">
        <v>3021</v>
      </c>
      <c r="E117" t="s">
        <v>66</v>
      </c>
      <c r="F117" s="7">
        <v>13451</v>
      </c>
      <c r="G117" t="s">
        <v>260</v>
      </c>
      <c r="H117" t="s">
        <v>3022</v>
      </c>
      <c r="I117" t="s">
        <v>208</v>
      </c>
      <c r="J117" t="s">
        <v>3728</v>
      </c>
      <c r="K117" t="s">
        <v>225</v>
      </c>
      <c r="L117" t="s">
        <v>265</v>
      </c>
      <c r="M117" t="s">
        <v>3023</v>
      </c>
      <c r="N117" t="s">
        <v>3024</v>
      </c>
      <c r="O117" t="s">
        <v>3025</v>
      </c>
      <c r="P117" t="s">
        <v>3026</v>
      </c>
      <c r="Q117" t="s">
        <v>3027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25">
      <c r="A118">
        <v>304</v>
      </c>
      <c r="B118" t="s">
        <v>304</v>
      </c>
      <c r="C118" t="s">
        <v>305</v>
      </c>
      <c r="D118" t="s">
        <v>3028</v>
      </c>
      <c r="E118" t="s">
        <v>53</v>
      </c>
      <c r="F118" s="7">
        <v>13647</v>
      </c>
      <c r="G118" t="s">
        <v>242</v>
      </c>
      <c r="H118" t="s">
        <v>3029</v>
      </c>
      <c r="I118" t="s">
        <v>211</v>
      </c>
      <c r="J118" t="s">
        <v>3728</v>
      </c>
      <c r="K118" t="s">
        <v>225</v>
      </c>
      <c r="L118" t="s">
        <v>265</v>
      </c>
      <c r="M118" t="s">
        <v>3030</v>
      </c>
      <c r="N118" t="s">
        <v>3031</v>
      </c>
      <c r="O118" t="s">
        <v>3032</v>
      </c>
      <c r="P118" t="s">
        <v>3033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25">
      <c r="A119">
        <v>305</v>
      </c>
      <c r="B119" t="s">
        <v>315</v>
      </c>
      <c r="C119" t="s">
        <v>316</v>
      </c>
      <c r="D119" t="s">
        <v>3034</v>
      </c>
      <c r="E119" t="s">
        <v>53</v>
      </c>
      <c r="F119" s="7">
        <v>33045</v>
      </c>
      <c r="G119" t="s">
        <v>244</v>
      </c>
      <c r="H119" t="s">
        <v>3035</v>
      </c>
      <c r="I119" t="s">
        <v>216</v>
      </c>
      <c r="J119" t="s">
        <v>3728</v>
      </c>
      <c r="K119" t="s">
        <v>225</v>
      </c>
      <c r="L119" t="s">
        <v>265</v>
      </c>
      <c r="M119" t="s">
        <v>3036</v>
      </c>
      <c r="N119" t="s">
        <v>3037</v>
      </c>
      <c r="O119" t="s">
        <v>3038</v>
      </c>
      <c r="P119" t="s">
        <v>3039</v>
      </c>
      <c r="Q119" t="s">
        <v>3040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25">
      <c r="A120">
        <v>306</v>
      </c>
      <c r="B120" t="s">
        <v>3041</v>
      </c>
      <c r="C120" t="s">
        <v>3042</v>
      </c>
      <c r="D120" t="s">
        <v>3043</v>
      </c>
      <c r="E120" t="s">
        <v>53</v>
      </c>
      <c r="F120" s="7">
        <v>18446</v>
      </c>
      <c r="G120" t="s">
        <v>253</v>
      </c>
      <c r="H120" t="s">
        <v>3044</v>
      </c>
      <c r="I120" t="s">
        <v>208</v>
      </c>
      <c r="J120" t="s">
        <v>3728</v>
      </c>
      <c r="K120" t="s">
        <v>225</v>
      </c>
      <c r="L120" t="s">
        <v>265</v>
      </c>
      <c r="M120" t="s">
        <v>3045</v>
      </c>
      <c r="N120" t="s">
        <v>3046</v>
      </c>
      <c r="O120" t="s">
        <v>3047</v>
      </c>
      <c r="P120" t="s">
        <v>3048</v>
      </c>
      <c r="Q120" t="s">
        <v>3049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25">
      <c r="A121">
        <v>307</v>
      </c>
      <c r="B121" t="s">
        <v>3050</v>
      </c>
      <c r="C121" t="s">
        <v>3051</v>
      </c>
      <c r="D121" t="s">
        <v>3052</v>
      </c>
      <c r="E121" t="s">
        <v>66</v>
      </c>
      <c r="F121" s="7">
        <v>28450</v>
      </c>
      <c r="G121" t="s">
        <v>237</v>
      </c>
      <c r="H121" t="s">
        <v>3053</v>
      </c>
      <c r="I121" t="s">
        <v>211</v>
      </c>
      <c r="J121" t="s">
        <v>3728</v>
      </c>
      <c r="K121" t="s">
        <v>225</v>
      </c>
      <c r="L121" t="s">
        <v>265</v>
      </c>
      <c r="M121" t="s">
        <v>3054</v>
      </c>
      <c r="N121" t="s">
        <v>3055</v>
      </c>
      <c r="O121" t="s">
        <v>3056</v>
      </c>
      <c r="P121" t="s">
        <v>3057</v>
      </c>
      <c r="Q121" t="s">
        <v>3058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25">
      <c r="A122">
        <v>308</v>
      </c>
      <c r="B122" t="s">
        <v>3059</v>
      </c>
      <c r="C122" t="s">
        <v>3060</v>
      </c>
      <c r="D122" t="s">
        <v>3061</v>
      </c>
      <c r="E122" t="s">
        <v>53</v>
      </c>
      <c r="F122" s="7">
        <v>42428</v>
      </c>
      <c r="G122" t="s">
        <v>229</v>
      </c>
      <c r="H122" t="s">
        <v>3062</v>
      </c>
      <c r="I122" t="s">
        <v>201</v>
      </c>
      <c r="J122" t="s">
        <v>3728</v>
      </c>
      <c r="K122" t="s">
        <v>225</v>
      </c>
      <c r="L122" t="s">
        <v>265</v>
      </c>
      <c r="M122" t="s">
        <v>3063</v>
      </c>
      <c r="N122" t="s">
        <v>3064</v>
      </c>
      <c r="O122" t="s">
        <v>3065</v>
      </c>
      <c r="P122" t="s">
        <v>3066</v>
      </c>
      <c r="Q122" t="s">
        <v>3067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25">
      <c r="A123">
        <v>309</v>
      </c>
      <c r="B123" t="s">
        <v>3068</v>
      </c>
      <c r="C123" t="s">
        <v>3069</v>
      </c>
      <c r="D123" t="s">
        <v>3070</v>
      </c>
      <c r="E123" t="s">
        <v>66</v>
      </c>
      <c r="F123" s="7">
        <v>43463</v>
      </c>
      <c r="G123" t="s">
        <v>235</v>
      </c>
      <c r="H123" t="s">
        <v>3071</v>
      </c>
      <c r="I123" t="s">
        <v>205</v>
      </c>
      <c r="J123" t="s">
        <v>3728</v>
      </c>
      <c r="K123" t="s">
        <v>225</v>
      </c>
      <c r="L123" t="s">
        <v>265</v>
      </c>
      <c r="M123" t="s">
        <v>3072</v>
      </c>
      <c r="N123" t="s">
        <v>3073</v>
      </c>
      <c r="O123" t="s">
        <v>3074</v>
      </c>
      <c r="P123" t="s">
        <v>3075</v>
      </c>
      <c r="Q123" t="s">
        <v>3076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25">
      <c r="A124">
        <v>310</v>
      </c>
      <c r="B124" t="s">
        <v>3077</v>
      </c>
      <c r="C124" t="s">
        <v>3078</v>
      </c>
      <c r="D124" t="s">
        <v>3079</v>
      </c>
      <c r="E124" t="s">
        <v>53</v>
      </c>
      <c r="F124" s="7">
        <v>8971</v>
      </c>
      <c r="G124" t="s">
        <v>228</v>
      </c>
      <c r="H124" t="s">
        <v>3080</v>
      </c>
      <c r="I124" t="s">
        <v>210</v>
      </c>
      <c r="J124" t="s">
        <v>3728</v>
      </c>
      <c r="K124" t="s">
        <v>225</v>
      </c>
      <c r="L124" t="s">
        <v>265</v>
      </c>
      <c r="M124" t="s">
        <v>3081</v>
      </c>
      <c r="N124" t="s">
        <v>3082</v>
      </c>
      <c r="O124" t="s">
        <v>3083</v>
      </c>
      <c r="P124" t="s">
        <v>3084</v>
      </c>
      <c r="Q124" t="s">
        <v>3085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25">
      <c r="A125">
        <v>311</v>
      </c>
      <c r="B125" t="s">
        <v>3086</v>
      </c>
      <c r="C125" t="s">
        <v>3087</v>
      </c>
      <c r="D125" t="s">
        <v>3088</v>
      </c>
      <c r="E125" t="s">
        <v>53</v>
      </c>
      <c r="F125" s="7">
        <v>13497</v>
      </c>
      <c r="G125" t="s">
        <v>227</v>
      </c>
      <c r="H125" t="s">
        <v>3089</v>
      </c>
      <c r="I125" t="s">
        <v>215</v>
      </c>
      <c r="J125" t="s">
        <v>3728</v>
      </c>
      <c r="K125" t="s">
        <v>225</v>
      </c>
      <c r="L125" t="s">
        <v>265</v>
      </c>
      <c r="M125" t="s">
        <v>3090</v>
      </c>
      <c r="N125" t="s">
        <v>3091</v>
      </c>
      <c r="O125" t="s">
        <v>3092</v>
      </c>
      <c r="P125" t="s">
        <v>3093</v>
      </c>
      <c r="Q125" t="s">
        <v>3094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25">
      <c r="A126">
        <v>312</v>
      </c>
      <c r="B126" t="s">
        <v>3095</v>
      </c>
      <c r="C126" t="s">
        <v>3096</v>
      </c>
      <c r="D126" t="s">
        <v>3097</v>
      </c>
      <c r="E126" t="s">
        <v>53</v>
      </c>
      <c r="F126" s="7">
        <v>25240</v>
      </c>
      <c r="G126" t="s">
        <v>243</v>
      </c>
      <c r="H126" t="s">
        <v>3098</v>
      </c>
      <c r="I126" t="s">
        <v>210</v>
      </c>
      <c r="J126" t="s">
        <v>3728</v>
      </c>
      <c r="K126" t="s">
        <v>225</v>
      </c>
      <c r="L126" t="s">
        <v>265</v>
      </c>
      <c r="M126" t="s">
        <v>3099</v>
      </c>
      <c r="N126" t="s">
        <v>3100</v>
      </c>
      <c r="O126" t="s">
        <v>3101</v>
      </c>
      <c r="P126" t="s">
        <v>3102</v>
      </c>
      <c r="Q126" t="s">
        <v>3103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25">
      <c r="A127">
        <v>313</v>
      </c>
      <c r="B127" t="s">
        <v>3104</v>
      </c>
      <c r="C127" t="s">
        <v>3105</v>
      </c>
      <c r="D127" t="s">
        <v>3106</v>
      </c>
      <c r="E127" t="s">
        <v>66</v>
      </c>
      <c r="F127" s="7">
        <v>16827</v>
      </c>
      <c r="G127" t="s">
        <v>244</v>
      </c>
      <c r="H127" t="s">
        <v>3107</v>
      </c>
      <c r="I127" t="s">
        <v>222</v>
      </c>
      <c r="J127" t="s">
        <v>3728</v>
      </c>
      <c r="K127" t="s">
        <v>225</v>
      </c>
      <c r="L127" t="s">
        <v>265</v>
      </c>
      <c r="M127" t="s">
        <v>3108</v>
      </c>
      <c r="N127" t="s">
        <v>3109</v>
      </c>
      <c r="O127" t="s">
        <v>3110</v>
      </c>
      <c r="P127" t="s">
        <v>3111</v>
      </c>
      <c r="Q127" t="s">
        <v>3112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25">
      <c r="A128">
        <v>314</v>
      </c>
      <c r="B128" t="s">
        <v>3113</v>
      </c>
      <c r="C128" t="s">
        <v>3114</v>
      </c>
      <c r="D128" t="s">
        <v>3115</v>
      </c>
      <c r="E128" t="s">
        <v>66</v>
      </c>
      <c r="F128" s="7">
        <v>14246</v>
      </c>
      <c r="G128" t="s">
        <v>261</v>
      </c>
      <c r="H128" t="s">
        <v>3116</v>
      </c>
      <c r="I128" t="s">
        <v>209</v>
      </c>
      <c r="J128" t="s">
        <v>3728</v>
      </c>
      <c r="K128" t="s">
        <v>225</v>
      </c>
      <c r="L128" t="s">
        <v>265</v>
      </c>
      <c r="M128" t="s">
        <v>3117</v>
      </c>
      <c r="N128" t="s">
        <v>3118</v>
      </c>
      <c r="O128" t="s">
        <v>3119</v>
      </c>
      <c r="P128" t="s">
        <v>3120</v>
      </c>
      <c r="Q128" t="s">
        <v>3121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25">
      <c r="A129">
        <v>315</v>
      </c>
      <c r="B129" t="s">
        <v>3122</v>
      </c>
      <c r="C129" t="s">
        <v>3123</v>
      </c>
      <c r="D129" t="s">
        <v>3124</v>
      </c>
      <c r="E129" t="s">
        <v>53</v>
      </c>
      <c r="F129" s="7">
        <v>43342</v>
      </c>
      <c r="G129" t="s">
        <v>231</v>
      </c>
      <c r="H129" t="s">
        <v>3125</v>
      </c>
      <c r="I129" t="s">
        <v>223</v>
      </c>
      <c r="J129" t="s">
        <v>3728</v>
      </c>
      <c r="K129" t="s">
        <v>225</v>
      </c>
      <c r="L129" t="s">
        <v>265</v>
      </c>
      <c r="M129" t="s">
        <v>3126</v>
      </c>
      <c r="N129" t="s">
        <v>3127</v>
      </c>
      <c r="O129" t="s">
        <v>3128</v>
      </c>
      <c r="P129" t="s">
        <v>3129</v>
      </c>
      <c r="Q129" t="s">
        <v>3130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25">
      <c r="A130">
        <v>316</v>
      </c>
      <c r="B130" t="s">
        <v>2402</v>
      </c>
      <c r="C130" t="s">
        <v>2403</v>
      </c>
      <c r="D130" t="s">
        <v>3131</v>
      </c>
      <c r="E130" t="s">
        <v>66</v>
      </c>
      <c r="F130" s="7">
        <v>37343</v>
      </c>
      <c r="G130" t="s">
        <v>234</v>
      </c>
      <c r="H130" t="s">
        <v>3132</v>
      </c>
      <c r="I130" t="s">
        <v>223</v>
      </c>
      <c r="J130" t="s">
        <v>3728</v>
      </c>
      <c r="K130" t="s">
        <v>225</v>
      </c>
      <c r="L130" t="s">
        <v>265</v>
      </c>
      <c r="M130" t="s">
        <v>3133</v>
      </c>
      <c r="N130" t="s">
        <v>3134</v>
      </c>
      <c r="O130" t="s">
        <v>3135</v>
      </c>
      <c r="P130" t="s">
        <v>3136</v>
      </c>
      <c r="Q130" t="s">
        <v>3137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25">
      <c r="A131">
        <v>317</v>
      </c>
      <c r="B131" t="s">
        <v>3138</v>
      </c>
      <c r="C131" t="s">
        <v>3139</v>
      </c>
      <c r="D131" t="s">
        <v>3140</v>
      </c>
      <c r="E131" t="s">
        <v>53</v>
      </c>
      <c r="F131" s="7">
        <v>35503</v>
      </c>
      <c r="G131" t="s">
        <v>254</v>
      </c>
      <c r="H131" t="s">
        <v>3141</v>
      </c>
      <c r="I131" t="s">
        <v>201</v>
      </c>
      <c r="J131" t="s">
        <v>3728</v>
      </c>
      <c r="K131" t="s">
        <v>225</v>
      </c>
      <c r="L131" t="s">
        <v>265</v>
      </c>
      <c r="M131" t="s">
        <v>3142</v>
      </c>
      <c r="N131" t="s">
        <v>3143</v>
      </c>
      <c r="O131" t="s">
        <v>3144</v>
      </c>
      <c r="P131" t="s">
        <v>3145</v>
      </c>
      <c r="Q131" t="s">
        <v>3146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25">
      <c r="A132">
        <v>318</v>
      </c>
      <c r="B132" t="s">
        <v>3147</v>
      </c>
      <c r="C132" t="s">
        <v>3148</v>
      </c>
      <c r="D132" t="s">
        <v>3149</v>
      </c>
      <c r="E132" t="s">
        <v>53</v>
      </c>
      <c r="F132" s="7">
        <v>10487</v>
      </c>
      <c r="G132" t="s">
        <v>261</v>
      </c>
      <c r="H132" t="s">
        <v>3150</v>
      </c>
      <c r="I132" t="s">
        <v>211</v>
      </c>
      <c r="J132" t="s">
        <v>3728</v>
      </c>
      <c r="K132" t="s">
        <v>225</v>
      </c>
      <c r="L132" t="s">
        <v>265</v>
      </c>
      <c r="M132" t="s">
        <v>3151</v>
      </c>
      <c r="N132" t="s">
        <v>3152</v>
      </c>
      <c r="O132" t="s">
        <v>3153</v>
      </c>
      <c r="P132" t="s">
        <v>3154</v>
      </c>
      <c r="Q132" t="s">
        <v>3155</v>
      </c>
      <c r="R132" t="str">
        <f t="shared" si="6"/>
        <v>user-male.jpg</v>
      </c>
      <c r="U132" t="str">
        <f t="shared" ref="U132:U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25">
      <c r="A133">
        <v>319</v>
      </c>
      <c r="B133" t="s">
        <v>3156</v>
      </c>
      <c r="C133" t="s">
        <v>3157</v>
      </c>
      <c r="D133" t="s">
        <v>3158</v>
      </c>
      <c r="E133" t="s">
        <v>66</v>
      </c>
      <c r="F133" s="7">
        <v>20453</v>
      </c>
      <c r="G133" t="s">
        <v>245</v>
      </c>
      <c r="H133" t="s">
        <v>3159</v>
      </c>
      <c r="I133" t="s">
        <v>211</v>
      </c>
      <c r="J133" t="s">
        <v>3728</v>
      </c>
      <c r="K133" t="s">
        <v>225</v>
      </c>
      <c r="L133" t="s">
        <v>265</v>
      </c>
      <c r="M133" t="s">
        <v>3160</v>
      </c>
      <c r="N133" t="s">
        <v>3161</v>
      </c>
      <c r="O133" t="s">
        <v>3162</v>
      </c>
      <c r="P133" t="s">
        <v>3163</v>
      </c>
      <c r="Q133" t="s">
        <v>3164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25">
      <c r="A134">
        <v>320</v>
      </c>
      <c r="B134" t="s">
        <v>3165</v>
      </c>
      <c r="C134" t="s">
        <v>3166</v>
      </c>
      <c r="D134" t="s">
        <v>3167</v>
      </c>
      <c r="E134" t="s">
        <v>53</v>
      </c>
      <c r="F134" s="7">
        <v>43922</v>
      </c>
      <c r="G134" t="s">
        <v>252</v>
      </c>
      <c r="H134" t="s">
        <v>3168</v>
      </c>
      <c r="I134" t="s">
        <v>211</v>
      </c>
      <c r="J134" t="s">
        <v>3728</v>
      </c>
      <c r="K134" t="s">
        <v>225</v>
      </c>
      <c r="L134" t="s">
        <v>265</v>
      </c>
      <c r="M134" t="s">
        <v>3169</v>
      </c>
      <c r="N134" t="s">
        <v>3170</v>
      </c>
      <c r="O134" t="s">
        <v>3171</v>
      </c>
      <c r="P134" t="s">
        <v>3172</v>
      </c>
      <c r="Q134" t="s">
        <v>3173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25">
      <c r="A135">
        <v>321</v>
      </c>
      <c r="B135" t="s">
        <v>3174</v>
      </c>
      <c r="C135" t="s">
        <v>3175</v>
      </c>
      <c r="D135" t="s">
        <v>3176</v>
      </c>
      <c r="E135" t="s">
        <v>53</v>
      </c>
      <c r="F135" s="7">
        <v>25320</v>
      </c>
      <c r="G135" t="s">
        <v>260</v>
      </c>
      <c r="H135" t="s">
        <v>3177</v>
      </c>
      <c r="I135" t="s">
        <v>216</v>
      </c>
      <c r="J135" t="s">
        <v>3728</v>
      </c>
      <c r="K135" t="s">
        <v>225</v>
      </c>
      <c r="L135" t="s">
        <v>265</v>
      </c>
      <c r="M135" t="s">
        <v>3178</v>
      </c>
      <c r="N135" t="s">
        <v>3179</v>
      </c>
      <c r="O135" t="s">
        <v>3180</v>
      </c>
      <c r="P135" t="s">
        <v>3181</v>
      </c>
      <c r="Q135" t="s">
        <v>3182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25">
      <c r="A136">
        <v>322</v>
      </c>
      <c r="B136" t="s">
        <v>323</v>
      </c>
      <c r="C136" t="s">
        <v>324</v>
      </c>
      <c r="D136" t="s">
        <v>3183</v>
      </c>
      <c r="E136" t="s">
        <v>66</v>
      </c>
      <c r="F136" s="7">
        <v>20063</v>
      </c>
      <c r="G136" t="s">
        <v>262</v>
      </c>
      <c r="H136" t="s">
        <v>3184</v>
      </c>
      <c r="I136" t="s">
        <v>211</v>
      </c>
      <c r="J136" t="s">
        <v>3728</v>
      </c>
      <c r="K136" t="s">
        <v>225</v>
      </c>
      <c r="L136" t="s">
        <v>265</v>
      </c>
      <c r="M136" t="s">
        <v>3185</v>
      </c>
      <c r="N136" t="s">
        <v>3186</v>
      </c>
      <c r="O136" t="s">
        <v>3187</v>
      </c>
      <c r="P136" t="s">
        <v>3188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25">
      <c r="A137">
        <v>323</v>
      </c>
      <c r="B137" t="s">
        <v>3189</v>
      </c>
      <c r="C137" t="s">
        <v>3190</v>
      </c>
      <c r="D137" t="s">
        <v>3191</v>
      </c>
      <c r="E137" t="s">
        <v>53</v>
      </c>
      <c r="F137" s="7">
        <v>34756</v>
      </c>
      <c r="G137" t="s">
        <v>242</v>
      </c>
      <c r="H137" t="s">
        <v>3192</v>
      </c>
      <c r="I137" t="s">
        <v>209</v>
      </c>
      <c r="J137" t="s">
        <v>3728</v>
      </c>
      <c r="K137" t="s">
        <v>225</v>
      </c>
      <c r="L137" t="s">
        <v>265</v>
      </c>
      <c r="M137" t="s">
        <v>3193</v>
      </c>
      <c r="N137" t="s">
        <v>3194</v>
      </c>
      <c r="O137" t="s">
        <v>3195</v>
      </c>
      <c r="P137" t="s">
        <v>3196</v>
      </c>
      <c r="Q137" t="s">
        <v>3197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25">
      <c r="A138">
        <v>324</v>
      </c>
      <c r="B138" t="s">
        <v>3198</v>
      </c>
      <c r="C138" t="s">
        <v>3199</v>
      </c>
      <c r="D138" t="s">
        <v>3200</v>
      </c>
      <c r="E138" t="s">
        <v>53</v>
      </c>
      <c r="F138" s="7">
        <v>14392</v>
      </c>
      <c r="G138" t="s">
        <v>237</v>
      </c>
      <c r="H138" t="s">
        <v>3201</v>
      </c>
      <c r="I138" t="s">
        <v>211</v>
      </c>
      <c r="J138" t="s">
        <v>3728</v>
      </c>
      <c r="K138" t="s">
        <v>225</v>
      </c>
      <c r="L138" t="s">
        <v>265</v>
      </c>
      <c r="M138" t="s">
        <v>3202</v>
      </c>
      <c r="N138" t="s">
        <v>3203</v>
      </c>
      <c r="O138" t="s">
        <v>3204</v>
      </c>
      <c r="P138" t="s">
        <v>3205</v>
      </c>
      <c r="Q138" t="s">
        <v>3206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25">
      <c r="A139">
        <v>325</v>
      </c>
      <c r="B139" t="s">
        <v>3207</v>
      </c>
      <c r="C139" t="s">
        <v>3208</v>
      </c>
      <c r="D139" t="s">
        <v>3209</v>
      </c>
      <c r="E139" t="s">
        <v>66</v>
      </c>
      <c r="F139" s="7">
        <v>17070</v>
      </c>
      <c r="G139" t="s">
        <v>231</v>
      </c>
      <c r="H139" t="s">
        <v>3210</v>
      </c>
      <c r="I139" t="s">
        <v>205</v>
      </c>
      <c r="J139" t="s">
        <v>3728</v>
      </c>
      <c r="K139" t="s">
        <v>225</v>
      </c>
      <c r="L139" t="s">
        <v>265</v>
      </c>
      <c r="M139" t="s">
        <v>3211</v>
      </c>
      <c r="N139" t="s">
        <v>3212</v>
      </c>
      <c r="O139" t="s">
        <v>3213</v>
      </c>
      <c r="P139" t="s">
        <v>3214</v>
      </c>
      <c r="Q139" t="s">
        <v>3215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25">
      <c r="A140">
        <v>326</v>
      </c>
      <c r="B140" t="s">
        <v>2564</v>
      </c>
      <c r="C140" t="s">
        <v>2565</v>
      </c>
      <c r="D140" t="s">
        <v>3216</v>
      </c>
      <c r="E140" t="s">
        <v>66</v>
      </c>
      <c r="F140" s="7">
        <v>18282</v>
      </c>
      <c r="G140" t="s">
        <v>244</v>
      </c>
      <c r="H140" t="s">
        <v>3217</v>
      </c>
      <c r="I140" t="s">
        <v>211</v>
      </c>
      <c r="J140" t="s">
        <v>3728</v>
      </c>
      <c r="K140" t="s">
        <v>225</v>
      </c>
      <c r="L140" t="s">
        <v>265</v>
      </c>
      <c r="M140" t="s">
        <v>3218</v>
      </c>
      <c r="N140" t="s">
        <v>3219</v>
      </c>
      <c r="O140" t="s">
        <v>3220</v>
      </c>
      <c r="P140" t="s">
        <v>3221</v>
      </c>
      <c r="Q140" t="s">
        <v>3222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25">
      <c r="A141">
        <v>327</v>
      </c>
      <c r="B141" t="s">
        <v>286</v>
      </c>
      <c r="C141" t="s">
        <v>287</v>
      </c>
      <c r="D141" t="s">
        <v>3223</v>
      </c>
      <c r="E141" t="s">
        <v>66</v>
      </c>
      <c r="F141" s="7">
        <v>9562</v>
      </c>
      <c r="G141" t="s">
        <v>228</v>
      </c>
      <c r="H141" t="s">
        <v>3224</v>
      </c>
      <c r="I141" t="s">
        <v>211</v>
      </c>
      <c r="J141" t="s">
        <v>3728</v>
      </c>
      <c r="K141" t="s">
        <v>225</v>
      </c>
      <c r="L141" t="s">
        <v>265</v>
      </c>
      <c r="M141" t="s">
        <v>3225</v>
      </c>
      <c r="N141" t="s">
        <v>3226</v>
      </c>
      <c r="O141" t="s">
        <v>3227</v>
      </c>
      <c r="P141" t="s">
        <v>3228</v>
      </c>
      <c r="Q141" t="s">
        <v>3229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25">
      <c r="A142">
        <v>328</v>
      </c>
      <c r="B142" t="s">
        <v>3230</v>
      </c>
      <c r="C142" t="s">
        <v>3231</v>
      </c>
      <c r="D142" t="s">
        <v>3232</v>
      </c>
      <c r="E142" t="s">
        <v>53</v>
      </c>
      <c r="F142" s="7">
        <v>10733</v>
      </c>
      <c r="G142" t="s">
        <v>244</v>
      </c>
      <c r="H142" t="s">
        <v>3233</v>
      </c>
      <c r="I142" t="s">
        <v>209</v>
      </c>
      <c r="J142" t="s">
        <v>3728</v>
      </c>
      <c r="K142" t="s">
        <v>225</v>
      </c>
      <c r="L142" t="s">
        <v>265</v>
      </c>
      <c r="M142" t="s">
        <v>3234</v>
      </c>
      <c r="N142" t="s">
        <v>3235</v>
      </c>
      <c r="O142" t="s">
        <v>3236</v>
      </c>
      <c r="P142" t="s">
        <v>3237</v>
      </c>
      <c r="Q142" t="s">
        <v>3238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25">
      <c r="A143">
        <v>329</v>
      </c>
      <c r="B143" t="s">
        <v>3239</v>
      </c>
      <c r="C143" t="s">
        <v>3240</v>
      </c>
      <c r="D143" t="s">
        <v>3241</v>
      </c>
      <c r="E143" t="s">
        <v>66</v>
      </c>
      <c r="F143" s="7">
        <v>43003</v>
      </c>
      <c r="G143" t="s">
        <v>252</v>
      </c>
      <c r="H143" t="s">
        <v>3242</v>
      </c>
      <c r="I143" t="s">
        <v>220</v>
      </c>
      <c r="J143" t="s">
        <v>3728</v>
      </c>
      <c r="K143" t="s">
        <v>225</v>
      </c>
      <c r="L143" t="s">
        <v>265</v>
      </c>
      <c r="M143" t="s">
        <v>3243</v>
      </c>
      <c r="N143" t="s">
        <v>3244</v>
      </c>
      <c r="O143" t="s">
        <v>3245</v>
      </c>
      <c r="P143" t="s">
        <v>3246</v>
      </c>
      <c r="Q143" t="s">
        <v>3247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25">
      <c r="A144">
        <v>330</v>
      </c>
      <c r="B144" t="s">
        <v>3248</v>
      </c>
      <c r="C144" t="s">
        <v>3249</v>
      </c>
      <c r="D144" t="s">
        <v>3250</v>
      </c>
      <c r="E144" t="s">
        <v>66</v>
      </c>
      <c r="F144" s="7">
        <v>29468</v>
      </c>
      <c r="G144" t="s">
        <v>252</v>
      </c>
      <c r="H144" t="s">
        <v>3251</v>
      </c>
      <c r="I144" t="s">
        <v>203</v>
      </c>
      <c r="J144" t="s">
        <v>3728</v>
      </c>
      <c r="K144" t="s">
        <v>225</v>
      </c>
      <c r="L144" t="s">
        <v>265</v>
      </c>
      <c r="M144" t="s">
        <v>3252</v>
      </c>
      <c r="N144" t="s">
        <v>3253</v>
      </c>
      <c r="O144" t="s">
        <v>3254</v>
      </c>
      <c r="P144" t="s">
        <v>3255</v>
      </c>
      <c r="Q144" t="s">
        <v>3256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25">
      <c r="A145">
        <v>331</v>
      </c>
      <c r="B145" t="s">
        <v>3257</v>
      </c>
      <c r="C145" t="s">
        <v>3258</v>
      </c>
      <c r="D145" t="s">
        <v>3259</v>
      </c>
      <c r="E145" t="s">
        <v>66</v>
      </c>
      <c r="F145" s="7">
        <v>26648</v>
      </c>
      <c r="G145" t="s">
        <v>245</v>
      </c>
      <c r="H145" t="s">
        <v>3260</v>
      </c>
      <c r="I145" t="s">
        <v>211</v>
      </c>
      <c r="J145" t="s">
        <v>3728</v>
      </c>
      <c r="K145" t="s">
        <v>225</v>
      </c>
      <c r="L145" t="s">
        <v>265</v>
      </c>
      <c r="M145" t="s">
        <v>3261</v>
      </c>
      <c r="N145" t="s">
        <v>3262</v>
      </c>
      <c r="O145" t="s">
        <v>3263</v>
      </c>
      <c r="P145" t="s">
        <v>3264</v>
      </c>
      <c r="Q145" t="s">
        <v>3265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25">
      <c r="A146">
        <v>332</v>
      </c>
      <c r="B146" t="s">
        <v>3266</v>
      </c>
      <c r="C146" t="s">
        <v>3267</v>
      </c>
      <c r="D146" t="s">
        <v>3268</v>
      </c>
      <c r="E146" t="s">
        <v>66</v>
      </c>
      <c r="F146" s="7">
        <v>12366</v>
      </c>
      <c r="G146" t="s">
        <v>233</v>
      </c>
      <c r="H146" t="s">
        <v>3269</v>
      </c>
      <c r="I146" t="s">
        <v>209</v>
      </c>
      <c r="J146" t="s">
        <v>3728</v>
      </c>
      <c r="K146" t="s">
        <v>225</v>
      </c>
      <c r="L146" t="s">
        <v>265</v>
      </c>
      <c r="M146" t="s">
        <v>3270</v>
      </c>
      <c r="N146" t="s">
        <v>3271</v>
      </c>
      <c r="O146" t="s">
        <v>3272</v>
      </c>
      <c r="P146" t="s">
        <v>3273</v>
      </c>
      <c r="Q146" t="s">
        <v>3274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25">
      <c r="A147">
        <v>333</v>
      </c>
      <c r="B147" t="s">
        <v>3275</v>
      </c>
      <c r="C147" t="s">
        <v>3276</v>
      </c>
      <c r="D147" t="s">
        <v>3277</v>
      </c>
      <c r="E147" t="s">
        <v>53</v>
      </c>
      <c r="F147" s="7">
        <v>15788</v>
      </c>
      <c r="G147" t="s">
        <v>246</v>
      </c>
      <c r="H147" t="s">
        <v>3278</v>
      </c>
      <c r="I147" t="s">
        <v>211</v>
      </c>
      <c r="J147" t="s">
        <v>3728</v>
      </c>
      <c r="K147" t="s">
        <v>225</v>
      </c>
      <c r="L147" t="s">
        <v>265</v>
      </c>
      <c r="M147" t="s">
        <v>3279</v>
      </c>
      <c r="N147" t="s">
        <v>3280</v>
      </c>
      <c r="O147" t="s">
        <v>3281</v>
      </c>
      <c r="P147" t="s">
        <v>3282</v>
      </c>
      <c r="Q147" t="s">
        <v>3283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25">
      <c r="A148">
        <v>334</v>
      </c>
      <c r="B148" t="s">
        <v>3284</v>
      </c>
      <c r="C148" t="s">
        <v>3285</v>
      </c>
      <c r="D148" t="s">
        <v>3286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3728</v>
      </c>
      <c r="K148" t="s">
        <v>225</v>
      </c>
      <c r="L148" t="s">
        <v>265</v>
      </c>
      <c r="M148" t="s">
        <v>3287</v>
      </c>
      <c r="N148" t="s">
        <v>3288</v>
      </c>
      <c r="O148" t="s">
        <v>3289</v>
      </c>
      <c r="P148" t="s">
        <v>3290</v>
      </c>
      <c r="Q148" t="s">
        <v>3291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25">
      <c r="A149">
        <v>335</v>
      </c>
      <c r="B149" t="s">
        <v>3292</v>
      </c>
      <c r="C149" t="s">
        <v>3293</v>
      </c>
      <c r="D149" t="s">
        <v>3294</v>
      </c>
      <c r="E149" t="s">
        <v>53</v>
      </c>
      <c r="F149" s="7">
        <v>36735</v>
      </c>
      <c r="G149" t="s">
        <v>235</v>
      </c>
      <c r="H149" t="s">
        <v>3295</v>
      </c>
      <c r="I149" t="s">
        <v>202</v>
      </c>
      <c r="J149" t="s">
        <v>3728</v>
      </c>
      <c r="K149" t="s">
        <v>225</v>
      </c>
      <c r="L149" t="s">
        <v>265</v>
      </c>
      <c r="M149" t="s">
        <v>3296</v>
      </c>
      <c r="N149" t="s">
        <v>3297</v>
      </c>
      <c r="O149" t="s">
        <v>3298</v>
      </c>
      <c r="P149" t="s">
        <v>3299</v>
      </c>
      <c r="Q149" t="s">
        <v>3300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25">
      <c r="A150">
        <v>336</v>
      </c>
      <c r="B150" t="s">
        <v>3301</v>
      </c>
      <c r="C150" t="s">
        <v>3302</v>
      </c>
      <c r="D150" t="s">
        <v>3303</v>
      </c>
      <c r="E150" t="s">
        <v>66</v>
      </c>
      <c r="F150" s="7">
        <v>29002</v>
      </c>
      <c r="G150" t="s">
        <v>232</v>
      </c>
      <c r="H150" t="s">
        <v>3304</v>
      </c>
      <c r="I150" t="s">
        <v>211</v>
      </c>
      <c r="J150" t="s">
        <v>3728</v>
      </c>
      <c r="K150" t="s">
        <v>225</v>
      </c>
      <c r="L150" t="s">
        <v>265</v>
      </c>
      <c r="M150" t="s">
        <v>3305</v>
      </c>
      <c r="N150" t="s">
        <v>3306</v>
      </c>
      <c r="O150" t="s">
        <v>3307</v>
      </c>
      <c r="P150" t="s">
        <v>3308</v>
      </c>
      <c r="Q150" t="s">
        <v>3309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25">
      <c r="A151">
        <v>337</v>
      </c>
      <c r="B151" t="s">
        <v>3310</v>
      </c>
      <c r="C151" t="s">
        <v>3311</v>
      </c>
      <c r="D151" t="s">
        <v>3312</v>
      </c>
      <c r="E151" t="s">
        <v>53</v>
      </c>
      <c r="F151" s="7">
        <v>41285</v>
      </c>
      <c r="G151" t="s">
        <v>229</v>
      </c>
      <c r="H151" t="s">
        <v>3313</v>
      </c>
      <c r="I151" t="s">
        <v>211</v>
      </c>
      <c r="J151" t="s">
        <v>3728</v>
      </c>
      <c r="K151" t="s">
        <v>225</v>
      </c>
      <c r="L151" t="s">
        <v>265</v>
      </c>
      <c r="M151" t="s">
        <v>3314</v>
      </c>
      <c r="N151" t="s">
        <v>3315</v>
      </c>
      <c r="O151" t="s">
        <v>3316</v>
      </c>
      <c r="P151" t="s">
        <v>3317</v>
      </c>
      <c r="Q151" t="s">
        <v>3318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25">
      <c r="A152">
        <v>338</v>
      </c>
      <c r="B152" t="s">
        <v>3319</v>
      </c>
      <c r="C152" t="s">
        <v>3320</v>
      </c>
      <c r="D152" t="s">
        <v>3321</v>
      </c>
      <c r="E152" t="s">
        <v>53</v>
      </c>
      <c r="F152" s="7">
        <v>27590</v>
      </c>
      <c r="G152" t="s">
        <v>261</v>
      </c>
      <c r="H152" t="s">
        <v>3322</v>
      </c>
      <c r="I152" t="s">
        <v>221</v>
      </c>
      <c r="J152" t="s">
        <v>3728</v>
      </c>
      <c r="K152" t="s">
        <v>225</v>
      </c>
      <c r="L152" t="s">
        <v>265</v>
      </c>
      <c r="M152" t="s">
        <v>3323</v>
      </c>
      <c r="N152" t="s">
        <v>3324</v>
      </c>
      <c r="O152" t="s">
        <v>3325</v>
      </c>
      <c r="P152" t="s">
        <v>3326</v>
      </c>
      <c r="Q152" t="s">
        <v>3327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25">
      <c r="A153">
        <v>339</v>
      </c>
      <c r="B153" t="s">
        <v>321</v>
      </c>
      <c r="C153" t="s">
        <v>322</v>
      </c>
      <c r="D153" t="s">
        <v>3328</v>
      </c>
      <c r="E153" t="s">
        <v>53</v>
      </c>
      <c r="F153" s="7">
        <v>30972</v>
      </c>
      <c r="G153" t="s">
        <v>245</v>
      </c>
      <c r="H153" t="s">
        <v>3329</v>
      </c>
      <c r="I153" t="s">
        <v>211</v>
      </c>
      <c r="J153" t="s">
        <v>3728</v>
      </c>
      <c r="K153" t="s">
        <v>225</v>
      </c>
      <c r="L153" t="s">
        <v>265</v>
      </c>
      <c r="M153" t="s">
        <v>3330</v>
      </c>
      <c r="N153" t="s">
        <v>3331</v>
      </c>
      <c r="O153" t="s">
        <v>3332</v>
      </c>
      <c r="P153" t="s">
        <v>3333</v>
      </c>
      <c r="Q153" t="s">
        <v>3334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25">
      <c r="A154">
        <v>340</v>
      </c>
      <c r="B154" t="s">
        <v>3335</v>
      </c>
      <c r="C154" t="s">
        <v>3336</v>
      </c>
      <c r="D154" t="s">
        <v>3337</v>
      </c>
      <c r="E154" t="s">
        <v>53</v>
      </c>
      <c r="F154" s="7">
        <v>9540</v>
      </c>
      <c r="G154" t="s">
        <v>247</v>
      </c>
      <c r="H154" t="s">
        <v>3338</v>
      </c>
      <c r="I154" t="s">
        <v>211</v>
      </c>
      <c r="J154" t="s">
        <v>3728</v>
      </c>
      <c r="K154" t="s">
        <v>225</v>
      </c>
      <c r="L154" t="s">
        <v>265</v>
      </c>
      <c r="M154" t="s">
        <v>3339</v>
      </c>
      <c r="N154" t="s">
        <v>3340</v>
      </c>
      <c r="O154" t="s">
        <v>3341</v>
      </c>
      <c r="P154" t="s">
        <v>3342</v>
      </c>
      <c r="Q154" t="s">
        <v>3343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25">
      <c r="A155">
        <v>341</v>
      </c>
      <c r="B155" t="s">
        <v>3344</v>
      </c>
      <c r="C155" t="s">
        <v>3345</v>
      </c>
      <c r="D155" t="s">
        <v>3346</v>
      </c>
      <c r="E155" t="s">
        <v>53</v>
      </c>
      <c r="F155" s="7">
        <v>9785</v>
      </c>
      <c r="G155" t="s">
        <v>257</v>
      </c>
      <c r="H155" t="s">
        <v>3347</v>
      </c>
      <c r="I155" t="s">
        <v>216</v>
      </c>
      <c r="J155" t="s">
        <v>3728</v>
      </c>
      <c r="K155" t="s">
        <v>225</v>
      </c>
      <c r="L155" t="s">
        <v>265</v>
      </c>
      <c r="M155" t="s">
        <v>3348</v>
      </c>
      <c r="N155" t="s">
        <v>3349</v>
      </c>
      <c r="O155" t="s">
        <v>3350</v>
      </c>
      <c r="P155" t="s">
        <v>3351</v>
      </c>
      <c r="Q155" t="s">
        <v>3352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25">
      <c r="A156">
        <v>342</v>
      </c>
      <c r="B156" t="s">
        <v>298</v>
      </c>
      <c r="C156" t="s">
        <v>299</v>
      </c>
      <c r="D156" t="s">
        <v>3353</v>
      </c>
      <c r="E156" t="s">
        <v>53</v>
      </c>
      <c r="F156" s="7">
        <v>26847</v>
      </c>
      <c r="G156" t="s">
        <v>245</v>
      </c>
      <c r="H156" t="s">
        <v>3354</v>
      </c>
      <c r="I156" t="s">
        <v>222</v>
      </c>
      <c r="J156" t="s">
        <v>3728</v>
      </c>
      <c r="K156" t="s">
        <v>225</v>
      </c>
      <c r="L156" t="s">
        <v>265</v>
      </c>
      <c r="M156" t="s">
        <v>3355</v>
      </c>
      <c r="N156" t="s">
        <v>3356</v>
      </c>
      <c r="O156" t="s">
        <v>3357</v>
      </c>
      <c r="P156" t="s">
        <v>3358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25">
      <c r="A157">
        <v>343</v>
      </c>
      <c r="B157" t="s">
        <v>3359</v>
      </c>
      <c r="C157" t="s">
        <v>3360</v>
      </c>
      <c r="D157" t="s">
        <v>3361</v>
      </c>
      <c r="E157" t="s">
        <v>53</v>
      </c>
      <c r="F157" s="7">
        <v>44029</v>
      </c>
      <c r="G157" t="s">
        <v>241</v>
      </c>
      <c r="H157" t="s">
        <v>3362</v>
      </c>
      <c r="I157" t="s">
        <v>211</v>
      </c>
      <c r="J157" t="s">
        <v>3728</v>
      </c>
      <c r="K157" t="s">
        <v>225</v>
      </c>
      <c r="L157" t="s">
        <v>265</v>
      </c>
      <c r="M157" t="s">
        <v>3363</v>
      </c>
      <c r="N157" t="s">
        <v>3364</v>
      </c>
      <c r="O157" t="s">
        <v>3365</v>
      </c>
      <c r="P157" t="s">
        <v>3366</v>
      </c>
      <c r="Q157" t="s">
        <v>3367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25">
      <c r="A158">
        <v>344</v>
      </c>
      <c r="B158" t="s">
        <v>3368</v>
      </c>
      <c r="C158" t="s">
        <v>3369</v>
      </c>
      <c r="D158" t="s">
        <v>3370</v>
      </c>
      <c r="E158" t="s">
        <v>66</v>
      </c>
      <c r="F158" s="7">
        <v>11043</v>
      </c>
      <c r="G158" t="s">
        <v>243</v>
      </c>
      <c r="H158" t="s">
        <v>3371</v>
      </c>
      <c r="I158" t="s">
        <v>210</v>
      </c>
      <c r="J158" t="s">
        <v>3728</v>
      </c>
      <c r="K158" t="s">
        <v>225</v>
      </c>
      <c r="L158" t="s">
        <v>265</v>
      </c>
      <c r="M158" t="s">
        <v>3372</v>
      </c>
      <c r="N158" t="s">
        <v>3373</v>
      </c>
      <c r="O158" t="s">
        <v>3374</v>
      </c>
      <c r="P158" t="s">
        <v>3375</v>
      </c>
      <c r="Q158" t="s">
        <v>3376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25">
      <c r="A159">
        <v>345</v>
      </c>
      <c r="B159" t="s">
        <v>309</v>
      </c>
      <c r="C159" t="s">
        <v>310</v>
      </c>
      <c r="D159" t="s">
        <v>3377</v>
      </c>
      <c r="E159" t="s">
        <v>53</v>
      </c>
      <c r="F159" s="7">
        <v>28184</v>
      </c>
      <c r="G159" t="s">
        <v>257</v>
      </c>
      <c r="H159" t="s">
        <v>3378</v>
      </c>
      <c r="I159" t="s">
        <v>213</v>
      </c>
      <c r="J159" t="s">
        <v>3728</v>
      </c>
      <c r="K159" t="s">
        <v>225</v>
      </c>
      <c r="L159" t="s">
        <v>265</v>
      </c>
      <c r="M159" t="s">
        <v>3379</v>
      </c>
      <c r="N159" t="s">
        <v>3380</v>
      </c>
      <c r="O159" t="s">
        <v>3381</v>
      </c>
      <c r="P159" t="s">
        <v>3382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25">
      <c r="A160">
        <v>346</v>
      </c>
      <c r="B160" t="s">
        <v>3383</v>
      </c>
      <c r="C160" t="s">
        <v>3384</v>
      </c>
      <c r="D160" t="s">
        <v>3385</v>
      </c>
      <c r="E160" t="s">
        <v>66</v>
      </c>
      <c r="F160" s="7">
        <v>20148</v>
      </c>
      <c r="G160" t="s">
        <v>229</v>
      </c>
      <c r="H160" t="s">
        <v>3386</v>
      </c>
      <c r="I160" t="s">
        <v>202</v>
      </c>
      <c r="J160" t="s">
        <v>3728</v>
      </c>
      <c r="K160" t="s">
        <v>225</v>
      </c>
      <c r="L160" t="s">
        <v>265</v>
      </c>
      <c r="M160" t="s">
        <v>3387</v>
      </c>
      <c r="N160" t="s">
        <v>3388</v>
      </c>
      <c r="O160" t="s">
        <v>3389</v>
      </c>
      <c r="P160" t="s">
        <v>3390</v>
      </c>
      <c r="Q160" t="s">
        <v>3391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25">
      <c r="A161">
        <v>347</v>
      </c>
      <c r="B161" t="s">
        <v>307</v>
      </c>
      <c r="C161" t="s">
        <v>308</v>
      </c>
      <c r="D161" t="s">
        <v>3392</v>
      </c>
      <c r="E161" t="s">
        <v>53</v>
      </c>
      <c r="F161" s="7">
        <v>40822</v>
      </c>
      <c r="G161" t="s">
        <v>253</v>
      </c>
      <c r="H161" t="s">
        <v>3393</v>
      </c>
      <c r="I161" t="s">
        <v>211</v>
      </c>
      <c r="J161" t="s">
        <v>3728</v>
      </c>
      <c r="K161" t="s">
        <v>225</v>
      </c>
      <c r="L161" t="s">
        <v>265</v>
      </c>
      <c r="M161" t="s">
        <v>3394</v>
      </c>
      <c r="N161" t="s">
        <v>3395</v>
      </c>
      <c r="O161" t="s">
        <v>3396</v>
      </c>
      <c r="P161" t="s">
        <v>3397</v>
      </c>
      <c r="Q161" t="s">
        <v>3398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25">
      <c r="A162">
        <v>348</v>
      </c>
      <c r="B162" t="s">
        <v>3399</v>
      </c>
      <c r="C162" t="s">
        <v>3400</v>
      </c>
      <c r="D162" t="s">
        <v>3401</v>
      </c>
      <c r="E162" t="s">
        <v>53</v>
      </c>
      <c r="F162" s="7">
        <v>24061</v>
      </c>
      <c r="G162" t="s">
        <v>244</v>
      </c>
      <c r="H162" t="s">
        <v>3402</v>
      </c>
      <c r="I162" t="s">
        <v>211</v>
      </c>
      <c r="J162" t="s">
        <v>3728</v>
      </c>
      <c r="K162" t="s">
        <v>225</v>
      </c>
      <c r="L162" t="s">
        <v>265</v>
      </c>
      <c r="M162" t="s">
        <v>3403</v>
      </c>
      <c r="N162" t="s">
        <v>3404</v>
      </c>
      <c r="O162" t="s">
        <v>3405</v>
      </c>
      <c r="P162" t="s">
        <v>3406</v>
      </c>
      <c r="Q162" t="s">
        <v>3407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25">
      <c r="A163">
        <v>349</v>
      </c>
      <c r="B163" t="s">
        <v>3408</v>
      </c>
      <c r="C163" t="s">
        <v>3409</v>
      </c>
      <c r="D163" t="s">
        <v>3410</v>
      </c>
      <c r="E163" t="s">
        <v>66</v>
      </c>
      <c r="F163" s="7">
        <v>29777</v>
      </c>
      <c r="G163" t="s">
        <v>262</v>
      </c>
      <c r="H163" t="s">
        <v>3411</v>
      </c>
      <c r="I163" t="s">
        <v>211</v>
      </c>
      <c r="J163" t="s">
        <v>3728</v>
      </c>
      <c r="K163" t="s">
        <v>225</v>
      </c>
      <c r="L163" t="s">
        <v>265</v>
      </c>
      <c r="M163" t="s">
        <v>3412</v>
      </c>
      <c r="N163" t="s">
        <v>3413</v>
      </c>
      <c r="O163" t="s">
        <v>3414</v>
      </c>
      <c r="P163" t="s">
        <v>3415</v>
      </c>
      <c r="Q163" t="s">
        <v>3416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25">
      <c r="A164">
        <v>350</v>
      </c>
      <c r="B164" t="s">
        <v>3417</v>
      </c>
      <c r="C164" t="s">
        <v>3418</v>
      </c>
      <c r="D164" t="s">
        <v>3419</v>
      </c>
      <c r="E164" t="s">
        <v>66</v>
      </c>
      <c r="F164" s="7">
        <v>22302</v>
      </c>
      <c r="G164" t="s">
        <v>262</v>
      </c>
      <c r="H164" t="s">
        <v>3420</v>
      </c>
      <c r="I164" t="s">
        <v>202</v>
      </c>
      <c r="J164" t="s">
        <v>3728</v>
      </c>
      <c r="K164" t="s">
        <v>225</v>
      </c>
      <c r="L164" t="s">
        <v>265</v>
      </c>
      <c r="M164" t="s">
        <v>3421</v>
      </c>
      <c r="N164" t="s">
        <v>3422</v>
      </c>
      <c r="O164" t="s">
        <v>3423</v>
      </c>
      <c r="P164" t="s">
        <v>3424</v>
      </c>
      <c r="Q164" t="s">
        <v>3425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25">
      <c r="A165">
        <v>351</v>
      </c>
      <c r="B165" t="s">
        <v>312</v>
      </c>
      <c r="C165" t="s">
        <v>313</v>
      </c>
      <c r="D165" t="s">
        <v>3426</v>
      </c>
      <c r="E165" t="s">
        <v>66</v>
      </c>
      <c r="F165" s="7">
        <v>44419</v>
      </c>
      <c r="G165" t="s">
        <v>262</v>
      </c>
      <c r="H165" t="s">
        <v>3427</v>
      </c>
      <c r="I165" t="s">
        <v>211</v>
      </c>
      <c r="J165" t="s">
        <v>3728</v>
      </c>
      <c r="K165" t="s">
        <v>225</v>
      </c>
      <c r="L165" t="s">
        <v>265</v>
      </c>
      <c r="M165" t="s">
        <v>3428</v>
      </c>
      <c r="N165" t="s">
        <v>3429</v>
      </c>
      <c r="O165" t="s">
        <v>3430</v>
      </c>
      <c r="P165" t="s">
        <v>3431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25">
      <c r="A166">
        <v>352</v>
      </c>
      <c r="B166" t="s">
        <v>288</v>
      </c>
      <c r="C166" t="s">
        <v>289</v>
      </c>
      <c r="D166" t="s">
        <v>3432</v>
      </c>
      <c r="E166" t="s">
        <v>66</v>
      </c>
      <c r="F166" s="7">
        <v>11307</v>
      </c>
      <c r="G166" t="s">
        <v>227</v>
      </c>
      <c r="H166" t="s">
        <v>3433</v>
      </c>
      <c r="I166" t="s">
        <v>217</v>
      </c>
      <c r="J166" t="s">
        <v>3728</v>
      </c>
      <c r="K166" t="s">
        <v>225</v>
      </c>
      <c r="L166" t="s">
        <v>265</v>
      </c>
      <c r="M166" t="s">
        <v>3434</v>
      </c>
      <c r="N166" t="s">
        <v>3435</v>
      </c>
      <c r="O166" t="s">
        <v>3436</v>
      </c>
      <c r="P166" t="s">
        <v>3437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25">
      <c r="A167">
        <v>353</v>
      </c>
      <c r="B167" t="s">
        <v>3438</v>
      </c>
      <c r="C167" t="s">
        <v>3439</v>
      </c>
      <c r="D167" t="s">
        <v>3440</v>
      </c>
      <c r="E167" t="s">
        <v>66</v>
      </c>
      <c r="F167" s="7">
        <v>31637</v>
      </c>
      <c r="G167" t="s">
        <v>259</v>
      </c>
      <c r="H167" t="s">
        <v>3441</v>
      </c>
      <c r="I167" t="s">
        <v>206</v>
      </c>
      <c r="J167" t="s">
        <v>3728</v>
      </c>
      <c r="K167" t="s">
        <v>225</v>
      </c>
      <c r="L167" t="s">
        <v>265</v>
      </c>
      <c r="M167" t="s">
        <v>3442</v>
      </c>
      <c r="N167" t="s">
        <v>3443</v>
      </c>
      <c r="O167" t="s">
        <v>3444</v>
      </c>
      <c r="P167" t="s">
        <v>3445</v>
      </c>
      <c r="Q167" t="s">
        <v>3446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25">
      <c r="A168">
        <v>354</v>
      </c>
      <c r="B168" t="s">
        <v>3447</v>
      </c>
      <c r="C168" t="s">
        <v>3448</v>
      </c>
      <c r="D168" t="s">
        <v>3449</v>
      </c>
      <c r="E168" t="s">
        <v>53</v>
      </c>
      <c r="F168" s="7">
        <v>42520</v>
      </c>
      <c r="G168" t="s">
        <v>233</v>
      </c>
      <c r="H168" t="s">
        <v>3450</v>
      </c>
      <c r="I168" t="s">
        <v>201</v>
      </c>
      <c r="J168" t="s">
        <v>3728</v>
      </c>
      <c r="K168" t="s">
        <v>225</v>
      </c>
      <c r="L168" t="s">
        <v>265</v>
      </c>
      <c r="M168" t="s">
        <v>3451</v>
      </c>
      <c r="N168" t="s">
        <v>3452</v>
      </c>
      <c r="O168" t="s">
        <v>3453</v>
      </c>
      <c r="P168" t="s">
        <v>3454</v>
      </c>
      <c r="Q168" t="s">
        <v>3455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25">
      <c r="A169">
        <v>355</v>
      </c>
      <c r="B169" t="s">
        <v>2943</v>
      </c>
      <c r="C169" t="s">
        <v>2944</v>
      </c>
      <c r="D169" t="s">
        <v>3456</v>
      </c>
      <c r="E169" t="s">
        <v>53</v>
      </c>
      <c r="F169" s="7">
        <v>37371</v>
      </c>
      <c r="G169" t="s">
        <v>247</v>
      </c>
      <c r="H169" t="s">
        <v>3457</v>
      </c>
      <c r="I169" t="s">
        <v>210</v>
      </c>
      <c r="J169" t="s">
        <v>3728</v>
      </c>
      <c r="K169" t="s">
        <v>225</v>
      </c>
      <c r="L169" t="s">
        <v>265</v>
      </c>
      <c r="M169" t="s">
        <v>3458</v>
      </c>
      <c r="N169" t="s">
        <v>3459</v>
      </c>
      <c r="O169" t="s">
        <v>3460</v>
      </c>
      <c r="P169" t="s">
        <v>3461</v>
      </c>
      <c r="Q169" t="s">
        <v>3462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25">
      <c r="A170">
        <v>356</v>
      </c>
      <c r="B170" t="s">
        <v>3463</v>
      </c>
      <c r="C170" t="s">
        <v>3464</v>
      </c>
      <c r="D170" t="s">
        <v>3465</v>
      </c>
      <c r="E170" t="s">
        <v>53</v>
      </c>
      <c r="F170" s="7">
        <v>19794</v>
      </c>
      <c r="G170" t="s">
        <v>233</v>
      </c>
      <c r="H170" t="s">
        <v>3466</v>
      </c>
      <c r="I170" t="s">
        <v>213</v>
      </c>
      <c r="J170" t="s">
        <v>3728</v>
      </c>
      <c r="K170" t="s">
        <v>225</v>
      </c>
      <c r="L170" t="s">
        <v>265</v>
      </c>
      <c r="M170" t="s">
        <v>3467</v>
      </c>
      <c r="N170" t="s">
        <v>3468</v>
      </c>
      <c r="O170" t="s">
        <v>3469</v>
      </c>
      <c r="P170" t="s">
        <v>3470</v>
      </c>
      <c r="Q170" t="s">
        <v>3471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25">
      <c r="A171">
        <v>357</v>
      </c>
      <c r="B171" t="s">
        <v>3472</v>
      </c>
      <c r="C171" t="s">
        <v>3473</v>
      </c>
      <c r="D171" t="s">
        <v>3474</v>
      </c>
      <c r="E171" t="s">
        <v>66</v>
      </c>
      <c r="F171" s="7">
        <v>18245</v>
      </c>
      <c r="G171" t="s">
        <v>259</v>
      </c>
      <c r="H171" t="s">
        <v>3475</v>
      </c>
      <c r="I171" t="s">
        <v>222</v>
      </c>
      <c r="J171" t="s">
        <v>3728</v>
      </c>
      <c r="K171" t="s">
        <v>225</v>
      </c>
      <c r="L171" t="s">
        <v>265</v>
      </c>
      <c r="M171" t="s">
        <v>3476</v>
      </c>
      <c r="N171" t="s">
        <v>3477</v>
      </c>
      <c r="O171" t="s">
        <v>3478</v>
      </c>
      <c r="P171" t="s">
        <v>3479</v>
      </c>
      <c r="Q171" t="s">
        <v>3480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25">
      <c r="A172">
        <v>358</v>
      </c>
      <c r="B172" t="s">
        <v>3481</v>
      </c>
      <c r="C172" t="s">
        <v>3482</v>
      </c>
      <c r="D172" t="s">
        <v>3483</v>
      </c>
      <c r="E172" t="s">
        <v>66</v>
      </c>
      <c r="F172" s="7">
        <v>36726</v>
      </c>
      <c r="G172" t="s">
        <v>248</v>
      </c>
      <c r="H172" t="s">
        <v>3484</v>
      </c>
      <c r="I172" t="s">
        <v>223</v>
      </c>
      <c r="J172" t="s">
        <v>3728</v>
      </c>
      <c r="K172" t="s">
        <v>225</v>
      </c>
      <c r="L172" t="s">
        <v>265</v>
      </c>
      <c r="M172" t="s">
        <v>3485</v>
      </c>
      <c r="N172" t="s">
        <v>3486</v>
      </c>
      <c r="O172" t="s">
        <v>3487</v>
      </c>
      <c r="P172" t="s">
        <v>3488</v>
      </c>
      <c r="Q172" t="s">
        <v>3489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25">
      <c r="A173">
        <v>359</v>
      </c>
      <c r="B173" t="s">
        <v>3207</v>
      </c>
      <c r="C173" t="s">
        <v>3208</v>
      </c>
      <c r="D173" t="s">
        <v>3490</v>
      </c>
      <c r="E173" t="s">
        <v>66</v>
      </c>
      <c r="F173" s="7">
        <v>21504</v>
      </c>
      <c r="G173" t="s">
        <v>237</v>
      </c>
      <c r="H173" t="s">
        <v>3491</v>
      </c>
      <c r="I173" t="s">
        <v>205</v>
      </c>
      <c r="J173" t="s">
        <v>3728</v>
      </c>
      <c r="K173" t="s">
        <v>225</v>
      </c>
      <c r="L173" t="s">
        <v>265</v>
      </c>
      <c r="M173" t="s">
        <v>3492</v>
      </c>
      <c r="N173" t="s">
        <v>3493</v>
      </c>
      <c r="O173" t="s">
        <v>3494</v>
      </c>
      <c r="P173" t="s">
        <v>3495</v>
      </c>
      <c r="Q173" t="s">
        <v>3496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25">
      <c r="A174">
        <v>360</v>
      </c>
      <c r="B174" t="s">
        <v>3497</v>
      </c>
      <c r="C174" t="s">
        <v>3498</v>
      </c>
      <c r="D174" t="s">
        <v>3499</v>
      </c>
      <c r="E174" t="s">
        <v>66</v>
      </c>
      <c r="F174" s="7">
        <v>20070</v>
      </c>
      <c r="G174" t="s">
        <v>232</v>
      </c>
      <c r="H174" t="s">
        <v>3500</v>
      </c>
      <c r="I174" t="s">
        <v>210</v>
      </c>
      <c r="J174" t="s">
        <v>3728</v>
      </c>
      <c r="K174" t="s">
        <v>225</v>
      </c>
      <c r="L174" t="s">
        <v>265</v>
      </c>
      <c r="M174" t="s">
        <v>3501</v>
      </c>
      <c r="N174" t="s">
        <v>3502</v>
      </c>
      <c r="O174" t="s">
        <v>3503</v>
      </c>
      <c r="P174" t="s">
        <v>3504</v>
      </c>
      <c r="Q174" t="s">
        <v>3505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25">
      <c r="A175">
        <v>361</v>
      </c>
      <c r="B175" t="s">
        <v>3506</v>
      </c>
      <c r="C175" t="s">
        <v>3507</v>
      </c>
      <c r="D175" t="s">
        <v>3508</v>
      </c>
      <c r="E175" t="s">
        <v>53</v>
      </c>
      <c r="F175" s="7">
        <v>24653</v>
      </c>
      <c r="G175" t="s">
        <v>256</v>
      </c>
      <c r="H175" t="s">
        <v>3509</v>
      </c>
      <c r="I175" t="s">
        <v>223</v>
      </c>
      <c r="J175" t="s">
        <v>3728</v>
      </c>
      <c r="K175" t="s">
        <v>225</v>
      </c>
      <c r="L175" t="s">
        <v>265</v>
      </c>
      <c r="M175" t="s">
        <v>3510</v>
      </c>
      <c r="N175" t="s">
        <v>3511</v>
      </c>
      <c r="O175" t="s">
        <v>3512</v>
      </c>
      <c r="P175" t="s">
        <v>3513</v>
      </c>
      <c r="Q175" t="s">
        <v>3514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25">
      <c r="A176">
        <v>362</v>
      </c>
      <c r="B176" t="s">
        <v>2721</v>
      </c>
      <c r="C176" t="s">
        <v>2722</v>
      </c>
      <c r="D176" t="s">
        <v>3515</v>
      </c>
      <c r="E176" t="s">
        <v>53</v>
      </c>
      <c r="F176" s="7">
        <v>43783</v>
      </c>
      <c r="G176" t="s">
        <v>246</v>
      </c>
      <c r="H176" t="s">
        <v>3516</v>
      </c>
      <c r="I176" t="s">
        <v>211</v>
      </c>
      <c r="J176" t="s">
        <v>3728</v>
      </c>
      <c r="K176" t="s">
        <v>225</v>
      </c>
      <c r="L176" t="s">
        <v>265</v>
      </c>
      <c r="M176" t="s">
        <v>3517</v>
      </c>
      <c r="N176" t="s">
        <v>3518</v>
      </c>
      <c r="O176" t="s">
        <v>3519</v>
      </c>
      <c r="P176" t="s">
        <v>3520</v>
      </c>
      <c r="Q176" t="s">
        <v>3521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25">
      <c r="A177">
        <v>363</v>
      </c>
      <c r="B177" t="s">
        <v>3522</v>
      </c>
      <c r="C177" t="s">
        <v>3523</v>
      </c>
      <c r="D177" t="s">
        <v>3524</v>
      </c>
      <c r="E177" t="s">
        <v>53</v>
      </c>
      <c r="F177" s="7">
        <v>36076</v>
      </c>
      <c r="G177" t="s">
        <v>226</v>
      </c>
      <c r="H177" t="s">
        <v>3525</v>
      </c>
      <c r="I177" t="s">
        <v>211</v>
      </c>
      <c r="J177" t="s">
        <v>3728</v>
      </c>
      <c r="K177" t="s">
        <v>225</v>
      </c>
      <c r="L177" t="s">
        <v>265</v>
      </c>
      <c r="M177" t="s">
        <v>3526</v>
      </c>
      <c r="N177" t="s">
        <v>3527</v>
      </c>
      <c r="O177" t="s">
        <v>3528</v>
      </c>
      <c r="P177" t="s">
        <v>3529</v>
      </c>
      <c r="Q177" t="s">
        <v>3530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25">
      <c r="A178">
        <v>364</v>
      </c>
      <c r="B178" t="s">
        <v>3531</v>
      </c>
      <c r="C178" t="s">
        <v>3532</v>
      </c>
      <c r="D178" t="s">
        <v>3533</v>
      </c>
      <c r="E178" t="s">
        <v>66</v>
      </c>
      <c r="F178" s="7">
        <v>25872</v>
      </c>
      <c r="G178" t="s">
        <v>257</v>
      </c>
      <c r="H178" t="s">
        <v>3534</v>
      </c>
      <c r="I178" t="s">
        <v>207</v>
      </c>
      <c r="J178" t="s">
        <v>3728</v>
      </c>
      <c r="K178" t="s">
        <v>225</v>
      </c>
      <c r="L178" t="s">
        <v>265</v>
      </c>
      <c r="M178" t="s">
        <v>3535</v>
      </c>
      <c r="N178" t="s">
        <v>3536</v>
      </c>
      <c r="O178" t="s">
        <v>3537</v>
      </c>
      <c r="P178" t="s">
        <v>3538</v>
      </c>
      <c r="Q178" t="s">
        <v>3539</v>
      </c>
      <c r="R178" s="3" t="s">
        <v>3733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25">
      <c r="A179">
        <v>365</v>
      </c>
      <c r="B179" t="s">
        <v>3540</v>
      </c>
      <c r="C179" t="s">
        <v>3541</v>
      </c>
      <c r="D179" t="s">
        <v>3542</v>
      </c>
      <c r="E179" t="s">
        <v>53</v>
      </c>
      <c r="F179" s="7">
        <v>30608</v>
      </c>
      <c r="G179" t="s">
        <v>236</v>
      </c>
      <c r="H179" t="s">
        <v>3543</v>
      </c>
      <c r="I179" t="s">
        <v>213</v>
      </c>
      <c r="J179" t="s">
        <v>3728</v>
      </c>
      <c r="K179" t="s">
        <v>225</v>
      </c>
      <c r="L179" t="s">
        <v>265</v>
      </c>
      <c r="M179" t="s">
        <v>3544</v>
      </c>
      <c r="N179" t="s">
        <v>3545</v>
      </c>
      <c r="O179" t="s">
        <v>3546</v>
      </c>
      <c r="P179" t="s">
        <v>3547</v>
      </c>
      <c r="Q179" t="s">
        <v>3548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25">
      <c r="A180">
        <v>366</v>
      </c>
      <c r="B180" t="s">
        <v>3549</v>
      </c>
      <c r="C180" t="s">
        <v>3550</v>
      </c>
      <c r="D180" t="s">
        <v>3551</v>
      </c>
      <c r="E180" t="s">
        <v>53</v>
      </c>
      <c r="F180" s="7">
        <v>22927</v>
      </c>
      <c r="G180" t="s">
        <v>241</v>
      </c>
      <c r="H180" t="s">
        <v>3552</v>
      </c>
      <c r="I180" t="s">
        <v>211</v>
      </c>
      <c r="J180" t="s">
        <v>3728</v>
      </c>
      <c r="K180" t="s">
        <v>225</v>
      </c>
      <c r="L180" t="s">
        <v>265</v>
      </c>
      <c r="M180" t="s">
        <v>3553</v>
      </c>
      <c r="N180" t="s">
        <v>3554</v>
      </c>
      <c r="O180" t="s">
        <v>3555</v>
      </c>
      <c r="P180" t="s">
        <v>3556</v>
      </c>
      <c r="Q180" t="s">
        <v>3557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25">
      <c r="A181">
        <v>367</v>
      </c>
      <c r="B181" t="s">
        <v>318</v>
      </c>
      <c r="C181" t="s">
        <v>319</v>
      </c>
      <c r="D181" t="s">
        <v>3558</v>
      </c>
      <c r="E181" t="s">
        <v>66</v>
      </c>
      <c r="F181" s="7">
        <v>42761</v>
      </c>
      <c r="G181" t="s">
        <v>229</v>
      </c>
      <c r="H181" t="s">
        <v>3559</v>
      </c>
      <c r="I181" t="s">
        <v>217</v>
      </c>
      <c r="J181" t="s">
        <v>3728</v>
      </c>
      <c r="K181" t="s">
        <v>225</v>
      </c>
      <c r="L181" t="s">
        <v>265</v>
      </c>
      <c r="M181" t="s">
        <v>3560</v>
      </c>
      <c r="N181" t="s">
        <v>3561</v>
      </c>
      <c r="O181" t="s">
        <v>3562</v>
      </c>
      <c r="P181" t="s">
        <v>3563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25">
      <c r="A182">
        <v>368</v>
      </c>
      <c r="B182" t="s">
        <v>3564</v>
      </c>
      <c r="C182" t="s">
        <v>3565</v>
      </c>
      <c r="D182" t="s">
        <v>3566</v>
      </c>
      <c r="E182" t="s">
        <v>53</v>
      </c>
      <c r="F182" s="7">
        <v>13720</v>
      </c>
      <c r="G182" t="s">
        <v>242</v>
      </c>
      <c r="H182" t="s">
        <v>3567</v>
      </c>
      <c r="I182" t="s">
        <v>209</v>
      </c>
      <c r="J182" t="s">
        <v>3728</v>
      </c>
      <c r="K182" t="s">
        <v>225</v>
      </c>
      <c r="L182" t="s">
        <v>265</v>
      </c>
      <c r="M182" t="s">
        <v>3568</v>
      </c>
      <c r="N182" t="s">
        <v>3569</v>
      </c>
      <c r="O182" t="s">
        <v>3570</v>
      </c>
      <c r="P182" t="s">
        <v>3571</v>
      </c>
      <c r="Q182" t="s">
        <v>3572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25">
      <c r="A183">
        <v>369</v>
      </c>
      <c r="B183" t="s">
        <v>3573</v>
      </c>
      <c r="C183" t="s">
        <v>3574</v>
      </c>
      <c r="D183" t="s">
        <v>3575</v>
      </c>
      <c r="E183" t="s">
        <v>53</v>
      </c>
      <c r="F183" s="7">
        <v>31325</v>
      </c>
      <c r="G183" t="s">
        <v>250</v>
      </c>
      <c r="H183" t="s">
        <v>3576</v>
      </c>
      <c r="I183" t="s">
        <v>211</v>
      </c>
      <c r="J183" t="s">
        <v>3728</v>
      </c>
      <c r="K183" t="s">
        <v>225</v>
      </c>
      <c r="L183" t="s">
        <v>265</v>
      </c>
      <c r="M183" t="s">
        <v>3577</v>
      </c>
      <c r="N183" t="s">
        <v>3578</v>
      </c>
      <c r="O183" t="s">
        <v>3579</v>
      </c>
      <c r="P183" t="s">
        <v>3580</v>
      </c>
      <c r="Q183" t="s">
        <v>3581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25">
      <c r="A184">
        <v>370</v>
      </c>
      <c r="B184" t="s">
        <v>2103</v>
      </c>
      <c r="C184" t="s">
        <v>2104</v>
      </c>
      <c r="D184" t="s">
        <v>3582</v>
      </c>
      <c r="E184" t="s">
        <v>66</v>
      </c>
      <c r="F184" s="7">
        <v>21600</v>
      </c>
      <c r="G184" t="s">
        <v>234</v>
      </c>
      <c r="H184" t="s">
        <v>3583</v>
      </c>
      <c r="I184" t="s">
        <v>209</v>
      </c>
      <c r="J184" t="s">
        <v>3728</v>
      </c>
      <c r="K184" t="s">
        <v>225</v>
      </c>
      <c r="L184" t="s">
        <v>265</v>
      </c>
      <c r="M184" t="s">
        <v>3584</v>
      </c>
      <c r="N184" t="s">
        <v>3585</v>
      </c>
      <c r="O184" t="s">
        <v>3586</v>
      </c>
      <c r="P184" t="s">
        <v>3587</v>
      </c>
      <c r="Q184" t="s">
        <v>3588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25">
      <c r="A185">
        <v>371</v>
      </c>
      <c r="B185" t="s">
        <v>3589</v>
      </c>
      <c r="C185" t="s">
        <v>3590</v>
      </c>
      <c r="D185" t="s">
        <v>3591</v>
      </c>
      <c r="E185" t="s">
        <v>66</v>
      </c>
      <c r="F185" s="7">
        <v>42111</v>
      </c>
      <c r="G185" t="s">
        <v>235</v>
      </c>
      <c r="H185" t="s">
        <v>3592</v>
      </c>
      <c r="I185" t="s">
        <v>211</v>
      </c>
      <c r="J185" t="s">
        <v>3728</v>
      </c>
      <c r="K185" t="s">
        <v>225</v>
      </c>
      <c r="L185" t="s">
        <v>265</v>
      </c>
      <c r="M185" t="s">
        <v>3593</v>
      </c>
      <c r="N185" t="s">
        <v>3594</v>
      </c>
      <c r="O185" t="s">
        <v>3595</v>
      </c>
      <c r="P185" t="s">
        <v>3596</v>
      </c>
      <c r="Q185" t="s">
        <v>3597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25">
      <c r="A186">
        <v>372</v>
      </c>
      <c r="B186" t="s">
        <v>3598</v>
      </c>
      <c r="C186" t="s">
        <v>3599</v>
      </c>
      <c r="D186" t="s">
        <v>3600</v>
      </c>
      <c r="E186" t="s">
        <v>66</v>
      </c>
      <c r="F186" s="7">
        <v>30832</v>
      </c>
      <c r="G186" t="s">
        <v>259</v>
      </c>
      <c r="H186" t="s">
        <v>3601</v>
      </c>
      <c r="I186" t="s">
        <v>204</v>
      </c>
      <c r="J186" t="s">
        <v>3728</v>
      </c>
      <c r="K186" t="s">
        <v>225</v>
      </c>
      <c r="L186" t="s">
        <v>265</v>
      </c>
      <c r="M186" t="s">
        <v>3602</v>
      </c>
      <c r="N186" t="s">
        <v>3603</v>
      </c>
      <c r="O186" t="s">
        <v>3604</v>
      </c>
      <c r="P186" t="s">
        <v>3605</v>
      </c>
      <c r="Q186" t="s">
        <v>3606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25">
      <c r="A187">
        <v>373</v>
      </c>
      <c r="B187" t="s">
        <v>3607</v>
      </c>
      <c r="C187" t="s">
        <v>3608</v>
      </c>
      <c r="D187" t="s">
        <v>3609</v>
      </c>
      <c r="E187" t="s">
        <v>53</v>
      </c>
      <c r="F187" s="7">
        <v>39033</v>
      </c>
      <c r="G187" t="s">
        <v>230</v>
      </c>
      <c r="H187" t="s">
        <v>3610</v>
      </c>
      <c r="I187" t="s">
        <v>211</v>
      </c>
      <c r="J187" t="s">
        <v>3728</v>
      </c>
      <c r="K187" t="s">
        <v>225</v>
      </c>
      <c r="L187" t="s">
        <v>265</v>
      </c>
      <c r="M187" t="s">
        <v>3611</v>
      </c>
      <c r="N187" t="s">
        <v>3612</v>
      </c>
      <c r="O187" t="s">
        <v>3613</v>
      </c>
      <c r="P187" t="s">
        <v>3614</v>
      </c>
      <c r="Q187" t="s">
        <v>3615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25">
      <c r="A188">
        <v>374</v>
      </c>
      <c r="B188" t="s">
        <v>3616</v>
      </c>
      <c r="C188" t="s">
        <v>3617</v>
      </c>
      <c r="D188" t="s">
        <v>3618</v>
      </c>
      <c r="E188" t="s">
        <v>66</v>
      </c>
      <c r="F188" s="7">
        <v>27447</v>
      </c>
      <c r="G188" t="s">
        <v>251</v>
      </c>
      <c r="H188" t="s">
        <v>3619</v>
      </c>
      <c r="I188" t="s">
        <v>211</v>
      </c>
      <c r="J188" t="s">
        <v>3728</v>
      </c>
      <c r="K188" t="s">
        <v>225</v>
      </c>
      <c r="L188" t="s">
        <v>265</v>
      </c>
      <c r="M188" t="s">
        <v>3620</v>
      </c>
      <c r="N188" t="s">
        <v>3621</v>
      </c>
      <c r="O188" t="s">
        <v>3622</v>
      </c>
      <c r="P188" t="s">
        <v>3623</v>
      </c>
      <c r="Q188" t="s">
        <v>3624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25">
      <c r="A189">
        <v>375</v>
      </c>
      <c r="B189" t="s">
        <v>3625</v>
      </c>
      <c r="C189" t="s">
        <v>3626</v>
      </c>
      <c r="D189" t="s">
        <v>3627</v>
      </c>
      <c r="E189" t="s">
        <v>53</v>
      </c>
      <c r="F189" s="7">
        <v>19510</v>
      </c>
      <c r="G189" t="s">
        <v>244</v>
      </c>
      <c r="H189" t="s">
        <v>3628</v>
      </c>
      <c r="I189" t="s">
        <v>201</v>
      </c>
      <c r="J189" t="s">
        <v>3728</v>
      </c>
      <c r="K189" t="s">
        <v>225</v>
      </c>
      <c r="L189" t="s">
        <v>265</v>
      </c>
      <c r="M189" t="s">
        <v>3629</v>
      </c>
      <c r="N189" t="s">
        <v>3630</v>
      </c>
      <c r="O189" t="s">
        <v>3631</v>
      </c>
      <c r="P189" t="s">
        <v>3632</v>
      </c>
      <c r="Q189" t="s">
        <v>3633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25">
      <c r="A190">
        <v>376</v>
      </c>
      <c r="B190" t="s">
        <v>3634</v>
      </c>
      <c r="C190" t="s">
        <v>3635</v>
      </c>
      <c r="D190" t="s">
        <v>3636</v>
      </c>
      <c r="E190" t="s">
        <v>53</v>
      </c>
      <c r="F190" s="7">
        <v>35493</v>
      </c>
      <c r="G190" t="s">
        <v>260</v>
      </c>
      <c r="H190" t="s">
        <v>3637</v>
      </c>
      <c r="I190" t="s">
        <v>211</v>
      </c>
      <c r="J190" t="s">
        <v>3728</v>
      </c>
      <c r="K190" t="s">
        <v>225</v>
      </c>
      <c r="L190" t="s">
        <v>265</v>
      </c>
      <c r="M190" t="s">
        <v>3638</v>
      </c>
      <c r="N190" t="s">
        <v>3639</v>
      </c>
      <c r="O190" t="s">
        <v>3640</v>
      </c>
      <c r="P190" t="s">
        <v>3641</v>
      </c>
      <c r="Q190" t="s">
        <v>3642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25">
      <c r="A191">
        <v>377</v>
      </c>
      <c r="B191" t="s">
        <v>3643</v>
      </c>
      <c r="C191" t="s">
        <v>3644</v>
      </c>
      <c r="D191" t="s">
        <v>3645</v>
      </c>
      <c r="E191" t="s">
        <v>53</v>
      </c>
      <c r="F191" s="7">
        <v>40749</v>
      </c>
      <c r="G191" t="s">
        <v>234</v>
      </c>
      <c r="H191" t="s">
        <v>3646</v>
      </c>
      <c r="I191" t="s">
        <v>204</v>
      </c>
      <c r="J191" t="s">
        <v>3728</v>
      </c>
      <c r="K191" t="s">
        <v>225</v>
      </c>
      <c r="L191" t="s">
        <v>265</v>
      </c>
      <c r="M191" t="s">
        <v>3647</v>
      </c>
      <c r="N191" t="s">
        <v>3648</v>
      </c>
      <c r="O191" t="s">
        <v>3649</v>
      </c>
      <c r="P191" t="s">
        <v>3650</v>
      </c>
      <c r="Q191" t="s">
        <v>3651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25">
      <c r="A192">
        <v>378</v>
      </c>
      <c r="B192" t="s">
        <v>3652</v>
      </c>
      <c r="C192" t="s">
        <v>3653</v>
      </c>
      <c r="D192" t="s">
        <v>3654</v>
      </c>
      <c r="E192" t="s">
        <v>66</v>
      </c>
      <c r="F192" s="7">
        <v>14252</v>
      </c>
      <c r="G192" t="s">
        <v>229</v>
      </c>
      <c r="H192" t="s">
        <v>3655</v>
      </c>
      <c r="I192" t="s">
        <v>211</v>
      </c>
      <c r="J192" t="s">
        <v>3728</v>
      </c>
      <c r="K192" t="s">
        <v>225</v>
      </c>
      <c r="L192" t="s">
        <v>265</v>
      </c>
      <c r="M192" t="s">
        <v>3656</v>
      </c>
      <c r="N192" t="s">
        <v>3657</v>
      </c>
      <c r="O192" t="s">
        <v>3658</v>
      </c>
      <c r="P192" t="s">
        <v>3659</v>
      </c>
      <c r="Q192" t="s">
        <v>3660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25">
      <c r="A193">
        <v>379</v>
      </c>
      <c r="B193" t="s">
        <v>3661</v>
      </c>
      <c r="C193" t="s">
        <v>3662</v>
      </c>
      <c r="D193" t="s">
        <v>3663</v>
      </c>
      <c r="E193" t="s">
        <v>66</v>
      </c>
      <c r="F193" s="7">
        <v>31720</v>
      </c>
      <c r="G193" t="s">
        <v>231</v>
      </c>
      <c r="H193" t="s">
        <v>3664</v>
      </c>
      <c r="I193" t="s">
        <v>209</v>
      </c>
      <c r="J193" t="s">
        <v>3728</v>
      </c>
      <c r="K193" t="s">
        <v>225</v>
      </c>
      <c r="L193" t="s">
        <v>265</v>
      </c>
      <c r="M193" t="s">
        <v>3665</v>
      </c>
      <c r="N193" t="s">
        <v>3666</v>
      </c>
      <c r="O193" t="s">
        <v>3667</v>
      </c>
      <c r="P193" t="s">
        <v>3668</v>
      </c>
      <c r="Q193" t="s">
        <v>3669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25">
      <c r="A194">
        <v>380</v>
      </c>
      <c r="B194" t="s">
        <v>3670</v>
      </c>
      <c r="C194" t="s">
        <v>3671</v>
      </c>
      <c r="D194" t="s">
        <v>3672</v>
      </c>
      <c r="E194" t="s">
        <v>66</v>
      </c>
      <c r="F194" s="7">
        <v>32584</v>
      </c>
      <c r="G194" t="s">
        <v>250</v>
      </c>
      <c r="H194" t="s">
        <v>3673</v>
      </c>
      <c r="I194" t="s">
        <v>211</v>
      </c>
      <c r="J194" t="s">
        <v>3728</v>
      </c>
      <c r="K194" t="s">
        <v>225</v>
      </c>
      <c r="L194" t="s">
        <v>265</v>
      </c>
      <c r="M194" t="s">
        <v>3674</v>
      </c>
      <c r="N194" t="s">
        <v>3675</v>
      </c>
      <c r="O194" t="s">
        <v>3676</v>
      </c>
      <c r="P194" t="s">
        <v>3677</v>
      </c>
      <c r="Q194" t="s">
        <v>3678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25">
      <c r="A195">
        <v>381</v>
      </c>
      <c r="B195" t="s">
        <v>3679</v>
      </c>
      <c r="C195" t="s">
        <v>3680</v>
      </c>
      <c r="D195" t="s">
        <v>3681</v>
      </c>
      <c r="E195" t="s">
        <v>66</v>
      </c>
      <c r="F195" s="7">
        <v>23808</v>
      </c>
      <c r="G195" t="s">
        <v>262</v>
      </c>
      <c r="H195" t="s">
        <v>3682</v>
      </c>
      <c r="I195" t="s">
        <v>222</v>
      </c>
      <c r="J195" t="s">
        <v>3728</v>
      </c>
      <c r="K195" t="s">
        <v>225</v>
      </c>
      <c r="L195" t="s">
        <v>265</v>
      </c>
      <c r="M195" t="s">
        <v>3683</v>
      </c>
      <c r="N195" t="s">
        <v>3684</v>
      </c>
      <c r="O195" t="s">
        <v>3685</v>
      </c>
      <c r="P195" t="s">
        <v>3686</v>
      </c>
      <c r="Q195" t="s">
        <v>3687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25">
      <c r="A196">
        <v>382</v>
      </c>
      <c r="B196" t="s">
        <v>3688</v>
      </c>
      <c r="C196" t="s">
        <v>3689</v>
      </c>
      <c r="D196" t="s">
        <v>3690</v>
      </c>
      <c r="E196" t="s">
        <v>53</v>
      </c>
      <c r="F196" s="7">
        <v>38168</v>
      </c>
      <c r="G196" t="s">
        <v>248</v>
      </c>
      <c r="H196" t="s">
        <v>3691</v>
      </c>
      <c r="I196" t="s">
        <v>211</v>
      </c>
      <c r="J196" t="s">
        <v>3728</v>
      </c>
      <c r="K196" t="s">
        <v>225</v>
      </c>
      <c r="L196" t="s">
        <v>265</v>
      </c>
      <c r="M196" t="s">
        <v>3692</v>
      </c>
      <c r="N196" t="s">
        <v>3693</v>
      </c>
      <c r="O196" t="s">
        <v>3694</v>
      </c>
      <c r="P196" t="s">
        <v>3695</v>
      </c>
      <c r="Q196" t="s">
        <v>3696</v>
      </c>
      <c r="R196" t="str">
        <f t="shared" si="9"/>
        <v>user-male.jpg</v>
      </c>
      <c r="U196" t="str">
        <f t="shared" ref="U196:U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8" si="11">"(" &amp; A196 &amp;"),"</f>
        <v>(382),</v>
      </c>
    </row>
    <row r="197" spans="1:22" x14ac:dyDescent="0.25">
      <c r="A197">
        <v>383</v>
      </c>
      <c r="B197" t="s">
        <v>3697</v>
      </c>
      <c r="C197" t="s">
        <v>3698</v>
      </c>
      <c r="D197" t="s">
        <v>3699</v>
      </c>
      <c r="E197" t="s">
        <v>66</v>
      </c>
      <c r="F197" s="7">
        <v>44443</v>
      </c>
      <c r="G197" t="s">
        <v>261</v>
      </c>
      <c r="H197" t="s">
        <v>3700</v>
      </c>
      <c r="I197" t="s">
        <v>211</v>
      </c>
      <c r="J197" t="s">
        <v>3728</v>
      </c>
      <c r="K197" t="s">
        <v>225</v>
      </c>
      <c r="L197" t="s">
        <v>265</v>
      </c>
      <c r="M197" t="s">
        <v>3701</v>
      </c>
      <c r="N197" t="s">
        <v>3702</v>
      </c>
      <c r="O197" t="s">
        <v>3703</v>
      </c>
      <c r="P197" t="s">
        <v>3704</v>
      </c>
      <c r="Q197" t="s">
        <v>3705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25">
      <c r="A198">
        <v>384</v>
      </c>
      <c r="B198" t="s">
        <v>3706</v>
      </c>
      <c r="C198" t="s">
        <v>3707</v>
      </c>
      <c r="D198" t="s">
        <v>3708</v>
      </c>
      <c r="E198" t="s">
        <v>66</v>
      </c>
      <c r="F198" s="7">
        <v>14423</v>
      </c>
      <c r="G198" t="s">
        <v>239</v>
      </c>
      <c r="H198" t="s">
        <v>3709</v>
      </c>
      <c r="I198" t="s">
        <v>209</v>
      </c>
      <c r="J198" t="s">
        <v>3728</v>
      </c>
      <c r="K198" t="s">
        <v>225</v>
      </c>
      <c r="L198" t="s">
        <v>265</v>
      </c>
      <c r="M198" t="s">
        <v>3710</v>
      </c>
      <c r="N198" t="s">
        <v>3711</v>
      </c>
      <c r="O198" t="s">
        <v>3712</v>
      </c>
      <c r="P198" t="s">
        <v>3713</v>
      </c>
      <c r="Q198" t="s">
        <v>3714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25">
      <c r="A199">
        <v>385</v>
      </c>
      <c r="B199" t="s">
        <v>3715</v>
      </c>
      <c r="C199" t="s">
        <v>3716</v>
      </c>
      <c r="D199" t="s">
        <v>3717</v>
      </c>
      <c r="E199" t="s">
        <v>53</v>
      </c>
      <c r="F199" s="7">
        <v>12035</v>
      </c>
      <c r="G199" t="s">
        <v>236</v>
      </c>
      <c r="H199" t="s">
        <v>3718</v>
      </c>
      <c r="I199" t="s">
        <v>216</v>
      </c>
      <c r="J199" t="s">
        <v>3728</v>
      </c>
      <c r="K199" t="s">
        <v>225</v>
      </c>
      <c r="L199" t="s">
        <v>265</v>
      </c>
      <c r="M199" t="s">
        <v>3719</v>
      </c>
      <c r="N199" t="s">
        <v>3720</v>
      </c>
      <c r="O199" t="s">
        <v>3721</v>
      </c>
      <c r="P199" t="s">
        <v>3722</v>
      </c>
      <c r="Q199" t="s">
        <v>3723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topLeftCell="M1"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>Nomes!T3</f>
        <v>Matilde</v>
      </c>
      <c r="E2" t="str">
        <f>Nomes!S3</f>
        <v>Feminino</v>
      </c>
      <c r="F2" s="2">
        <f ca="1">DATE(AA2,AB2,AC2)</f>
        <v>21576</v>
      </c>
      <c r="G2" t="str" cm="1">
        <f t="array" aca="1" ref="G2" ca="1">INDEX(rua_cod!$F:$F,RANDBETWEEN(2,COUNTA(rua_cod!F:F)))</f>
        <v>Rua Nova do Almada</v>
      </c>
      <c r="H2" t="str" cm="1">
        <f t="array" aca="1" ref="H2" ca="1">INDEX(rua_cod!$A:$A,Médicos!X2) &amp; "-" &amp; TEXT(RANDBETWEEN(0,999),"000")</f>
        <v>2704-402</v>
      </c>
      <c r="I2" t="str" cm="1">
        <f t="array" aca="1" ref="I2" ca="1">INDEX(rua_cod!$B:$B,Médicos!X2)</f>
        <v>Amadora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44838921</v>
      </c>
      <c r="N2" t="str">
        <f ca="1">TEXT(RANDBETWEEN(100000000,999999999),"000000000")</f>
        <v>575550407</v>
      </c>
      <c r="O2" t="str">
        <f ca="1">TEXT(RANDBETWEEN(100000000,999999999),"000000000")</f>
        <v>208874719</v>
      </c>
      <c r="P2" t="str" cm="1">
        <f t="array" aca="1" ref="P2" ca="1">9 &amp; INDEX($AH$3:$AH$6,Y2)&amp; TEXT(RANDBETWEEN(0,9999999),"0000000")</f>
        <v>918782540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4210334089297667</v>
      </c>
      <c r="T2" t="s">
        <v>341</v>
      </c>
      <c r="V2" s="4"/>
      <c r="X2">
        <f ca="1">RANDBETWEEN(2,COUNTA(rua_cod!A:A))</f>
        <v>15</v>
      </c>
      <c r="Y2">
        <f ca="1">RANDBETWEEN(1,4)</f>
        <v>1</v>
      </c>
      <c r="Z2">
        <f ca="1">RANDBETWEEN(1,3)</f>
        <v>1</v>
      </c>
      <c r="AA2">
        <f ca="1">RANDBETWEEN(1950,1994)</f>
        <v>1959</v>
      </c>
      <c r="AB2">
        <f ca="1">RANDBETWEEN(1,12)</f>
        <v>1</v>
      </c>
      <c r="AC2">
        <f ca="1">RANDBETWEEN(1,31)</f>
        <v>26</v>
      </c>
      <c r="AD2">
        <f ca="1">2020-AA2</f>
        <v>61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>Nomes!T4</f>
        <v>Inês</v>
      </c>
      <c r="E3" t="str">
        <f>Nomes!S4</f>
        <v>Feminino</v>
      </c>
      <c r="F3" s="2">
        <v>23831</v>
      </c>
      <c r="G3" t="str" cm="1">
        <f t="array" aca="1" ref="G3" ca="1">INDEX(rua_cod!$F:$F,RANDBETWEEN(2,COUNTA(rua_cod!F:F)))</f>
        <v>Rua do Comércio</v>
      </c>
      <c r="H3" t="str" cm="1">
        <f t="array" aca="1" ref="H3" ca="1">INDEX(rua_cod!$A:$A,Médicos!X3) &amp; "-" &amp; TEXT(RANDBETWEEN(0,999),"000")</f>
        <v>3000-152</v>
      </c>
      <c r="I3" t="str" cm="1">
        <f t="array" aca="1" ref="I3" ca="1">INDEX(rua_cod!$B:$B,Médicos!X3)</f>
        <v>Coimbra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55277420</v>
      </c>
      <c r="N3" t="str">
        <f t="shared" ref="N3:O66" ca="1" si="3">TEXT(RANDBETWEEN(100000000,999999999),"000000000")</f>
        <v>242922795</v>
      </c>
      <c r="O3" t="str">
        <f t="shared" ca="1" si="3"/>
        <v>124972416</v>
      </c>
      <c r="P3" t="str" cm="1">
        <f t="array" aca="1" ref="P3" ca="1">9 &amp; INDEX($AH$3:$AH$6,Y3)&amp; TEXT(RANDBETWEEN(0,9999999),"0000000")</f>
        <v>965711005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3725286648517857</v>
      </c>
      <c r="T3" t="s">
        <v>341</v>
      </c>
      <c r="V3" s="4"/>
      <c r="X3">
        <f ca="1">RANDBETWEEN(2,COUNTA(rua_cod!A:A))</f>
        <v>26</v>
      </c>
      <c r="Y3">
        <f t="shared" ref="Y3:Y66" ca="1" si="6">RANDBETWEEN(1,4)</f>
        <v>4</v>
      </c>
      <c r="Z3">
        <f t="shared" ref="Z3:Z66" ca="1" si="7">RANDBETWEEN(1,3)</f>
        <v>1</v>
      </c>
      <c r="AA3">
        <f t="shared" ref="AA3:AA66" ca="1" si="8">RANDBETWEEN(1950,1994)</f>
        <v>1982</v>
      </c>
      <c r="AB3">
        <f t="shared" ref="AB3:AB66" ca="1" si="9">RANDBETWEEN(1,12)</f>
        <v>10</v>
      </c>
      <c r="AC3">
        <f t="shared" ref="AC3:AC66" ca="1" si="10">RANDBETWEEN(1,31)</f>
        <v>14</v>
      </c>
      <c r="AD3">
        <f t="shared" ref="AD3:AD66" ca="1" si="11">2020-AA3</f>
        <v>38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>Nomes!T5</f>
        <v>Catarina</v>
      </c>
      <c r="E4" t="str">
        <f>Nomes!S5</f>
        <v>Feminino</v>
      </c>
      <c r="F4" s="2">
        <v>26848</v>
      </c>
      <c r="G4" t="str" cm="1">
        <f t="array" aca="1" ref="G4" ca="1">INDEX(rua_cod!$F:$F,RANDBETWEEN(2,COUNTA(rua_cod!F:F)))</f>
        <v>Rua dos Bacalhoeiros</v>
      </c>
      <c r="H4" t="str" cm="1">
        <f t="array" aca="1" ref="H4" ca="1">INDEX(rua_cod!$A:$A,Médicos!X4) &amp; "-" &amp; TEXT(RANDBETWEEN(0,999),"000")</f>
        <v>1700-909</v>
      </c>
      <c r="I4" t="str" cm="1">
        <f t="array" aca="1" ref="I4" ca="1">INDEX(rua_cod!$B:$B,Médicos!X4)</f>
        <v>Lisboa</v>
      </c>
      <c r="J4" t="s">
        <v>341</v>
      </c>
      <c r="K4" t="s">
        <v>225</v>
      </c>
      <c r="L4" t="s">
        <v>265</v>
      </c>
      <c r="M4" t="str">
        <f t="shared" ca="1" si="2"/>
        <v>45716088</v>
      </c>
      <c r="N4" t="str">
        <f t="shared" ca="1" si="3"/>
        <v>423684230</v>
      </c>
      <c r="O4" t="str">
        <f t="shared" ca="1" si="3"/>
        <v>425644588</v>
      </c>
      <c r="P4" t="str" cm="1">
        <f t="array" aca="1" ref="P4" ca="1">9 &amp; INDEX($AH$3:$AH$6,Y4)&amp; TEXT(RANDBETWEEN(0,9999999),"0000000")</f>
        <v>939357932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8209061144950906</v>
      </c>
      <c r="T4" t="s">
        <v>341</v>
      </c>
      <c r="V4" s="4"/>
      <c r="X4">
        <f ca="1">RANDBETWEEN(2,COUNTA(rua_cod!A:A))</f>
        <v>40</v>
      </c>
      <c r="Y4">
        <f t="shared" ca="1" si="6"/>
        <v>3</v>
      </c>
      <c r="Z4">
        <f t="shared" ca="1" si="7"/>
        <v>2</v>
      </c>
      <c r="AA4">
        <f t="shared" ca="1" si="8"/>
        <v>1970</v>
      </c>
      <c r="AB4">
        <f t="shared" ca="1" si="9"/>
        <v>5</v>
      </c>
      <c r="AC4">
        <f t="shared" ca="1" si="10"/>
        <v>17</v>
      </c>
      <c r="AD4">
        <f t="shared" ca="1" si="11"/>
        <v>50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>Nomes!T6</f>
        <v>Santiago</v>
      </c>
      <c r="E5" t="str">
        <f>Nomes!S6</f>
        <v>Masculino</v>
      </c>
      <c r="F5" s="2">
        <v>34485</v>
      </c>
      <c r="G5" t="str" cm="1">
        <f t="array" aca="1" ref="G5" ca="1">INDEX(rua_cod!$F:$F,RANDBETWEEN(2,COUNTA(rua_cod!F:F)))</f>
        <v>Rua Cidade de Bolama</v>
      </c>
      <c r="H5" t="str" cm="1">
        <f t="array" aca="1" ref="H5" ca="1">INDEX(rua_cod!$A:$A,Médicos!X5) &amp; "-" &amp; TEXT(RANDBETWEEN(0,999),"000")</f>
        <v>2005-603</v>
      </c>
      <c r="I5" t="str" cm="1">
        <f t="array" aca="1" ref="I5" ca="1">INDEX(rua_cod!$B:$B,Médicos!X5)</f>
        <v>Santarém</v>
      </c>
      <c r="J5" t="s">
        <v>341</v>
      </c>
      <c r="K5" t="s">
        <v>225</v>
      </c>
      <c r="L5" t="s">
        <v>265</v>
      </c>
      <c r="M5" t="str">
        <f t="shared" ca="1" si="2"/>
        <v>88242302</v>
      </c>
      <c r="N5" t="str">
        <f t="shared" ca="1" si="3"/>
        <v>490111311</v>
      </c>
      <c r="O5" t="str">
        <f t="shared" ca="1" si="3"/>
        <v>583296059</v>
      </c>
      <c r="P5" t="str" cm="1">
        <f t="array" aca="1" ref="P5" ca="1">9 &amp; INDEX($AH$3:$AH$6,Y5)&amp; TEXT(RANDBETWEEN(0,9999999),"0000000")</f>
        <v>910199318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2008334171371102</v>
      </c>
      <c r="T5" t="s">
        <v>341</v>
      </c>
      <c r="V5" s="4"/>
      <c r="X5">
        <f ca="1">RANDBETWEEN(2,COUNTA(rua_cod!A:A))</f>
        <v>92</v>
      </c>
      <c r="Y5">
        <f t="shared" ca="1" si="6"/>
        <v>1</v>
      </c>
      <c r="Z5">
        <f t="shared" ca="1" si="7"/>
        <v>2</v>
      </c>
      <c r="AA5">
        <f t="shared" ca="1" si="8"/>
        <v>1962</v>
      </c>
      <c r="AB5">
        <f t="shared" ca="1" si="9"/>
        <v>8</v>
      </c>
      <c r="AC5">
        <f t="shared" ca="1" si="10"/>
        <v>29</v>
      </c>
      <c r="AD5">
        <f t="shared" ca="1" si="11"/>
        <v>58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>Nomes!T7</f>
        <v>Tomás</v>
      </c>
      <c r="E6" t="str">
        <f>Nomes!S7</f>
        <v>Masculino</v>
      </c>
      <c r="F6" s="2">
        <v>25317</v>
      </c>
      <c r="G6" t="str" cm="1">
        <f t="array" aca="1" ref="G6" ca="1">INDEX(rua_cod!$F:$F,RANDBETWEEN(2,COUNTA(rua_cod!F:F)))</f>
        <v>Avenida Ressano Garcia</v>
      </c>
      <c r="H6" t="str" cm="1">
        <f t="array" aca="1" ref="H6" ca="1">INDEX(rua_cod!$A:$A,Médicos!X6) &amp; "-" &amp; TEXT(RANDBETWEEN(0,999),"000")</f>
        <v>2904-851</v>
      </c>
      <c r="I6" t="str" cm="1">
        <f t="array" aca="1" ref="I6" ca="1">INDEX(rua_cod!$B:$B,Médicos!X6)</f>
        <v>Setúbal</v>
      </c>
      <c r="J6" t="s">
        <v>341</v>
      </c>
      <c r="K6" t="s">
        <v>225</v>
      </c>
      <c r="L6" t="s">
        <v>265</v>
      </c>
      <c r="M6" t="str">
        <f t="shared" ca="1" si="2"/>
        <v>26478233</v>
      </c>
      <c r="N6" t="str">
        <f t="shared" ca="1" si="3"/>
        <v>977589993</v>
      </c>
      <c r="O6" t="str">
        <f t="shared" ca="1" si="3"/>
        <v>662909740</v>
      </c>
      <c r="P6" t="str" cm="1">
        <f t="array" aca="1" ref="P6" ca="1">9 &amp; INDEX($AH$3:$AH$6,Y6)&amp; TEXT(RANDBETWEEN(0,9999999),"0000000")</f>
        <v>933815125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4434197917822303</v>
      </c>
      <c r="T6" t="s">
        <v>341</v>
      </c>
      <c r="V6" s="4"/>
      <c r="X6">
        <f ca="1">RANDBETWEEN(2,COUNTA(rua_cod!A:A))</f>
        <v>99</v>
      </c>
      <c r="Y6">
        <f t="shared" ca="1" si="6"/>
        <v>3</v>
      </c>
      <c r="Z6">
        <f t="shared" ca="1" si="7"/>
        <v>2</v>
      </c>
      <c r="AA6">
        <f t="shared" ca="1" si="8"/>
        <v>1955</v>
      </c>
      <c r="AB6">
        <f t="shared" ca="1" si="9"/>
        <v>6</v>
      </c>
      <c r="AC6">
        <f t="shared" ca="1" si="10"/>
        <v>9</v>
      </c>
      <c r="AD6">
        <f t="shared" ca="1" si="11"/>
        <v>65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>Nomes!T8</f>
        <v>Daniela</v>
      </c>
      <c r="E7" t="str">
        <f>Nomes!S8</f>
        <v>Feminino</v>
      </c>
      <c r="F7" s="2">
        <v>25448</v>
      </c>
      <c r="G7" t="str" cm="1">
        <f t="array" aca="1" ref="G7" ca="1">INDEX(rua_cod!$F:$F,RANDBETWEEN(2,COUNTA(rua_cod!F:F)))</f>
        <v>Avenida Ressano Garcia</v>
      </c>
      <c r="H7" t="str" cm="1">
        <f t="array" aca="1" ref="H7" ca="1">INDEX(rua_cod!$A:$A,Médicos!X7) &amp; "-" &amp; TEXT(RANDBETWEEN(0,999),"000")</f>
        <v>1990-807</v>
      </c>
      <c r="I7" t="str" cm="1">
        <f t="array" aca="1" ref="I7" ca="1">INDEX(rua_cod!$B:$B,Médicos!X7)</f>
        <v>Lisboa</v>
      </c>
      <c r="J7" t="s">
        <v>341</v>
      </c>
      <c r="K7" t="s">
        <v>225</v>
      </c>
      <c r="L7" t="s">
        <v>265</v>
      </c>
      <c r="M7" t="str">
        <f t="shared" ca="1" si="2"/>
        <v>23162924</v>
      </c>
      <c r="N7" t="str">
        <f t="shared" ca="1" si="3"/>
        <v>385458745</v>
      </c>
      <c r="O7" t="str">
        <f t="shared" ca="1" si="3"/>
        <v>691961476</v>
      </c>
      <c r="P7" t="str" cm="1">
        <f t="array" aca="1" ref="P7" ca="1">9 &amp; INDEX($AH$3:$AH$6,Y7)&amp; TEXT(RANDBETWEEN(0,9999999),"0000000")</f>
        <v>911601132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5778841271528306</v>
      </c>
      <c r="T7" t="s">
        <v>341</v>
      </c>
      <c r="V7" s="4"/>
      <c r="X7">
        <f ca="1">RANDBETWEEN(2,COUNTA(rua_cod!A:A))</f>
        <v>75</v>
      </c>
      <c r="Y7">
        <f t="shared" ca="1" si="6"/>
        <v>1</v>
      </c>
      <c r="Z7">
        <f t="shared" ca="1" si="7"/>
        <v>1</v>
      </c>
      <c r="AA7">
        <f t="shared" ca="1" si="8"/>
        <v>1965</v>
      </c>
      <c r="AB7">
        <f t="shared" ca="1" si="9"/>
        <v>10</v>
      </c>
      <c r="AC7">
        <f t="shared" ca="1" si="10"/>
        <v>22</v>
      </c>
      <c r="AD7">
        <f t="shared" ca="1" si="11"/>
        <v>55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>Nomes!T9</f>
        <v>Luís</v>
      </c>
      <c r="E8" t="str">
        <f>Nomes!S9</f>
        <v>Masculino</v>
      </c>
      <c r="F8" s="2">
        <v>26214</v>
      </c>
      <c r="G8" t="str" cm="1">
        <f t="array" aca="1" ref="G8" ca="1">INDEX(rua_cod!$F:$F,RANDBETWEEN(2,COUNTA(rua_cod!F:F)))</f>
        <v>Rua do Carmo</v>
      </c>
      <c r="H8" t="str" cm="1">
        <f t="array" aca="1" ref="H8" ca="1">INDEX(rua_cod!$A:$A,Médicos!X8) &amp; "-" &amp; TEXT(RANDBETWEEN(0,999),"000")</f>
        <v>2640-409</v>
      </c>
      <c r="I8" t="str" cm="1">
        <f t="array" aca="1" ref="I8" ca="1">INDEX(rua_cod!$B:$B,Médicos!X8)</f>
        <v>Mafra</v>
      </c>
      <c r="J8" t="s">
        <v>341</v>
      </c>
      <c r="K8" t="s">
        <v>225</v>
      </c>
      <c r="L8" t="s">
        <v>265</v>
      </c>
      <c r="M8" t="str">
        <f t="shared" ca="1" si="2"/>
        <v>13596950</v>
      </c>
      <c r="N8" t="str">
        <f t="shared" ca="1" si="3"/>
        <v>533247924</v>
      </c>
      <c r="O8" t="str">
        <f t="shared" ca="1" si="3"/>
        <v>768413839</v>
      </c>
      <c r="P8" t="str" cm="1">
        <f t="array" aca="1" ref="P8" ca="1">9 &amp; INDEX($AH$3:$AH$6,Y8)&amp; TEXT(RANDBETWEEN(0,9999999),"0000000")</f>
        <v>966797250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5137265157281952</v>
      </c>
      <c r="T8" t="s">
        <v>341</v>
      </c>
      <c r="V8" s="4"/>
      <c r="X8">
        <f ca="1">RANDBETWEEN(2,COUNTA(rua_cod!A:A))</f>
        <v>85</v>
      </c>
      <c r="Y8">
        <f t="shared" ca="1" si="6"/>
        <v>4</v>
      </c>
      <c r="Z8">
        <f t="shared" ca="1" si="7"/>
        <v>1</v>
      </c>
      <c r="AA8">
        <f t="shared" ca="1" si="8"/>
        <v>1973</v>
      </c>
      <c r="AB8">
        <f t="shared" ca="1" si="9"/>
        <v>8</v>
      </c>
      <c r="AC8">
        <f t="shared" ca="1" si="10"/>
        <v>14</v>
      </c>
      <c r="AD8">
        <f t="shared" ca="1" si="11"/>
        <v>47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>Nomes!T10</f>
        <v>Daniela</v>
      </c>
      <c r="E9" t="str">
        <f>Nomes!S10</f>
        <v>Feminino</v>
      </c>
      <c r="F9" s="2">
        <v>41662</v>
      </c>
      <c r="G9" t="str" cm="1">
        <f t="array" aca="1" ref="G9" ca="1">INDEX(rua_cod!$F:$F,RANDBETWEEN(2,COUNTA(rua_cod!F:F)))</f>
        <v>Rua da Betesga</v>
      </c>
      <c r="H9" t="str" cm="1">
        <f t="array" aca="1" ref="H9" ca="1">INDEX(rua_cod!$A:$A,Médicos!X9) &amp; "-" &amp; TEXT(RANDBETWEEN(0,999),"000")</f>
        <v>2750-924</v>
      </c>
      <c r="I9" t="str" cm="1">
        <f t="array" aca="1" ref="I9" ca="1">INDEX(rua_cod!$B:$B,Médicos!X9)</f>
        <v>Cascais</v>
      </c>
      <c r="J9" t="s">
        <v>341</v>
      </c>
      <c r="K9" t="s">
        <v>225</v>
      </c>
      <c r="L9" t="s">
        <v>265</v>
      </c>
      <c r="M9" t="str">
        <f t="shared" ca="1" si="2"/>
        <v>40864153</v>
      </c>
      <c r="N9" t="str">
        <f t="shared" ca="1" si="3"/>
        <v>946392496</v>
      </c>
      <c r="O9" t="str">
        <f t="shared" ca="1" si="3"/>
        <v>650246273</v>
      </c>
      <c r="P9" t="str" cm="1">
        <f t="array" aca="1" ref="P9" ca="1">9 &amp; INDEX($AH$3:$AH$6,Y9)&amp; TEXT(RANDBETWEEN(0,9999999),"0000000")</f>
        <v>930759759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4532265562234962</v>
      </c>
      <c r="T9" t="s">
        <v>341</v>
      </c>
      <c r="V9" s="4"/>
      <c r="X9">
        <f ca="1">RANDBETWEEN(2,COUNTA(rua_cod!A:A))</f>
        <v>24</v>
      </c>
      <c r="Y9">
        <f t="shared" ca="1" si="6"/>
        <v>3</v>
      </c>
      <c r="Z9">
        <f t="shared" ca="1" si="7"/>
        <v>2</v>
      </c>
      <c r="AA9">
        <f t="shared" ca="1" si="8"/>
        <v>1950</v>
      </c>
      <c r="AB9">
        <f t="shared" ca="1" si="9"/>
        <v>5</v>
      </c>
      <c r="AC9">
        <f t="shared" ca="1" si="10"/>
        <v>12</v>
      </c>
      <c r="AD9">
        <f t="shared" ca="1" si="11"/>
        <v>70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>Nomes!T11</f>
        <v>Tiago</v>
      </c>
      <c r="E10" t="str">
        <f>Nomes!S11</f>
        <v>Masculino</v>
      </c>
      <c r="F10" s="2">
        <v>28055</v>
      </c>
      <c r="G10" t="str" cm="1">
        <f t="array" aca="1" ref="G10" ca="1">INDEX(rua_cod!$F:$F,RANDBETWEEN(2,COUNTA(rua_cod!F:F)))</f>
        <v>Rua da Betesga</v>
      </c>
      <c r="H10" t="str" cm="1">
        <f t="array" aca="1" ref="H10" ca="1">INDEX(rua_cod!$A:$A,Médicos!X10) &amp; "-" &amp; TEXT(RANDBETWEEN(0,999),"000")</f>
        <v>1069-715</v>
      </c>
      <c r="I10" t="str" cm="1">
        <f t="array" aca="1" ref="I10" ca="1">INDEX(rua_cod!$B:$B,Médicos!X10)</f>
        <v>Lisboa</v>
      </c>
      <c r="J10" t="s">
        <v>341</v>
      </c>
      <c r="K10" t="s">
        <v>225</v>
      </c>
      <c r="L10" t="s">
        <v>265</v>
      </c>
      <c r="M10" t="str">
        <f t="shared" ca="1" si="2"/>
        <v>36476253</v>
      </c>
      <c r="N10" t="str">
        <f t="shared" ca="1" si="3"/>
        <v>451748424</v>
      </c>
      <c r="O10" t="str">
        <f t="shared" ca="1" si="3"/>
        <v>442352805</v>
      </c>
      <c r="P10" t="str" cm="1">
        <f t="array" aca="1" ref="P10" ca="1">9 &amp; INDEX($AH$3:$AH$6,Y10)&amp; TEXT(RANDBETWEEN(0,9999999),"0000000")</f>
        <v>961101106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1503718111252128</v>
      </c>
      <c r="T10" t="s">
        <v>341</v>
      </c>
      <c r="V10" s="4"/>
      <c r="X10">
        <f ca="1">RANDBETWEEN(2,COUNTA(rua_cod!A:A))</f>
        <v>67</v>
      </c>
      <c r="Y10">
        <f t="shared" ca="1" si="6"/>
        <v>4</v>
      </c>
      <c r="Z10">
        <f t="shared" ca="1" si="7"/>
        <v>3</v>
      </c>
      <c r="AA10">
        <f t="shared" ca="1" si="8"/>
        <v>1983</v>
      </c>
      <c r="AB10">
        <f t="shared" ca="1" si="9"/>
        <v>5</v>
      </c>
      <c r="AC10">
        <f t="shared" ca="1" si="10"/>
        <v>14</v>
      </c>
      <c r="AD10">
        <f t="shared" ca="1" si="11"/>
        <v>37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>Nomes!T12</f>
        <v>Daniela</v>
      </c>
      <c r="E11" t="str">
        <f>Nomes!S12</f>
        <v>Feminino</v>
      </c>
      <c r="F11" s="2">
        <v>30531</v>
      </c>
      <c r="G11" t="str" cm="1">
        <f t="array" aca="1" ref="G11" ca="1">INDEX(rua_cod!$F:$F,RANDBETWEEN(2,COUNTA(rua_cod!F:F)))</f>
        <v>Estrada Militar</v>
      </c>
      <c r="H11" t="str" cm="1">
        <f t="array" aca="1" ref="H11" ca="1">INDEX(rua_cod!$A:$A,Médicos!X11) &amp; "-" &amp; TEXT(RANDBETWEEN(0,999),"000")</f>
        <v>1099-402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53952520</v>
      </c>
      <c r="N11" t="str">
        <f t="shared" ca="1" si="3"/>
        <v>657964690</v>
      </c>
      <c r="O11" t="str">
        <f t="shared" ca="1" si="3"/>
        <v>956198353</v>
      </c>
      <c r="P11" t="str" cm="1">
        <f t="array" aca="1" ref="P11" ca="1">9 &amp; INDEX($AH$3:$AH$6,Y11)&amp; TEXT(RANDBETWEEN(0,9999999),"0000000")</f>
        <v>923524009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5349906035258752</v>
      </c>
      <c r="T11" t="s">
        <v>341</v>
      </c>
      <c r="V11" s="4"/>
      <c r="X11">
        <f ca="1">RANDBETWEEN(2,COUNTA(rua_cod!A:A))</f>
        <v>53</v>
      </c>
      <c r="Y11">
        <f t="shared" ca="1" si="6"/>
        <v>2</v>
      </c>
      <c r="Z11">
        <f t="shared" ca="1" si="7"/>
        <v>1</v>
      </c>
      <c r="AA11">
        <f t="shared" ca="1" si="8"/>
        <v>1966</v>
      </c>
      <c r="AB11">
        <f t="shared" ca="1" si="9"/>
        <v>5</v>
      </c>
      <c r="AC11">
        <f t="shared" ca="1" si="10"/>
        <v>22</v>
      </c>
      <c r="AD11">
        <f t="shared" ca="1" si="11"/>
        <v>54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>Nomes!T13</f>
        <v>Inês</v>
      </c>
      <c r="E12" t="str">
        <f>Nomes!S13</f>
        <v>Feminino</v>
      </c>
      <c r="F12" s="2">
        <v>10192</v>
      </c>
      <c r="G12" t="str" cm="1">
        <f t="array" aca="1" ref="G12" ca="1">INDEX(rua_cod!$F:$F,RANDBETWEEN(2,COUNTA(rua_cod!F:F)))</f>
        <v>Rua Garrett</v>
      </c>
      <c r="H12" t="str" cm="1">
        <f t="array" aca="1" ref="H12" ca="1">INDEX(rua_cod!$A:$A,Médicos!X12) &amp; "-" &amp; TEXT(RANDBETWEEN(0,999),"000")</f>
        <v>2825-022</v>
      </c>
      <c r="I12" t="str" cm="1">
        <f t="array" aca="1" ref="I12" ca="1">INDEX(rua_cod!$B:$B,Médicos!X12)</f>
        <v>Caparica</v>
      </c>
      <c r="J12" t="s">
        <v>341</v>
      </c>
      <c r="K12" t="s">
        <v>225</v>
      </c>
      <c r="L12" t="s">
        <v>265</v>
      </c>
      <c r="M12" t="str">
        <f t="shared" ca="1" si="2"/>
        <v>20669573</v>
      </c>
      <c r="N12" t="str">
        <f t="shared" ca="1" si="3"/>
        <v>814952077</v>
      </c>
      <c r="O12" t="str">
        <f t="shared" ca="1" si="3"/>
        <v>719749200</v>
      </c>
      <c r="P12" t="str" cm="1">
        <f t="array" aca="1" ref="P12" ca="1">9 &amp; INDEX($AH$3:$AH$6,Y12)&amp; TEXT(RANDBETWEEN(0,9999999),"0000000")</f>
        <v>913772006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9011281138726702</v>
      </c>
      <c r="T12" t="s">
        <v>341</v>
      </c>
      <c r="V12" s="4"/>
      <c r="X12">
        <f ca="1">RANDBETWEEN(2,COUNTA(rua_cod!A:A))</f>
        <v>18</v>
      </c>
      <c r="Y12">
        <f t="shared" ca="1" si="6"/>
        <v>1</v>
      </c>
      <c r="Z12">
        <f t="shared" ca="1" si="7"/>
        <v>2</v>
      </c>
      <c r="AA12">
        <f t="shared" ca="1" si="8"/>
        <v>1983</v>
      </c>
      <c r="AB12">
        <f t="shared" ca="1" si="9"/>
        <v>12</v>
      </c>
      <c r="AC12">
        <f t="shared" ca="1" si="10"/>
        <v>20</v>
      </c>
      <c r="AD12">
        <f t="shared" ca="1" si="11"/>
        <v>37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Tomás Barbosa</v>
      </c>
      <c r="E13" t="str">
        <f>Nomes!S14</f>
        <v>Masculino</v>
      </c>
      <c r="F13" s="2">
        <v>11987</v>
      </c>
      <c r="G13" t="str" cm="1">
        <f t="array" aca="1" ref="G13" ca="1">INDEX(rua_cod!$F:$F,RANDBETWEEN(2,COUNTA(rua_cod!F:F)))</f>
        <v>Rua Nova do Almada</v>
      </c>
      <c r="H13" t="str" cm="1">
        <f t="array" aca="1" ref="H13" ca="1">INDEX(rua_cod!$A:$A,Médicos!X13) &amp; "-" &amp; TEXT(RANDBETWEEN(0,999),"000")</f>
        <v>1099-703</v>
      </c>
      <c r="I13" t="str" cm="1">
        <f t="array" aca="1" ref="I13" ca="1">INDEX(rua_cod!$B:$B,Médicos!X13)</f>
        <v>Lisboa</v>
      </c>
      <c r="J13" t="s">
        <v>341</v>
      </c>
      <c r="K13" t="s">
        <v>225</v>
      </c>
      <c r="L13" t="s">
        <v>265</v>
      </c>
      <c r="M13" t="str">
        <f t="shared" ca="1" si="2"/>
        <v>78241256</v>
      </c>
      <c r="N13" t="str">
        <f t="shared" ca="1" si="3"/>
        <v>240417156</v>
      </c>
      <c r="O13" t="str">
        <f t="shared" ca="1" si="3"/>
        <v>667745759</v>
      </c>
      <c r="P13" t="str" cm="1">
        <f t="array" aca="1" ref="P13" ca="1">9 &amp; INDEX($AH$3:$AH$6,Y13)&amp; TEXT(RANDBETWEEN(0,9999999),"0000000")</f>
        <v>920646644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4820476859559629</v>
      </c>
      <c r="T13" t="s">
        <v>341</v>
      </c>
      <c r="V13" s="4"/>
      <c r="X13">
        <f ca="1">RANDBETWEEN(2,COUNTA(rua_cod!A:A))</f>
        <v>53</v>
      </c>
      <c r="Y13">
        <f t="shared" ca="1" si="6"/>
        <v>2</v>
      </c>
      <c r="Z13">
        <f t="shared" ca="1" si="7"/>
        <v>1</v>
      </c>
      <c r="AA13">
        <f t="shared" ca="1" si="8"/>
        <v>1966</v>
      </c>
      <c r="AB13">
        <f t="shared" ca="1" si="9"/>
        <v>8</v>
      </c>
      <c r="AC13">
        <f t="shared" ca="1" si="10"/>
        <v>17</v>
      </c>
      <c r="AD13">
        <f t="shared" ca="1" si="11"/>
        <v>54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André Oliveira</v>
      </c>
      <c r="E14" t="str">
        <f>Nomes!S15</f>
        <v>Masculino</v>
      </c>
      <c r="F14" s="2">
        <v>28287</v>
      </c>
      <c r="G14" t="str" cm="1">
        <f t="array" aca="1" ref="G14" ca="1">INDEX(rua_cod!$F:$F,RANDBETWEEN(2,COUNTA(rua_cod!F:F)))</f>
        <v>Rua do Sacramento à Lapa</v>
      </c>
      <c r="H14" t="str" cm="1">
        <f t="array" aca="1" ref="H14" ca="1">INDEX(rua_cod!$A:$A,Médicos!X14) &amp; "-" &amp; TEXT(RANDBETWEEN(0,999),"000")</f>
        <v>1150-891</v>
      </c>
      <c r="I14" t="str" cm="1">
        <f t="array" aca="1" ref="I14" ca="1">INDEX(rua_cod!$B:$B,Médicos!X14)</f>
        <v>Lisboa</v>
      </c>
      <c r="J14" t="s">
        <v>341</v>
      </c>
      <c r="K14" t="s">
        <v>225</v>
      </c>
      <c r="L14" t="s">
        <v>265</v>
      </c>
      <c r="M14" t="str">
        <f t="shared" ca="1" si="2"/>
        <v>83145570</v>
      </c>
      <c r="N14" t="str">
        <f t="shared" ca="1" si="3"/>
        <v>739737809</v>
      </c>
      <c r="O14" t="str">
        <f t="shared" ca="1" si="3"/>
        <v>596771889</v>
      </c>
      <c r="P14" t="str" cm="1">
        <f t="array" aca="1" ref="P14" ca="1">9 &amp; INDEX($AH$3:$AH$6,Y14)&amp; TEXT(RANDBETWEEN(0,9999999),"0000000")</f>
        <v>965267595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5448039708243884</v>
      </c>
      <c r="T14" t="s">
        <v>341</v>
      </c>
      <c r="V14" s="4"/>
      <c r="X14">
        <f ca="1">RANDBETWEEN(2,COUNTA(rua_cod!A:A))</f>
        <v>44</v>
      </c>
      <c r="Y14">
        <f t="shared" ca="1" si="6"/>
        <v>4</v>
      </c>
      <c r="Z14">
        <f t="shared" ca="1" si="7"/>
        <v>2</v>
      </c>
      <c r="AA14">
        <f t="shared" ca="1" si="8"/>
        <v>1981</v>
      </c>
      <c r="AB14">
        <f t="shared" ca="1" si="9"/>
        <v>5</v>
      </c>
      <c r="AC14">
        <f t="shared" ca="1" si="10"/>
        <v>7</v>
      </c>
      <c r="AD14">
        <f t="shared" ca="1" si="11"/>
        <v>39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Sara Sousa</v>
      </c>
      <c r="E15" t="str">
        <f>Nomes!S16</f>
        <v>Feminino</v>
      </c>
      <c r="F15" s="2">
        <v>26925</v>
      </c>
      <c r="G15" t="str" cm="1">
        <f t="array" aca="1" ref="G15" ca="1">INDEX(rua_cod!$F:$F,RANDBETWEEN(2,COUNTA(rua_cod!F:F)))</f>
        <v>Rua da Betesga</v>
      </c>
      <c r="H15" t="str" cm="1">
        <f t="array" aca="1" ref="H15" ca="1">INDEX(rua_cod!$A:$A,Médicos!X15) &amp; "-" &amp; TEXT(RANDBETWEEN(0,999),"000")</f>
        <v>1769-261</v>
      </c>
      <c r="I15" t="str" cm="1">
        <f t="array" aca="1" ref="I15" ca="1">INDEX(rua_cod!$B:$B,Médicos!X15)</f>
        <v>Lisboa</v>
      </c>
      <c r="J15" t="s">
        <v>341</v>
      </c>
      <c r="K15" t="s">
        <v>225</v>
      </c>
      <c r="L15" t="s">
        <v>265</v>
      </c>
      <c r="M15" t="str">
        <f t="shared" ca="1" si="2"/>
        <v>49085931</v>
      </c>
      <c r="N15" t="str">
        <f t="shared" ca="1" si="3"/>
        <v>489919692</v>
      </c>
      <c r="O15" t="str">
        <f t="shared" ca="1" si="3"/>
        <v>289008947</v>
      </c>
      <c r="P15" t="str" cm="1">
        <f t="array" aca="1" ref="P15" ca="1">9 &amp; INDEX($AH$3:$AH$6,Y15)&amp; TEXT(RANDBETWEEN(0,9999999),"0000000")</f>
        <v>933993759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7397151273445740</v>
      </c>
      <c r="T15" t="s">
        <v>341</v>
      </c>
      <c r="V15" s="4"/>
      <c r="X15">
        <f ca="1">RANDBETWEEN(2,COUNTA(rua_cod!A:A))</f>
        <v>74</v>
      </c>
      <c r="Y15">
        <f t="shared" ca="1" si="6"/>
        <v>3</v>
      </c>
      <c r="Z15">
        <f t="shared" ca="1" si="7"/>
        <v>1</v>
      </c>
      <c r="AA15">
        <f t="shared" ca="1" si="8"/>
        <v>1957</v>
      </c>
      <c r="AB15">
        <f t="shared" ca="1" si="9"/>
        <v>6</v>
      </c>
      <c r="AC15">
        <f t="shared" ca="1" si="10"/>
        <v>24</v>
      </c>
      <c r="AD15">
        <f t="shared" ca="1" si="11"/>
        <v>63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Sofia Moreira</v>
      </c>
      <c r="E16" t="str">
        <f>Nomes!S17</f>
        <v>Feminino</v>
      </c>
      <c r="F16" s="2">
        <v>21109</v>
      </c>
      <c r="G16" t="str" cm="1">
        <f t="array" aca="1" ref="G16" ca="1">INDEX(rua_cod!$F:$F,RANDBETWEEN(2,COUNTA(rua_cod!F:F)))</f>
        <v>Rua dos Heróis de Quionga</v>
      </c>
      <c r="H16" t="str" cm="1">
        <f t="array" aca="1" ref="H16" ca="1">INDEX(rua_cod!$A:$A,Médicos!X16) &amp; "-" &amp; TEXT(RANDBETWEEN(0,999),"000")</f>
        <v>2423-943</v>
      </c>
      <c r="I16" t="str" cm="1">
        <f t="array" aca="1" ref="I16" ca="1">INDEX(rua_cod!$B:$B,Médicos!X16)</f>
        <v>Leiria</v>
      </c>
      <c r="J16" t="s">
        <v>341</v>
      </c>
      <c r="K16" t="s">
        <v>225</v>
      </c>
      <c r="L16" t="s">
        <v>265</v>
      </c>
      <c r="M16" t="str">
        <f t="shared" ca="1" si="2"/>
        <v>49600829</v>
      </c>
      <c r="N16" t="str">
        <f t="shared" ca="1" si="3"/>
        <v>415407682</v>
      </c>
      <c r="O16" t="str">
        <f t="shared" ca="1" si="3"/>
        <v>658084464</v>
      </c>
      <c r="P16" t="str" cm="1">
        <f t="array" aca="1" ref="P16" ca="1">9 &amp; INDEX($AH$3:$AH$6,Y16)&amp; TEXT(RANDBETWEEN(0,9999999),"0000000")</f>
        <v>916249876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1175366628004163</v>
      </c>
      <c r="T16" t="s">
        <v>341</v>
      </c>
      <c r="V16" s="4"/>
      <c r="X16">
        <f ca="1">RANDBETWEEN(2,COUNTA(rua_cod!A:A))</f>
        <v>38</v>
      </c>
      <c r="Y16">
        <f t="shared" ca="1" si="6"/>
        <v>1</v>
      </c>
      <c r="Z16">
        <f t="shared" ca="1" si="7"/>
        <v>2</v>
      </c>
      <c r="AA16">
        <f t="shared" ca="1" si="8"/>
        <v>1970</v>
      </c>
      <c r="AB16">
        <f t="shared" ca="1" si="9"/>
        <v>12</v>
      </c>
      <c r="AC16">
        <f t="shared" ca="1" si="10"/>
        <v>18</v>
      </c>
      <c r="AD16">
        <f t="shared" ca="1" si="11"/>
        <v>50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Afonso Paiva</v>
      </c>
      <c r="E17" t="str">
        <f>Nomes!S18</f>
        <v>Masculino</v>
      </c>
      <c r="F17" s="2">
        <v>31299</v>
      </c>
      <c r="G17" t="str" cm="1">
        <f t="array" aca="1" ref="G17" ca="1">INDEX(rua_cod!$F:$F,RANDBETWEEN(2,COUNTA(rua_cod!F:F)))</f>
        <v>Avenida Ressano Garcia</v>
      </c>
      <c r="H17" t="str" cm="1">
        <f t="array" aca="1" ref="H17" ca="1">INDEX(rua_cod!$A:$A,Médicos!X17) &amp; "-" &amp; TEXT(RANDBETWEEN(0,999),"000")</f>
        <v>2805-541</v>
      </c>
      <c r="I17" t="str" cm="1">
        <f t="array" aca="1" ref="I17" ca="1">INDEX(rua_cod!$B:$B,Médicos!X17)</f>
        <v>Almada</v>
      </c>
      <c r="J17" t="s">
        <v>341</v>
      </c>
      <c r="K17" t="s">
        <v>225</v>
      </c>
      <c r="L17" t="s">
        <v>265</v>
      </c>
      <c r="M17" t="str">
        <f t="shared" ca="1" si="2"/>
        <v>36130782</v>
      </c>
      <c r="N17" t="str">
        <f t="shared" ca="1" si="3"/>
        <v>963796137</v>
      </c>
      <c r="O17" t="str">
        <f t="shared" ca="1" si="3"/>
        <v>968591196</v>
      </c>
      <c r="P17" t="str" cm="1">
        <f t="array" aca="1" ref="P17" ca="1">9 &amp; INDEX($AH$3:$AH$6,Y17)&amp; TEXT(RANDBETWEEN(0,9999999),"0000000")</f>
        <v>962165917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3961427129199309</v>
      </c>
      <c r="T17" t="s">
        <v>341</v>
      </c>
      <c r="V17" s="4"/>
      <c r="X17">
        <f ca="1">RANDBETWEEN(2,COUNTA(rua_cod!A:A))</f>
        <v>4</v>
      </c>
      <c r="Y17">
        <f t="shared" ca="1" si="6"/>
        <v>4</v>
      </c>
      <c r="Z17">
        <f t="shared" ca="1" si="7"/>
        <v>3</v>
      </c>
      <c r="AA17">
        <f t="shared" ca="1" si="8"/>
        <v>1964</v>
      </c>
      <c r="AB17">
        <f t="shared" ca="1" si="9"/>
        <v>12</v>
      </c>
      <c r="AC17">
        <f t="shared" ca="1" si="10"/>
        <v>30</v>
      </c>
      <c r="AD17">
        <f t="shared" ca="1" si="11"/>
        <v>56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Sofia Sá</v>
      </c>
      <c r="E18" t="str">
        <f>Nomes!S19</f>
        <v>Feminino</v>
      </c>
      <c r="F18" s="2">
        <v>22764</v>
      </c>
      <c r="G18" t="str" cm="1">
        <f t="array" aca="1" ref="G18" ca="1">INDEX(rua_cod!$F:$F,RANDBETWEEN(2,COUNTA(rua_cod!F:F)))</f>
        <v>Rua Augusta</v>
      </c>
      <c r="H18" t="str" cm="1">
        <f t="array" aca="1" ref="H18" ca="1">INDEX(rua_cod!$A:$A,Médicos!X18) &amp; "-" &amp; TEXT(RANDBETWEEN(0,999),"000")</f>
        <v>2804-734</v>
      </c>
      <c r="I18" t="str" cm="1">
        <f t="array" aca="1" ref="I18" ca="1">INDEX(rua_cod!$B:$B,Médicos!X18)</f>
        <v>Almada</v>
      </c>
      <c r="J18" t="s">
        <v>341</v>
      </c>
      <c r="K18" t="s">
        <v>225</v>
      </c>
      <c r="L18" t="s">
        <v>265</v>
      </c>
      <c r="M18" t="str">
        <f t="shared" ca="1" si="2"/>
        <v>24742862</v>
      </c>
      <c r="N18" t="str">
        <f t="shared" ca="1" si="3"/>
        <v>136589947</v>
      </c>
      <c r="O18" t="str">
        <f t="shared" ca="1" si="3"/>
        <v>181919303</v>
      </c>
      <c r="P18" t="str" cm="1">
        <f t="array" aca="1" ref="P18" ca="1">9 &amp; INDEX($AH$3:$AH$6,Y18)&amp; TEXT(RANDBETWEEN(0,9999999),"0000000")</f>
        <v>931249083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9380591939340564</v>
      </c>
      <c r="T18" t="s">
        <v>341</v>
      </c>
      <c r="V18" s="4"/>
      <c r="X18">
        <f ca="1">RANDBETWEEN(2,COUNTA(rua_cod!A:A))</f>
        <v>7</v>
      </c>
      <c r="Y18">
        <f t="shared" ca="1" si="6"/>
        <v>3</v>
      </c>
      <c r="Z18">
        <f t="shared" ca="1" si="7"/>
        <v>1</v>
      </c>
      <c r="AA18">
        <f t="shared" ca="1" si="8"/>
        <v>1977</v>
      </c>
      <c r="AB18">
        <f t="shared" ca="1" si="9"/>
        <v>4</v>
      </c>
      <c r="AC18">
        <f t="shared" ca="1" si="10"/>
        <v>31</v>
      </c>
      <c r="AD18">
        <f t="shared" ca="1" si="11"/>
        <v>43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Diogo Simões</v>
      </c>
      <c r="E19" t="str">
        <f>Nomes!S20</f>
        <v>Masculino</v>
      </c>
      <c r="F19" s="2">
        <v>23791</v>
      </c>
      <c r="G19" t="str" cm="1">
        <f t="array" aca="1" ref="G19" ca="1">INDEX(rua_cod!$F:$F,RANDBETWEEN(2,COUNTA(rua_cod!F:F)))</f>
        <v>Rua do Sacramento à Lapa</v>
      </c>
      <c r="H19" t="str" cm="1">
        <f t="array" aca="1" ref="H19" ca="1">INDEX(rua_cod!$A:$A,Médicos!X19) &amp; "-" &amp; TEXT(RANDBETWEEN(0,999),"000")</f>
        <v>2825-644</v>
      </c>
      <c r="I19" t="str" cm="1">
        <f t="array" aca="1" ref="I19" ca="1">INDEX(rua_cod!$B:$B,Médicos!X19)</f>
        <v>Caparica</v>
      </c>
      <c r="J19" t="s">
        <v>341</v>
      </c>
      <c r="K19" t="s">
        <v>225</v>
      </c>
      <c r="L19" t="s">
        <v>265</v>
      </c>
      <c r="M19" t="str">
        <f t="shared" ca="1" si="2"/>
        <v>65700932</v>
      </c>
      <c r="N19" t="str">
        <f t="shared" ca="1" si="3"/>
        <v>314678774</v>
      </c>
      <c r="O19" t="str">
        <f t="shared" ca="1" si="3"/>
        <v>296773247</v>
      </c>
      <c r="P19" t="str" cm="1">
        <f t="array" aca="1" ref="P19" ca="1">9 &amp; INDEX($AH$3:$AH$6,Y19)&amp; TEXT(RANDBETWEEN(0,9999999),"0000000")</f>
        <v>964217225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1631158753281645</v>
      </c>
      <c r="T19" t="s">
        <v>341</v>
      </c>
      <c r="V19" s="4"/>
      <c r="X19">
        <f ca="1">RANDBETWEEN(2,COUNTA(rua_cod!A:A))</f>
        <v>18</v>
      </c>
      <c r="Y19">
        <f t="shared" ca="1" si="6"/>
        <v>4</v>
      </c>
      <c r="Z19">
        <f t="shared" ca="1" si="7"/>
        <v>3</v>
      </c>
      <c r="AA19">
        <f t="shared" ca="1" si="8"/>
        <v>1961</v>
      </c>
      <c r="AB19">
        <f t="shared" ca="1" si="9"/>
        <v>12</v>
      </c>
      <c r="AC19">
        <f t="shared" ca="1" si="10"/>
        <v>7</v>
      </c>
      <c r="AD19">
        <f t="shared" ca="1" si="11"/>
        <v>59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Vera Jesus</v>
      </c>
      <c r="E20" t="str">
        <f>Nomes!S21</f>
        <v>Feminino</v>
      </c>
      <c r="F20" s="2">
        <v>10827</v>
      </c>
      <c r="G20" t="str" cm="1">
        <f t="array" aca="1" ref="G20" ca="1">INDEX(rua_cod!$F:$F,RANDBETWEEN(2,COUNTA(rua_cod!F:F)))</f>
        <v>Rua do Guarda-Mor</v>
      </c>
      <c r="H20" t="str" cm="1">
        <f t="array" aca="1" ref="H20" ca="1">INDEX(rua_cod!$A:$A,Médicos!X20) &amp; "-" &amp; TEXT(RANDBETWEEN(0,999),"000")</f>
        <v>2000-336</v>
      </c>
      <c r="I20" t="str" cm="1">
        <f t="array" aca="1" ref="I20" ca="1">INDEX(rua_cod!$B:$B,Médicos!X20)</f>
        <v>Santarém</v>
      </c>
      <c r="J20" t="s">
        <v>341</v>
      </c>
      <c r="K20" t="s">
        <v>225</v>
      </c>
      <c r="L20" t="s">
        <v>265</v>
      </c>
      <c r="M20" t="str">
        <f t="shared" ca="1" si="2"/>
        <v>53519457</v>
      </c>
      <c r="N20" t="str">
        <f t="shared" ca="1" si="3"/>
        <v>380040995</v>
      </c>
      <c r="O20" t="str">
        <f t="shared" ca="1" si="3"/>
        <v>241553618</v>
      </c>
      <c r="P20" t="str" cm="1">
        <f t="array" aca="1" ref="P20" ca="1">9 &amp; INDEX($AH$3:$AH$6,Y20)&amp; TEXT(RANDBETWEEN(0,9999999),"0000000")</f>
        <v>933651479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8547872622464424</v>
      </c>
      <c r="T20" t="s">
        <v>341</v>
      </c>
      <c r="V20" s="4"/>
      <c r="X20">
        <f ca="1">RANDBETWEEN(2,COUNTA(rua_cod!A:A))</f>
        <v>93</v>
      </c>
      <c r="Y20">
        <f t="shared" ca="1" si="6"/>
        <v>3</v>
      </c>
      <c r="Z20">
        <f t="shared" ca="1" si="7"/>
        <v>2</v>
      </c>
      <c r="AA20">
        <f t="shared" ca="1" si="8"/>
        <v>1956</v>
      </c>
      <c r="AB20">
        <f t="shared" ca="1" si="9"/>
        <v>3</v>
      </c>
      <c r="AC20">
        <f t="shared" ca="1" si="10"/>
        <v>3</v>
      </c>
      <c r="AD20">
        <f t="shared" ca="1" si="11"/>
        <v>64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Luís Vicente</v>
      </c>
      <c r="E21" t="str">
        <f>Nomes!S22</f>
        <v>Masculino</v>
      </c>
      <c r="F21" s="2">
        <v>29267</v>
      </c>
      <c r="G21" t="str" cm="1">
        <f t="array" aca="1" ref="G21" ca="1">INDEX(rua_cod!$F:$F,RANDBETWEEN(2,COUNTA(rua_cod!F:F)))</f>
        <v>Rua Nova do Almada</v>
      </c>
      <c r="H21" t="str" cm="1">
        <f t="array" aca="1" ref="H21" ca="1">INDEX(rua_cod!$A:$A,Médicos!X21) &amp; "-" &amp; TEXT(RANDBETWEEN(0,999),"000")</f>
        <v>2754-359</v>
      </c>
      <c r="I21" t="str" cm="1">
        <f t="array" aca="1" ref="I21" ca="1">INDEX(rua_cod!$B:$B,Médicos!X21)</f>
        <v>Cascais</v>
      </c>
      <c r="J21" t="s">
        <v>341</v>
      </c>
      <c r="K21" t="s">
        <v>225</v>
      </c>
      <c r="L21" t="s">
        <v>265</v>
      </c>
      <c r="M21" t="str">
        <f t="shared" ca="1" si="2"/>
        <v>72973279</v>
      </c>
      <c r="N21" t="str">
        <f t="shared" ca="1" si="3"/>
        <v>374553845</v>
      </c>
      <c r="O21" t="str">
        <f t="shared" ca="1" si="3"/>
        <v>765776447</v>
      </c>
      <c r="P21" t="str" cm="1">
        <f t="array" aca="1" ref="P21" ca="1">9 &amp; INDEX($AH$3:$AH$6,Y21)&amp; TEXT(RANDBETWEEN(0,9999999),"0000000")</f>
        <v>933859658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6419326885805598</v>
      </c>
      <c r="T21" t="s">
        <v>341</v>
      </c>
      <c r="V21" s="4"/>
      <c r="X21">
        <f ca="1">RANDBETWEEN(2,COUNTA(rua_cod!A:A))</f>
        <v>25</v>
      </c>
      <c r="Y21">
        <f t="shared" ca="1" si="6"/>
        <v>3</v>
      </c>
      <c r="Z21">
        <f t="shared" ca="1" si="7"/>
        <v>3</v>
      </c>
      <c r="AA21">
        <f t="shared" ca="1" si="8"/>
        <v>1989</v>
      </c>
      <c r="AB21">
        <f t="shared" ca="1" si="9"/>
        <v>3</v>
      </c>
      <c r="AC21">
        <f t="shared" ca="1" si="10"/>
        <v>22</v>
      </c>
      <c r="AD21">
        <f t="shared" ca="1" si="11"/>
        <v>31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Beatriz Figueiredo</v>
      </c>
      <c r="E22" t="str">
        <f>Nomes!S23</f>
        <v>Feminino</v>
      </c>
      <c r="F22" s="2">
        <v>12111</v>
      </c>
      <c r="G22" t="str" cm="1">
        <f t="array" aca="1" ref="G22" ca="1">INDEX(rua_cod!$F:$F,RANDBETWEEN(2,COUNTA(rua_cod!F:F)))</f>
        <v>Rua Cidade de Bolama</v>
      </c>
      <c r="H22" t="str" cm="1">
        <f t="array" aca="1" ref="H22" ca="1">INDEX(rua_cod!$A:$A,Médicos!X22) &amp; "-" &amp; TEXT(RANDBETWEEN(0,999),"000")</f>
        <v>1269-017</v>
      </c>
      <c r="I22" t="str" cm="1">
        <f t="array" aca="1" ref="I22" ca="1">INDEX(rua_cod!$B:$B,Médicos!X22)</f>
        <v>Lisboa</v>
      </c>
      <c r="J22" t="s">
        <v>341</v>
      </c>
      <c r="K22" t="s">
        <v>225</v>
      </c>
      <c r="L22" t="s">
        <v>265</v>
      </c>
      <c r="M22" t="str">
        <f t="shared" ca="1" si="2"/>
        <v>82653595</v>
      </c>
      <c r="N22" t="str">
        <f t="shared" ca="1" si="3"/>
        <v>671467478</v>
      </c>
      <c r="O22" t="str">
        <f t="shared" ca="1" si="3"/>
        <v>860462504</v>
      </c>
      <c r="P22" t="str" cm="1">
        <f t="array" aca="1" ref="P22" ca="1">9 &amp; INDEX($AH$3:$AH$6,Y22)&amp; TEXT(RANDBETWEEN(0,9999999),"0000000")</f>
        <v>912318461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6470866421141930</v>
      </c>
      <c r="T22" t="s">
        <v>341</v>
      </c>
      <c r="V22" s="4"/>
      <c r="X22">
        <f ca="1">RANDBETWEEN(2,COUNTA(rua_cod!A:A))</f>
        <v>52</v>
      </c>
      <c r="Y22">
        <f t="shared" ca="1" si="6"/>
        <v>1</v>
      </c>
      <c r="Z22">
        <f t="shared" ca="1" si="7"/>
        <v>2</v>
      </c>
      <c r="AA22">
        <f t="shared" ca="1" si="8"/>
        <v>1993</v>
      </c>
      <c r="AB22">
        <f t="shared" ca="1" si="9"/>
        <v>2</v>
      </c>
      <c r="AC22">
        <f t="shared" ca="1" si="10"/>
        <v>10</v>
      </c>
      <c r="AD22">
        <f t="shared" ca="1" si="11"/>
        <v>27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Tomás Costa</v>
      </c>
      <c r="E23" t="str">
        <f>Nomes!S24</f>
        <v>Masculino</v>
      </c>
      <c r="F23" s="2">
        <v>22513</v>
      </c>
      <c r="G23" t="str" cm="1">
        <f t="array" aca="1" ref="G23" ca="1">INDEX(rua_cod!$F:$F,RANDBETWEEN(2,COUNTA(rua_cod!F:F)))</f>
        <v>Calçada do Moinho de Vento</v>
      </c>
      <c r="H23" t="str" cm="1">
        <f t="array" aca="1" ref="H23" ca="1">INDEX(rua_cod!$A:$A,Médicos!X23) &amp; "-" &amp; TEXT(RANDBETWEEN(0,999),"000")</f>
        <v>2825-900</v>
      </c>
      <c r="I23" t="str" cm="1">
        <f t="array" aca="1" ref="I23" ca="1">INDEX(rua_cod!$B:$B,Médicos!X23)</f>
        <v>Costa de Caparica</v>
      </c>
      <c r="J23" t="s">
        <v>341</v>
      </c>
      <c r="K23" t="s">
        <v>225</v>
      </c>
      <c r="L23" t="s">
        <v>265</v>
      </c>
      <c r="M23" t="str">
        <f t="shared" ca="1" si="2"/>
        <v>71986948</v>
      </c>
      <c r="N23" t="str">
        <f t="shared" ca="1" si="3"/>
        <v>448014622</v>
      </c>
      <c r="O23" t="str">
        <f t="shared" ca="1" si="3"/>
        <v>654793801</v>
      </c>
      <c r="P23" t="str" cm="1">
        <f t="array" aca="1" ref="P23" ca="1">9 &amp; INDEX($AH$3:$AH$6,Y23)&amp; TEXT(RANDBETWEEN(0,9999999),"0000000")</f>
        <v>937421298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4015751662849469</v>
      </c>
      <c r="T23" t="s">
        <v>341</v>
      </c>
      <c r="V23" s="4"/>
      <c r="X23">
        <f ca="1">RANDBETWEEN(2,COUNTA(rua_cod!A:A))</f>
        <v>27</v>
      </c>
      <c r="Y23">
        <f t="shared" ca="1" si="6"/>
        <v>3</v>
      </c>
      <c r="Z23">
        <f t="shared" ca="1" si="7"/>
        <v>2</v>
      </c>
      <c r="AA23">
        <f t="shared" ca="1" si="8"/>
        <v>1988</v>
      </c>
      <c r="AB23">
        <f t="shared" ca="1" si="9"/>
        <v>4</v>
      </c>
      <c r="AC23">
        <f t="shared" ca="1" si="10"/>
        <v>14</v>
      </c>
      <c r="AD23">
        <f t="shared" ca="1" si="11"/>
        <v>32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Maria Machado</v>
      </c>
      <c r="E24" t="str">
        <f>Nomes!S25</f>
        <v>Feminino</v>
      </c>
      <c r="F24" s="2">
        <v>22253</v>
      </c>
      <c r="G24" t="str" cm="1">
        <f t="array" aca="1" ref="G24" ca="1">INDEX(rua_cod!$F:$F,RANDBETWEEN(2,COUNTA(rua_cod!F:F)))</f>
        <v>Estrada Militar</v>
      </c>
      <c r="H24" t="str" cm="1">
        <f t="array" aca="1" ref="H24" ca="1">INDEX(rua_cod!$A:$A,Médicos!X24) &amp; "-" &amp; TEXT(RANDBETWEEN(0,999),"000")</f>
        <v>2829-786</v>
      </c>
      <c r="I24" t="str" cm="1">
        <f t="array" aca="1" ref="I24" ca="1">INDEX(rua_cod!$B:$B,Médicos!X24)</f>
        <v>Caparica</v>
      </c>
      <c r="J24" t="s">
        <v>341</v>
      </c>
      <c r="K24" t="s">
        <v>225</v>
      </c>
      <c r="L24" t="s">
        <v>265</v>
      </c>
      <c r="M24" t="str">
        <f t="shared" ca="1" si="2"/>
        <v>81624218</v>
      </c>
      <c r="N24" t="str">
        <f t="shared" ca="1" si="3"/>
        <v>398768808</v>
      </c>
      <c r="O24" t="str">
        <f t="shared" ca="1" si="3"/>
        <v>274626195</v>
      </c>
      <c r="P24" t="str" cm="1">
        <f t="array" aca="1" ref="P24" ca="1">9 &amp; INDEX($AH$3:$AH$6,Y24)&amp; TEXT(RANDBETWEEN(0,9999999),"0000000")</f>
        <v>935877447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1083046508861983</v>
      </c>
      <c r="T24" t="s">
        <v>341</v>
      </c>
      <c r="V24" s="4"/>
      <c r="X24">
        <f ca="1">RANDBETWEEN(2,COUNTA(rua_cod!A:A))</f>
        <v>19</v>
      </c>
      <c r="Y24">
        <f t="shared" ca="1" si="6"/>
        <v>3</v>
      </c>
      <c r="Z24">
        <f t="shared" ca="1" si="7"/>
        <v>3</v>
      </c>
      <c r="AA24">
        <f t="shared" ca="1" si="8"/>
        <v>1988</v>
      </c>
      <c r="AB24">
        <f t="shared" ca="1" si="9"/>
        <v>2</v>
      </c>
      <c r="AC24">
        <f t="shared" ca="1" si="10"/>
        <v>28</v>
      </c>
      <c r="AD24">
        <f t="shared" ca="1" si="11"/>
        <v>32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Lurdes Pinheiro</v>
      </c>
      <c r="E25" t="str">
        <f>Nomes!S26</f>
        <v>Feminino</v>
      </c>
      <c r="F25" s="2">
        <v>14100</v>
      </c>
      <c r="G25" t="str" cm="1">
        <f t="array" aca="1" ref="G25" ca="1">INDEX(rua_cod!$F:$F,RANDBETWEEN(2,COUNTA(rua_cod!F:F)))</f>
        <v>Rua Garrett</v>
      </c>
      <c r="H25" t="str" cm="1">
        <f t="array" aca="1" ref="H25" ca="1">INDEX(rua_cod!$A:$A,Médicos!X25) &amp; "-" &amp; TEXT(RANDBETWEEN(0,999),"000")</f>
        <v>2414-380</v>
      </c>
      <c r="I25" t="str" cm="1">
        <f t="array" aca="1" ref="I25" ca="1">INDEX(rua_cod!$B:$B,Médicos!X25)</f>
        <v>Leiria</v>
      </c>
      <c r="J25" t="s">
        <v>341</v>
      </c>
      <c r="K25" t="s">
        <v>225</v>
      </c>
      <c r="L25" t="s">
        <v>265</v>
      </c>
      <c r="M25" t="str">
        <f t="shared" ca="1" si="2"/>
        <v>40083922</v>
      </c>
      <c r="N25" t="str">
        <f t="shared" ca="1" si="3"/>
        <v>310475057</v>
      </c>
      <c r="O25" t="str">
        <f t="shared" ca="1" si="3"/>
        <v>237622411</v>
      </c>
      <c r="P25" t="str" cm="1">
        <f t="array" aca="1" ref="P25" ca="1">9 &amp; INDEX($AH$3:$AH$6,Y25)&amp; TEXT(RANDBETWEEN(0,9999999),"0000000")</f>
        <v>932249654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9011903183853406</v>
      </c>
      <c r="T25" t="s">
        <v>341</v>
      </c>
      <c r="V25" s="4"/>
      <c r="X25">
        <f ca="1">RANDBETWEEN(2,COUNTA(rua_cod!A:A))</f>
        <v>36</v>
      </c>
      <c r="Y25">
        <f t="shared" ca="1" si="6"/>
        <v>3</v>
      </c>
      <c r="Z25">
        <f t="shared" ca="1" si="7"/>
        <v>1</v>
      </c>
      <c r="AA25">
        <f t="shared" ca="1" si="8"/>
        <v>1986</v>
      </c>
      <c r="AB25">
        <f t="shared" ca="1" si="9"/>
        <v>9</v>
      </c>
      <c r="AC25">
        <f t="shared" ca="1" si="10"/>
        <v>26</v>
      </c>
      <c r="AD25">
        <f t="shared" ca="1" si="11"/>
        <v>34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Bruno Rocha</v>
      </c>
      <c r="E26" t="str">
        <f>Nomes!S27</f>
        <v>Masculino</v>
      </c>
      <c r="F26" s="2">
        <v>14176</v>
      </c>
      <c r="G26" t="str" cm="1">
        <f t="array" aca="1" ref="G26" ca="1">INDEX(rua_cod!$F:$F,RANDBETWEEN(2,COUNTA(rua_cod!F:F)))</f>
        <v>Rua do Arsenal</v>
      </c>
      <c r="H26" t="str" cm="1">
        <f t="array" aca="1" ref="H26" ca="1">INDEX(rua_cod!$A:$A,Médicos!X26) &amp; "-" &amp; TEXT(RANDBETWEEN(0,999),"000")</f>
        <v>3000-568</v>
      </c>
      <c r="I26" t="str" cm="1">
        <f t="array" aca="1" ref="I26" ca="1">INDEX(rua_cod!$B:$B,Médicos!X26)</f>
        <v>Coimbra</v>
      </c>
      <c r="J26" t="s">
        <v>341</v>
      </c>
      <c r="K26" t="s">
        <v>225</v>
      </c>
      <c r="L26" t="s">
        <v>265</v>
      </c>
      <c r="M26" t="str">
        <f t="shared" ca="1" si="2"/>
        <v>83782149</v>
      </c>
      <c r="N26" t="str">
        <f t="shared" ca="1" si="3"/>
        <v>292214726</v>
      </c>
      <c r="O26" t="str">
        <f t="shared" ca="1" si="3"/>
        <v>151825157</v>
      </c>
      <c r="P26" t="str" cm="1">
        <f t="array" aca="1" ref="P26" ca="1">9 &amp; INDEX($AH$3:$AH$6,Y26)&amp; TEXT(RANDBETWEEN(0,9999999),"0000000")</f>
        <v>924831163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9340892738036408</v>
      </c>
      <c r="T26" t="s">
        <v>341</v>
      </c>
      <c r="V26" s="4"/>
      <c r="X26">
        <f ca="1">RANDBETWEEN(2,COUNTA(rua_cod!A:A))</f>
        <v>26</v>
      </c>
      <c r="Y26">
        <f t="shared" ca="1" si="6"/>
        <v>2</v>
      </c>
      <c r="Z26">
        <f t="shared" ca="1" si="7"/>
        <v>2</v>
      </c>
      <c r="AA26">
        <f t="shared" ca="1" si="8"/>
        <v>1994</v>
      </c>
      <c r="AB26">
        <f t="shared" ca="1" si="9"/>
        <v>10</v>
      </c>
      <c r="AC26">
        <f t="shared" ca="1" si="10"/>
        <v>17</v>
      </c>
      <c r="AD26">
        <f t="shared" ca="1" si="11"/>
        <v>26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Luís Abreu</v>
      </c>
      <c r="E27" t="str">
        <f>Nomes!S28</f>
        <v>Masculino</v>
      </c>
      <c r="F27" s="2">
        <v>15060</v>
      </c>
      <c r="G27" t="str" cm="1">
        <f t="array" aca="1" ref="G27" ca="1">INDEX(rua_cod!$F:$F,RANDBETWEEN(2,COUNTA(rua_cod!F:F)))</f>
        <v>Rua do Sol a Santana</v>
      </c>
      <c r="H27" t="str" cm="1">
        <f t="array" aca="1" ref="H27" ca="1">INDEX(rua_cod!$A:$A,Médicos!X27) &amp; "-" &amp; TEXT(RANDBETWEEN(0,999),"000")</f>
        <v>1750-898</v>
      </c>
      <c r="I27" t="str" cm="1">
        <f t="array" aca="1" ref="I27" ca="1">INDEX(rua_cod!$B:$B,Médicos!X27)</f>
        <v>Lisboa</v>
      </c>
      <c r="J27" t="s">
        <v>341</v>
      </c>
      <c r="K27" t="s">
        <v>225</v>
      </c>
      <c r="L27" t="s">
        <v>265</v>
      </c>
      <c r="M27" t="str">
        <f t="shared" ca="1" si="2"/>
        <v>81363761</v>
      </c>
      <c r="N27" t="str">
        <f t="shared" ca="1" si="3"/>
        <v>116335465</v>
      </c>
      <c r="O27" t="str">
        <f t="shared" ca="1" si="3"/>
        <v>348527018</v>
      </c>
      <c r="P27" t="str" cm="1">
        <f t="array" aca="1" ref="P27" ca="1">9 &amp; INDEX($AH$3:$AH$6,Y27)&amp; TEXT(RANDBETWEEN(0,9999999),"0000000")</f>
        <v>935022641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3023433363054178</v>
      </c>
      <c r="T27" t="s">
        <v>341</v>
      </c>
      <c r="V27" s="4"/>
      <c r="X27">
        <f ca="1">RANDBETWEEN(2,COUNTA(rua_cod!A:A))</f>
        <v>49</v>
      </c>
      <c r="Y27">
        <f t="shared" ca="1" si="6"/>
        <v>3</v>
      </c>
      <c r="Z27">
        <f t="shared" ca="1" si="7"/>
        <v>1</v>
      </c>
      <c r="AA27">
        <f t="shared" ca="1" si="8"/>
        <v>1961</v>
      </c>
      <c r="AB27">
        <f t="shared" ca="1" si="9"/>
        <v>7</v>
      </c>
      <c r="AC27">
        <f t="shared" ca="1" si="10"/>
        <v>24</v>
      </c>
      <c r="AD27">
        <f t="shared" ca="1" si="11"/>
        <v>59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Miguel Vieira</v>
      </c>
      <c r="E28" t="str">
        <f>Nomes!S29</f>
        <v>Masculino</v>
      </c>
      <c r="F28" s="2">
        <v>32317</v>
      </c>
      <c r="G28" t="str" cm="1">
        <f t="array" aca="1" ref="G28" ca="1">INDEX(rua_cod!$F:$F,RANDBETWEEN(2,COUNTA(rua_cod!F:F)))</f>
        <v>Rua dos Bacalhoeiros</v>
      </c>
      <c r="H28" t="str" cm="1">
        <f t="array" aca="1" ref="H28" ca="1">INDEX(rua_cod!$A:$A,Médicos!X28) &amp; "-" &amp; TEXT(RANDBETWEEN(0,999),"000")</f>
        <v>1800-261</v>
      </c>
      <c r="I28" t="str" cm="1">
        <f t="array" aca="1" ref="I28" ca="1">INDEX(rua_cod!$B:$B,Médicos!X28)</f>
        <v>Lisboa</v>
      </c>
      <c r="J28" t="s">
        <v>341</v>
      </c>
      <c r="K28" t="s">
        <v>225</v>
      </c>
      <c r="L28" t="s">
        <v>265</v>
      </c>
      <c r="M28" t="str">
        <f t="shared" ca="1" si="2"/>
        <v>80849317</v>
      </c>
      <c r="N28" t="str">
        <f t="shared" ca="1" si="3"/>
        <v>839621571</v>
      </c>
      <c r="O28" t="str">
        <f t="shared" ca="1" si="3"/>
        <v>776670055</v>
      </c>
      <c r="P28" t="str" cm="1">
        <f t="array" aca="1" ref="P28" ca="1">9 &amp; INDEX($AH$3:$AH$6,Y28)&amp; TEXT(RANDBETWEEN(0,9999999),"0000000")</f>
        <v>923521968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8660411843498347</v>
      </c>
      <c r="T28" t="s">
        <v>341</v>
      </c>
      <c r="V28" s="4"/>
      <c r="X28">
        <f ca="1">RANDBETWEEN(2,COUNTA(rua_cod!A:A))</f>
        <v>56</v>
      </c>
      <c r="Y28">
        <f t="shared" ca="1" si="6"/>
        <v>2</v>
      </c>
      <c r="Z28">
        <f t="shared" ca="1" si="7"/>
        <v>1</v>
      </c>
      <c r="AA28">
        <f t="shared" ca="1" si="8"/>
        <v>1963</v>
      </c>
      <c r="AB28">
        <f t="shared" ca="1" si="9"/>
        <v>8</v>
      </c>
      <c r="AC28">
        <f t="shared" ca="1" si="10"/>
        <v>3</v>
      </c>
      <c r="AD28">
        <f t="shared" ca="1" si="11"/>
        <v>57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Ana Vicente</v>
      </c>
      <c r="E29" t="str">
        <f>Nomes!S30</f>
        <v>Feminino</v>
      </c>
      <c r="F29" s="2">
        <v>31298</v>
      </c>
      <c r="G29" t="str" cm="1">
        <f t="array" aca="1" ref="G29" ca="1">INDEX(rua_cod!$F:$F,RANDBETWEEN(2,COUNTA(rua_cod!F:F)))</f>
        <v>Rua Ferreira Lapa</v>
      </c>
      <c r="H29" t="str" cm="1">
        <f t="array" aca="1" ref="H29" ca="1">INDEX(rua_cod!$A:$A,Médicos!X29) &amp; "-" &amp; TEXT(RANDBETWEEN(0,999),"000")</f>
        <v>1500-776</v>
      </c>
      <c r="I29" t="str" cm="1">
        <f t="array" aca="1" ref="I29" ca="1">INDEX(rua_cod!$B:$B,Médicos!X29)</f>
        <v>Lisboa</v>
      </c>
      <c r="J29" t="s">
        <v>341</v>
      </c>
      <c r="K29" t="s">
        <v>225</v>
      </c>
      <c r="L29" t="s">
        <v>265</v>
      </c>
      <c r="M29" t="str">
        <f t="shared" ca="1" si="2"/>
        <v>57420682</v>
      </c>
      <c r="N29" t="str">
        <f t="shared" ca="1" si="3"/>
        <v>245147665</v>
      </c>
      <c r="O29" t="str">
        <f t="shared" ca="1" si="3"/>
        <v>877436075</v>
      </c>
      <c r="P29" t="str" cm="1">
        <f t="array" aca="1" ref="P29" ca="1">9 &amp; INDEX($AH$3:$AH$6,Y29)&amp; TEXT(RANDBETWEEN(0,9999999),"0000000")</f>
        <v>933120943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4599477907761498</v>
      </c>
      <c r="T29" t="s">
        <v>341</v>
      </c>
      <c r="V29" s="4"/>
      <c r="X29">
        <f ca="1">RANDBETWEEN(2,COUNTA(rua_cod!A:A))</f>
        <v>43</v>
      </c>
      <c r="Y29">
        <f t="shared" ca="1" si="6"/>
        <v>3</v>
      </c>
      <c r="Z29">
        <f t="shared" ca="1" si="7"/>
        <v>2</v>
      </c>
      <c r="AA29">
        <f t="shared" ca="1" si="8"/>
        <v>1994</v>
      </c>
      <c r="AB29">
        <f t="shared" ca="1" si="9"/>
        <v>10</v>
      </c>
      <c r="AC29">
        <f t="shared" ca="1" si="10"/>
        <v>13</v>
      </c>
      <c r="AD29">
        <f t="shared" ca="1" si="11"/>
        <v>26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Maria Jesus</v>
      </c>
      <c r="E30" t="str">
        <f>Nomes!S31</f>
        <v>Feminino</v>
      </c>
      <c r="F30" s="2">
        <v>20622</v>
      </c>
      <c r="G30" t="str" cm="1">
        <f t="array" aca="1" ref="G30" ca="1">INDEX(rua_cod!$F:$F,RANDBETWEEN(2,COUNTA(rua_cod!F:F)))</f>
        <v>Rua de São Mamede</v>
      </c>
      <c r="H30" t="str" cm="1">
        <f t="array" aca="1" ref="H30" ca="1">INDEX(rua_cod!$A:$A,Médicos!X30) &amp; "-" &amp; TEXT(RANDBETWEEN(0,999),"000")</f>
        <v>1748-606</v>
      </c>
      <c r="I30" t="str" cm="1">
        <f t="array" aca="1" ref="I30" ca="1">INDEX(rua_cod!$B:$B,Médicos!X30)</f>
        <v>Lisboa</v>
      </c>
      <c r="J30" t="s">
        <v>341</v>
      </c>
      <c r="K30" t="s">
        <v>225</v>
      </c>
      <c r="L30" t="s">
        <v>265</v>
      </c>
      <c r="M30" t="str">
        <f t="shared" ca="1" si="2"/>
        <v>88575325</v>
      </c>
      <c r="N30" t="str">
        <f t="shared" ca="1" si="3"/>
        <v>583307793</v>
      </c>
      <c r="O30" t="str">
        <f t="shared" ca="1" si="3"/>
        <v>148015015</v>
      </c>
      <c r="P30" t="str" cm="1">
        <f t="array" aca="1" ref="P30" ca="1">9 &amp; INDEX($AH$3:$AH$6,Y30)&amp; TEXT(RANDBETWEEN(0,9999999),"0000000")</f>
        <v>938086452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8020239597058252</v>
      </c>
      <c r="T30" t="s">
        <v>341</v>
      </c>
      <c r="V30" s="4"/>
      <c r="X30">
        <f ca="1">RANDBETWEEN(2,COUNTA(rua_cod!A:A))</f>
        <v>77</v>
      </c>
      <c r="Y30">
        <f t="shared" ca="1" si="6"/>
        <v>3</v>
      </c>
      <c r="Z30">
        <f t="shared" ca="1" si="7"/>
        <v>3</v>
      </c>
      <c r="AA30">
        <f t="shared" ca="1" si="8"/>
        <v>1982</v>
      </c>
      <c r="AB30">
        <f t="shared" ca="1" si="9"/>
        <v>3</v>
      </c>
      <c r="AC30">
        <f t="shared" ca="1" si="10"/>
        <v>27</v>
      </c>
      <c r="AD30">
        <f t="shared" ca="1" si="11"/>
        <v>38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Francisca Rocha</v>
      </c>
      <c r="E31" t="str">
        <f>Nomes!S32</f>
        <v>Feminino</v>
      </c>
      <c r="F31" s="2">
        <v>15242</v>
      </c>
      <c r="G31" t="str" cm="1">
        <f t="array" aca="1" ref="G31" ca="1">INDEX(rua_cod!$F:$F,RANDBETWEEN(2,COUNTA(rua_cod!F:F)))</f>
        <v>Rua dos Bacalhoeiros</v>
      </c>
      <c r="H31" t="str" cm="1">
        <f t="array" aca="1" ref="H31" ca="1">INDEX(rua_cod!$A:$A,Médicos!X31) &amp; "-" &amp; TEXT(RANDBETWEEN(0,999),"000")</f>
        <v>2640-775</v>
      </c>
      <c r="I31" t="str" cm="1">
        <f t="array" aca="1" ref="I31" ca="1">INDEX(rua_cod!$B:$B,Médicos!X31)</f>
        <v>Mafra</v>
      </c>
      <c r="J31" t="s">
        <v>341</v>
      </c>
      <c r="K31" t="s">
        <v>225</v>
      </c>
      <c r="L31" t="s">
        <v>265</v>
      </c>
      <c r="M31" t="str">
        <f t="shared" ca="1" si="2"/>
        <v>90596402</v>
      </c>
      <c r="N31" t="str">
        <f t="shared" ca="1" si="3"/>
        <v>174590515</v>
      </c>
      <c r="O31" t="str">
        <f t="shared" ca="1" si="3"/>
        <v>359074256</v>
      </c>
      <c r="P31" t="str" cm="1">
        <f t="array" aca="1" ref="P31" ca="1">9 &amp; INDEX($AH$3:$AH$6,Y31)&amp; TEXT(RANDBETWEEN(0,9999999),"0000000")</f>
        <v>916338338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1834459402361183</v>
      </c>
      <c r="T31" t="s">
        <v>341</v>
      </c>
      <c r="V31" s="4"/>
      <c r="X31">
        <f ca="1">RANDBETWEEN(2,COUNTA(rua_cod!A:A))</f>
        <v>85</v>
      </c>
      <c r="Y31">
        <f t="shared" ca="1" si="6"/>
        <v>1</v>
      </c>
      <c r="Z31">
        <f t="shared" ca="1" si="7"/>
        <v>2</v>
      </c>
      <c r="AA31">
        <f t="shared" ca="1" si="8"/>
        <v>1964</v>
      </c>
      <c r="AB31">
        <f t="shared" ca="1" si="9"/>
        <v>5</v>
      </c>
      <c r="AC31">
        <f t="shared" ca="1" si="10"/>
        <v>8</v>
      </c>
      <c r="AD31">
        <f t="shared" ca="1" si="11"/>
        <v>56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Luís Cunha</v>
      </c>
      <c r="E32" t="str">
        <f>Nomes!S33</f>
        <v>Masculino</v>
      </c>
      <c r="F32" s="2">
        <v>38538</v>
      </c>
      <c r="G32" t="str" cm="1">
        <f t="array" aca="1" ref="G32" ca="1">INDEX(rua_cod!$F:$F,RANDBETWEEN(2,COUNTA(rua_cod!F:F)))</f>
        <v>Rua do Guarda-Mor</v>
      </c>
      <c r="H32" t="str" cm="1">
        <f t="array" aca="1" ref="H32" ca="1">INDEX(rua_cod!$A:$A,Médicos!X32) &amp; "-" &amp; TEXT(RANDBETWEEN(0,999),"000")</f>
        <v>2829-084</v>
      </c>
      <c r="I32" t="str" cm="1">
        <f t="array" aca="1" ref="I32" ca="1">INDEX(rua_cod!$B:$B,Médicos!X32)</f>
        <v>Costa de Caparica</v>
      </c>
      <c r="J32" t="s">
        <v>341</v>
      </c>
      <c r="K32" t="s">
        <v>225</v>
      </c>
      <c r="L32" t="s">
        <v>265</v>
      </c>
      <c r="M32" t="str">
        <f t="shared" ca="1" si="2"/>
        <v>51316780</v>
      </c>
      <c r="N32" t="str">
        <f t="shared" ca="1" si="3"/>
        <v>397140362</v>
      </c>
      <c r="O32" t="str">
        <f t="shared" ca="1" si="3"/>
        <v>670238420</v>
      </c>
      <c r="P32" t="str" cm="1">
        <f t="array" aca="1" ref="P32" ca="1">9 &amp; INDEX($AH$3:$AH$6,Y32)&amp; TEXT(RANDBETWEEN(0,9999999),"0000000")</f>
        <v>924469594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2098822651040958</v>
      </c>
      <c r="T32" t="s">
        <v>341</v>
      </c>
      <c r="V32" s="4"/>
      <c r="X32">
        <f ca="1">RANDBETWEEN(2,COUNTA(rua_cod!A:A))</f>
        <v>28</v>
      </c>
      <c r="Y32">
        <f t="shared" ca="1" si="6"/>
        <v>2</v>
      </c>
      <c r="Z32">
        <f t="shared" ca="1" si="7"/>
        <v>3</v>
      </c>
      <c r="AA32">
        <f t="shared" ca="1" si="8"/>
        <v>1988</v>
      </c>
      <c r="AB32">
        <f t="shared" ca="1" si="9"/>
        <v>5</v>
      </c>
      <c r="AC32">
        <f t="shared" ca="1" si="10"/>
        <v>15</v>
      </c>
      <c r="AD32">
        <f t="shared" ca="1" si="11"/>
        <v>32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Carolina Nunes</v>
      </c>
      <c r="E33" t="str">
        <f>Nomes!S34</f>
        <v>Feminino</v>
      </c>
      <c r="F33" s="2">
        <v>22147</v>
      </c>
      <c r="G33" t="str" cm="1">
        <f t="array" aca="1" ref="G33" ca="1">INDEX(rua_cod!$F:$F,RANDBETWEEN(2,COUNTA(rua_cod!F:F)))</f>
        <v>Rua Augusta</v>
      </c>
      <c r="H33" t="str" cm="1">
        <f t="array" aca="1" ref="H33" ca="1">INDEX(rua_cod!$A:$A,Médicos!X33) &amp; "-" &amp; TEXT(RANDBETWEEN(0,999),"000")</f>
        <v>1049-826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83750610</v>
      </c>
      <c r="N33" t="str">
        <f t="shared" ca="1" si="3"/>
        <v>302450412</v>
      </c>
      <c r="O33" t="str">
        <f t="shared" ca="1" si="3"/>
        <v>403050934</v>
      </c>
      <c r="P33" t="str" cm="1">
        <f t="array" aca="1" ref="P33" ca="1">9 &amp; INDEX($AH$3:$AH$6,Y33)&amp; TEXT(RANDBETWEEN(0,9999999),"0000000")</f>
        <v>920989580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6217037739107917</v>
      </c>
      <c r="T33" t="s">
        <v>341</v>
      </c>
      <c r="V33" s="4"/>
      <c r="X33">
        <f ca="1">RANDBETWEEN(2,COUNTA(rua_cod!A:A))</f>
        <v>76</v>
      </c>
      <c r="Y33">
        <f t="shared" ca="1" si="6"/>
        <v>2</v>
      </c>
      <c r="Z33">
        <f t="shared" ca="1" si="7"/>
        <v>3</v>
      </c>
      <c r="AA33">
        <f t="shared" ca="1" si="8"/>
        <v>1953</v>
      </c>
      <c r="AB33">
        <f t="shared" ca="1" si="9"/>
        <v>4</v>
      </c>
      <c r="AC33">
        <f t="shared" ca="1" si="10"/>
        <v>8</v>
      </c>
      <c r="AD33">
        <f t="shared" ca="1" si="11"/>
        <v>67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Daniela Pinho Maia</v>
      </c>
      <c r="E34" t="str">
        <f>Nomes!S35</f>
        <v>Feminino</v>
      </c>
      <c r="F34" s="2">
        <v>26345</v>
      </c>
      <c r="G34" t="str" cm="1">
        <f t="array" aca="1" ref="G34" ca="1">INDEX(rua_cod!$F:$F,RANDBETWEEN(2,COUNTA(rua_cod!F:F)))</f>
        <v>Rua Augusta</v>
      </c>
      <c r="H34" t="str" cm="1">
        <f t="array" aca="1" ref="H34" ca="1">INDEX(rua_cod!$A:$A,Médicos!X34) &amp; "-" &amp; TEXT(RANDBETWEEN(0,999),"000")</f>
        <v>1169-093</v>
      </c>
      <c r="I34" t="str" cm="1">
        <f t="array" aca="1" ref="I34" ca="1">INDEX(rua_cod!$B:$B,Médicos!X34)</f>
        <v>Lisboa</v>
      </c>
      <c r="J34" t="s">
        <v>341</v>
      </c>
      <c r="K34" t="s">
        <v>225</v>
      </c>
      <c r="L34" t="s">
        <v>265</v>
      </c>
      <c r="M34" t="str">
        <f t="shared" ca="1" si="2"/>
        <v>20900136</v>
      </c>
      <c r="N34" t="str">
        <f t="shared" ca="1" si="3"/>
        <v>621964557</v>
      </c>
      <c r="O34" t="str">
        <f t="shared" ca="1" si="3"/>
        <v>248831709</v>
      </c>
      <c r="P34" t="str" cm="1">
        <f t="array" aca="1" ref="P34" ca="1">9 &amp; INDEX($AH$3:$AH$6,Y34)&amp; TEXT(RANDBETWEEN(0,9999999),"0000000")</f>
        <v>918812578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7682876778023422</v>
      </c>
      <c r="T34" t="s">
        <v>341</v>
      </c>
      <c r="V34" s="4"/>
      <c r="X34">
        <f ca="1">RANDBETWEEN(2,COUNTA(rua_cod!A:A))</f>
        <v>70</v>
      </c>
      <c r="Y34">
        <f t="shared" ca="1" si="6"/>
        <v>1</v>
      </c>
      <c r="Z34">
        <f t="shared" ca="1" si="7"/>
        <v>1</v>
      </c>
      <c r="AA34">
        <f t="shared" ca="1" si="8"/>
        <v>1976</v>
      </c>
      <c r="AB34">
        <f t="shared" ca="1" si="9"/>
        <v>4</v>
      </c>
      <c r="AC34">
        <f t="shared" ca="1" si="10"/>
        <v>2</v>
      </c>
      <c r="AD34">
        <f t="shared" ca="1" si="11"/>
        <v>44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Luís Valente Azevedo</v>
      </c>
      <c r="E35" t="str">
        <f>Nomes!S36</f>
        <v>Masculino</v>
      </c>
      <c r="F35" s="2">
        <v>24701</v>
      </c>
      <c r="G35" t="str" cm="1">
        <f t="array" aca="1" ref="G35" ca="1">INDEX(rua_cod!$F:$F,RANDBETWEEN(2,COUNTA(rua_cod!F:F)))</f>
        <v>Rua do Guarda-Mor</v>
      </c>
      <c r="H35" t="str" cm="1">
        <f t="array" aca="1" ref="H35" ca="1">INDEX(rua_cod!$A:$A,Médicos!X35) &amp; "-" &amp; TEXT(RANDBETWEEN(0,999),"000")</f>
        <v>2904-886</v>
      </c>
      <c r="I35" t="str" cm="1">
        <f t="array" aca="1" ref="I35" ca="1">INDEX(rua_cod!$B:$B,Médicos!X35)</f>
        <v>Setúbal</v>
      </c>
      <c r="J35" t="s">
        <v>341</v>
      </c>
      <c r="K35" t="s">
        <v>225</v>
      </c>
      <c r="L35" t="s">
        <v>265</v>
      </c>
      <c r="M35" t="str">
        <f t="shared" ca="1" si="2"/>
        <v>10783067</v>
      </c>
      <c r="N35" t="str">
        <f t="shared" ca="1" si="3"/>
        <v>462808188</v>
      </c>
      <c r="O35" t="str">
        <f t="shared" ca="1" si="3"/>
        <v>866638683</v>
      </c>
      <c r="P35" t="str" cm="1">
        <f t="array" aca="1" ref="P35" ca="1">9 &amp; INDEX($AH$3:$AH$6,Y35)&amp; TEXT(RANDBETWEEN(0,9999999),"0000000")</f>
        <v>965110579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8107626104152331</v>
      </c>
      <c r="T35" t="s">
        <v>341</v>
      </c>
      <c r="V35" s="4"/>
      <c r="X35">
        <f ca="1">RANDBETWEEN(2,COUNTA(rua_cod!A:A))</f>
        <v>99</v>
      </c>
      <c r="Y35">
        <f t="shared" ca="1" si="6"/>
        <v>4</v>
      </c>
      <c r="Z35">
        <f t="shared" ca="1" si="7"/>
        <v>3</v>
      </c>
      <c r="AA35">
        <f t="shared" ca="1" si="8"/>
        <v>1966</v>
      </c>
      <c r="AB35">
        <f t="shared" ca="1" si="9"/>
        <v>3</v>
      </c>
      <c r="AC35">
        <f t="shared" ca="1" si="10"/>
        <v>21</v>
      </c>
      <c r="AD35">
        <f t="shared" ca="1" si="11"/>
        <v>54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Joana Correia Santos</v>
      </c>
      <c r="E36" t="str">
        <f>Nomes!S37</f>
        <v>Feminino</v>
      </c>
      <c r="F36" s="2">
        <v>36840</v>
      </c>
      <c r="G36" t="str" cm="1">
        <f t="array" aca="1" ref="G36" ca="1">INDEX(rua_cod!$F:$F,RANDBETWEEN(2,COUNTA(rua_cod!F:F)))</f>
        <v>Rua Nova do Almada</v>
      </c>
      <c r="H36" t="str" cm="1">
        <f t="array" aca="1" ref="H36" ca="1">INDEX(rua_cod!$A:$A,Médicos!X36) &amp; "-" &amp; TEXT(RANDBETWEEN(0,999),"000")</f>
        <v>2420-584</v>
      </c>
      <c r="I36" t="str" cm="1">
        <f t="array" aca="1" ref="I36" ca="1">INDEX(rua_cod!$B:$B,Médicos!X36)</f>
        <v>Leiria</v>
      </c>
      <c r="J36" t="s">
        <v>341</v>
      </c>
      <c r="K36" t="s">
        <v>225</v>
      </c>
      <c r="L36" t="s">
        <v>265</v>
      </c>
      <c r="M36" t="str">
        <f t="shared" ca="1" si="2"/>
        <v>63887737</v>
      </c>
      <c r="N36" t="str">
        <f t="shared" ca="1" si="3"/>
        <v>343426586</v>
      </c>
      <c r="O36" t="str">
        <f t="shared" ca="1" si="3"/>
        <v>211114067</v>
      </c>
      <c r="P36" t="str" cm="1">
        <f t="array" aca="1" ref="P36" ca="1">9 &amp; INDEX($AH$3:$AH$6,Y36)&amp; TEXT(RANDBETWEEN(0,9999999),"0000000")</f>
        <v>936833658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5627844769793178</v>
      </c>
      <c r="T36" t="s">
        <v>341</v>
      </c>
      <c r="V36" s="4"/>
      <c r="X36">
        <f ca="1">RANDBETWEEN(2,COUNTA(rua_cod!A:A))</f>
        <v>33</v>
      </c>
      <c r="Y36">
        <f t="shared" ca="1" si="6"/>
        <v>3</v>
      </c>
      <c r="Z36">
        <f t="shared" ca="1" si="7"/>
        <v>1</v>
      </c>
      <c r="AA36">
        <f t="shared" ca="1" si="8"/>
        <v>1985</v>
      </c>
      <c r="AB36">
        <f t="shared" ca="1" si="9"/>
        <v>9</v>
      </c>
      <c r="AC36">
        <f t="shared" ca="1" si="10"/>
        <v>6</v>
      </c>
      <c r="AD36">
        <f t="shared" ca="1" si="11"/>
        <v>35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José Paiva Cunha</v>
      </c>
      <c r="E37" t="str">
        <f>Nomes!S38</f>
        <v>Masculino</v>
      </c>
      <c r="F37" s="2">
        <v>40951</v>
      </c>
      <c r="G37" t="str" cm="1">
        <f t="array" aca="1" ref="G37" ca="1">INDEX(rua_cod!$F:$F,RANDBETWEEN(2,COUNTA(rua_cod!F:F)))</f>
        <v>Rua do Sacramento à Lapa</v>
      </c>
      <c r="H37" t="str" cm="1">
        <f t="array" aca="1" ref="H37" ca="1">INDEX(rua_cod!$A:$A,Médicos!X37) &amp; "-" &amp; TEXT(RANDBETWEEN(0,999),"000")</f>
        <v>1068-666</v>
      </c>
      <c r="I37" t="str" cm="1">
        <f t="array" aca="1" ref="I37" ca="1">INDEX(rua_cod!$B:$B,Médicos!X37)</f>
        <v>Lisboa</v>
      </c>
      <c r="J37" t="s">
        <v>341</v>
      </c>
      <c r="K37" t="s">
        <v>225</v>
      </c>
      <c r="L37" t="s">
        <v>265</v>
      </c>
      <c r="M37" t="str">
        <f t="shared" ca="1" si="2"/>
        <v>17846516</v>
      </c>
      <c r="N37" t="str">
        <f t="shared" ca="1" si="3"/>
        <v>398824132</v>
      </c>
      <c r="O37" t="str">
        <f t="shared" ca="1" si="3"/>
        <v>547687331</v>
      </c>
      <c r="P37" t="str" cm="1">
        <f t="array" aca="1" ref="P37" ca="1">9 &amp; INDEX($AH$3:$AH$6,Y37)&amp; TEXT(RANDBETWEEN(0,9999999),"0000000")</f>
        <v>912239072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7594065574673097</v>
      </c>
      <c r="T37" t="s">
        <v>341</v>
      </c>
      <c r="V37" s="4"/>
      <c r="X37">
        <f ca="1">RANDBETWEEN(2,COUNTA(rua_cod!A:A))</f>
        <v>81</v>
      </c>
      <c r="Y37">
        <f t="shared" ca="1" si="6"/>
        <v>1</v>
      </c>
      <c r="Z37">
        <f t="shared" ca="1" si="7"/>
        <v>2</v>
      </c>
      <c r="AA37">
        <f t="shared" ca="1" si="8"/>
        <v>1989</v>
      </c>
      <c r="AB37">
        <f t="shared" ca="1" si="9"/>
        <v>9</v>
      </c>
      <c r="AC37">
        <f t="shared" ca="1" si="10"/>
        <v>1</v>
      </c>
      <c r="AD37">
        <f t="shared" ca="1" si="11"/>
        <v>31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Afonso Faria Melo</v>
      </c>
      <c r="E38" t="str">
        <f>Nomes!S39</f>
        <v>Masculino</v>
      </c>
      <c r="F38" s="2">
        <v>43838</v>
      </c>
      <c r="G38" t="str" cm="1">
        <f t="array" aca="1" ref="G38" ca="1">INDEX(rua_cod!$F:$F,RANDBETWEEN(2,COUNTA(rua_cod!F:F)))</f>
        <v>Rua dos Heróis de Quionga</v>
      </c>
      <c r="H38" t="str" cm="1">
        <f t="array" aca="1" ref="H38" ca="1">INDEX(rua_cod!$A:$A,Médicos!X38) &amp; "-" &amp; TEXT(RANDBETWEEN(0,999),"000")</f>
        <v>2754-499</v>
      </c>
      <c r="I38" t="str" cm="1">
        <f t="array" aca="1" ref="I38" ca="1">INDEX(rua_cod!$B:$B,Médicos!X38)</f>
        <v>Cascais</v>
      </c>
      <c r="J38" t="s">
        <v>341</v>
      </c>
      <c r="K38" t="s">
        <v>225</v>
      </c>
      <c r="L38" t="s">
        <v>265</v>
      </c>
      <c r="M38" t="str">
        <f t="shared" ca="1" si="2"/>
        <v>78632508</v>
      </c>
      <c r="N38" t="str">
        <f t="shared" ca="1" si="3"/>
        <v>584311120</v>
      </c>
      <c r="O38" t="str">
        <f t="shared" ca="1" si="3"/>
        <v>730359967</v>
      </c>
      <c r="P38" t="str" cm="1">
        <f t="array" aca="1" ref="P38" ca="1">9 &amp; INDEX($AH$3:$AH$6,Y38)&amp; TEXT(RANDBETWEEN(0,9999999),"0000000")</f>
        <v>933757842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5743325703057225</v>
      </c>
      <c r="T38" t="s">
        <v>341</v>
      </c>
      <c r="V38" s="4"/>
      <c r="X38">
        <f ca="1">RANDBETWEEN(2,COUNTA(rua_cod!A:A))</f>
        <v>25</v>
      </c>
      <c r="Y38">
        <f t="shared" ca="1" si="6"/>
        <v>3</v>
      </c>
      <c r="Z38">
        <f t="shared" ca="1" si="7"/>
        <v>3</v>
      </c>
      <c r="AA38">
        <f t="shared" ca="1" si="8"/>
        <v>1952</v>
      </c>
      <c r="AB38">
        <f t="shared" ca="1" si="9"/>
        <v>1</v>
      </c>
      <c r="AC38">
        <f t="shared" ca="1" si="10"/>
        <v>3</v>
      </c>
      <c r="AD38">
        <f t="shared" ca="1" si="11"/>
        <v>68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Luís Gaspar Domingues</v>
      </c>
      <c r="E39" t="str">
        <f>Nomes!S40</f>
        <v>Masculino</v>
      </c>
      <c r="F39" s="2">
        <v>13937</v>
      </c>
      <c r="G39" t="str" cm="1">
        <f t="array" aca="1" ref="G39" ca="1">INDEX(rua_cod!$F:$F,RANDBETWEEN(2,COUNTA(rua_cod!F:F)))</f>
        <v>Rua da Madalena</v>
      </c>
      <c r="H39" t="str" cm="1">
        <f t="array" aca="1" ref="H39" ca="1">INDEX(rua_cod!$A:$A,Médicos!X39) &amp; "-" &amp; TEXT(RANDBETWEEN(0,999),"000")</f>
        <v>2560-846</v>
      </c>
      <c r="I39" t="str" cm="1">
        <f t="array" aca="1" ref="I39" ca="1">INDEX(rua_cod!$B:$B,Médicos!X39)</f>
        <v>Torres Vedras</v>
      </c>
      <c r="J39" t="s">
        <v>341</v>
      </c>
      <c r="K39" t="s">
        <v>225</v>
      </c>
      <c r="L39" t="s">
        <v>265</v>
      </c>
      <c r="M39" t="str">
        <f t="shared" ca="1" si="2"/>
        <v>16221125</v>
      </c>
      <c r="N39" t="str">
        <f t="shared" ca="1" si="3"/>
        <v>446521491</v>
      </c>
      <c r="O39" t="str">
        <f t="shared" ca="1" si="3"/>
        <v>556182148</v>
      </c>
      <c r="P39" t="str" cm="1">
        <f t="array" aca="1" ref="P39" ca="1">9 &amp; INDEX($AH$3:$AH$6,Y39)&amp; TEXT(RANDBETWEEN(0,9999999),"0000000")</f>
        <v>928664302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7518331088379770</v>
      </c>
      <c r="T39" t="s">
        <v>341</v>
      </c>
      <c r="V39" s="4"/>
      <c r="X39">
        <f ca="1">RANDBETWEEN(2,COUNTA(rua_cod!A:A))</f>
        <v>104</v>
      </c>
      <c r="Y39">
        <f t="shared" ca="1" si="6"/>
        <v>2</v>
      </c>
      <c r="Z39">
        <f t="shared" ca="1" si="7"/>
        <v>3</v>
      </c>
      <c r="AA39">
        <f t="shared" ca="1" si="8"/>
        <v>1971</v>
      </c>
      <c r="AB39">
        <f t="shared" ca="1" si="9"/>
        <v>8</v>
      </c>
      <c r="AC39">
        <f t="shared" ca="1" si="10"/>
        <v>18</v>
      </c>
      <c r="AD39">
        <f t="shared" ca="1" si="11"/>
        <v>49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José Lopes Pinheiro</v>
      </c>
      <c r="E40" t="str">
        <f>Nomes!S41</f>
        <v>Masculino</v>
      </c>
      <c r="F40" s="2">
        <v>32387</v>
      </c>
      <c r="G40" t="str" cm="1">
        <f t="array" aca="1" ref="G40" ca="1">INDEX(rua_cod!$F:$F,RANDBETWEEN(2,COUNTA(rua_cod!F:F)))</f>
        <v>Calçada Marquês de Abrantes</v>
      </c>
      <c r="H40" t="str" cm="1">
        <f t="array" aca="1" ref="H40" ca="1">INDEX(rua_cod!$A:$A,Médicos!X40) &amp; "-" &amp; TEXT(RANDBETWEEN(0,999),"000")</f>
        <v>1250-495</v>
      </c>
      <c r="I40" t="str" cm="1">
        <f t="array" aca="1" ref="I40" ca="1">INDEX(rua_cod!$B:$B,Médicos!X40)</f>
        <v>Lisboa</v>
      </c>
      <c r="J40" t="s">
        <v>341</v>
      </c>
      <c r="K40" t="s">
        <v>225</v>
      </c>
      <c r="L40" t="s">
        <v>265</v>
      </c>
      <c r="M40" t="str">
        <f t="shared" ca="1" si="2"/>
        <v>49879995</v>
      </c>
      <c r="N40" t="str">
        <f t="shared" ca="1" si="3"/>
        <v>405343076</v>
      </c>
      <c r="O40" t="str">
        <f t="shared" ca="1" si="3"/>
        <v>789804149</v>
      </c>
      <c r="P40" t="str" cm="1">
        <f t="array" aca="1" ref="P40" ca="1">9 &amp; INDEX($AH$3:$AH$6,Y40)&amp; TEXT(RANDBETWEEN(0,9999999),"0000000")</f>
        <v>932075247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6936668675664877</v>
      </c>
      <c r="T40" t="s">
        <v>341</v>
      </c>
      <c r="V40" s="4"/>
      <c r="X40">
        <f ca="1">RANDBETWEEN(2,COUNTA(rua_cod!A:A))</f>
        <v>50</v>
      </c>
      <c r="Y40">
        <f t="shared" ca="1" si="6"/>
        <v>3</v>
      </c>
      <c r="Z40">
        <f t="shared" ca="1" si="7"/>
        <v>3</v>
      </c>
      <c r="AA40">
        <f t="shared" ca="1" si="8"/>
        <v>1986</v>
      </c>
      <c r="AB40">
        <f t="shared" ca="1" si="9"/>
        <v>5</v>
      </c>
      <c r="AC40">
        <f t="shared" ca="1" si="10"/>
        <v>17</v>
      </c>
      <c r="AD40">
        <f t="shared" ca="1" si="11"/>
        <v>34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José Mendes Esteves</v>
      </c>
      <c r="E41" t="str">
        <f>Nomes!S42</f>
        <v>Masculino</v>
      </c>
      <c r="F41" s="2">
        <v>10615</v>
      </c>
      <c r="G41" t="str" cm="1">
        <f t="array" aca="1" ref="G41" ca="1">INDEX(rua_cod!$F:$F,RANDBETWEEN(2,COUNTA(rua_cod!F:F)))</f>
        <v>Rua da Junqueira</v>
      </c>
      <c r="H41" t="str" cm="1">
        <f t="array" aca="1" ref="H41" ca="1">INDEX(rua_cod!$A:$A,Médicos!X41) &amp; "-" &amp; TEXT(RANDBETWEEN(0,999),"000")</f>
        <v>2800-482</v>
      </c>
      <c r="I41" t="str" cm="1">
        <f t="array" aca="1" ref="I41" ca="1">INDEX(rua_cod!$B:$B,Médicos!X41)</f>
        <v>Almada</v>
      </c>
      <c r="J41" t="s">
        <v>341</v>
      </c>
      <c r="K41" t="s">
        <v>225</v>
      </c>
      <c r="L41" t="s">
        <v>265</v>
      </c>
      <c r="M41" t="str">
        <f t="shared" ca="1" si="2"/>
        <v>32984069</v>
      </c>
      <c r="N41" t="str">
        <f t="shared" ca="1" si="3"/>
        <v>897837097</v>
      </c>
      <c r="O41" t="str">
        <f t="shared" ca="1" si="3"/>
        <v>282844960</v>
      </c>
      <c r="P41" t="str" cm="1">
        <f t="array" aca="1" ref="P41" ca="1">9 &amp; INDEX($AH$3:$AH$6,Y41)&amp; TEXT(RANDBETWEEN(0,9999999),"0000000")</f>
        <v>939603431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2714254145166080</v>
      </c>
      <c r="T41" t="s">
        <v>341</v>
      </c>
      <c r="V41" s="4"/>
      <c r="X41">
        <f ca="1">RANDBETWEEN(2,COUNTA(rua_cod!A:A))</f>
        <v>2</v>
      </c>
      <c r="Y41">
        <f t="shared" ca="1" si="6"/>
        <v>3</v>
      </c>
      <c r="Z41">
        <f t="shared" ca="1" si="7"/>
        <v>2</v>
      </c>
      <c r="AA41">
        <f t="shared" ca="1" si="8"/>
        <v>1975</v>
      </c>
      <c r="AB41">
        <f t="shared" ca="1" si="9"/>
        <v>12</v>
      </c>
      <c r="AC41">
        <f t="shared" ca="1" si="10"/>
        <v>3</v>
      </c>
      <c r="AD41">
        <f t="shared" ca="1" si="11"/>
        <v>45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Tiago Domingues Melo</v>
      </c>
      <c r="E42" t="str">
        <f>Nomes!S43</f>
        <v>Masculino</v>
      </c>
      <c r="F42" s="2">
        <v>28753</v>
      </c>
      <c r="G42" t="str" cm="1">
        <f t="array" aca="1" ref="G42" ca="1">INDEX(rua_cod!$F:$F,RANDBETWEEN(2,COUNTA(rua_cod!F:F)))</f>
        <v>Rua do Sacramento à Lapa</v>
      </c>
      <c r="H42" t="str" cm="1">
        <f t="array" aca="1" ref="H42" ca="1">INDEX(rua_cod!$A:$A,Médicos!X42) &amp; "-" &amp; TEXT(RANDBETWEEN(0,999),"000")</f>
        <v>2805-805</v>
      </c>
      <c r="I42" t="str" cm="1">
        <f t="array" aca="1" ref="I42" ca="1">INDEX(rua_cod!$B:$B,Médicos!X42)</f>
        <v>Almada</v>
      </c>
      <c r="J42" t="s">
        <v>341</v>
      </c>
      <c r="K42" t="s">
        <v>225</v>
      </c>
      <c r="L42" t="s">
        <v>265</v>
      </c>
      <c r="M42" t="str">
        <f t="shared" ca="1" si="2"/>
        <v>75195713</v>
      </c>
      <c r="N42" t="str">
        <f t="shared" ca="1" si="3"/>
        <v>731349372</v>
      </c>
      <c r="O42" t="str">
        <f t="shared" ca="1" si="3"/>
        <v>649978643</v>
      </c>
      <c r="P42" t="str" cm="1">
        <f t="array" aca="1" ref="P42" ca="1">9 &amp; INDEX($AH$3:$AH$6,Y42)&amp; TEXT(RANDBETWEEN(0,9999999),"0000000")</f>
        <v>930993747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2763002168314056</v>
      </c>
      <c r="T42" t="s">
        <v>341</v>
      </c>
      <c r="V42" s="4"/>
      <c r="X42">
        <f ca="1">RANDBETWEEN(2,COUNTA(rua_cod!A:A))</f>
        <v>4</v>
      </c>
      <c r="Y42">
        <f t="shared" ca="1" si="6"/>
        <v>3</v>
      </c>
      <c r="Z42">
        <f t="shared" ca="1" si="7"/>
        <v>3</v>
      </c>
      <c r="AA42">
        <f t="shared" ca="1" si="8"/>
        <v>1984</v>
      </c>
      <c r="AB42">
        <f t="shared" ca="1" si="9"/>
        <v>12</v>
      </c>
      <c r="AC42">
        <f t="shared" ca="1" si="10"/>
        <v>10</v>
      </c>
      <c r="AD42">
        <f t="shared" ca="1" si="11"/>
        <v>36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Gabriel Correia Nogueira</v>
      </c>
      <c r="E43" t="str">
        <f>Nomes!S44</f>
        <v>Masculino</v>
      </c>
      <c r="F43" s="2">
        <v>20196</v>
      </c>
      <c r="G43" t="str" cm="1">
        <f t="array" aca="1" ref="G43" ca="1">INDEX(rua_cod!$F:$F,RANDBETWEEN(2,COUNTA(rua_cod!F:F)))</f>
        <v>Calçada Marquês de Abrantes</v>
      </c>
      <c r="H43" t="str" cm="1">
        <f t="array" aca="1" ref="H43" ca="1">INDEX(rua_cod!$A:$A,Médicos!X43) &amp; "-" &amp; TEXT(RANDBETWEEN(0,999),"000")</f>
        <v>2794-916</v>
      </c>
      <c r="I43" t="str" cm="1">
        <f t="array" aca="1" ref="I43" ca="1">INDEX(rua_cod!$B:$B,Médicos!X43)</f>
        <v>Carnaxide</v>
      </c>
      <c r="J43" t="s">
        <v>341</v>
      </c>
      <c r="K43" t="s">
        <v>225</v>
      </c>
      <c r="L43" t="s">
        <v>265</v>
      </c>
      <c r="M43" t="str">
        <f t="shared" ca="1" si="2"/>
        <v>76608015</v>
      </c>
      <c r="N43" t="str">
        <f t="shared" ca="1" si="3"/>
        <v>917573293</v>
      </c>
      <c r="O43" t="str">
        <f t="shared" ca="1" si="3"/>
        <v>307073269</v>
      </c>
      <c r="P43" t="str" cm="1">
        <f t="array" aca="1" ref="P43" ca="1">9 &amp; INDEX($AH$3:$AH$6,Y43)&amp; TEXT(RANDBETWEEN(0,9999999),"0000000")</f>
        <v>925389079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4248395132430676</v>
      </c>
      <c r="T43" t="s">
        <v>341</v>
      </c>
      <c r="V43" s="4"/>
      <c r="X43">
        <f ca="1">RANDBETWEEN(2,COUNTA(rua_cod!A:A))</f>
        <v>23</v>
      </c>
      <c r="Y43">
        <f t="shared" ca="1" si="6"/>
        <v>2</v>
      </c>
      <c r="Z43">
        <f t="shared" ca="1" si="7"/>
        <v>1</v>
      </c>
      <c r="AA43">
        <f t="shared" ca="1" si="8"/>
        <v>1962</v>
      </c>
      <c r="AB43">
        <f t="shared" ca="1" si="9"/>
        <v>4</v>
      </c>
      <c r="AC43">
        <f t="shared" ca="1" si="10"/>
        <v>7</v>
      </c>
      <c r="AD43">
        <f t="shared" ca="1" si="11"/>
        <v>58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Miguel Anjos Torres</v>
      </c>
      <c r="E44" t="str">
        <f>Nomes!S45</f>
        <v>Masculino</v>
      </c>
      <c r="F44" s="2">
        <v>28461</v>
      </c>
      <c r="G44" t="str" cm="1">
        <f t="array" aca="1" ref="G44" ca="1">INDEX(rua_cod!$F:$F,RANDBETWEEN(2,COUNTA(rua_cod!F:F)))</f>
        <v>Rua do Comércio</v>
      </c>
      <c r="H44" t="str" cm="1">
        <f t="array" aca="1" ref="H44" ca="1">INDEX(rua_cod!$A:$A,Médicos!X44) &amp; "-" &amp; TEXT(RANDBETWEEN(0,999),"000")</f>
        <v>2419-534</v>
      </c>
      <c r="I44" t="str" cm="1">
        <f t="array" aca="1" ref="I44" ca="1">INDEX(rua_cod!$B:$B,Médicos!X44)</f>
        <v>Leiria</v>
      </c>
      <c r="J44" t="s">
        <v>341</v>
      </c>
      <c r="K44" t="s">
        <v>225</v>
      </c>
      <c r="L44" t="s">
        <v>265</v>
      </c>
      <c r="M44" t="str">
        <f t="shared" ca="1" si="2"/>
        <v>40455955</v>
      </c>
      <c r="N44" t="str">
        <f t="shared" ca="1" si="3"/>
        <v>933877424</v>
      </c>
      <c r="O44" t="str">
        <f t="shared" ca="1" si="3"/>
        <v>355720953</v>
      </c>
      <c r="P44" t="str" cm="1">
        <f t="array" aca="1" ref="P44" ca="1">9 &amp; INDEX($AH$3:$AH$6,Y44)&amp; TEXT(RANDBETWEEN(0,9999999),"0000000")</f>
        <v>930471950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4641252013101590</v>
      </c>
      <c r="T44" t="s">
        <v>341</v>
      </c>
      <c r="V44" s="4"/>
      <c r="X44">
        <f ca="1">RANDBETWEEN(2,COUNTA(rua_cod!A:A))</f>
        <v>37</v>
      </c>
      <c r="Y44">
        <f t="shared" ca="1" si="6"/>
        <v>3</v>
      </c>
      <c r="Z44">
        <f t="shared" ca="1" si="7"/>
        <v>3</v>
      </c>
      <c r="AA44">
        <f t="shared" ca="1" si="8"/>
        <v>1986</v>
      </c>
      <c r="AB44">
        <f t="shared" ca="1" si="9"/>
        <v>11</v>
      </c>
      <c r="AC44">
        <f t="shared" ca="1" si="10"/>
        <v>21</v>
      </c>
      <c r="AD44">
        <f t="shared" ca="1" si="11"/>
        <v>34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Marco Neto Araújo</v>
      </c>
      <c r="E45" t="str">
        <f>Nomes!S46</f>
        <v>Masculino</v>
      </c>
      <c r="F45" s="2">
        <v>36293</v>
      </c>
      <c r="G45" t="str" cm="1">
        <f t="array" aca="1" ref="G45" ca="1">INDEX(rua_cod!$F:$F,RANDBETWEEN(2,COUNTA(rua_cod!F:F)))</f>
        <v>Rua Roberto Duarte Silva</v>
      </c>
      <c r="H45" t="str" cm="1">
        <f t="array" aca="1" ref="H45" ca="1">INDEX(rua_cod!$A:$A,Médicos!X45) &amp; "-" &amp; TEXT(RANDBETWEEN(0,999),"000")</f>
        <v>2640-509</v>
      </c>
      <c r="I45" t="str" cm="1">
        <f t="array" aca="1" ref="I45" ca="1">INDEX(rua_cod!$B:$B,Médicos!X45)</f>
        <v>Mafra</v>
      </c>
      <c r="J45" t="s">
        <v>341</v>
      </c>
      <c r="K45" t="s">
        <v>225</v>
      </c>
      <c r="L45" t="s">
        <v>265</v>
      </c>
      <c r="M45" t="str">
        <f t="shared" ca="1" si="2"/>
        <v>88089339</v>
      </c>
      <c r="N45" t="str">
        <f t="shared" ca="1" si="3"/>
        <v>633758631</v>
      </c>
      <c r="O45" t="str">
        <f t="shared" ca="1" si="3"/>
        <v>408837185</v>
      </c>
      <c r="P45" t="str" cm="1">
        <f t="array" aca="1" ref="P45" ca="1">9 &amp; INDEX($AH$3:$AH$6,Y45)&amp; TEXT(RANDBETWEEN(0,9999999),"0000000")</f>
        <v>930909416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2118401006153057</v>
      </c>
      <c r="T45" t="s">
        <v>341</v>
      </c>
      <c r="V45" s="4"/>
      <c r="X45">
        <f ca="1">RANDBETWEEN(2,COUNTA(rua_cod!A:A))</f>
        <v>85</v>
      </c>
      <c r="Y45">
        <f t="shared" ca="1" si="6"/>
        <v>3</v>
      </c>
      <c r="Z45">
        <f t="shared" ca="1" si="7"/>
        <v>3</v>
      </c>
      <c r="AA45">
        <f t="shared" ca="1" si="8"/>
        <v>1994</v>
      </c>
      <c r="AB45">
        <f t="shared" ca="1" si="9"/>
        <v>4</v>
      </c>
      <c r="AC45">
        <f t="shared" ca="1" si="10"/>
        <v>28</v>
      </c>
      <c r="AD45">
        <f t="shared" ca="1" si="11"/>
        <v>26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Marco Matias Cardoso</v>
      </c>
      <c r="E46" t="str">
        <f>Nomes!S47</f>
        <v>Masculino</v>
      </c>
      <c r="F46" s="2">
        <v>14532</v>
      </c>
      <c r="G46" t="str" cm="1">
        <f t="array" aca="1" ref="G46" ca="1">INDEX(rua_cod!$F:$F,RANDBETWEEN(2,COUNTA(rua_cod!F:F)))</f>
        <v>Rua Nova do Almada</v>
      </c>
      <c r="H46" t="str" cm="1">
        <f t="array" aca="1" ref="H46" ca="1">INDEX(rua_cod!$A:$A,Médicos!X46) &amp; "-" &amp; TEXT(RANDBETWEEN(0,999),"000")</f>
        <v>1300-481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90123379</v>
      </c>
      <c r="N46" t="str">
        <f t="shared" ca="1" si="3"/>
        <v>157713145</v>
      </c>
      <c r="O46" t="str">
        <f t="shared" ca="1" si="3"/>
        <v>696260102</v>
      </c>
      <c r="P46" t="str" cm="1">
        <f t="array" aca="1" ref="P46" ca="1">9 &amp; INDEX($AH$3:$AH$6,Y46)&amp; TEXT(RANDBETWEEN(0,9999999),"0000000")</f>
        <v>939161149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1805504052771106</v>
      </c>
      <c r="T46" t="s">
        <v>341</v>
      </c>
      <c r="V46" s="4"/>
      <c r="X46">
        <f ca="1">RANDBETWEEN(2,COUNTA(rua_cod!A:A))</f>
        <v>58</v>
      </c>
      <c r="Y46">
        <f t="shared" ca="1" si="6"/>
        <v>3</v>
      </c>
      <c r="Z46">
        <f t="shared" ca="1" si="7"/>
        <v>3</v>
      </c>
      <c r="AA46">
        <f t="shared" ca="1" si="8"/>
        <v>1982</v>
      </c>
      <c r="AB46">
        <f t="shared" ca="1" si="9"/>
        <v>9</v>
      </c>
      <c r="AC46">
        <f t="shared" ca="1" si="10"/>
        <v>20</v>
      </c>
      <c r="AD46">
        <f t="shared" ca="1" si="11"/>
        <v>38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Afonso Mota Ribeiro</v>
      </c>
      <c r="E47" t="str">
        <f>Nomes!S48</f>
        <v>Masculino</v>
      </c>
      <c r="F47" s="2">
        <v>41931</v>
      </c>
      <c r="G47" t="str" cm="1">
        <f t="array" aca="1" ref="G47" ca="1">INDEX(rua_cod!$F:$F,RANDBETWEEN(2,COUNTA(rua_cod!F:F)))</f>
        <v>Rua do Instituto Bacteriológico</v>
      </c>
      <c r="H47" t="str" cm="1">
        <f t="array" aca="1" ref="H47" ca="1">INDEX(rua_cod!$A:$A,Médicos!X47) &amp; "-" &amp; TEXT(RANDBETWEEN(0,999),"000")</f>
        <v>2809-857</v>
      </c>
      <c r="I47" t="str" cm="1">
        <f t="array" aca="1" ref="I47" ca="1">INDEX(rua_cod!$B:$B,Médicos!X47)</f>
        <v>Almada</v>
      </c>
      <c r="J47" t="s">
        <v>341</v>
      </c>
      <c r="K47" t="s">
        <v>225</v>
      </c>
      <c r="L47" t="s">
        <v>265</v>
      </c>
      <c r="M47" t="str">
        <f t="shared" ca="1" si="2"/>
        <v>27910816</v>
      </c>
      <c r="N47" t="str">
        <f t="shared" ca="1" si="3"/>
        <v>517651716</v>
      </c>
      <c r="O47" t="str">
        <f t="shared" ca="1" si="3"/>
        <v>913615627</v>
      </c>
      <c r="P47" t="str" cm="1">
        <f t="array" aca="1" ref="P47" ca="1">9 &amp; INDEX($AH$3:$AH$6,Y47)&amp; TEXT(RANDBETWEEN(0,9999999),"0000000")</f>
        <v>911787169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6152583846293365</v>
      </c>
      <c r="T47" t="s">
        <v>341</v>
      </c>
      <c r="V47" s="4"/>
      <c r="X47">
        <f ca="1">RANDBETWEEN(2,COUNTA(rua_cod!A:A))</f>
        <v>5</v>
      </c>
      <c r="Y47">
        <f t="shared" ca="1" si="6"/>
        <v>1</v>
      </c>
      <c r="Z47">
        <f t="shared" ca="1" si="7"/>
        <v>2</v>
      </c>
      <c r="AA47">
        <f t="shared" ca="1" si="8"/>
        <v>1974</v>
      </c>
      <c r="AB47">
        <f t="shared" ca="1" si="9"/>
        <v>3</v>
      </c>
      <c r="AC47">
        <f t="shared" ca="1" si="10"/>
        <v>30</v>
      </c>
      <c r="AD47">
        <f t="shared" ca="1" si="11"/>
        <v>46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Santiago Machado Garcia</v>
      </c>
      <c r="E48" t="str">
        <f>Nomes!S49</f>
        <v>Masculino</v>
      </c>
      <c r="F48" s="2">
        <v>42843</v>
      </c>
      <c r="G48" t="str" cm="1">
        <f t="array" aca="1" ref="G48" ca="1">INDEX(rua_cod!$F:$F,RANDBETWEEN(2,COUNTA(rua_cod!F:F)))</f>
        <v>Rua da Junqueira</v>
      </c>
      <c r="H48" t="str" cm="1">
        <f t="array" aca="1" ref="H48" ca="1">INDEX(rua_cod!$A:$A,Médicos!X48) &amp; "-" &amp; TEXT(RANDBETWEEN(0,999),"000")</f>
        <v>2809-118</v>
      </c>
      <c r="I48" t="str" cm="1">
        <f t="array" aca="1" ref="I48" ca="1">INDEX(rua_cod!$B:$B,Médicos!X48)</f>
        <v>Almada</v>
      </c>
      <c r="J48" t="s">
        <v>341</v>
      </c>
      <c r="K48" t="s">
        <v>225</v>
      </c>
      <c r="L48" t="s">
        <v>265</v>
      </c>
      <c r="M48" t="str">
        <f t="shared" ca="1" si="2"/>
        <v>97036441</v>
      </c>
      <c r="N48" t="str">
        <f t="shared" ca="1" si="3"/>
        <v>658114626</v>
      </c>
      <c r="O48" t="str">
        <f t="shared" ca="1" si="3"/>
        <v>151251082</v>
      </c>
      <c r="P48" t="str" cm="1">
        <f t="array" aca="1" ref="P48" ca="1">9 &amp; INDEX($AH$3:$AH$6,Y48)&amp; TEXT(RANDBETWEEN(0,9999999),"0000000")</f>
        <v>926039994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9119060743818512</v>
      </c>
      <c r="T48" t="s">
        <v>341</v>
      </c>
      <c r="V48" s="4"/>
      <c r="X48">
        <f ca="1">RANDBETWEEN(2,COUNTA(rua_cod!A:A))</f>
        <v>5</v>
      </c>
      <c r="Y48">
        <f t="shared" ca="1" si="6"/>
        <v>2</v>
      </c>
      <c r="Z48">
        <f t="shared" ca="1" si="7"/>
        <v>3</v>
      </c>
      <c r="AA48">
        <f t="shared" ca="1" si="8"/>
        <v>1955</v>
      </c>
      <c r="AB48">
        <f t="shared" ca="1" si="9"/>
        <v>1</v>
      </c>
      <c r="AC48">
        <f t="shared" ca="1" si="10"/>
        <v>20</v>
      </c>
      <c r="AD48">
        <f t="shared" ca="1" si="11"/>
        <v>65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Joana Martins Melo</v>
      </c>
      <c r="E49" t="str">
        <f>Nomes!S50</f>
        <v>Feminino</v>
      </c>
      <c r="F49" s="2">
        <v>25752</v>
      </c>
      <c r="G49" t="str" cm="1">
        <f t="array" aca="1" ref="G49" ca="1">INDEX(rua_cod!$F:$F,RANDBETWEEN(2,COUNTA(rua_cod!F:F)))</f>
        <v>Rua da Prata</v>
      </c>
      <c r="H49" t="str" cm="1">
        <f t="array" aca="1" ref="H49" ca="1">INDEX(rua_cod!$A:$A,Médicos!X49) &amp; "-" &amp; TEXT(RANDBETWEEN(0,999),"000")</f>
        <v>2424-093</v>
      </c>
      <c r="I49" t="str" cm="1">
        <f t="array" aca="1" ref="I49" ca="1">INDEX(rua_cod!$B:$B,Médicos!X49)</f>
        <v>Leiria</v>
      </c>
      <c r="J49" t="s">
        <v>341</v>
      </c>
      <c r="K49" t="s">
        <v>225</v>
      </c>
      <c r="L49" t="s">
        <v>265</v>
      </c>
      <c r="M49" t="str">
        <f t="shared" ca="1" si="2"/>
        <v>58299871</v>
      </c>
      <c r="N49" t="str">
        <f t="shared" ca="1" si="3"/>
        <v>620705650</v>
      </c>
      <c r="O49" t="str">
        <f t="shared" ca="1" si="3"/>
        <v>194224035</v>
      </c>
      <c r="P49" t="str" cm="1">
        <f t="array" aca="1" ref="P49" ca="1">9 &amp; INDEX($AH$3:$AH$6,Y49)&amp; TEXT(RANDBETWEEN(0,9999999),"0000000")</f>
        <v>919592603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4650444840534548</v>
      </c>
      <c r="T49" t="s">
        <v>341</v>
      </c>
      <c r="V49" s="4"/>
      <c r="X49">
        <f ca="1">RANDBETWEEN(2,COUNTA(rua_cod!A:A))</f>
        <v>39</v>
      </c>
      <c r="Y49">
        <f t="shared" ca="1" si="6"/>
        <v>1</v>
      </c>
      <c r="Z49">
        <f t="shared" ca="1" si="7"/>
        <v>2</v>
      </c>
      <c r="AA49">
        <f t="shared" ca="1" si="8"/>
        <v>1970</v>
      </c>
      <c r="AB49">
        <f t="shared" ca="1" si="9"/>
        <v>9</v>
      </c>
      <c r="AC49">
        <f t="shared" ca="1" si="10"/>
        <v>26</v>
      </c>
      <c r="AD49">
        <f t="shared" ca="1" si="11"/>
        <v>50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Beatriz Faria Nascimento</v>
      </c>
      <c r="E50" t="str">
        <f>Nomes!S51</f>
        <v>Feminino</v>
      </c>
      <c r="F50" s="2">
        <v>23798</v>
      </c>
      <c r="G50" t="str" cm="1">
        <f t="array" aca="1" ref="G50" ca="1">INDEX(rua_cod!$F:$F,RANDBETWEEN(2,COUNTA(rua_cod!F:F)))</f>
        <v>Travessa de São João da Praça</v>
      </c>
      <c r="H50" t="str" cm="1">
        <f t="array" aca="1" ref="H50" ca="1">INDEX(rua_cod!$A:$A,Médicos!X50) &amp; "-" &amp; TEXT(RANDBETWEEN(0,999),"000")</f>
        <v>1949-512</v>
      </c>
      <c r="I50" t="str" cm="1">
        <f t="array" aca="1" ref="I50" ca="1">INDEX(rua_cod!$B:$B,Médicos!X50)</f>
        <v>Lisboa</v>
      </c>
      <c r="J50" t="s">
        <v>341</v>
      </c>
      <c r="K50" t="s">
        <v>225</v>
      </c>
      <c r="L50" t="s">
        <v>265</v>
      </c>
      <c r="M50" t="str">
        <f t="shared" ca="1" si="2"/>
        <v>53245019</v>
      </c>
      <c r="N50" t="str">
        <f t="shared" ca="1" si="3"/>
        <v>394489112</v>
      </c>
      <c r="O50" t="str">
        <f t="shared" ca="1" si="3"/>
        <v>306008102</v>
      </c>
      <c r="P50" t="str" cm="1">
        <f t="array" aca="1" ref="P50" ca="1">9 &amp; INDEX($AH$3:$AH$6,Y50)&amp; TEXT(RANDBETWEEN(0,9999999),"0000000")</f>
        <v>935386774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1133822157383944</v>
      </c>
      <c r="T50" t="s">
        <v>341</v>
      </c>
      <c r="V50" s="4"/>
      <c r="X50">
        <f ca="1">RANDBETWEEN(2,COUNTA(rua_cod!A:A))</f>
        <v>45</v>
      </c>
      <c r="Y50">
        <f t="shared" ca="1" si="6"/>
        <v>3</v>
      </c>
      <c r="Z50">
        <f t="shared" ca="1" si="7"/>
        <v>2</v>
      </c>
      <c r="AA50">
        <f t="shared" ca="1" si="8"/>
        <v>1993</v>
      </c>
      <c r="AB50">
        <f t="shared" ca="1" si="9"/>
        <v>11</v>
      </c>
      <c r="AC50">
        <f t="shared" ca="1" si="10"/>
        <v>21</v>
      </c>
      <c r="AD50">
        <f t="shared" ca="1" si="11"/>
        <v>27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Afonso José Vieira Moura</v>
      </c>
      <c r="E51" t="str">
        <f>Nomes!S52</f>
        <v>Masculino</v>
      </c>
      <c r="F51" s="2">
        <v>10175</v>
      </c>
      <c r="G51" t="str" cm="1">
        <f t="array" aca="1" ref="G51" ca="1">INDEX(rua_cod!$F:$F,RANDBETWEEN(2,COUNTA(rua_cod!F:F)))</f>
        <v>Rua do Arsenal</v>
      </c>
      <c r="H51" t="str" cm="1">
        <f t="array" aca="1" ref="H51" ca="1">INDEX(rua_cod!$A:$A,Médicos!X51) &amp; "-" &amp; TEXT(RANDBETWEEN(0,999),"000")</f>
        <v>2720-908</v>
      </c>
      <c r="I51" t="str" cm="1">
        <f t="array" aca="1" ref="I51" ca="1">INDEX(rua_cod!$B:$B,Médicos!X51)</f>
        <v>Amadora</v>
      </c>
      <c r="J51" t="s">
        <v>341</v>
      </c>
      <c r="K51" t="s">
        <v>225</v>
      </c>
      <c r="L51" t="s">
        <v>265</v>
      </c>
      <c r="M51" t="str">
        <f t="shared" ca="1" si="2"/>
        <v>57703306</v>
      </c>
      <c r="N51" t="str">
        <f t="shared" ca="1" si="3"/>
        <v>917552426</v>
      </c>
      <c r="O51" t="str">
        <f t="shared" ca="1" si="3"/>
        <v>815801003</v>
      </c>
      <c r="P51" t="str" cm="1">
        <f t="array" aca="1" ref="P51" ca="1">9 &amp; INDEX($AH$3:$AH$6,Y51)&amp; TEXT(RANDBETWEEN(0,9999999),"0000000")</f>
        <v>913278898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1333547217618724</v>
      </c>
      <c r="T51" t="s">
        <v>341</v>
      </c>
      <c r="V51" s="4"/>
      <c r="X51">
        <f ca="1">RANDBETWEEN(2,COUNTA(rua_cod!A:A))</f>
        <v>8</v>
      </c>
      <c r="Y51">
        <f t="shared" ca="1" si="6"/>
        <v>1</v>
      </c>
      <c r="Z51">
        <f t="shared" ca="1" si="7"/>
        <v>1</v>
      </c>
      <c r="AA51">
        <f t="shared" ca="1" si="8"/>
        <v>1973</v>
      </c>
      <c r="AB51">
        <f t="shared" ca="1" si="9"/>
        <v>12</v>
      </c>
      <c r="AC51">
        <f t="shared" ca="1" si="10"/>
        <v>25</v>
      </c>
      <c r="AD51">
        <f t="shared" ca="1" si="11"/>
        <v>47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Rodrigo Mariana Tavares Fonseca</v>
      </c>
      <c r="E52" t="str">
        <f>Nomes!S53</f>
        <v>Masculino</v>
      </c>
      <c r="F52" s="2">
        <v>16409</v>
      </c>
      <c r="G52" t="str" cm="1">
        <f t="array" aca="1" ref="G52" ca="1">INDEX(rua_cod!$F:$F,RANDBETWEEN(2,COUNTA(rua_cod!F:F)))</f>
        <v>Rua de São Julião</v>
      </c>
      <c r="H52" t="str" cm="1">
        <f t="array" aca="1" ref="H52" ca="1">INDEX(rua_cod!$A:$A,Médicos!X52) &amp; "-" &amp; TEXT(RANDBETWEEN(0,999),"000")</f>
        <v>1349-159</v>
      </c>
      <c r="I52" t="str" cm="1">
        <f t="array" aca="1" ref="I52" ca="1">INDEX(rua_cod!$B:$B,Médicos!X52)</f>
        <v>Lisboa</v>
      </c>
      <c r="J52" t="s">
        <v>341</v>
      </c>
      <c r="K52" t="s">
        <v>225</v>
      </c>
      <c r="L52" t="s">
        <v>265</v>
      </c>
      <c r="M52" t="str">
        <f t="shared" ca="1" si="2"/>
        <v>99046101</v>
      </c>
      <c r="N52" t="str">
        <f t="shared" ca="1" si="3"/>
        <v>717816681</v>
      </c>
      <c r="O52" t="str">
        <f t="shared" ca="1" si="3"/>
        <v>554891957</v>
      </c>
      <c r="P52" t="str" cm="1">
        <f t="array" aca="1" ref="P52" ca="1">9 &amp; INDEX($AH$3:$AH$6,Y52)&amp; TEXT(RANDBETWEEN(0,9999999),"0000000")</f>
        <v>965935711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9438075664131188</v>
      </c>
      <c r="T52" t="s">
        <v>341</v>
      </c>
      <c r="V52" s="4"/>
      <c r="X52">
        <f ca="1">RANDBETWEEN(2,COUNTA(rua_cod!A:A))</f>
        <v>71</v>
      </c>
      <c r="Y52">
        <f t="shared" ca="1" si="6"/>
        <v>4</v>
      </c>
      <c r="Z52">
        <f t="shared" ca="1" si="7"/>
        <v>1</v>
      </c>
      <c r="AA52">
        <f t="shared" ca="1" si="8"/>
        <v>1951</v>
      </c>
      <c r="AB52">
        <f t="shared" ca="1" si="9"/>
        <v>8</v>
      </c>
      <c r="AC52">
        <f t="shared" ca="1" si="10"/>
        <v>17</v>
      </c>
      <c r="AD52">
        <f t="shared" ca="1" si="11"/>
        <v>69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Matilde Sara Marques Carneiro</v>
      </c>
      <c r="E53" t="str">
        <f>Nomes!S54</f>
        <v>Feminino</v>
      </c>
      <c r="F53" s="2">
        <v>44012</v>
      </c>
      <c r="G53" t="str" cm="1">
        <f t="array" aca="1" ref="G53" ca="1">INDEX(rua_cod!$F:$F,RANDBETWEEN(2,COUNTA(rua_cod!F:F)))</f>
        <v>Rua da Betesga</v>
      </c>
      <c r="H53" t="str" cm="1">
        <f t="array" aca="1" ref="H53" ca="1">INDEX(rua_cod!$A:$A,Médicos!X53) &amp; "-" &amp; TEXT(RANDBETWEEN(0,999),"000")</f>
        <v>2350-721</v>
      </c>
      <c r="I53" t="str" cm="1">
        <f t="array" aca="1" ref="I53" ca="1">INDEX(rua_cod!$B:$B,Médicos!X53)</f>
        <v>Torres Novas</v>
      </c>
      <c r="J53" t="s">
        <v>341</v>
      </c>
      <c r="K53" t="s">
        <v>225</v>
      </c>
      <c r="L53" t="s">
        <v>265</v>
      </c>
      <c r="M53" t="str">
        <f t="shared" ca="1" si="2"/>
        <v>50609787</v>
      </c>
      <c r="N53" t="str">
        <f t="shared" ca="1" si="3"/>
        <v>663478622</v>
      </c>
      <c r="O53" t="str">
        <f t="shared" ca="1" si="3"/>
        <v>309632817</v>
      </c>
      <c r="P53" t="str" cm="1">
        <f t="array" aca="1" ref="P53" ca="1">9 &amp; INDEX($AH$3:$AH$6,Y53)&amp; TEXT(RANDBETWEEN(0,9999999),"0000000")</f>
        <v>934423461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7663641147081598</v>
      </c>
      <c r="T53" t="s">
        <v>341</v>
      </c>
      <c r="V53" s="4"/>
      <c r="X53">
        <f ca="1">RANDBETWEEN(2,COUNTA(rua_cod!A:A))</f>
        <v>103</v>
      </c>
      <c r="Y53">
        <f t="shared" ca="1" si="6"/>
        <v>3</v>
      </c>
      <c r="Z53">
        <f t="shared" ca="1" si="7"/>
        <v>3</v>
      </c>
      <c r="AA53">
        <f t="shared" ca="1" si="8"/>
        <v>1972</v>
      </c>
      <c r="AB53">
        <f t="shared" ca="1" si="9"/>
        <v>5</v>
      </c>
      <c r="AC53">
        <f t="shared" ca="1" si="10"/>
        <v>30</v>
      </c>
      <c r="AD53">
        <f t="shared" ca="1" si="11"/>
        <v>48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Francisco Diogo Baptista Correia</v>
      </c>
      <c r="E54" t="str">
        <f>Nomes!S55</f>
        <v>Masculino</v>
      </c>
      <c r="F54" s="2">
        <v>21337</v>
      </c>
      <c r="G54" t="str" cm="1">
        <f t="array" aca="1" ref="G54" ca="1">INDEX(rua_cod!$F:$F,RANDBETWEEN(2,COUNTA(rua_cod!F:F)))</f>
        <v>Rua Ferreira Lapa</v>
      </c>
      <c r="H54" t="str" cm="1">
        <f t="array" aca="1" ref="H54" ca="1">INDEX(rua_cod!$A:$A,Médicos!X54) &amp; "-" &amp; TEXT(RANDBETWEEN(0,999),"000")</f>
        <v>2414-722</v>
      </c>
      <c r="I54" t="str" cm="1">
        <f t="array" aca="1" ref="I54" ca="1">INDEX(rua_cod!$B:$B,Médicos!X54)</f>
        <v>Leiria</v>
      </c>
      <c r="J54" t="s">
        <v>341</v>
      </c>
      <c r="K54" t="s">
        <v>225</v>
      </c>
      <c r="L54" t="s">
        <v>265</v>
      </c>
      <c r="M54" t="str">
        <f t="shared" ca="1" si="2"/>
        <v>26337760</v>
      </c>
      <c r="N54" t="str">
        <f t="shared" ca="1" si="3"/>
        <v>378678072</v>
      </c>
      <c r="O54" t="str">
        <f t="shared" ca="1" si="3"/>
        <v>304825765</v>
      </c>
      <c r="P54" t="str" cm="1">
        <f t="array" aca="1" ref="P54" ca="1">9 &amp; INDEX($AH$3:$AH$6,Y54)&amp; TEXT(RANDBETWEEN(0,9999999),"0000000")</f>
        <v>925040810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3788746419645252</v>
      </c>
      <c r="T54" t="s">
        <v>341</v>
      </c>
      <c r="V54" s="4"/>
      <c r="X54">
        <f ca="1">RANDBETWEEN(2,COUNTA(rua_cod!A:A))</f>
        <v>36</v>
      </c>
      <c r="Y54">
        <f t="shared" ca="1" si="6"/>
        <v>2</v>
      </c>
      <c r="Z54">
        <f t="shared" ca="1" si="7"/>
        <v>1</v>
      </c>
      <c r="AA54">
        <f t="shared" ca="1" si="8"/>
        <v>1989</v>
      </c>
      <c r="AB54">
        <f t="shared" ca="1" si="9"/>
        <v>1</v>
      </c>
      <c r="AC54">
        <f t="shared" ca="1" si="10"/>
        <v>14</v>
      </c>
      <c r="AD54">
        <f t="shared" ca="1" si="11"/>
        <v>31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Tiago João Vaz Soares</v>
      </c>
      <c r="E55" t="str">
        <f>Nomes!S56</f>
        <v>Masculino</v>
      </c>
      <c r="F55" s="2">
        <v>35631</v>
      </c>
      <c r="G55" t="str" cm="1">
        <f t="array" aca="1" ref="G55" ca="1">INDEX(rua_cod!$F:$F,RANDBETWEEN(2,COUNTA(rua_cod!F:F)))</f>
        <v>Estrada Militar</v>
      </c>
      <c r="H55" t="str" cm="1">
        <f t="array" aca="1" ref="H55" ca="1">INDEX(rua_cod!$A:$A,Médicos!X55) &amp; "-" &amp; TEXT(RANDBETWEEN(0,999),"000")</f>
        <v>2834-511</v>
      </c>
      <c r="I55" t="str" cm="1">
        <f t="array" aca="1" ref="I55" ca="1">INDEX(rua_cod!$B:$B,Médicos!X55)</f>
        <v>Barreiro</v>
      </c>
      <c r="J55" t="s">
        <v>341</v>
      </c>
      <c r="K55" t="s">
        <v>225</v>
      </c>
      <c r="L55" t="s">
        <v>265</v>
      </c>
      <c r="M55" t="str">
        <f t="shared" ca="1" si="2"/>
        <v>81610773</v>
      </c>
      <c r="N55" t="str">
        <f t="shared" ca="1" si="3"/>
        <v>125002369</v>
      </c>
      <c r="O55" t="str">
        <f t="shared" ca="1" si="3"/>
        <v>487009268</v>
      </c>
      <c r="P55" t="str" cm="1">
        <f t="array" aca="1" ref="P55" ca="1">9 &amp; INDEX($AH$3:$AH$6,Y55)&amp; TEXT(RANDBETWEEN(0,9999999),"0000000")</f>
        <v>967110288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5411376362959297</v>
      </c>
      <c r="T55" t="s">
        <v>341</v>
      </c>
      <c r="V55" s="4"/>
      <c r="X55">
        <f ca="1">RANDBETWEEN(2,COUNTA(rua_cod!A:A))</f>
        <v>17</v>
      </c>
      <c r="Y55">
        <f t="shared" ca="1" si="6"/>
        <v>4</v>
      </c>
      <c r="Z55">
        <f t="shared" ca="1" si="7"/>
        <v>1</v>
      </c>
      <c r="AA55">
        <f t="shared" ca="1" si="8"/>
        <v>1987</v>
      </c>
      <c r="AB55">
        <f t="shared" ca="1" si="9"/>
        <v>3</v>
      </c>
      <c r="AC55">
        <f t="shared" ca="1" si="10"/>
        <v>15</v>
      </c>
      <c r="AD55">
        <f t="shared" ca="1" si="11"/>
        <v>33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Pedro João Monteiro Martins</v>
      </c>
      <c r="E56" t="str">
        <f>Nomes!S57</f>
        <v>Masculino</v>
      </c>
      <c r="F56" s="2">
        <v>14541</v>
      </c>
      <c r="G56" t="str" cm="1">
        <f t="array" aca="1" ref="G56" ca="1">INDEX(rua_cod!$F:$F,RANDBETWEEN(2,COUNTA(rua_cod!F:F)))</f>
        <v>Rua Roberto Duarte Silva</v>
      </c>
      <c r="H56" t="str" cm="1">
        <f t="array" aca="1" ref="H56" ca="1">INDEX(rua_cod!$A:$A,Médicos!X56) &amp; "-" &amp; TEXT(RANDBETWEEN(0,999),"000")</f>
        <v>2749-805</v>
      </c>
      <c r="I56" t="str" cm="1">
        <f t="array" aca="1" ref="I56" ca="1">INDEX(rua_cod!$B:$B,Médicos!X56)</f>
        <v>Queluz</v>
      </c>
      <c r="J56" t="s">
        <v>341</v>
      </c>
      <c r="K56" t="s">
        <v>225</v>
      </c>
      <c r="L56" t="s">
        <v>265</v>
      </c>
      <c r="M56" t="str">
        <f t="shared" ca="1" si="2"/>
        <v>84485377</v>
      </c>
      <c r="N56" t="str">
        <f t="shared" ca="1" si="3"/>
        <v>308026394</v>
      </c>
      <c r="O56" t="str">
        <f t="shared" ca="1" si="3"/>
        <v>437614412</v>
      </c>
      <c r="P56" t="str" cm="1">
        <f t="array" aca="1" ref="P56" ca="1">9 &amp; INDEX($AH$3:$AH$6,Y56)&amp; TEXT(RANDBETWEEN(0,9999999),"0000000")</f>
        <v>969568279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6627945661349194</v>
      </c>
      <c r="T56" t="s">
        <v>341</v>
      </c>
      <c r="V56" s="4"/>
      <c r="X56">
        <f ca="1">RANDBETWEEN(2,COUNTA(rua_cod!A:A))</f>
        <v>91</v>
      </c>
      <c r="Y56">
        <f t="shared" ca="1" si="6"/>
        <v>4</v>
      </c>
      <c r="Z56">
        <f t="shared" ca="1" si="7"/>
        <v>3</v>
      </c>
      <c r="AA56">
        <f t="shared" ca="1" si="8"/>
        <v>1975</v>
      </c>
      <c r="AB56">
        <f t="shared" ca="1" si="9"/>
        <v>6</v>
      </c>
      <c r="AC56">
        <f t="shared" ca="1" si="10"/>
        <v>30</v>
      </c>
      <c r="AD56">
        <f t="shared" ca="1" si="11"/>
        <v>45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Francisca João Amaral Castro</v>
      </c>
      <c r="E57" t="str">
        <f>Nomes!S58</f>
        <v>Feminino</v>
      </c>
      <c r="F57" s="2">
        <v>10289</v>
      </c>
      <c r="G57" t="str" cm="1">
        <f t="array" aca="1" ref="G57" ca="1">INDEX(rua_cod!$F:$F,RANDBETWEEN(2,COUNTA(rua_cod!F:F)))</f>
        <v>Estrada Militar</v>
      </c>
      <c r="H57" t="str" cm="1">
        <f t="array" aca="1" ref="H57" ca="1">INDEX(rua_cod!$A:$A,Médicos!X57) &amp; "-" &amp; TEXT(RANDBETWEEN(0,999),"000")</f>
        <v>1269-607</v>
      </c>
      <c r="I57" t="str" cm="1">
        <f t="array" aca="1" ref="I57" ca="1">INDEX(rua_cod!$B:$B,Médicos!X57)</f>
        <v>Lisboa</v>
      </c>
      <c r="J57" t="s">
        <v>341</v>
      </c>
      <c r="K57" t="s">
        <v>225</v>
      </c>
      <c r="L57" t="s">
        <v>265</v>
      </c>
      <c r="M57" t="str">
        <f t="shared" ca="1" si="2"/>
        <v>93688746</v>
      </c>
      <c r="N57" t="str">
        <f t="shared" ca="1" si="3"/>
        <v>398671238</v>
      </c>
      <c r="O57" t="str">
        <f t="shared" ca="1" si="3"/>
        <v>112060812</v>
      </c>
      <c r="P57" t="str" cm="1">
        <f t="array" aca="1" ref="P57" ca="1">9 &amp; INDEX($AH$3:$AH$6,Y57)&amp; TEXT(RANDBETWEEN(0,9999999),"0000000")</f>
        <v>910265092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5294866728465175</v>
      </c>
      <c r="T57" t="s">
        <v>341</v>
      </c>
      <c r="V57" s="4"/>
      <c r="X57">
        <f ca="1">RANDBETWEEN(2,COUNTA(rua_cod!A:A))</f>
        <v>52</v>
      </c>
      <c r="Y57">
        <f t="shared" ca="1" si="6"/>
        <v>1</v>
      </c>
      <c r="Z57">
        <f t="shared" ca="1" si="7"/>
        <v>1</v>
      </c>
      <c r="AA57">
        <f t="shared" ca="1" si="8"/>
        <v>1979</v>
      </c>
      <c r="AB57">
        <f t="shared" ca="1" si="9"/>
        <v>6</v>
      </c>
      <c r="AC57">
        <f t="shared" ca="1" si="10"/>
        <v>20</v>
      </c>
      <c r="AD57">
        <f t="shared" ca="1" si="11"/>
        <v>41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João Ana Coelho Matos</v>
      </c>
      <c r="E58" t="str">
        <f>Nomes!S59</f>
        <v>Masculino</v>
      </c>
      <c r="F58" s="2">
        <v>30780</v>
      </c>
      <c r="G58" t="str" cm="1">
        <f t="array" aca="1" ref="G58" ca="1">INDEX(rua_cod!$F:$F,RANDBETWEEN(2,COUNTA(rua_cod!F:F)))</f>
        <v>Rua Ferreira Lapa</v>
      </c>
      <c r="H58" t="str" cm="1">
        <f t="array" aca="1" ref="H58" ca="1">INDEX(rua_cod!$A:$A,Médicos!X58) &amp; "-" &amp; TEXT(RANDBETWEEN(0,999),"000")</f>
        <v>1170-735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70966151</v>
      </c>
      <c r="N58" t="str">
        <f t="shared" ca="1" si="3"/>
        <v>939170497</v>
      </c>
      <c r="O58" t="str">
        <f t="shared" ca="1" si="3"/>
        <v>772206923</v>
      </c>
      <c r="P58" t="str" cm="1">
        <f t="array" aca="1" ref="P58" ca="1">9 &amp; INDEX($AH$3:$AH$6,Y58)&amp; TEXT(RANDBETWEEN(0,9999999),"0000000")</f>
        <v>919738679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3522565479975404</v>
      </c>
      <c r="T58" t="s">
        <v>341</v>
      </c>
      <c r="V58" s="4"/>
      <c r="X58">
        <f ca="1">RANDBETWEEN(2,COUNTA(rua_cod!A:A))</f>
        <v>47</v>
      </c>
      <c r="Y58">
        <f t="shared" ca="1" si="6"/>
        <v>1</v>
      </c>
      <c r="Z58">
        <f t="shared" ca="1" si="7"/>
        <v>3</v>
      </c>
      <c r="AA58">
        <f t="shared" ca="1" si="8"/>
        <v>1983</v>
      </c>
      <c r="AB58">
        <f t="shared" ca="1" si="9"/>
        <v>7</v>
      </c>
      <c r="AC58">
        <f t="shared" ca="1" si="10"/>
        <v>5</v>
      </c>
      <c r="AD58">
        <f t="shared" ca="1" si="11"/>
        <v>37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Miguel Leonor Andrade Lopes</v>
      </c>
      <c r="E59" t="str">
        <f>Nomes!S60</f>
        <v>Masculino</v>
      </c>
      <c r="F59" s="2">
        <v>37531</v>
      </c>
      <c r="G59" t="str" cm="1">
        <f t="array" aca="1" ref="G59" ca="1">INDEX(rua_cod!$F:$F,RANDBETWEEN(2,COUNTA(rua_cod!F:F)))</f>
        <v>Rua dos Fanqueiros</v>
      </c>
      <c r="H59" t="str" cm="1">
        <f t="array" aca="1" ref="H59" ca="1">INDEX(rua_cod!$A:$A,Médicos!X59) &amp; "-" &amp; TEXT(RANDBETWEEN(0,999),"000")</f>
        <v>1950-573</v>
      </c>
      <c r="I59" t="str" cm="1">
        <f t="array" aca="1" ref="I59" ca="1">INDEX(rua_cod!$B:$B,Médicos!X59)</f>
        <v>Lisboa</v>
      </c>
      <c r="J59" t="s">
        <v>341</v>
      </c>
      <c r="K59" t="s">
        <v>225</v>
      </c>
      <c r="L59" t="s">
        <v>265</v>
      </c>
      <c r="M59" t="str">
        <f t="shared" ca="1" si="2"/>
        <v>96407117</v>
      </c>
      <c r="N59" t="str">
        <f t="shared" ca="1" si="3"/>
        <v>466514036</v>
      </c>
      <c r="O59" t="str">
        <f t="shared" ca="1" si="3"/>
        <v>869239914</v>
      </c>
      <c r="P59" t="str" cm="1">
        <f t="array" aca="1" ref="P59" ca="1">9 &amp; INDEX($AH$3:$AH$6,Y59)&amp; TEXT(RANDBETWEEN(0,9999999),"0000000")</f>
        <v>913523765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3337608157126040</v>
      </c>
      <c r="T59" t="s">
        <v>341</v>
      </c>
      <c r="V59" s="4"/>
      <c r="X59">
        <f ca="1">RANDBETWEEN(2,COUNTA(rua_cod!A:A))</f>
        <v>41</v>
      </c>
      <c r="Y59">
        <f t="shared" ca="1" si="6"/>
        <v>1</v>
      </c>
      <c r="Z59">
        <f t="shared" ca="1" si="7"/>
        <v>1</v>
      </c>
      <c r="AA59">
        <f t="shared" ca="1" si="8"/>
        <v>1985</v>
      </c>
      <c r="AB59">
        <f t="shared" ca="1" si="9"/>
        <v>3</v>
      </c>
      <c r="AC59">
        <f t="shared" ca="1" si="10"/>
        <v>29</v>
      </c>
      <c r="AD59">
        <f t="shared" ca="1" si="11"/>
        <v>35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Luís Sofia Sousa Valente</v>
      </c>
      <c r="E60" t="str">
        <f>Nomes!S61</f>
        <v>Masculino</v>
      </c>
      <c r="F60" s="2">
        <v>43428</v>
      </c>
      <c r="G60" t="str" cm="1">
        <f t="array" aca="1" ref="G60" ca="1">INDEX(rua_cod!$F:$F,RANDBETWEEN(2,COUNTA(rua_cod!F:F)))</f>
        <v>Rua Nova do Almada</v>
      </c>
      <c r="H60" t="str" cm="1">
        <f t="array" aca="1" ref="H60" ca="1">INDEX(rua_cod!$A:$A,Médicos!X60) &amp; "-" &amp; TEXT(RANDBETWEEN(0,999),"000")</f>
        <v>1150-497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29610911</v>
      </c>
      <c r="N60" t="str">
        <f t="shared" ca="1" si="3"/>
        <v>793908768</v>
      </c>
      <c r="O60" t="str">
        <f t="shared" ca="1" si="3"/>
        <v>179217159</v>
      </c>
      <c r="P60" t="str" cm="1">
        <f t="array" aca="1" ref="P60" ca="1">9 &amp; INDEX($AH$3:$AH$6,Y60)&amp; TEXT(RANDBETWEEN(0,9999999),"0000000")</f>
        <v>939838161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4551128315156187</v>
      </c>
      <c r="T60" t="s">
        <v>341</v>
      </c>
      <c r="V60" s="4"/>
      <c r="X60">
        <f ca="1">RANDBETWEEN(2,COUNTA(rua_cod!A:A))</f>
        <v>44</v>
      </c>
      <c r="Y60">
        <f t="shared" ca="1" si="6"/>
        <v>3</v>
      </c>
      <c r="Z60">
        <f t="shared" ca="1" si="7"/>
        <v>3</v>
      </c>
      <c r="AA60">
        <f t="shared" ca="1" si="8"/>
        <v>1968</v>
      </c>
      <c r="AB60">
        <f t="shared" ca="1" si="9"/>
        <v>1</v>
      </c>
      <c r="AC60">
        <f t="shared" ca="1" si="10"/>
        <v>1</v>
      </c>
      <c r="AD60">
        <f t="shared" ca="1" si="11"/>
        <v>52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Duarte Luís Campos Loureiro</v>
      </c>
      <c r="E61" t="str">
        <f>Nomes!S62</f>
        <v>Masculino</v>
      </c>
      <c r="F61" s="2">
        <v>27744</v>
      </c>
      <c r="G61" t="str" cm="1">
        <f t="array" aca="1" ref="G61" ca="1">INDEX(rua_cod!$F:$F,RANDBETWEEN(2,COUNTA(rua_cod!F:F)))</f>
        <v>Rua do Comércio</v>
      </c>
      <c r="H61" t="str" cm="1">
        <f t="array" aca="1" ref="H61" ca="1">INDEX(rua_cod!$A:$A,Médicos!X61) &amp; "-" &amp; TEXT(RANDBETWEEN(0,999),"000")</f>
        <v>2009-006</v>
      </c>
      <c r="I61" t="str" cm="1">
        <f t="array" aca="1" ref="I61" ca="1">INDEX(rua_cod!$B:$B,Médicos!X61)</f>
        <v>Santarém</v>
      </c>
      <c r="J61" t="s">
        <v>341</v>
      </c>
      <c r="K61" t="s">
        <v>225</v>
      </c>
      <c r="L61" t="s">
        <v>265</v>
      </c>
      <c r="M61" t="str">
        <f t="shared" ca="1" si="2"/>
        <v>84105872</v>
      </c>
      <c r="N61" t="str">
        <f t="shared" ca="1" si="3"/>
        <v>405842839</v>
      </c>
      <c r="O61" t="str">
        <f t="shared" ca="1" si="3"/>
        <v>401429485</v>
      </c>
      <c r="P61" t="str" cm="1">
        <f t="array" aca="1" ref="P61" ca="1">9 &amp; INDEX($AH$3:$AH$6,Y61)&amp; TEXT(RANDBETWEEN(0,9999999),"0000000")</f>
        <v>914485946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8378953245827916</v>
      </c>
      <c r="T61" t="s">
        <v>341</v>
      </c>
      <c r="V61" s="4"/>
      <c r="X61">
        <f ca="1">RANDBETWEEN(2,COUNTA(rua_cod!A:A))</f>
        <v>95</v>
      </c>
      <c r="Y61">
        <f t="shared" ca="1" si="6"/>
        <v>1</v>
      </c>
      <c r="Z61">
        <f t="shared" ca="1" si="7"/>
        <v>1</v>
      </c>
      <c r="AA61">
        <f t="shared" ca="1" si="8"/>
        <v>1968</v>
      </c>
      <c r="AB61">
        <f t="shared" ca="1" si="9"/>
        <v>2</v>
      </c>
      <c r="AC61">
        <f t="shared" ca="1" si="10"/>
        <v>14</v>
      </c>
      <c r="AD61">
        <f t="shared" ca="1" si="11"/>
        <v>52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Catarina Carolina Araújo Antunes</v>
      </c>
      <c r="E62" t="str">
        <f>Nomes!S63</f>
        <v>Feminino</v>
      </c>
      <c r="F62" s="2">
        <v>39695</v>
      </c>
      <c r="G62" t="str" cm="1">
        <f t="array" aca="1" ref="G62" ca="1">INDEX(rua_cod!$F:$F,RANDBETWEEN(2,COUNTA(rua_cod!F:F)))</f>
        <v>Rua da Junqueira</v>
      </c>
      <c r="H62" t="str" cm="1">
        <f t="array" aca="1" ref="H62" ca="1">INDEX(rua_cod!$A:$A,Médicos!X62) &amp; "-" &amp; TEXT(RANDBETWEEN(0,999),"000")</f>
        <v>1269-973</v>
      </c>
      <c r="I62" t="str" cm="1">
        <f t="array" aca="1" ref="I62" ca="1">INDEX(rua_cod!$B:$B,Médicos!X62)</f>
        <v>Lisboa</v>
      </c>
      <c r="J62" t="s">
        <v>341</v>
      </c>
      <c r="K62" t="s">
        <v>225</v>
      </c>
      <c r="L62" t="s">
        <v>265</v>
      </c>
      <c r="M62" t="str">
        <f t="shared" ca="1" si="2"/>
        <v>14404008</v>
      </c>
      <c r="N62" t="str">
        <f t="shared" ca="1" si="3"/>
        <v>587289929</v>
      </c>
      <c r="O62" t="str">
        <f t="shared" ca="1" si="3"/>
        <v>418832051</v>
      </c>
      <c r="P62" t="str" cm="1">
        <f t="array" aca="1" ref="P62" ca="1">9 &amp; INDEX($AH$3:$AH$6,Y62)&amp; TEXT(RANDBETWEEN(0,9999999),"0000000")</f>
        <v>960755964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7573061205256424</v>
      </c>
      <c r="T62" t="s">
        <v>341</v>
      </c>
      <c r="V62" s="4"/>
      <c r="X62">
        <f ca="1">RANDBETWEEN(2,COUNTA(rua_cod!A:A))</f>
        <v>52</v>
      </c>
      <c r="Y62">
        <f t="shared" ca="1" si="6"/>
        <v>4</v>
      </c>
      <c r="Z62">
        <f t="shared" ca="1" si="7"/>
        <v>3</v>
      </c>
      <c r="AA62">
        <f t="shared" ca="1" si="8"/>
        <v>1957</v>
      </c>
      <c r="AB62">
        <f t="shared" ca="1" si="9"/>
        <v>6</v>
      </c>
      <c r="AC62">
        <f t="shared" ca="1" si="10"/>
        <v>18</v>
      </c>
      <c r="AD62">
        <f t="shared" ca="1" si="11"/>
        <v>63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José Catarina Oliveira Coelho</v>
      </c>
      <c r="E63" t="str">
        <f>Nomes!S64</f>
        <v>Masculino</v>
      </c>
      <c r="F63" s="2">
        <v>30630</v>
      </c>
      <c r="G63" t="str" cm="1">
        <f t="array" aca="1" ref="G63" ca="1">INDEX(rua_cod!$F:$F,RANDBETWEEN(2,COUNTA(rua_cod!F:F)))</f>
        <v>Estrada das Laranjeiras</v>
      </c>
      <c r="H63" t="str" cm="1">
        <f t="array" aca="1" ref="H63" ca="1">INDEX(rua_cod!$A:$A,Médicos!X63) &amp; "-" &amp; TEXT(RANDBETWEEN(0,999),"000")</f>
        <v>2724-953</v>
      </c>
      <c r="I63" t="str" cm="1">
        <f t="array" aca="1" ref="I63" ca="1">INDEX(rua_cod!$B:$B,Médicos!X63)</f>
        <v>Amadora</v>
      </c>
      <c r="J63" t="s">
        <v>341</v>
      </c>
      <c r="K63" t="s">
        <v>225</v>
      </c>
      <c r="L63" t="s">
        <v>265</v>
      </c>
      <c r="M63" t="str">
        <f t="shared" ca="1" si="2"/>
        <v>84175175</v>
      </c>
      <c r="N63" t="str">
        <f t="shared" ca="1" si="3"/>
        <v>846153643</v>
      </c>
      <c r="O63" t="str">
        <f t="shared" ca="1" si="3"/>
        <v>268640265</v>
      </c>
      <c r="P63" t="str" cm="1">
        <f t="array" aca="1" ref="P63" ca="1">9 &amp; INDEX($AH$3:$AH$6,Y63)&amp; TEXT(RANDBETWEEN(0,9999999),"0000000")</f>
        <v>915718668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4968464120165391</v>
      </c>
      <c r="T63" t="s">
        <v>341</v>
      </c>
      <c r="V63" s="4"/>
      <c r="X63">
        <f ca="1">RANDBETWEEN(2,COUNTA(rua_cod!A:A))</f>
        <v>13</v>
      </c>
      <c r="Y63">
        <f t="shared" ca="1" si="6"/>
        <v>1</v>
      </c>
      <c r="Z63">
        <f t="shared" ca="1" si="7"/>
        <v>3</v>
      </c>
      <c r="AA63">
        <f t="shared" ca="1" si="8"/>
        <v>1965</v>
      </c>
      <c r="AB63">
        <f t="shared" ca="1" si="9"/>
        <v>5</v>
      </c>
      <c r="AC63">
        <f t="shared" ca="1" si="10"/>
        <v>24</v>
      </c>
      <c r="AD63">
        <f t="shared" ca="1" si="11"/>
        <v>55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Mariana Carolina Reis Moura</v>
      </c>
      <c r="E64" t="str">
        <f>Nomes!S65</f>
        <v>Feminino</v>
      </c>
      <c r="F64" s="2">
        <v>12753</v>
      </c>
      <c r="G64" t="str" cm="1">
        <f t="array" aca="1" ref="G64" ca="1">INDEX(rua_cod!$F:$F,RANDBETWEEN(2,COUNTA(rua_cod!F:F)))</f>
        <v>Rua do Carmo</v>
      </c>
      <c r="H64" t="str" cm="1">
        <f t="array" aca="1" ref="H64" ca="1">INDEX(rua_cod!$A:$A,Médicos!X64) &amp; "-" &amp; TEXT(RANDBETWEEN(0,999),"000")</f>
        <v>1199-867</v>
      </c>
      <c r="I64" t="str" cm="1">
        <f t="array" aca="1" ref="I64" ca="1">INDEX(rua_cod!$B:$B,Médicos!X64)</f>
        <v>Lisboa</v>
      </c>
      <c r="J64" t="s">
        <v>341</v>
      </c>
      <c r="K64" t="s">
        <v>225</v>
      </c>
      <c r="L64" t="s">
        <v>265</v>
      </c>
      <c r="M64" t="str">
        <f t="shared" ca="1" si="2"/>
        <v>65437806</v>
      </c>
      <c r="N64" t="str">
        <f t="shared" ca="1" si="3"/>
        <v>585061378</v>
      </c>
      <c r="O64" t="str">
        <f t="shared" ca="1" si="3"/>
        <v>479808734</v>
      </c>
      <c r="P64" t="str" cm="1">
        <f t="array" aca="1" ref="P64" ca="1">9 &amp; INDEX($AH$3:$AH$6,Y64)&amp; TEXT(RANDBETWEEN(0,9999999),"0000000")</f>
        <v>917961028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7901774397764134</v>
      </c>
      <c r="T64" t="s">
        <v>341</v>
      </c>
      <c r="V64" s="4"/>
      <c r="X64">
        <f ca="1">RANDBETWEEN(2,COUNTA(rua_cod!A:A))</f>
        <v>65</v>
      </c>
      <c r="Y64">
        <f t="shared" ca="1" si="6"/>
        <v>1</v>
      </c>
      <c r="Z64">
        <f t="shared" ca="1" si="7"/>
        <v>3</v>
      </c>
      <c r="AA64">
        <f t="shared" ca="1" si="8"/>
        <v>1953</v>
      </c>
      <c r="AB64">
        <f t="shared" ca="1" si="9"/>
        <v>5</v>
      </c>
      <c r="AC64">
        <f t="shared" ca="1" si="10"/>
        <v>6</v>
      </c>
      <c r="AD64">
        <f t="shared" ca="1" si="11"/>
        <v>67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Francisca Diana Teixeira Araújo</v>
      </c>
      <c r="E65" t="str">
        <f>Nomes!S66</f>
        <v>Feminino</v>
      </c>
      <c r="F65" s="2">
        <v>13063</v>
      </c>
      <c r="G65" t="str" cm="1">
        <f t="array" aca="1" ref="G65" ca="1">INDEX(rua_cod!$F:$F,RANDBETWEEN(2,COUNTA(rua_cod!F:F)))</f>
        <v>Rua Augusta</v>
      </c>
      <c r="H65" t="str" cm="1">
        <f t="array" aca="1" ref="H65" ca="1">INDEX(rua_cod!$A:$A,Médicos!X65) &amp; "-" &amp; TEXT(RANDBETWEEN(0,999),"000")</f>
        <v>1749-767</v>
      </c>
      <c r="I65" t="str" cm="1">
        <f t="array" aca="1" ref="I65" ca="1">INDEX(rua_cod!$B:$B,Médicos!X65)</f>
        <v>Lisboa</v>
      </c>
      <c r="J65" t="s">
        <v>341</v>
      </c>
      <c r="K65" t="s">
        <v>225</v>
      </c>
      <c r="L65" t="s">
        <v>265</v>
      </c>
      <c r="M65" t="str">
        <f t="shared" ca="1" si="2"/>
        <v>61168452</v>
      </c>
      <c r="N65" t="str">
        <f t="shared" ca="1" si="3"/>
        <v>371485105</v>
      </c>
      <c r="O65" t="str">
        <f t="shared" ca="1" si="3"/>
        <v>243800165</v>
      </c>
      <c r="P65" t="str" cm="1">
        <f t="array" aca="1" ref="P65" ca="1">9 &amp; INDEX($AH$3:$AH$6,Y65)&amp; TEXT(RANDBETWEEN(0,9999999),"0000000")</f>
        <v>921199104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3496986857713272</v>
      </c>
      <c r="T65" t="s">
        <v>341</v>
      </c>
      <c r="V65" s="4"/>
      <c r="X65">
        <f ca="1">RANDBETWEEN(2,COUNTA(rua_cod!A:A))</f>
        <v>61</v>
      </c>
      <c r="Y65">
        <f t="shared" ca="1" si="6"/>
        <v>2</v>
      </c>
      <c r="Z65">
        <f t="shared" ca="1" si="7"/>
        <v>2</v>
      </c>
      <c r="AA65">
        <f t="shared" ca="1" si="8"/>
        <v>1956</v>
      </c>
      <c r="AB65">
        <f t="shared" ca="1" si="9"/>
        <v>4</v>
      </c>
      <c r="AC65">
        <f t="shared" ca="1" si="10"/>
        <v>16</v>
      </c>
      <c r="AD65">
        <f t="shared" ca="1" si="11"/>
        <v>64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Rodrigo Rodrigo Anjos Pires</v>
      </c>
      <c r="E66" t="str">
        <f>Nomes!S67</f>
        <v>Masculino</v>
      </c>
      <c r="F66" s="2">
        <v>37114</v>
      </c>
      <c r="G66" t="str" cm="1">
        <f t="array" aca="1" ref="G66" ca="1">INDEX(rua_cod!$F:$F,RANDBETWEEN(2,COUNTA(rua_cod!F:F)))</f>
        <v>Rua Ferreira Lapa</v>
      </c>
      <c r="H66" t="str" cm="1">
        <f t="array" aca="1" ref="H66" ca="1">INDEX(rua_cod!$A:$A,Médicos!X66) &amp; "-" &amp; TEXT(RANDBETWEEN(0,999),"000")</f>
        <v>2674-675</v>
      </c>
      <c r="I66" t="str" cm="1">
        <f t="array" aca="1" ref="I66" ca="1">INDEX(rua_cod!$B:$B,Médicos!X66)</f>
        <v>Loures</v>
      </c>
      <c r="J66" t="s">
        <v>341</v>
      </c>
      <c r="K66" t="s">
        <v>225</v>
      </c>
      <c r="L66" t="s">
        <v>265</v>
      </c>
      <c r="M66" t="str">
        <f t="shared" ca="1" si="2"/>
        <v>48020671</v>
      </c>
      <c r="N66" t="str">
        <f t="shared" ca="1" si="3"/>
        <v>963294314</v>
      </c>
      <c r="O66" t="str">
        <f t="shared" ca="1" si="3"/>
        <v>124885677</v>
      </c>
      <c r="P66" t="str" cm="1">
        <f t="array" aca="1" ref="P66" ca="1">9 &amp; INDEX($AH$3:$AH$6,Y66)&amp; TEXT(RANDBETWEEN(0,9999999),"0000000")</f>
        <v>966982300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6440586411724336</v>
      </c>
      <c r="T66" t="s">
        <v>341</v>
      </c>
      <c r="V66" s="4"/>
      <c r="X66">
        <f ca="1">RANDBETWEEN(2,COUNTA(rua_cod!A:A))</f>
        <v>84</v>
      </c>
      <c r="Y66">
        <f t="shared" ca="1" si="6"/>
        <v>4</v>
      </c>
      <c r="Z66">
        <f t="shared" ca="1" si="7"/>
        <v>3</v>
      </c>
      <c r="AA66">
        <f t="shared" ca="1" si="8"/>
        <v>1978</v>
      </c>
      <c r="AB66">
        <f t="shared" ca="1" si="9"/>
        <v>9</v>
      </c>
      <c r="AC66">
        <f t="shared" ca="1" si="10"/>
        <v>16</v>
      </c>
      <c r="AD66">
        <f t="shared" ca="1" si="11"/>
        <v>42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Carolina Catarina Andrade Barbosa</v>
      </c>
      <c r="E67" t="str">
        <f>Nomes!S68</f>
        <v>Feminino</v>
      </c>
      <c r="F67" s="2">
        <v>19832</v>
      </c>
      <c r="G67" t="str" cm="1">
        <f t="array" aca="1" ref="G67" ca="1">INDEX(rua_cod!$F:$F,RANDBETWEEN(2,COUNTA(rua_cod!F:F)))</f>
        <v>Rua do Carmo</v>
      </c>
      <c r="H67" t="str" cm="1">
        <f t="array" aca="1" ref="H67" ca="1">INDEX(rua_cod!$A:$A,Médicos!X67) &amp; "-" &amp; TEXT(RANDBETWEEN(0,999),"000")</f>
        <v>2423-121</v>
      </c>
      <c r="I67" t="str" cm="1">
        <f t="array" aca="1" ref="I67" ca="1">INDEX(rua_cod!$B:$B,Médicos!X67)</f>
        <v>Leiria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48194677</v>
      </c>
      <c r="N67" t="str">
        <f t="shared" ref="N67:O130" ca="1" si="15">TEXT(RANDBETWEEN(100000000,999999999),"000000000")</f>
        <v>192339147</v>
      </c>
      <c r="O67" t="str">
        <f t="shared" ca="1" si="15"/>
        <v>595407716</v>
      </c>
      <c r="P67" t="str" cm="1">
        <f t="array" aca="1" ref="P67" ca="1">9 &amp; INDEX($AH$3:$AH$6,Y67)&amp; TEXT(RANDBETWEEN(0,9999999),"0000000")</f>
        <v>916051785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7269413333932735</v>
      </c>
      <c r="T67" t="s">
        <v>341</v>
      </c>
      <c r="V67" s="4"/>
      <c r="X67">
        <f ca="1">RANDBETWEEN(2,COUNTA(rua_cod!A:A))</f>
        <v>38</v>
      </c>
      <c r="Y67">
        <f t="shared" ref="Y67:Y130" ca="1" si="18">RANDBETWEEN(1,4)</f>
        <v>1</v>
      </c>
      <c r="Z67">
        <f t="shared" ref="Z67:Z130" ca="1" si="19">RANDBETWEEN(1,3)</f>
        <v>1</v>
      </c>
      <c r="AA67">
        <f t="shared" ref="AA67:AA130" ca="1" si="20">RANDBETWEEN(1950,1994)</f>
        <v>1985</v>
      </c>
      <c r="AB67">
        <f t="shared" ref="AB67:AB130" ca="1" si="21">RANDBETWEEN(1,12)</f>
        <v>4</v>
      </c>
      <c r="AC67">
        <f t="shared" ref="AC67:AC130" ca="1" si="22">RANDBETWEEN(1,31)</f>
        <v>21</v>
      </c>
      <c r="AD67">
        <f t="shared" ref="AD67:AD130" ca="1" si="23">2020-AA67</f>
        <v>35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Leonor Rodrigo Leal Sá</v>
      </c>
      <c r="E68" t="str">
        <f>Nomes!S69</f>
        <v>Feminino</v>
      </c>
      <c r="F68" s="2">
        <v>11481</v>
      </c>
      <c r="G68" t="str" cm="1">
        <f t="array" aca="1" ref="G68" ca="1">INDEX(rua_cod!$F:$F,RANDBETWEEN(2,COUNTA(rua_cod!F:F)))</f>
        <v>Estrada Militar</v>
      </c>
      <c r="H68" t="str" cm="1">
        <f t="array" aca="1" ref="H68" ca="1">INDEX(rua_cod!$A:$A,Médicos!X68) &amp; "-" &amp; TEXT(RANDBETWEEN(0,999),"000")</f>
        <v>2779-746</v>
      </c>
      <c r="I68" t="str" cm="1">
        <f t="array" aca="1" ref="I68" ca="1">INDEX(rua_cod!$B:$B,Médicos!X68)</f>
        <v>Carcavelos</v>
      </c>
      <c r="J68" t="s">
        <v>341</v>
      </c>
      <c r="K68" t="s">
        <v>225</v>
      </c>
      <c r="L68" t="s">
        <v>265</v>
      </c>
      <c r="M68" t="str">
        <f t="shared" ca="1" si="14"/>
        <v>73240164</v>
      </c>
      <c r="N68" t="str">
        <f t="shared" ca="1" si="15"/>
        <v>925268625</v>
      </c>
      <c r="O68" t="str">
        <f t="shared" ca="1" si="15"/>
        <v>535990573</v>
      </c>
      <c r="P68" t="str" cm="1">
        <f t="array" aca="1" ref="P68" ca="1">9 &amp; INDEX($AH$3:$AH$6,Y68)&amp; TEXT(RANDBETWEEN(0,9999999),"0000000")</f>
        <v>930217196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9451052735638128</v>
      </c>
      <c r="T68" t="s">
        <v>341</v>
      </c>
      <c r="V68" s="4"/>
      <c r="X68">
        <f ca="1">RANDBETWEEN(2,COUNTA(rua_cod!A:A))</f>
        <v>21</v>
      </c>
      <c r="Y68">
        <f t="shared" ca="1" si="18"/>
        <v>3</v>
      </c>
      <c r="Z68">
        <f t="shared" ca="1" si="19"/>
        <v>1</v>
      </c>
      <c r="AA68">
        <f t="shared" ca="1" si="20"/>
        <v>1993</v>
      </c>
      <c r="AB68">
        <f t="shared" ca="1" si="21"/>
        <v>7</v>
      </c>
      <c r="AC68">
        <f t="shared" ca="1" si="22"/>
        <v>30</v>
      </c>
      <c r="AD68">
        <f t="shared" ca="1" si="23"/>
        <v>27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Mariana Santiago Leite Fernandes</v>
      </c>
      <c r="E69" t="str">
        <f>Nomes!S70</f>
        <v>Feminino</v>
      </c>
      <c r="F69" s="2">
        <v>19996</v>
      </c>
      <c r="G69" t="str" cm="1">
        <f t="array" aca="1" ref="G69" ca="1">INDEX(rua_cod!$F:$F,RANDBETWEEN(2,COUNTA(rua_cod!F:F)))</f>
        <v>Rua do Comércio</v>
      </c>
      <c r="H69" t="str" cm="1">
        <f t="array" aca="1" ref="H69" ca="1">INDEX(rua_cod!$A:$A,Médicos!X69) &amp; "-" &amp; TEXT(RANDBETWEEN(0,999),"000")</f>
        <v>1349-596</v>
      </c>
      <c r="I69" t="str" cm="1">
        <f t="array" aca="1" ref="I69" ca="1">INDEX(rua_cod!$B:$B,Médicos!X69)</f>
        <v>Lisboa</v>
      </c>
      <c r="J69" t="s">
        <v>341</v>
      </c>
      <c r="K69" t="s">
        <v>225</v>
      </c>
      <c r="L69" t="s">
        <v>265</v>
      </c>
      <c r="M69" t="str">
        <f t="shared" ca="1" si="14"/>
        <v>74599505</v>
      </c>
      <c r="N69" t="str">
        <f t="shared" ca="1" si="15"/>
        <v>975747958</v>
      </c>
      <c r="O69" t="str">
        <f t="shared" ca="1" si="15"/>
        <v>478905617</v>
      </c>
      <c r="P69" t="str" cm="1">
        <f t="array" aca="1" ref="P69" ca="1">9 &amp; INDEX($AH$3:$AH$6,Y69)&amp; TEXT(RANDBETWEEN(0,9999999),"0000000")</f>
        <v>933204846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6746822341814969</v>
      </c>
      <c r="T69" t="s">
        <v>341</v>
      </c>
      <c r="V69" s="4"/>
      <c r="X69">
        <f ca="1">RANDBETWEEN(2,COUNTA(rua_cod!A:A))</f>
        <v>71</v>
      </c>
      <c r="Y69">
        <f t="shared" ca="1" si="18"/>
        <v>3</v>
      </c>
      <c r="Z69">
        <f t="shared" ca="1" si="19"/>
        <v>1</v>
      </c>
      <c r="AA69">
        <f t="shared" ca="1" si="20"/>
        <v>1966</v>
      </c>
      <c r="AB69">
        <f t="shared" ca="1" si="21"/>
        <v>10</v>
      </c>
      <c r="AC69">
        <f t="shared" ca="1" si="22"/>
        <v>19</v>
      </c>
      <c r="AD69">
        <f t="shared" ca="1" si="23"/>
        <v>54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Catarina Francisco Guerreiro Nascimento</v>
      </c>
      <c r="E70" t="str">
        <f>Nomes!S71</f>
        <v>Feminino</v>
      </c>
      <c r="F70" s="2">
        <v>9739</v>
      </c>
      <c r="G70" t="str" cm="1">
        <f t="array" aca="1" ref="G70" ca="1">INDEX(rua_cod!$F:$F,RANDBETWEEN(2,COUNTA(rua_cod!F:F)))</f>
        <v>Rua de São Mamede</v>
      </c>
      <c r="H70" t="str" cm="1">
        <f t="array" aca="1" ref="H70" ca="1">INDEX(rua_cod!$A:$A,Médicos!X70) &amp; "-" &amp; TEXT(RANDBETWEEN(0,999),"000")</f>
        <v>1350-718</v>
      </c>
      <c r="I70" t="str" cm="1">
        <f t="array" aca="1" ref="I70" ca="1">INDEX(rua_cod!$B:$B,Médicos!X70)</f>
        <v>Lisboa</v>
      </c>
      <c r="J70" t="s">
        <v>341</v>
      </c>
      <c r="K70" t="s">
        <v>225</v>
      </c>
      <c r="L70" t="s">
        <v>265</v>
      </c>
      <c r="M70" t="str">
        <f t="shared" ca="1" si="14"/>
        <v>94182026</v>
      </c>
      <c r="N70" t="str">
        <f t="shared" ca="1" si="15"/>
        <v>441284585</v>
      </c>
      <c r="O70" t="str">
        <f t="shared" ca="1" si="15"/>
        <v>838236817</v>
      </c>
      <c r="P70" t="str" cm="1">
        <f t="array" aca="1" ref="P70" ca="1">9 &amp; INDEX($AH$3:$AH$6,Y70)&amp; TEXT(RANDBETWEEN(0,9999999),"0000000")</f>
        <v>934649673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8909350566606926</v>
      </c>
      <c r="T70" t="s">
        <v>341</v>
      </c>
      <c r="V70" s="4"/>
      <c r="X70">
        <f ca="1">RANDBETWEEN(2,COUNTA(rua_cod!A:A))</f>
        <v>54</v>
      </c>
      <c r="Y70">
        <f t="shared" ca="1" si="18"/>
        <v>3</v>
      </c>
      <c r="Z70">
        <f t="shared" ca="1" si="19"/>
        <v>2</v>
      </c>
      <c r="AA70">
        <f t="shared" ca="1" si="20"/>
        <v>1989</v>
      </c>
      <c r="AB70">
        <f t="shared" ca="1" si="21"/>
        <v>6</v>
      </c>
      <c r="AC70">
        <f t="shared" ca="1" si="22"/>
        <v>10</v>
      </c>
      <c r="AD70">
        <f t="shared" ca="1" si="23"/>
        <v>31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Matilde Lurdes Santos Mota</v>
      </c>
      <c r="E71" t="str">
        <f>Nomes!S72</f>
        <v>Feminino</v>
      </c>
      <c r="F71" s="2">
        <v>19419</v>
      </c>
      <c r="G71" t="str" cm="1">
        <f t="array" aca="1" ref="G71" ca="1">INDEX(rua_cod!$F:$F,RANDBETWEEN(2,COUNTA(rua_cod!F:F)))</f>
        <v>Rua do Guarda-Mor</v>
      </c>
      <c r="H71" t="str" cm="1">
        <f t="array" aca="1" ref="H71" ca="1">INDEX(rua_cod!$A:$A,Médicos!X71) &amp; "-" &amp; TEXT(RANDBETWEEN(0,999),"000")</f>
        <v>1249-291</v>
      </c>
      <c r="I71" t="str" cm="1">
        <f t="array" aca="1" ref="I71" ca="1">INDEX(rua_cod!$B:$B,Médicos!X71)</f>
        <v>Lisboa</v>
      </c>
      <c r="J71" t="s">
        <v>341</v>
      </c>
      <c r="K71" t="s">
        <v>225</v>
      </c>
      <c r="L71" t="s">
        <v>265</v>
      </c>
      <c r="M71" t="str">
        <f t="shared" ca="1" si="14"/>
        <v>86331429</v>
      </c>
      <c r="N71" t="str">
        <f t="shared" ca="1" si="15"/>
        <v>841417560</v>
      </c>
      <c r="O71" t="str">
        <f t="shared" ca="1" si="15"/>
        <v>812647364</v>
      </c>
      <c r="P71" t="str" cm="1">
        <f t="array" aca="1" ref="P71" ca="1">9 &amp; INDEX($AH$3:$AH$6,Y71)&amp; TEXT(RANDBETWEEN(0,9999999),"0000000")</f>
        <v>915596034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7623310307638443</v>
      </c>
      <c r="T71" t="s">
        <v>341</v>
      </c>
      <c r="V71" s="4"/>
      <c r="X71">
        <f ca="1">RANDBETWEEN(2,COUNTA(rua_cod!A:A))</f>
        <v>63</v>
      </c>
      <c r="Y71">
        <f t="shared" ca="1" si="18"/>
        <v>1</v>
      </c>
      <c r="Z71">
        <f t="shared" ca="1" si="19"/>
        <v>1</v>
      </c>
      <c r="AA71">
        <f t="shared" ca="1" si="20"/>
        <v>1966</v>
      </c>
      <c r="AB71">
        <f t="shared" ca="1" si="21"/>
        <v>12</v>
      </c>
      <c r="AC71">
        <f t="shared" ca="1" si="22"/>
        <v>17</v>
      </c>
      <c r="AD71">
        <f t="shared" ca="1" si="23"/>
        <v>54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Francisco Tiago Matos Machado</v>
      </c>
      <c r="E72" t="str">
        <f>Nomes!S73</f>
        <v>Masculino</v>
      </c>
      <c r="F72" s="2">
        <v>36001</v>
      </c>
      <c r="G72" t="str" cm="1">
        <f t="array" aca="1" ref="G72" ca="1">INDEX(rua_cod!$F:$F,RANDBETWEEN(2,COUNTA(rua_cod!F:F)))</f>
        <v>Rua do Sacramento à Lapa</v>
      </c>
      <c r="H72" t="str" cm="1">
        <f t="array" aca="1" ref="H72" ca="1">INDEX(rua_cod!$A:$A,Médicos!X72) &amp; "-" &amp; TEXT(RANDBETWEEN(0,999),"000")</f>
        <v>1990-426</v>
      </c>
      <c r="I72" t="str" cm="1">
        <f t="array" aca="1" ref="I72" ca="1">INDEX(rua_cod!$B:$B,Médicos!X72)</f>
        <v>Lisboa</v>
      </c>
      <c r="J72" t="s">
        <v>341</v>
      </c>
      <c r="K72" t="s">
        <v>225</v>
      </c>
      <c r="L72" t="s">
        <v>265</v>
      </c>
      <c r="M72" t="str">
        <f t="shared" ca="1" si="14"/>
        <v>80484683</v>
      </c>
      <c r="N72" t="str">
        <f t="shared" ca="1" si="15"/>
        <v>127497574</v>
      </c>
      <c r="O72" t="str">
        <f t="shared" ca="1" si="15"/>
        <v>819885541</v>
      </c>
      <c r="P72" t="str" cm="1">
        <f t="array" aca="1" ref="P72" ca="1">9 &amp; INDEX($AH$3:$AH$6,Y72)&amp; TEXT(RANDBETWEEN(0,9999999),"0000000")</f>
        <v>924295809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4747442949190241</v>
      </c>
      <c r="T72" t="s">
        <v>341</v>
      </c>
      <c r="V72" s="4"/>
      <c r="X72">
        <f ca="1">RANDBETWEEN(2,COUNTA(rua_cod!A:A))</f>
        <v>75</v>
      </c>
      <c r="Y72">
        <f t="shared" ca="1" si="18"/>
        <v>2</v>
      </c>
      <c r="Z72">
        <f t="shared" ca="1" si="19"/>
        <v>1</v>
      </c>
      <c r="AA72">
        <f t="shared" ca="1" si="20"/>
        <v>1960</v>
      </c>
      <c r="AB72">
        <f t="shared" ca="1" si="21"/>
        <v>2</v>
      </c>
      <c r="AC72">
        <f t="shared" ca="1" si="22"/>
        <v>24</v>
      </c>
      <c r="AD72">
        <f t="shared" ca="1" si="23"/>
        <v>60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Miguel Diogo Tavares Nogueira</v>
      </c>
      <c r="E73" t="str">
        <f>Nomes!S74</f>
        <v>Masculino</v>
      </c>
      <c r="F73" s="2">
        <v>42853</v>
      </c>
      <c r="G73" t="str" cm="1">
        <f t="array" aca="1" ref="G73" ca="1">INDEX(rua_cod!$F:$F,RANDBETWEEN(2,COUNTA(rua_cod!F:F)))</f>
        <v>Rua da Betesga</v>
      </c>
      <c r="H73" t="str" cm="1">
        <f t="array" aca="1" ref="H73" ca="1">INDEX(rua_cod!$A:$A,Médicos!X73) &amp; "-" &amp; TEXT(RANDBETWEEN(0,999),"000")</f>
        <v>2350-959</v>
      </c>
      <c r="I73" t="str" cm="1">
        <f t="array" aca="1" ref="I73" ca="1">INDEX(rua_cod!$B:$B,Médicos!X73)</f>
        <v>Torres Novas</v>
      </c>
      <c r="J73" t="s">
        <v>341</v>
      </c>
      <c r="K73" t="s">
        <v>225</v>
      </c>
      <c r="L73" t="s">
        <v>265</v>
      </c>
      <c r="M73" t="str">
        <f t="shared" ca="1" si="14"/>
        <v>72594077</v>
      </c>
      <c r="N73" t="str">
        <f t="shared" ca="1" si="15"/>
        <v>113481781</v>
      </c>
      <c r="O73" t="str">
        <f t="shared" ca="1" si="15"/>
        <v>287804909</v>
      </c>
      <c r="P73" t="str" cm="1">
        <f t="array" aca="1" ref="P73" ca="1">9 &amp; INDEX($AH$3:$AH$6,Y73)&amp; TEXT(RANDBETWEEN(0,9999999),"0000000")</f>
        <v>920094045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3458325742933898</v>
      </c>
      <c r="T73" t="s">
        <v>341</v>
      </c>
      <c r="V73" s="4"/>
      <c r="X73">
        <f ca="1">RANDBETWEEN(2,COUNTA(rua_cod!A:A))</f>
        <v>103</v>
      </c>
      <c r="Y73">
        <f t="shared" ca="1" si="18"/>
        <v>2</v>
      </c>
      <c r="Z73">
        <f t="shared" ca="1" si="19"/>
        <v>3</v>
      </c>
      <c r="AA73">
        <f t="shared" ca="1" si="20"/>
        <v>1970</v>
      </c>
      <c r="AB73">
        <f t="shared" ca="1" si="21"/>
        <v>6</v>
      </c>
      <c r="AC73">
        <f t="shared" ca="1" si="22"/>
        <v>8</v>
      </c>
      <c r="AD73">
        <f t="shared" ca="1" si="23"/>
        <v>50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Tiago André Mendes Assunção</v>
      </c>
      <c r="E74" t="str">
        <f>Nomes!S75</f>
        <v>Masculino</v>
      </c>
      <c r="F74" s="2">
        <v>38941</v>
      </c>
      <c r="G74" t="str" cm="1">
        <f t="array" aca="1" ref="G74" ca="1">INDEX(rua_cod!$F:$F,RANDBETWEEN(2,COUNTA(rua_cod!F:F)))</f>
        <v>Rua da Alfândega</v>
      </c>
      <c r="H74" t="str" cm="1">
        <f t="array" aca="1" ref="H74" ca="1">INDEX(rua_cod!$A:$A,Médicos!X74) &amp; "-" &amp; TEXT(RANDBETWEEN(0,999),"000")</f>
        <v>1349-447</v>
      </c>
      <c r="I74" t="str" cm="1">
        <f t="array" aca="1" ref="I74" ca="1">INDEX(rua_cod!$B:$B,Médicos!X74)</f>
        <v>Lisboa</v>
      </c>
      <c r="J74" t="s">
        <v>341</v>
      </c>
      <c r="K74" t="s">
        <v>225</v>
      </c>
      <c r="L74" t="s">
        <v>265</v>
      </c>
      <c r="M74" t="str">
        <f t="shared" ca="1" si="14"/>
        <v>82354402</v>
      </c>
      <c r="N74" t="str">
        <f t="shared" ca="1" si="15"/>
        <v>990840762</v>
      </c>
      <c r="O74" t="str">
        <f t="shared" ca="1" si="15"/>
        <v>779327909</v>
      </c>
      <c r="P74" t="str" cm="1">
        <f t="array" aca="1" ref="P74" ca="1">9 &amp; INDEX($AH$3:$AH$6,Y74)&amp; TEXT(RANDBETWEEN(0,9999999),"0000000")</f>
        <v>936185184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9379536775155840</v>
      </c>
      <c r="T74" t="s">
        <v>341</v>
      </c>
      <c r="V74" s="4"/>
      <c r="X74">
        <f ca="1">RANDBETWEEN(2,COUNTA(rua_cod!A:A))</f>
        <v>71</v>
      </c>
      <c r="Y74">
        <f t="shared" ca="1" si="18"/>
        <v>3</v>
      </c>
      <c r="Z74">
        <f t="shared" ca="1" si="19"/>
        <v>3</v>
      </c>
      <c r="AA74">
        <f t="shared" ca="1" si="20"/>
        <v>1965</v>
      </c>
      <c r="AB74">
        <f t="shared" ca="1" si="21"/>
        <v>3</v>
      </c>
      <c r="AC74">
        <f t="shared" ca="1" si="22"/>
        <v>31</v>
      </c>
      <c r="AD74">
        <f t="shared" ca="1" si="23"/>
        <v>55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Francisco Vera Antunes Fonseca</v>
      </c>
      <c r="E75" t="str">
        <f>Nomes!S76</f>
        <v>Masculino</v>
      </c>
      <c r="F75" s="2">
        <v>19821</v>
      </c>
      <c r="G75" t="str" cm="1">
        <f t="array" aca="1" ref="G75" ca="1">INDEX(rua_cod!$F:$F,RANDBETWEEN(2,COUNTA(rua_cod!F:F)))</f>
        <v>Avenida Ressano Garcia</v>
      </c>
      <c r="H75" t="str" cm="1">
        <f t="array" aca="1" ref="H75" ca="1">INDEX(rua_cod!$A:$A,Médicos!X75) &amp; "-" &amp; TEXT(RANDBETWEEN(0,999),"000")</f>
        <v>1769-928</v>
      </c>
      <c r="I75" t="str" cm="1">
        <f t="array" aca="1" ref="I75" ca="1">INDEX(rua_cod!$B:$B,Médicos!X75)</f>
        <v>Lisboa</v>
      </c>
      <c r="J75" t="s">
        <v>341</v>
      </c>
      <c r="K75" t="s">
        <v>225</v>
      </c>
      <c r="L75" t="s">
        <v>265</v>
      </c>
      <c r="M75" t="str">
        <f t="shared" ca="1" si="14"/>
        <v>11968366</v>
      </c>
      <c r="N75" t="str">
        <f t="shared" ca="1" si="15"/>
        <v>518296760</v>
      </c>
      <c r="O75" t="str">
        <f t="shared" ca="1" si="15"/>
        <v>873452607</v>
      </c>
      <c r="P75" t="str" cm="1">
        <f t="array" aca="1" ref="P75" ca="1">9 &amp; INDEX($AH$3:$AH$6,Y75)&amp; TEXT(RANDBETWEEN(0,9999999),"0000000")</f>
        <v>930418572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6749210628150424</v>
      </c>
      <c r="T75" t="s">
        <v>341</v>
      </c>
      <c r="V75" s="4"/>
      <c r="X75">
        <f ca="1">RANDBETWEEN(2,COUNTA(rua_cod!A:A))</f>
        <v>74</v>
      </c>
      <c r="Y75">
        <f t="shared" ca="1" si="18"/>
        <v>3</v>
      </c>
      <c r="Z75">
        <f t="shared" ca="1" si="19"/>
        <v>1</v>
      </c>
      <c r="AA75">
        <f t="shared" ca="1" si="20"/>
        <v>1956</v>
      </c>
      <c r="AB75">
        <f t="shared" ca="1" si="21"/>
        <v>12</v>
      </c>
      <c r="AC75">
        <f t="shared" ca="1" si="22"/>
        <v>14</v>
      </c>
      <c r="AD75">
        <f t="shared" ca="1" si="23"/>
        <v>64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Santiago Marco Neves Ferreira</v>
      </c>
      <c r="E76" t="str">
        <f>Nomes!S77</f>
        <v>Masculino</v>
      </c>
      <c r="F76" s="2">
        <v>41522</v>
      </c>
      <c r="G76" t="str" cm="1">
        <f t="array" aca="1" ref="G76" ca="1">INDEX(rua_cod!$F:$F,RANDBETWEEN(2,COUNTA(rua_cod!F:F)))</f>
        <v>Rua do Instituto Bacteriológico</v>
      </c>
      <c r="H76" t="str" cm="1">
        <f t="array" aca="1" ref="H76" ca="1">INDEX(rua_cod!$A:$A,Médicos!X76) &amp; "-" &amp; TEXT(RANDBETWEEN(0,999),"000")</f>
        <v>1069-087</v>
      </c>
      <c r="I76" t="str" cm="1">
        <f t="array" aca="1" ref="I76" ca="1">INDEX(rua_cod!$B:$B,Médicos!X76)</f>
        <v>Lisboa</v>
      </c>
      <c r="J76" t="s">
        <v>341</v>
      </c>
      <c r="K76" t="s">
        <v>225</v>
      </c>
      <c r="L76" t="s">
        <v>265</v>
      </c>
      <c r="M76" t="str">
        <f t="shared" ca="1" si="14"/>
        <v>11261081</v>
      </c>
      <c r="N76" t="str">
        <f t="shared" ca="1" si="15"/>
        <v>838453432</v>
      </c>
      <c r="O76" t="str">
        <f t="shared" ca="1" si="15"/>
        <v>427519627</v>
      </c>
      <c r="P76" t="str" cm="1">
        <f t="array" aca="1" ref="P76" ca="1">9 &amp; INDEX($AH$3:$AH$6,Y76)&amp; TEXT(RANDBETWEEN(0,9999999),"0000000")</f>
        <v>923516873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4575175959901415</v>
      </c>
      <c r="T76" t="s">
        <v>341</v>
      </c>
      <c r="V76" s="4"/>
      <c r="X76">
        <f ca="1">RANDBETWEEN(2,COUNTA(rua_cod!A:A))</f>
        <v>67</v>
      </c>
      <c r="Y76">
        <f t="shared" ca="1" si="18"/>
        <v>2</v>
      </c>
      <c r="Z76">
        <f t="shared" ca="1" si="19"/>
        <v>1</v>
      </c>
      <c r="AA76">
        <f t="shared" ca="1" si="20"/>
        <v>1989</v>
      </c>
      <c r="AB76">
        <f t="shared" ca="1" si="21"/>
        <v>10</v>
      </c>
      <c r="AC76">
        <f t="shared" ca="1" si="22"/>
        <v>4</v>
      </c>
      <c r="AD76">
        <f t="shared" ca="1" si="23"/>
        <v>31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Leonor Duarte Macedo Teixeira</v>
      </c>
      <c r="E77" t="str">
        <f>Nomes!S78</f>
        <v>Feminino</v>
      </c>
      <c r="F77" s="2">
        <v>24620</v>
      </c>
      <c r="G77" t="str" cm="1">
        <f t="array" aca="1" ref="G77" ca="1">INDEX(rua_cod!$F:$F,RANDBETWEEN(2,COUNTA(rua_cod!F:F)))</f>
        <v>Rua Cidade de Bolama</v>
      </c>
      <c r="H77" t="str" cm="1">
        <f t="array" aca="1" ref="H77" ca="1">INDEX(rua_cod!$A:$A,Médicos!X77) &amp; "-" &amp; TEXT(RANDBETWEEN(0,999),"000")</f>
        <v>1748-635</v>
      </c>
      <c r="I77" t="str" cm="1">
        <f t="array" aca="1" ref="I77" ca="1">INDEX(rua_cod!$B:$B,Médicos!X77)</f>
        <v>Lisboa</v>
      </c>
      <c r="J77" t="s">
        <v>341</v>
      </c>
      <c r="K77" t="s">
        <v>225</v>
      </c>
      <c r="L77" t="s">
        <v>265</v>
      </c>
      <c r="M77" t="str">
        <f t="shared" ca="1" si="14"/>
        <v>11884913</v>
      </c>
      <c r="N77" t="str">
        <f t="shared" ca="1" si="15"/>
        <v>769953700</v>
      </c>
      <c r="O77" t="str">
        <f t="shared" ca="1" si="15"/>
        <v>867831809</v>
      </c>
      <c r="P77" t="str" cm="1">
        <f t="array" aca="1" ref="P77" ca="1">9 &amp; INDEX($AH$3:$AH$6,Y77)&amp; TEXT(RANDBETWEEN(0,9999999),"0000000")</f>
        <v>911213900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3981536882530794</v>
      </c>
      <c r="T77" t="s">
        <v>341</v>
      </c>
      <c r="V77" s="4"/>
      <c r="X77">
        <f ca="1">RANDBETWEEN(2,COUNTA(rua_cod!A:A))</f>
        <v>77</v>
      </c>
      <c r="Y77">
        <f t="shared" ca="1" si="18"/>
        <v>1</v>
      </c>
      <c r="Z77">
        <f t="shared" ca="1" si="19"/>
        <v>1</v>
      </c>
      <c r="AA77">
        <f t="shared" ca="1" si="20"/>
        <v>1970</v>
      </c>
      <c r="AB77">
        <f t="shared" ca="1" si="21"/>
        <v>12</v>
      </c>
      <c r="AC77">
        <f t="shared" ca="1" si="22"/>
        <v>26</v>
      </c>
      <c r="AD77">
        <f t="shared" ca="1" si="23"/>
        <v>50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Beatriz Diogo Ribeiro Borges</v>
      </c>
      <c r="E78" t="str">
        <f>Nomes!S79</f>
        <v>Feminino</v>
      </c>
      <c r="F78" s="2">
        <v>24983</v>
      </c>
      <c r="G78" t="str" cm="1">
        <f t="array" aca="1" ref="G78" ca="1">INDEX(rua_cod!$F:$F,RANDBETWEEN(2,COUNTA(rua_cod!F:F)))</f>
        <v>Rua do Instituto Bacteriológico</v>
      </c>
      <c r="H78" t="str" cm="1">
        <f t="array" aca="1" ref="H78" ca="1">INDEX(rua_cod!$A:$A,Médicos!X78) &amp; "-" &amp; TEXT(RANDBETWEEN(0,999),"000")</f>
        <v>1200-782</v>
      </c>
      <c r="I78" t="str" cm="1">
        <f t="array" aca="1" ref="I78" ca="1">INDEX(rua_cod!$B:$B,Médicos!X78)</f>
        <v>Lisboa</v>
      </c>
      <c r="J78" t="s">
        <v>341</v>
      </c>
      <c r="K78" t="s">
        <v>225</v>
      </c>
      <c r="L78" t="s">
        <v>265</v>
      </c>
      <c r="M78" t="str">
        <f t="shared" ca="1" si="14"/>
        <v>23057060</v>
      </c>
      <c r="N78" t="str">
        <f t="shared" ca="1" si="15"/>
        <v>228037901</v>
      </c>
      <c r="O78" t="str">
        <f t="shared" ca="1" si="15"/>
        <v>661050494</v>
      </c>
      <c r="P78" t="str" cm="1">
        <f t="array" aca="1" ref="P78" ca="1">9 &amp; INDEX($AH$3:$AH$6,Y78)&amp; TEXT(RANDBETWEEN(0,9999999),"0000000")</f>
        <v>933446711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7412819522413270</v>
      </c>
      <c r="T78" t="s">
        <v>341</v>
      </c>
      <c r="V78" s="4"/>
      <c r="X78">
        <f ca="1">RANDBETWEEN(2,COUNTA(rua_cod!A:A))</f>
        <v>48</v>
      </c>
      <c r="Y78">
        <f t="shared" ca="1" si="18"/>
        <v>3</v>
      </c>
      <c r="Z78">
        <f t="shared" ca="1" si="19"/>
        <v>2</v>
      </c>
      <c r="AA78">
        <f t="shared" ca="1" si="20"/>
        <v>1982</v>
      </c>
      <c r="AB78">
        <f t="shared" ca="1" si="21"/>
        <v>8</v>
      </c>
      <c r="AC78">
        <f t="shared" ca="1" si="22"/>
        <v>27</v>
      </c>
      <c r="AD78">
        <f t="shared" ca="1" si="23"/>
        <v>38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Ana Tiago Rodrigues Carneiro</v>
      </c>
      <c r="E79" t="str">
        <f>Nomes!S80</f>
        <v>Feminino</v>
      </c>
      <c r="F79" s="2">
        <v>28641</v>
      </c>
      <c r="G79" t="str" cm="1">
        <f t="array" aca="1" ref="G79" ca="1">INDEX(rua_cod!$F:$F,RANDBETWEEN(2,COUNTA(rua_cod!F:F)))</f>
        <v>Rua Cidade de Bolama</v>
      </c>
      <c r="H79" t="str" cm="1">
        <f t="array" aca="1" ref="H79" ca="1">INDEX(rua_cod!$A:$A,Médicos!X79) &amp; "-" &amp; TEXT(RANDBETWEEN(0,999),"000")</f>
        <v>1150-942</v>
      </c>
      <c r="I79" t="str" cm="1">
        <f t="array" aca="1" ref="I79" ca="1">INDEX(rua_cod!$B:$B,Médicos!X79)</f>
        <v>Lisboa</v>
      </c>
      <c r="J79" t="s">
        <v>341</v>
      </c>
      <c r="K79" t="s">
        <v>225</v>
      </c>
      <c r="L79" t="s">
        <v>265</v>
      </c>
      <c r="M79" t="str">
        <f t="shared" ca="1" si="14"/>
        <v>11695445</v>
      </c>
      <c r="N79" t="str">
        <f t="shared" ca="1" si="15"/>
        <v>454876641</v>
      </c>
      <c r="O79" t="str">
        <f t="shared" ca="1" si="15"/>
        <v>192000790</v>
      </c>
      <c r="P79" t="str" cm="1">
        <f t="array" aca="1" ref="P79" ca="1">9 &amp; INDEX($AH$3:$AH$6,Y79)&amp; TEXT(RANDBETWEEN(0,9999999),"0000000")</f>
        <v>921820314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4132471729294823</v>
      </c>
      <c r="T79" t="s">
        <v>341</v>
      </c>
      <c r="V79" s="4"/>
      <c r="X79">
        <f ca="1">RANDBETWEEN(2,COUNTA(rua_cod!A:A))</f>
        <v>44</v>
      </c>
      <c r="Y79">
        <f t="shared" ca="1" si="18"/>
        <v>2</v>
      </c>
      <c r="Z79">
        <f t="shared" ca="1" si="19"/>
        <v>1</v>
      </c>
      <c r="AA79">
        <f t="shared" ca="1" si="20"/>
        <v>1993</v>
      </c>
      <c r="AB79">
        <f t="shared" ca="1" si="21"/>
        <v>4</v>
      </c>
      <c r="AC79">
        <f t="shared" ca="1" si="22"/>
        <v>30</v>
      </c>
      <c r="AD79">
        <f t="shared" ca="1" si="23"/>
        <v>27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Beatriz Mariana Faria Cruz</v>
      </c>
      <c r="E80" t="str">
        <f>Nomes!S81</f>
        <v>Feminino</v>
      </c>
      <c r="F80" s="2">
        <v>35043</v>
      </c>
      <c r="G80" t="str" cm="1">
        <f t="array" aca="1" ref="G80" ca="1">INDEX(rua_cod!$F:$F,RANDBETWEEN(2,COUNTA(rua_cod!F:F)))</f>
        <v>Rua de São Bento</v>
      </c>
      <c r="H80" t="str" cm="1">
        <f t="array" aca="1" ref="H80" ca="1">INDEX(rua_cod!$A:$A,Médicos!X80) &amp; "-" &amp; TEXT(RANDBETWEEN(0,999),"000")</f>
        <v>1950-396</v>
      </c>
      <c r="I80" t="str" cm="1">
        <f t="array" aca="1" ref="I80" ca="1">INDEX(rua_cod!$B:$B,Médicos!X80)</f>
        <v>Lisboa</v>
      </c>
      <c r="J80" t="s">
        <v>341</v>
      </c>
      <c r="K80" t="s">
        <v>225</v>
      </c>
      <c r="L80" t="s">
        <v>265</v>
      </c>
      <c r="M80" t="str">
        <f t="shared" ca="1" si="14"/>
        <v>82401869</v>
      </c>
      <c r="N80" t="str">
        <f t="shared" ca="1" si="15"/>
        <v>273464258</v>
      </c>
      <c r="O80" t="str">
        <f t="shared" ca="1" si="15"/>
        <v>523467614</v>
      </c>
      <c r="P80" t="str" cm="1">
        <f t="array" aca="1" ref="P80" ca="1">9 &amp; INDEX($AH$3:$AH$6,Y80)&amp; TEXT(RANDBETWEEN(0,9999999),"0000000")</f>
        <v>931035222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7892040187951373</v>
      </c>
      <c r="T80" t="s">
        <v>341</v>
      </c>
      <c r="V80" s="4"/>
      <c r="X80">
        <f ca="1">RANDBETWEEN(2,COUNTA(rua_cod!A:A))</f>
        <v>41</v>
      </c>
      <c r="Y80">
        <f t="shared" ca="1" si="18"/>
        <v>3</v>
      </c>
      <c r="Z80">
        <f t="shared" ca="1" si="19"/>
        <v>2</v>
      </c>
      <c r="AA80">
        <f t="shared" ca="1" si="20"/>
        <v>1955</v>
      </c>
      <c r="AB80">
        <f t="shared" ca="1" si="21"/>
        <v>3</v>
      </c>
      <c r="AC80">
        <f t="shared" ca="1" si="22"/>
        <v>2</v>
      </c>
      <c r="AD80">
        <f t="shared" ca="1" si="23"/>
        <v>65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Rodrigo Diana Abreu Torres</v>
      </c>
      <c r="E81" t="str">
        <f>Nomes!S82</f>
        <v>Masculino</v>
      </c>
      <c r="F81" s="2">
        <v>22527</v>
      </c>
      <c r="G81" t="str" cm="1">
        <f t="array" aca="1" ref="G81" ca="1">INDEX(rua_cod!$F:$F,RANDBETWEEN(2,COUNTA(rua_cod!F:F)))</f>
        <v>Rua da Alfândega</v>
      </c>
      <c r="H81" t="str" cm="1">
        <f t="array" aca="1" ref="H81" ca="1">INDEX(rua_cod!$A:$A,Médicos!X81) &amp; "-" &amp; TEXT(RANDBETWEEN(0,999),"000")</f>
        <v>2805-370</v>
      </c>
      <c r="I81" t="str" cm="1">
        <f t="array" aca="1" ref="I81" ca="1">INDEX(rua_cod!$B:$B,Médicos!X81)</f>
        <v>Almada</v>
      </c>
      <c r="J81" t="s">
        <v>341</v>
      </c>
      <c r="K81" t="s">
        <v>225</v>
      </c>
      <c r="L81" t="s">
        <v>265</v>
      </c>
      <c r="M81" t="str">
        <f t="shared" ca="1" si="14"/>
        <v>89303258</v>
      </c>
      <c r="N81" t="str">
        <f t="shared" ca="1" si="15"/>
        <v>218532008</v>
      </c>
      <c r="O81" t="str">
        <f t="shared" ca="1" si="15"/>
        <v>927960155</v>
      </c>
      <c r="P81" t="str" cm="1">
        <f t="array" aca="1" ref="P81" ca="1">9 &amp; INDEX($AH$3:$AH$6,Y81)&amp; TEXT(RANDBETWEEN(0,9999999),"0000000")</f>
        <v>921558222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7713251304048403</v>
      </c>
      <c r="T81" t="s">
        <v>341</v>
      </c>
      <c r="V81" s="4"/>
      <c r="X81">
        <f ca="1">RANDBETWEEN(2,COUNTA(rua_cod!A:A))</f>
        <v>4</v>
      </c>
      <c r="Y81">
        <f t="shared" ca="1" si="18"/>
        <v>2</v>
      </c>
      <c r="Z81">
        <f t="shared" ca="1" si="19"/>
        <v>3</v>
      </c>
      <c r="AA81">
        <f t="shared" ca="1" si="20"/>
        <v>1978</v>
      </c>
      <c r="AB81">
        <f t="shared" ca="1" si="21"/>
        <v>11</v>
      </c>
      <c r="AC81">
        <f t="shared" ca="1" si="22"/>
        <v>31</v>
      </c>
      <c r="AD81">
        <f t="shared" ca="1" si="23"/>
        <v>42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Bruno Joana Pinto Maia</v>
      </c>
      <c r="E82" t="str">
        <f>Nomes!S83</f>
        <v>Masculino</v>
      </c>
      <c r="F82" s="2">
        <v>12686</v>
      </c>
      <c r="G82" t="str" cm="1">
        <f t="array" aca="1" ref="G82" ca="1">INDEX(rua_cod!$F:$F,RANDBETWEEN(2,COUNTA(rua_cod!F:F)))</f>
        <v>Rua do Comércio</v>
      </c>
      <c r="H82" t="str" cm="1">
        <f t="array" aca="1" ref="H82" ca="1">INDEX(rua_cod!$A:$A,Médicos!X82) &amp; "-" &amp; TEXT(RANDBETWEEN(0,999),"000")</f>
        <v>1749-335</v>
      </c>
      <c r="I82" t="str" cm="1">
        <f t="array" aca="1" ref="I82" ca="1">INDEX(rua_cod!$B:$B,Médicos!X82)</f>
        <v>Lisboa</v>
      </c>
      <c r="J82" t="s">
        <v>341</v>
      </c>
      <c r="K82" t="s">
        <v>225</v>
      </c>
      <c r="L82" t="s">
        <v>265</v>
      </c>
      <c r="M82" t="str">
        <f t="shared" ca="1" si="14"/>
        <v>70752943</v>
      </c>
      <c r="N82" t="str">
        <f t="shared" ca="1" si="15"/>
        <v>303341875</v>
      </c>
      <c r="O82" t="str">
        <f t="shared" ca="1" si="15"/>
        <v>943930941</v>
      </c>
      <c r="P82" t="str" cm="1">
        <f t="array" aca="1" ref="P82" ca="1">9 &amp; INDEX($AH$3:$AH$6,Y82)&amp; TEXT(RANDBETWEEN(0,9999999),"0000000")</f>
        <v>912093078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2364139676770544</v>
      </c>
      <c r="T82" t="s">
        <v>341</v>
      </c>
      <c r="V82" s="4"/>
      <c r="X82">
        <f ca="1">RANDBETWEEN(2,COUNTA(rua_cod!A:A))</f>
        <v>61</v>
      </c>
      <c r="Y82">
        <f t="shared" ca="1" si="18"/>
        <v>1</v>
      </c>
      <c r="Z82">
        <f t="shared" ca="1" si="19"/>
        <v>1</v>
      </c>
      <c r="AA82">
        <f t="shared" ca="1" si="20"/>
        <v>1978</v>
      </c>
      <c r="AB82">
        <f t="shared" ca="1" si="21"/>
        <v>2</v>
      </c>
      <c r="AC82">
        <f t="shared" ca="1" si="22"/>
        <v>14</v>
      </c>
      <c r="AD82">
        <f t="shared" ca="1" si="23"/>
        <v>42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Francisca Mariana Gonçalves Silva</v>
      </c>
      <c r="E83" t="str">
        <f>Nomes!S84</f>
        <v>Feminino</v>
      </c>
      <c r="F83" s="2">
        <v>36263</v>
      </c>
      <c r="G83" t="str" cm="1">
        <f t="array" aca="1" ref="G83" ca="1">INDEX(rua_cod!$F:$F,RANDBETWEEN(2,COUNTA(rua_cod!F:F)))</f>
        <v>Rua da Betesga</v>
      </c>
      <c r="H83" t="str" cm="1">
        <f t="array" aca="1" ref="H83" ca="1">INDEX(rua_cod!$A:$A,Médicos!X83) &amp; "-" &amp; TEXT(RANDBETWEEN(0,999),"000")</f>
        <v>2800-942</v>
      </c>
      <c r="I83" t="str" cm="1">
        <f t="array" aca="1" ref="I83" ca="1">INDEX(rua_cod!$B:$B,Médicos!X83)</f>
        <v>Almada</v>
      </c>
      <c r="J83" t="s">
        <v>341</v>
      </c>
      <c r="K83" t="s">
        <v>225</v>
      </c>
      <c r="L83" t="s">
        <v>265</v>
      </c>
      <c r="M83" t="str">
        <f t="shared" ca="1" si="14"/>
        <v>67648066</v>
      </c>
      <c r="N83" t="str">
        <f t="shared" ca="1" si="15"/>
        <v>659540122</v>
      </c>
      <c r="O83" t="str">
        <f t="shared" ca="1" si="15"/>
        <v>644979379</v>
      </c>
      <c r="P83" t="str" cm="1">
        <f t="array" aca="1" ref="P83" ca="1">9 &amp; INDEX($AH$3:$AH$6,Y83)&amp; TEXT(RANDBETWEEN(0,9999999),"0000000")</f>
        <v>925590819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1157177910476534</v>
      </c>
      <c r="T83" t="s">
        <v>341</v>
      </c>
      <c r="V83" s="4"/>
      <c r="X83">
        <f ca="1">RANDBETWEEN(2,COUNTA(rua_cod!A:A))</f>
        <v>2</v>
      </c>
      <c r="Y83">
        <f t="shared" ca="1" si="18"/>
        <v>2</v>
      </c>
      <c r="Z83">
        <f t="shared" ca="1" si="19"/>
        <v>1</v>
      </c>
      <c r="AA83">
        <f t="shared" ca="1" si="20"/>
        <v>1970</v>
      </c>
      <c r="AB83">
        <f t="shared" ca="1" si="21"/>
        <v>1</v>
      </c>
      <c r="AC83">
        <f t="shared" ca="1" si="22"/>
        <v>8</v>
      </c>
      <c r="AD83">
        <f t="shared" ca="1" si="23"/>
        <v>50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Martim Bruno Branco Costa</v>
      </c>
      <c r="E84" t="str">
        <f>Nomes!S85</f>
        <v>Masculino</v>
      </c>
      <c r="F84" s="2">
        <v>13617</v>
      </c>
      <c r="G84" t="str" cm="1">
        <f t="array" aca="1" ref="G84" ca="1">INDEX(rua_cod!$F:$F,RANDBETWEEN(2,COUNTA(rua_cod!F:F)))</f>
        <v>Avenida Ressano Garcia</v>
      </c>
      <c r="H84" t="str" cm="1">
        <f t="array" aca="1" ref="H84" ca="1">INDEX(rua_cod!$A:$A,Médicos!X84) &amp; "-" &amp; TEXT(RANDBETWEEN(0,999),"000")</f>
        <v>2809-466</v>
      </c>
      <c r="I84" t="str" cm="1">
        <f t="array" aca="1" ref="I84" ca="1">INDEX(rua_cod!$B:$B,Médicos!X84)</f>
        <v>Almada</v>
      </c>
      <c r="J84" t="s">
        <v>341</v>
      </c>
      <c r="K84" t="s">
        <v>225</v>
      </c>
      <c r="L84" t="s">
        <v>265</v>
      </c>
      <c r="M84" t="str">
        <f t="shared" ca="1" si="14"/>
        <v>20320946</v>
      </c>
      <c r="N84" t="str">
        <f t="shared" ca="1" si="15"/>
        <v>443098258</v>
      </c>
      <c r="O84" t="str">
        <f t="shared" ca="1" si="15"/>
        <v>880850608</v>
      </c>
      <c r="P84" t="str" cm="1">
        <f t="array" aca="1" ref="P84" ca="1">9 &amp; INDEX($AH$3:$AH$6,Y84)&amp; TEXT(RANDBETWEEN(0,9999999),"0000000")</f>
        <v>964856377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5830290294475851</v>
      </c>
      <c r="T84" t="s">
        <v>341</v>
      </c>
      <c r="V84" s="4"/>
      <c r="X84">
        <f ca="1">RANDBETWEEN(2,COUNTA(rua_cod!A:A))</f>
        <v>5</v>
      </c>
      <c r="Y84">
        <f t="shared" ca="1" si="18"/>
        <v>4</v>
      </c>
      <c r="Z84">
        <f t="shared" ca="1" si="19"/>
        <v>1</v>
      </c>
      <c r="AA84">
        <f t="shared" ca="1" si="20"/>
        <v>1970</v>
      </c>
      <c r="AB84">
        <f t="shared" ca="1" si="21"/>
        <v>10</v>
      </c>
      <c r="AC84">
        <f t="shared" ca="1" si="22"/>
        <v>30</v>
      </c>
      <c r="AD84">
        <f t="shared" ca="1" si="23"/>
        <v>50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Gabriel Sara Matos Gomes</v>
      </c>
      <c r="E85" t="str">
        <f>Nomes!S86</f>
        <v>Masculino</v>
      </c>
      <c r="F85" s="2">
        <v>41552</v>
      </c>
      <c r="G85" t="str" cm="1">
        <f t="array" aca="1" ref="G85" ca="1">INDEX(rua_cod!$F:$F,RANDBETWEEN(2,COUNTA(rua_cod!F:F)))</f>
        <v>Rua da Alfândega</v>
      </c>
      <c r="H85" t="str" cm="1">
        <f t="array" aca="1" ref="H85" ca="1">INDEX(rua_cod!$A:$A,Médicos!X85) &amp; "-" &amp; TEXT(RANDBETWEEN(0,999),"000")</f>
        <v>2654-755</v>
      </c>
      <c r="I85" t="str" cm="1">
        <f t="array" aca="1" ref="I85" ca="1">INDEX(rua_cod!$B:$B,Médicos!X85)</f>
        <v>Amadora</v>
      </c>
      <c r="J85" t="s">
        <v>341</v>
      </c>
      <c r="K85" t="s">
        <v>225</v>
      </c>
      <c r="L85" t="s">
        <v>265</v>
      </c>
      <c r="M85" t="str">
        <f t="shared" ca="1" si="14"/>
        <v>58462948</v>
      </c>
      <c r="N85" t="str">
        <f t="shared" ca="1" si="15"/>
        <v>275406000</v>
      </c>
      <c r="O85" t="str">
        <f t="shared" ca="1" si="15"/>
        <v>508329799</v>
      </c>
      <c r="P85" t="str" cm="1">
        <f t="array" aca="1" ref="P85" ca="1">9 &amp; INDEX($AH$3:$AH$6,Y85)&amp; TEXT(RANDBETWEEN(0,9999999),"0000000")</f>
        <v>917414605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7409734710690606</v>
      </c>
      <c r="T85" t="s">
        <v>341</v>
      </c>
      <c r="V85" s="4"/>
      <c r="X85">
        <f ca="1">RANDBETWEEN(2,COUNTA(rua_cod!A:A))</f>
        <v>14</v>
      </c>
      <c r="Y85">
        <f t="shared" ca="1" si="18"/>
        <v>1</v>
      </c>
      <c r="Z85">
        <f t="shared" ca="1" si="19"/>
        <v>2</v>
      </c>
      <c r="AA85">
        <f t="shared" ca="1" si="20"/>
        <v>1965</v>
      </c>
      <c r="AB85">
        <f t="shared" ca="1" si="21"/>
        <v>3</v>
      </c>
      <c r="AC85">
        <f t="shared" ca="1" si="22"/>
        <v>14</v>
      </c>
      <c r="AD85">
        <f t="shared" ca="1" si="23"/>
        <v>55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Beatriz Afonso Barros Pinho</v>
      </c>
      <c r="E86" t="str">
        <f>Nomes!S87</f>
        <v>Feminino</v>
      </c>
      <c r="F86" s="2">
        <v>27773</v>
      </c>
      <c r="G86" t="str" cm="1">
        <f t="array" aca="1" ref="G86" ca="1">INDEX(rua_cod!$F:$F,RANDBETWEEN(2,COUNTA(rua_cod!F:F)))</f>
        <v>Rua Garrett</v>
      </c>
      <c r="H86" t="str" cm="1">
        <f t="array" aca="1" ref="H86" ca="1">INDEX(rua_cod!$A:$A,Médicos!X86) &amp; "-" &amp; TEXT(RANDBETWEEN(0,999),"000")</f>
        <v>2794-463</v>
      </c>
      <c r="I86" t="str" cm="1">
        <f t="array" aca="1" ref="I86" ca="1">INDEX(rua_cod!$B:$B,Médicos!X86)</f>
        <v>Carnaxide</v>
      </c>
      <c r="J86" t="s">
        <v>341</v>
      </c>
      <c r="K86" t="s">
        <v>225</v>
      </c>
      <c r="L86" t="s">
        <v>265</v>
      </c>
      <c r="M86" t="str">
        <f t="shared" ca="1" si="14"/>
        <v>36477287</v>
      </c>
      <c r="N86" t="str">
        <f t="shared" ca="1" si="15"/>
        <v>201122840</v>
      </c>
      <c r="O86" t="str">
        <f t="shared" ca="1" si="15"/>
        <v>769382759</v>
      </c>
      <c r="P86" t="str" cm="1">
        <f t="array" aca="1" ref="P86" ca="1">9 &amp; INDEX($AH$3:$AH$6,Y86)&amp; TEXT(RANDBETWEEN(0,9999999),"0000000")</f>
        <v>912830580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4675627899367567</v>
      </c>
      <c r="T86" t="s">
        <v>341</v>
      </c>
      <c r="V86" s="4"/>
      <c r="X86">
        <f ca="1">RANDBETWEEN(2,COUNTA(rua_cod!A:A))</f>
        <v>23</v>
      </c>
      <c r="Y86">
        <f t="shared" ca="1" si="18"/>
        <v>1</v>
      </c>
      <c r="Z86">
        <f t="shared" ca="1" si="19"/>
        <v>3</v>
      </c>
      <c r="AA86">
        <f t="shared" ca="1" si="20"/>
        <v>1960</v>
      </c>
      <c r="AB86">
        <f t="shared" ca="1" si="21"/>
        <v>10</v>
      </c>
      <c r="AC86">
        <f t="shared" ca="1" si="22"/>
        <v>24</v>
      </c>
      <c r="AD86">
        <f t="shared" ca="1" si="23"/>
        <v>60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Gabriel Duarte Vieira Pires</v>
      </c>
      <c r="E87" t="str">
        <f>Nomes!S88</f>
        <v>Masculino</v>
      </c>
      <c r="F87" s="2">
        <v>27273</v>
      </c>
      <c r="G87" t="str" cm="1">
        <f t="array" aca="1" ref="G87" ca="1">INDEX(rua_cod!$F:$F,RANDBETWEEN(2,COUNTA(rua_cod!F:F)))</f>
        <v>Calçada do Moinho de Vento</v>
      </c>
      <c r="H87" t="str" cm="1">
        <f t="array" aca="1" ref="H87" ca="1">INDEX(rua_cod!$A:$A,Médicos!X87) &amp; "-" &amp; TEXT(RANDBETWEEN(0,999),"000")</f>
        <v>1700-472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91324920</v>
      </c>
      <c r="N87" t="str">
        <f t="shared" ca="1" si="15"/>
        <v>259695738</v>
      </c>
      <c r="O87" t="str">
        <f t="shared" ca="1" si="15"/>
        <v>291312631</v>
      </c>
      <c r="P87" t="str" cm="1">
        <f t="array" aca="1" ref="P87" ca="1">9 &amp; INDEX($AH$3:$AH$6,Y87)&amp; TEXT(RANDBETWEEN(0,9999999),"0000000")</f>
        <v>913501265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2313689047263616</v>
      </c>
      <c r="T87" t="s">
        <v>341</v>
      </c>
      <c r="V87" s="4"/>
      <c r="X87">
        <f ca="1">RANDBETWEEN(2,COUNTA(rua_cod!A:A))</f>
        <v>40</v>
      </c>
      <c r="Y87">
        <f t="shared" ca="1" si="18"/>
        <v>1</v>
      </c>
      <c r="Z87">
        <f t="shared" ca="1" si="19"/>
        <v>2</v>
      </c>
      <c r="AA87">
        <f t="shared" ca="1" si="20"/>
        <v>1953</v>
      </c>
      <c r="AB87">
        <f t="shared" ca="1" si="21"/>
        <v>10</v>
      </c>
      <c r="AC87">
        <f t="shared" ca="1" si="22"/>
        <v>9</v>
      </c>
      <c r="AD87">
        <f t="shared" ca="1" si="23"/>
        <v>67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Francisco Mariana Gaspar Andrade</v>
      </c>
      <c r="E88" t="str">
        <f>Nomes!S89</f>
        <v>Masculino</v>
      </c>
      <c r="F88" s="2">
        <v>33962</v>
      </c>
      <c r="G88" t="str" cm="1">
        <f t="array" aca="1" ref="G88" ca="1">INDEX(rua_cod!$F:$F,RANDBETWEEN(2,COUNTA(rua_cod!F:F)))</f>
        <v>Rua do Salitre</v>
      </c>
      <c r="H88" t="str" cm="1">
        <f t="array" aca="1" ref="H88" ca="1">INDEX(rua_cod!$A:$A,Médicos!X88) &amp; "-" &amp; TEXT(RANDBETWEEN(0,999),"000")</f>
        <v>1070-980</v>
      </c>
      <c r="I88" t="str" cm="1">
        <f t="array" aca="1" ref="I88" ca="1">INDEX(rua_cod!$B:$B,Médicos!X88)</f>
        <v>Lisboa</v>
      </c>
      <c r="J88" t="s">
        <v>341</v>
      </c>
      <c r="K88" t="s">
        <v>225</v>
      </c>
      <c r="L88" t="s">
        <v>265</v>
      </c>
      <c r="M88" t="str">
        <f t="shared" ca="1" si="14"/>
        <v>10858243</v>
      </c>
      <c r="N88" t="str">
        <f t="shared" ca="1" si="15"/>
        <v>828130589</v>
      </c>
      <c r="O88" t="str">
        <f t="shared" ca="1" si="15"/>
        <v>836140117</v>
      </c>
      <c r="P88" t="str" cm="1">
        <f t="array" aca="1" ref="P88" ca="1">9 &amp; INDEX($AH$3:$AH$6,Y88)&amp; TEXT(RANDBETWEEN(0,9999999),"0000000")</f>
        <v>925578738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3603732895456756</v>
      </c>
      <c r="T88" t="s">
        <v>341</v>
      </c>
      <c r="V88" s="4"/>
      <c r="X88">
        <f ca="1">RANDBETWEEN(2,COUNTA(rua_cod!A:A))</f>
        <v>51</v>
      </c>
      <c r="Y88">
        <f t="shared" ca="1" si="18"/>
        <v>2</v>
      </c>
      <c r="Z88">
        <f t="shared" ca="1" si="19"/>
        <v>1</v>
      </c>
      <c r="AA88">
        <f t="shared" ca="1" si="20"/>
        <v>1965</v>
      </c>
      <c r="AB88">
        <f t="shared" ca="1" si="21"/>
        <v>7</v>
      </c>
      <c r="AC88">
        <f t="shared" ca="1" si="22"/>
        <v>9</v>
      </c>
      <c r="AD88">
        <f t="shared" ca="1" si="23"/>
        <v>55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Carolina André Almeida Valente</v>
      </c>
      <c r="E89" t="str">
        <f>Nomes!S90</f>
        <v>Feminino</v>
      </c>
      <c r="F89" s="2">
        <v>16313</v>
      </c>
      <c r="G89" t="str" cm="1">
        <f t="array" aca="1" ref="G89" ca="1">INDEX(rua_cod!$F:$F,RANDBETWEEN(2,COUNTA(rua_cod!F:F)))</f>
        <v>Rua General Morais Sarmento</v>
      </c>
      <c r="H89" t="str" cm="1">
        <f t="array" aca="1" ref="H89" ca="1">INDEX(rua_cod!$A:$A,Médicos!X89) &amp; "-" &amp; TEXT(RANDBETWEEN(0,999),"000")</f>
        <v>1067-258</v>
      </c>
      <c r="I89" t="str" cm="1">
        <f t="array" aca="1" ref="I89" ca="1">INDEX(rua_cod!$B:$B,Médicos!X89)</f>
        <v>Lisboa</v>
      </c>
      <c r="J89" t="s">
        <v>341</v>
      </c>
      <c r="K89" t="s">
        <v>225</v>
      </c>
      <c r="L89" t="s">
        <v>265</v>
      </c>
      <c r="M89" t="str">
        <f t="shared" ca="1" si="14"/>
        <v>60932172</v>
      </c>
      <c r="N89" t="str">
        <f t="shared" ca="1" si="15"/>
        <v>660624192</v>
      </c>
      <c r="O89" t="str">
        <f t="shared" ca="1" si="15"/>
        <v>190119901</v>
      </c>
      <c r="P89" t="str" cm="1">
        <f t="array" aca="1" ref="P89" ca="1">9 &amp; INDEX($AH$3:$AH$6,Y89)&amp; TEXT(RANDBETWEEN(0,9999999),"0000000")</f>
        <v>926234857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8237250934036679</v>
      </c>
      <c r="T89" t="s">
        <v>341</v>
      </c>
      <c r="V89" s="4"/>
      <c r="X89">
        <f ca="1">RANDBETWEEN(2,COUNTA(rua_cod!A:A))</f>
        <v>82</v>
      </c>
      <c r="Y89">
        <f t="shared" ca="1" si="18"/>
        <v>2</v>
      </c>
      <c r="Z89">
        <f t="shared" ca="1" si="19"/>
        <v>3</v>
      </c>
      <c r="AA89">
        <f t="shared" ca="1" si="20"/>
        <v>1953</v>
      </c>
      <c r="AB89">
        <f t="shared" ca="1" si="21"/>
        <v>11</v>
      </c>
      <c r="AC89">
        <f t="shared" ca="1" si="22"/>
        <v>19</v>
      </c>
      <c r="AD89">
        <f t="shared" ca="1" si="23"/>
        <v>67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Martim Ana Anjos Nogueira</v>
      </c>
      <c r="E90" t="str">
        <f>Nomes!S91</f>
        <v>Masculino</v>
      </c>
      <c r="F90" s="2">
        <v>40133</v>
      </c>
      <c r="G90" t="str" cm="1">
        <f t="array" aca="1" ref="G90" ca="1">INDEX(rua_cod!$F:$F,RANDBETWEEN(2,COUNTA(rua_cod!F:F)))</f>
        <v>Rua Augusta</v>
      </c>
      <c r="H90" t="str" cm="1">
        <f t="array" aca="1" ref="H90" ca="1">INDEX(rua_cod!$A:$A,Médicos!X90) &amp; "-" &amp; TEXT(RANDBETWEEN(0,999),"000")</f>
        <v>2830-340</v>
      </c>
      <c r="I90" t="str" cm="1">
        <f t="array" aca="1" ref="I90" ca="1">INDEX(rua_cod!$B:$B,Médicos!X90)</f>
        <v>Barreiro</v>
      </c>
      <c r="J90" t="s">
        <v>341</v>
      </c>
      <c r="K90" t="s">
        <v>225</v>
      </c>
      <c r="L90" t="s">
        <v>265</v>
      </c>
      <c r="M90" t="str">
        <f t="shared" ca="1" si="14"/>
        <v>15285528</v>
      </c>
      <c r="N90" t="str">
        <f t="shared" ca="1" si="15"/>
        <v>370212173</v>
      </c>
      <c r="O90" t="str">
        <f t="shared" ca="1" si="15"/>
        <v>992221281</v>
      </c>
      <c r="P90" t="str" cm="1">
        <f t="array" aca="1" ref="P90" ca="1">9 &amp; INDEX($AH$3:$AH$6,Y90)&amp; TEXT(RANDBETWEEN(0,9999999),"0000000")</f>
        <v>938460968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2183930775166376</v>
      </c>
      <c r="T90" t="s">
        <v>341</v>
      </c>
      <c r="V90" s="4"/>
      <c r="X90">
        <f ca="1">RANDBETWEEN(2,COUNTA(rua_cod!A:A))</f>
        <v>16</v>
      </c>
      <c r="Y90">
        <f t="shared" ca="1" si="18"/>
        <v>3</v>
      </c>
      <c r="Z90">
        <f t="shared" ca="1" si="19"/>
        <v>2</v>
      </c>
      <c r="AA90">
        <f t="shared" ca="1" si="20"/>
        <v>1989</v>
      </c>
      <c r="AB90">
        <f t="shared" ca="1" si="21"/>
        <v>3</v>
      </c>
      <c r="AC90">
        <f t="shared" ca="1" si="22"/>
        <v>24</v>
      </c>
      <c r="AD90">
        <f t="shared" ca="1" si="23"/>
        <v>31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Diogo Maria Martins Matos</v>
      </c>
      <c r="E91" t="str">
        <f>Nomes!S92</f>
        <v>Masculino</v>
      </c>
      <c r="F91" s="2">
        <v>16302</v>
      </c>
      <c r="G91" t="str" cm="1">
        <f t="array" aca="1" ref="G91" ca="1">INDEX(rua_cod!$F:$F,RANDBETWEEN(2,COUNTA(rua_cod!F:F)))</f>
        <v>Rua da Madalena</v>
      </c>
      <c r="H91" t="str" cm="1">
        <f t="array" aca="1" ref="H91" ca="1">INDEX(rua_cod!$A:$A,Médicos!X91) &amp; "-" &amp; TEXT(RANDBETWEEN(0,999),"000")</f>
        <v>1949-643</v>
      </c>
      <c r="I91" t="str" cm="1">
        <f t="array" aca="1" ref="I91" ca="1">INDEX(rua_cod!$B:$B,Médicos!X91)</f>
        <v>Lisboa</v>
      </c>
      <c r="J91" t="s">
        <v>341</v>
      </c>
      <c r="K91" t="s">
        <v>225</v>
      </c>
      <c r="L91" t="s">
        <v>265</v>
      </c>
      <c r="M91" t="str">
        <f t="shared" ca="1" si="14"/>
        <v>89096348</v>
      </c>
      <c r="N91" t="str">
        <f t="shared" ca="1" si="15"/>
        <v>723820810</v>
      </c>
      <c r="O91" t="str">
        <f t="shared" ca="1" si="15"/>
        <v>702439203</v>
      </c>
      <c r="P91" t="str" cm="1">
        <f t="array" aca="1" ref="P91" ca="1">9 &amp; INDEX($AH$3:$AH$6,Y91)&amp; TEXT(RANDBETWEEN(0,9999999),"0000000")</f>
        <v>931576850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7679149632799509</v>
      </c>
      <c r="T91" t="s">
        <v>341</v>
      </c>
      <c r="V91" s="4"/>
      <c r="X91">
        <f ca="1">RANDBETWEEN(2,COUNTA(rua_cod!A:A))</f>
        <v>45</v>
      </c>
      <c r="Y91">
        <f t="shared" ca="1" si="18"/>
        <v>3</v>
      </c>
      <c r="Z91">
        <f t="shared" ca="1" si="19"/>
        <v>2</v>
      </c>
      <c r="AA91">
        <f t="shared" ca="1" si="20"/>
        <v>1981</v>
      </c>
      <c r="AB91">
        <f t="shared" ca="1" si="21"/>
        <v>6</v>
      </c>
      <c r="AC91">
        <f t="shared" ca="1" si="22"/>
        <v>16</v>
      </c>
      <c r="AD91">
        <f t="shared" ca="1" si="23"/>
        <v>39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Miguel Daniela Costa Magalhães</v>
      </c>
      <c r="E92" t="str">
        <f>Nomes!S93</f>
        <v>Masculino</v>
      </c>
      <c r="F92" s="2">
        <v>15230</v>
      </c>
      <c r="G92" t="str" cm="1">
        <f t="array" aca="1" ref="G92" ca="1">INDEX(rua_cod!$F:$F,RANDBETWEEN(2,COUNTA(rua_cod!F:F)))</f>
        <v>Rua da Betesga</v>
      </c>
      <c r="H92" t="str" cm="1">
        <f t="array" aca="1" ref="H92" ca="1">INDEX(rua_cod!$A:$A,Médicos!X92) &amp; "-" &amp; TEXT(RANDBETWEEN(0,999),"000")</f>
        <v>2910-710</v>
      </c>
      <c r="I92" t="str" cm="1">
        <f t="array" aca="1" ref="I92" ca="1">INDEX(rua_cod!$B:$B,Médicos!X92)</f>
        <v>Setúbal</v>
      </c>
      <c r="J92" t="s">
        <v>341</v>
      </c>
      <c r="K92" t="s">
        <v>225</v>
      </c>
      <c r="L92" t="s">
        <v>265</v>
      </c>
      <c r="M92" t="str">
        <f t="shared" ca="1" si="14"/>
        <v>90069717</v>
      </c>
      <c r="N92" t="str">
        <f t="shared" ca="1" si="15"/>
        <v>827912547</v>
      </c>
      <c r="O92" t="str">
        <f t="shared" ca="1" si="15"/>
        <v>589588929</v>
      </c>
      <c r="P92" t="str" cm="1">
        <f t="array" aca="1" ref="P92" ca="1">9 &amp; INDEX($AH$3:$AH$6,Y92)&amp; TEXT(RANDBETWEEN(0,9999999),"0000000")</f>
        <v>915680096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5347672393293263</v>
      </c>
      <c r="T92" t="s">
        <v>341</v>
      </c>
      <c r="V92" s="4"/>
      <c r="X92">
        <f ca="1">RANDBETWEEN(2,COUNTA(rua_cod!A:A))</f>
        <v>97</v>
      </c>
      <c r="Y92">
        <f t="shared" ca="1" si="18"/>
        <v>1</v>
      </c>
      <c r="Z92">
        <f t="shared" ca="1" si="19"/>
        <v>2</v>
      </c>
      <c r="AA92">
        <f t="shared" ca="1" si="20"/>
        <v>1961</v>
      </c>
      <c r="AB92">
        <f t="shared" ca="1" si="21"/>
        <v>3</v>
      </c>
      <c r="AC92">
        <f t="shared" ca="1" si="22"/>
        <v>27</v>
      </c>
      <c r="AD92">
        <f t="shared" ca="1" si="23"/>
        <v>59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Daniela Marco Amorim Garcia</v>
      </c>
      <c r="E93" t="str">
        <f>Nomes!S94</f>
        <v>Feminino</v>
      </c>
      <c r="F93" s="2">
        <v>33682</v>
      </c>
      <c r="G93" t="str" cm="1">
        <f t="array" aca="1" ref="G93" ca="1">INDEX(rua_cod!$F:$F,RANDBETWEEN(2,COUNTA(rua_cod!F:F)))</f>
        <v>Rua do Arsenal</v>
      </c>
      <c r="H93" t="str" cm="1">
        <f t="array" aca="1" ref="H93" ca="1">INDEX(rua_cod!$A:$A,Médicos!X93) &amp; "-" &amp; TEXT(RANDBETWEEN(0,999),"000")</f>
        <v>2423-166</v>
      </c>
      <c r="I93" t="str" cm="1">
        <f t="array" aca="1" ref="I93" ca="1">INDEX(rua_cod!$B:$B,Médicos!X93)</f>
        <v>Leiria</v>
      </c>
      <c r="J93" t="s">
        <v>341</v>
      </c>
      <c r="K93" t="s">
        <v>225</v>
      </c>
      <c r="L93" t="s">
        <v>265</v>
      </c>
      <c r="M93" t="str">
        <f t="shared" ca="1" si="14"/>
        <v>81142455</v>
      </c>
      <c r="N93" t="str">
        <f t="shared" ca="1" si="15"/>
        <v>282094893</v>
      </c>
      <c r="O93" t="str">
        <f t="shared" ca="1" si="15"/>
        <v>612618362</v>
      </c>
      <c r="P93" t="str" cm="1">
        <f t="array" aca="1" ref="P93" ca="1">9 &amp; INDEX($AH$3:$AH$6,Y93)&amp; TEXT(RANDBETWEEN(0,9999999),"0000000")</f>
        <v>938122284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5116421448955492</v>
      </c>
      <c r="T93" t="s">
        <v>341</v>
      </c>
      <c r="V93" s="4"/>
      <c r="X93">
        <f ca="1">RANDBETWEEN(2,COUNTA(rua_cod!A:A))</f>
        <v>38</v>
      </c>
      <c r="Y93">
        <f t="shared" ca="1" si="18"/>
        <v>3</v>
      </c>
      <c r="Z93">
        <f t="shared" ca="1" si="19"/>
        <v>1</v>
      </c>
      <c r="AA93">
        <f t="shared" ca="1" si="20"/>
        <v>1990</v>
      </c>
      <c r="AB93">
        <f t="shared" ca="1" si="21"/>
        <v>6</v>
      </c>
      <c r="AC93">
        <f t="shared" ca="1" si="22"/>
        <v>31</v>
      </c>
      <c r="AD93">
        <f t="shared" ca="1" si="23"/>
        <v>30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Afonso Luís Cruz Branco</v>
      </c>
      <c r="E94" t="str">
        <f>Nomes!S95</f>
        <v>Masculino</v>
      </c>
      <c r="F94" s="2">
        <v>19081</v>
      </c>
      <c r="G94" t="str" cm="1">
        <f t="array" aca="1" ref="G94" ca="1">INDEX(rua_cod!$F:$F,RANDBETWEEN(2,COUNTA(rua_cod!F:F)))</f>
        <v>Rua da Prata</v>
      </c>
      <c r="H94" t="str" cm="1">
        <f t="array" aca="1" ref="H94" ca="1">INDEX(rua_cod!$A:$A,Médicos!X94) &amp; "-" &amp; TEXT(RANDBETWEEN(0,999),"000")</f>
        <v>1250-601</v>
      </c>
      <c r="I94" t="str" cm="1">
        <f t="array" aca="1" ref="I94" ca="1">INDEX(rua_cod!$B:$B,Médicos!X94)</f>
        <v>Lisboa</v>
      </c>
      <c r="J94" t="s">
        <v>341</v>
      </c>
      <c r="K94" t="s">
        <v>225</v>
      </c>
      <c r="L94" t="s">
        <v>265</v>
      </c>
      <c r="M94" t="str">
        <f t="shared" ca="1" si="14"/>
        <v>79285616</v>
      </c>
      <c r="N94" t="str">
        <f t="shared" ca="1" si="15"/>
        <v>679140703</v>
      </c>
      <c r="O94" t="str">
        <f t="shared" ca="1" si="15"/>
        <v>283968162</v>
      </c>
      <c r="P94" t="str" cm="1">
        <f t="array" aca="1" ref="P94" ca="1">9 &amp; INDEX($AH$3:$AH$6,Y94)&amp; TEXT(RANDBETWEEN(0,9999999),"0000000")</f>
        <v>924221151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2050630422934764</v>
      </c>
      <c r="T94" t="s">
        <v>341</v>
      </c>
      <c r="V94" s="4"/>
      <c r="X94">
        <f ca="1">RANDBETWEEN(2,COUNTA(rua_cod!A:A))</f>
        <v>50</v>
      </c>
      <c r="Y94">
        <f t="shared" ca="1" si="18"/>
        <v>2</v>
      </c>
      <c r="Z94">
        <f t="shared" ca="1" si="19"/>
        <v>1</v>
      </c>
      <c r="AA94">
        <f t="shared" ca="1" si="20"/>
        <v>1968</v>
      </c>
      <c r="AB94">
        <f t="shared" ca="1" si="21"/>
        <v>4</v>
      </c>
      <c r="AC94">
        <f t="shared" ca="1" si="22"/>
        <v>24</v>
      </c>
      <c r="AD94">
        <f t="shared" ca="1" si="23"/>
        <v>52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Diogo Gabriel Fonseca Pires</v>
      </c>
      <c r="E95" t="str">
        <f>Nomes!S96</f>
        <v>Masculino</v>
      </c>
      <c r="F95" s="2">
        <v>28822</v>
      </c>
      <c r="G95" t="str" cm="1">
        <f t="array" aca="1" ref="G95" ca="1">INDEX(rua_cod!$F:$F,RANDBETWEEN(2,COUNTA(rua_cod!F:F)))</f>
        <v>Calçada do Poço dos Mouros</v>
      </c>
      <c r="H95" t="str" cm="1">
        <f t="array" aca="1" ref="H95" ca="1">INDEX(rua_cod!$A:$A,Médicos!X95) &amp; "-" &amp; TEXT(RANDBETWEEN(0,999),"000")</f>
        <v>1169-695</v>
      </c>
      <c r="I95" t="str" cm="1">
        <f t="array" aca="1" ref="I95" ca="1">INDEX(rua_cod!$B:$B,Médicos!X95)</f>
        <v>Lisboa</v>
      </c>
      <c r="J95" t="s">
        <v>341</v>
      </c>
      <c r="K95" t="s">
        <v>225</v>
      </c>
      <c r="L95" t="s">
        <v>265</v>
      </c>
      <c r="M95" t="str">
        <f t="shared" ca="1" si="14"/>
        <v>89163493</v>
      </c>
      <c r="N95" t="str">
        <f t="shared" ca="1" si="15"/>
        <v>757622203</v>
      </c>
      <c r="O95" t="str">
        <f t="shared" ca="1" si="15"/>
        <v>146178105</v>
      </c>
      <c r="P95" t="str" cm="1">
        <f t="array" aca="1" ref="P95" ca="1">9 &amp; INDEX($AH$3:$AH$6,Y95)&amp; TEXT(RANDBETWEEN(0,9999999),"0000000")</f>
        <v>920951768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8151047413068683</v>
      </c>
      <c r="T95" t="s">
        <v>341</v>
      </c>
      <c r="V95" s="4"/>
      <c r="X95">
        <f ca="1">RANDBETWEEN(2,COUNTA(rua_cod!A:A))</f>
        <v>70</v>
      </c>
      <c r="Y95">
        <f t="shared" ca="1" si="18"/>
        <v>2</v>
      </c>
      <c r="Z95">
        <f t="shared" ca="1" si="19"/>
        <v>3</v>
      </c>
      <c r="AA95">
        <f t="shared" ca="1" si="20"/>
        <v>1993</v>
      </c>
      <c r="AB95">
        <f t="shared" ca="1" si="21"/>
        <v>3</v>
      </c>
      <c r="AC95">
        <f t="shared" ca="1" si="22"/>
        <v>26</v>
      </c>
      <c r="AD95">
        <f t="shared" ca="1" si="23"/>
        <v>27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Tomás Francisca Borges Torres</v>
      </c>
      <c r="E96" t="str">
        <f>Nomes!S97</f>
        <v>Masculino</v>
      </c>
      <c r="F96" s="2">
        <v>23243</v>
      </c>
      <c r="G96" t="str" cm="1">
        <f t="array" aca="1" ref="G96" ca="1">INDEX(rua_cod!$F:$F,RANDBETWEEN(2,COUNTA(rua_cod!F:F)))</f>
        <v>Rua dos Heróis de Quionga</v>
      </c>
      <c r="H96" t="str" cm="1">
        <f t="array" aca="1" ref="H96" ca="1">INDEX(rua_cod!$A:$A,Médicos!X96) &amp; "-" &amp; TEXT(RANDBETWEEN(0,999),"000")</f>
        <v>2004-143</v>
      </c>
      <c r="I96" t="str" cm="1">
        <f t="array" aca="1" ref="I96" ca="1">INDEX(rua_cod!$B:$B,Médicos!X96)</f>
        <v>Santarém</v>
      </c>
      <c r="J96" t="s">
        <v>341</v>
      </c>
      <c r="K96" t="s">
        <v>225</v>
      </c>
      <c r="L96" t="s">
        <v>265</v>
      </c>
      <c r="M96" t="str">
        <f t="shared" ca="1" si="14"/>
        <v>72544306</v>
      </c>
      <c r="N96" t="str">
        <f t="shared" ca="1" si="15"/>
        <v>946350078</v>
      </c>
      <c r="O96" t="str">
        <f t="shared" ca="1" si="15"/>
        <v>766443509</v>
      </c>
      <c r="P96" t="str" cm="1">
        <f t="array" aca="1" ref="P96" ca="1">9 &amp; INDEX($AH$3:$AH$6,Y96)&amp; TEXT(RANDBETWEEN(0,9999999),"0000000")</f>
        <v>922305477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2863792949644326</v>
      </c>
      <c r="T96" t="s">
        <v>341</v>
      </c>
      <c r="V96" s="4"/>
      <c r="X96">
        <f ca="1">RANDBETWEEN(2,COUNTA(rua_cod!A:A))</f>
        <v>94</v>
      </c>
      <c r="Y96">
        <f t="shared" ca="1" si="18"/>
        <v>2</v>
      </c>
      <c r="Z96">
        <f t="shared" ca="1" si="19"/>
        <v>3</v>
      </c>
      <c r="AA96">
        <f t="shared" ca="1" si="20"/>
        <v>1990</v>
      </c>
      <c r="AB96">
        <f t="shared" ca="1" si="21"/>
        <v>4</v>
      </c>
      <c r="AC96">
        <f t="shared" ca="1" si="22"/>
        <v>27</v>
      </c>
      <c r="AD96">
        <f t="shared" ca="1" si="23"/>
        <v>30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Ricardo Carolina Soares Baptista</v>
      </c>
      <c r="E97" t="str">
        <f>Nomes!S98</f>
        <v>Masculino</v>
      </c>
      <c r="F97" s="2">
        <v>18576</v>
      </c>
      <c r="G97" t="str" cm="1">
        <f t="array" aca="1" ref="G97" ca="1">INDEX(rua_cod!$F:$F,RANDBETWEEN(2,COUNTA(rua_cod!F:F)))</f>
        <v>Estrada da Circunvalação de Lisboa</v>
      </c>
      <c r="H97" t="str" cm="1">
        <f t="array" aca="1" ref="H97" ca="1">INDEX(rua_cod!$A:$A,Médicos!X97) &amp; "-" &amp; TEXT(RANDBETWEEN(0,999),"000")</f>
        <v>1748-383</v>
      </c>
      <c r="I97" t="str" cm="1">
        <f t="array" aca="1" ref="I97" ca="1">INDEX(rua_cod!$B:$B,Médicos!X97)</f>
        <v>Lisboa</v>
      </c>
      <c r="J97" t="s">
        <v>341</v>
      </c>
      <c r="K97" t="s">
        <v>225</v>
      </c>
      <c r="L97" t="s">
        <v>265</v>
      </c>
      <c r="M97" t="str">
        <f t="shared" ca="1" si="14"/>
        <v>60652346</v>
      </c>
      <c r="N97" t="str">
        <f t="shared" ca="1" si="15"/>
        <v>348252424</v>
      </c>
      <c r="O97" t="str">
        <f t="shared" ca="1" si="15"/>
        <v>271197874</v>
      </c>
      <c r="P97" t="str" cm="1">
        <f t="array" aca="1" ref="P97" ca="1">9 &amp; INDEX($AH$3:$AH$6,Y97)&amp; TEXT(RANDBETWEEN(0,9999999),"0000000")</f>
        <v>931815742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1617487624768507</v>
      </c>
      <c r="T97" t="s">
        <v>341</v>
      </c>
      <c r="V97" s="4"/>
      <c r="X97">
        <f ca="1">RANDBETWEEN(2,COUNTA(rua_cod!A:A))</f>
        <v>77</v>
      </c>
      <c r="Y97">
        <f t="shared" ca="1" si="18"/>
        <v>3</v>
      </c>
      <c r="Z97">
        <f t="shared" ca="1" si="19"/>
        <v>2</v>
      </c>
      <c r="AA97">
        <f t="shared" ca="1" si="20"/>
        <v>1964</v>
      </c>
      <c r="AB97">
        <f t="shared" ca="1" si="21"/>
        <v>10</v>
      </c>
      <c r="AC97">
        <f t="shared" ca="1" si="22"/>
        <v>28</v>
      </c>
      <c r="AD97">
        <f t="shared" ca="1" si="23"/>
        <v>56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Maria Martim Fernandes Tavares</v>
      </c>
      <c r="E98" t="str">
        <f>Nomes!S99</f>
        <v>Feminino</v>
      </c>
      <c r="F98" s="2">
        <v>36577</v>
      </c>
      <c r="G98" t="str" cm="1">
        <f t="array" aca="1" ref="G98" ca="1">INDEX(rua_cod!$F:$F,RANDBETWEEN(2,COUNTA(rua_cod!F:F)))</f>
        <v>Calçada do Poço dos Mouros</v>
      </c>
      <c r="H98" t="str" cm="1">
        <f t="array" aca="1" ref="H98" ca="1">INDEX(rua_cod!$A:$A,Médicos!X98) &amp; "-" &amp; TEXT(RANDBETWEEN(0,999),"000")</f>
        <v>1900-107</v>
      </c>
      <c r="I98" t="str" cm="1">
        <f t="array" aca="1" ref="I98" ca="1">INDEX(rua_cod!$B:$B,Médicos!X98)</f>
        <v>Lisboa</v>
      </c>
      <c r="J98" t="s">
        <v>341</v>
      </c>
      <c r="K98" t="s">
        <v>225</v>
      </c>
      <c r="L98" t="s">
        <v>265</v>
      </c>
      <c r="M98" t="str">
        <f t="shared" ca="1" si="14"/>
        <v>72465023</v>
      </c>
      <c r="N98" t="str">
        <f t="shared" ca="1" si="15"/>
        <v>116450729</v>
      </c>
      <c r="O98" t="str">
        <f t="shared" ca="1" si="15"/>
        <v>758058007</v>
      </c>
      <c r="P98" t="str" cm="1">
        <f t="array" aca="1" ref="P98" ca="1">9 &amp; INDEX($AH$3:$AH$6,Y98)&amp; TEXT(RANDBETWEEN(0,9999999),"0000000")</f>
        <v>921574262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1874673856394821</v>
      </c>
      <c r="T98" t="s">
        <v>341</v>
      </c>
      <c r="V98" s="4"/>
      <c r="X98">
        <f ca="1">RANDBETWEEN(2,COUNTA(rua_cod!A:A))</f>
        <v>42</v>
      </c>
      <c r="Y98">
        <f t="shared" ca="1" si="18"/>
        <v>2</v>
      </c>
      <c r="Z98">
        <f t="shared" ca="1" si="19"/>
        <v>1</v>
      </c>
      <c r="AA98">
        <f t="shared" ca="1" si="20"/>
        <v>1956</v>
      </c>
      <c r="AB98">
        <f t="shared" ca="1" si="21"/>
        <v>4</v>
      </c>
      <c r="AC98">
        <f t="shared" ca="1" si="22"/>
        <v>26</v>
      </c>
      <c r="AD98">
        <f t="shared" ca="1" si="23"/>
        <v>64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Miguel Santiago Miranda Torres</v>
      </c>
      <c r="E99" t="str">
        <f>Nomes!S100</f>
        <v>Masculino</v>
      </c>
      <c r="F99" s="2">
        <v>18365</v>
      </c>
      <c r="G99" t="str" cm="1">
        <f t="array" aca="1" ref="G99" ca="1">INDEX(rua_cod!$F:$F,RANDBETWEEN(2,COUNTA(rua_cod!F:F)))</f>
        <v>Rua da Alfândega</v>
      </c>
      <c r="H99" t="str" cm="1">
        <f t="array" aca="1" ref="H99" ca="1">INDEX(rua_cod!$A:$A,Médicos!X99) &amp; "-" &amp; TEXT(RANDBETWEEN(0,999),"000")</f>
        <v>2775-464</v>
      </c>
      <c r="I99" t="str" cm="1">
        <f t="array" aca="1" ref="I99" ca="1">INDEX(rua_cod!$B:$B,Médicos!X99)</f>
        <v>Carcavelos</v>
      </c>
      <c r="J99" t="s">
        <v>341</v>
      </c>
      <c r="K99" t="s">
        <v>225</v>
      </c>
      <c r="L99" t="s">
        <v>265</v>
      </c>
      <c r="M99" t="str">
        <f t="shared" ca="1" si="14"/>
        <v>62935412</v>
      </c>
      <c r="N99" t="str">
        <f t="shared" ca="1" si="15"/>
        <v>652856815</v>
      </c>
      <c r="O99" t="str">
        <f t="shared" ca="1" si="15"/>
        <v>631091829</v>
      </c>
      <c r="P99" t="str" cm="1">
        <f t="array" aca="1" ref="P99" ca="1">9 &amp; INDEX($AH$3:$AH$6,Y99)&amp; TEXT(RANDBETWEEN(0,9999999),"0000000")</f>
        <v>932132176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6466306032874196</v>
      </c>
      <c r="T99" t="s">
        <v>341</v>
      </c>
      <c r="V99" s="4"/>
      <c r="X99">
        <f ca="1">RANDBETWEEN(2,COUNTA(rua_cod!A:A))</f>
        <v>20</v>
      </c>
      <c r="Y99">
        <f t="shared" ca="1" si="18"/>
        <v>3</v>
      </c>
      <c r="Z99">
        <f t="shared" ca="1" si="19"/>
        <v>3</v>
      </c>
      <c r="AA99">
        <f t="shared" ca="1" si="20"/>
        <v>1973</v>
      </c>
      <c r="AB99">
        <f t="shared" ca="1" si="21"/>
        <v>8</v>
      </c>
      <c r="AC99">
        <f t="shared" ca="1" si="22"/>
        <v>28</v>
      </c>
      <c r="AD99">
        <f t="shared" ca="1" si="23"/>
        <v>47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André Rodrigo Moura Andrade</v>
      </c>
      <c r="E100" t="str">
        <f>Nomes!S101</f>
        <v>Masculino</v>
      </c>
      <c r="F100" s="2">
        <v>31062</v>
      </c>
      <c r="G100" t="str" cm="1">
        <f t="array" aca="1" ref="G100" ca="1">INDEX(rua_cod!$F:$F,RANDBETWEEN(2,COUNTA(rua_cod!F:F)))</f>
        <v>Rua Cidade de Bolama</v>
      </c>
      <c r="H100" t="str" cm="1">
        <f t="array" aca="1" ref="H100" ca="1">INDEX(rua_cod!$A:$A,Médicos!X100) &amp; "-" &amp; TEXT(RANDBETWEEN(0,999),"000")</f>
        <v>2300-689</v>
      </c>
      <c r="I100" t="str" cm="1">
        <f t="array" aca="1" ref="I100" ca="1">INDEX(rua_cod!$B:$B,Médicos!X100)</f>
        <v>Tomar</v>
      </c>
      <c r="J100" t="s">
        <v>341</v>
      </c>
      <c r="K100" t="s">
        <v>225</v>
      </c>
      <c r="L100" t="s">
        <v>265</v>
      </c>
      <c r="M100" t="str">
        <f t="shared" ca="1" si="14"/>
        <v>34295470</v>
      </c>
      <c r="N100" t="str">
        <f t="shared" ca="1" si="15"/>
        <v>820345610</v>
      </c>
      <c r="O100" t="str">
        <f t="shared" ca="1" si="15"/>
        <v>312545006</v>
      </c>
      <c r="P100" t="str" cm="1">
        <f t="array" aca="1" ref="P100" ca="1">9 &amp; INDEX($AH$3:$AH$6,Y100)&amp; TEXT(RANDBETWEEN(0,9999999),"0000000")</f>
        <v>937311641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5712952563170923</v>
      </c>
      <c r="T100" t="s">
        <v>341</v>
      </c>
      <c r="V100" s="4"/>
      <c r="X100">
        <f ca="1">RANDBETWEEN(2,COUNTA(rua_cod!A:A))</f>
        <v>102</v>
      </c>
      <c r="Y100">
        <f t="shared" ca="1" si="18"/>
        <v>3</v>
      </c>
      <c r="Z100">
        <f t="shared" ca="1" si="19"/>
        <v>1</v>
      </c>
      <c r="AA100">
        <f t="shared" ca="1" si="20"/>
        <v>1964</v>
      </c>
      <c r="AB100">
        <f t="shared" ca="1" si="21"/>
        <v>5</v>
      </c>
      <c r="AC100">
        <f t="shared" ca="1" si="22"/>
        <v>18</v>
      </c>
      <c r="AD100">
        <f t="shared" ca="1" si="23"/>
        <v>56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Duarte Duarte Assunção Branco</v>
      </c>
      <c r="E101" t="str">
        <f>Nomes!S102</f>
        <v>Masculino</v>
      </c>
      <c r="F101" s="2">
        <v>37490</v>
      </c>
      <c r="G101" t="str" cm="1">
        <f t="array" aca="1" ref="G101" ca="1">INDEX(rua_cod!$F:$F,RANDBETWEEN(2,COUNTA(rua_cod!F:F)))</f>
        <v>Rua do Instituto Bacteriológico</v>
      </c>
      <c r="H101" t="str" cm="1">
        <f t="array" aca="1" ref="H101" ca="1">INDEX(rua_cod!$A:$A,Médicos!X101) &amp; "-" &amp; TEXT(RANDBETWEEN(0,999),"000")</f>
        <v>2650-906</v>
      </c>
      <c r="I101" t="str" cm="1">
        <f t="array" aca="1" ref="I101" ca="1">INDEX(rua_cod!$B:$B,Médicos!X101)</f>
        <v>Amadora</v>
      </c>
      <c r="J101" t="s">
        <v>341</v>
      </c>
      <c r="K101" t="s">
        <v>225</v>
      </c>
      <c r="L101" t="s">
        <v>265</v>
      </c>
      <c r="M101" t="str">
        <f t="shared" ca="1" si="14"/>
        <v>23466498</v>
      </c>
      <c r="N101" t="str">
        <f t="shared" ca="1" si="15"/>
        <v>542626679</v>
      </c>
      <c r="O101" t="str">
        <f t="shared" ca="1" si="15"/>
        <v>433805462</v>
      </c>
      <c r="P101" t="str" cm="1">
        <f t="array" aca="1" ref="P101" ca="1">9 &amp; INDEX($AH$3:$AH$6,Y101)&amp; TEXT(RANDBETWEEN(0,9999999),"0000000")</f>
        <v>911567041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4964731668420519</v>
      </c>
      <c r="T101" t="s">
        <v>341</v>
      </c>
      <c r="V101" s="4"/>
      <c r="X101">
        <f ca="1">RANDBETWEEN(2,COUNTA(rua_cod!A:A))</f>
        <v>9</v>
      </c>
      <c r="Y101">
        <f t="shared" ca="1" si="18"/>
        <v>1</v>
      </c>
      <c r="Z101">
        <f t="shared" ca="1" si="19"/>
        <v>3</v>
      </c>
      <c r="AA101">
        <f t="shared" ca="1" si="20"/>
        <v>1981</v>
      </c>
      <c r="AB101">
        <f t="shared" ca="1" si="21"/>
        <v>9</v>
      </c>
      <c r="AC101">
        <f t="shared" ca="1" si="22"/>
        <v>14</v>
      </c>
      <c r="AD101">
        <f t="shared" ca="1" si="23"/>
        <v>39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José Tomás Vaz Matias</v>
      </c>
      <c r="E102" t="str">
        <f>Nomes!S103</f>
        <v>Masculino</v>
      </c>
      <c r="F102" s="2">
        <v>23523</v>
      </c>
      <c r="G102" t="str" cm="1">
        <f t="array" aca="1" ref="G102" ca="1">INDEX(rua_cod!$F:$F,RANDBETWEEN(2,COUNTA(rua_cod!F:F)))</f>
        <v>Avenida Ressano Garcia</v>
      </c>
      <c r="H102" t="str" cm="1">
        <f t="array" aca="1" ref="H102" ca="1">INDEX(rua_cod!$A:$A,Médicos!X102) &amp; "-" &amp; TEXT(RANDBETWEEN(0,999),"000")</f>
        <v>1600-492</v>
      </c>
      <c r="I102" t="str" cm="1">
        <f t="array" aca="1" ref="I102" ca="1">INDEX(rua_cod!$B:$B,Médicos!X102)</f>
        <v>Lisboa</v>
      </c>
      <c r="J102" t="s">
        <v>341</v>
      </c>
      <c r="K102" t="s">
        <v>225</v>
      </c>
      <c r="L102" t="s">
        <v>265</v>
      </c>
      <c r="M102" t="str">
        <f t="shared" ca="1" si="14"/>
        <v>63870002</v>
      </c>
      <c r="N102" t="str">
        <f t="shared" ca="1" si="15"/>
        <v>737897288</v>
      </c>
      <c r="O102" t="str">
        <f t="shared" ca="1" si="15"/>
        <v>291165311</v>
      </c>
      <c r="P102" t="str" cm="1">
        <f t="array" aca="1" ref="P102" ca="1">9 &amp; INDEX($AH$3:$AH$6,Y102)&amp; TEXT(RANDBETWEEN(0,9999999),"0000000")</f>
        <v>968778532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1979482397712474</v>
      </c>
      <c r="T102" t="s">
        <v>341</v>
      </c>
      <c r="V102" s="4"/>
      <c r="X102">
        <f ca="1">RANDBETWEEN(2,COUNTA(rua_cod!A:A))</f>
        <v>60</v>
      </c>
      <c r="Y102">
        <f t="shared" ca="1" si="18"/>
        <v>4</v>
      </c>
      <c r="Z102">
        <f t="shared" ca="1" si="19"/>
        <v>2</v>
      </c>
      <c r="AA102">
        <f t="shared" ca="1" si="20"/>
        <v>1962</v>
      </c>
      <c r="AB102">
        <f t="shared" ca="1" si="21"/>
        <v>1</v>
      </c>
      <c r="AC102">
        <f t="shared" ca="1" si="22"/>
        <v>30</v>
      </c>
      <c r="AD102">
        <f t="shared" ca="1" si="23"/>
        <v>58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Rodrigo Inês Batista Abreu</v>
      </c>
      <c r="E103" t="str">
        <f>Nomes!S104</f>
        <v>Masculino</v>
      </c>
      <c r="F103" s="2">
        <v>43571</v>
      </c>
      <c r="G103" t="str" cm="1">
        <f t="array" aca="1" ref="G103" ca="1">INDEX(rua_cod!$F:$F,RANDBETWEEN(2,COUNTA(rua_cod!F:F)))</f>
        <v>Rua Nova do Almada</v>
      </c>
      <c r="H103" t="str" cm="1">
        <f t="array" aca="1" ref="H103" ca="1">INDEX(rua_cod!$A:$A,Médicos!X103) &amp; "-" &amp; TEXT(RANDBETWEEN(0,999),"000")</f>
        <v>2914-081</v>
      </c>
      <c r="I103" t="str" cm="1">
        <f t="array" aca="1" ref="I103" ca="1">INDEX(rua_cod!$B:$B,Médicos!X103)</f>
        <v>Setúbal</v>
      </c>
      <c r="J103" t="s">
        <v>341</v>
      </c>
      <c r="K103" t="s">
        <v>225</v>
      </c>
      <c r="L103" t="s">
        <v>265</v>
      </c>
      <c r="M103" t="str">
        <f t="shared" ca="1" si="14"/>
        <v>61469345</v>
      </c>
      <c r="N103" t="str">
        <f t="shared" ca="1" si="15"/>
        <v>450083018</v>
      </c>
      <c r="O103" t="str">
        <f t="shared" ca="1" si="15"/>
        <v>781228236</v>
      </c>
      <c r="P103" t="str" cm="1">
        <f t="array" aca="1" ref="P103" ca="1">9 &amp; INDEX($AH$3:$AH$6,Y103)&amp; TEXT(RANDBETWEEN(0,9999999),"0000000")</f>
        <v>938435555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1957515731182750</v>
      </c>
      <c r="T103" t="s">
        <v>341</v>
      </c>
      <c r="V103" s="4"/>
      <c r="X103">
        <f ca="1">RANDBETWEEN(2,COUNTA(rua_cod!A:A))</f>
        <v>98</v>
      </c>
      <c r="Y103">
        <f t="shared" ca="1" si="18"/>
        <v>3</v>
      </c>
      <c r="Z103">
        <f t="shared" ca="1" si="19"/>
        <v>2</v>
      </c>
      <c r="AA103">
        <f t="shared" ca="1" si="20"/>
        <v>1975</v>
      </c>
      <c r="AB103">
        <f t="shared" ca="1" si="21"/>
        <v>8</v>
      </c>
      <c r="AC103">
        <f t="shared" ca="1" si="22"/>
        <v>26</v>
      </c>
      <c r="AD103">
        <f t="shared" ca="1" si="23"/>
        <v>45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Daniela Tiago Rocha Figueiredo</v>
      </c>
      <c r="E104" t="str">
        <f>Nomes!S105</f>
        <v>Feminino</v>
      </c>
      <c r="F104" s="2">
        <v>35936</v>
      </c>
      <c r="G104" t="str" cm="1">
        <f t="array" aca="1" ref="G104" ca="1">INDEX(rua_cod!$F:$F,RANDBETWEEN(2,COUNTA(rua_cod!F:F)))</f>
        <v>Rua da Prata</v>
      </c>
      <c r="H104" t="str" cm="1">
        <f t="array" aca="1" ref="H104" ca="1">INDEX(rua_cod!$A:$A,Médicos!X104) &amp; "-" &amp; TEXT(RANDBETWEEN(0,999),"000")</f>
        <v>1649-669</v>
      </c>
      <c r="I104" t="str" cm="1">
        <f t="array" aca="1" ref="I104" ca="1">INDEX(rua_cod!$B:$B,Médicos!X104)</f>
        <v>Lisboa</v>
      </c>
      <c r="J104" t="s">
        <v>341</v>
      </c>
      <c r="K104" t="s">
        <v>225</v>
      </c>
      <c r="L104" t="s">
        <v>265</v>
      </c>
      <c r="M104" t="str">
        <f t="shared" ca="1" si="14"/>
        <v>44818204</v>
      </c>
      <c r="N104" t="str">
        <f t="shared" ca="1" si="15"/>
        <v>557980192</v>
      </c>
      <c r="O104" t="str">
        <f t="shared" ca="1" si="15"/>
        <v>656518003</v>
      </c>
      <c r="P104" t="str" cm="1">
        <f t="array" aca="1" ref="P104" ca="1">9 &amp; INDEX($AH$3:$AH$6,Y104)&amp; TEXT(RANDBETWEEN(0,9999999),"0000000")</f>
        <v>928426687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9067589684018624</v>
      </c>
      <c r="T104" t="s">
        <v>341</v>
      </c>
      <c r="V104" s="4"/>
      <c r="X104">
        <f ca="1">RANDBETWEEN(2,COUNTA(rua_cod!A:A))</f>
        <v>68</v>
      </c>
      <c r="Y104">
        <f t="shared" ca="1" si="18"/>
        <v>2</v>
      </c>
      <c r="Z104">
        <f t="shared" ca="1" si="19"/>
        <v>1</v>
      </c>
      <c r="AA104">
        <f t="shared" ca="1" si="20"/>
        <v>1974</v>
      </c>
      <c r="AB104">
        <f t="shared" ca="1" si="21"/>
        <v>5</v>
      </c>
      <c r="AC104">
        <f t="shared" ca="1" si="22"/>
        <v>25</v>
      </c>
      <c r="AD104">
        <f t="shared" ca="1" si="23"/>
        <v>46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Duarte Inês Matos Anjos</v>
      </c>
      <c r="E105" t="str">
        <f>Nomes!S106</f>
        <v>Masculino</v>
      </c>
      <c r="F105" s="2">
        <v>33299</v>
      </c>
      <c r="G105" t="str" cm="1">
        <f t="array" aca="1" ref="G105" ca="1">INDEX(rua_cod!$F:$F,RANDBETWEEN(2,COUNTA(rua_cod!F:F)))</f>
        <v>Rua da Prata</v>
      </c>
      <c r="H105" t="str" cm="1">
        <f t="array" aca="1" ref="H105" ca="1">INDEX(rua_cod!$A:$A,Médicos!X105) &amp; "-" &amp; TEXT(RANDBETWEEN(0,999),"000")</f>
        <v>1449-090</v>
      </c>
      <c r="I105" t="str" cm="1">
        <f t="array" aca="1" ref="I105" ca="1">INDEX(rua_cod!$B:$B,Médicos!X105)</f>
        <v>Lisboa</v>
      </c>
      <c r="J105" t="s">
        <v>341</v>
      </c>
      <c r="K105" t="s">
        <v>225</v>
      </c>
      <c r="L105" t="s">
        <v>265</v>
      </c>
      <c r="M105" t="str">
        <f t="shared" ca="1" si="14"/>
        <v>60417098</v>
      </c>
      <c r="N105" t="str">
        <f t="shared" ca="1" si="15"/>
        <v>485791317</v>
      </c>
      <c r="O105" t="str">
        <f t="shared" ca="1" si="15"/>
        <v>596571988</v>
      </c>
      <c r="P105" t="str" cm="1">
        <f t="array" aca="1" ref="P105" ca="1">9 &amp; INDEX($AH$3:$AH$6,Y105)&amp; TEXT(RANDBETWEEN(0,9999999),"0000000")</f>
        <v>930153270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4224479339993069</v>
      </c>
      <c r="T105" t="s">
        <v>341</v>
      </c>
      <c r="V105" s="4"/>
      <c r="X105">
        <f ca="1">RANDBETWEEN(2,COUNTA(rua_cod!A:A))</f>
        <v>73</v>
      </c>
      <c r="Y105">
        <f t="shared" ca="1" si="18"/>
        <v>3</v>
      </c>
      <c r="Z105">
        <f t="shared" ca="1" si="19"/>
        <v>1</v>
      </c>
      <c r="AA105">
        <f t="shared" ca="1" si="20"/>
        <v>1990</v>
      </c>
      <c r="AB105">
        <f t="shared" ca="1" si="21"/>
        <v>11</v>
      </c>
      <c r="AC105">
        <f t="shared" ca="1" si="22"/>
        <v>26</v>
      </c>
      <c r="AD105">
        <f t="shared" ca="1" si="23"/>
        <v>30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Francisca Diana Assunção Henriques</v>
      </c>
      <c r="E106" t="str">
        <f>Nomes!S107</f>
        <v>Feminino</v>
      </c>
      <c r="F106" s="2">
        <v>12890</v>
      </c>
      <c r="G106" t="str" cm="1">
        <f t="array" aca="1" ref="G106" ca="1">INDEX(rua_cod!$F:$F,RANDBETWEEN(2,COUNTA(rua_cod!F:F)))</f>
        <v>Calçada de Carriche</v>
      </c>
      <c r="H106" t="str" cm="1">
        <f t="array" aca="1" ref="H106" ca="1">INDEX(rua_cod!$A:$A,Médicos!X106) &amp; "-" &amp; TEXT(RANDBETWEEN(0,999),"000")</f>
        <v>1300-350</v>
      </c>
      <c r="I106" t="str" cm="1">
        <f t="array" aca="1" ref="I106" ca="1">INDEX(rua_cod!$B:$B,Médicos!X106)</f>
        <v>Lisboa</v>
      </c>
      <c r="J106" t="s">
        <v>341</v>
      </c>
      <c r="K106" t="s">
        <v>225</v>
      </c>
      <c r="L106" t="s">
        <v>265</v>
      </c>
      <c r="M106" t="str">
        <f t="shared" ca="1" si="14"/>
        <v>99752561</v>
      </c>
      <c r="N106" t="str">
        <f t="shared" ca="1" si="15"/>
        <v>734074028</v>
      </c>
      <c r="O106" t="str">
        <f t="shared" ca="1" si="15"/>
        <v>627081941</v>
      </c>
      <c r="P106" t="str" cm="1">
        <f t="array" aca="1" ref="P106" ca="1">9 &amp; INDEX($AH$3:$AH$6,Y106)&amp; TEXT(RANDBETWEEN(0,9999999),"0000000")</f>
        <v>927217035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5197922726917504</v>
      </c>
      <c r="T106" t="s">
        <v>341</v>
      </c>
      <c r="V106" s="4"/>
      <c r="X106">
        <f ca="1">RANDBETWEEN(2,COUNTA(rua_cod!A:A))</f>
        <v>58</v>
      </c>
      <c r="Y106">
        <f t="shared" ca="1" si="18"/>
        <v>2</v>
      </c>
      <c r="Z106">
        <f t="shared" ca="1" si="19"/>
        <v>1</v>
      </c>
      <c r="AA106">
        <f t="shared" ca="1" si="20"/>
        <v>1991</v>
      </c>
      <c r="AB106">
        <f t="shared" ca="1" si="21"/>
        <v>3</v>
      </c>
      <c r="AC106">
        <f t="shared" ca="1" si="22"/>
        <v>23</v>
      </c>
      <c r="AD106">
        <f t="shared" ca="1" si="23"/>
        <v>29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Marco Joana Oliveira Lourenço</v>
      </c>
      <c r="E107" t="str">
        <f>Nomes!S108</f>
        <v>Masculino</v>
      </c>
      <c r="F107" s="2">
        <v>39911</v>
      </c>
      <c r="G107" t="str" cm="1">
        <f t="array" aca="1" ref="G107" ca="1">INDEX(rua_cod!$F:$F,RANDBETWEEN(2,COUNTA(rua_cod!F:F)))</f>
        <v>Rua do Sol a Santana</v>
      </c>
      <c r="H107" t="str" cm="1">
        <f t="array" aca="1" ref="H107" ca="1">INDEX(rua_cod!$A:$A,Médicos!X107) &amp; "-" &amp; TEXT(RANDBETWEEN(0,999),"000")</f>
        <v>2424-514</v>
      </c>
      <c r="I107" t="str" cm="1">
        <f t="array" aca="1" ref="I107" ca="1">INDEX(rua_cod!$B:$B,Médicos!X107)</f>
        <v>Leiria</v>
      </c>
      <c r="J107" t="s">
        <v>341</v>
      </c>
      <c r="K107" t="s">
        <v>225</v>
      </c>
      <c r="L107" t="s">
        <v>265</v>
      </c>
      <c r="M107" t="str">
        <f t="shared" ca="1" si="14"/>
        <v>57454825</v>
      </c>
      <c r="N107" t="str">
        <f t="shared" ca="1" si="15"/>
        <v>981928708</v>
      </c>
      <c r="O107" t="str">
        <f t="shared" ca="1" si="15"/>
        <v>530426725</v>
      </c>
      <c r="P107" t="str" cm="1">
        <f t="array" aca="1" ref="P107" ca="1">9 &amp; INDEX($AH$3:$AH$6,Y107)&amp; TEXT(RANDBETWEEN(0,9999999),"0000000")</f>
        <v>914032356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4563985031472551</v>
      </c>
      <c r="T107" t="s">
        <v>341</v>
      </c>
      <c r="V107" s="4"/>
      <c r="X107">
        <f ca="1">RANDBETWEEN(2,COUNTA(rua_cod!A:A))</f>
        <v>39</v>
      </c>
      <c r="Y107">
        <f t="shared" ca="1" si="18"/>
        <v>1</v>
      </c>
      <c r="Z107">
        <f t="shared" ca="1" si="19"/>
        <v>2</v>
      </c>
      <c r="AA107">
        <f t="shared" ca="1" si="20"/>
        <v>1972</v>
      </c>
      <c r="AB107">
        <f t="shared" ca="1" si="21"/>
        <v>1</v>
      </c>
      <c r="AC107">
        <f t="shared" ca="1" si="22"/>
        <v>14</v>
      </c>
      <c r="AD107">
        <f t="shared" ca="1" si="23"/>
        <v>48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Tiago Matilde Monteiro Fonseca</v>
      </c>
      <c r="E108" t="str">
        <f>Nomes!S109</f>
        <v>Masculino</v>
      </c>
      <c r="F108" s="2">
        <v>24416</v>
      </c>
      <c r="G108" t="str" cm="1">
        <f t="array" aca="1" ref="G108" ca="1">INDEX(rua_cod!$F:$F,RANDBETWEEN(2,COUNTA(rua_cod!F:F)))</f>
        <v>Rua do Arsenal</v>
      </c>
      <c r="H108" t="str" cm="1">
        <f t="array" aca="1" ref="H108" ca="1">INDEX(rua_cod!$A:$A,Médicos!X108) &amp; "-" &amp; TEXT(RANDBETWEEN(0,999),"000")</f>
        <v>1649-447</v>
      </c>
      <c r="I108" t="str" cm="1">
        <f t="array" aca="1" ref="I108" ca="1">INDEX(rua_cod!$B:$B,Médicos!X108)</f>
        <v>Lisboa</v>
      </c>
      <c r="J108" t="s">
        <v>341</v>
      </c>
      <c r="K108" t="s">
        <v>225</v>
      </c>
      <c r="L108" t="s">
        <v>265</v>
      </c>
      <c r="M108" t="str">
        <f t="shared" ca="1" si="14"/>
        <v>40109335</v>
      </c>
      <c r="N108" t="str">
        <f t="shared" ca="1" si="15"/>
        <v>865358524</v>
      </c>
      <c r="O108" t="str">
        <f t="shared" ca="1" si="15"/>
        <v>869385310</v>
      </c>
      <c r="P108" t="str" cm="1">
        <f t="array" aca="1" ref="P108" ca="1">9 &amp; INDEX($AH$3:$AH$6,Y108)&amp; TEXT(RANDBETWEEN(0,9999999),"0000000")</f>
        <v>962470364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9772252833275290</v>
      </c>
      <c r="T108" t="s">
        <v>341</v>
      </c>
      <c r="V108" s="4"/>
      <c r="X108">
        <f ca="1">RANDBETWEEN(2,COUNTA(rua_cod!A:A))</f>
        <v>68</v>
      </c>
      <c r="Y108">
        <f t="shared" ca="1" si="18"/>
        <v>4</v>
      </c>
      <c r="Z108">
        <f t="shared" ca="1" si="19"/>
        <v>3</v>
      </c>
      <c r="AA108">
        <f t="shared" ca="1" si="20"/>
        <v>1950</v>
      </c>
      <c r="AB108">
        <f t="shared" ca="1" si="21"/>
        <v>2</v>
      </c>
      <c r="AC108">
        <f t="shared" ca="1" si="22"/>
        <v>10</v>
      </c>
      <c r="AD108">
        <f t="shared" ca="1" si="23"/>
        <v>70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Francisco Sofia Nogueira Abreu</v>
      </c>
      <c r="E109" t="str">
        <f>Nomes!S110</f>
        <v>Masculino</v>
      </c>
      <c r="F109" s="2">
        <v>33423</v>
      </c>
      <c r="G109" t="str" cm="1">
        <f t="array" aca="1" ref="G109" ca="1">INDEX(rua_cod!$F:$F,RANDBETWEEN(2,COUNTA(rua_cod!F:F)))</f>
        <v>Rua de São Mamede</v>
      </c>
      <c r="H109" t="str" cm="1">
        <f t="array" aca="1" ref="H109" ca="1">INDEX(rua_cod!$A:$A,Médicos!X109) &amp; "-" &amp; TEXT(RANDBETWEEN(0,999),"000")</f>
        <v>2655-542</v>
      </c>
      <c r="I109" t="str" cm="1">
        <f t="array" aca="1" ref="I109" ca="1">INDEX(rua_cod!$B:$B,Médicos!X109)</f>
        <v>Ericeira</v>
      </c>
      <c r="J109" t="s">
        <v>341</v>
      </c>
      <c r="K109" t="s">
        <v>225</v>
      </c>
      <c r="L109" t="s">
        <v>265</v>
      </c>
      <c r="M109" t="str">
        <f t="shared" ca="1" si="14"/>
        <v>44099896</v>
      </c>
      <c r="N109" t="str">
        <f t="shared" ca="1" si="15"/>
        <v>210507357</v>
      </c>
      <c r="O109" t="str">
        <f t="shared" ca="1" si="15"/>
        <v>571008750</v>
      </c>
      <c r="P109" t="str" cm="1">
        <f t="array" aca="1" ref="P109" ca="1">9 &amp; INDEX($AH$3:$AH$6,Y109)&amp; TEXT(RANDBETWEEN(0,9999999),"0000000")</f>
        <v>927228356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5193121457166335</v>
      </c>
      <c r="T109" t="s">
        <v>341</v>
      </c>
      <c r="V109" s="4"/>
      <c r="X109">
        <f ca="1">RANDBETWEEN(2,COUNTA(rua_cod!A:A))</f>
        <v>31</v>
      </c>
      <c r="Y109">
        <f t="shared" ca="1" si="18"/>
        <v>2</v>
      </c>
      <c r="Z109">
        <f t="shared" ca="1" si="19"/>
        <v>3</v>
      </c>
      <c r="AA109">
        <f t="shared" ca="1" si="20"/>
        <v>1952</v>
      </c>
      <c r="AB109">
        <f t="shared" ca="1" si="21"/>
        <v>6</v>
      </c>
      <c r="AC109">
        <f t="shared" ca="1" si="22"/>
        <v>30</v>
      </c>
      <c r="AD109">
        <f t="shared" ca="1" si="23"/>
        <v>68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Ana Daniela Pires Amorim</v>
      </c>
      <c r="E110" t="str">
        <f>Nomes!S111</f>
        <v>Feminino</v>
      </c>
      <c r="F110" s="2">
        <v>9013</v>
      </c>
      <c r="G110" t="str" cm="1">
        <f t="array" aca="1" ref="G110" ca="1">INDEX(rua_cod!$F:$F,RANDBETWEEN(2,COUNTA(rua_cod!F:F)))</f>
        <v>Estrada da Circunvalação de Lisboa</v>
      </c>
      <c r="H110" t="str" cm="1">
        <f t="array" aca="1" ref="H110" ca="1">INDEX(rua_cod!$A:$A,Médicos!X110) &amp; "-" &amp; TEXT(RANDBETWEEN(0,999),"000")</f>
        <v>2745-725</v>
      </c>
      <c r="I110" t="str" cm="1">
        <f t="array" aca="1" ref="I110" ca="1">INDEX(rua_cod!$B:$B,Médicos!X110)</f>
        <v>Queluz</v>
      </c>
      <c r="J110" t="s">
        <v>341</v>
      </c>
      <c r="K110" t="s">
        <v>225</v>
      </c>
      <c r="L110" t="s">
        <v>265</v>
      </c>
      <c r="M110" t="str">
        <f t="shared" ca="1" si="14"/>
        <v>88810607</v>
      </c>
      <c r="N110" t="str">
        <f t="shared" ca="1" si="15"/>
        <v>752763509</v>
      </c>
      <c r="O110" t="str">
        <f t="shared" ca="1" si="15"/>
        <v>530774177</v>
      </c>
      <c r="P110" t="str" cm="1">
        <f t="array" aca="1" ref="P110" ca="1">9 &amp; INDEX($AH$3:$AH$6,Y110)&amp; TEXT(RANDBETWEEN(0,9999999),"0000000")</f>
        <v>969829248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1397672419285885</v>
      </c>
      <c r="T110" t="s">
        <v>341</v>
      </c>
      <c r="V110" s="4"/>
      <c r="X110">
        <f ca="1">RANDBETWEEN(2,COUNTA(rua_cod!A:A))</f>
        <v>90</v>
      </c>
      <c r="Y110">
        <f t="shared" ca="1" si="18"/>
        <v>4</v>
      </c>
      <c r="Z110">
        <f t="shared" ca="1" si="19"/>
        <v>2</v>
      </c>
      <c r="AA110">
        <f t="shared" ca="1" si="20"/>
        <v>1954</v>
      </c>
      <c r="AB110">
        <f t="shared" ca="1" si="21"/>
        <v>3</v>
      </c>
      <c r="AC110">
        <f t="shared" ca="1" si="22"/>
        <v>14</v>
      </c>
      <c r="AD110">
        <f t="shared" ca="1" si="23"/>
        <v>66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Tiago Marco Lima Rocha</v>
      </c>
      <c r="E111" t="str">
        <f>Nomes!S112</f>
        <v>Masculino</v>
      </c>
      <c r="F111" s="2">
        <v>34653</v>
      </c>
      <c r="G111" t="str" cm="1">
        <f t="array" aca="1" ref="G111" ca="1">INDEX(rua_cod!$F:$F,RANDBETWEEN(2,COUNTA(rua_cod!F:F)))</f>
        <v>Calçada do Poço dos Mouros</v>
      </c>
      <c r="H111" t="str" cm="1">
        <f t="array" aca="1" ref="H111" ca="1">INDEX(rua_cod!$A:$A,Médicos!X111) &amp; "-" &amp; TEXT(RANDBETWEEN(0,999),"000")</f>
        <v>2423-413</v>
      </c>
      <c r="I111" t="str" cm="1">
        <f t="array" aca="1" ref="I111" ca="1">INDEX(rua_cod!$B:$B,Médicos!X111)</f>
        <v>Leiria</v>
      </c>
      <c r="J111" t="s">
        <v>341</v>
      </c>
      <c r="K111" t="s">
        <v>225</v>
      </c>
      <c r="L111" t="s">
        <v>265</v>
      </c>
      <c r="M111" t="str">
        <f t="shared" ca="1" si="14"/>
        <v>22143476</v>
      </c>
      <c r="N111" t="str">
        <f t="shared" ca="1" si="15"/>
        <v>795186033</v>
      </c>
      <c r="O111" t="str">
        <f t="shared" ca="1" si="15"/>
        <v>833478774</v>
      </c>
      <c r="P111" t="str" cm="1">
        <f t="array" aca="1" ref="P111" ca="1">9 &amp; INDEX($AH$3:$AH$6,Y111)&amp; TEXT(RANDBETWEEN(0,9999999),"0000000")</f>
        <v>937744671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9656271656745944</v>
      </c>
      <c r="T111" t="s">
        <v>341</v>
      </c>
      <c r="V111" s="4"/>
      <c r="X111">
        <f ca="1">RANDBETWEEN(2,COUNTA(rua_cod!A:A))</f>
        <v>38</v>
      </c>
      <c r="Y111">
        <f t="shared" ca="1" si="18"/>
        <v>3</v>
      </c>
      <c r="Z111">
        <f t="shared" ca="1" si="19"/>
        <v>1</v>
      </c>
      <c r="AA111">
        <f t="shared" ca="1" si="20"/>
        <v>1961</v>
      </c>
      <c r="AB111">
        <f t="shared" ca="1" si="21"/>
        <v>5</v>
      </c>
      <c r="AC111">
        <f t="shared" ca="1" si="22"/>
        <v>25</v>
      </c>
      <c r="AD111">
        <f t="shared" ca="1" si="23"/>
        <v>59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Inês André Nunes Silva</v>
      </c>
      <c r="E112" t="str">
        <f>Nomes!S113</f>
        <v>Feminino</v>
      </c>
      <c r="F112" s="2">
        <v>11305</v>
      </c>
      <c r="G112" t="str" cm="1">
        <f t="array" aca="1" ref="G112" ca="1">INDEX(rua_cod!$F:$F,RANDBETWEEN(2,COUNTA(rua_cod!F:F)))</f>
        <v>Rua de São Julião</v>
      </c>
      <c r="H112" t="str" cm="1">
        <f t="array" aca="1" ref="H112" ca="1">INDEX(rua_cod!$A:$A,Médicos!X112) &amp; "-" &amp; TEXT(RANDBETWEEN(0,999),"000")</f>
        <v>2749-885</v>
      </c>
      <c r="I112" t="str" cm="1">
        <f t="array" aca="1" ref="I112" ca="1">INDEX(rua_cod!$B:$B,Médicos!X112)</f>
        <v>Queluz</v>
      </c>
      <c r="J112" t="s">
        <v>341</v>
      </c>
      <c r="K112" t="s">
        <v>225</v>
      </c>
      <c r="L112" t="s">
        <v>265</v>
      </c>
      <c r="M112" t="str">
        <f t="shared" ca="1" si="14"/>
        <v>18485959</v>
      </c>
      <c r="N112" t="str">
        <f t="shared" ca="1" si="15"/>
        <v>786616251</v>
      </c>
      <c r="O112" t="str">
        <f t="shared" ca="1" si="15"/>
        <v>416974121</v>
      </c>
      <c r="P112" t="str" cm="1">
        <f t="array" aca="1" ref="P112" ca="1">9 &amp; INDEX($AH$3:$AH$6,Y112)&amp; TEXT(RANDBETWEEN(0,9999999),"0000000")</f>
        <v>929892628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3087278455066969</v>
      </c>
      <c r="T112" t="s">
        <v>341</v>
      </c>
      <c r="V112" s="4"/>
      <c r="X112">
        <f ca="1">RANDBETWEEN(2,COUNTA(rua_cod!A:A))</f>
        <v>91</v>
      </c>
      <c r="Y112">
        <f t="shared" ca="1" si="18"/>
        <v>2</v>
      </c>
      <c r="Z112">
        <f t="shared" ca="1" si="19"/>
        <v>1</v>
      </c>
      <c r="AA112">
        <f t="shared" ca="1" si="20"/>
        <v>1965</v>
      </c>
      <c r="AB112">
        <f t="shared" ca="1" si="21"/>
        <v>12</v>
      </c>
      <c r="AC112">
        <f t="shared" ca="1" si="22"/>
        <v>22</v>
      </c>
      <c r="AD112">
        <f t="shared" ca="1" si="23"/>
        <v>55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Carolina Ana Raposo Sousa</v>
      </c>
      <c r="E113" t="str">
        <f>Nomes!S114</f>
        <v>Feminino</v>
      </c>
      <c r="F113" s="2">
        <v>13043</v>
      </c>
      <c r="G113" t="str" cm="1">
        <f t="array" aca="1" ref="G113" ca="1">INDEX(rua_cod!$F:$F,RANDBETWEEN(2,COUNTA(rua_cod!F:F)))</f>
        <v>Estrada das Laranjeiras</v>
      </c>
      <c r="H113" t="str" cm="1">
        <f t="array" aca="1" ref="H113" ca="1">INDEX(rua_cod!$A:$A,Médicos!X113) &amp; "-" &amp; TEXT(RANDBETWEEN(0,999),"000")</f>
        <v>2775-318</v>
      </c>
      <c r="I113" t="str" cm="1">
        <f t="array" aca="1" ref="I113" ca="1">INDEX(rua_cod!$B:$B,Médicos!X113)</f>
        <v>Carcavelos</v>
      </c>
      <c r="J113" t="s">
        <v>341</v>
      </c>
      <c r="K113" t="s">
        <v>225</v>
      </c>
      <c r="L113" t="s">
        <v>265</v>
      </c>
      <c r="M113" t="str">
        <f t="shared" ca="1" si="14"/>
        <v>88337243</v>
      </c>
      <c r="N113" t="str">
        <f t="shared" ca="1" si="15"/>
        <v>914001450</v>
      </c>
      <c r="O113" t="str">
        <f t="shared" ca="1" si="15"/>
        <v>924617400</v>
      </c>
      <c r="P113" t="str" cm="1">
        <f t="array" aca="1" ref="P113" ca="1">9 &amp; INDEX($AH$3:$AH$6,Y113)&amp; TEXT(RANDBETWEEN(0,9999999),"0000000")</f>
        <v>930846508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4604763067453716</v>
      </c>
      <c r="T113" t="s">
        <v>341</v>
      </c>
      <c r="V113" s="4"/>
      <c r="X113">
        <f ca="1">RANDBETWEEN(2,COUNTA(rua_cod!A:A))</f>
        <v>20</v>
      </c>
      <c r="Y113">
        <f t="shared" ca="1" si="18"/>
        <v>3</v>
      </c>
      <c r="Z113">
        <f t="shared" ca="1" si="19"/>
        <v>2</v>
      </c>
      <c r="AA113">
        <f t="shared" ca="1" si="20"/>
        <v>1987</v>
      </c>
      <c r="AB113">
        <f t="shared" ca="1" si="21"/>
        <v>9</v>
      </c>
      <c r="AC113">
        <f t="shared" ca="1" si="22"/>
        <v>7</v>
      </c>
      <c r="AD113">
        <f t="shared" ca="1" si="23"/>
        <v>33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Daniela Lurdes Cardoso Guerreiro</v>
      </c>
      <c r="E114" t="str">
        <f>Nomes!S115</f>
        <v>Feminino</v>
      </c>
      <c r="F114" s="2">
        <v>43678</v>
      </c>
      <c r="G114" t="str" cm="1">
        <f t="array" aca="1" ref="G114" ca="1">INDEX(rua_cod!$F:$F,RANDBETWEEN(2,COUNTA(rua_cod!F:F)))</f>
        <v>Rua Júlio César Machado</v>
      </c>
      <c r="H114" t="str" cm="1">
        <f t="array" aca="1" ref="H114" ca="1">INDEX(rua_cod!$A:$A,Médicos!X114) &amp; "-" &amp; TEXT(RANDBETWEEN(0,999),"000")</f>
        <v>1069-285</v>
      </c>
      <c r="I114" t="str" cm="1">
        <f t="array" aca="1" ref="I114" ca="1">INDEX(rua_cod!$B:$B,Médicos!X114)</f>
        <v>Lisboa</v>
      </c>
      <c r="J114" t="s">
        <v>341</v>
      </c>
      <c r="K114" t="s">
        <v>225</v>
      </c>
      <c r="L114" t="s">
        <v>265</v>
      </c>
      <c r="M114" t="str">
        <f t="shared" ca="1" si="14"/>
        <v>92963032</v>
      </c>
      <c r="N114" t="str">
        <f t="shared" ca="1" si="15"/>
        <v>399471332</v>
      </c>
      <c r="O114" t="str">
        <f t="shared" ca="1" si="15"/>
        <v>523712898</v>
      </c>
      <c r="P114" t="str" cm="1">
        <f t="array" aca="1" ref="P114" ca="1">9 &amp; INDEX($AH$3:$AH$6,Y114)&amp; TEXT(RANDBETWEEN(0,9999999),"0000000")</f>
        <v>915345944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8584427170217276</v>
      </c>
      <c r="T114" t="s">
        <v>341</v>
      </c>
      <c r="V114" s="4"/>
      <c r="X114">
        <f ca="1">RANDBETWEEN(2,COUNTA(rua_cod!A:A))</f>
        <v>67</v>
      </c>
      <c r="Y114">
        <f t="shared" ca="1" si="18"/>
        <v>1</v>
      </c>
      <c r="Z114">
        <f t="shared" ca="1" si="19"/>
        <v>1</v>
      </c>
      <c r="AA114">
        <f t="shared" ca="1" si="20"/>
        <v>1982</v>
      </c>
      <c r="AB114">
        <f t="shared" ca="1" si="21"/>
        <v>6</v>
      </c>
      <c r="AC114">
        <f t="shared" ca="1" si="22"/>
        <v>18</v>
      </c>
      <c r="AD114">
        <f t="shared" ca="1" si="23"/>
        <v>38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Carolina Lurdes Vaz Carneiro</v>
      </c>
      <c r="E115" t="str">
        <f>Nomes!S116</f>
        <v>Feminino</v>
      </c>
      <c r="F115" s="2">
        <v>16742</v>
      </c>
      <c r="G115" t="str" cm="1">
        <f t="array" aca="1" ref="G115" ca="1">INDEX(rua_cod!$F:$F,RANDBETWEEN(2,COUNTA(rua_cod!F:F)))</f>
        <v>Rua dos Bacalhoeiros</v>
      </c>
      <c r="H115" t="str" cm="1">
        <f t="array" aca="1" ref="H115" ca="1">INDEX(rua_cod!$A:$A,Médicos!X115) &amp; "-" &amp; TEXT(RANDBETWEEN(0,999),"000")</f>
        <v>2610-815</v>
      </c>
      <c r="I115" t="str" cm="1">
        <f t="array" aca="1" ref="I115" ca="1">INDEX(rua_cod!$B:$B,Médicos!X115)</f>
        <v>Amadora</v>
      </c>
      <c r="J115" t="s">
        <v>341</v>
      </c>
      <c r="K115" t="s">
        <v>225</v>
      </c>
      <c r="L115" t="s">
        <v>265</v>
      </c>
      <c r="M115" t="str">
        <f t="shared" ca="1" si="14"/>
        <v>25781660</v>
      </c>
      <c r="N115" t="str">
        <f t="shared" ca="1" si="15"/>
        <v>803661892</v>
      </c>
      <c r="O115" t="str">
        <f t="shared" ca="1" si="15"/>
        <v>371478788</v>
      </c>
      <c r="P115" t="str" cm="1">
        <f t="array" aca="1" ref="P115" ca="1">9 &amp; INDEX($AH$3:$AH$6,Y115)&amp; TEXT(RANDBETWEEN(0,9999999),"0000000")</f>
        <v>968535536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7444175958098558</v>
      </c>
      <c r="T115" t="s">
        <v>341</v>
      </c>
      <c r="V115" s="4"/>
      <c r="X115">
        <f ca="1">RANDBETWEEN(2,COUNTA(rua_cod!A:A))</f>
        <v>12</v>
      </c>
      <c r="Y115">
        <f t="shared" ca="1" si="18"/>
        <v>4</v>
      </c>
      <c r="Z115">
        <f t="shared" ca="1" si="19"/>
        <v>3</v>
      </c>
      <c r="AA115">
        <f t="shared" ca="1" si="20"/>
        <v>1985</v>
      </c>
      <c r="AB115">
        <f t="shared" ca="1" si="21"/>
        <v>8</v>
      </c>
      <c r="AC115">
        <f t="shared" ca="1" si="22"/>
        <v>9</v>
      </c>
      <c r="AD115">
        <f t="shared" ca="1" si="23"/>
        <v>35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Inês Inês Sousa Costa</v>
      </c>
      <c r="E116" t="str">
        <f>Nomes!S117</f>
        <v>Feminino</v>
      </c>
      <c r="F116" s="2">
        <v>31845</v>
      </c>
      <c r="G116" t="str" cm="1">
        <f t="array" aca="1" ref="G116" ca="1">INDEX(rua_cod!$F:$F,RANDBETWEEN(2,COUNTA(rua_cod!F:F)))</f>
        <v>Rua do Sacramento à Lapa</v>
      </c>
      <c r="H116" t="str" cm="1">
        <f t="array" aca="1" ref="H116" ca="1">INDEX(rua_cod!$A:$A,Médicos!X116) &amp; "-" &amp; TEXT(RANDBETWEEN(0,999),"000")</f>
        <v>2654-720</v>
      </c>
      <c r="I116" t="str" cm="1">
        <f t="array" aca="1" ref="I116" ca="1">INDEX(rua_cod!$B:$B,Médicos!X116)</f>
        <v>Amadora</v>
      </c>
      <c r="J116" t="s">
        <v>341</v>
      </c>
      <c r="K116" t="s">
        <v>225</v>
      </c>
      <c r="L116" t="s">
        <v>265</v>
      </c>
      <c r="M116" t="str">
        <f t="shared" ca="1" si="14"/>
        <v>66486054</v>
      </c>
      <c r="N116" t="str">
        <f t="shared" ca="1" si="15"/>
        <v>201447751</v>
      </c>
      <c r="O116" t="str">
        <f t="shared" ca="1" si="15"/>
        <v>773471711</v>
      </c>
      <c r="P116" t="str" cm="1">
        <f t="array" aca="1" ref="P116" ca="1">9 &amp; INDEX($AH$3:$AH$6,Y116)&amp; TEXT(RANDBETWEEN(0,9999999),"0000000")</f>
        <v>927846816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7113131605576156</v>
      </c>
      <c r="T116" t="s">
        <v>341</v>
      </c>
      <c r="V116" s="4"/>
      <c r="X116">
        <f ca="1">RANDBETWEEN(2,COUNTA(rua_cod!A:A))</f>
        <v>14</v>
      </c>
      <c r="Y116">
        <f t="shared" ca="1" si="18"/>
        <v>2</v>
      </c>
      <c r="Z116">
        <f t="shared" ca="1" si="19"/>
        <v>3</v>
      </c>
      <c r="AA116">
        <f t="shared" ca="1" si="20"/>
        <v>1960</v>
      </c>
      <c r="AB116">
        <f t="shared" ca="1" si="21"/>
        <v>11</v>
      </c>
      <c r="AC116">
        <f t="shared" ca="1" si="22"/>
        <v>24</v>
      </c>
      <c r="AD116">
        <f t="shared" ca="1" si="23"/>
        <v>60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Vera Pedro Azevedo Lima</v>
      </c>
      <c r="E117" t="str">
        <f>Nomes!S118</f>
        <v>Feminino</v>
      </c>
      <c r="F117" s="2">
        <v>13451</v>
      </c>
      <c r="G117" t="str" cm="1">
        <f t="array" aca="1" ref="G117" ca="1">INDEX(rua_cod!$F:$F,RANDBETWEEN(2,COUNTA(rua_cod!F:F)))</f>
        <v>Rua do Guarda-Mor</v>
      </c>
      <c r="H117" t="str" cm="1">
        <f t="array" aca="1" ref="H117" ca="1">INDEX(rua_cod!$A:$A,Médicos!X117) &amp; "-" &amp; TEXT(RANDBETWEEN(0,999),"000")</f>
        <v>2419-643</v>
      </c>
      <c r="I117" t="str" cm="1">
        <f t="array" aca="1" ref="I117" ca="1">INDEX(rua_cod!$B:$B,Médicos!X117)</f>
        <v>Leiria</v>
      </c>
      <c r="J117" t="s">
        <v>341</v>
      </c>
      <c r="K117" t="s">
        <v>225</v>
      </c>
      <c r="L117" t="s">
        <v>265</v>
      </c>
      <c r="M117" t="str">
        <f t="shared" ca="1" si="14"/>
        <v>76524052</v>
      </c>
      <c r="N117" t="str">
        <f t="shared" ca="1" si="15"/>
        <v>624128710</v>
      </c>
      <c r="O117" t="str">
        <f t="shared" ca="1" si="15"/>
        <v>835229385</v>
      </c>
      <c r="P117" t="str" cm="1">
        <f t="array" aca="1" ref="P117" ca="1">9 &amp; INDEX($AH$3:$AH$6,Y117)&amp; TEXT(RANDBETWEEN(0,9999999),"0000000")</f>
        <v>935750814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7616013116285555</v>
      </c>
      <c r="T117" t="s">
        <v>341</v>
      </c>
      <c r="V117" s="4"/>
      <c r="X117">
        <f ca="1">RANDBETWEEN(2,COUNTA(rua_cod!A:A))</f>
        <v>37</v>
      </c>
      <c r="Y117">
        <f t="shared" ca="1" si="18"/>
        <v>3</v>
      </c>
      <c r="Z117">
        <f t="shared" ca="1" si="19"/>
        <v>1</v>
      </c>
      <c r="AA117">
        <f t="shared" ca="1" si="20"/>
        <v>1951</v>
      </c>
      <c r="AB117">
        <f t="shared" ca="1" si="21"/>
        <v>2</v>
      </c>
      <c r="AC117">
        <f t="shared" ca="1" si="22"/>
        <v>24</v>
      </c>
      <c r="AD117">
        <f t="shared" ca="1" si="23"/>
        <v>69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Luís Ana Branco Azevedo</v>
      </c>
      <c r="E118" t="str">
        <f>Nomes!S119</f>
        <v>Masculino</v>
      </c>
      <c r="F118" s="2">
        <v>13647</v>
      </c>
      <c r="G118" t="str" cm="1">
        <f t="array" aca="1" ref="G118" ca="1">INDEX(rua_cod!$F:$F,RANDBETWEEN(2,COUNTA(rua_cod!F:F)))</f>
        <v>Rua dos Bacalhoeiros</v>
      </c>
      <c r="H118" t="str" cm="1">
        <f t="array" aca="1" ref="H118" ca="1">INDEX(rua_cod!$A:$A,Médicos!X118) &amp; "-" &amp; TEXT(RANDBETWEEN(0,999),"000")</f>
        <v>2655-997</v>
      </c>
      <c r="I118" t="str" cm="1">
        <f t="array" aca="1" ref="I118" ca="1">INDEX(rua_cod!$B:$B,Médicos!X118)</f>
        <v>Ericeira</v>
      </c>
      <c r="J118" t="s">
        <v>341</v>
      </c>
      <c r="K118" t="s">
        <v>225</v>
      </c>
      <c r="L118" t="s">
        <v>265</v>
      </c>
      <c r="M118" t="str">
        <f t="shared" ca="1" si="14"/>
        <v>35687059</v>
      </c>
      <c r="N118" t="str">
        <f t="shared" ca="1" si="15"/>
        <v>573753938</v>
      </c>
      <c r="O118" t="str">
        <f t="shared" ca="1" si="15"/>
        <v>121786518</v>
      </c>
      <c r="P118" t="str" cm="1">
        <f t="array" aca="1" ref="P118" ca="1">9 &amp; INDEX($AH$3:$AH$6,Y118)&amp; TEXT(RANDBETWEEN(0,9999999),"0000000")</f>
        <v>936401910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9472523479624216</v>
      </c>
      <c r="T118" t="s">
        <v>341</v>
      </c>
      <c r="V118" s="4"/>
      <c r="X118">
        <f ca="1">RANDBETWEEN(2,COUNTA(rua_cod!A:A))</f>
        <v>31</v>
      </c>
      <c r="Y118">
        <f t="shared" ca="1" si="18"/>
        <v>3</v>
      </c>
      <c r="Z118">
        <f t="shared" ca="1" si="19"/>
        <v>3</v>
      </c>
      <c r="AA118">
        <f t="shared" ca="1" si="20"/>
        <v>1993</v>
      </c>
      <c r="AB118">
        <f t="shared" ca="1" si="21"/>
        <v>5</v>
      </c>
      <c r="AC118">
        <f t="shared" ca="1" si="22"/>
        <v>23</v>
      </c>
      <c r="AD118">
        <f t="shared" ca="1" si="23"/>
        <v>27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Tomás Vera Andrade Torres</v>
      </c>
      <c r="E119" t="str">
        <f>Nomes!S120</f>
        <v>Masculino</v>
      </c>
      <c r="F119" s="2">
        <v>33045</v>
      </c>
      <c r="G119" t="str" cm="1">
        <f t="array" aca="1" ref="G119" ca="1">INDEX(rua_cod!$F:$F,RANDBETWEEN(2,COUNTA(rua_cod!F:F)))</f>
        <v>Rua da Madalena</v>
      </c>
      <c r="H119" t="str" cm="1">
        <f t="array" aca="1" ref="H119" ca="1">INDEX(rua_cod!$A:$A,Médicos!X119) &amp; "-" &amp; TEXT(RANDBETWEEN(0,999),"000")</f>
        <v>2334-764</v>
      </c>
      <c r="I119" t="str" cm="1">
        <f t="array" aca="1" ref="I119" ca="1">INDEX(rua_cod!$B:$B,Médicos!X119)</f>
        <v>Entroncamento</v>
      </c>
      <c r="J119" t="s">
        <v>341</v>
      </c>
      <c r="K119" t="s">
        <v>225</v>
      </c>
      <c r="L119" t="s">
        <v>265</v>
      </c>
      <c r="M119" t="str">
        <f t="shared" ca="1" si="14"/>
        <v>74836939</v>
      </c>
      <c r="N119" t="str">
        <f t="shared" ca="1" si="15"/>
        <v>731333570</v>
      </c>
      <c r="O119" t="str">
        <f t="shared" ca="1" si="15"/>
        <v>715913557</v>
      </c>
      <c r="P119" t="str" cm="1">
        <f t="array" aca="1" ref="P119" ca="1">9 &amp; INDEX($AH$3:$AH$6,Y119)&amp; TEXT(RANDBETWEEN(0,9999999),"0000000")</f>
        <v>961064136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9625340971441208</v>
      </c>
      <c r="T119" t="s">
        <v>341</v>
      </c>
      <c r="V119" s="4"/>
      <c r="X119">
        <f ca="1">RANDBETWEEN(2,COUNTA(rua_cod!A:A))</f>
        <v>30</v>
      </c>
      <c r="Y119">
        <f t="shared" ca="1" si="18"/>
        <v>4</v>
      </c>
      <c r="Z119">
        <f t="shared" ca="1" si="19"/>
        <v>1</v>
      </c>
      <c r="AA119">
        <f t="shared" ca="1" si="20"/>
        <v>1952</v>
      </c>
      <c r="AB119">
        <f t="shared" ca="1" si="21"/>
        <v>3</v>
      </c>
      <c r="AC119">
        <f t="shared" ca="1" si="22"/>
        <v>26</v>
      </c>
      <c r="AD119">
        <f t="shared" ca="1" si="23"/>
        <v>68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Gabriel Leonor Cardoso Nogueira</v>
      </c>
      <c r="E120" t="str">
        <f>Nomes!S121</f>
        <v>Masculino</v>
      </c>
      <c r="F120" s="2">
        <v>18446</v>
      </c>
      <c r="G120" t="str" cm="1">
        <f t="array" aca="1" ref="G120" ca="1">INDEX(rua_cod!$F:$F,RANDBETWEEN(2,COUNTA(rua_cod!F:F)))</f>
        <v>Calçada do Moinho de Vento</v>
      </c>
      <c r="H120" t="str" cm="1">
        <f t="array" aca="1" ref="H120" ca="1">INDEX(rua_cod!$A:$A,Médicos!X120) &amp; "-" &amp; TEXT(RANDBETWEEN(0,999),"000")</f>
        <v>2710-527</v>
      </c>
      <c r="I120" t="str" cm="1">
        <f t="array" aca="1" ref="I120" ca="1">INDEX(rua_cod!$B:$B,Médicos!X120)</f>
        <v>Sintra</v>
      </c>
      <c r="J120" t="s">
        <v>341</v>
      </c>
      <c r="K120" t="s">
        <v>225</v>
      </c>
      <c r="L120" t="s">
        <v>265</v>
      </c>
      <c r="M120" t="str">
        <f t="shared" ca="1" si="14"/>
        <v>27335188</v>
      </c>
      <c r="N120" t="str">
        <f t="shared" ca="1" si="15"/>
        <v>815652593</v>
      </c>
      <c r="O120" t="str">
        <f t="shared" ca="1" si="15"/>
        <v>216367698</v>
      </c>
      <c r="P120" t="str" cm="1">
        <f t="array" aca="1" ref="P120" ca="1">9 &amp; INDEX($AH$3:$AH$6,Y120)&amp; TEXT(RANDBETWEEN(0,9999999),"0000000")</f>
        <v>963386212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8189460166209943</v>
      </c>
      <c r="T120" t="s">
        <v>341</v>
      </c>
      <c r="V120" s="4"/>
      <c r="X120">
        <f ca="1">RANDBETWEEN(2,COUNTA(rua_cod!A:A))</f>
        <v>100</v>
      </c>
      <c r="Y120">
        <f t="shared" ca="1" si="18"/>
        <v>4</v>
      </c>
      <c r="Z120">
        <f t="shared" ca="1" si="19"/>
        <v>2</v>
      </c>
      <c r="AA120">
        <f t="shared" ca="1" si="20"/>
        <v>1957</v>
      </c>
      <c r="AB120">
        <f t="shared" ca="1" si="21"/>
        <v>4</v>
      </c>
      <c r="AC120">
        <f t="shared" ca="1" si="22"/>
        <v>4</v>
      </c>
      <c r="AD120">
        <f t="shared" ca="1" si="23"/>
        <v>63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Beatriz Sara Loureiro Mendes</v>
      </c>
      <c r="E121" t="str">
        <f>Nomes!S122</f>
        <v>Feminino</v>
      </c>
      <c r="F121" s="2">
        <v>28450</v>
      </c>
      <c r="G121" t="str" cm="1">
        <f t="array" aca="1" ref="G121" ca="1">INDEX(rua_cod!$F:$F,RANDBETWEEN(2,COUNTA(rua_cod!F:F)))</f>
        <v>Rua do Comércio</v>
      </c>
      <c r="H121" t="str" cm="1">
        <f t="array" aca="1" ref="H121" ca="1">INDEX(rua_cod!$A:$A,Médicos!X121) &amp; "-" &amp; TEXT(RANDBETWEEN(0,999),"000")</f>
        <v>2005-030</v>
      </c>
      <c r="I121" t="str" cm="1">
        <f t="array" aca="1" ref="I121" ca="1">INDEX(rua_cod!$B:$B,Médicos!X121)</f>
        <v>Santarém</v>
      </c>
      <c r="J121" t="s">
        <v>341</v>
      </c>
      <c r="K121" t="s">
        <v>225</v>
      </c>
      <c r="L121" t="s">
        <v>265</v>
      </c>
      <c r="M121" t="str">
        <f t="shared" ca="1" si="14"/>
        <v>95920812</v>
      </c>
      <c r="N121" t="str">
        <f t="shared" ca="1" si="15"/>
        <v>174514789</v>
      </c>
      <c r="O121" t="str">
        <f t="shared" ca="1" si="15"/>
        <v>104823239</v>
      </c>
      <c r="P121" t="str" cm="1">
        <f t="array" aca="1" ref="P121" ca="1">9 &amp; INDEX($AH$3:$AH$6,Y121)&amp; TEXT(RANDBETWEEN(0,9999999),"0000000")</f>
        <v>917361721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6928231073404872</v>
      </c>
      <c r="T121" t="s">
        <v>341</v>
      </c>
      <c r="V121" s="4"/>
      <c r="X121">
        <f ca="1">RANDBETWEEN(2,COUNTA(rua_cod!A:A))</f>
        <v>92</v>
      </c>
      <c r="Y121">
        <f t="shared" ca="1" si="18"/>
        <v>1</v>
      </c>
      <c r="Z121">
        <f t="shared" ca="1" si="19"/>
        <v>3</v>
      </c>
      <c r="AA121">
        <f t="shared" ca="1" si="20"/>
        <v>1974</v>
      </c>
      <c r="AB121">
        <f t="shared" ca="1" si="21"/>
        <v>7</v>
      </c>
      <c r="AC121">
        <f t="shared" ca="1" si="22"/>
        <v>30</v>
      </c>
      <c r="AD121">
        <f t="shared" ca="1" si="23"/>
        <v>46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Francisco Tomás Magalhães Matos</v>
      </c>
      <c r="E122" t="str">
        <f>Nomes!S123</f>
        <v>Masculino</v>
      </c>
      <c r="F122" s="2">
        <v>42428</v>
      </c>
      <c r="G122" t="str" cm="1">
        <f t="array" aca="1" ref="G122" ca="1">INDEX(rua_cod!$F:$F,RANDBETWEEN(2,COUNTA(rua_cod!F:F)))</f>
        <v>Rua da Oliveira ao Carmo</v>
      </c>
      <c r="H122" t="str" cm="1">
        <f t="array" aca="1" ref="H122" ca="1">INDEX(rua_cod!$A:$A,Médicos!X122) &amp; "-" &amp; TEXT(RANDBETWEEN(0,999),"000")</f>
        <v>1150-980</v>
      </c>
      <c r="I122" t="str" cm="1">
        <f t="array" aca="1" ref="I122" ca="1">INDEX(rua_cod!$B:$B,Médicos!X122)</f>
        <v>Lisboa</v>
      </c>
      <c r="J122" t="s">
        <v>341</v>
      </c>
      <c r="K122" t="s">
        <v>225</v>
      </c>
      <c r="L122" t="s">
        <v>265</v>
      </c>
      <c r="M122" t="str">
        <f t="shared" ca="1" si="14"/>
        <v>89879286</v>
      </c>
      <c r="N122" t="str">
        <f t="shared" ca="1" si="15"/>
        <v>373696533</v>
      </c>
      <c r="O122" t="str">
        <f t="shared" ca="1" si="15"/>
        <v>923245357</v>
      </c>
      <c r="P122" t="str" cm="1">
        <f t="array" aca="1" ref="P122" ca="1">9 &amp; INDEX($AH$3:$AH$6,Y122)&amp; TEXT(RANDBETWEEN(0,9999999),"0000000")</f>
        <v>916344832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2769077745213436</v>
      </c>
      <c r="T122" t="s">
        <v>341</v>
      </c>
      <c r="V122" s="4"/>
      <c r="X122">
        <f ca="1">RANDBETWEEN(2,COUNTA(rua_cod!A:A))</f>
        <v>44</v>
      </c>
      <c r="Y122">
        <f t="shared" ca="1" si="18"/>
        <v>1</v>
      </c>
      <c r="Z122">
        <f t="shared" ca="1" si="19"/>
        <v>1</v>
      </c>
      <c r="AA122">
        <f t="shared" ca="1" si="20"/>
        <v>1967</v>
      </c>
      <c r="AB122">
        <f t="shared" ca="1" si="21"/>
        <v>7</v>
      </c>
      <c r="AC122">
        <f t="shared" ca="1" si="22"/>
        <v>2</v>
      </c>
      <c r="AD122">
        <f t="shared" ca="1" si="23"/>
        <v>53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Beatriz Leonor Fernandes Carneiro</v>
      </c>
      <c r="E123" t="str">
        <f>Nomes!S124</f>
        <v>Feminino</v>
      </c>
      <c r="F123" s="2">
        <v>43463</v>
      </c>
      <c r="G123" t="str" cm="1">
        <f t="array" aca="1" ref="G123" ca="1">INDEX(rua_cod!$F:$F,RANDBETWEEN(2,COUNTA(rua_cod!F:F)))</f>
        <v>Rua do Sol a Santana</v>
      </c>
      <c r="H123" t="str" cm="1">
        <f t="array" aca="1" ref="H123" ca="1">INDEX(rua_cod!$A:$A,Médicos!X123) &amp; "-" &amp; TEXT(RANDBETWEEN(0,999),"000")</f>
        <v>2644-171</v>
      </c>
      <c r="I123" t="str" cm="1">
        <f t="array" aca="1" ref="I123" ca="1">INDEX(rua_cod!$B:$B,Médicos!X123)</f>
        <v>Mafra</v>
      </c>
      <c r="J123" t="s">
        <v>341</v>
      </c>
      <c r="K123" t="s">
        <v>225</v>
      </c>
      <c r="L123" t="s">
        <v>265</v>
      </c>
      <c r="M123" t="str">
        <f t="shared" ca="1" si="14"/>
        <v>74032382</v>
      </c>
      <c r="N123" t="str">
        <f t="shared" ca="1" si="15"/>
        <v>265808586</v>
      </c>
      <c r="O123" t="str">
        <f t="shared" ca="1" si="15"/>
        <v>739700513</v>
      </c>
      <c r="P123" t="str" cm="1">
        <f t="array" aca="1" ref="P123" ca="1">9 &amp; INDEX($AH$3:$AH$6,Y123)&amp; TEXT(RANDBETWEEN(0,9999999),"0000000")</f>
        <v>920485683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1067560763552108</v>
      </c>
      <c r="T123" t="s">
        <v>341</v>
      </c>
      <c r="V123" s="4"/>
      <c r="X123">
        <f ca="1">RANDBETWEEN(2,COUNTA(rua_cod!A:A))</f>
        <v>86</v>
      </c>
      <c r="Y123">
        <f t="shared" ca="1" si="18"/>
        <v>2</v>
      </c>
      <c r="Z123">
        <f t="shared" ca="1" si="19"/>
        <v>1</v>
      </c>
      <c r="AA123">
        <f t="shared" ca="1" si="20"/>
        <v>1982</v>
      </c>
      <c r="AB123">
        <f t="shared" ca="1" si="21"/>
        <v>4</v>
      </c>
      <c r="AC123">
        <f t="shared" ca="1" si="22"/>
        <v>8</v>
      </c>
      <c r="AD123">
        <f t="shared" ca="1" si="23"/>
        <v>38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André André Borges Pinheiro</v>
      </c>
      <c r="E124" t="str">
        <f>Nomes!S125</f>
        <v>Masculino</v>
      </c>
      <c r="F124" s="2">
        <v>8971</v>
      </c>
      <c r="G124" t="str" cm="1">
        <f t="array" aca="1" ref="G124" ca="1">INDEX(rua_cod!$F:$F,RANDBETWEEN(2,COUNTA(rua_cod!F:F)))</f>
        <v>Rua Nova do Almada</v>
      </c>
      <c r="H124" t="str" cm="1">
        <f t="array" aca="1" ref="H124" ca="1">INDEX(rua_cod!$A:$A,Médicos!X124) &amp; "-" &amp; TEXT(RANDBETWEEN(0,999),"000")</f>
        <v>1099-547</v>
      </c>
      <c r="I124" t="str" cm="1">
        <f t="array" aca="1" ref="I124" ca="1">INDEX(rua_cod!$B:$B,Médicos!X124)</f>
        <v>Lisboa</v>
      </c>
      <c r="J124" t="s">
        <v>341</v>
      </c>
      <c r="K124" t="s">
        <v>225</v>
      </c>
      <c r="L124" t="s">
        <v>265</v>
      </c>
      <c r="M124" t="str">
        <f t="shared" ca="1" si="14"/>
        <v>10167839</v>
      </c>
      <c r="N124" t="str">
        <f t="shared" ca="1" si="15"/>
        <v>827470346</v>
      </c>
      <c r="O124" t="str">
        <f t="shared" ca="1" si="15"/>
        <v>610566851</v>
      </c>
      <c r="P124" t="str" cm="1">
        <f t="array" aca="1" ref="P124" ca="1">9 &amp; INDEX($AH$3:$AH$6,Y124)&amp; TEXT(RANDBETWEEN(0,9999999),"0000000")</f>
        <v>939043344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6296362276815188</v>
      </c>
      <c r="T124" t="s">
        <v>341</v>
      </c>
      <c r="V124" s="4"/>
      <c r="X124">
        <f ca="1">RANDBETWEEN(2,COUNTA(rua_cod!A:A))</f>
        <v>53</v>
      </c>
      <c r="Y124">
        <f t="shared" ca="1" si="18"/>
        <v>3</v>
      </c>
      <c r="Z124">
        <f t="shared" ca="1" si="19"/>
        <v>2</v>
      </c>
      <c r="AA124">
        <f t="shared" ca="1" si="20"/>
        <v>1952</v>
      </c>
      <c r="AB124">
        <f t="shared" ca="1" si="21"/>
        <v>4</v>
      </c>
      <c r="AC124">
        <f t="shared" ca="1" si="22"/>
        <v>27</v>
      </c>
      <c r="AD124">
        <f t="shared" ca="1" si="23"/>
        <v>68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André Francisco Amaral Gonçalves</v>
      </c>
      <c r="E125" t="str">
        <f>Nomes!S126</f>
        <v>Masculino</v>
      </c>
      <c r="F125" s="2">
        <v>13497</v>
      </c>
      <c r="G125" t="str" cm="1">
        <f t="array" aca="1" ref="G125" ca="1">INDEX(rua_cod!$F:$F,RANDBETWEEN(2,COUNTA(rua_cod!F:F)))</f>
        <v>Estrada das Laranjeiras</v>
      </c>
      <c r="H125" t="str" cm="1">
        <f t="array" aca="1" ref="H125" ca="1">INDEX(rua_cod!$A:$A,Médicos!X125) &amp; "-" &amp; TEXT(RANDBETWEEN(0,999),"000")</f>
        <v>2714-714</v>
      </c>
      <c r="I125" t="str" cm="1">
        <f t="array" aca="1" ref="I125" ca="1">INDEX(rua_cod!$B:$B,Médicos!X125)</f>
        <v>Sintra</v>
      </c>
      <c r="J125" t="s">
        <v>341</v>
      </c>
      <c r="K125" t="s">
        <v>225</v>
      </c>
      <c r="L125" t="s">
        <v>265</v>
      </c>
      <c r="M125" t="str">
        <f t="shared" ca="1" si="14"/>
        <v>78911101</v>
      </c>
      <c r="N125" t="str">
        <f t="shared" ca="1" si="15"/>
        <v>838665311</v>
      </c>
      <c r="O125" t="str">
        <f t="shared" ca="1" si="15"/>
        <v>100516032</v>
      </c>
      <c r="P125" t="str" cm="1">
        <f t="array" aca="1" ref="P125" ca="1">9 &amp; INDEX($AH$3:$AH$6,Y125)&amp; TEXT(RANDBETWEEN(0,9999999),"0000000")</f>
        <v>965449398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3008225073736744</v>
      </c>
      <c r="T125" t="s">
        <v>341</v>
      </c>
      <c r="V125" s="4"/>
      <c r="X125">
        <f ca="1">RANDBETWEEN(2,COUNTA(rua_cod!A:A))</f>
        <v>101</v>
      </c>
      <c r="Y125">
        <f t="shared" ca="1" si="18"/>
        <v>4</v>
      </c>
      <c r="Z125">
        <f t="shared" ca="1" si="19"/>
        <v>2</v>
      </c>
      <c r="AA125">
        <f t="shared" ca="1" si="20"/>
        <v>1962</v>
      </c>
      <c r="AB125">
        <f t="shared" ca="1" si="21"/>
        <v>8</v>
      </c>
      <c r="AC125">
        <f t="shared" ca="1" si="22"/>
        <v>7</v>
      </c>
      <c r="AD125">
        <f t="shared" ca="1" si="23"/>
        <v>58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Tomás Luís Freitas Torres</v>
      </c>
      <c r="E126" t="str">
        <f>Nomes!S127</f>
        <v>Masculino</v>
      </c>
      <c r="F126" s="2">
        <v>25240</v>
      </c>
      <c r="G126" t="str" cm="1">
        <f t="array" aca="1" ref="G126" ca="1">INDEX(rua_cod!$F:$F,RANDBETWEEN(2,COUNTA(rua_cod!F:F)))</f>
        <v>Calçada Marquês de Abrantes</v>
      </c>
      <c r="H126" t="str" cm="1">
        <f t="array" aca="1" ref="H126" ca="1">INDEX(rua_cod!$A:$A,Médicos!X126) &amp; "-" &amp; TEXT(RANDBETWEEN(0,999),"000")</f>
        <v>1700-694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63934010</v>
      </c>
      <c r="N126" t="str">
        <f t="shared" ca="1" si="15"/>
        <v>793477093</v>
      </c>
      <c r="O126" t="str">
        <f t="shared" ca="1" si="15"/>
        <v>346693561</v>
      </c>
      <c r="P126" t="str" cm="1">
        <f t="array" aca="1" ref="P126" ca="1">9 &amp; INDEX($AH$3:$AH$6,Y126)&amp; TEXT(RANDBETWEEN(0,9999999),"0000000")</f>
        <v>969175123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6456930726351126</v>
      </c>
      <c r="T126" t="s">
        <v>341</v>
      </c>
      <c r="V126" s="4"/>
      <c r="X126">
        <f ca="1">RANDBETWEEN(2,COUNTA(rua_cod!A:A))</f>
        <v>40</v>
      </c>
      <c r="Y126">
        <f t="shared" ca="1" si="18"/>
        <v>4</v>
      </c>
      <c r="Z126">
        <f t="shared" ca="1" si="19"/>
        <v>2</v>
      </c>
      <c r="AA126">
        <f t="shared" ca="1" si="20"/>
        <v>1978</v>
      </c>
      <c r="AB126">
        <f t="shared" ca="1" si="21"/>
        <v>12</v>
      </c>
      <c r="AC126">
        <f t="shared" ca="1" si="22"/>
        <v>12</v>
      </c>
      <c r="AD126">
        <f t="shared" ca="1" si="23"/>
        <v>42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Lurdes José Pinho Lourenço</v>
      </c>
      <c r="E127" t="str">
        <f>Nomes!S128</f>
        <v>Feminino</v>
      </c>
      <c r="F127" s="2">
        <v>16827</v>
      </c>
      <c r="G127" t="str" cm="1">
        <f t="array" aca="1" ref="G127" ca="1">INDEX(rua_cod!$F:$F,RANDBETWEEN(2,COUNTA(rua_cod!F:F)))</f>
        <v>Rua de São Bento</v>
      </c>
      <c r="H127" t="str" cm="1">
        <f t="array" aca="1" ref="H127" ca="1">INDEX(rua_cod!$A:$A,Médicos!X127) &amp; "-" &amp; TEXT(RANDBETWEEN(0,999),"000")</f>
        <v>2810-983</v>
      </c>
      <c r="I127" t="str" cm="1">
        <f t="array" aca="1" ref="I127" ca="1">INDEX(rua_cod!$B:$B,Médicos!X127)</f>
        <v>Almada</v>
      </c>
      <c r="J127" t="s">
        <v>341</v>
      </c>
      <c r="K127" t="s">
        <v>225</v>
      </c>
      <c r="L127" t="s">
        <v>265</v>
      </c>
      <c r="M127" t="str">
        <f t="shared" ca="1" si="14"/>
        <v>67582465</v>
      </c>
      <c r="N127" t="str">
        <f t="shared" ca="1" si="15"/>
        <v>866177494</v>
      </c>
      <c r="O127" t="str">
        <f t="shared" ca="1" si="15"/>
        <v>737173589</v>
      </c>
      <c r="P127" t="str" cm="1">
        <f t="array" aca="1" ref="P127" ca="1">9 &amp; INDEX($AH$3:$AH$6,Y127)&amp; TEXT(RANDBETWEEN(0,9999999),"0000000")</f>
        <v>969785574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5709714263212073</v>
      </c>
      <c r="T127" t="s">
        <v>341</v>
      </c>
      <c r="V127" s="4"/>
      <c r="X127">
        <f ca="1">RANDBETWEEN(2,COUNTA(rua_cod!A:A))</f>
        <v>3</v>
      </c>
      <c r="Y127">
        <f t="shared" ca="1" si="18"/>
        <v>4</v>
      </c>
      <c r="Z127">
        <f t="shared" ca="1" si="19"/>
        <v>3</v>
      </c>
      <c r="AA127">
        <f t="shared" ca="1" si="20"/>
        <v>1958</v>
      </c>
      <c r="AB127">
        <f t="shared" ca="1" si="21"/>
        <v>4</v>
      </c>
      <c r="AC127">
        <f t="shared" ca="1" si="22"/>
        <v>29</v>
      </c>
      <c r="AD127">
        <f t="shared" ca="1" si="23"/>
        <v>62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Sara Ana Batista Sousa</v>
      </c>
      <c r="E128" t="str">
        <f>Nomes!S129</f>
        <v>Feminino</v>
      </c>
      <c r="F128" s="2">
        <v>14246</v>
      </c>
      <c r="G128" t="str" cm="1">
        <f t="array" aca="1" ref="G128" ca="1">INDEX(rua_cod!$F:$F,RANDBETWEEN(2,COUNTA(rua_cod!F:F)))</f>
        <v>Rua Júlio César Machado</v>
      </c>
      <c r="H128" t="str" cm="1">
        <f t="array" aca="1" ref="H128" ca="1">INDEX(rua_cod!$A:$A,Médicos!X128) &amp; "-" &amp; TEXT(RANDBETWEEN(0,999),"000")</f>
        <v>2655-326</v>
      </c>
      <c r="I128" t="str" cm="1">
        <f t="array" aca="1" ref="I128" ca="1">INDEX(rua_cod!$B:$B,Médicos!X128)</f>
        <v>Ericeira</v>
      </c>
      <c r="J128" t="s">
        <v>341</v>
      </c>
      <c r="K128" t="s">
        <v>225</v>
      </c>
      <c r="L128" t="s">
        <v>265</v>
      </c>
      <c r="M128" t="str">
        <f t="shared" ca="1" si="14"/>
        <v>50432360</v>
      </c>
      <c r="N128" t="str">
        <f t="shared" ca="1" si="15"/>
        <v>966871078</v>
      </c>
      <c r="O128" t="str">
        <f t="shared" ca="1" si="15"/>
        <v>658218254</v>
      </c>
      <c r="P128" t="str" cm="1">
        <f t="array" aca="1" ref="P128" ca="1">9 &amp; INDEX($AH$3:$AH$6,Y128)&amp; TEXT(RANDBETWEEN(0,9999999),"0000000")</f>
        <v>929156300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6691851855917286</v>
      </c>
      <c r="T128" t="s">
        <v>341</v>
      </c>
      <c r="V128" s="4"/>
      <c r="X128">
        <f ca="1">RANDBETWEEN(2,COUNTA(rua_cod!A:A))</f>
        <v>31</v>
      </c>
      <c r="Y128">
        <f t="shared" ca="1" si="18"/>
        <v>2</v>
      </c>
      <c r="Z128">
        <f t="shared" ca="1" si="19"/>
        <v>1</v>
      </c>
      <c r="AA128">
        <f t="shared" ca="1" si="20"/>
        <v>1964</v>
      </c>
      <c r="AB128">
        <f t="shared" ca="1" si="21"/>
        <v>10</v>
      </c>
      <c r="AC128">
        <f t="shared" ca="1" si="22"/>
        <v>29</v>
      </c>
      <c r="AD128">
        <f t="shared" ca="1" si="23"/>
        <v>56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André Lurdes Figueiredo Andrade</v>
      </c>
      <c r="E129" t="str">
        <f>Nomes!S130</f>
        <v>Masculino</v>
      </c>
      <c r="F129" s="2">
        <v>43342</v>
      </c>
      <c r="G129" t="str" cm="1">
        <f t="array" aca="1" ref="G129" ca="1">INDEX(rua_cod!$F:$F,RANDBETWEEN(2,COUNTA(rua_cod!F:F)))</f>
        <v>Rua do Sol a Santana</v>
      </c>
      <c r="H129" t="str" cm="1">
        <f t="array" aca="1" ref="H129" ca="1">INDEX(rua_cod!$A:$A,Médicos!X129) &amp; "-" &amp; TEXT(RANDBETWEEN(0,999),"000")</f>
        <v>2410-550</v>
      </c>
      <c r="I129" t="str" cm="1">
        <f t="array" aca="1" ref="I129" ca="1">INDEX(rua_cod!$B:$B,Médicos!X129)</f>
        <v>Leiria</v>
      </c>
      <c r="J129" t="s">
        <v>341</v>
      </c>
      <c r="K129" t="s">
        <v>225</v>
      </c>
      <c r="L129" t="s">
        <v>265</v>
      </c>
      <c r="M129" t="str">
        <f t="shared" ca="1" si="14"/>
        <v>20441628</v>
      </c>
      <c r="N129" t="str">
        <f t="shared" ca="1" si="15"/>
        <v>467536067</v>
      </c>
      <c r="O129" t="str">
        <f t="shared" ca="1" si="15"/>
        <v>945632691</v>
      </c>
      <c r="P129" t="str" cm="1">
        <f t="array" aca="1" ref="P129" ca="1">9 &amp; INDEX($AH$3:$AH$6,Y129)&amp; TEXT(RANDBETWEEN(0,9999999),"0000000")</f>
        <v>927890346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7265141486441971</v>
      </c>
      <c r="T129" t="s">
        <v>341</v>
      </c>
      <c r="V129" s="4"/>
      <c r="X129">
        <f ca="1">RANDBETWEEN(2,COUNTA(rua_cod!A:A))</f>
        <v>34</v>
      </c>
      <c r="Y129">
        <f t="shared" ca="1" si="18"/>
        <v>2</v>
      </c>
      <c r="Z129">
        <f t="shared" ca="1" si="19"/>
        <v>2</v>
      </c>
      <c r="AA129">
        <f t="shared" ca="1" si="20"/>
        <v>1968</v>
      </c>
      <c r="AB129">
        <f t="shared" ca="1" si="21"/>
        <v>1</v>
      </c>
      <c r="AC129">
        <f t="shared" ca="1" si="22"/>
        <v>30</v>
      </c>
      <c r="AD129">
        <f t="shared" ca="1" si="23"/>
        <v>52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Mariana Rodrigo Baptista Torres</v>
      </c>
      <c r="E130" t="str">
        <f>Nomes!S131</f>
        <v>Feminino</v>
      </c>
      <c r="F130" s="2">
        <v>37343</v>
      </c>
      <c r="G130" t="str" cm="1">
        <f t="array" aca="1" ref="G130" ca="1">INDEX(rua_cod!$F:$F,RANDBETWEEN(2,COUNTA(rua_cod!F:F)))</f>
        <v>Rua da Oliveira ao Carmo</v>
      </c>
      <c r="H130" t="str" cm="1">
        <f t="array" aca="1" ref="H130" ca="1">INDEX(rua_cod!$A:$A,Médicos!X130) &amp; "-" &amp; TEXT(RANDBETWEEN(0,999),"000")</f>
        <v>1500-802</v>
      </c>
      <c r="I130" t="str" cm="1">
        <f t="array" aca="1" ref="I130" ca="1">INDEX(rua_cod!$B:$B,Médicos!X130)</f>
        <v>Lisboa</v>
      </c>
      <c r="J130" t="s">
        <v>341</v>
      </c>
      <c r="K130" t="s">
        <v>225</v>
      </c>
      <c r="L130" t="s">
        <v>265</v>
      </c>
      <c r="M130" t="str">
        <f t="shared" ca="1" si="14"/>
        <v>47142868</v>
      </c>
      <c r="N130" t="str">
        <f t="shared" ca="1" si="15"/>
        <v>803318135</v>
      </c>
      <c r="O130" t="str">
        <f t="shared" ca="1" si="15"/>
        <v>342429181</v>
      </c>
      <c r="P130" t="str" cm="1">
        <f t="array" aca="1" ref="P130" ca="1">9 &amp; INDEX($AH$3:$AH$6,Y130)&amp; TEXT(RANDBETWEEN(0,9999999),"0000000")</f>
        <v>960767033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1351153988205864</v>
      </c>
      <c r="T130" t="s">
        <v>341</v>
      </c>
      <c r="V130" s="4"/>
      <c r="X130">
        <f ca="1">RANDBETWEEN(2,COUNTA(rua_cod!A:A))</f>
        <v>43</v>
      </c>
      <c r="Y130">
        <f t="shared" ca="1" si="18"/>
        <v>4</v>
      </c>
      <c r="Z130">
        <f t="shared" ca="1" si="19"/>
        <v>1</v>
      </c>
      <c r="AA130">
        <f t="shared" ca="1" si="20"/>
        <v>1954</v>
      </c>
      <c r="AB130">
        <f t="shared" ca="1" si="21"/>
        <v>1</v>
      </c>
      <c r="AC130">
        <f t="shared" ca="1" si="22"/>
        <v>20</v>
      </c>
      <c r="AD130">
        <f t="shared" ca="1" si="23"/>
        <v>66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Ricardo Martim Neto Vicente</v>
      </c>
      <c r="E131" t="str">
        <f>Nomes!S132</f>
        <v>Masculino</v>
      </c>
      <c r="F131" s="2">
        <v>35503</v>
      </c>
      <c r="G131" t="str" cm="1">
        <f t="array" aca="1" ref="G131" ca="1">INDEX(rua_cod!$F:$F,RANDBETWEEN(2,COUNTA(rua_cod!F:F)))</f>
        <v>Rua do Arsenal</v>
      </c>
      <c r="H131" t="str" cm="1">
        <f t="array" aca="1" ref="H131" ca="1">INDEX(rua_cod!$A:$A,Médicos!X131) &amp; "-" &amp; TEXT(RANDBETWEEN(0,999),"000")</f>
        <v>2350-816</v>
      </c>
      <c r="I131" t="str" cm="1">
        <f t="array" aca="1" ref="I131" ca="1">INDEX(rua_cod!$B:$B,Médicos!X131)</f>
        <v>Torres Novas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41251419</v>
      </c>
      <c r="N131" t="str">
        <f t="shared" ref="N131:O194" ca="1" si="27">TEXT(RANDBETWEEN(100000000,999999999),"000000000")</f>
        <v>603366480</v>
      </c>
      <c r="O131" t="str">
        <f t="shared" ca="1" si="27"/>
        <v>870272745</v>
      </c>
      <c r="P131" t="str" cm="1">
        <f t="array" aca="1" ref="P131" ca="1">9 &amp; INDEX($AH$3:$AH$6,Y131)&amp; TEXT(RANDBETWEEN(0,9999999),"0000000")</f>
        <v>922255888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5143339776330354</v>
      </c>
      <c r="T131" t="s">
        <v>341</v>
      </c>
      <c r="V131" s="4"/>
      <c r="X131">
        <f ca="1">RANDBETWEEN(2,COUNTA(rua_cod!A:A))</f>
        <v>103</v>
      </c>
      <c r="Y131">
        <f t="shared" ref="Y131:Y194" ca="1" si="30">RANDBETWEEN(1,4)</f>
        <v>2</v>
      </c>
      <c r="Z131">
        <f t="shared" ref="Z131:Z194" ca="1" si="31">RANDBETWEEN(1,3)</f>
        <v>1</v>
      </c>
      <c r="AA131">
        <f t="shared" ref="AA131:AA194" ca="1" si="32">RANDBETWEEN(1950,1994)</f>
        <v>1975</v>
      </c>
      <c r="AB131">
        <f t="shared" ref="AB131:AB194" ca="1" si="33">RANDBETWEEN(1,12)</f>
        <v>9</v>
      </c>
      <c r="AC131">
        <f t="shared" ref="AC131:AC194" ca="1" si="34">RANDBETWEEN(1,31)</f>
        <v>14</v>
      </c>
      <c r="AD131">
        <f t="shared" ref="AD131:AD194" ca="1" si="35">2020-AA131</f>
        <v>45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Miguel Beatriz Barros Fernandes</v>
      </c>
      <c r="E132" t="str">
        <f>Nomes!S133</f>
        <v>Masculino</v>
      </c>
      <c r="F132" s="2">
        <v>10487</v>
      </c>
      <c r="G132" t="str" cm="1">
        <f t="array" aca="1" ref="G132" ca="1">INDEX(rua_cod!$F:$F,RANDBETWEEN(2,COUNTA(rua_cod!F:F)))</f>
        <v>Rua do Sol a Santana</v>
      </c>
      <c r="H132" t="str" cm="1">
        <f t="array" aca="1" ref="H132" ca="1">INDEX(rua_cod!$A:$A,Médicos!X132) &amp; "-" &amp; TEXT(RANDBETWEEN(0,999),"000")</f>
        <v>2809-513</v>
      </c>
      <c r="I132" t="str" cm="1">
        <f t="array" aca="1" ref="I132" ca="1">INDEX(rua_cod!$B:$B,Médicos!X132)</f>
        <v>Almada</v>
      </c>
      <c r="J132" t="s">
        <v>341</v>
      </c>
      <c r="K132" t="s">
        <v>225</v>
      </c>
      <c r="L132" t="s">
        <v>265</v>
      </c>
      <c r="M132" t="str">
        <f t="shared" ca="1" si="26"/>
        <v>68937060</v>
      </c>
      <c r="N132" t="str">
        <f t="shared" ca="1" si="27"/>
        <v>787436700</v>
      </c>
      <c r="O132" t="str">
        <f t="shared" ca="1" si="27"/>
        <v>706834381</v>
      </c>
      <c r="P132" t="str" cm="1">
        <f t="array" aca="1" ref="P132" ca="1">9 &amp; INDEX($AH$3:$AH$6,Y132)&amp; TEXT(RANDBETWEEN(0,9999999),"0000000")</f>
        <v>965934249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8984632516570308</v>
      </c>
      <c r="T132" t="s">
        <v>341</v>
      </c>
      <c r="V132" s="4"/>
      <c r="X132">
        <f ca="1">RANDBETWEEN(2,COUNTA(rua_cod!A:A))</f>
        <v>5</v>
      </c>
      <c r="Y132">
        <f t="shared" ca="1" si="30"/>
        <v>4</v>
      </c>
      <c r="Z132">
        <f t="shared" ca="1" si="31"/>
        <v>1</v>
      </c>
      <c r="AA132">
        <f t="shared" ca="1" si="32"/>
        <v>1960</v>
      </c>
      <c r="AB132">
        <f t="shared" ca="1" si="33"/>
        <v>11</v>
      </c>
      <c r="AC132">
        <f t="shared" ca="1" si="34"/>
        <v>15</v>
      </c>
      <c r="AD132">
        <f t="shared" ca="1" si="35"/>
        <v>60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Francisca Bruno Jesus Neto</v>
      </c>
      <c r="E133" t="str">
        <f>Nomes!S134</f>
        <v>Feminino</v>
      </c>
      <c r="F133" s="2">
        <v>20453</v>
      </c>
      <c r="G133" t="str" cm="1">
        <f t="array" aca="1" ref="G133" ca="1">INDEX(rua_cod!$F:$F,RANDBETWEEN(2,COUNTA(rua_cod!F:F)))</f>
        <v>Rua da Alfândega</v>
      </c>
      <c r="H133" t="str" cm="1">
        <f t="array" aca="1" ref="H133" ca="1">INDEX(rua_cod!$A:$A,Médicos!X133) &amp; "-" &amp; TEXT(RANDBETWEEN(0,999),"000")</f>
        <v>2415-963</v>
      </c>
      <c r="I133" t="str" cm="1">
        <f t="array" aca="1" ref="I133" ca="1">INDEX(rua_cod!$B:$B,Médicos!X133)</f>
        <v>Leiria</v>
      </c>
      <c r="J133" t="s">
        <v>341</v>
      </c>
      <c r="K133" t="s">
        <v>225</v>
      </c>
      <c r="L133" t="s">
        <v>265</v>
      </c>
      <c r="M133" t="str">
        <f t="shared" ca="1" si="26"/>
        <v>64729081</v>
      </c>
      <c r="N133" t="str">
        <f t="shared" ca="1" si="27"/>
        <v>129657559</v>
      </c>
      <c r="O133" t="str">
        <f t="shared" ca="1" si="27"/>
        <v>245369179</v>
      </c>
      <c r="P133" t="str" cm="1">
        <f t="array" aca="1" ref="P133" ca="1">9 &amp; INDEX($AH$3:$AH$6,Y133)&amp; TEXT(RANDBETWEEN(0,9999999),"0000000")</f>
        <v>963371893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6494144866818746</v>
      </c>
      <c r="T133" t="s">
        <v>341</v>
      </c>
      <c r="V133" s="4"/>
      <c r="X133">
        <f ca="1">RANDBETWEEN(2,COUNTA(rua_cod!A:A))</f>
        <v>35</v>
      </c>
      <c r="Y133">
        <f t="shared" ca="1" si="30"/>
        <v>4</v>
      </c>
      <c r="Z133">
        <f t="shared" ca="1" si="31"/>
        <v>2</v>
      </c>
      <c r="AA133">
        <f t="shared" ca="1" si="32"/>
        <v>1992</v>
      </c>
      <c r="AB133">
        <f t="shared" ca="1" si="33"/>
        <v>10</v>
      </c>
      <c r="AC133">
        <f t="shared" ca="1" si="34"/>
        <v>4</v>
      </c>
      <c r="AD133">
        <f t="shared" ca="1" si="35"/>
        <v>28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Gabriel Afonso Carvalho Assunção</v>
      </c>
      <c r="E134" t="str">
        <f>Nomes!S135</f>
        <v>Masculino</v>
      </c>
      <c r="F134" s="2">
        <v>43922</v>
      </c>
      <c r="G134" t="str" cm="1">
        <f t="array" aca="1" ref="G134" ca="1">INDEX(rua_cod!$F:$F,RANDBETWEEN(2,COUNTA(rua_cod!F:F)))</f>
        <v>Avenida Ressano Garcia</v>
      </c>
      <c r="H134" t="str" cm="1">
        <f t="array" aca="1" ref="H134" ca="1">INDEX(rua_cod!$A:$A,Médicos!X134) &amp; "-" &amp; TEXT(RANDBETWEEN(0,999),"000")</f>
        <v>2805-832</v>
      </c>
      <c r="I134" t="str" cm="1">
        <f t="array" aca="1" ref="I134" ca="1">INDEX(rua_cod!$B:$B,Médicos!X134)</f>
        <v>Almada</v>
      </c>
      <c r="J134" t="s">
        <v>341</v>
      </c>
      <c r="K134" t="s">
        <v>225</v>
      </c>
      <c r="L134" t="s">
        <v>265</v>
      </c>
      <c r="M134" t="str">
        <f t="shared" ca="1" si="26"/>
        <v>94125509</v>
      </c>
      <c r="N134" t="str">
        <f t="shared" ca="1" si="27"/>
        <v>732496198</v>
      </c>
      <c r="O134" t="str">
        <f t="shared" ca="1" si="27"/>
        <v>208905088</v>
      </c>
      <c r="P134" t="str" cm="1">
        <f t="array" aca="1" ref="P134" ca="1">9 &amp; INDEX($AH$3:$AH$6,Y134)&amp; TEXT(RANDBETWEEN(0,9999999),"0000000")</f>
        <v>965132686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2907200100140429</v>
      </c>
      <c r="T134" t="s">
        <v>341</v>
      </c>
      <c r="V134" s="4"/>
      <c r="X134">
        <f ca="1">RANDBETWEEN(2,COUNTA(rua_cod!A:A))</f>
        <v>4</v>
      </c>
      <c r="Y134">
        <f t="shared" ca="1" si="30"/>
        <v>4</v>
      </c>
      <c r="Z134">
        <f t="shared" ca="1" si="31"/>
        <v>1</v>
      </c>
      <c r="AA134">
        <f t="shared" ca="1" si="32"/>
        <v>1956</v>
      </c>
      <c r="AB134">
        <f t="shared" ca="1" si="33"/>
        <v>5</v>
      </c>
      <c r="AC134">
        <f t="shared" ca="1" si="34"/>
        <v>10</v>
      </c>
      <c r="AD134">
        <f t="shared" ca="1" si="35"/>
        <v>64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Bruno Ricardo Pereira Esteves</v>
      </c>
      <c r="E135" t="str">
        <f>Nomes!S136</f>
        <v>Masculino</v>
      </c>
      <c r="F135" s="2">
        <v>25320</v>
      </c>
      <c r="G135" t="str" cm="1">
        <f t="array" aca="1" ref="G135" ca="1">INDEX(rua_cod!$F:$F,RANDBETWEEN(2,COUNTA(rua_cod!F:F)))</f>
        <v>Travessa de São João da Praça</v>
      </c>
      <c r="H135" t="str" cm="1">
        <f t="array" aca="1" ref="H135" ca="1">INDEX(rua_cod!$A:$A,Médicos!X135) &amp; "-" &amp; TEXT(RANDBETWEEN(0,999),"000")</f>
        <v>1050-703</v>
      </c>
      <c r="I135" t="str" cm="1">
        <f t="array" aca="1" ref="I135" ca="1">INDEX(rua_cod!$B:$B,Médicos!X135)</f>
        <v>Lisboa</v>
      </c>
      <c r="J135" t="s">
        <v>341</v>
      </c>
      <c r="K135" t="s">
        <v>225</v>
      </c>
      <c r="L135" t="s">
        <v>265</v>
      </c>
      <c r="M135" t="str">
        <f t="shared" ca="1" si="26"/>
        <v>24181719</v>
      </c>
      <c r="N135" t="str">
        <f t="shared" ca="1" si="27"/>
        <v>696953619</v>
      </c>
      <c r="O135" t="str">
        <f t="shared" ca="1" si="27"/>
        <v>129281821</v>
      </c>
      <c r="P135" t="str" cm="1">
        <f t="array" aca="1" ref="P135" ca="1">9 &amp; INDEX($AH$3:$AH$6,Y135)&amp; TEXT(RANDBETWEEN(0,9999999),"0000000")</f>
        <v>913716972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8825096300773808</v>
      </c>
      <c r="T135" t="s">
        <v>341</v>
      </c>
      <c r="V135" s="4"/>
      <c r="X135">
        <f ca="1">RANDBETWEEN(2,COUNTA(rua_cod!A:A))</f>
        <v>66</v>
      </c>
      <c r="Y135">
        <f t="shared" ca="1" si="30"/>
        <v>1</v>
      </c>
      <c r="Z135">
        <f t="shared" ca="1" si="31"/>
        <v>2</v>
      </c>
      <c r="AA135">
        <f t="shared" ca="1" si="32"/>
        <v>1990</v>
      </c>
      <c r="AB135">
        <f t="shared" ca="1" si="33"/>
        <v>4</v>
      </c>
      <c r="AC135">
        <f t="shared" ca="1" si="34"/>
        <v>22</v>
      </c>
      <c r="AD135">
        <f t="shared" ca="1" si="35"/>
        <v>30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Mariana João Lima Moura</v>
      </c>
      <c r="E136" t="str">
        <f>Nomes!S137</f>
        <v>Feminino</v>
      </c>
      <c r="F136" s="2">
        <v>20063</v>
      </c>
      <c r="G136" t="str" cm="1">
        <f t="array" aca="1" ref="G136" ca="1">INDEX(rua_cod!$F:$F,RANDBETWEEN(2,COUNTA(rua_cod!F:F)))</f>
        <v>Estrada da Circunvalação de Lisboa</v>
      </c>
      <c r="H136" t="str" cm="1">
        <f t="array" aca="1" ref="H136" ca="1">INDEX(rua_cod!$A:$A,Médicos!X136) &amp; "-" &amp; TEXT(RANDBETWEEN(0,999),"000")</f>
        <v>1200-542</v>
      </c>
      <c r="I136" t="str" cm="1">
        <f t="array" aca="1" ref="I136" ca="1">INDEX(rua_cod!$B:$B,Médicos!X136)</f>
        <v>Lisboa</v>
      </c>
      <c r="J136" t="s">
        <v>341</v>
      </c>
      <c r="K136" t="s">
        <v>225</v>
      </c>
      <c r="L136" t="s">
        <v>265</v>
      </c>
      <c r="M136" t="str">
        <f t="shared" ca="1" si="26"/>
        <v>23639568</v>
      </c>
      <c r="N136" t="str">
        <f t="shared" ca="1" si="27"/>
        <v>141105544</v>
      </c>
      <c r="O136" t="str">
        <f t="shared" ca="1" si="27"/>
        <v>116618442</v>
      </c>
      <c r="P136" t="str" cm="1">
        <f t="array" aca="1" ref="P136" ca="1">9 &amp; INDEX($AH$3:$AH$6,Y136)&amp; TEXT(RANDBETWEEN(0,9999999),"0000000")</f>
        <v>929989574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6882441338426820</v>
      </c>
      <c r="T136" t="s">
        <v>341</v>
      </c>
      <c r="V136" s="4"/>
      <c r="X136">
        <f ca="1">RANDBETWEEN(2,COUNTA(rua_cod!A:A))</f>
        <v>48</v>
      </c>
      <c r="Y136">
        <f t="shared" ca="1" si="30"/>
        <v>2</v>
      </c>
      <c r="Z136">
        <f t="shared" ca="1" si="31"/>
        <v>2</v>
      </c>
      <c r="AA136">
        <f t="shared" ca="1" si="32"/>
        <v>1954</v>
      </c>
      <c r="AB136">
        <f t="shared" ca="1" si="33"/>
        <v>3</v>
      </c>
      <c r="AC136">
        <f t="shared" ca="1" si="34"/>
        <v>11</v>
      </c>
      <c r="AD136">
        <f t="shared" ca="1" si="35"/>
        <v>66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Gabriel Francisco Reis Esteves</v>
      </c>
      <c r="E137" t="str">
        <f>Nomes!S138</f>
        <v>Masculino</v>
      </c>
      <c r="F137" s="2">
        <v>34756</v>
      </c>
      <c r="G137" t="str" cm="1">
        <f t="array" aca="1" ref="G137" ca="1">INDEX(rua_cod!$F:$F,RANDBETWEEN(2,COUNTA(rua_cod!F:F)))</f>
        <v>Rua de São Julião</v>
      </c>
      <c r="H137" t="str" cm="1">
        <f t="array" aca="1" ref="H137" ca="1">INDEX(rua_cod!$A:$A,Médicos!X137) &amp; "-" &amp; TEXT(RANDBETWEEN(0,999),"000")</f>
        <v>1269-253</v>
      </c>
      <c r="I137" t="str" cm="1">
        <f t="array" aca="1" ref="I137" ca="1">INDEX(rua_cod!$B:$B,Médicos!X137)</f>
        <v>Lisboa</v>
      </c>
      <c r="J137" t="s">
        <v>341</v>
      </c>
      <c r="K137" t="s">
        <v>225</v>
      </c>
      <c r="L137" t="s">
        <v>265</v>
      </c>
      <c r="M137" t="str">
        <f t="shared" ca="1" si="26"/>
        <v>93384296</v>
      </c>
      <c r="N137" t="str">
        <f t="shared" ca="1" si="27"/>
        <v>547808531</v>
      </c>
      <c r="O137" t="str">
        <f t="shared" ca="1" si="27"/>
        <v>779923786</v>
      </c>
      <c r="P137" t="str" cm="1">
        <f t="array" aca="1" ref="P137" ca="1">9 &amp; INDEX($AH$3:$AH$6,Y137)&amp; TEXT(RANDBETWEEN(0,9999999),"0000000")</f>
        <v>930056477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7225204305946717</v>
      </c>
      <c r="T137" t="s">
        <v>341</v>
      </c>
      <c r="V137" s="4"/>
      <c r="X137">
        <f ca="1">RANDBETWEEN(2,COUNTA(rua_cod!A:A))</f>
        <v>52</v>
      </c>
      <c r="Y137">
        <f t="shared" ca="1" si="30"/>
        <v>3</v>
      </c>
      <c r="Z137">
        <f t="shared" ca="1" si="31"/>
        <v>3</v>
      </c>
      <c r="AA137">
        <f t="shared" ca="1" si="32"/>
        <v>1988</v>
      </c>
      <c r="AB137">
        <f t="shared" ca="1" si="33"/>
        <v>5</v>
      </c>
      <c r="AC137">
        <f t="shared" ca="1" si="34"/>
        <v>21</v>
      </c>
      <c r="AD137">
        <f t="shared" ca="1" si="35"/>
        <v>32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Bruno José Campos Batista</v>
      </c>
      <c r="E138" t="str">
        <f>Nomes!S139</f>
        <v>Masculino</v>
      </c>
      <c r="F138" s="2">
        <v>14392</v>
      </c>
      <c r="G138" t="str" cm="1">
        <f t="array" aca="1" ref="G138" ca="1">INDEX(rua_cod!$F:$F,RANDBETWEEN(2,COUNTA(rua_cod!F:F)))</f>
        <v>Rua do Guarda-Mor</v>
      </c>
      <c r="H138" t="str" cm="1">
        <f t="array" aca="1" ref="H138" ca="1">INDEX(rua_cod!$A:$A,Médicos!X138) &amp; "-" &amp; TEXT(RANDBETWEEN(0,999),"000")</f>
        <v>2424-002</v>
      </c>
      <c r="I138" t="str" cm="1">
        <f t="array" aca="1" ref="I138" ca="1">INDEX(rua_cod!$B:$B,Médicos!X138)</f>
        <v>Leiria</v>
      </c>
      <c r="J138" t="s">
        <v>341</v>
      </c>
      <c r="K138" t="s">
        <v>225</v>
      </c>
      <c r="L138" t="s">
        <v>265</v>
      </c>
      <c r="M138" t="str">
        <f t="shared" ca="1" si="26"/>
        <v>55629435</v>
      </c>
      <c r="N138" t="str">
        <f t="shared" ca="1" si="27"/>
        <v>345089526</v>
      </c>
      <c r="O138" t="str">
        <f t="shared" ca="1" si="27"/>
        <v>858876933</v>
      </c>
      <c r="P138" t="str" cm="1">
        <f t="array" aca="1" ref="P138" ca="1">9 &amp; INDEX($AH$3:$AH$6,Y138)&amp; TEXT(RANDBETWEEN(0,9999999),"0000000")</f>
        <v>927588690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7605600482262771</v>
      </c>
      <c r="T138" t="s">
        <v>341</v>
      </c>
      <c r="V138" s="4"/>
      <c r="X138">
        <f ca="1">RANDBETWEEN(2,COUNTA(rua_cod!A:A))</f>
        <v>39</v>
      </c>
      <c r="Y138">
        <f t="shared" ca="1" si="30"/>
        <v>2</v>
      </c>
      <c r="Z138">
        <f t="shared" ca="1" si="31"/>
        <v>3</v>
      </c>
      <c r="AA138">
        <f t="shared" ca="1" si="32"/>
        <v>1965</v>
      </c>
      <c r="AB138">
        <f t="shared" ca="1" si="33"/>
        <v>4</v>
      </c>
      <c r="AC138">
        <f t="shared" ca="1" si="34"/>
        <v>12</v>
      </c>
      <c r="AD138">
        <f t="shared" ca="1" si="35"/>
        <v>55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Maria Tiago Abreu Costa</v>
      </c>
      <c r="E139" t="str">
        <f>Nomes!S140</f>
        <v>Feminino</v>
      </c>
      <c r="F139" s="2">
        <v>17070</v>
      </c>
      <c r="G139" t="str" cm="1">
        <f t="array" aca="1" ref="G139" ca="1">INDEX(rua_cod!$F:$F,RANDBETWEEN(2,COUNTA(rua_cod!F:F)))</f>
        <v>Rua General Morais Sarmento</v>
      </c>
      <c r="H139" t="str" cm="1">
        <f t="array" aca="1" ref="H139" ca="1">INDEX(rua_cod!$A:$A,Médicos!X139) &amp; "-" &amp; TEXT(RANDBETWEEN(0,999),"000")</f>
        <v>1200-455</v>
      </c>
      <c r="I139" t="str" cm="1">
        <f t="array" aca="1" ref="I139" ca="1">INDEX(rua_cod!$B:$B,Médicos!X139)</f>
        <v>Lisboa</v>
      </c>
      <c r="J139" t="s">
        <v>341</v>
      </c>
      <c r="K139" t="s">
        <v>225</v>
      </c>
      <c r="L139" t="s">
        <v>265</v>
      </c>
      <c r="M139" t="str">
        <f t="shared" ca="1" si="26"/>
        <v>19313388</v>
      </c>
      <c r="N139" t="str">
        <f t="shared" ca="1" si="27"/>
        <v>862403994</v>
      </c>
      <c r="O139" t="str">
        <f t="shared" ca="1" si="27"/>
        <v>549859002</v>
      </c>
      <c r="P139" t="str" cm="1">
        <f t="array" aca="1" ref="P139" ca="1">9 &amp; INDEX($AH$3:$AH$6,Y139)&amp; TEXT(RANDBETWEEN(0,9999999),"0000000")</f>
        <v>964379100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6834708510248404</v>
      </c>
      <c r="T139" t="s">
        <v>341</v>
      </c>
      <c r="V139" s="4"/>
      <c r="X139">
        <f ca="1">RANDBETWEEN(2,COUNTA(rua_cod!A:A))</f>
        <v>48</v>
      </c>
      <c r="Y139">
        <f t="shared" ca="1" si="30"/>
        <v>4</v>
      </c>
      <c r="Z139">
        <f t="shared" ca="1" si="31"/>
        <v>2</v>
      </c>
      <c r="AA139">
        <f t="shared" ca="1" si="32"/>
        <v>1971</v>
      </c>
      <c r="AB139">
        <f t="shared" ca="1" si="33"/>
        <v>5</v>
      </c>
      <c r="AC139">
        <f t="shared" ca="1" si="34"/>
        <v>8</v>
      </c>
      <c r="AD139">
        <f t="shared" ca="1" si="35"/>
        <v>49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Mariana Mariana Matias Almeida</v>
      </c>
      <c r="E140" t="str">
        <f>Nomes!S141</f>
        <v>Feminino</v>
      </c>
      <c r="F140" s="2">
        <v>18282</v>
      </c>
      <c r="G140" t="str" cm="1">
        <f t="array" aca="1" ref="G140" ca="1">INDEX(rua_cod!$F:$F,RANDBETWEEN(2,COUNTA(rua_cod!F:F)))</f>
        <v>Rua Ferreira Lapa</v>
      </c>
      <c r="H140" t="str" cm="1">
        <f t="array" aca="1" ref="H140" ca="1">INDEX(rua_cod!$A:$A,Médicos!X140) &amp; "-" &amp; TEXT(RANDBETWEEN(0,999),"000")</f>
        <v>1999-566</v>
      </c>
      <c r="I140" t="str" cm="1">
        <f t="array" aca="1" ref="I140" ca="1">INDEX(rua_cod!$B:$B,Médicos!X140)</f>
        <v>Lisboa</v>
      </c>
      <c r="J140" t="s">
        <v>341</v>
      </c>
      <c r="K140" t="s">
        <v>225</v>
      </c>
      <c r="L140" t="s">
        <v>265</v>
      </c>
      <c r="M140" t="str">
        <f t="shared" ca="1" si="26"/>
        <v>11410588</v>
      </c>
      <c r="N140" t="str">
        <f t="shared" ca="1" si="27"/>
        <v>758336113</v>
      </c>
      <c r="O140" t="str">
        <f t="shared" ca="1" si="27"/>
        <v>729707635</v>
      </c>
      <c r="P140" t="str" cm="1">
        <f t="array" aca="1" ref="P140" ca="1">9 &amp; INDEX($AH$3:$AH$6,Y140)&amp; TEXT(RANDBETWEEN(0,9999999),"0000000")</f>
        <v>964933339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4433259310008579</v>
      </c>
      <c r="T140" t="s">
        <v>341</v>
      </c>
      <c r="V140" s="4"/>
      <c r="X140">
        <f ca="1">RANDBETWEEN(2,COUNTA(rua_cod!A:A))</f>
        <v>79</v>
      </c>
      <c r="Y140">
        <f t="shared" ca="1" si="30"/>
        <v>4</v>
      </c>
      <c r="Z140">
        <f t="shared" ca="1" si="31"/>
        <v>3</v>
      </c>
      <c r="AA140">
        <f t="shared" ca="1" si="32"/>
        <v>1988</v>
      </c>
      <c r="AB140">
        <f t="shared" ca="1" si="33"/>
        <v>5</v>
      </c>
      <c r="AC140">
        <f t="shared" ca="1" si="34"/>
        <v>29</v>
      </c>
      <c r="AD140">
        <f t="shared" ca="1" si="35"/>
        <v>32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Vera João Rocha Almeida</v>
      </c>
      <c r="E141" t="str">
        <f>Nomes!S142</f>
        <v>Feminino</v>
      </c>
      <c r="F141" s="2">
        <v>9562</v>
      </c>
      <c r="G141" t="str" cm="1">
        <f t="array" aca="1" ref="G141" ca="1">INDEX(rua_cod!$F:$F,RANDBETWEEN(2,COUNTA(rua_cod!F:F)))</f>
        <v>Rua Nova do Almada</v>
      </c>
      <c r="H141" t="str" cm="1">
        <f t="array" aca="1" ref="H141" ca="1">INDEX(rua_cod!$A:$A,Médicos!X141) &amp; "-" &amp; TEXT(RANDBETWEEN(0,999),"000")</f>
        <v>1070-155</v>
      </c>
      <c r="I141" t="str" cm="1">
        <f t="array" aca="1" ref="I141" ca="1">INDEX(rua_cod!$B:$B,Médicos!X141)</f>
        <v>Lisboa</v>
      </c>
      <c r="J141" t="s">
        <v>341</v>
      </c>
      <c r="K141" t="s">
        <v>225</v>
      </c>
      <c r="L141" t="s">
        <v>265</v>
      </c>
      <c r="M141" t="str">
        <f t="shared" ca="1" si="26"/>
        <v>79943919</v>
      </c>
      <c r="N141" t="str">
        <f t="shared" ca="1" si="27"/>
        <v>529566075</v>
      </c>
      <c r="O141" t="str">
        <f t="shared" ca="1" si="27"/>
        <v>984138151</v>
      </c>
      <c r="P141" t="str" cm="1">
        <f t="array" aca="1" ref="P141" ca="1">9 &amp; INDEX($AH$3:$AH$6,Y141)&amp; TEXT(RANDBETWEEN(0,9999999),"0000000")</f>
        <v>936790958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9993240270722960</v>
      </c>
      <c r="T141" t="s">
        <v>341</v>
      </c>
      <c r="V141" s="4"/>
      <c r="X141">
        <f ca="1">RANDBETWEEN(2,COUNTA(rua_cod!A:A))</f>
        <v>51</v>
      </c>
      <c r="Y141">
        <f t="shared" ca="1" si="30"/>
        <v>3</v>
      </c>
      <c r="Z141">
        <f t="shared" ca="1" si="31"/>
        <v>2</v>
      </c>
      <c r="AA141">
        <f t="shared" ca="1" si="32"/>
        <v>1962</v>
      </c>
      <c r="AB141">
        <f t="shared" ca="1" si="33"/>
        <v>6</v>
      </c>
      <c r="AC141">
        <f t="shared" ca="1" si="34"/>
        <v>14</v>
      </c>
      <c r="AD141">
        <f t="shared" ca="1" si="35"/>
        <v>58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Afonso Joana Mendes Pacheco</v>
      </c>
      <c r="E142" t="str">
        <f>Nomes!S143</f>
        <v>Masculino</v>
      </c>
      <c r="F142" s="2">
        <v>10733</v>
      </c>
      <c r="G142" t="str" cm="1">
        <f t="array" aca="1" ref="G142" ca="1">INDEX(rua_cod!$F:$F,RANDBETWEEN(2,COUNTA(rua_cod!F:F)))</f>
        <v>Rua dos Bacalhoeiros</v>
      </c>
      <c r="H142" t="str" cm="1">
        <f t="array" aca="1" ref="H142" ca="1">INDEX(rua_cod!$A:$A,Médicos!X142) &amp; "-" &amp; TEXT(RANDBETWEEN(0,999),"000")</f>
        <v>2780-291</v>
      </c>
      <c r="I142" t="str" cm="1">
        <f t="array" aca="1" ref="I142" ca="1">INDEX(rua_cod!$B:$B,Médicos!X142)</f>
        <v>Oeiras</v>
      </c>
      <c r="J142" t="s">
        <v>341</v>
      </c>
      <c r="K142" t="s">
        <v>225</v>
      </c>
      <c r="L142" t="s">
        <v>265</v>
      </c>
      <c r="M142" t="str">
        <f t="shared" ca="1" si="26"/>
        <v>70968269</v>
      </c>
      <c r="N142" t="str">
        <f t="shared" ca="1" si="27"/>
        <v>264950711</v>
      </c>
      <c r="O142" t="str">
        <f t="shared" ca="1" si="27"/>
        <v>841625653</v>
      </c>
      <c r="P142" t="str" cm="1">
        <f t="array" aca="1" ref="P142" ca="1">9 &amp; INDEX($AH$3:$AH$6,Y142)&amp; TEXT(RANDBETWEEN(0,9999999),"0000000")</f>
        <v>911227552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8515546589235607</v>
      </c>
      <c r="T142" t="s">
        <v>341</v>
      </c>
      <c r="V142" s="4"/>
      <c r="X142">
        <f ca="1">RANDBETWEEN(2,COUNTA(rua_cod!A:A))</f>
        <v>88</v>
      </c>
      <c r="Y142">
        <f t="shared" ca="1" si="30"/>
        <v>1</v>
      </c>
      <c r="Z142">
        <f t="shared" ca="1" si="31"/>
        <v>1</v>
      </c>
      <c r="AA142">
        <f t="shared" ca="1" si="32"/>
        <v>1988</v>
      </c>
      <c r="AB142">
        <f t="shared" ca="1" si="33"/>
        <v>12</v>
      </c>
      <c r="AC142">
        <f t="shared" ca="1" si="34"/>
        <v>9</v>
      </c>
      <c r="AD142">
        <f t="shared" ca="1" si="35"/>
        <v>32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Catarina Gabriel Costa Marques</v>
      </c>
      <c r="E143" t="str">
        <f>Nomes!S144</f>
        <v>Feminino</v>
      </c>
      <c r="F143" s="2">
        <v>43003</v>
      </c>
      <c r="G143" t="str" cm="1">
        <f t="array" aca="1" ref="G143" ca="1">INDEX(rua_cod!$F:$F,RANDBETWEEN(2,COUNTA(rua_cod!F:F)))</f>
        <v>Calçada Marquês de Abrantes</v>
      </c>
      <c r="H143" t="str" cm="1">
        <f t="array" aca="1" ref="H143" ca="1">INDEX(rua_cod!$A:$A,Médicos!X143) &amp; "-" &amp; TEXT(RANDBETWEEN(0,999),"000")</f>
        <v>1749-050</v>
      </c>
      <c r="I143" t="str" cm="1">
        <f t="array" aca="1" ref="I143" ca="1">INDEX(rua_cod!$B:$B,Médicos!X143)</f>
        <v>Lisboa</v>
      </c>
      <c r="J143" t="s">
        <v>341</v>
      </c>
      <c r="K143" t="s">
        <v>225</v>
      </c>
      <c r="L143" t="s">
        <v>265</v>
      </c>
      <c r="M143" t="str">
        <f t="shared" ca="1" si="26"/>
        <v>60701146</v>
      </c>
      <c r="N143" t="str">
        <f t="shared" ca="1" si="27"/>
        <v>150766752</v>
      </c>
      <c r="O143" t="str">
        <f t="shared" ca="1" si="27"/>
        <v>679268725</v>
      </c>
      <c r="P143" t="str" cm="1">
        <f t="array" aca="1" ref="P143" ca="1">9 &amp; INDEX($AH$3:$AH$6,Y143)&amp; TEXT(RANDBETWEEN(0,9999999),"0000000")</f>
        <v>930576485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8167181317391368</v>
      </c>
      <c r="T143" t="s">
        <v>341</v>
      </c>
      <c r="V143" s="4"/>
      <c r="X143">
        <f ca="1">RANDBETWEEN(2,COUNTA(rua_cod!A:A))</f>
        <v>61</v>
      </c>
      <c r="Y143">
        <f t="shared" ca="1" si="30"/>
        <v>3</v>
      </c>
      <c r="Z143">
        <f t="shared" ca="1" si="31"/>
        <v>2</v>
      </c>
      <c r="AA143">
        <f t="shared" ca="1" si="32"/>
        <v>1958</v>
      </c>
      <c r="AB143">
        <f t="shared" ca="1" si="33"/>
        <v>7</v>
      </c>
      <c r="AC143">
        <f t="shared" ca="1" si="34"/>
        <v>11</v>
      </c>
      <c r="AD143">
        <f t="shared" ca="1" si="35"/>
        <v>62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Maria Diogo Barbosa Brito</v>
      </c>
      <c r="E144" t="str">
        <f>Nomes!S145</f>
        <v>Feminino</v>
      </c>
      <c r="F144" s="2">
        <v>29468</v>
      </c>
      <c r="G144" t="str" cm="1">
        <f t="array" aca="1" ref="G144" ca="1">INDEX(rua_cod!$F:$F,RANDBETWEEN(2,COUNTA(rua_cod!F:F)))</f>
        <v>Calçada do Poço dos Mouros</v>
      </c>
      <c r="H144" t="str" cm="1">
        <f t="array" aca="1" ref="H144" ca="1">INDEX(rua_cod!$A:$A,Médicos!X144) &amp; "-" &amp; TEXT(RANDBETWEEN(0,999),"000")</f>
        <v>1400-054</v>
      </c>
      <c r="I144" t="str" cm="1">
        <f t="array" aca="1" ref="I144" ca="1">INDEX(rua_cod!$B:$B,Médicos!X144)</f>
        <v>Lisboa</v>
      </c>
      <c r="J144" t="s">
        <v>341</v>
      </c>
      <c r="K144" t="s">
        <v>225</v>
      </c>
      <c r="L144" t="s">
        <v>265</v>
      </c>
      <c r="M144" t="str">
        <f t="shared" ca="1" si="26"/>
        <v>51084306</v>
      </c>
      <c r="N144" t="str">
        <f t="shared" ca="1" si="27"/>
        <v>395829422</v>
      </c>
      <c r="O144" t="str">
        <f t="shared" ca="1" si="27"/>
        <v>589220794</v>
      </c>
      <c r="P144" t="str" cm="1">
        <f t="array" aca="1" ref="P144" ca="1">9 &amp; INDEX($AH$3:$AH$6,Y144)&amp; TEXT(RANDBETWEEN(0,9999999),"0000000")</f>
        <v>936481293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2980156915406899</v>
      </c>
      <c r="T144" t="s">
        <v>341</v>
      </c>
      <c r="V144" s="4"/>
      <c r="X144">
        <f ca="1">RANDBETWEEN(2,COUNTA(rua_cod!A:A))</f>
        <v>57</v>
      </c>
      <c r="Y144">
        <f t="shared" ca="1" si="30"/>
        <v>3</v>
      </c>
      <c r="Z144">
        <f t="shared" ca="1" si="31"/>
        <v>1</v>
      </c>
      <c r="AA144">
        <f t="shared" ca="1" si="32"/>
        <v>1961</v>
      </c>
      <c r="AB144">
        <f t="shared" ca="1" si="33"/>
        <v>3</v>
      </c>
      <c r="AC144">
        <f t="shared" ca="1" si="34"/>
        <v>28</v>
      </c>
      <c r="AD144">
        <f t="shared" ca="1" si="35"/>
        <v>59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Beatriz Diogo Lourenço Gomes</v>
      </c>
      <c r="E145" t="str">
        <f>Nomes!S146</f>
        <v>Feminino</v>
      </c>
      <c r="F145" s="2">
        <v>26648</v>
      </c>
      <c r="G145" t="str" cm="1">
        <f t="array" aca="1" ref="G145" ca="1">INDEX(rua_cod!$F:$F,RANDBETWEEN(2,COUNTA(rua_cod!F:F)))</f>
        <v>Rua do Comércio</v>
      </c>
      <c r="H145" t="str" cm="1">
        <f t="array" aca="1" ref="H145" ca="1">INDEX(rua_cod!$A:$A,Médicos!X145) &amp; "-" &amp; TEXT(RANDBETWEEN(0,999),"000")</f>
        <v>2710-633</v>
      </c>
      <c r="I145" t="str" cm="1">
        <f t="array" aca="1" ref="I145" ca="1">INDEX(rua_cod!$B:$B,Médicos!X145)</f>
        <v>Sintra</v>
      </c>
      <c r="J145" t="s">
        <v>341</v>
      </c>
      <c r="K145" t="s">
        <v>225</v>
      </c>
      <c r="L145" t="s">
        <v>265</v>
      </c>
      <c r="M145" t="str">
        <f t="shared" ca="1" si="26"/>
        <v>59179318</v>
      </c>
      <c r="N145" t="str">
        <f t="shared" ca="1" si="27"/>
        <v>319366729</v>
      </c>
      <c r="O145" t="str">
        <f t="shared" ca="1" si="27"/>
        <v>213795110</v>
      </c>
      <c r="P145" t="str" cm="1">
        <f t="array" aca="1" ref="P145" ca="1">9 &amp; INDEX($AH$3:$AH$6,Y145)&amp; TEXT(RANDBETWEEN(0,9999999),"0000000")</f>
        <v>931470556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2356955475401170</v>
      </c>
      <c r="T145" t="s">
        <v>341</v>
      </c>
      <c r="V145" s="4"/>
      <c r="X145">
        <f ca="1">RANDBETWEEN(2,COUNTA(rua_cod!A:A))</f>
        <v>100</v>
      </c>
      <c r="Y145">
        <f t="shared" ca="1" si="30"/>
        <v>3</v>
      </c>
      <c r="Z145">
        <f t="shared" ca="1" si="31"/>
        <v>3</v>
      </c>
      <c r="AA145">
        <f t="shared" ca="1" si="32"/>
        <v>1993</v>
      </c>
      <c r="AB145">
        <f t="shared" ca="1" si="33"/>
        <v>7</v>
      </c>
      <c r="AC145">
        <f t="shared" ca="1" si="34"/>
        <v>10</v>
      </c>
      <c r="AD145">
        <f t="shared" ca="1" si="35"/>
        <v>27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Beatriz Carolina Batista Campos</v>
      </c>
      <c r="E146" t="str">
        <f>Nomes!S147</f>
        <v>Feminino</v>
      </c>
      <c r="F146" s="2">
        <v>12366</v>
      </c>
      <c r="G146" t="str" cm="1">
        <f t="array" aca="1" ref="G146" ca="1">INDEX(rua_cod!$F:$F,RANDBETWEEN(2,COUNTA(rua_cod!F:F)))</f>
        <v>Rua de São Bento</v>
      </c>
      <c r="H146" t="str" cm="1">
        <f t="array" aca="1" ref="H146" ca="1">INDEX(rua_cod!$A:$A,Médicos!X146) &amp; "-" &amp; TEXT(RANDBETWEEN(0,999),"000")</f>
        <v>1549-013</v>
      </c>
      <c r="I146" t="str" cm="1">
        <f t="array" aca="1" ref="I146" ca="1">INDEX(rua_cod!$B:$B,Médicos!X146)</f>
        <v>Lisboa</v>
      </c>
      <c r="J146" t="s">
        <v>341</v>
      </c>
      <c r="K146" t="s">
        <v>225</v>
      </c>
      <c r="L146" t="s">
        <v>265</v>
      </c>
      <c r="M146" t="str">
        <f t="shared" ca="1" si="26"/>
        <v>50410348</v>
      </c>
      <c r="N146" t="str">
        <f t="shared" ca="1" si="27"/>
        <v>437248029</v>
      </c>
      <c r="O146" t="str">
        <f t="shared" ca="1" si="27"/>
        <v>201321672</v>
      </c>
      <c r="P146" t="str" cm="1">
        <f t="array" aca="1" ref="P146" ca="1">9 &amp; INDEX($AH$3:$AH$6,Y146)&amp; TEXT(RANDBETWEEN(0,9999999),"0000000")</f>
        <v>912138725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7684655709894111</v>
      </c>
      <c r="T146" t="s">
        <v>341</v>
      </c>
      <c r="V146" s="4"/>
      <c r="X146">
        <f ca="1">RANDBETWEEN(2,COUNTA(rua_cod!A:A))</f>
        <v>69</v>
      </c>
      <c r="Y146">
        <f t="shared" ca="1" si="30"/>
        <v>1</v>
      </c>
      <c r="Z146">
        <f t="shared" ca="1" si="31"/>
        <v>3</v>
      </c>
      <c r="AA146">
        <f t="shared" ca="1" si="32"/>
        <v>1963</v>
      </c>
      <c r="AB146">
        <f t="shared" ca="1" si="33"/>
        <v>2</v>
      </c>
      <c r="AC146">
        <f t="shared" ca="1" si="34"/>
        <v>2</v>
      </c>
      <c r="AD146">
        <f t="shared" ca="1" si="35"/>
        <v>57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João Daniela Garcia Cardoso</v>
      </c>
      <c r="E147" t="str">
        <f>Nomes!S148</f>
        <v>Masculino</v>
      </c>
      <c r="F147" s="2">
        <v>15788</v>
      </c>
      <c r="G147" t="str" cm="1">
        <f t="array" aca="1" ref="G147" ca="1">INDEX(rua_cod!$F:$F,RANDBETWEEN(2,COUNTA(rua_cod!F:F)))</f>
        <v>Rua Garrett</v>
      </c>
      <c r="H147" t="str" cm="1">
        <f t="array" aca="1" ref="H147" ca="1">INDEX(rua_cod!$A:$A,Médicos!X147) &amp; "-" &amp; TEXT(RANDBETWEEN(0,999),"000")</f>
        <v>1349-301</v>
      </c>
      <c r="I147" t="str" cm="1">
        <f t="array" aca="1" ref="I147" ca="1">INDEX(rua_cod!$B:$B,Médicos!X147)</f>
        <v>Lisboa</v>
      </c>
      <c r="J147" t="s">
        <v>341</v>
      </c>
      <c r="K147" t="s">
        <v>225</v>
      </c>
      <c r="L147" t="s">
        <v>265</v>
      </c>
      <c r="M147" t="str">
        <f t="shared" ca="1" si="26"/>
        <v>65236390</v>
      </c>
      <c r="N147" t="str">
        <f t="shared" ca="1" si="27"/>
        <v>155131644</v>
      </c>
      <c r="O147" t="str">
        <f t="shared" ca="1" si="27"/>
        <v>484776368</v>
      </c>
      <c r="P147" t="str" cm="1">
        <f t="array" aca="1" ref="P147" ca="1">9 &amp; INDEX($AH$3:$AH$6,Y147)&amp; TEXT(RANDBETWEEN(0,9999999),"0000000")</f>
        <v>932265415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9135186784145228</v>
      </c>
      <c r="T147" t="s">
        <v>341</v>
      </c>
      <c r="V147" s="4"/>
      <c r="X147">
        <f ca="1">RANDBETWEEN(2,COUNTA(rua_cod!A:A))</f>
        <v>71</v>
      </c>
      <c r="Y147">
        <f t="shared" ca="1" si="30"/>
        <v>3</v>
      </c>
      <c r="Z147">
        <f t="shared" ca="1" si="31"/>
        <v>2</v>
      </c>
      <c r="AA147">
        <f t="shared" ca="1" si="32"/>
        <v>1960</v>
      </c>
      <c r="AB147">
        <f t="shared" ca="1" si="33"/>
        <v>8</v>
      </c>
      <c r="AC147">
        <f t="shared" ca="1" si="34"/>
        <v>30</v>
      </c>
      <c r="AD147">
        <f t="shared" ca="1" si="35"/>
        <v>60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Rodrigo Lurdes Paiva Andrade</v>
      </c>
      <c r="E148" t="str">
        <f>Nomes!S149</f>
        <v>Masculino</v>
      </c>
      <c r="F148" s="2">
        <v>37028</v>
      </c>
      <c r="G148" t="str" cm="1">
        <f t="array" aca="1" ref="G148" ca="1">INDEX(rua_cod!$F:$F,RANDBETWEEN(2,COUNTA(rua_cod!F:F)))</f>
        <v>Rua do Instituto Bacteriológico</v>
      </c>
      <c r="H148" t="str" cm="1">
        <f t="array" aca="1" ref="H148" ca="1">INDEX(rua_cod!$A:$A,Médicos!X148) &amp; "-" &amp; TEXT(RANDBETWEEN(0,999),"000")</f>
        <v>2825-701</v>
      </c>
      <c r="I148" t="str" cm="1">
        <f t="array" aca="1" ref="I148" ca="1">INDEX(rua_cod!$B:$B,Médicos!X148)</f>
        <v>Costa de Caparica</v>
      </c>
      <c r="J148" t="s">
        <v>341</v>
      </c>
      <c r="K148" t="s">
        <v>225</v>
      </c>
      <c r="L148" t="s">
        <v>265</v>
      </c>
      <c r="M148" t="str">
        <f t="shared" ca="1" si="26"/>
        <v>17166796</v>
      </c>
      <c r="N148" t="str">
        <f t="shared" ca="1" si="27"/>
        <v>297198579</v>
      </c>
      <c r="O148" t="str">
        <f t="shared" ca="1" si="27"/>
        <v>609751026</v>
      </c>
      <c r="P148" t="str" cm="1">
        <f t="array" aca="1" ref="P148" ca="1">9 &amp; INDEX($AH$3:$AH$6,Y148)&amp; TEXT(RANDBETWEEN(0,9999999),"0000000")</f>
        <v>938310983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5616841842476988</v>
      </c>
      <c r="T148" t="s">
        <v>341</v>
      </c>
      <c r="V148" s="4"/>
      <c r="X148">
        <f ca="1">RANDBETWEEN(2,COUNTA(rua_cod!A:A))</f>
        <v>27</v>
      </c>
      <c r="Y148">
        <f t="shared" ca="1" si="30"/>
        <v>3</v>
      </c>
      <c r="Z148">
        <f t="shared" ca="1" si="31"/>
        <v>2</v>
      </c>
      <c r="AA148">
        <f t="shared" ca="1" si="32"/>
        <v>1974</v>
      </c>
      <c r="AB148">
        <f t="shared" ca="1" si="33"/>
        <v>9</v>
      </c>
      <c r="AC148">
        <f t="shared" ca="1" si="34"/>
        <v>16</v>
      </c>
      <c r="AD148">
        <f t="shared" ca="1" si="35"/>
        <v>46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André Diogo Coelho Correia</v>
      </c>
      <c r="E149" t="str">
        <f>Nomes!S150</f>
        <v>Masculino</v>
      </c>
      <c r="F149" s="2">
        <v>36735</v>
      </c>
      <c r="G149" t="str" cm="1">
        <f t="array" aca="1" ref="G149" ca="1">INDEX(rua_cod!$F:$F,RANDBETWEEN(2,COUNTA(rua_cod!F:F)))</f>
        <v>Avenida Ressano Garcia</v>
      </c>
      <c r="H149" t="str" cm="1">
        <f t="array" aca="1" ref="H149" ca="1">INDEX(rua_cod!$A:$A,Médicos!X149) &amp; "-" &amp; TEXT(RANDBETWEEN(0,999),"000")</f>
        <v>1067-968</v>
      </c>
      <c r="I149" t="str" cm="1">
        <f t="array" aca="1" ref="I149" ca="1">INDEX(rua_cod!$B:$B,Médicos!X149)</f>
        <v>Lisboa</v>
      </c>
      <c r="J149" t="s">
        <v>341</v>
      </c>
      <c r="K149" t="s">
        <v>225</v>
      </c>
      <c r="L149" t="s">
        <v>265</v>
      </c>
      <c r="M149" t="str">
        <f t="shared" ca="1" si="26"/>
        <v>48329528</v>
      </c>
      <c r="N149" t="str">
        <f t="shared" ca="1" si="27"/>
        <v>941513010</v>
      </c>
      <c r="O149" t="str">
        <f t="shared" ca="1" si="27"/>
        <v>286172313</v>
      </c>
      <c r="P149" t="str" cm="1">
        <f t="array" aca="1" ref="P149" ca="1">9 &amp; INDEX($AH$3:$AH$6,Y149)&amp; TEXT(RANDBETWEEN(0,9999999),"0000000")</f>
        <v>965692314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7412729895207331</v>
      </c>
      <c r="T149" t="s">
        <v>341</v>
      </c>
      <c r="V149" s="4"/>
      <c r="X149">
        <f ca="1">RANDBETWEEN(2,COUNTA(rua_cod!A:A))</f>
        <v>82</v>
      </c>
      <c r="Y149">
        <f t="shared" ca="1" si="30"/>
        <v>4</v>
      </c>
      <c r="Z149">
        <f t="shared" ca="1" si="31"/>
        <v>2</v>
      </c>
      <c r="AA149">
        <f t="shared" ca="1" si="32"/>
        <v>1989</v>
      </c>
      <c r="AB149">
        <f t="shared" ca="1" si="33"/>
        <v>2</v>
      </c>
      <c r="AC149">
        <f t="shared" ca="1" si="34"/>
        <v>30</v>
      </c>
      <c r="AD149">
        <f t="shared" ca="1" si="35"/>
        <v>31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Francisca Miguel Correia Loureiro</v>
      </c>
      <c r="E150" t="str">
        <f>Nomes!S151</f>
        <v>Feminino</v>
      </c>
      <c r="F150" s="2">
        <v>29002</v>
      </c>
      <c r="G150" t="str" cm="1">
        <f t="array" aca="1" ref="G150" ca="1">INDEX(rua_cod!$F:$F,RANDBETWEEN(2,COUNTA(rua_cod!F:F)))</f>
        <v>Rua General Morais Sarmento</v>
      </c>
      <c r="H150" t="str" cm="1">
        <f t="array" aca="1" ref="H150" ca="1">INDEX(rua_cod!$A:$A,Médicos!X150) &amp; "-" &amp; TEXT(RANDBETWEEN(0,999),"000")</f>
        <v>2610-850</v>
      </c>
      <c r="I150" t="str" cm="1">
        <f t="array" aca="1" ref="I150" ca="1">INDEX(rua_cod!$B:$B,Médicos!X150)</f>
        <v>Amadora</v>
      </c>
      <c r="J150" t="s">
        <v>341</v>
      </c>
      <c r="K150" t="s">
        <v>225</v>
      </c>
      <c r="L150" t="s">
        <v>265</v>
      </c>
      <c r="M150" t="str">
        <f t="shared" ca="1" si="26"/>
        <v>87635156</v>
      </c>
      <c r="N150" t="str">
        <f t="shared" ca="1" si="27"/>
        <v>909274709</v>
      </c>
      <c r="O150" t="str">
        <f t="shared" ca="1" si="27"/>
        <v>708771922</v>
      </c>
      <c r="P150" t="str" cm="1">
        <f t="array" aca="1" ref="P150" ca="1">9 &amp; INDEX($AH$3:$AH$6,Y150)&amp; TEXT(RANDBETWEEN(0,9999999),"0000000")</f>
        <v>938798129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2400828025849056</v>
      </c>
      <c r="T150" t="s">
        <v>341</v>
      </c>
      <c r="V150" s="4"/>
      <c r="X150">
        <f ca="1">RANDBETWEEN(2,COUNTA(rua_cod!A:A))</f>
        <v>12</v>
      </c>
      <c r="Y150">
        <f t="shared" ca="1" si="30"/>
        <v>3</v>
      </c>
      <c r="Z150">
        <f t="shared" ca="1" si="31"/>
        <v>1</v>
      </c>
      <c r="AA150">
        <f t="shared" ca="1" si="32"/>
        <v>1968</v>
      </c>
      <c r="AB150">
        <f t="shared" ca="1" si="33"/>
        <v>2</v>
      </c>
      <c r="AC150">
        <f t="shared" ca="1" si="34"/>
        <v>17</v>
      </c>
      <c r="AD150">
        <f t="shared" ca="1" si="35"/>
        <v>52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Francisco Pedro Machado Reis</v>
      </c>
      <c r="E151" t="str">
        <f>Nomes!S152</f>
        <v>Masculino</v>
      </c>
      <c r="F151" s="2">
        <v>41285</v>
      </c>
      <c r="G151" t="str" cm="1">
        <f t="array" aca="1" ref="G151" ca="1">INDEX(rua_cod!$F:$F,RANDBETWEEN(2,COUNTA(rua_cod!F:F)))</f>
        <v>Rua Roberto Duarte Silva</v>
      </c>
      <c r="H151" t="str" cm="1">
        <f t="array" aca="1" ref="H151" ca="1">INDEX(rua_cod!$A:$A,Médicos!X151) &amp; "-" &amp; TEXT(RANDBETWEEN(0,999),"000")</f>
        <v>1449-815</v>
      </c>
      <c r="I151" t="str" cm="1">
        <f t="array" aca="1" ref="I151" ca="1">INDEX(rua_cod!$B:$B,Médicos!X151)</f>
        <v>Lisboa</v>
      </c>
      <c r="J151" t="s">
        <v>341</v>
      </c>
      <c r="K151" t="s">
        <v>225</v>
      </c>
      <c r="L151" t="s">
        <v>265</v>
      </c>
      <c r="M151" t="str">
        <f t="shared" ca="1" si="26"/>
        <v>25520200</v>
      </c>
      <c r="N151" t="str">
        <f t="shared" ca="1" si="27"/>
        <v>806872075</v>
      </c>
      <c r="O151" t="str">
        <f t="shared" ca="1" si="27"/>
        <v>142029811</v>
      </c>
      <c r="P151" t="str" cm="1">
        <f t="array" aca="1" ref="P151" ca="1">9 &amp; INDEX($AH$3:$AH$6,Y151)&amp; TEXT(RANDBETWEEN(0,9999999),"0000000")</f>
        <v>914205810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1946159633780679</v>
      </c>
      <c r="T151" t="s">
        <v>341</v>
      </c>
      <c r="V151" s="4"/>
      <c r="X151">
        <f ca="1">RANDBETWEEN(2,COUNTA(rua_cod!A:A))</f>
        <v>73</v>
      </c>
      <c r="Y151">
        <f t="shared" ca="1" si="30"/>
        <v>1</v>
      </c>
      <c r="Z151">
        <f t="shared" ca="1" si="31"/>
        <v>1</v>
      </c>
      <c r="AA151">
        <f t="shared" ca="1" si="32"/>
        <v>1951</v>
      </c>
      <c r="AB151">
        <f t="shared" ca="1" si="33"/>
        <v>1</v>
      </c>
      <c r="AC151">
        <f t="shared" ca="1" si="34"/>
        <v>11</v>
      </c>
      <c r="AD151">
        <f t="shared" ca="1" si="35"/>
        <v>69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José Francisco Leite Mota</v>
      </c>
      <c r="E152" t="str">
        <f>Nomes!S153</f>
        <v>Masculino</v>
      </c>
      <c r="F152" s="2">
        <v>27590</v>
      </c>
      <c r="G152" t="str" cm="1">
        <f t="array" aca="1" ref="G152" ca="1">INDEX(rua_cod!$F:$F,RANDBETWEEN(2,COUNTA(rua_cod!F:F)))</f>
        <v>Calçada Marquês de Abrantes</v>
      </c>
      <c r="H152" t="str" cm="1">
        <f t="array" aca="1" ref="H152" ca="1">INDEX(rua_cod!$A:$A,Médicos!X152) &amp; "-" &amp; TEXT(RANDBETWEEN(0,999),"000")</f>
        <v>2814-915</v>
      </c>
      <c r="I152" t="str" cm="1">
        <f t="array" aca="1" ref="I152" ca="1">INDEX(rua_cod!$B:$B,Médicos!X152)</f>
        <v>Almada</v>
      </c>
      <c r="J152" t="s">
        <v>341</v>
      </c>
      <c r="K152" t="s">
        <v>225</v>
      </c>
      <c r="L152" t="s">
        <v>265</v>
      </c>
      <c r="M152" t="str">
        <f t="shared" ca="1" si="26"/>
        <v>67689293</v>
      </c>
      <c r="N152" t="str">
        <f t="shared" ca="1" si="27"/>
        <v>736527871</v>
      </c>
      <c r="O152" t="str">
        <f t="shared" ca="1" si="27"/>
        <v>995272284</v>
      </c>
      <c r="P152" t="str" cm="1">
        <f t="array" aca="1" ref="P152" ca="1">9 &amp; INDEX($AH$3:$AH$6,Y152)&amp; TEXT(RANDBETWEEN(0,9999999),"0000000")</f>
        <v>960441152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9537482668657056</v>
      </c>
      <c r="T152" t="s">
        <v>341</v>
      </c>
      <c r="V152" s="4"/>
      <c r="X152">
        <f ca="1">RANDBETWEEN(2,COUNTA(rua_cod!A:A))</f>
        <v>6</v>
      </c>
      <c r="Y152">
        <f t="shared" ca="1" si="30"/>
        <v>4</v>
      </c>
      <c r="Z152">
        <f t="shared" ca="1" si="31"/>
        <v>3</v>
      </c>
      <c r="AA152">
        <f t="shared" ca="1" si="32"/>
        <v>1965</v>
      </c>
      <c r="AB152">
        <f t="shared" ca="1" si="33"/>
        <v>4</v>
      </c>
      <c r="AC152">
        <f t="shared" ca="1" si="34"/>
        <v>16</v>
      </c>
      <c r="AD152">
        <f t="shared" ca="1" si="35"/>
        <v>55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Tomás Martim Nogueira Macedo</v>
      </c>
      <c r="E153" t="str">
        <f>Nomes!S154</f>
        <v>Masculino</v>
      </c>
      <c r="F153" s="2">
        <v>30972</v>
      </c>
      <c r="G153" t="str" cm="1">
        <f t="array" aca="1" ref="G153" ca="1">INDEX(rua_cod!$F:$F,RANDBETWEEN(2,COUNTA(rua_cod!F:F)))</f>
        <v>Calçada Marquês de Abrantes</v>
      </c>
      <c r="H153" t="str" cm="1">
        <f t="array" aca="1" ref="H153" ca="1">INDEX(rua_cod!$A:$A,Médicos!X153) &amp; "-" &amp; TEXT(RANDBETWEEN(0,999),"000")</f>
        <v>2800-245</v>
      </c>
      <c r="I153" t="str" cm="1">
        <f t="array" aca="1" ref="I153" ca="1">INDEX(rua_cod!$B:$B,Médicos!X153)</f>
        <v>Almada</v>
      </c>
      <c r="J153" t="s">
        <v>341</v>
      </c>
      <c r="K153" t="s">
        <v>225</v>
      </c>
      <c r="L153" t="s">
        <v>265</v>
      </c>
      <c r="M153" t="str">
        <f t="shared" ca="1" si="26"/>
        <v>42545601</v>
      </c>
      <c r="N153" t="str">
        <f t="shared" ca="1" si="27"/>
        <v>945070560</v>
      </c>
      <c r="O153" t="str">
        <f t="shared" ca="1" si="27"/>
        <v>909722283</v>
      </c>
      <c r="P153" t="str" cm="1">
        <f t="array" aca="1" ref="P153" ca="1">9 &amp; INDEX($AH$3:$AH$6,Y153)&amp; TEXT(RANDBETWEEN(0,9999999),"0000000")</f>
        <v>968321949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8722154730995064</v>
      </c>
      <c r="T153" t="s">
        <v>341</v>
      </c>
      <c r="V153" s="4"/>
      <c r="X153">
        <f ca="1">RANDBETWEEN(2,COUNTA(rua_cod!A:A))</f>
        <v>2</v>
      </c>
      <c r="Y153">
        <f t="shared" ca="1" si="30"/>
        <v>4</v>
      </c>
      <c r="Z153">
        <f t="shared" ca="1" si="31"/>
        <v>2</v>
      </c>
      <c r="AA153">
        <f t="shared" ca="1" si="32"/>
        <v>1958</v>
      </c>
      <c r="AB153">
        <f t="shared" ca="1" si="33"/>
        <v>3</v>
      </c>
      <c r="AC153">
        <f t="shared" ca="1" si="34"/>
        <v>24</v>
      </c>
      <c r="AD153">
        <f t="shared" ca="1" si="35"/>
        <v>62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Marco Maria Santos Torres</v>
      </c>
      <c r="E154" t="str">
        <f>Nomes!S155</f>
        <v>Masculino</v>
      </c>
      <c r="F154" s="2">
        <v>9540</v>
      </c>
      <c r="G154" t="str" cm="1">
        <f t="array" aca="1" ref="G154" ca="1">INDEX(rua_cod!$F:$F,RANDBETWEEN(2,COUNTA(rua_cod!F:F)))</f>
        <v>Rua Garrett</v>
      </c>
      <c r="H154" t="str" cm="1">
        <f t="array" aca="1" ref="H154" ca="1">INDEX(rua_cod!$A:$A,Médicos!X154) &amp; "-" &amp; TEXT(RANDBETWEEN(0,999),"000")</f>
        <v>1170-728</v>
      </c>
      <c r="I154" t="str" cm="1">
        <f t="array" aca="1" ref="I154" ca="1">INDEX(rua_cod!$B:$B,Médicos!X154)</f>
        <v>Lisboa</v>
      </c>
      <c r="J154" t="s">
        <v>341</v>
      </c>
      <c r="K154" t="s">
        <v>225</v>
      </c>
      <c r="L154" t="s">
        <v>265</v>
      </c>
      <c r="M154" t="str">
        <f t="shared" ca="1" si="26"/>
        <v>47508225</v>
      </c>
      <c r="N154" t="str">
        <f t="shared" ca="1" si="27"/>
        <v>412321334</v>
      </c>
      <c r="O154" t="str">
        <f t="shared" ca="1" si="27"/>
        <v>144443379</v>
      </c>
      <c r="P154" t="str" cm="1">
        <f t="array" aca="1" ref="P154" ca="1">9 &amp; INDEX($AH$3:$AH$6,Y154)&amp; TEXT(RANDBETWEEN(0,9999999),"0000000")</f>
        <v>924726432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3060111904253217</v>
      </c>
      <c r="T154" t="s">
        <v>341</v>
      </c>
      <c r="V154" s="4"/>
      <c r="X154">
        <f ca="1">RANDBETWEEN(2,COUNTA(rua_cod!A:A))</f>
        <v>47</v>
      </c>
      <c r="Y154">
        <f t="shared" ca="1" si="30"/>
        <v>2</v>
      </c>
      <c r="Z154">
        <f t="shared" ca="1" si="31"/>
        <v>3</v>
      </c>
      <c r="AA154">
        <f t="shared" ca="1" si="32"/>
        <v>1960</v>
      </c>
      <c r="AB154">
        <f t="shared" ca="1" si="33"/>
        <v>7</v>
      </c>
      <c r="AC154">
        <f t="shared" ca="1" si="34"/>
        <v>19</v>
      </c>
      <c r="AD154">
        <f t="shared" ca="1" si="35"/>
        <v>60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Marco Gabriel Mendes Lopes</v>
      </c>
      <c r="E155" t="str">
        <f>Nomes!S156</f>
        <v>Masculino</v>
      </c>
      <c r="F155" s="2">
        <v>9785</v>
      </c>
      <c r="G155" t="str" cm="1">
        <f t="array" aca="1" ref="G155" ca="1">INDEX(rua_cod!$F:$F,RANDBETWEEN(2,COUNTA(rua_cod!F:F)))</f>
        <v>Rua do Comércio</v>
      </c>
      <c r="H155" t="str" cm="1">
        <f t="array" aca="1" ref="H155" ca="1">INDEX(rua_cod!$A:$A,Médicos!X155) &amp; "-" &amp; TEXT(RANDBETWEEN(0,999),"000")</f>
        <v>2804-352</v>
      </c>
      <c r="I155" t="str" cm="1">
        <f t="array" aca="1" ref="I155" ca="1">INDEX(rua_cod!$B:$B,Médicos!X155)</f>
        <v>Almada</v>
      </c>
      <c r="J155" t="s">
        <v>341</v>
      </c>
      <c r="K155" t="s">
        <v>225</v>
      </c>
      <c r="L155" t="s">
        <v>265</v>
      </c>
      <c r="M155" t="str">
        <f t="shared" ca="1" si="26"/>
        <v>33354289</v>
      </c>
      <c r="N155" t="str">
        <f t="shared" ca="1" si="27"/>
        <v>523272315</v>
      </c>
      <c r="O155" t="str">
        <f t="shared" ca="1" si="27"/>
        <v>743078824</v>
      </c>
      <c r="P155" t="str" cm="1">
        <f t="array" aca="1" ref="P155" ca="1">9 &amp; INDEX($AH$3:$AH$6,Y155)&amp; TEXT(RANDBETWEEN(0,9999999),"0000000")</f>
        <v>912627285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2163919333273976</v>
      </c>
      <c r="T155" t="s">
        <v>341</v>
      </c>
      <c r="V155" s="4"/>
      <c r="X155">
        <f ca="1">RANDBETWEEN(2,COUNTA(rua_cod!A:A))</f>
        <v>7</v>
      </c>
      <c r="Y155">
        <f t="shared" ca="1" si="30"/>
        <v>1</v>
      </c>
      <c r="Z155">
        <f t="shared" ca="1" si="31"/>
        <v>2</v>
      </c>
      <c r="AA155">
        <f t="shared" ca="1" si="32"/>
        <v>1963</v>
      </c>
      <c r="AB155">
        <f t="shared" ca="1" si="33"/>
        <v>10</v>
      </c>
      <c r="AC155">
        <f t="shared" ca="1" si="34"/>
        <v>12</v>
      </c>
      <c r="AD155">
        <f t="shared" ca="1" si="35"/>
        <v>57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Rodrigo Pedro Teixeira Amaral</v>
      </c>
      <c r="E156" t="str">
        <f>Nomes!S157</f>
        <v>Masculino</v>
      </c>
      <c r="F156" s="2">
        <v>26847</v>
      </c>
      <c r="G156" t="str" cm="1">
        <f t="array" aca="1" ref="G156" ca="1">INDEX(rua_cod!$F:$F,RANDBETWEEN(2,COUNTA(rua_cod!F:F)))</f>
        <v>Rua da Prata</v>
      </c>
      <c r="H156" t="str" cm="1">
        <f t="array" aca="1" ref="H156" ca="1">INDEX(rua_cod!$A:$A,Médicos!X156) &amp; "-" &amp; TEXT(RANDBETWEEN(0,999),"000")</f>
        <v>1399-428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48586628</v>
      </c>
      <c r="N156" t="str">
        <f t="shared" ca="1" si="27"/>
        <v>914082412</v>
      </c>
      <c r="O156" t="str">
        <f t="shared" ca="1" si="27"/>
        <v>672118909</v>
      </c>
      <c r="P156" t="str" cm="1">
        <f t="array" aca="1" ref="P156" ca="1">9 &amp; INDEX($AH$3:$AH$6,Y156)&amp; TEXT(RANDBETWEEN(0,9999999),"0000000")</f>
        <v>911590042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9487246248523086</v>
      </c>
      <c r="T156" t="s">
        <v>341</v>
      </c>
      <c r="V156" s="4"/>
      <c r="X156">
        <f ca="1">RANDBETWEEN(2,COUNTA(rua_cod!A:A))</f>
        <v>55</v>
      </c>
      <c r="Y156">
        <f t="shared" ca="1" si="30"/>
        <v>1</v>
      </c>
      <c r="Z156">
        <f t="shared" ca="1" si="31"/>
        <v>2</v>
      </c>
      <c r="AA156">
        <f t="shared" ca="1" si="32"/>
        <v>1984</v>
      </c>
      <c r="AB156">
        <f t="shared" ca="1" si="33"/>
        <v>2</v>
      </c>
      <c r="AC156">
        <f t="shared" ca="1" si="34"/>
        <v>15</v>
      </c>
      <c r="AD156">
        <f t="shared" ca="1" si="35"/>
        <v>36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Gabriel João Baptista Leite</v>
      </c>
      <c r="E157" t="str">
        <f>Nomes!S158</f>
        <v>Masculino</v>
      </c>
      <c r="F157" s="2">
        <v>44029</v>
      </c>
      <c r="G157" t="str" cm="1">
        <f t="array" aca="1" ref="G157" ca="1">INDEX(rua_cod!$F:$F,RANDBETWEEN(2,COUNTA(rua_cod!F:F)))</f>
        <v>Rua de São Bento</v>
      </c>
      <c r="H157" t="str" cm="1">
        <f t="array" aca="1" ref="H157" ca="1">INDEX(rua_cod!$A:$A,Médicos!X157) &amp; "-" &amp; TEXT(RANDBETWEEN(0,999),"000")</f>
        <v>1070-656</v>
      </c>
      <c r="I157" t="str" cm="1">
        <f t="array" aca="1" ref="I157" ca="1">INDEX(rua_cod!$B:$B,Médicos!X157)</f>
        <v>Lisboa</v>
      </c>
      <c r="J157" t="s">
        <v>341</v>
      </c>
      <c r="K157" t="s">
        <v>225</v>
      </c>
      <c r="L157" t="s">
        <v>265</v>
      </c>
      <c r="M157" t="str">
        <f t="shared" ca="1" si="26"/>
        <v>95757010</v>
      </c>
      <c r="N157" t="str">
        <f t="shared" ca="1" si="27"/>
        <v>836321750</v>
      </c>
      <c r="O157" t="str">
        <f t="shared" ca="1" si="27"/>
        <v>422017932</v>
      </c>
      <c r="P157" t="str" cm="1">
        <f t="array" aca="1" ref="P157" ca="1">9 &amp; INDEX($AH$3:$AH$6,Y157)&amp; TEXT(RANDBETWEEN(0,9999999),"0000000")</f>
        <v>914984814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1184343277742875</v>
      </c>
      <c r="T157" t="s">
        <v>341</v>
      </c>
      <c r="V157" s="4"/>
      <c r="X157">
        <f ca="1">RANDBETWEEN(2,COUNTA(rua_cod!A:A))</f>
        <v>51</v>
      </c>
      <c r="Y157">
        <f t="shared" ca="1" si="30"/>
        <v>1</v>
      </c>
      <c r="Z157">
        <f t="shared" ca="1" si="31"/>
        <v>3</v>
      </c>
      <c r="AA157">
        <f t="shared" ca="1" si="32"/>
        <v>1989</v>
      </c>
      <c r="AB157">
        <f t="shared" ca="1" si="33"/>
        <v>10</v>
      </c>
      <c r="AC157">
        <f t="shared" ca="1" si="34"/>
        <v>9</v>
      </c>
      <c r="AD157">
        <f t="shared" ca="1" si="35"/>
        <v>31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Daniela Mariana Paiva Figueiredo</v>
      </c>
      <c r="E158" t="str">
        <f>Nomes!S159</f>
        <v>Feminino</v>
      </c>
      <c r="F158" s="2">
        <v>11043</v>
      </c>
      <c r="G158" t="str" cm="1">
        <f t="array" aca="1" ref="G158" ca="1">INDEX(rua_cod!$F:$F,RANDBETWEEN(2,COUNTA(rua_cod!F:F)))</f>
        <v>Rua Ferreira Lapa</v>
      </c>
      <c r="H158" t="str" cm="1">
        <f t="array" aca="1" ref="H158" ca="1">INDEX(rua_cod!$A:$A,Médicos!X158) &amp; "-" &amp; TEXT(RANDBETWEEN(0,999),"000")</f>
        <v>1500-868</v>
      </c>
      <c r="I158" t="str" cm="1">
        <f t="array" aca="1" ref="I158" ca="1">INDEX(rua_cod!$B:$B,Médicos!X158)</f>
        <v>Lisboa</v>
      </c>
      <c r="J158" t="s">
        <v>341</v>
      </c>
      <c r="K158" t="s">
        <v>225</v>
      </c>
      <c r="L158" t="s">
        <v>265</v>
      </c>
      <c r="M158" t="str">
        <f t="shared" ca="1" si="26"/>
        <v>25380326</v>
      </c>
      <c r="N158" t="str">
        <f t="shared" ca="1" si="27"/>
        <v>145974209</v>
      </c>
      <c r="O158" t="str">
        <f t="shared" ca="1" si="27"/>
        <v>799730263</v>
      </c>
      <c r="P158" t="str" cm="1">
        <f t="array" aca="1" ref="P158" ca="1">9 &amp; INDEX($AH$3:$AH$6,Y158)&amp; TEXT(RANDBETWEEN(0,9999999),"0000000")</f>
        <v>937969989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1846584457333733</v>
      </c>
      <c r="T158" t="s">
        <v>341</v>
      </c>
      <c r="V158" s="4"/>
      <c r="X158">
        <f ca="1">RANDBETWEEN(2,COUNTA(rua_cod!A:A))</f>
        <v>43</v>
      </c>
      <c r="Y158">
        <f t="shared" ca="1" si="30"/>
        <v>3</v>
      </c>
      <c r="Z158">
        <f t="shared" ca="1" si="31"/>
        <v>3</v>
      </c>
      <c r="AA158">
        <f t="shared" ca="1" si="32"/>
        <v>1971</v>
      </c>
      <c r="AB158">
        <f t="shared" ca="1" si="33"/>
        <v>4</v>
      </c>
      <c r="AC158">
        <f t="shared" ca="1" si="34"/>
        <v>17</v>
      </c>
      <c r="AD158">
        <f t="shared" ca="1" si="35"/>
        <v>49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Bruno Catarina Amaral Abreu</v>
      </c>
      <c r="E159" t="str">
        <f>Nomes!S160</f>
        <v>Masculino</v>
      </c>
      <c r="F159" s="2">
        <v>28184</v>
      </c>
      <c r="G159" t="str" cm="1">
        <f t="array" aca="1" ref="G159" ca="1">INDEX(rua_cod!$F:$F,RANDBETWEEN(2,COUNTA(rua_cod!F:F)))</f>
        <v>Rua Garrett</v>
      </c>
      <c r="H159" t="str" cm="1">
        <f t="array" aca="1" ref="H159" ca="1">INDEX(rua_cod!$A:$A,Médicos!X159) &amp; "-" &amp; TEXT(RANDBETWEEN(0,999),"000")</f>
        <v>2419-867</v>
      </c>
      <c r="I159" t="str" cm="1">
        <f t="array" aca="1" ref="I159" ca="1">INDEX(rua_cod!$B:$B,Médicos!X159)</f>
        <v>Leiria</v>
      </c>
      <c r="J159" t="s">
        <v>341</v>
      </c>
      <c r="K159" t="s">
        <v>225</v>
      </c>
      <c r="L159" t="s">
        <v>265</v>
      </c>
      <c r="M159" t="str">
        <f t="shared" ca="1" si="26"/>
        <v>41228519</v>
      </c>
      <c r="N159" t="str">
        <f t="shared" ca="1" si="27"/>
        <v>278776714</v>
      </c>
      <c r="O159" t="str">
        <f t="shared" ca="1" si="27"/>
        <v>977601861</v>
      </c>
      <c r="P159" t="str" cm="1">
        <f t="array" aca="1" ref="P159" ca="1">9 &amp; INDEX($AH$3:$AH$6,Y159)&amp; TEXT(RANDBETWEEN(0,9999999),"0000000")</f>
        <v>935572059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2347700303156225</v>
      </c>
      <c r="T159" t="s">
        <v>341</v>
      </c>
      <c r="V159" s="4"/>
      <c r="X159">
        <f ca="1">RANDBETWEEN(2,COUNTA(rua_cod!A:A))</f>
        <v>37</v>
      </c>
      <c r="Y159">
        <f t="shared" ca="1" si="30"/>
        <v>3</v>
      </c>
      <c r="Z159">
        <f t="shared" ca="1" si="31"/>
        <v>1</v>
      </c>
      <c r="AA159">
        <f t="shared" ca="1" si="32"/>
        <v>1962</v>
      </c>
      <c r="AB159">
        <f t="shared" ca="1" si="33"/>
        <v>8</v>
      </c>
      <c r="AC159">
        <f t="shared" ca="1" si="34"/>
        <v>18</v>
      </c>
      <c r="AD159">
        <f t="shared" ca="1" si="35"/>
        <v>58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Sofia Inês Pinho Carneiro</v>
      </c>
      <c r="E160" t="str">
        <f>Nomes!S161</f>
        <v>Feminino</v>
      </c>
      <c r="F160" s="2">
        <v>20148</v>
      </c>
      <c r="G160" t="str" cm="1">
        <f t="array" aca="1" ref="G160" ca="1">INDEX(rua_cod!$F:$F,RANDBETWEEN(2,COUNTA(rua_cod!F:F)))</f>
        <v>Rua do Instituto Bacteriológico</v>
      </c>
      <c r="H160" t="str" cm="1">
        <f t="array" aca="1" ref="H160" ca="1">INDEX(rua_cod!$A:$A,Médicos!X160) &amp; "-" &amp; TEXT(RANDBETWEEN(0,999),"000")</f>
        <v>2415-405</v>
      </c>
      <c r="I160" t="str" cm="1">
        <f t="array" aca="1" ref="I160" ca="1">INDEX(rua_cod!$B:$B,Médicos!X160)</f>
        <v>Leiria</v>
      </c>
      <c r="J160" t="s">
        <v>341</v>
      </c>
      <c r="K160" t="s">
        <v>225</v>
      </c>
      <c r="L160" t="s">
        <v>265</v>
      </c>
      <c r="M160" t="str">
        <f t="shared" ca="1" si="26"/>
        <v>73749503</v>
      </c>
      <c r="N160" t="str">
        <f t="shared" ca="1" si="27"/>
        <v>357538878</v>
      </c>
      <c r="O160" t="str">
        <f t="shared" ca="1" si="27"/>
        <v>225954660</v>
      </c>
      <c r="P160" t="str" cm="1">
        <f t="array" aca="1" ref="P160" ca="1">9 &amp; INDEX($AH$3:$AH$6,Y160)&amp; TEXT(RANDBETWEEN(0,9999999),"0000000")</f>
        <v>938271102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8292685375721921</v>
      </c>
      <c r="T160" t="s">
        <v>341</v>
      </c>
      <c r="V160" s="4"/>
      <c r="X160">
        <f ca="1">RANDBETWEEN(2,COUNTA(rua_cod!A:A))</f>
        <v>35</v>
      </c>
      <c r="Y160">
        <f t="shared" ca="1" si="30"/>
        <v>3</v>
      </c>
      <c r="Z160">
        <f t="shared" ca="1" si="31"/>
        <v>1</v>
      </c>
      <c r="AA160">
        <f t="shared" ca="1" si="32"/>
        <v>1956</v>
      </c>
      <c r="AB160">
        <f t="shared" ca="1" si="33"/>
        <v>7</v>
      </c>
      <c r="AC160">
        <f t="shared" ca="1" si="34"/>
        <v>9</v>
      </c>
      <c r="AD160">
        <f t="shared" ca="1" si="35"/>
        <v>64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Martim Martim Pacheco Amorim</v>
      </c>
      <c r="E161" t="str">
        <f>Nomes!S162</f>
        <v>Masculino</v>
      </c>
      <c r="F161" s="2">
        <v>40822</v>
      </c>
      <c r="G161" t="str" cm="1">
        <f t="array" aca="1" ref="G161" ca="1">INDEX(rua_cod!$F:$F,RANDBETWEEN(2,COUNTA(rua_cod!F:F)))</f>
        <v>Rua do Sacramento à Lapa</v>
      </c>
      <c r="H161" t="str" cm="1">
        <f t="array" aca="1" ref="H161" ca="1">INDEX(rua_cod!$A:$A,Médicos!X161) &amp; "-" &amp; TEXT(RANDBETWEEN(0,999),"000")</f>
        <v>2644-785</v>
      </c>
      <c r="I161" t="str" cm="1">
        <f t="array" aca="1" ref="I161" ca="1">INDEX(rua_cod!$B:$B,Médicos!X161)</f>
        <v>Mafra</v>
      </c>
      <c r="J161" t="s">
        <v>341</v>
      </c>
      <c r="K161" t="s">
        <v>225</v>
      </c>
      <c r="L161" t="s">
        <v>265</v>
      </c>
      <c r="M161" t="str">
        <f t="shared" ca="1" si="26"/>
        <v>82153956</v>
      </c>
      <c r="N161" t="str">
        <f t="shared" ca="1" si="27"/>
        <v>485591295</v>
      </c>
      <c r="O161" t="str">
        <f t="shared" ca="1" si="27"/>
        <v>853123439</v>
      </c>
      <c r="P161" t="str" cm="1">
        <f t="array" aca="1" ref="P161" ca="1">9 &amp; INDEX($AH$3:$AH$6,Y161)&amp; TEXT(RANDBETWEEN(0,9999999),"0000000")</f>
        <v>927511187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6100910571813406</v>
      </c>
      <c r="T161" t="s">
        <v>341</v>
      </c>
      <c r="V161" s="4"/>
      <c r="X161">
        <f ca="1">RANDBETWEEN(2,COUNTA(rua_cod!A:A))</f>
        <v>86</v>
      </c>
      <c r="Y161">
        <f t="shared" ca="1" si="30"/>
        <v>2</v>
      </c>
      <c r="Z161">
        <f t="shared" ca="1" si="31"/>
        <v>1</v>
      </c>
      <c r="AA161">
        <f t="shared" ca="1" si="32"/>
        <v>1953</v>
      </c>
      <c r="AB161">
        <f t="shared" ca="1" si="33"/>
        <v>7</v>
      </c>
      <c r="AC161">
        <f t="shared" ca="1" si="34"/>
        <v>9</v>
      </c>
      <c r="AD161">
        <f t="shared" ca="1" si="35"/>
        <v>67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Francisco Ricardo Guerreiro Jesus</v>
      </c>
      <c r="E162" t="str">
        <f>Nomes!S163</f>
        <v>Masculino</v>
      </c>
      <c r="F162" s="2">
        <v>24061</v>
      </c>
      <c r="G162" t="str" cm="1">
        <f t="array" aca="1" ref="G162" ca="1">INDEX(rua_cod!$F:$F,RANDBETWEEN(2,COUNTA(rua_cod!F:F)))</f>
        <v>Rua do Carmo</v>
      </c>
      <c r="H162" t="str" cm="1">
        <f t="array" aca="1" ref="H162" ca="1">INDEX(rua_cod!$A:$A,Médicos!X162) &amp; "-" &amp; TEXT(RANDBETWEEN(0,999),"000")</f>
        <v>2904-187</v>
      </c>
      <c r="I162" t="str" cm="1">
        <f t="array" aca="1" ref="I162" ca="1">INDEX(rua_cod!$B:$B,Médicos!X162)</f>
        <v>Setúbal</v>
      </c>
      <c r="J162" t="s">
        <v>341</v>
      </c>
      <c r="K162" t="s">
        <v>225</v>
      </c>
      <c r="L162" t="s">
        <v>265</v>
      </c>
      <c r="M162" t="str">
        <f t="shared" ca="1" si="26"/>
        <v>13104027</v>
      </c>
      <c r="N162" t="str">
        <f t="shared" ca="1" si="27"/>
        <v>323968567</v>
      </c>
      <c r="O162" t="str">
        <f t="shared" ca="1" si="27"/>
        <v>339066062</v>
      </c>
      <c r="P162" t="str" cm="1">
        <f t="array" aca="1" ref="P162" ca="1">9 &amp; INDEX($AH$3:$AH$6,Y162)&amp; TEXT(RANDBETWEEN(0,9999999),"0000000")</f>
        <v>967181343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8921574848798547</v>
      </c>
      <c r="T162" t="s">
        <v>341</v>
      </c>
      <c r="V162" s="4"/>
      <c r="X162">
        <f ca="1">RANDBETWEEN(2,COUNTA(rua_cod!A:A))</f>
        <v>99</v>
      </c>
      <c r="Y162">
        <f t="shared" ca="1" si="30"/>
        <v>4</v>
      </c>
      <c r="Z162">
        <f t="shared" ca="1" si="31"/>
        <v>1</v>
      </c>
      <c r="AA162">
        <f t="shared" ca="1" si="32"/>
        <v>1970</v>
      </c>
      <c r="AB162">
        <f t="shared" ca="1" si="33"/>
        <v>8</v>
      </c>
      <c r="AC162">
        <f t="shared" ca="1" si="34"/>
        <v>21</v>
      </c>
      <c r="AD162">
        <f t="shared" ca="1" si="35"/>
        <v>50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Carolina Duarte Figueiredo Guerreiro</v>
      </c>
      <c r="E163" t="str">
        <f>Nomes!S164</f>
        <v>Feminino</v>
      </c>
      <c r="F163" s="2">
        <v>29777</v>
      </c>
      <c r="G163" t="str" cm="1">
        <f t="array" aca="1" ref="G163" ca="1">INDEX(rua_cod!$F:$F,RANDBETWEEN(2,COUNTA(rua_cod!F:F)))</f>
        <v>Rua do Sacramento à Lapa</v>
      </c>
      <c r="H163" t="str" cm="1">
        <f t="array" aca="1" ref="H163" ca="1">INDEX(rua_cod!$A:$A,Médicos!X163) &amp; "-" &amp; TEXT(RANDBETWEEN(0,999),"000")</f>
        <v>2005-827</v>
      </c>
      <c r="I163" t="str" cm="1">
        <f t="array" aca="1" ref="I163" ca="1">INDEX(rua_cod!$B:$B,Médicos!X163)</f>
        <v>Santarém</v>
      </c>
      <c r="J163" t="s">
        <v>341</v>
      </c>
      <c r="K163" t="s">
        <v>225</v>
      </c>
      <c r="L163" t="s">
        <v>265</v>
      </c>
      <c r="M163" t="str">
        <f t="shared" ca="1" si="26"/>
        <v>55281235</v>
      </c>
      <c r="N163" t="str">
        <f t="shared" ca="1" si="27"/>
        <v>219125914</v>
      </c>
      <c r="O163" t="str">
        <f t="shared" ca="1" si="27"/>
        <v>738250257</v>
      </c>
      <c r="P163" t="str" cm="1">
        <f t="array" aca="1" ref="P163" ca="1">9 &amp; INDEX($AH$3:$AH$6,Y163)&amp; TEXT(RANDBETWEEN(0,9999999),"0000000")</f>
        <v>915707925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2403774389415134</v>
      </c>
      <c r="T163" t="s">
        <v>341</v>
      </c>
      <c r="V163" s="4"/>
      <c r="X163">
        <f ca="1">RANDBETWEEN(2,COUNTA(rua_cod!A:A))</f>
        <v>92</v>
      </c>
      <c r="Y163">
        <f t="shared" ca="1" si="30"/>
        <v>1</v>
      </c>
      <c r="Z163">
        <f t="shared" ca="1" si="31"/>
        <v>3</v>
      </c>
      <c r="AA163">
        <f t="shared" ca="1" si="32"/>
        <v>1958</v>
      </c>
      <c r="AB163">
        <f t="shared" ca="1" si="33"/>
        <v>11</v>
      </c>
      <c r="AC163">
        <f t="shared" ca="1" si="34"/>
        <v>21</v>
      </c>
      <c r="AD163">
        <f t="shared" ca="1" si="35"/>
        <v>62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Lurdes Beatriz Borges Neto</v>
      </c>
      <c r="E164" t="str">
        <f>Nomes!S165</f>
        <v>Feminino</v>
      </c>
      <c r="F164" s="2">
        <v>22302</v>
      </c>
      <c r="G164" t="str" cm="1">
        <f t="array" aca="1" ref="G164" ca="1">INDEX(rua_cod!$F:$F,RANDBETWEEN(2,COUNTA(rua_cod!F:F)))</f>
        <v>Rua Roberto Duarte Silva</v>
      </c>
      <c r="H164" t="str" cm="1">
        <f t="array" aca="1" ref="H164" ca="1">INDEX(rua_cod!$A:$A,Médicos!X164) &amp; "-" &amp; TEXT(RANDBETWEEN(0,999),"000")</f>
        <v>2710-844</v>
      </c>
      <c r="I164" t="str" cm="1">
        <f t="array" aca="1" ref="I164" ca="1">INDEX(rua_cod!$B:$B,Médicos!X164)</f>
        <v>Sintra</v>
      </c>
      <c r="J164" t="s">
        <v>341</v>
      </c>
      <c r="K164" t="s">
        <v>225</v>
      </c>
      <c r="L164" t="s">
        <v>265</v>
      </c>
      <c r="M164" t="str">
        <f t="shared" ca="1" si="26"/>
        <v>68222002</v>
      </c>
      <c r="N164" t="str">
        <f t="shared" ca="1" si="27"/>
        <v>283192056</v>
      </c>
      <c r="O164" t="str">
        <f t="shared" ca="1" si="27"/>
        <v>203672400</v>
      </c>
      <c r="P164" t="str" cm="1">
        <f t="array" aca="1" ref="P164" ca="1">9 &amp; INDEX($AH$3:$AH$6,Y164)&amp; TEXT(RANDBETWEEN(0,9999999),"0000000")</f>
        <v>923324715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4248544956747531</v>
      </c>
      <c r="T164" t="s">
        <v>341</v>
      </c>
      <c r="V164" s="4"/>
      <c r="X164">
        <f ca="1">RANDBETWEEN(2,COUNTA(rua_cod!A:A))</f>
        <v>100</v>
      </c>
      <c r="Y164">
        <f t="shared" ca="1" si="30"/>
        <v>2</v>
      </c>
      <c r="Z164">
        <f t="shared" ca="1" si="31"/>
        <v>3</v>
      </c>
      <c r="AA164">
        <f t="shared" ca="1" si="32"/>
        <v>1988</v>
      </c>
      <c r="AB164">
        <f t="shared" ca="1" si="33"/>
        <v>6</v>
      </c>
      <c r="AC164">
        <f t="shared" ca="1" si="34"/>
        <v>7</v>
      </c>
      <c r="AD164">
        <f t="shared" ca="1" si="35"/>
        <v>32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Francisca Joana Moreira Araújo</v>
      </c>
      <c r="E165" t="str">
        <f>Nomes!S166</f>
        <v>Feminino</v>
      </c>
      <c r="F165" s="2">
        <v>44419</v>
      </c>
      <c r="G165" t="str" cm="1">
        <f t="array" aca="1" ref="G165" ca="1">INDEX(rua_cod!$F:$F,RANDBETWEEN(2,COUNTA(rua_cod!F:F)))</f>
        <v>Calçada do Moinho de Vento</v>
      </c>
      <c r="H165" t="str" cm="1">
        <f t="array" aca="1" ref="H165" ca="1">INDEX(rua_cod!$A:$A,Médicos!X165) &amp; "-" &amp; TEXT(RANDBETWEEN(0,999),"000")</f>
        <v>1349-398</v>
      </c>
      <c r="I165" t="str" cm="1">
        <f t="array" aca="1" ref="I165" ca="1">INDEX(rua_cod!$B:$B,Médicos!X165)</f>
        <v>Lisboa</v>
      </c>
      <c r="J165" t="s">
        <v>341</v>
      </c>
      <c r="K165" t="s">
        <v>225</v>
      </c>
      <c r="L165" t="s">
        <v>265</v>
      </c>
      <c r="M165" t="str">
        <f t="shared" ca="1" si="26"/>
        <v>83316916</v>
      </c>
      <c r="N165" t="str">
        <f t="shared" ca="1" si="27"/>
        <v>940150224</v>
      </c>
      <c r="O165" t="str">
        <f t="shared" ca="1" si="27"/>
        <v>795676356</v>
      </c>
      <c r="P165" t="str" cm="1">
        <f t="array" aca="1" ref="P165" ca="1">9 &amp; INDEX($AH$3:$AH$6,Y165)&amp; TEXT(RANDBETWEEN(0,9999999),"0000000")</f>
        <v>938562201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9697351537153688</v>
      </c>
      <c r="T165" t="s">
        <v>341</v>
      </c>
      <c r="V165" s="4"/>
      <c r="X165">
        <f ca="1">RANDBETWEEN(2,COUNTA(rua_cod!A:A))</f>
        <v>71</v>
      </c>
      <c r="Y165">
        <f t="shared" ca="1" si="30"/>
        <v>3</v>
      </c>
      <c r="Z165">
        <f t="shared" ca="1" si="31"/>
        <v>2</v>
      </c>
      <c r="AA165">
        <f t="shared" ca="1" si="32"/>
        <v>1951</v>
      </c>
      <c r="AB165">
        <f t="shared" ca="1" si="33"/>
        <v>12</v>
      </c>
      <c r="AC165">
        <f t="shared" ca="1" si="34"/>
        <v>26</v>
      </c>
      <c r="AD165">
        <f t="shared" ca="1" si="35"/>
        <v>69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Mariana Afonso Soares Raposo</v>
      </c>
      <c r="E166" t="str">
        <f>Nomes!S167</f>
        <v>Feminino</v>
      </c>
      <c r="F166" s="2">
        <v>11307</v>
      </c>
      <c r="G166" t="str" cm="1">
        <f t="array" aca="1" ref="G166" ca="1">INDEX(rua_cod!$F:$F,RANDBETWEEN(2,COUNTA(rua_cod!F:F)))</f>
        <v>Rua de São Mamede</v>
      </c>
      <c r="H166" t="str" cm="1">
        <f t="array" aca="1" ref="H166" ca="1">INDEX(rua_cod!$A:$A,Médicos!X166) &amp; "-" &amp; TEXT(RANDBETWEEN(0,999),"000")</f>
        <v>2009-861</v>
      </c>
      <c r="I166" t="str" cm="1">
        <f t="array" aca="1" ref="I166" ca="1">INDEX(rua_cod!$B:$B,Médicos!X166)</f>
        <v>Santarém</v>
      </c>
      <c r="J166" t="s">
        <v>341</v>
      </c>
      <c r="K166" t="s">
        <v>225</v>
      </c>
      <c r="L166" t="s">
        <v>265</v>
      </c>
      <c r="M166" t="str">
        <f t="shared" ca="1" si="26"/>
        <v>99682926</v>
      </c>
      <c r="N166" t="str">
        <f t="shared" ca="1" si="27"/>
        <v>818147173</v>
      </c>
      <c r="O166" t="str">
        <f t="shared" ca="1" si="27"/>
        <v>351799046</v>
      </c>
      <c r="P166" t="str" cm="1">
        <f t="array" aca="1" ref="P166" ca="1">9 &amp; INDEX($AH$3:$AH$6,Y166)&amp; TEXT(RANDBETWEEN(0,9999999),"0000000")</f>
        <v>912858694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4015094851049022</v>
      </c>
      <c r="T166" t="s">
        <v>341</v>
      </c>
      <c r="V166" s="4"/>
      <c r="X166">
        <f ca="1">RANDBETWEEN(2,COUNTA(rua_cod!A:A))</f>
        <v>95</v>
      </c>
      <c r="Y166">
        <f t="shared" ca="1" si="30"/>
        <v>1</v>
      </c>
      <c r="Z166">
        <f t="shared" ca="1" si="31"/>
        <v>3</v>
      </c>
      <c r="AA166">
        <f t="shared" ca="1" si="32"/>
        <v>1966</v>
      </c>
      <c r="AB166">
        <f t="shared" ca="1" si="33"/>
        <v>2</v>
      </c>
      <c r="AC166">
        <f t="shared" ca="1" si="34"/>
        <v>9</v>
      </c>
      <c r="AD166">
        <f t="shared" ca="1" si="35"/>
        <v>54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Vera Matilde Pinheiro Oliveira</v>
      </c>
      <c r="E167" t="str">
        <f>Nomes!S168</f>
        <v>Feminino</v>
      </c>
      <c r="F167" s="2">
        <v>31637</v>
      </c>
      <c r="G167" t="str" cm="1">
        <f t="array" aca="1" ref="G167" ca="1">INDEX(rua_cod!$F:$F,RANDBETWEEN(2,COUNTA(rua_cod!F:F)))</f>
        <v>Calçada de Carriche</v>
      </c>
      <c r="H167" t="str" cm="1">
        <f t="array" aca="1" ref="H167" ca="1">INDEX(rua_cod!$A:$A,Médicos!X167) &amp; "-" &amp; TEXT(RANDBETWEEN(0,999),"000")</f>
        <v>2415-463</v>
      </c>
      <c r="I167" t="str" cm="1">
        <f t="array" aca="1" ref="I167" ca="1">INDEX(rua_cod!$B:$B,Médicos!X167)</f>
        <v>Leiria</v>
      </c>
      <c r="J167" t="s">
        <v>341</v>
      </c>
      <c r="K167" t="s">
        <v>225</v>
      </c>
      <c r="L167" t="s">
        <v>265</v>
      </c>
      <c r="M167" t="str">
        <f t="shared" ca="1" si="26"/>
        <v>68071319</v>
      </c>
      <c r="N167" t="str">
        <f t="shared" ca="1" si="27"/>
        <v>490054527</v>
      </c>
      <c r="O167" t="str">
        <f t="shared" ca="1" si="27"/>
        <v>927338590</v>
      </c>
      <c r="P167" t="str" cm="1">
        <f t="array" aca="1" ref="P167" ca="1">9 &amp; INDEX($AH$3:$AH$6,Y167)&amp; TEXT(RANDBETWEEN(0,9999999),"0000000")</f>
        <v>910075857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7902833965491930</v>
      </c>
      <c r="T167" t="s">
        <v>341</v>
      </c>
      <c r="V167" s="4"/>
      <c r="X167">
        <f ca="1">RANDBETWEEN(2,COUNTA(rua_cod!A:A))</f>
        <v>35</v>
      </c>
      <c r="Y167">
        <f t="shared" ca="1" si="30"/>
        <v>1</v>
      </c>
      <c r="Z167">
        <f t="shared" ca="1" si="31"/>
        <v>1</v>
      </c>
      <c r="AA167">
        <f t="shared" ca="1" si="32"/>
        <v>1981</v>
      </c>
      <c r="AB167">
        <f t="shared" ca="1" si="33"/>
        <v>4</v>
      </c>
      <c r="AC167">
        <f t="shared" ca="1" si="34"/>
        <v>12</v>
      </c>
      <c r="AD167">
        <f t="shared" ca="1" si="35"/>
        <v>39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Luís Miguel Teixeira Gonçalves</v>
      </c>
      <c r="E168" t="str">
        <f>Nomes!S169</f>
        <v>Masculino</v>
      </c>
      <c r="F168" s="2">
        <v>42520</v>
      </c>
      <c r="G168" t="str" cm="1">
        <f t="array" aca="1" ref="G168" ca="1">INDEX(rua_cod!$F:$F,RANDBETWEEN(2,COUNTA(rua_cod!F:F)))</f>
        <v>Rua do Guarda-Mor</v>
      </c>
      <c r="H168" t="str" cm="1">
        <f t="array" aca="1" ref="H168" ca="1">INDEX(rua_cod!$A:$A,Médicos!X168) &amp; "-" &amp; TEXT(RANDBETWEEN(0,999),"000")</f>
        <v>2674-521</v>
      </c>
      <c r="I168" t="str" cm="1">
        <f t="array" aca="1" ref="I168" ca="1">INDEX(rua_cod!$B:$B,Médicos!X168)</f>
        <v>Loures</v>
      </c>
      <c r="J168" t="s">
        <v>341</v>
      </c>
      <c r="K168" t="s">
        <v>225</v>
      </c>
      <c r="L168" t="s">
        <v>265</v>
      </c>
      <c r="M168" t="str">
        <f t="shared" ca="1" si="26"/>
        <v>13206151</v>
      </c>
      <c r="N168" t="str">
        <f t="shared" ca="1" si="27"/>
        <v>374075742</v>
      </c>
      <c r="O168" t="str">
        <f t="shared" ca="1" si="27"/>
        <v>832086005</v>
      </c>
      <c r="P168" t="str" cm="1">
        <f t="array" aca="1" ref="P168" ca="1">9 &amp; INDEX($AH$3:$AH$6,Y168)&amp; TEXT(RANDBETWEEN(0,9999999),"0000000")</f>
        <v>921007121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8409331693562442</v>
      </c>
      <c r="T168" t="s">
        <v>341</v>
      </c>
      <c r="V168" s="4"/>
      <c r="X168">
        <f ca="1">RANDBETWEEN(2,COUNTA(rua_cod!A:A))</f>
        <v>84</v>
      </c>
      <c r="Y168">
        <f t="shared" ca="1" si="30"/>
        <v>2</v>
      </c>
      <c r="Z168">
        <f t="shared" ca="1" si="31"/>
        <v>1</v>
      </c>
      <c r="AA168">
        <f t="shared" ca="1" si="32"/>
        <v>1982</v>
      </c>
      <c r="AB168">
        <f t="shared" ca="1" si="33"/>
        <v>7</v>
      </c>
      <c r="AC168">
        <f t="shared" ca="1" si="34"/>
        <v>3</v>
      </c>
      <c r="AD168">
        <f t="shared" ca="1" si="35"/>
        <v>38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Tiago Catarina Faria Leal</v>
      </c>
      <c r="E169" t="str">
        <f>Nomes!S170</f>
        <v>Masculino</v>
      </c>
      <c r="F169" s="2">
        <v>37371</v>
      </c>
      <c r="G169" t="str" cm="1">
        <f t="array" aca="1" ref="G169" ca="1">INDEX(rua_cod!$F:$F,RANDBETWEEN(2,COUNTA(rua_cod!F:F)))</f>
        <v>Calçada do Moinho de Vento</v>
      </c>
      <c r="H169" t="str" cm="1">
        <f t="array" aca="1" ref="H169" ca="1">INDEX(rua_cod!$A:$A,Médicos!X169) &amp; "-" &amp; TEXT(RANDBETWEEN(0,999),"000")</f>
        <v>1069-011</v>
      </c>
      <c r="I169" t="str" cm="1">
        <f t="array" aca="1" ref="I169" ca="1">INDEX(rua_cod!$B:$B,Médicos!X169)</f>
        <v>Lisboa</v>
      </c>
      <c r="J169" t="s">
        <v>341</v>
      </c>
      <c r="K169" t="s">
        <v>225</v>
      </c>
      <c r="L169" t="s">
        <v>265</v>
      </c>
      <c r="M169" t="str">
        <f t="shared" ca="1" si="26"/>
        <v>40321294</v>
      </c>
      <c r="N169" t="str">
        <f t="shared" ca="1" si="27"/>
        <v>491161492</v>
      </c>
      <c r="O169" t="str">
        <f t="shared" ca="1" si="27"/>
        <v>225819046</v>
      </c>
      <c r="P169" t="str" cm="1">
        <f t="array" aca="1" ref="P169" ca="1">9 &amp; INDEX($AH$3:$AH$6,Y169)&amp; TEXT(RANDBETWEEN(0,9999999),"0000000")</f>
        <v>964981958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8560124059901664</v>
      </c>
      <c r="T169" t="s">
        <v>341</v>
      </c>
      <c r="V169" s="4"/>
      <c r="X169">
        <f ca="1">RANDBETWEEN(2,COUNTA(rua_cod!A:A))</f>
        <v>67</v>
      </c>
      <c r="Y169">
        <f t="shared" ca="1" si="30"/>
        <v>4</v>
      </c>
      <c r="Z169">
        <f t="shared" ca="1" si="31"/>
        <v>1</v>
      </c>
      <c r="AA169">
        <f t="shared" ca="1" si="32"/>
        <v>1965</v>
      </c>
      <c r="AB169">
        <f t="shared" ca="1" si="33"/>
        <v>9</v>
      </c>
      <c r="AC169">
        <f t="shared" ca="1" si="34"/>
        <v>13</v>
      </c>
      <c r="AD169">
        <f t="shared" ca="1" si="35"/>
        <v>55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Afonso Ana Valente Valente</v>
      </c>
      <c r="E170" t="str">
        <f>Nomes!S171</f>
        <v>Masculino</v>
      </c>
      <c r="F170" s="2">
        <v>19794</v>
      </c>
      <c r="G170" t="str" cm="1">
        <f t="array" aca="1" ref="G170" ca="1">INDEX(rua_cod!$F:$F,RANDBETWEEN(2,COUNTA(rua_cod!F:F)))</f>
        <v>Rua da Prata</v>
      </c>
      <c r="H170" t="str" cm="1">
        <f t="array" aca="1" ref="H170" ca="1">INDEX(rua_cod!$A:$A,Médicos!X170) &amp; "-" &amp; TEXT(RANDBETWEEN(0,999),"000")</f>
        <v>1999-671</v>
      </c>
      <c r="I170" t="str" cm="1">
        <f t="array" aca="1" ref="I170" ca="1">INDEX(rua_cod!$B:$B,Médicos!X170)</f>
        <v>Lisboa</v>
      </c>
      <c r="J170" t="s">
        <v>341</v>
      </c>
      <c r="K170" t="s">
        <v>225</v>
      </c>
      <c r="L170" t="s">
        <v>265</v>
      </c>
      <c r="M170" t="str">
        <f t="shared" ca="1" si="26"/>
        <v>24224451</v>
      </c>
      <c r="N170" t="str">
        <f t="shared" ca="1" si="27"/>
        <v>799838276</v>
      </c>
      <c r="O170" t="str">
        <f t="shared" ca="1" si="27"/>
        <v>357024082</v>
      </c>
      <c r="P170" t="str" cm="1">
        <f t="array" aca="1" ref="P170" ca="1">9 &amp; INDEX($AH$3:$AH$6,Y170)&amp; TEXT(RANDBETWEEN(0,9999999),"0000000")</f>
        <v>929626505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4428446221760628</v>
      </c>
      <c r="T170" t="s">
        <v>341</v>
      </c>
      <c r="V170" s="4"/>
      <c r="X170">
        <f ca="1">RANDBETWEEN(2,COUNTA(rua_cod!A:A))</f>
        <v>79</v>
      </c>
      <c r="Y170">
        <f t="shared" ca="1" si="30"/>
        <v>2</v>
      </c>
      <c r="Z170">
        <f t="shared" ca="1" si="31"/>
        <v>1</v>
      </c>
      <c r="AA170">
        <f t="shared" ca="1" si="32"/>
        <v>1954</v>
      </c>
      <c r="AB170">
        <f t="shared" ca="1" si="33"/>
        <v>10</v>
      </c>
      <c r="AC170">
        <f t="shared" ca="1" si="34"/>
        <v>29</v>
      </c>
      <c r="AD170">
        <f t="shared" ca="1" si="35"/>
        <v>66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Daniela André Machado Assunção</v>
      </c>
      <c r="E171" t="str">
        <f>Nomes!S172</f>
        <v>Feminino</v>
      </c>
      <c r="F171" s="2">
        <v>18245</v>
      </c>
      <c r="G171" t="str" cm="1">
        <f t="array" aca="1" ref="G171" ca="1">INDEX(rua_cod!$F:$F,RANDBETWEEN(2,COUNTA(rua_cod!F:F)))</f>
        <v>Travessa de São João da Praça</v>
      </c>
      <c r="H171" t="str" cm="1">
        <f t="array" aca="1" ref="H171" ca="1">INDEX(rua_cod!$A:$A,Médicos!X171) &amp; "-" &amp; TEXT(RANDBETWEEN(0,999),"000")</f>
        <v>2005-973</v>
      </c>
      <c r="I171" t="str" cm="1">
        <f t="array" aca="1" ref="I171" ca="1">INDEX(rua_cod!$B:$B,Médicos!X171)</f>
        <v>Santarém</v>
      </c>
      <c r="J171" t="s">
        <v>341</v>
      </c>
      <c r="K171" t="s">
        <v>225</v>
      </c>
      <c r="L171" t="s">
        <v>265</v>
      </c>
      <c r="M171" t="str">
        <f t="shared" ca="1" si="26"/>
        <v>57318964</v>
      </c>
      <c r="N171" t="str">
        <f t="shared" ca="1" si="27"/>
        <v>395783122</v>
      </c>
      <c r="O171" t="str">
        <f t="shared" ca="1" si="27"/>
        <v>128945606</v>
      </c>
      <c r="P171" t="str" cm="1">
        <f t="array" aca="1" ref="P171" ca="1">9 &amp; INDEX($AH$3:$AH$6,Y171)&amp; TEXT(RANDBETWEEN(0,9999999),"0000000")</f>
        <v>920086624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6976645083038651</v>
      </c>
      <c r="T171" t="s">
        <v>341</v>
      </c>
      <c r="V171" s="4"/>
      <c r="X171">
        <f ca="1">RANDBETWEEN(2,COUNTA(rua_cod!A:A))</f>
        <v>92</v>
      </c>
      <c r="Y171">
        <f t="shared" ca="1" si="30"/>
        <v>2</v>
      </c>
      <c r="Z171">
        <f t="shared" ca="1" si="31"/>
        <v>2</v>
      </c>
      <c r="AA171">
        <f t="shared" ca="1" si="32"/>
        <v>1969</v>
      </c>
      <c r="AB171">
        <f t="shared" ca="1" si="33"/>
        <v>1</v>
      </c>
      <c r="AC171">
        <f t="shared" ca="1" si="34"/>
        <v>2</v>
      </c>
      <c r="AD171">
        <f t="shared" ca="1" si="35"/>
        <v>51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Beatriz Miguel Batista Esteves</v>
      </c>
      <c r="E172" t="str">
        <f>Nomes!S173</f>
        <v>Feminino</v>
      </c>
      <c r="F172" s="2">
        <v>36726</v>
      </c>
      <c r="G172" t="str" cm="1">
        <f t="array" aca="1" ref="G172" ca="1">INDEX(rua_cod!$F:$F,RANDBETWEEN(2,COUNTA(rua_cod!F:F)))</f>
        <v>Rua do Carmo</v>
      </c>
      <c r="H172" t="str" cm="1">
        <f t="array" aca="1" ref="H172" ca="1">INDEX(rua_cod!$A:$A,Médicos!X172) &amp; "-" &amp; TEXT(RANDBETWEEN(0,999),"000")</f>
        <v>2749-843</v>
      </c>
      <c r="I172" t="str" cm="1">
        <f t="array" aca="1" ref="I172" ca="1">INDEX(rua_cod!$B:$B,Médicos!X172)</f>
        <v>Queluz</v>
      </c>
      <c r="J172" t="s">
        <v>341</v>
      </c>
      <c r="K172" t="s">
        <v>225</v>
      </c>
      <c r="L172" t="s">
        <v>265</v>
      </c>
      <c r="M172" t="str">
        <f t="shared" ca="1" si="26"/>
        <v>13938654</v>
      </c>
      <c r="N172" t="str">
        <f t="shared" ca="1" si="27"/>
        <v>123498588</v>
      </c>
      <c r="O172" t="str">
        <f t="shared" ca="1" si="27"/>
        <v>218941724</v>
      </c>
      <c r="P172" t="str" cm="1">
        <f t="array" aca="1" ref="P172" ca="1">9 &amp; INDEX($AH$3:$AH$6,Y172)&amp; TEXT(RANDBETWEEN(0,9999999),"0000000")</f>
        <v>917247678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7451576070432399</v>
      </c>
      <c r="T172" t="s">
        <v>341</v>
      </c>
      <c r="V172" s="4"/>
      <c r="X172">
        <f ca="1">RANDBETWEEN(2,COUNTA(rua_cod!A:A))</f>
        <v>91</v>
      </c>
      <c r="Y172">
        <f t="shared" ca="1" si="30"/>
        <v>1</v>
      </c>
      <c r="Z172">
        <f t="shared" ca="1" si="31"/>
        <v>2</v>
      </c>
      <c r="AA172">
        <f t="shared" ca="1" si="32"/>
        <v>1990</v>
      </c>
      <c r="AB172">
        <f t="shared" ca="1" si="33"/>
        <v>11</v>
      </c>
      <c r="AC172">
        <f t="shared" ca="1" si="34"/>
        <v>20</v>
      </c>
      <c r="AD172">
        <f t="shared" ca="1" si="35"/>
        <v>30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Maria Francisco Abreu Lopes</v>
      </c>
      <c r="E173" t="str">
        <f>Nomes!S174</f>
        <v>Feminino</v>
      </c>
      <c r="F173" s="2">
        <v>21504</v>
      </c>
      <c r="G173" t="str" cm="1">
        <f t="array" aca="1" ref="G173" ca="1">INDEX(rua_cod!$F:$F,RANDBETWEEN(2,COUNTA(rua_cod!F:F)))</f>
        <v>Rua General Morais Sarmento</v>
      </c>
      <c r="H173" t="str" cm="1">
        <f t="array" aca="1" ref="H173" ca="1">INDEX(rua_cod!$A:$A,Médicos!X173) &amp; "-" &amp; TEXT(RANDBETWEEN(0,999),"000")</f>
        <v>1300-546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32995505</v>
      </c>
      <c r="N173" t="str">
        <f t="shared" ca="1" si="27"/>
        <v>604578126</v>
      </c>
      <c r="O173" t="str">
        <f t="shared" ca="1" si="27"/>
        <v>462233459</v>
      </c>
      <c r="P173" t="str" cm="1">
        <f t="array" aca="1" ref="P173" ca="1">9 &amp; INDEX($AH$3:$AH$6,Y173)&amp; TEXT(RANDBETWEEN(0,9999999),"0000000")</f>
        <v>960869244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7537241388729512</v>
      </c>
      <c r="T173" t="s">
        <v>341</v>
      </c>
      <c r="V173" s="4"/>
      <c r="X173">
        <f ca="1">RANDBETWEEN(2,COUNTA(rua_cod!A:A))</f>
        <v>58</v>
      </c>
      <c r="Y173">
        <f t="shared" ca="1" si="30"/>
        <v>4</v>
      </c>
      <c r="Z173">
        <f t="shared" ca="1" si="31"/>
        <v>3</v>
      </c>
      <c r="AA173">
        <f t="shared" ca="1" si="32"/>
        <v>1980</v>
      </c>
      <c r="AB173">
        <f t="shared" ca="1" si="33"/>
        <v>12</v>
      </c>
      <c r="AC173">
        <f t="shared" ca="1" si="34"/>
        <v>6</v>
      </c>
      <c r="AD173">
        <f t="shared" ca="1" si="35"/>
        <v>40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Lurdes Mariana Fonseca Silva</v>
      </c>
      <c r="E174" t="str">
        <f>Nomes!S175</f>
        <v>Feminino</v>
      </c>
      <c r="F174" s="2">
        <v>20070</v>
      </c>
      <c r="G174" t="str" cm="1">
        <f t="array" aca="1" ref="G174" ca="1">INDEX(rua_cod!$F:$F,RANDBETWEEN(2,COUNTA(rua_cod!F:F)))</f>
        <v>Calçada Marquês de Abrantes</v>
      </c>
      <c r="H174" t="str" cm="1">
        <f t="array" aca="1" ref="H174" ca="1">INDEX(rua_cod!$A:$A,Médicos!X174) &amp; "-" &amp; TEXT(RANDBETWEEN(0,999),"000")</f>
        <v>1350-686</v>
      </c>
      <c r="I174" t="str" cm="1">
        <f t="array" aca="1" ref="I174" ca="1">INDEX(rua_cod!$B:$B,Médicos!X174)</f>
        <v>Lisboa</v>
      </c>
      <c r="J174" t="s">
        <v>341</v>
      </c>
      <c r="K174" t="s">
        <v>225</v>
      </c>
      <c r="L174" t="s">
        <v>265</v>
      </c>
      <c r="M174" t="str">
        <f t="shared" ca="1" si="26"/>
        <v>57207867</v>
      </c>
      <c r="N174" t="str">
        <f t="shared" ca="1" si="27"/>
        <v>617935727</v>
      </c>
      <c r="O174" t="str">
        <f t="shared" ca="1" si="27"/>
        <v>742552114</v>
      </c>
      <c r="P174" t="str" cm="1">
        <f t="array" aca="1" ref="P174" ca="1">9 &amp; INDEX($AH$3:$AH$6,Y174)&amp; TEXT(RANDBETWEEN(0,9999999),"0000000")</f>
        <v>939585772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5764500486158590</v>
      </c>
      <c r="T174" t="s">
        <v>341</v>
      </c>
      <c r="V174" s="4"/>
      <c r="X174">
        <f ca="1">RANDBETWEEN(2,COUNTA(rua_cod!A:A))</f>
        <v>54</v>
      </c>
      <c r="Y174">
        <f t="shared" ca="1" si="30"/>
        <v>3</v>
      </c>
      <c r="Z174">
        <f t="shared" ca="1" si="31"/>
        <v>1</v>
      </c>
      <c r="AA174">
        <f t="shared" ca="1" si="32"/>
        <v>1966</v>
      </c>
      <c r="AB174">
        <f t="shared" ca="1" si="33"/>
        <v>5</v>
      </c>
      <c r="AC174">
        <f t="shared" ca="1" si="34"/>
        <v>18</v>
      </c>
      <c r="AD174">
        <f t="shared" ca="1" si="35"/>
        <v>54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Diogo Bruno Monteiro Vieira</v>
      </c>
      <c r="E175" t="str">
        <f>Nomes!S176</f>
        <v>Masculino</v>
      </c>
      <c r="F175" s="2">
        <v>24653</v>
      </c>
      <c r="G175" t="str" cm="1">
        <f t="array" aca="1" ref="G175" ca="1">INDEX(rua_cod!$F:$F,RANDBETWEEN(2,COUNTA(rua_cod!F:F)))</f>
        <v>Rua da Alfândega</v>
      </c>
      <c r="H175" t="str" cm="1">
        <f t="array" aca="1" ref="H175" ca="1">INDEX(rua_cod!$A:$A,Médicos!X175) &amp; "-" &amp; TEXT(RANDBETWEEN(0,999),"000")</f>
        <v>1748-154</v>
      </c>
      <c r="I175" t="str" cm="1">
        <f t="array" aca="1" ref="I175" ca="1">INDEX(rua_cod!$B:$B,Médicos!X175)</f>
        <v>Lisboa</v>
      </c>
      <c r="J175" t="s">
        <v>341</v>
      </c>
      <c r="K175" t="s">
        <v>225</v>
      </c>
      <c r="L175" t="s">
        <v>265</v>
      </c>
      <c r="M175" t="str">
        <f t="shared" ca="1" si="26"/>
        <v>87355557</v>
      </c>
      <c r="N175" t="str">
        <f t="shared" ca="1" si="27"/>
        <v>130709895</v>
      </c>
      <c r="O175" t="str">
        <f t="shared" ca="1" si="27"/>
        <v>857479329</v>
      </c>
      <c r="P175" t="str" cm="1">
        <f t="array" aca="1" ref="P175" ca="1">9 &amp; INDEX($AH$3:$AH$6,Y175)&amp; TEXT(RANDBETWEEN(0,9999999),"0000000")</f>
        <v>968622096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3084526101204993</v>
      </c>
      <c r="T175" t="s">
        <v>341</v>
      </c>
      <c r="V175" s="4"/>
      <c r="X175">
        <f ca="1">RANDBETWEEN(2,COUNTA(rua_cod!A:A))</f>
        <v>77</v>
      </c>
      <c r="Y175">
        <f t="shared" ca="1" si="30"/>
        <v>4</v>
      </c>
      <c r="Z175">
        <f t="shared" ca="1" si="31"/>
        <v>1</v>
      </c>
      <c r="AA175">
        <f t="shared" ca="1" si="32"/>
        <v>1982</v>
      </c>
      <c r="AB175">
        <f t="shared" ca="1" si="33"/>
        <v>5</v>
      </c>
      <c r="AC175">
        <f t="shared" ca="1" si="34"/>
        <v>11</v>
      </c>
      <c r="AD175">
        <f t="shared" ca="1" si="35"/>
        <v>38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Bruno Ricardo Correia Amorim</v>
      </c>
      <c r="E176" t="str">
        <f>Nomes!S177</f>
        <v>Masculino</v>
      </c>
      <c r="F176" s="2">
        <v>43783</v>
      </c>
      <c r="G176" t="str" cm="1">
        <f t="array" aca="1" ref="G176" ca="1">INDEX(rua_cod!$F:$F,RANDBETWEEN(2,COUNTA(rua_cod!F:F)))</f>
        <v>Rua Garrett</v>
      </c>
      <c r="H176" t="str" cm="1">
        <f t="array" aca="1" ref="H176" ca="1">INDEX(rua_cod!$A:$A,Médicos!X176) &amp; "-" &amp; TEXT(RANDBETWEEN(0,999),"000")</f>
        <v>2834-791</v>
      </c>
      <c r="I176" t="str" cm="1">
        <f t="array" aca="1" ref="I176" ca="1">INDEX(rua_cod!$B:$B,Médicos!X176)</f>
        <v>Barreiro</v>
      </c>
      <c r="J176" t="s">
        <v>341</v>
      </c>
      <c r="K176" t="s">
        <v>225</v>
      </c>
      <c r="L176" t="s">
        <v>265</v>
      </c>
      <c r="M176" t="str">
        <f t="shared" ca="1" si="26"/>
        <v>90346905</v>
      </c>
      <c r="N176" t="str">
        <f t="shared" ca="1" si="27"/>
        <v>548865304</v>
      </c>
      <c r="O176" t="str">
        <f t="shared" ca="1" si="27"/>
        <v>983079873</v>
      </c>
      <c r="P176" t="str" cm="1">
        <f t="array" aca="1" ref="P176" ca="1">9 &amp; INDEX($AH$3:$AH$6,Y176)&amp; TEXT(RANDBETWEEN(0,9999999),"0000000")</f>
        <v>927616214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7303293588978950</v>
      </c>
      <c r="T176" t="s">
        <v>341</v>
      </c>
      <c r="V176" s="4"/>
      <c r="X176">
        <f ca="1">RANDBETWEEN(2,COUNTA(rua_cod!A:A))</f>
        <v>17</v>
      </c>
      <c r="Y176">
        <f t="shared" ca="1" si="30"/>
        <v>2</v>
      </c>
      <c r="Z176">
        <f t="shared" ca="1" si="31"/>
        <v>3</v>
      </c>
      <c r="AA176">
        <f t="shared" ca="1" si="32"/>
        <v>1968</v>
      </c>
      <c r="AB176">
        <f t="shared" ca="1" si="33"/>
        <v>12</v>
      </c>
      <c r="AC176">
        <f t="shared" ca="1" si="34"/>
        <v>10</v>
      </c>
      <c r="AD176">
        <f t="shared" ca="1" si="35"/>
        <v>52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Francisco Rodrigo Rocha Fernandes</v>
      </c>
      <c r="E177" t="str">
        <f>Nomes!S178</f>
        <v>Masculino</v>
      </c>
      <c r="F177" s="2">
        <v>36076</v>
      </c>
      <c r="G177" t="str" cm="1">
        <f t="array" aca="1" ref="G177" ca="1">INDEX(rua_cod!$F:$F,RANDBETWEEN(2,COUNTA(rua_cod!F:F)))</f>
        <v>Rua de São Julião</v>
      </c>
      <c r="H177" t="str" cm="1">
        <f t="array" aca="1" ref="H177" ca="1">INDEX(rua_cod!$A:$A,Médicos!X177) &amp; "-" &amp; TEXT(RANDBETWEEN(0,999),"000")</f>
        <v>2640-867</v>
      </c>
      <c r="I177" t="str" cm="1">
        <f t="array" aca="1" ref="I177" ca="1">INDEX(rua_cod!$B:$B,Médicos!X177)</f>
        <v>Mafra</v>
      </c>
      <c r="J177" t="s">
        <v>341</v>
      </c>
      <c r="K177" t="s">
        <v>225</v>
      </c>
      <c r="L177" t="s">
        <v>265</v>
      </c>
      <c r="M177" t="str">
        <f t="shared" ca="1" si="26"/>
        <v>43064200</v>
      </c>
      <c r="N177" t="str">
        <f t="shared" ca="1" si="27"/>
        <v>878977174</v>
      </c>
      <c r="O177" t="str">
        <f t="shared" ca="1" si="27"/>
        <v>186944323</v>
      </c>
      <c r="P177" t="str" cm="1">
        <f t="array" aca="1" ref="P177" ca="1">9 &amp; INDEX($AH$3:$AH$6,Y177)&amp; TEXT(RANDBETWEEN(0,9999999),"0000000")</f>
        <v>932924423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1040913798922230</v>
      </c>
      <c r="T177" t="s">
        <v>341</v>
      </c>
      <c r="V177" s="4"/>
      <c r="X177">
        <f ca="1">RANDBETWEEN(2,COUNTA(rua_cod!A:A))</f>
        <v>85</v>
      </c>
      <c r="Y177">
        <f t="shared" ca="1" si="30"/>
        <v>3</v>
      </c>
      <c r="Z177">
        <f t="shared" ca="1" si="31"/>
        <v>2</v>
      </c>
      <c r="AA177">
        <f t="shared" ca="1" si="32"/>
        <v>1984</v>
      </c>
      <c r="AB177">
        <f t="shared" ca="1" si="33"/>
        <v>1</v>
      </c>
      <c r="AC177">
        <f t="shared" ca="1" si="34"/>
        <v>17</v>
      </c>
      <c r="AD177">
        <f t="shared" ca="1" si="35"/>
        <v>36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Sofia Beatriz Morais Matos</v>
      </c>
      <c r="E178" t="str">
        <f>Nomes!S179</f>
        <v>Feminino</v>
      </c>
      <c r="F178" s="2">
        <v>25872</v>
      </c>
      <c r="G178" t="str" cm="1">
        <f t="array" aca="1" ref="G178" ca="1">INDEX(rua_cod!$F:$F,RANDBETWEEN(2,COUNTA(rua_cod!F:F)))</f>
        <v>Rua de São Bento</v>
      </c>
      <c r="H178" t="str" cm="1">
        <f t="array" aca="1" ref="H178" ca="1">INDEX(rua_cod!$A:$A,Médicos!X178) &amp; "-" &amp; TEXT(RANDBETWEEN(0,999),"000")</f>
        <v>1067-067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97359548</v>
      </c>
      <c r="N178" t="str">
        <f t="shared" ca="1" si="27"/>
        <v>579250628</v>
      </c>
      <c r="O178" t="str">
        <f t="shared" ca="1" si="27"/>
        <v>903703119</v>
      </c>
      <c r="P178" t="str" cm="1">
        <f t="array" aca="1" ref="P178" ca="1">9 &amp; INDEX($AH$3:$AH$6,Y178)&amp; TEXT(RANDBETWEEN(0,9999999),"0000000")</f>
        <v>922585624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6254346016478712</v>
      </c>
      <c r="T178" t="s">
        <v>341</v>
      </c>
      <c r="V178" s="4"/>
      <c r="X178">
        <f ca="1">RANDBETWEEN(2,COUNTA(rua_cod!A:A))</f>
        <v>82</v>
      </c>
      <c r="Y178">
        <f t="shared" ca="1" si="30"/>
        <v>2</v>
      </c>
      <c r="Z178">
        <f t="shared" ca="1" si="31"/>
        <v>1</v>
      </c>
      <c r="AA178">
        <f t="shared" ca="1" si="32"/>
        <v>1977</v>
      </c>
      <c r="AB178">
        <f t="shared" ca="1" si="33"/>
        <v>4</v>
      </c>
      <c r="AC178">
        <f t="shared" ca="1" si="34"/>
        <v>27</v>
      </c>
      <c r="AD178">
        <f t="shared" ca="1" si="35"/>
        <v>43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Santiago Joana Assunção Abreu</v>
      </c>
      <c r="E179" t="str">
        <f>Nomes!S180</f>
        <v>Masculino</v>
      </c>
      <c r="F179" s="2">
        <v>30608</v>
      </c>
      <c r="G179" t="str" cm="1">
        <f t="array" aca="1" ref="G179" ca="1">INDEX(rua_cod!$F:$F,RANDBETWEEN(2,COUNTA(rua_cod!F:F)))</f>
        <v>Calçada Marquês de Abrantes</v>
      </c>
      <c r="H179" t="str" cm="1">
        <f t="array" aca="1" ref="H179" ca="1">INDEX(rua_cod!$A:$A,Médicos!X179) &amp; "-" &amp; TEXT(RANDBETWEEN(0,999),"000")</f>
        <v>2900-748</v>
      </c>
      <c r="I179" t="str" cm="1">
        <f t="array" aca="1" ref="I179" ca="1">INDEX(rua_cod!$B:$B,Médicos!X179)</f>
        <v>Setúbal</v>
      </c>
      <c r="J179" t="s">
        <v>341</v>
      </c>
      <c r="K179" t="s">
        <v>225</v>
      </c>
      <c r="L179" t="s">
        <v>265</v>
      </c>
      <c r="M179" t="str">
        <f t="shared" ca="1" si="26"/>
        <v>13869356</v>
      </c>
      <c r="N179" t="str">
        <f t="shared" ca="1" si="27"/>
        <v>559085851</v>
      </c>
      <c r="O179" t="str">
        <f t="shared" ca="1" si="27"/>
        <v>312031807</v>
      </c>
      <c r="P179" t="str" cm="1">
        <f t="array" aca="1" ref="P179" ca="1">9 &amp; INDEX($AH$3:$AH$6,Y179)&amp; TEXT(RANDBETWEEN(0,9999999),"0000000")</f>
        <v>912821654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8573026405162258</v>
      </c>
      <c r="T179" t="s">
        <v>341</v>
      </c>
      <c r="V179" s="4"/>
      <c r="X179">
        <f ca="1">RANDBETWEEN(2,COUNTA(rua_cod!A:A))</f>
        <v>96</v>
      </c>
      <c r="Y179">
        <f t="shared" ca="1" si="30"/>
        <v>1</v>
      </c>
      <c r="Z179">
        <f t="shared" ca="1" si="31"/>
        <v>1</v>
      </c>
      <c r="AA179">
        <f t="shared" ca="1" si="32"/>
        <v>1993</v>
      </c>
      <c r="AB179">
        <f t="shared" ca="1" si="33"/>
        <v>7</v>
      </c>
      <c r="AC179">
        <f t="shared" ca="1" si="34"/>
        <v>16</v>
      </c>
      <c r="AD179">
        <f t="shared" ca="1" si="35"/>
        <v>27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Tiago José Nascimento Moura</v>
      </c>
      <c r="E180" t="str">
        <f>Nomes!S181</f>
        <v>Masculino</v>
      </c>
      <c r="F180" s="2">
        <v>22927</v>
      </c>
      <c r="G180" t="str" cm="1">
        <f t="array" aca="1" ref="G180" ca="1">INDEX(rua_cod!$F:$F,RANDBETWEEN(2,COUNTA(rua_cod!F:F)))</f>
        <v>Rua do Comércio</v>
      </c>
      <c r="H180" t="str" cm="1">
        <f t="array" aca="1" ref="H180" ca="1">INDEX(rua_cod!$A:$A,Médicos!X180) &amp; "-" &amp; TEXT(RANDBETWEEN(0,999),"000")</f>
        <v>2000-056</v>
      </c>
      <c r="I180" t="str" cm="1">
        <f t="array" aca="1" ref="I180" ca="1">INDEX(rua_cod!$B:$B,Médicos!X180)</f>
        <v>Santarém</v>
      </c>
      <c r="J180" t="s">
        <v>341</v>
      </c>
      <c r="K180" t="s">
        <v>225</v>
      </c>
      <c r="L180" t="s">
        <v>265</v>
      </c>
      <c r="M180" t="str">
        <f t="shared" ca="1" si="26"/>
        <v>41893700</v>
      </c>
      <c r="N180" t="str">
        <f t="shared" ca="1" si="27"/>
        <v>892530818</v>
      </c>
      <c r="O180" t="str">
        <f t="shared" ca="1" si="27"/>
        <v>963286129</v>
      </c>
      <c r="P180" t="str" cm="1">
        <f t="array" aca="1" ref="P180" ca="1">9 &amp; INDEX($AH$3:$AH$6,Y180)&amp; TEXT(RANDBETWEEN(0,9999999),"0000000")</f>
        <v>927074875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4310881108660300</v>
      </c>
      <c r="T180" t="s">
        <v>341</v>
      </c>
      <c r="V180" s="4"/>
      <c r="X180">
        <f ca="1">RANDBETWEEN(2,COUNTA(rua_cod!A:A))</f>
        <v>93</v>
      </c>
      <c r="Y180">
        <f t="shared" ca="1" si="30"/>
        <v>2</v>
      </c>
      <c r="Z180">
        <f t="shared" ca="1" si="31"/>
        <v>3</v>
      </c>
      <c r="AA180">
        <f t="shared" ca="1" si="32"/>
        <v>1980</v>
      </c>
      <c r="AB180">
        <f t="shared" ca="1" si="33"/>
        <v>6</v>
      </c>
      <c r="AC180">
        <f t="shared" ca="1" si="34"/>
        <v>16</v>
      </c>
      <c r="AD180">
        <f t="shared" ca="1" si="35"/>
        <v>40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Mariana Inês Vicente Gonçalves</v>
      </c>
      <c r="E181" t="str">
        <f>Nomes!S182</f>
        <v>Feminino</v>
      </c>
      <c r="F181" s="2">
        <v>42761</v>
      </c>
      <c r="G181" t="str" cm="1">
        <f t="array" aca="1" ref="G181" ca="1">INDEX(rua_cod!$F:$F,RANDBETWEEN(2,COUNTA(rua_cod!F:F)))</f>
        <v>Rua dos Heróis de Quionga</v>
      </c>
      <c r="H181" t="str" cm="1">
        <f t="array" aca="1" ref="H181" ca="1">INDEX(rua_cod!$A:$A,Médicos!X181) &amp; "-" &amp; TEXT(RANDBETWEEN(0,999),"000")</f>
        <v>2644-847</v>
      </c>
      <c r="I181" t="str" cm="1">
        <f t="array" aca="1" ref="I181" ca="1">INDEX(rua_cod!$B:$B,Médicos!X181)</f>
        <v>Mafra</v>
      </c>
      <c r="J181" t="s">
        <v>341</v>
      </c>
      <c r="K181" t="s">
        <v>225</v>
      </c>
      <c r="L181" t="s">
        <v>265</v>
      </c>
      <c r="M181" t="str">
        <f t="shared" ca="1" si="26"/>
        <v>43194012</v>
      </c>
      <c r="N181" t="str">
        <f t="shared" ca="1" si="27"/>
        <v>614567564</v>
      </c>
      <c r="O181" t="str">
        <f t="shared" ca="1" si="27"/>
        <v>442920543</v>
      </c>
      <c r="P181" t="str" cm="1">
        <f t="array" aca="1" ref="P181" ca="1">9 &amp; INDEX($AH$3:$AH$6,Y181)&amp; TEXT(RANDBETWEEN(0,9999999),"0000000")</f>
        <v>927710884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9926080000997210</v>
      </c>
      <c r="T181" t="s">
        <v>341</v>
      </c>
      <c r="V181" s="4"/>
      <c r="X181">
        <f ca="1">RANDBETWEEN(2,COUNTA(rua_cod!A:A))</f>
        <v>86</v>
      </c>
      <c r="Y181">
        <f t="shared" ca="1" si="30"/>
        <v>2</v>
      </c>
      <c r="Z181">
        <f t="shared" ca="1" si="31"/>
        <v>2</v>
      </c>
      <c r="AA181">
        <f t="shared" ca="1" si="32"/>
        <v>1993</v>
      </c>
      <c r="AB181">
        <f t="shared" ca="1" si="33"/>
        <v>8</v>
      </c>
      <c r="AC181">
        <f t="shared" ca="1" si="34"/>
        <v>27</v>
      </c>
      <c r="AD181">
        <f t="shared" ca="1" si="35"/>
        <v>27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Bruno Ana Figueiredo Alves</v>
      </c>
      <c r="E182" t="str">
        <f>Nomes!S183</f>
        <v>Masculino</v>
      </c>
      <c r="F182" s="2">
        <v>13720</v>
      </c>
      <c r="G182" t="str" cm="1">
        <f t="array" aca="1" ref="G182" ca="1">INDEX(rua_cod!$F:$F,RANDBETWEEN(2,COUNTA(rua_cod!F:F)))</f>
        <v>Rua da Oliveira ao Carmo</v>
      </c>
      <c r="H182" t="str" cm="1">
        <f t="array" aca="1" ref="H182" ca="1">INDEX(rua_cod!$A:$A,Médicos!X182) &amp; "-" &amp; TEXT(RANDBETWEEN(0,999),"000")</f>
        <v>1300-475</v>
      </c>
      <c r="I182" t="str" cm="1">
        <f t="array" aca="1" ref="I182" ca="1">INDEX(rua_cod!$B:$B,Médicos!X182)</f>
        <v>Lisboa</v>
      </c>
      <c r="J182" t="s">
        <v>341</v>
      </c>
      <c r="K182" t="s">
        <v>225</v>
      </c>
      <c r="L182" t="s">
        <v>265</v>
      </c>
      <c r="M182" t="str">
        <f t="shared" ca="1" si="26"/>
        <v>96196575</v>
      </c>
      <c r="N182" t="str">
        <f t="shared" ca="1" si="27"/>
        <v>846678060</v>
      </c>
      <c r="O182" t="str">
        <f t="shared" ca="1" si="27"/>
        <v>227232448</v>
      </c>
      <c r="P182" t="str" cm="1">
        <f t="array" aca="1" ref="P182" ca="1">9 &amp; INDEX($AH$3:$AH$6,Y182)&amp; TEXT(RANDBETWEEN(0,9999999),"0000000")</f>
        <v>929275429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7778373655108693</v>
      </c>
      <c r="T182" t="s">
        <v>341</v>
      </c>
      <c r="V182" s="4"/>
      <c r="X182">
        <f ca="1">RANDBETWEEN(2,COUNTA(rua_cod!A:A))</f>
        <v>58</v>
      </c>
      <c r="Y182">
        <f t="shared" ca="1" si="30"/>
        <v>2</v>
      </c>
      <c r="Z182">
        <f t="shared" ca="1" si="31"/>
        <v>2</v>
      </c>
      <c r="AA182">
        <f t="shared" ca="1" si="32"/>
        <v>1983</v>
      </c>
      <c r="AB182">
        <f t="shared" ca="1" si="33"/>
        <v>3</v>
      </c>
      <c r="AC182">
        <f t="shared" ca="1" si="34"/>
        <v>9</v>
      </c>
      <c r="AD182">
        <f t="shared" ca="1" si="35"/>
        <v>37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Pedro João Abreu Paiva</v>
      </c>
      <c r="E183" t="str">
        <f>Nomes!S184</f>
        <v>Masculino</v>
      </c>
      <c r="F183" s="2">
        <v>31325</v>
      </c>
      <c r="G183" t="str" cm="1">
        <f t="array" aca="1" ref="G183" ca="1">INDEX(rua_cod!$F:$F,RANDBETWEEN(2,COUNTA(rua_cod!F:F)))</f>
        <v>Rua dos Heróis de Quionga</v>
      </c>
      <c r="H183" t="str" cm="1">
        <f t="array" aca="1" ref="H183" ca="1">INDEX(rua_cod!$A:$A,Médicos!X183) &amp; "-" &amp; TEXT(RANDBETWEEN(0,999),"000")</f>
        <v>1269-222</v>
      </c>
      <c r="I183" t="str" cm="1">
        <f t="array" aca="1" ref="I183" ca="1">INDEX(rua_cod!$B:$B,Médicos!X183)</f>
        <v>Lisboa</v>
      </c>
      <c r="J183" t="s">
        <v>341</v>
      </c>
      <c r="K183" t="s">
        <v>225</v>
      </c>
      <c r="L183" t="s">
        <v>265</v>
      </c>
      <c r="M183" t="str">
        <f t="shared" ca="1" si="26"/>
        <v>43730326</v>
      </c>
      <c r="N183" t="str">
        <f t="shared" ca="1" si="27"/>
        <v>206003135</v>
      </c>
      <c r="O183" t="str">
        <f t="shared" ca="1" si="27"/>
        <v>165396755</v>
      </c>
      <c r="P183" t="str" cm="1">
        <f t="array" aca="1" ref="P183" ca="1">9 &amp; INDEX($AH$3:$AH$6,Y183)&amp; TEXT(RANDBETWEEN(0,9999999),"0000000")</f>
        <v>960198028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6831540760501921</v>
      </c>
      <c r="T183" t="s">
        <v>341</v>
      </c>
      <c r="V183" s="4"/>
      <c r="X183">
        <f ca="1">RANDBETWEEN(2,COUNTA(rua_cod!A:A))</f>
        <v>52</v>
      </c>
      <c r="Y183">
        <f t="shared" ca="1" si="30"/>
        <v>4</v>
      </c>
      <c r="Z183">
        <f t="shared" ca="1" si="31"/>
        <v>1</v>
      </c>
      <c r="AA183">
        <f t="shared" ca="1" si="32"/>
        <v>1989</v>
      </c>
      <c r="AB183">
        <f t="shared" ca="1" si="33"/>
        <v>2</v>
      </c>
      <c r="AC183">
        <f t="shared" ca="1" si="34"/>
        <v>30</v>
      </c>
      <c r="AD183">
        <f t="shared" ca="1" si="35"/>
        <v>31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Inês Sofia Fernandes Torres</v>
      </c>
      <c r="E184" t="str">
        <f>Nomes!S185</f>
        <v>Feminino</v>
      </c>
      <c r="F184" s="2">
        <v>21600</v>
      </c>
      <c r="G184" t="str" cm="1">
        <f t="array" aca="1" ref="G184" ca="1">INDEX(rua_cod!$F:$F,RANDBETWEEN(2,COUNTA(rua_cod!F:F)))</f>
        <v>Rua de São Mamede</v>
      </c>
      <c r="H184" t="str" cm="1">
        <f t="array" aca="1" ref="H184" ca="1">INDEX(rua_cod!$A:$A,Médicos!X184) &amp; "-" &amp; TEXT(RANDBETWEEN(0,999),"000")</f>
        <v>1149-422</v>
      </c>
      <c r="I184" t="str" cm="1">
        <f t="array" aca="1" ref="I184" ca="1">INDEX(rua_cod!$B:$B,Médicos!X184)</f>
        <v>Lisboa</v>
      </c>
      <c r="J184" t="s">
        <v>341</v>
      </c>
      <c r="K184" t="s">
        <v>225</v>
      </c>
      <c r="L184" t="s">
        <v>265</v>
      </c>
      <c r="M184" t="str">
        <f t="shared" ca="1" si="26"/>
        <v>58519010</v>
      </c>
      <c r="N184" t="str">
        <f t="shared" ca="1" si="27"/>
        <v>604462393</v>
      </c>
      <c r="O184" t="str">
        <f t="shared" ca="1" si="27"/>
        <v>643859375</v>
      </c>
      <c r="P184" t="str" cm="1">
        <f t="array" aca="1" ref="P184" ca="1">9 &amp; INDEX($AH$3:$AH$6,Y184)&amp; TEXT(RANDBETWEEN(0,9999999),"0000000")</f>
        <v>926197599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7124537298409472</v>
      </c>
      <c r="T184" t="s">
        <v>341</v>
      </c>
      <c r="V184" s="4"/>
      <c r="X184">
        <f ca="1">RANDBETWEEN(2,COUNTA(rua_cod!A:A))</f>
        <v>59</v>
      </c>
      <c r="Y184">
        <f t="shared" ca="1" si="30"/>
        <v>2</v>
      </c>
      <c r="Z184">
        <f t="shared" ca="1" si="31"/>
        <v>2</v>
      </c>
      <c r="AA184">
        <f t="shared" ca="1" si="32"/>
        <v>1962</v>
      </c>
      <c r="AB184">
        <f t="shared" ca="1" si="33"/>
        <v>6</v>
      </c>
      <c r="AC184">
        <f t="shared" ca="1" si="34"/>
        <v>5</v>
      </c>
      <c r="AD184">
        <f t="shared" ca="1" si="35"/>
        <v>58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Catarina João Amorim Valente</v>
      </c>
      <c r="E185" t="str">
        <f>Nomes!S186</f>
        <v>Feminino</v>
      </c>
      <c r="F185" s="2">
        <v>42111</v>
      </c>
      <c r="G185" t="str" cm="1">
        <f t="array" aca="1" ref="G185" ca="1">INDEX(rua_cod!$F:$F,RANDBETWEEN(2,COUNTA(rua_cod!F:F)))</f>
        <v>Travessa de São João da Praça</v>
      </c>
      <c r="H185" t="str" cm="1">
        <f t="array" aca="1" ref="H185" ca="1">INDEX(rua_cod!$A:$A,Médicos!X185) &amp; "-" &amp; TEXT(RANDBETWEEN(0,999),"000")</f>
        <v>1200-881</v>
      </c>
      <c r="I185" t="str" cm="1">
        <f t="array" aca="1" ref="I185" ca="1">INDEX(rua_cod!$B:$B,Médicos!X185)</f>
        <v>Lisboa</v>
      </c>
      <c r="J185" t="s">
        <v>341</v>
      </c>
      <c r="K185" t="s">
        <v>225</v>
      </c>
      <c r="L185" t="s">
        <v>265</v>
      </c>
      <c r="M185" t="str">
        <f t="shared" ca="1" si="26"/>
        <v>69103180</v>
      </c>
      <c r="N185" t="str">
        <f t="shared" ca="1" si="27"/>
        <v>315884478</v>
      </c>
      <c r="O185" t="str">
        <f t="shared" ca="1" si="27"/>
        <v>281367602</v>
      </c>
      <c r="P185" t="str" cm="1">
        <f t="array" aca="1" ref="P185" ca="1">9 &amp; INDEX($AH$3:$AH$6,Y185)&amp; TEXT(RANDBETWEEN(0,9999999),"0000000")</f>
        <v>922446532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9053931937860894</v>
      </c>
      <c r="T185" t="s">
        <v>341</v>
      </c>
      <c r="V185" s="4"/>
      <c r="X185">
        <f ca="1">RANDBETWEEN(2,COUNTA(rua_cod!A:A))</f>
        <v>48</v>
      </c>
      <c r="Y185">
        <f t="shared" ca="1" si="30"/>
        <v>2</v>
      </c>
      <c r="Z185">
        <f t="shared" ca="1" si="31"/>
        <v>1</v>
      </c>
      <c r="AA185">
        <f t="shared" ca="1" si="32"/>
        <v>1987</v>
      </c>
      <c r="AB185">
        <f t="shared" ca="1" si="33"/>
        <v>11</v>
      </c>
      <c r="AC185">
        <f t="shared" ca="1" si="34"/>
        <v>8</v>
      </c>
      <c r="AD185">
        <f t="shared" ca="1" si="35"/>
        <v>33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Catarina Mariana Fonseca Tavares</v>
      </c>
      <c r="E186" t="str">
        <f>Nomes!S187</f>
        <v>Feminino</v>
      </c>
      <c r="F186" s="2">
        <v>30832</v>
      </c>
      <c r="G186" t="str" cm="1">
        <f t="array" aca="1" ref="G186" ca="1">INDEX(rua_cod!$F:$F,RANDBETWEEN(2,COUNTA(rua_cod!F:F)))</f>
        <v>Rua da Alfândega</v>
      </c>
      <c r="H186" t="str" cm="1">
        <f t="array" aca="1" ref="H186" ca="1">INDEX(rua_cod!$A:$A,Médicos!X186) &amp; "-" &amp; TEXT(RANDBETWEEN(0,999),"000")</f>
        <v>2410-580</v>
      </c>
      <c r="I186" t="str" cm="1">
        <f t="array" aca="1" ref="I186" ca="1">INDEX(rua_cod!$B:$B,Médicos!X186)</f>
        <v>Leiria</v>
      </c>
      <c r="J186" t="s">
        <v>341</v>
      </c>
      <c r="K186" t="s">
        <v>225</v>
      </c>
      <c r="L186" t="s">
        <v>265</v>
      </c>
      <c r="M186" t="str">
        <f t="shared" ca="1" si="26"/>
        <v>57391775</v>
      </c>
      <c r="N186" t="str">
        <f t="shared" ca="1" si="27"/>
        <v>186188994</v>
      </c>
      <c r="O186" t="str">
        <f t="shared" ca="1" si="27"/>
        <v>218189364</v>
      </c>
      <c r="P186" t="str" cm="1">
        <f t="array" aca="1" ref="P186" ca="1">9 &amp; INDEX($AH$3:$AH$6,Y186)&amp; TEXT(RANDBETWEEN(0,9999999),"0000000")</f>
        <v>914912250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6390289143953858</v>
      </c>
      <c r="T186" t="s">
        <v>341</v>
      </c>
      <c r="V186" s="4"/>
      <c r="X186">
        <f ca="1">RANDBETWEEN(2,COUNTA(rua_cod!A:A))</f>
        <v>34</v>
      </c>
      <c r="Y186">
        <f t="shared" ca="1" si="30"/>
        <v>1</v>
      </c>
      <c r="Z186">
        <f t="shared" ca="1" si="31"/>
        <v>2</v>
      </c>
      <c r="AA186">
        <f t="shared" ca="1" si="32"/>
        <v>1983</v>
      </c>
      <c r="AB186">
        <f t="shared" ca="1" si="33"/>
        <v>12</v>
      </c>
      <c r="AC186">
        <f t="shared" ca="1" si="34"/>
        <v>9</v>
      </c>
      <c r="AD186">
        <f t="shared" ca="1" si="35"/>
        <v>37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Afonso Francisco Cardoso Freitas</v>
      </c>
      <c r="E187" t="str">
        <f>Nomes!S188</f>
        <v>Masculino</v>
      </c>
      <c r="F187" s="2">
        <v>39033</v>
      </c>
      <c r="G187" t="str" cm="1">
        <f t="array" aca="1" ref="G187" ca="1">INDEX(rua_cod!$F:$F,RANDBETWEEN(2,COUNTA(rua_cod!F:F)))</f>
        <v>Calçada do Moinho de Vento</v>
      </c>
      <c r="H187" t="str" cm="1">
        <f t="array" aca="1" ref="H187" ca="1">INDEX(rua_cod!$A:$A,Médicos!X187) &amp; "-" &amp; TEXT(RANDBETWEEN(0,999),"000")</f>
        <v>2000-105</v>
      </c>
      <c r="I187" t="str" cm="1">
        <f t="array" aca="1" ref="I187" ca="1">INDEX(rua_cod!$B:$B,Médicos!X187)</f>
        <v>Santarém</v>
      </c>
      <c r="J187" t="s">
        <v>341</v>
      </c>
      <c r="K187" t="s">
        <v>225</v>
      </c>
      <c r="L187" t="s">
        <v>265</v>
      </c>
      <c r="M187" t="str">
        <f t="shared" ca="1" si="26"/>
        <v>10179293</v>
      </c>
      <c r="N187" t="str">
        <f t="shared" ca="1" si="27"/>
        <v>232736586</v>
      </c>
      <c r="O187" t="str">
        <f t="shared" ca="1" si="27"/>
        <v>356509854</v>
      </c>
      <c r="P187" t="str" cm="1">
        <f t="array" aca="1" ref="P187" ca="1">9 &amp; INDEX($AH$3:$AH$6,Y187)&amp; TEXT(RANDBETWEEN(0,9999999),"0000000")</f>
        <v>931792823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9328544754240216</v>
      </c>
      <c r="T187" t="s">
        <v>341</v>
      </c>
      <c r="V187" s="4"/>
      <c r="X187">
        <f ca="1">RANDBETWEEN(2,COUNTA(rua_cod!A:A))</f>
        <v>93</v>
      </c>
      <c r="Y187">
        <f t="shared" ca="1" si="30"/>
        <v>3</v>
      </c>
      <c r="Z187">
        <f t="shared" ca="1" si="31"/>
        <v>3</v>
      </c>
      <c r="AA187">
        <f t="shared" ca="1" si="32"/>
        <v>1990</v>
      </c>
      <c r="AB187">
        <f t="shared" ca="1" si="33"/>
        <v>12</v>
      </c>
      <c r="AC187">
        <f t="shared" ca="1" si="34"/>
        <v>24</v>
      </c>
      <c r="AD187">
        <f t="shared" ca="1" si="35"/>
        <v>30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Catarina Ana Valente Sá</v>
      </c>
      <c r="E188" t="str">
        <f>Nomes!S189</f>
        <v>Feminino</v>
      </c>
      <c r="F188" s="2">
        <v>27447</v>
      </c>
      <c r="G188" t="str" cm="1">
        <f t="array" aca="1" ref="G188" ca="1">INDEX(rua_cod!$F:$F,RANDBETWEEN(2,COUNTA(rua_cod!F:F)))</f>
        <v>Rua Garrett</v>
      </c>
      <c r="H188" t="str" cm="1">
        <f t="array" aca="1" ref="H188" ca="1">INDEX(rua_cod!$A:$A,Médicos!X188) &amp; "-" &amp; TEXT(RANDBETWEEN(0,999),"000")</f>
        <v>1300-403</v>
      </c>
      <c r="I188" t="str" cm="1">
        <f t="array" aca="1" ref="I188" ca="1">INDEX(rua_cod!$B:$B,Médicos!X188)</f>
        <v>Lisboa</v>
      </c>
      <c r="J188" t="s">
        <v>341</v>
      </c>
      <c r="K188" t="s">
        <v>225</v>
      </c>
      <c r="L188" t="s">
        <v>265</v>
      </c>
      <c r="M188" t="str">
        <f t="shared" ca="1" si="26"/>
        <v>75055434</v>
      </c>
      <c r="N188" t="str">
        <f t="shared" ca="1" si="27"/>
        <v>870415065</v>
      </c>
      <c r="O188" t="str">
        <f t="shared" ca="1" si="27"/>
        <v>985859060</v>
      </c>
      <c r="P188" t="str" cm="1">
        <f t="array" aca="1" ref="P188" ca="1">9 &amp; INDEX($AH$3:$AH$6,Y188)&amp; TEXT(RANDBETWEEN(0,9999999),"0000000")</f>
        <v>938288879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7688624183825366</v>
      </c>
      <c r="T188" t="s">
        <v>341</v>
      </c>
      <c r="V188" s="4"/>
      <c r="X188">
        <f ca="1">RANDBETWEEN(2,COUNTA(rua_cod!A:A))</f>
        <v>58</v>
      </c>
      <c r="Y188">
        <f t="shared" ca="1" si="30"/>
        <v>3</v>
      </c>
      <c r="Z188">
        <f t="shared" ca="1" si="31"/>
        <v>1</v>
      </c>
      <c r="AA188">
        <f t="shared" ca="1" si="32"/>
        <v>1950</v>
      </c>
      <c r="AB188">
        <f t="shared" ca="1" si="33"/>
        <v>9</v>
      </c>
      <c r="AC188">
        <f t="shared" ca="1" si="34"/>
        <v>26</v>
      </c>
      <c r="AD188">
        <f t="shared" ca="1" si="35"/>
        <v>70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Santiago Francisco Moreira Moura</v>
      </c>
      <c r="E189" t="str">
        <f>Nomes!S190</f>
        <v>Masculino</v>
      </c>
      <c r="F189" s="2">
        <v>19510</v>
      </c>
      <c r="G189" t="str" cm="1">
        <f t="array" aca="1" ref="G189" ca="1">INDEX(rua_cod!$F:$F,RANDBETWEEN(2,COUNTA(rua_cod!F:F)))</f>
        <v>Rua Augusta</v>
      </c>
      <c r="H189" t="str" cm="1">
        <f t="array" aca="1" ref="H189" ca="1">INDEX(rua_cod!$A:$A,Médicos!X189) &amp; "-" &amp; TEXT(RANDBETWEEN(0,999),"000")</f>
        <v>1400-084</v>
      </c>
      <c r="I189" t="str" cm="1">
        <f t="array" aca="1" ref="I189" ca="1">INDEX(rua_cod!$B:$B,Médicos!X189)</f>
        <v>Lisboa</v>
      </c>
      <c r="J189" t="s">
        <v>341</v>
      </c>
      <c r="K189" t="s">
        <v>225</v>
      </c>
      <c r="L189" t="s">
        <v>265</v>
      </c>
      <c r="M189" t="str">
        <f t="shared" ca="1" si="26"/>
        <v>33810636</v>
      </c>
      <c r="N189" t="str">
        <f t="shared" ca="1" si="27"/>
        <v>922003575</v>
      </c>
      <c r="O189" t="str">
        <f t="shared" ca="1" si="27"/>
        <v>381454559</v>
      </c>
      <c r="P189" t="str" cm="1">
        <f t="array" aca="1" ref="P189" ca="1">9 &amp; INDEX($AH$3:$AH$6,Y189)&amp; TEXT(RANDBETWEEN(0,9999999),"0000000")</f>
        <v>938509479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6581540145843904</v>
      </c>
      <c r="T189" t="s">
        <v>341</v>
      </c>
      <c r="V189" s="4"/>
      <c r="X189">
        <f ca="1">RANDBETWEEN(2,COUNTA(rua_cod!A:A))</f>
        <v>57</v>
      </c>
      <c r="Y189">
        <f t="shared" ca="1" si="30"/>
        <v>3</v>
      </c>
      <c r="Z189">
        <f t="shared" ca="1" si="31"/>
        <v>1</v>
      </c>
      <c r="AA189">
        <f t="shared" ca="1" si="32"/>
        <v>1962</v>
      </c>
      <c r="AB189">
        <f t="shared" ca="1" si="33"/>
        <v>11</v>
      </c>
      <c r="AC189">
        <f t="shared" ca="1" si="34"/>
        <v>20</v>
      </c>
      <c r="AD189">
        <f t="shared" ca="1" si="35"/>
        <v>58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Gabriel Mariana Pinheiro Faria</v>
      </c>
      <c r="E190" t="str">
        <f>Nomes!S191</f>
        <v>Masculino</v>
      </c>
      <c r="F190" s="2">
        <v>35493</v>
      </c>
      <c r="G190" t="str" cm="1">
        <f t="array" aca="1" ref="G190" ca="1">INDEX(rua_cod!$F:$F,RANDBETWEEN(2,COUNTA(rua_cod!F:F)))</f>
        <v>Avenida Ressano Garcia</v>
      </c>
      <c r="H190" t="str" cm="1">
        <f t="array" aca="1" ref="H190" ca="1">INDEX(rua_cod!$A:$A,Médicos!X190) &amp; "-" &amp; TEXT(RANDBETWEEN(0,999),"000")</f>
        <v>1249-071</v>
      </c>
      <c r="I190" t="str" cm="1">
        <f t="array" aca="1" ref="I190" ca="1">INDEX(rua_cod!$B:$B,Médicos!X190)</f>
        <v>Lisboa</v>
      </c>
      <c r="J190" t="s">
        <v>341</v>
      </c>
      <c r="K190" t="s">
        <v>225</v>
      </c>
      <c r="L190" t="s">
        <v>265</v>
      </c>
      <c r="M190" t="str">
        <f t="shared" ca="1" si="26"/>
        <v>60409897</v>
      </c>
      <c r="N190" t="str">
        <f t="shared" ca="1" si="27"/>
        <v>328026792</v>
      </c>
      <c r="O190" t="str">
        <f t="shared" ca="1" si="27"/>
        <v>746336258</v>
      </c>
      <c r="P190" t="str" cm="1">
        <f t="array" aca="1" ref="P190" ca="1">9 &amp; INDEX($AH$3:$AH$6,Y190)&amp; TEXT(RANDBETWEEN(0,9999999),"0000000")</f>
        <v>926687948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7507563226202101</v>
      </c>
      <c r="T190" t="s">
        <v>341</v>
      </c>
      <c r="V190" s="4"/>
      <c r="X190">
        <f ca="1">RANDBETWEEN(2,COUNTA(rua_cod!A:A))</f>
        <v>63</v>
      </c>
      <c r="Y190">
        <f t="shared" ca="1" si="30"/>
        <v>2</v>
      </c>
      <c r="Z190">
        <f t="shared" ca="1" si="31"/>
        <v>1</v>
      </c>
      <c r="AA190">
        <f t="shared" ca="1" si="32"/>
        <v>1965</v>
      </c>
      <c r="AB190">
        <f t="shared" ca="1" si="33"/>
        <v>5</v>
      </c>
      <c r="AC190">
        <f t="shared" ca="1" si="34"/>
        <v>30</v>
      </c>
      <c r="AD190">
        <f t="shared" ca="1" si="35"/>
        <v>55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Pedro Martim Machado Antunes</v>
      </c>
      <c r="E191" t="str">
        <f>Nomes!S192</f>
        <v>Masculino</v>
      </c>
      <c r="F191" s="2">
        <v>40749</v>
      </c>
      <c r="G191" t="str" cm="1">
        <f t="array" aca="1" ref="G191" ca="1">INDEX(rua_cod!$F:$F,RANDBETWEEN(2,COUNTA(rua_cod!F:F)))</f>
        <v>Estrada das Laranjeiras</v>
      </c>
      <c r="H191" t="str" cm="1">
        <f t="array" aca="1" ref="H191" ca="1">INDEX(rua_cod!$A:$A,Médicos!X191) &amp; "-" &amp; TEXT(RANDBETWEEN(0,999),"000")</f>
        <v>2834-230</v>
      </c>
      <c r="I191" t="str" cm="1">
        <f t="array" aca="1" ref="I191" ca="1">INDEX(rua_cod!$B:$B,Médicos!X191)</f>
        <v>Barreiro</v>
      </c>
      <c r="J191" t="s">
        <v>341</v>
      </c>
      <c r="K191" t="s">
        <v>225</v>
      </c>
      <c r="L191" t="s">
        <v>265</v>
      </c>
      <c r="M191" t="str">
        <f t="shared" ca="1" si="26"/>
        <v>41720787</v>
      </c>
      <c r="N191" t="str">
        <f t="shared" ca="1" si="27"/>
        <v>926283999</v>
      </c>
      <c r="O191" t="str">
        <f t="shared" ca="1" si="27"/>
        <v>742126819</v>
      </c>
      <c r="P191" t="str" cm="1">
        <f t="array" aca="1" ref="P191" ca="1">9 &amp; INDEX($AH$3:$AH$6,Y191)&amp; TEXT(RANDBETWEEN(0,9999999),"0000000")</f>
        <v>918640092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1936500511004061</v>
      </c>
      <c r="T191" t="s">
        <v>341</v>
      </c>
      <c r="V191" s="4"/>
      <c r="X191">
        <f ca="1">RANDBETWEEN(2,COUNTA(rua_cod!A:A))</f>
        <v>17</v>
      </c>
      <c r="Y191">
        <f t="shared" ca="1" si="30"/>
        <v>1</v>
      </c>
      <c r="Z191">
        <f t="shared" ca="1" si="31"/>
        <v>3</v>
      </c>
      <c r="AA191">
        <f t="shared" ca="1" si="32"/>
        <v>1973</v>
      </c>
      <c r="AB191">
        <f t="shared" ca="1" si="33"/>
        <v>5</v>
      </c>
      <c r="AC191">
        <f t="shared" ca="1" si="34"/>
        <v>20</v>
      </c>
      <c r="AD191">
        <f t="shared" ca="1" si="35"/>
        <v>47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Diana Daniela Paiva Abreu</v>
      </c>
      <c r="E192" t="str">
        <f>Nomes!S193</f>
        <v>Feminino</v>
      </c>
      <c r="F192" s="2">
        <v>14252</v>
      </c>
      <c r="G192" t="str" cm="1">
        <f t="array" aca="1" ref="G192" ca="1">INDEX(rua_cod!$F:$F,RANDBETWEEN(2,COUNTA(rua_cod!F:F)))</f>
        <v>Rua da Oliveira ao Carmo</v>
      </c>
      <c r="H192" t="str" cm="1">
        <f t="array" aca="1" ref="H192" ca="1">INDEX(rua_cod!$A:$A,Médicos!X192) &amp; "-" &amp; TEXT(RANDBETWEEN(0,999),"000")</f>
        <v>1250-496</v>
      </c>
      <c r="I192" t="str" cm="1">
        <f t="array" aca="1" ref="I192" ca="1">INDEX(rua_cod!$B:$B,Médicos!X192)</f>
        <v>Lisboa</v>
      </c>
      <c r="J192" t="s">
        <v>341</v>
      </c>
      <c r="K192" t="s">
        <v>225</v>
      </c>
      <c r="L192" t="s">
        <v>265</v>
      </c>
      <c r="M192" t="str">
        <f t="shared" ca="1" si="26"/>
        <v>41638575</v>
      </c>
      <c r="N192" t="str">
        <f t="shared" ca="1" si="27"/>
        <v>632445757</v>
      </c>
      <c r="O192" t="str">
        <f t="shared" ca="1" si="27"/>
        <v>551370994</v>
      </c>
      <c r="P192" t="str" cm="1">
        <f t="array" aca="1" ref="P192" ca="1">9 &amp; INDEX($AH$3:$AH$6,Y192)&amp; TEXT(RANDBETWEEN(0,9999999),"0000000")</f>
        <v>963935882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9021263320664156</v>
      </c>
      <c r="T192" t="s">
        <v>341</v>
      </c>
      <c r="V192" s="4"/>
      <c r="X192">
        <f ca="1">RANDBETWEEN(2,COUNTA(rua_cod!A:A))</f>
        <v>50</v>
      </c>
      <c r="Y192">
        <f t="shared" ca="1" si="30"/>
        <v>4</v>
      </c>
      <c r="Z192">
        <f t="shared" ca="1" si="31"/>
        <v>3</v>
      </c>
      <c r="AA192">
        <f t="shared" ca="1" si="32"/>
        <v>1953</v>
      </c>
      <c r="AB192">
        <f t="shared" ca="1" si="33"/>
        <v>8</v>
      </c>
      <c r="AC192">
        <f t="shared" ca="1" si="34"/>
        <v>10</v>
      </c>
      <c r="AD192">
        <f t="shared" ca="1" si="35"/>
        <v>67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Mariana Martim Vieira Mota</v>
      </c>
      <c r="E193" t="str">
        <f>Nomes!S194</f>
        <v>Feminino</v>
      </c>
      <c r="F193" s="2">
        <v>31720</v>
      </c>
      <c r="G193" t="str" cm="1">
        <f t="array" aca="1" ref="G193" ca="1">INDEX(rua_cod!$F:$F,RANDBETWEEN(2,COUNTA(rua_cod!F:F)))</f>
        <v>Rua da Oliveira ao Carmo</v>
      </c>
      <c r="H193" t="str" cm="1">
        <f t="array" aca="1" ref="H193" ca="1">INDEX(rua_cod!$A:$A,Médicos!X193) &amp; "-" &amp; TEXT(RANDBETWEEN(0,999),"000")</f>
        <v>2415-944</v>
      </c>
      <c r="I193" t="str" cm="1">
        <f t="array" aca="1" ref="I193" ca="1">INDEX(rua_cod!$B:$B,Médicos!X193)</f>
        <v>Leiria</v>
      </c>
      <c r="J193" t="s">
        <v>341</v>
      </c>
      <c r="K193" t="s">
        <v>225</v>
      </c>
      <c r="L193" t="s">
        <v>265</v>
      </c>
      <c r="M193" t="str">
        <f t="shared" ca="1" si="26"/>
        <v>63364693</v>
      </c>
      <c r="N193" t="str">
        <f t="shared" ca="1" si="27"/>
        <v>741624891</v>
      </c>
      <c r="O193" t="str">
        <f t="shared" ca="1" si="27"/>
        <v>166664549</v>
      </c>
      <c r="P193" t="str" cm="1">
        <f t="array" aca="1" ref="P193" ca="1">9 &amp; INDEX($AH$3:$AH$6,Y193)&amp; TEXT(RANDBETWEEN(0,9999999),"0000000")</f>
        <v>917487781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6531586231324335</v>
      </c>
      <c r="T193" t="s">
        <v>341</v>
      </c>
      <c r="V193" s="4"/>
      <c r="X193">
        <f ca="1">RANDBETWEEN(2,COUNTA(rua_cod!A:A))</f>
        <v>35</v>
      </c>
      <c r="Y193">
        <f t="shared" ca="1" si="30"/>
        <v>1</v>
      </c>
      <c r="Z193">
        <f t="shared" ca="1" si="31"/>
        <v>3</v>
      </c>
      <c r="AA193">
        <f t="shared" ca="1" si="32"/>
        <v>1994</v>
      </c>
      <c r="AB193">
        <f t="shared" ca="1" si="33"/>
        <v>6</v>
      </c>
      <c r="AC193">
        <f t="shared" ca="1" si="34"/>
        <v>30</v>
      </c>
      <c r="AD193">
        <f t="shared" ca="1" si="35"/>
        <v>26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Carolina Martim Monteiro Maia</v>
      </c>
      <c r="E194" t="str">
        <f>Nomes!S195</f>
        <v>Feminino</v>
      </c>
      <c r="F194" s="2">
        <v>32584</v>
      </c>
      <c r="G194" t="str" cm="1">
        <f t="array" aca="1" ref="G194" ca="1">INDEX(rua_cod!$F:$F,RANDBETWEEN(2,COUNTA(rua_cod!F:F)))</f>
        <v>Rua Cidade de Bolama</v>
      </c>
      <c r="H194" t="str" cm="1">
        <f t="array" aca="1" ref="H194" ca="1">INDEX(rua_cod!$A:$A,Médicos!X194) &amp; "-" &amp; TEXT(RANDBETWEEN(0,999),"000")</f>
        <v>1350-024</v>
      </c>
      <c r="I194" t="str" cm="1">
        <f t="array" aca="1" ref="I194" ca="1">INDEX(rua_cod!$B:$B,Médicos!X194)</f>
        <v>Lisboa</v>
      </c>
      <c r="J194" t="s">
        <v>341</v>
      </c>
      <c r="K194" t="s">
        <v>225</v>
      </c>
      <c r="L194" t="s">
        <v>265</v>
      </c>
      <c r="M194" t="str">
        <f t="shared" ca="1" si="26"/>
        <v>81708181</v>
      </c>
      <c r="N194" t="str">
        <f t="shared" ca="1" si="27"/>
        <v>707174446</v>
      </c>
      <c r="O194" t="str">
        <f t="shared" ca="1" si="27"/>
        <v>879049476</v>
      </c>
      <c r="P194" t="str" cm="1">
        <f t="array" aca="1" ref="P194" ca="1">9 &amp; INDEX($AH$3:$AH$6,Y194)&amp; TEXT(RANDBETWEEN(0,9999999),"0000000")</f>
        <v>923456787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6090063401471134</v>
      </c>
      <c r="T194" t="s">
        <v>341</v>
      </c>
      <c r="V194" s="4"/>
      <c r="X194">
        <f ca="1">RANDBETWEEN(2,COUNTA(rua_cod!A:A))</f>
        <v>54</v>
      </c>
      <c r="Y194">
        <f t="shared" ca="1" si="30"/>
        <v>2</v>
      </c>
      <c r="Z194">
        <f t="shared" ca="1" si="31"/>
        <v>1</v>
      </c>
      <c r="AA194">
        <f t="shared" ca="1" si="32"/>
        <v>1977</v>
      </c>
      <c r="AB194">
        <f t="shared" ca="1" si="33"/>
        <v>10</v>
      </c>
      <c r="AC194">
        <f t="shared" ca="1" si="34"/>
        <v>2</v>
      </c>
      <c r="AD194">
        <f t="shared" ca="1" si="35"/>
        <v>43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Ana Tiago Carneiro Soares</v>
      </c>
      <c r="E195" t="str">
        <f>Nomes!S196</f>
        <v>Feminino</v>
      </c>
      <c r="F195" s="2">
        <v>23808</v>
      </c>
      <c r="G195" t="str" cm="1">
        <f t="array" aca="1" ref="G195" ca="1">INDEX(rua_cod!$F:$F,RANDBETWEEN(2,COUNTA(rua_cod!F:F)))</f>
        <v>Rua de São Bento</v>
      </c>
      <c r="H195" t="str" cm="1">
        <f t="array" aca="1" ref="H195" ca="1">INDEX(rua_cod!$A:$A,Médicos!X195) &amp; "-" &amp; TEXT(RANDBETWEEN(0,999),"000")</f>
        <v>2670-552</v>
      </c>
      <c r="I195" t="str" cm="1">
        <f t="array" aca="1" ref="I195" ca="1">INDEX(rua_cod!$B:$B,Médicos!X195)</f>
        <v>Loures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61028515</v>
      </c>
      <c r="N195" t="str">
        <f t="shared" ref="N195:O199" ca="1" si="39">TEXT(RANDBETWEEN(100000000,999999999),"000000000")</f>
        <v>880858460</v>
      </c>
      <c r="O195" t="str">
        <f t="shared" ca="1" si="39"/>
        <v>466116051</v>
      </c>
      <c r="P195" t="str" cm="1">
        <f t="array" aca="1" ref="P195" ca="1">9 &amp; INDEX($AH$3:$AH$6,Y195)&amp; TEXT(RANDBETWEEN(0,9999999),"0000000")</f>
        <v>917499367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8966402073868396</v>
      </c>
      <c r="T195" t="s">
        <v>341</v>
      </c>
      <c r="V195" s="4"/>
      <c r="X195">
        <f ca="1">RANDBETWEEN(2,COUNTA(rua_cod!A:A))</f>
        <v>83</v>
      </c>
      <c r="Y195">
        <f t="shared" ref="Y195:Y199" ca="1" si="42">RANDBETWEEN(1,4)</f>
        <v>1</v>
      </c>
      <c r="Z195">
        <f t="shared" ref="Z195:Z199" ca="1" si="43">RANDBETWEEN(1,3)</f>
        <v>3</v>
      </c>
      <c r="AA195">
        <f t="shared" ref="AA195:AA199" ca="1" si="44">RANDBETWEEN(1950,1994)</f>
        <v>1957</v>
      </c>
      <c r="AB195">
        <f t="shared" ref="AB195:AB199" ca="1" si="45">RANDBETWEEN(1,12)</f>
        <v>8</v>
      </c>
      <c r="AC195">
        <f t="shared" ref="AC195:AC199" ca="1" si="46">RANDBETWEEN(1,31)</f>
        <v>9</v>
      </c>
      <c r="AD195">
        <f t="shared" ref="AD195:AD199" ca="1" si="47">2020-AA195</f>
        <v>63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Martim Ana Nascimento Pinto</v>
      </c>
      <c r="E196" t="str">
        <f>Nomes!S197</f>
        <v>Masculino</v>
      </c>
      <c r="F196" s="2">
        <v>38168</v>
      </c>
      <c r="G196" t="str" cm="1">
        <f t="array" aca="1" ref="G196" ca="1">INDEX(rua_cod!$F:$F,RANDBETWEEN(2,COUNTA(rua_cod!F:F)))</f>
        <v>Rua Júlio César Machado</v>
      </c>
      <c r="H196" t="str" cm="1">
        <f t="array" aca="1" ref="H196" ca="1">INDEX(rua_cod!$A:$A,Médicos!X196) &amp; "-" &amp; TEXT(RANDBETWEEN(0,999),"000")</f>
        <v>1169-232</v>
      </c>
      <c r="I196" t="str" cm="1">
        <f t="array" aca="1" ref="I196" ca="1">INDEX(rua_cod!$B:$B,Médicos!X196)</f>
        <v>Lisboa</v>
      </c>
      <c r="J196" t="s">
        <v>341</v>
      </c>
      <c r="K196" t="s">
        <v>225</v>
      </c>
      <c r="L196" t="s">
        <v>265</v>
      </c>
      <c r="M196" t="str">
        <f t="shared" ca="1" si="38"/>
        <v>67644513</v>
      </c>
      <c r="N196" t="str">
        <f t="shared" ca="1" si="39"/>
        <v>433954604</v>
      </c>
      <c r="O196" t="str">
        <f t="shared" ca="1" si="39"/>
        <v>926632456</v>
      </c>
      <c r="P196" t="str" cm="1">
        <f t="array" aca="1" ref="P196" ca="1">9 &amp; INDEX($AH$3:$AH$6,Y196)&amp; TEXT(RANDBETWEEN(0,9999999),"0000000")</f>
        <v>922920094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2151781450095408</v>
      </c>
      <c r="T196" t="s">
        <v>341</v>
      </c>
      <c r="V196" s="4"/>
      <c r="X196">
        <f ca="1">RANDBETWEEN(2,COUNTA(rua_cod!A:A))</f>
        <v>70</v>
      </c>
      <c r="Y196">
        <f t="shared" ca="1" si="42"/>
        <v>2</v>
      </c>
      <c r="Z196">
        <f t="shared" ca="1" si="43"/>
        <v>1</v>
      </c>
      <c r="AA196">
        <f t="shared" ca="1" si="44"/>
        <v>1975</v>
      </c>
      <c r="AB196">
        <f t="shared" ca="1" si="45"/>
        <v>5</v>
      </c>
      <c r="AC196">
        <f t="shared" ca="1" si="46"/>
        <v>16</v>
      </c>
      <c r="AD196">
        <f t="shared" ca="1" si="47"/>
        <v>45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Mariana Daniela Sousa Rocha</v>
      </c>
      <c r="E197" t="str">
        <f>Nomes!S198</f>
        <v>Feminino</v>
      </c>
      <c r="F197" s="2">
        <v>44443</v>
      </c>
      <c r="G197" t="str" cm="1">
        <f t="array" aca="1" ref="G197" ca="1">INDEX(rua_cod!$F:$F,RANDBETWEEN(2,COUNTA(rua_cod!F:F)))</f>
        <v>Travessa de São João da Praça</v>
      </c>
      <c r="H197" t="str" cm="1">
        <f t="array" aca="1" ref="H197" ca="1">INDEX(rua_cod!$A:$A,Médicos!X197) &amp; "-" &amp; TEXT(RANDBETWEEN(0,999),"000")</f>
        <v>2754-917</v>
      </c>
      <c r="I197" t="str" cm="1">
        <f t="array" aca="1" ref="I197" ca="1">INDEX(rua_cod!$B:$B,Médicos!X197)</f>
        <v>Cascais</v>
      </c>
      <c r="J197" t="s">
        <v>341</v>
      </c>
      <c r="K197" t="s">
        <v>225</v>
      </c>
      <c r="L197" t="s">
        <v>265</v>
      </c>
      <c r="M197" t="str">
        <f t="shared" ca="1" si="38"/>
        <v>45519685</v>
      </c>
      <c r="N197" t="str">
        <f t="shared" ca="1" si="39"/>
        <v>752482045</v>
      </c>
      <c r="O197" t="str">
        <f t="shared" ca="1" si="39"/>
        <v>400949608</v>
      </c>
      <c r="P197" t="str" cm="1">
        <f t="array" aca="1" ref="P197" ca="1">9 &amp; INDEX($AH$3:$AH$6,Y197)&amp; TEXT(RANDBETWEEN(0,9999999),"0000000")</f>
        <v>930706167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5879924796509554</v>
      </c>
      <c r="T197" t="s">
        <v>341</v>
      </c>
      <c r="V197" s="4"/>
      <c r="X197">
        <f ca="1">RANDBETWEEN(2,COUNTA(rua_cod!A:A))</f>
        <v>25</v>
      </c>
      <c r="Y197">
        <f t="shared" ca="1" si="42"/>
        <v>3</v>
      </c>
      <c r="Z197">
        <f t="shared" ca="1" si="43"/>
        <v>3</v>
      </c>
      <c r="AA197">
        <f t="shared" ca="1" si="44"/>
        <v>1979</v>
      </c>
      <c r="AB197">
        <f t="shared" ca="1" si="45"/>
        <v>12</v>
      </c>
      <c r="AC197">
        <f t="shared" ca="1" si="46"/>
        <v>13</v>
      </c>
      <c r="AD197">
        <f t="shared" ca="1" si="47"/>
        <v>41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Daniela Sara Pacheco Pacheco</v>
      </c>
      <c r="E198" t="str">
        <f>Nomes!S199</f>
        <v>Feminino</v>
      </c>
      <c r="F198" s="2">
        <v>14423</v>
      </c>
      <c r="G198" t="str" cm="1">
        <f t="array" aca="1" ref="G198" ca="1">INDEX(rua_cod!$F:$F,RANDBETWEEN(2,COUNTA(rua_cod!F:F)))</f>
        <v>Rua de São Julião</v>
      </c>
      <c r="H198" t="str" cm="1">
        <f t="array" aca="1" ref="H198" ca="1">INDEX(rua_cod!$A:$A,Médicos!X198) &amp; "-" &amp; TEXT(RANDBETWEEN(0,999),"000")</f>
        <v>2005-169</v>
      </c>
      <c r="I198" t="str" cm="1">
        <f t="array" aca="1" ref="I198" ca="1">INDEX(rua_cod!$B:$B,Médicos!X198)</f>
        <v>Santarém</v>
      </c>
      <c r="J198" t="s">
        <v>341</v>
      </c>
      <c r="K198" t="s">
        <v>225</v>
      </c>
      <c r="L198" t="s">
        <v>265</v>
      </c>
      <c r="M198" t="str">
        <f t="shared" ca="1" si="38"/>
        <v>54620666</v>
      </c>
      <c r="N198" t="str">
        <f t="shared" ca="1" si="39"/>
        <v>687665042</v>
      </c>
      <c r="O198" t="str">
        <f t="shared" ca="1" si="39"/>
        <v>654218367</v>
      </c>
      <c r="P198" t="str" cm="1">
        <f t="array" aca="1" ref="P198" ca="1">9 &amp; INDEX($AH$3:$AH$6,Y198)&amp; TEXT(RANDBETWEEN(0,9999999),"0000000")</f>
        <v>969128862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3623114975927433</v>
      </c>
      <c r="T198" t="s">
        <v>341</v>
      </c>
      <c r="V198" s="4"/>
      <c r="X198">
        <f ca="1">RANDBETWEEN(2,COUNTA(rua_cod!A:A))</f>
        <v>92</v>
      </c>
      <c r="Y198">
        <f t="shared" ca="1" si="42"/>
        <v>4</v>
      </c>
      <c r="Z198">
        <f t="shared" ca="1" si="43"/>
        <v>1</v>
      </c>
      <c r="AA198">
        <f t="shared" ca="1" si="44"/>
        <v>1959</v>
      </c>
      <c r="AB198">
        <f t="shared" ca="1" si="45"/>
        <v>4</v>
      </c>
      <c r="AC198">
        <f t="shared" ca="1" si="46"/>
        <v>1</v>
      </c>
      <c r="AD198">
        <f t="shared" ca="1" si="47"/>
        <v>61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José Maria Amaral Pinho</v>
      </c>
      <c r="E199" t="str">
        <f>Nomes!S200</f>
        <v>Masculino</v>
      </c>
      <c r="F199" s="2">
        <v>12035</v>
      </c>
      <c r="G199" t="str" cm="1">
        <f t="array" aca="1" ref="G199" ca="1">INDEX(rua_cod!$F:$F,RANDBETWEEN(2,COUNTA(rua_cod!F:F)))</f>
        <v>Avenida Ressano Garcia</v>
      </c>
      <c r="H199" t="str" cm="1">
        <f t="array" aca="1" ref="H199" ca="1">INDEX(rua_cod!$A:$A,Médicos!X199) &amp; "-" &amp; TEXT(RANDBETWEEN(0,999),"000")</f>
        <v>2910-413</v>
      </c>
      <c r="I199" t="str" cm="1">
        <f t="array" aca="1" ref="I199" ca="1">INDEX(rua_cod!$B:$B,Médicos!X199)</f>
        <v>Setúbal</v>
      </c>
      <c r="J199" t="s">
        <v>341</v>
      </c>
      <c r="K199" t="s">
        <v>225</v>
      </c>
      <c r="L199" t="s">
        <v>265</v>
      </c>
      <c r="M199" t="str">
        <f t="shared" ca="1" si="38"/>
        <v>90753809</v>
      </c>
      <c r="N199" t="str">
        <f t="shared" ca="1" si="39"/>
        <v>110045886</v>
      </c>
      <c r="O199" t="str">
        <f t="shared" ca="1" si="39"/>
        <v>559293790</v>
      </c>
      <c r="P199" t="str" cm="1">
        <f t="array" aca="1" ref="P199" ca="1">9 &amp; INDEX($AH$3:$AH$6,Y199)&amp; TEXT(RANDBETWEEN(0,9999999),"0000000")</f>
        <v>929895487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2711176189698797</v>
      </c>
      <c r="T199" t="s">
        <v>341</v>
      </c>
      <c r="V199" s="4"/>
      <c r="X199">
        <f ca="1">RANDBETWEEN(2,COUNTA(rua_cod!A:A))</f>
        <v>97</v>
      </c>
      <c r="Y199">
        <f t="shared" ca="1" si="42"/>
        <v>2</v>
      </c>
      <c r="Z199">
        <f t="shared" ca="1" si="43"/>
        <v>1</v>
      </c>
      <c r="AA199">
        <f t="shared" ca="1" si="44"/>
        <v>1980</v>
      </c>
      <c r="AB199">
        <f t="shared" ca="1" si="45"/>
        <v>11</v>
      </c>
      <c r="AC199">
        <f t="shared" ca="1" si="46"/>
        <v>15</v>
      </c>
      <c r="AD199">
        <f t="shared" ca="1" si="47"/>
        <v>40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workbookViewId="0">
      <selection activeCell="C2" sqref="C2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2026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3725</v>
      </c>
      <c r="W1" s="5" t="s">
        <v>3736</v>
      </c>
      <c r="X1" s="5" t="s">
        <v>3737</v>
      </c>
      <c r="Y1" s="5" t="s">
        <v>3738</v>
      </c>
    </row>
    <row r="2" spans="1:25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3727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3727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3727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X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3727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3727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3727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3727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3727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3727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3727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3727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3727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3727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3727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3727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3727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3727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3727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3727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3727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3727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3727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3727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3727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3727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3727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3727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3727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3727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3727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3727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3727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3727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3727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3727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3727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3727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3727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3727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3727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3727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3727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3727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3727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3727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3727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3727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3727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3727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3727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3727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3727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3727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3727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3727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3727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3727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3727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3727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3727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3727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3727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3727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3727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3727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3727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3727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X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3727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3727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3727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3727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3727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3727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3727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3727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3727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3727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3727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3727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3727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3727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3727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3727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3727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3727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3727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3727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3727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3727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3727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3727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3727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3727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3727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3727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3727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3727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3727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3727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3727</v>
      </c>
      <c r="K101" t="s">
        <v>225</v>
      </c>
      <c r="L101" t="s">
        <v>265</v>
      </c>
      <c r="M101" t="s">
        <v>1238</v>
      </c>
      <c r="N101" t="s">
        <v>1239</v>
      </c>
      <c r="O101" t="s">
        <v>1240</v>
      </c>
      <c r="P101" t="s">
        <v>1241</v>
      </c>
      <c r="Q101" t="s">
        <v>1242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25">
      <c r="A102">
        <v>101</v>
      </c>
      <c r="B102" t="s">
        <v>1243</v>
      </c>
      <c r="C102" t="s">
        <v>1244</v>
      </c>
      <c r="D102" t="s">
        <v>1245</v>
      </c>
      <c r="E102" t="s">
        <v>66</v>
      </c>
      <c r="F102" s="7">
        <v>13043</v>
      </c>
      <c r="G102" t="s">
        <v>244</v>
      </c>
      <c r="H102" t="s">
        <v>1246</v>
      </c>
      <c r="I102" t="s">
        <v>201</v>
      </c>
      <c r="J102" t="s">
        <v>3727</v>
      </c>
      <c r="K102" t="s">
        <v>225</v>
      </c>
      <c r="L102" t="s">
        <v>265</v>
      </c>
      <c r="M102" t="s">
        <v>1247</v>
      </c>
      <c r="N102" t="s">
        <v>1248</v>
      </c>
      <c r="O102" t="s">
        <v>1249</v>
      </c>
      <c r="P102" t="s">
        <v>1250</v>
      </c>
      <c r="Q102" t="s">
        <v>1251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25">
      <c r="A103">
        <v>102</v>
      </c>
      <c r="B103" t="s">
        <v>1252</v>
      </c>
      <c r="C103" t="s">
        <v>1253</v>
      </c>
      <c r="D103" t="s">
        <v>1254</v>
      </c>
      <c r="E103" t="s">
        <v>66</v>
      </c>
      <c r="F103" s="7">
        <v>43678</v>
      </c>
      <c r="G103" t="s">
        <v>235</v>
      </c>
      <c r="H103" t="s">
        <v>1255</v>
      </c>
      <c r="I103" t="s">
        <v>208</v>
      </c>
      <c r="J103" t="s">
        <v>3727</v>
      </c>
      <c r="K103" t="s">
        <v>225</v>
      </c>
      <c r="L103" t="s">
        <v>265</v>
      </c>
      <c r="M103" t="s">
        <v>1256</v>
      </c>
      <c r="N103" t="s">
        <v>1257</v>
      </c>
      <c r="O103" t="s">
        <v>1258</v>
      </c>
      <c r="P103" t="s">
        <v>1259</v>
      </c>
      <c r="Q103" t="s">
        <v>1260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25">
      <c r="A104">
        <v>103</v>
      </c>
      <c r="B104" t="s">
        <v>1261</v>
      </c>
      <c r="C104" t="s">
        <v>1262</v>
      </c>
      <c r="D104" t="s">
        <v>1263</v>
      </c>
      <c r="E104" t="s">
        <v>66</v>
      </c>
      <c r="F104" s="7">
        <v>16742</v>
      </c>
      <c r="G104" t="s">
        <v>253</v>
      </c>
      <c r="H104" t="s">
        <v>1264</v>
      </c>
      <c r="I104" t="s">
        <v>201</v>
      </c>
      <c r="J104" t="s">
        <v>3727</v>
      </c>
      <c r="K104" t="s">
        <v>225</v>
      </c>
      <c r="L104" t="s">
        <v>265</v>
      </c>
      <c r="M104" t="s">
        <v>1265</v>
      </c>
      <c r="N104" t="s">
        <v>1266</v>
      </c>
      <c r="O104" t="s">
        <v>1267</v>
      </c>
      <c r="P104" t="s">
        <v>1268</v>
      </c>
      <c r="Q104" t="s">
        <v>1269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25">
      <c r="A105">
        <v>104</v>
      </c>
      <c r="B105" t="s">
        <v>1270</v>
      </c>
      <c r="C105" t="s">
        <v>1271</v>
      </c>
      <c r="D105" t="s">
        <v>1272</v>
      </c>
      <c r="E105" t="s">
        <v>66</v>
      </c>
      <c r="F105" s="7">
        <v>31845</v>
      </c>
      <c r="G105" t="s">
        <v>237</v>
      </c>
      <c r="H105" t="s">
        <v>1273</v>
      </c>
      <c r="I105" t="s">
        <v>208</v>
      </c>
      <c r="J105" t="s">
        <v>3727</v>
      </c>
      <c r="K105" t="s">
        <v>225</v>
      </c>
      <c r="L105" t="s">
        <v>265</v>
      </c>
      <c r="M105" t="s">
        <v>1274</v>
      </c>
      <c r="N105" t="s">
        <v>1275</v>
      </c>
      <c r="O105" t="s">
        <v>1276</v>
      </c>
      <c r="P105" t="s">
        <v>1277</v>
      </c>
      <c r="Q105" t="s">
        <v>1278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25">
      <c r="A106">
        <v>105</v>
      </c>
      <c r="B106" t="s">
        <v>1279</v>
      </c>
      <c r="C106" t="s">
        <v>1280</v>
      </c>
      <c r="D106" t="s">
        <v>1281</v>
      </c>
      <c r="E106" t="s">
        <v>66</v>
      </c>
      <c r="F106" s="7">
        <v>13451</v>
      </c>
      <c r="G106" t="s">
        <v>233</v>
      </c>
      <c r="H106" t="s">
        <v>1282</v>
      </c>
      <c r="I106" t="s">
        <v>213</v>
      </c>
      <c r="J106" t="s">
        <v>3727</v>
      </c>
      <c r="K106" t="s">
        <v>225</v>
      </c>
      <c r="L106" t="s">
        <v>265</v>
      </c>
      <c r="M106" t="s">
        <v>1283</v>
      </c>
      <c r="N106" t="s">
        <v>1284</v>
      </c>
      <c r="O106" t="s">
        <v>1285</v>
      </c>
      <c r="P106" t="s">
        <v>1286</v>
      </c>
      <c r="Q106" t="s">
        <v>1287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25">
      <c r="A107">
        <v>106</v>
      </c>
      <c r="B107" t="s">
        <v>1288</v>
      </c>
      <c r="C107" t="s">
        <v>1289</v>
      </c>
      <c r="D107" t="s">
        <v>1290</v>
      </c>
      <c r="E107" t="s">
        <v>53</v>
      </c>
      <c r="F107" s="7">
        <v>13647</v>
      </c>
      <c r="G107" t="s">
        <v>235</v>
      </c>
      <c r="H107" t="s">
        <v>1291</v>
      </c>
      <c r="I107" t="s">
        <v>221</v>
      </c>
      <c r="J107" t="s">
        <v>3727</v>
      </c>
      <c r="K107" t="s">
        <v>225</v>
      </c>
      <c r="L107" t="s">
        <v>265</v>
      </c>
      <c r="M107" t="s">
        <v>1292</v>
      </c>
      <c r="N107" t="s">
        <v>1293</v>
      </c>
      <c r="O107" t="s">
        <v>1294</v>
      </c>
      <c r="P107" t="s">
        <v>1295</v>
      </c>
      <c r="Q107" t="s">
        <v>1296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25">
      <c r="A108">
        <v>107</v>
      </c>
      <c r="B108" t="s">
        <v>1297</v>
      </c>
      <c r="C108" t="s">
        <v>1298</v>
      </c>
      <c r="D108" t="s">
        <v>1299</v>
      </c>
      <c r="E108" t="s">
        <v>53</v>
      </c>
      <c r="F108" s="7">
        <v>33045</v>
      </c>
      <c r="G108" t="s">
        <v>237</v>
      </c>
      <c r="H108" t="s">
        <v>1300</v>
      </c>
      <c r="I108" t="s">
        <v>211</v>
      </c>
      <c r="J108" t="s">
        <v>3727</v>
      </c>
      <c r="K108" t="s">
        <v>225</v>
      </c>
      <c r="L108" t="s">
        <v>265</v>
      </c>
      <c r="M108" t="s">
        <v>1301</v>
      </c>
      <c r="N108" t="s">
        <v>1302</v>
      </c>
      <c r="O108" t="s">
        <v>1303</v>
      </c>
      <c r="P108" t="s">
        <v>1304</v>
      </c>
      <c r="Q108" t="s">
        <v>1305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25">
      <c r="A109">
        <v>108</v>
      </c>
      <c r="B109" t="s">
        <v>1306</v>
      </c>
      <c r="C109" t="s">
        <v>1307</v>
      </c>
      <c r="D109" t="s">
        <v>1308</v>
      </c>
      <c r="E109" t="s">
        <v>53</v>
      </c>
      <c r="F109" s="7">
        <v>18446</v>
      </c>
      <c r="G109" t="s">
        <v>246</v>
      </c>
      <c r="H109" t="s">
        <v>1309</v>
      </c>
      <c r="I109" t="s">
        <v>211</v>
      </c>
      <c r="J109" t="s">
        <v>3727</v>
      </c>
      <c r="K109" t="s">
        <v>225</v>
      </c>
      <c r="L109" t="s">
        <v>265</v>
      </c>
      <c r="M109" t="s">
        <v>1310</v>
      </c>
      <c r="N109" t="s">
        <v>1311</v>
      </c>
      <c r="O109" t="s">
        <v>1312</v>
      </c>
      <c r="P109" t="s">
        <v>1313</v>
      </c>
      <c r="Q109" t="s">
        <v>1314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25">
      <c r="A110">
        <v>109</v>
      </c>
      <c r="B110" t="s">
        <v>1315</v>
      </c>
      <c r="C110" t="s">
        <v>1316</v>
      </c>
      <c r="D110" t="s">
        <v>1317</v>
      </c>
      <c r="E110" t="s">
        <v>66</v>
      </c>
      <c r="F110" s="7">
        <v>28450</v>
      </c>
      <c r="G110" t="s">
        <v>250</v>
      </c>
      <c r="H110" t="s">
        <v>1318</v>
      </c>
      <c r="I110" t="s">
        <v>223</v>
      </c>
      <c r="J110" t="s">
        <v>3727</v>
      </c>
      <c r="K110" t="s">
        <v>225</v>
      </c>
      <c r="L110" t="s">
        <v>265</v>
      </c>
      <c r="M110" t="s">
        <v>1319</v>
      </c>
      <c r="N110" t="s">
        <v>1320</v>
      </c>
      <c r="O110" t="s">
        <v>1321</v>
      </c>
      <c r="P110" t="s">
        <v>1322</v>
      </c>
      <c r="Q110" t="s">
        <v>1323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25">
      <c r="A111">
        <v>110</v>
      </c>
      <c r="B111" t="s">
        <v>1324</v>
      </c>
      <c r="C111" t="s">
        <v>1325</v>
      </c>
      <c r="D111" t="s">
        <v>1326</v>
      </c>
      <c r="E111" t="s">
        <v>53</v>
      </c>
      <c r="F111" s="7">
        <v>42428</v>
      </c>
      <c r="G111" t="s">
        <v>228</v>
      </c>
      <c r="H111" t="s">
        <v>1327</v>
      </c>
      <c r="I111" t="s">
        <v>215</v>
      </c>
      <c r="J111" t="s">
        <v>3727</v>
      </c>
      <c r="K111" t="s">
        <v>225</v>
      </c>
      <c r="L111" t="s">
        <v>265</v>
      </c>
      <c r="M111" t="s">
        <v>1328</v>
      </c>
      <c r="N111" t="s">
        <v>1329</v>
      </c>
      <c r="O111" t="s">
        <v>1330</v>
      </c>
      <c r="P111" t="s">
        <v>1331</v>
      </c>
      <c r="Q111" t="s">
        <v>1332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25">
      <c r="A112">
        <v>111</v>
      </c>
      <c r="B112" t="s">
        <v>1333</v>
      </c>
      <c r="C112" t="s">
        <v>1334</v>
      </c>
      <c r="D112" t="s">
        <v>1335</v>
      </c>
      <c r="E112" t="s">
        <v>66</v>
      </c>
      <c r="F112" s="7">
        <v>43463</v>
      </c>
      <c r="G112" t="s">
        <v>249</v>
      </c>
      <c r="H112" t="s">
        <v>1336</v>
      </c>
      <c r="I112" t="s">
        <v>216</v>
      </c>
      <c r="J112" t="s">
        <v>3727</v>
      </c>
      <c r="K112" t="s">
        <v>225</v>
      </c>
      <c r="L112" t="s">
        <v>265</v>
      </c>
      <c r="M112" t="s">
        <v>1337</v>
      </c>
      <c r="N112" t="s">
        <v>1338</v>
      </c>
      <c r="O112" t="s">
        <v>1339</v>
      </c>
      <c r="P112" t="s">
        <v>1340</v>
      </c>
      <c r="Q112" t="s">
        <v>1341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25">
      <c r="A113">
        <v>112</v>
      </c>
      <c r="B113" t="s">
        <v>1342</v>
      </c>
      <c r="C113" t="s">
        <v>1343</v>
      </c>
      <c r="D113" t="s">
        <v>1344</v>
      </c>
      <c r="E113" t="s">
        <v>53</v>
      </c>
      <c r="F113" s="7">
        <v>8971</v>
      </c>
      <c r="G113" t="s">
        <v>262</v>
      </c>
      <c r="H113" t="s">
        <v>1345</v>
      </c>
      <c r="I113" t="s">
        <v>211</v>
      </c>
      <c r="J113" t="s">
        <v>3727</v>
      </c>
      <c r="K113" t="s">
        <v>225</v>
      </c>
      <c r="L113" t="s">
        <v>265</v>
      </c>
      <c r="M113" t="s">
        <v>1346</v>
      </c>
      <c r="N113" t="s">
        <v>1347</v>
      </c>
      <c r="O113" t="s">
        <v>1348</v>
      </c>
      <c r="P113" t="s">
        <v>1349</v>
      </c>
      <c r="Q113" t="s">
        <v>1350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25">
      <c r="A114">
        <v>113</v>
      </c>
      <c r="B114" t="s">
        <v>1351</v>
      </c>
      <c r="C114" t="s">
        <v>1352</v>
      </c>
      <c r="D114" t="s">
        <v>1353</v>
      </c>
      <c r="E114" t="s">
        <v>53</v>
      </c>
      <c r="F114" s="7">
        <v>13497</v>
      </c>
      <c r="G114" t="s">
        <v>255</v>
      </c>
      <c r="H114" t="s">
        <v>1354</v>
      </c>
      <c r="I114" t="s">
        <v>211</v>
      </c>
      <c r="J114" t="s">
        <v>3727</v>
      </c>
      <c r="K114" t="s">
        <v>225</v>
      </c>
      <c r="L114" t="s">
        <v>265</v>
      </c>
      <c r="M114" t="s">
        <v>1355</v>
      </c>
      <c r="N114" t="s">
        <v>1356</v>
      </c>
      <c r="O114" t="s">
        <v>1357</v>
      </c>
      <c r="P114" t="s">
        <v>1358</v>
      </c>
      <c r="Q114" t="s">
        <v>1359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25">
      <c r="A115">
        <v>114</v>
      </c>
      <c r="B115" t="s">
        <v>1360</v>
      </c>
      <c r="C115" t="s">
        <v>1361</v>
      </c>
      <c r="D115" t="s">
        <v>1362</v>
      </c>
      <c r="E115" t="s">
        <v>53</v>
      </c>
      <c r="F115" s="7">
        <v>25240</v>
      </c>
      <c r="G115" t="s">
        <v>248</v>
      </c>
      <c r="H115" t="s">
        <v>1363</v>
      </c>
      <c r="I115" t="s">
        <v>214</v>
      </c>
      <c r="J115" t="s">
        <v>3727</v>
      </c>
      <c r="K115" t="s">
        <v>225</v>
      </c>
      <c r="L115" t="s">
        <v>265</v>
      </c>
      <c r="M115" t="s">
        <v>1364</v>
      </c>
      <c r="N115" t="s">
        <v>1365</v>
      </c>
      <c r="O115" t="s">
        <v>1366</v>
      </c>
      <c r="P115" t="s">
        <v>1367</v>
      </c>
      <c r="Q115" t="s">
        <v>1368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25">
      <c r="A116">
        <v>115</v>
      </c>
      <c r="B116" t="s">
        <v>1369</v>
      </c>
      <c r="C116" t="s">
        <v>1370</v>
      </c>
      <c r="D116" t="s">
        <v>1371</v>
      </c>
      <c r="E116" t="s">
        <v>66</v>
      </c>
      <c r="F116" s="7">
        <v>16827</v>
      </c>
      <c r="G116" t="s">
        <v>260</v>
      </c>
      <c r="H116" t="s">
        <v>1372</v>
      </c>
      <c r="I116" t="s">
        <v>211</v>
      </c>
      <c r="J116" t="s">
        <v>3727</v>
      </c>
      <c r="K116" t="s">
        <v>225</v>
      </c>
      <c r="L116" t="s">
        <v>265</v>
      </c>
      <c r="M116" t="s">
        <v>1373</v>
      </c>
      <c r="N116" t="s">
        <v>1374</v>
      </c>
      <c r="O116" t="s">
        <v>1375</v>
      </c>
      <c r="P116" t="s">
        <v>1376</v>
      </c>
      <c r="Q116" t="s">
        <v>1377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25">
      <c r="A117">
        <v>116</v>
      </c>
      <c r="B117" t="s">
        <v>1378</v>
      </c>
      <c r="C117" t="s">
        <v>1379</v>
      </c>
      <c r="D117" t="s">
        <v>1380</v>
      </c>
      <c r="E117" t="s">
        <v>66</v>
      </c>
      <c r="F117" s="7">
        <v>14246</v>
      </c>
      <c r="G117" t="s">
        <v>246</v>
      </c>
      <c r="H117" t="s">
        <v>1381</v>
      </c>
      <c r="I117" t="s">
        <v>211</v>
      </c>
      <c r="J117" t="s">
        <v>3727</v>
      </c>
      <c r="K117" t="s">
        <v>225</v>
      </c>
      <c r="L117" t="s">
        <v>265</v>
      </c>
      <c r="M117" t="s">
        <v>1382</v>
      </c>
      <c r="N117" t="s">
        <v>1383</v>
      </c>
      <c r="O117" t="s">
        <v>1384</v>
      </c>
      <c r="P117" t="s">
        <v>1385</v>
      </c>
      <c r="Q117" t="s">
        <v>1386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25">
      <c r="A118">
        <v>117</v>
      </c>
      <c r="B118" t="s">
        <v>1387</v>
      </c>
      <c r="C118" t="s">
        <v>1388</v>
      </c>
      <c r="D118" t="s">
        <v>1389</v>
      </c>
      <c r="E118" t="s">
        <v>53</v>
      </c>
      <c r="F118" s="7">
        <v>43342</v>
      </c>
      <c r="G118" t="s">
        <v>255</v>
      </c>
      <c r="H118" t="s">
        <v>1390</v>
      </c>
      <c r="I118" t="s">
        <v>211</v>
      </c>
      <c r="J118" t="s">
        <v>3727</v>
      </c>
      <c r="K118" t="s">
        <v>225</v>
      </c>
      <c r="L118" t="s">
        <v>265</v>
      </c>
      <c r="M118" t="s">
        <v>1391</v>
      </c>
      <c r="N118" t="s">
        <v>1392</v>
      </c>
      <c r="O118" t="s">
        <v>1393</v>
      </c>
      <c r="P118" t="s">
        <v>1394</v>
      </c>
      <c r="Q118" t="s">
        <v>1395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25">
      <c r="A119">
        <v>118</v>
      </c>
      <c r="B119" t="s">
        <v>1396</v>
      </c>
      <c r="C119" t="s">
        <v>1397</v>
      </c>
      <c r="D119" t="s">
        <v>1398</v>
      </c>
      <c r="E119" t="s">
        <v>66</v>
      </c>
      <c r="F119" s="7">
        <v>37343</v>
      </c>
      <c r="G119" t="s">
        <v>227</v>
      </c>
      <c r="H119" t="s">
        <v>1399</v>
      </c>
      <c r="I119" t="s">
        <v>218</v>
      </c>
      <c r="J119" t="s">
        <v>3727</v>
      </c>
      <c r="K119" t="s">
        <v>225</v>
      </c>
      <c r="L119" t="s">
        <v>265</v>
      </c>
      <c r="M119" t="s">
        <v>1400</v>
      </c>
      <c r="N119" t="s">
        <v>1401</v>
      </c>
      <c r="O119" t="s">
        <v>1402</v>
      </c>
      <c r="P119" t="s">
        <v>1403</v>
      </c>
      <c r="Q119" t="s">
        <v>1404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25">
      <c r="A120">
        <v>119</v>
      </c>
      <c r="B120" t="s">
        <v>1405</v>
      </c>
      <c r="C120" t="s">
        <v>1406</v>
      </c>
      <c r="D120" t="s">
        <v>1407</v>
      </c>
      <c r="E120" t="s">
        <v>53</v>
      </c>
      <c r="F120" s="7">
        <v>35503</v>
      </c>
      <c r="G120" t="s">
        <v>246</v>
      </c>
      <c r="H120" t="s">
        <v>1408</v>
      </c>
      <c r="I120" t="s">
        <v>221</v>
      </c>
      <c r="J120" t="s">
        <v>3727</v>
      </c>
      <c r="K120" t="s">
        <v>225</v>
      </c>
      <c r="L120" t="s">
        <v>265</v>
      </c>
      <c r="M120" t="s">
        <v>1409</v>
      </c>
      <c r="N120" t="s">
        <v>1410</v>
      </c>
      <c r="O120" t="s">
        <v>1411</v>
      </c>
      <c r="P120" t="s">
        <v>1412</v>
      </c>
      <c r="Q120" t="s">
        <v>1413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25">
      <c r="A121">
        <v>120</v>
      </c>
      <c r="B121" t="s">
        <v>1414</v>
      </c>
      <c r="C121" t="s">
        <v>1415</v>
      </c>
      <c r="D121" t="s">
        <v>1416</v>
      </c>
      <c r="E121" t="s">
        <v>53</v>
      </c>
      <c r="F121" s="7">
        <v>10487</v>
      </c>
      <c r="G121" t="s">
        <v>237</v>
      </c>
      <c r="H121" t="s">
        <v>1417</v>
      </c>
      <c r="I121" t="s">
        <v>211</v>
      </c>
      <c r="J121" t="s">
        <v>3727</v>
      </c>
      <c r="K121" t="s">
        <v>225</v>
      </c>
      <c r="L121" t="s">
        <v>265</v>
      </c>
      <c r="M121" t="s">
        <v>1418</v>
      </c>
      <c r="N121" t="s">
        <v>1419</v>
      </c>
      <c r="O121" t="s">
        <v>1420</v>
      </c>
      <c r="P121" t="s">
        <v>1421</v>
      </c>
      <c r="Q121" t="s">
        <v>1422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25">
      <c r="A122">
        <v>121</v>
      </c>
      <c r="B122" t="s">
        <v>1423</v>
      </c>
      <c r="C122" t="s">
        <v>1424</v>
      </c>
      <c r="D122" t="s">
        <v>1425</v>
      </c>
      <c r="E122" t="s">
        <v>66</v>
      </c>
      <c r="F122" s="7">
        <v>20453</v>
      </c>
      <c r="G122" t="s">
        <v>260</v>
      </c>
      <c r="H122" t="s">
        <v>1426</v>
      </c>
      <c r="I122" t="s">
        <v>211</v>
      </c>
      <c r="J122" t="s">
        <v>3727</v>
      </c>
      <c r="K122" t="s">
        <v>225</v>
      </c>
      <c r="L122" t="s">
        <v>265</v>
      </c>
      <c r="M122" t="s">
        <v>1427</v>
      </c>
      <c r="N122" t="s">
        <v>1428</v>
      </c>
      <c r="O122" t="s">
        <v>1429</v>
      </c>
      <c r="P122" t="s">
        <v>1430</v>
      </c>
      <c r="Q122" t="s">
        <v>1431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25">
      <c r="A123">
        <v>122</v>
      </c>
      <c r="B123" t="s">
        <v>1432</v>
      </c>
      <c r="C123" t="s">
        <v>1433</v>
      </c>
      <c r="D123" t="s">
        <v>1434</v>
      </c>
      <c r="E123" t="s">
        <v>53</v>
      </c>
      <c r="F123" s="7">
        <v>43922</v>
      </c>
      <c r="G123" t="s">
        <v>231</v>
      </c>
      <c r="H123" t="s">
        <v>1435</v>
      </c>
      <c r="I123" t="s">
        <v>211</v>
      </c>
      <c r="J123" t="s">
        <v>3727</v>
      </c>
      <c r="K123" t="s">
        <v>225</v>
      </c>
      <c r="L123" t="s">
        <v>265</v>
      </c>
      <c r="M123" t="s">
        <v>1436</v>
      </c>
      <c r="N123" t="s">
        <v>1437</v>
      </c>
      <c r="O123" t="s">
        <v>1438</v>
      </c>
      <c r="P123" t="s">
        <v>1439</v>
      </c>
      <c r="Q123" t="s">
        <v>1440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25">
      <c r="A124">
        <v>123</v>
      </c>
      <c r="B124" t="s">
        <v>1441</v>
      </c>
      <c r="C124" t="s">
        <v>1442</v>
      </c>
      <c r="D124" t="s">
        <v>1443</v>
      </c>
      <c r="E124" t="s">
        <v>53</v>
      </c>
      <c r="F124" s="7">
        <v>25320</v>
      </c>
      <c r="G124" t="s">
        <v>243</v>
      </c>
      <c r="H124" t="s">
        <v>1444</v>
      </c>
      <c r="I124" t="s">
        <v>211</v>
      </c>
      <c r="J124" t="s">
        <v>3727</v>
      </c>
      <c r="K124" t="s">
        <v>225</v>
      </c>
      <c r="L124" t="s">
        <v>265</v>
      </c>
      <c r="M124" t="s">
        <v>1445</v>
      </c>
      <c r="N124" t="s">
        <v>1446</v>
      </c>
      <c r="O124" t="s">
        <v>1447</v>
      </c>
      <c r="P124" t="s">
        <v>1448</v>
      </c>
      <c r="Q124" t="s">
        <v>1449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25">
      <c r="A125">
        <v>124</v>
      </c>
      <c r="B125" t="s">
        <v>1450</v>
      </c>
      <c r="C125" t="s">
        <v>1451</v>
      </c>
      <c r="D125" t="s">
        <v>1452</v>
      </c>
      <c r="E125" t="s">
        <v>66</v>
      </c>
      <c r="F125" s="7">
        <v>20063</v>
      </c>
      <c r="G125" t="s">
        <v>246</v>
      </c>
      <c r="H125" t="s">
        <v>1453</v>
      </c>
      <c r="I125" t="s">
        <v>213</v>
      </c>
      <c r="J125" t="s">
        <v>3727</v>
      </c>
      <c r="K125" t="s">
        <v>225</v>
      </c>
      <c r="L125" t="s">
        <v>265</v>
      </c>
      <c r="M125" t="s">
        <v>1454</v>
      </c>
      <c r="N125" t="s">
        <v>1455</v>
      </c>
      <c r="O125" t="s">
        <v>1456</v>
      </c>
      <c r="P125" t="s">
        <v>1457</v>
      </c>
      <c r="Q125" t="s">
        <v>1458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25">
      <c r="A126">
        <v>125</v>
      </c>
      <c r="B126" t="s">
        <v>1459</v>
      </c>
      <c r="C126" t="s">
        <v>1460</v>
      </c>
      <c r="D126" t="s">
        <v>1461</v>
      </c>
      <c r="E126" t="s">
        <v>53</v>
      </c>
      <c r="F126" s="7">
        <v>34756</v>
      </c>
      <c r="G126" t="s">
        <v>263</v>
      </c>
      <c r="H126" t="s">
        <v>1462</v>
      </c>
      <c r="I126" t="s">
        <v>217</v>
      </c>
      <c r="J126" t="s">
        <v>3727</v>
      </c>
      <c r="K126" t="s">
        <v>225</v>
      </c>
      <c r="L126" t="s">
        <v>265</v>
      </c>
      <c r="M126" t="s">
        <v>1463</v>
      </c>
      <c r="N126" t="s">
        <v>1464</v>
      </c>
      <c r="O126" t="s">
        <v>1465</v>
      </c>
      <c r="P126" t="s">
        <v>1466</v>
      </c>
      <c r="Q126" t="s">
        <v>1467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25">
      <c r="A127">
        <v>126</v>
      </c>
      <c r="B127" t="s">
        <v>1468</v>
      </c>
      <c r="C127" t="s">
        <v>1469</v>
      </c>
      <c r="D127" t="s">
        <v>1470</v>
      </c>
      <c r="E127" t="s">
        <v>53</v>
      </c>
      <c r="F127" s="7">
        <v>14392</v>
      </c>
      <c r="G127" t="s">
        <v>248</v>
      </c>
      <c r="H127" t="s">
        <v>1471</v>
      </c>
      <c r="I127" t="s">
        <v>211</v>
      </c>
      <c r="J127" t="s">
        <v>3727</v>
      </c>
      <c r="K127" t="s">
        <v>225</v>
      </c>
      <c r="L127" t="s">
        <v>265</v>
      </c>
      <c r="M127" t="s">
        <v>1472</v>
      </c>
      <c r="N127" t="s">
        <v>1473</v>
      </c>
      <c r="O127" t="s">
        <v>1474</v>
      </c>
      <c r="P127" t="s">
        <v>1475</v>
      </c>
      <c r="Q127" t="s">
        <v>1476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25">
      <c r="A128">
        <v>127</v>
      </c>
      <c r="B128" t="s">
        <v>1477</v>
      </c>
      <c r="C128" t="s">
        <v>1478</v>
      </c>
      <c r="D128" t="s">
        <v>1479</v>
      </c>
      <c r="E128" t="s">
        <v>66</v>
      </c>
      <c r="F128" s="7">
        <v>17070</v>
      </c>
      <c r="G128" t="s">
        <v>229</v>
      </c>
      <c r="H128" t="s">
        <v>1480</v>
      </c>
      <c r="I128" t="s">
        <v>211</v>
      </c>
      <c r="J128" t="s">
        <v>3727</v>
      </c>
      <c r="K128" t="s">
        <v>225</v>
      </c>
      <c r="L128" t="s">
        <v>265</v>
      </c>
      <c r="M128" t="s">
        <v>1481</v>
      </c>
      <c r="N128" t="s">
        <v>1482</v>
      </c>
      <c r="O128" t="s">
        <v>1483</v>
      </c>
      <c r="P128" t="s">
        <v>1484</v>
      </c>
      <c r="Q128" t="s">
        <v>1485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25">
      <c r="A129">
        <v>128</v>
      </c>
      <c r="B129" t="s">
        <v>1486</v>
      </c>
      <c r="C129" t="s">
        <v>1487</v>
      </c>
      <c r="D129" t="s">
        <v>1488</v>
      </c>
      <c r="E129" t="s">
        <v>66</v>
      </c>
      <c r="F129" s="7">
        <v>18282</v>
      </c>
      <c r="G129" t="s">
        <v>239</v>
      </c>
      <c r="H129" t="s">
        <v>1489</v>
      </c>
      <c r="I129" t="s">
        <v>211</v>
      </c>
      <c r="J129" t="s">
        <v>3727</v>
      </c>
      <c r="K129" t="s">
        <v>225</v>
      </c>
      <c r="L129" t="s">
        <v>265</v>
      </c>
      <c r="M129" t="s">
        <v>1490</v>
      </c>
      <c r="N129" t="s">
        <v>1491</v>
      </c>
      <c r="O129" t="s">
        <v>1492</v>
      </c>
      <c r="P129" t="s">
        <v>1493</v>
      </c>
      <c r="Q129" t="s">
        <v>1494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25">
      <c r="A130">
        <v>129</v>
      </c>
      <c r="B130" t="s">
        <v>1495</v>
      </c>
      <c r="C130" t="s">
        <v>1496</v>
      </c>
      <c r="D130" t="s">
        <v>1497</v>
      </c>
      <c r="E130" t="s">
        <v>66</v>
      </c>
      <c r="F130" s="7">
        <v>9562</v>
      </c>
      <c r="G130" t="s">
        <v>252</v>
      </c>
      <c r="H130" t="s">
        <v>1498</v>
      </c>
      <c r="I130" t="s">
        <v>206</v>
      </c>
      <c r="J130" t="s">
        <v>3727</v>
      </c>
      <c r="K130" t="s">
        <v>225</v>
      </c>
      <c r="L130" t="s">
        <v>265</v>
      </c>
      <c r="M130" t="s">
        <v>1499</v>
      </c>
      <c r="N130" t="s">
        <v>1500</v>
      </c>
      <c r="O130" t="s">
        <v>1501</v>
      </c>
      <c r="P130" t="s">
        <v>1502</v>
      </c>
      <c r="Q130" t="s">
        <v>1503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25">
      <c r="A131">
        <v>130</v>
      </c>
      <c r="B131" t="s">
        <v>1504</v>
      </c>
      <c r="C131" t="s">
        <v>1505</v>
      </c>
      <c r="D131" t="s">
        <v>1506</v>
      </c>
      <c r="E131" t="s">
        <v>53</v>
      </c>
      <c r="F131" s="7">
        <v>10733</v>
      </c>
      <c r="G131" t="s">
        <v>231</v>
      </c>
      <c r="H131" t="s">
        <v>1507</v>
      </c>
      <c r="I131" t="s">
        <v>201</v>
      </c>
      <c r="J131" t="s">
        <v>3727</v>
      </c>
      <c r="K131" t="s">
        <v>225</v>
      </c>
      <c r="L131" t="s">
        <v>265</v>
      </c>
      <c r="M131" t="s">
        <v>1508</v>
      </c>
      <c r="N131" t="s">
        <v>1509</v>
      </c>
      <c r="O131" t="s">
        <v>1510</v>
      </c>
      <c r="P131" t="s">
        <v>1511</v>
      </c>
      <c r="Q131" t="s">
        <v>1512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25">
      <c r="A132">
        <v>131</v>
      </c>
      <c r="B132" t="s">
        <v>1513</v>
      </c>
      <c r="C132" t="s">
        <v>1514</v>
      </c>
      <c r="D132" t="s">
        <v>1515</v>
      </c>
      <c r="E132" t="s">
        <v>66</v>
      </c>
      <c r="F132" s="7">
        <v>43003</v>
      </c>
      <c r="G132" t="s">
        <v>228</v>
      </c>
      <c r="H132" t="s">
        <v>1516</v>
      </c>
      <c r="I132" t="s">
        <v>211</v>
      </c>
      <c r="J132" t="s">
        <v>3727</v>
      </c>
      <c r="K132" t="s">
        <v>225</v>
      </c>
      <c r="L132" t="s">
        <v>265</v>
      </c>
      <c r="M132" t="s">
        <v>1517</v>
      </c>
      <c r="N132" t="s">
        <v>1518</v>
      </c>
      <c r="O132" t="s">
        <v>1519</v>
      </c>
      <c r="P132" t="s">
        <v>1520</v>
      </c>
      <c r="Q132" t="s">
        <v>1521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7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X187" si="10">"(" &amp;A132 &amp; ",'" &amp; S132 &amp; "', '" &amp; T132 &amp; "'),"</f>
        <v>(131,'6778090543805430', '31'),</v>
      </c>
      <c r="Y132" t="str">
        <f t="shared" ref="Y132:Y187" si="11">"(" &amp;A132 &amp; "),"</f>
        <v>(131),</v>
      </c>
    </row>
    <row r="133" spans="1:25" x14ac:dyDescent="0.25">
      <c r="A133">
        <v>132</v>
      </c>
      <c r="B133" t="s">
        <v>1522</v>
      </c>
      <c r="C133" t="s">
        <v>1523</v>
      </c>
      <c r="D133" t="s">
        <v>1524</v>
      </c>
      <c r="E133" t="s">
        <v>66</v>
      </c>
      <c r="F133" s="7">
        <v>29468</v>
      </c>
      <c r="G133" t="s">
        <v>237</v>
      </c>
      <c r="H133" t="s">
        <v>1525</v>
      </c>
      <c r="I133" t="s">
        <v>211</v>
      </c>
      <c r="J133" t="s">
        <v>3727</v>
      </c>
      <c r="K133" t="s">
        <v>225</v>
      </c>
      <c r="L133" t="s">
        <v>265</v>
      </c>
      <c r="M133" t="s">
        <v>1526</v>
      </c>
      <c r="N133" t="s">
        <v>1527</v>
      </c>
      <c r="O133" t="s">
        <v>1528</v>
      </c>
      <c r="P133" t="s">
        <v>1529</v>
      </c>
      <c r="Q133" t="s">
        <v>1530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25">
      <c r="A134">
        <v>133</v>
      </c>
      <c r="B134" t="s">
        <v>1531</v>
      </c>
      <c r="C134" t="s">
        <v>1532</v>
      </c>
      <c r="D134" t="s">
        <v>1533</v>
      </c>
      <c r="E134" t="s">
        <v>66</v>
      </c>
      <c r="F134" s="7">
        <v>26648</v>
      </c>
      <c r="G134" t="s">
        <v>251</v>
      </c>
      <c r="H134" t="s">
        <v>1534</v>
      </c>
      <c r="I134" t="s">
        <v>211</v>
      </c>
      <c r="J134" t="s">
        <v>3727</v>
      </c>
      <c r="K134" t="s">
        <v>225</v>
      </c>
      <c r="L134" t="s">
        <v>265</v>
      </c>
      <c r="M134" t="s">
        <v>1535</v>
      </c>
      <c r="N134" t="s">
        <v>1536</v>
      </c>
      <c r="O134" t="s">
        <v>1537</v>
      </c>
      <c r="P134" t="s">
        <v>1538</v>
      </c>
      <c r="Q134" t="s">
        <v>1539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25">
      <c r="A135">
        <v>134</v>
      </c>
      <c r="B135" t="s">
        <v>1540</v>
      </c>
      <c r="C135" t="s">
        <v>1541</v>
      </c>
      <c r="D135" t="s">
        <v>1542</v>
      </c>
      <c r="E135" t="s">
        <v>66</v>
      </c>
      <c r="F135" s="7">
        <v>12366</v>
      </c>
      <c r="G135" t="s">
        <v>253</v>
      </c>
      <c r="H135" t="s">
        <v>1543</v>
      </c>
      <c r="I135" t="s">
        <v>211</v>
      </c>
      <c r="J135" t="s">
        <v>3727</v>
      </c>
      <c r="K135" t="s">
        <v>225</v>
      </c>
      <c r="L135" t="s">
        <v>265</v>
      </c>
      <c r="M135" t="s">
        <v>1544</v>
      </c>
      <c r="N135" t="s">
        <v>1545</v>
      </c>
      <c r="O135" t="s">
        <v>1546</v>
      </c>
      <c r="P135" t="s">
        <v>1547</v>
      </c>
      <c r="Q135" t="s">
        <v>1548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25">
      <c r="A136">
        <v>135</v>
      </c>
      <c r="B136" t="s">
        <v>1549</v>
      </c>
      <c r="C136" t="s">
        <v>1550</v>
      </c>
      <c r="D136" t="s">
        <v>1551</v>
      </c>
      <c r="E136" t="s">
        <v>53</v>
      </c>
      <c r="F136" s="7">
        <v>15788</v>
      </c>
      <c r="G136" t="s">
        <v>259</v>
      </c>
      <c r="H136" t="s">
        <v>1552</v>
      </c>
      <c r="I136" t="s">
        <v>211</v>
      </c>
      <c r="J136" t="s">
        <v>3727</v>
      </c>
      <c r="K136" t="s">
        <v>225</v>
      </c>
      <c r="L136" t="s">
        <v>265</v>
      </c>
      <c r="M136" t="s">
        <v>1553</v>
      </c>
      <c r="N136" t="s">
        <v>1554</v>
      </c>
      <c r="O136" t="s">
        <v>1555</v>
      </c>
      <c r="P136" t="s">
        <v>1556</v>
      </c>
      <c r="Q136" t="s">
        <v>1557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25">
      <c r="A137">
        <v>136</v>
      </c>
      <c r="B137" t="s">
        <v>1558</v>
      </c>
      <c r="C137" t="s">
        <v>1559</v>
      </c>
      <c r="D137" t="s">
        <v>1560</v>
      </c>
      <c r="E137" t="s">
        <v>53</v>
      </c>
      <c r="F137" s="7">
        <v>37028</v>
      </c>
      <c r="G137" t="s">
        <v>241</v>
      </c>
      <c r="H137" t="s">
        <v>1561</v>
      </c>
      <c r="I137" t="s">
        <v>201</v>
      </c>
      <c r="J137" t="s">
        <v>3727</v>
      </c>
      <c r="K137" t="s">
        <v>225</v>
      </c>
      <c r="L137" t="s">
        <v>265</v>
      </c>
      <c r="M137" t="s">
        <v>1562</v>
      </c>
      <c r="N137" t="s">
        <v>1563</v>
      </c>
      <c r="O137" t="s">
        <v>1564</v>
      </c>
      <c r="P137" t="s">
        <v>1565</v>
      </c>
      <c r="Q137" t="s">
        <v>1566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25">
      <c r="A138">
        <v>137</v>
      </c>
      <c r="B138" t="s">
        <v>1567</v>
      </c>
      <c r="C138" t="s">
        <v>1568</v>
      </c>
      <c r="D138" t="s">
        <v>1569</v>
      </c>
      <c r="E138" t="s">
        <v>53</v>
      </c>
      <c r="F138" s="7">
        <v>36735</v>
      </c>
      <c r="G138" t="s">
        <v>259</v>
      </c>
      <c r="H138" t="s">
        <v>1570</v>
      </c>
      <c r="I138" t="s">
        <v>211</v>
      </c>
      <c r="J138" t="s">
        <v>3727</v>
      </c>
      <c r="K138" t="s">
        <v>225</v>
      </c>
      <c r="L138" t="s">
        <v>265</v>
      </c>
      <c r="M138" t="s">
        <v>1571</v>
      </c>
      <c r="N138" t="s">
        <v>1572</v>
      </c>
      <c r="O138" t="s">
        <v>1573</v>
      </c>
      <c r="P138" t="s">
        <v>1574</v>
      </c>
      <c r="Q138" t="s">
        <v>1575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25">
      <c r="A139">
        <v>138</v>
      </c>
      <c r="B139" t="s">
        <v>1576</v>
      </c>
      <c r="C139" t="s">
        <v>1577</v>
      </c>
      <c r="D139" t="s">
        <v>1578</v>
      </c>
      <c r="E139" t="s">
        <v>66</v>
      </c>
      <c r="F139" s="7">
        <v>29002</v>
      </c>
      <c r="G139" t="s">
        <v>246</v>
      </c>
      <c r="H139" t="s">
        <v>1579</v>
      </c>
      <c r="I139" t="s">
        <v>211</v>
      </c>
      <c r="J139" t="s">
        <v>3727</v>
      </c>
      <c r="K139" t="s">
        <v>225</v>
      </c>
      <c r="L139" t="s">
        <v>265</v>
      </c>
      <c r="M139" t="s">
        <v>1580</v>
      </c>
      <c r="N139" t="s">
        <v>1581</v>
      </c>
      <c r="O139" t="s">
        <v>1582</v>
      </c>
      <c r="P139" t="s">
        <v>1583</v>
      </c>
      <c r="Q139" t="s">
        <v>1584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25">
      <c r="A140">
        <v>139</v>
      </c>
      <c r="B140" t="s">
        <v>1585</v>
      </c>
      <c r="C140" t="s">
        <v>1586</v>
      </c>
      <c r="D140" t="s">
        <v>1587</v>
      </c>
      <c r="E140" t="s">
        <v>53</v>
      </c>
      <c r="F140" s="7">
        <v>41285</v>
      </c>
      <c r="G140" t="s">
        <v>242</v>
      </c>
      <c r="H140" t="s">
        <v>1588</v>
      </c>
      <c r="I140" t="s">
        <v>223</v>
      </c>
      <c r="J140" t="s">
        <v>3727</v>
      </c>
      <c r="K140" t="s">
        <v>225</v>
      </c>
      <c r="L140" t="s">
        <v>265</v>
      </c>
      <c r="M140" t="s">
        <v>1589</v>
      </c>
      <c r="N140" t="s">
        <v>1590</v>
      </c>
      <c r="O140" t="s">
        <v>1591</v>
      </c>
      <c r="P140" t="s">
        <v>1592</v>
      </c>
      <c r="Q140" t="s">
        <v>1593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25">
      <c r="A141">
        <v>140</v>
      </c>
      <c r="B141" t="s">
        <v>1594</v>
      </c>
      <c r="C141" t="s">
        <v>1595</v>
      </c>
      <c r="D141" t="s">
        <v>1596</v>
      </c>
      <c r="E141" t="s">
        <v>53</v>
      </c>
      <c r="F141" s="7">
        <v>27590</v>
      </c>
      <c r="G141" t="s">
        <v>245</v>
      </c>
      <c r="H141" t="s">
        <v>1597</v>
      </c>
      <c r="I141" t="s">
        <v>211</v>
      </c>
      <c r="J141" t="s">
        <v>3727</v>
      </c>
      <c r="K141" t="s">
        <v>225</v>
      </c>
      <c r="L141" t="s">
        <v>265</v>
      </c>
      <c r="M141" t="s">
        <v>1598</v>
      </c>
      <c r="N141" t="s">
        <v>1599</v>
      </c>
      <c r="O141" t="s">
        <v>1600</v>
      </c>
      <c r="P141" t="s">
        <v>1601</v>
      </c>
      <c r="Q141" t="s">
        <v>1602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25">
      <c r="A142">
        <v>141</v>
      </c>
      <c r="B142" t="s">
        <v>1603</v>
      </c>
      <c r="C142" t="s">
        <v>1604</v>
      </c>
      <c r="D142" t="s">
        <v>1605</v>
      </c>
      <c r="E142" t="s">
        <v>53</v>
      </c>
      <c r="F142" s="7">
        <v>30972</v>
      </c>
      <c r="G142" t="s">
        <v>230</v>
      </c>
      <c r="H142" t="s">
        <v>1606</v>
      </c>
      <c r="I142" t="s">
        <v>210</v>
      </c>
      <c r="J142" t="s">
        <v>3727</v>
      </c>
      <c r="K142" t="s">
        <v>225</v>
      </c>
      <c r="L142" t="s">
        <v>265</v>
      </c>
      <c r="M142" t="s">
        <v>1607</v>
      </c>
      <c r="N142" t="s">
        <v>1608</v>
      </c>
      <c r="O142" t="s">
        <v>1609</v>
      </c>
      <c r="P142" t="s">
        <v>1610</v>
      </c>
      <c r="Q142" t="s">
        <v>1611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25">
      <c r="A143">
        <v>142</v>
      </c>
      <c r="B143" t="s">
        <v>1612</v>
      </c>
      <c r="C143" t="s">
        <v>1613</v>
      </c>
      <c r="D143" t="s">
        <v>1614</v>
      </c>
      <c r="E143" t="s">
        <v>53</v>
      </c>
      <c r="F143" s="7">
        <v>9540</v>
      </c>
      <c r="G143" t="s">
        <v>246</v>
      </c>
      <c r="H143" t="s">
        <v>1615</v>
      </c>
      <c r="I143" t="s">
        <v>205</v>
      </c>
      <c r="J143" t="s">
        <v>3727</v>
      </c>
      <c r="K143" t="s">
        <v>225</v>
      </c>
      <c r="L143" t="s">
        <v>265</v>
      </c>
      <c r="M143" t="s">
        <v>1616</v>
      </c>
      <c r="N143" t="s">
        <v>1617</v>
      </c>
      <c r="O143" t="s">
        <v>1618</v>
      </c>
      <c r="P143" t="s">
        <v>1619</v>
      </c>
      <c r="Q143" t="s">
        <v>1620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25">
      <c r="A144">
        <v>143</v>
      </c>
      <c r="B144" t="s">
        <v>1621</v>
      </c>
      <c r="C144" t="s">
        <v>1622</v>
      </c>
      <c r="D144" t="s">
        <v>1623</v>
      </c>
      <c r="E144" t="s">
        <v>53</v>
      </c>
      <c r="F144" s="7">
        <v>9785</v>
      </c>
      <c r="G144" t="s">
        <v>246</v>
      </c>
      <c r="H144" t="s">
        <v>1624</v>
      </c>
      <c r="I144" t="s">
        <v>205</v>
      </c>
      <c r="J144" t="s">
        <v>3727</v>
      </c>
      <c r="K144" t="s">
        <v>225</v>
      </c>
      <c r="L144" t="s">
        <v>265</v>
      </c>
      <c r="M144" t="s">
        <v>1625</v>
      </c>
      <c r="N144" t="s">
        <v>1626</v>
      </c>
      <c r="O144" t="s">
        <v>1627</v>
      </c>
      <c r="P144" t="s">
        <v>1628</v>
      </c>
      <c r="Q144" t="s">
        <v>1629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25">
      <c r="A145">
        <v>144</v>
      </c>
      <c r="B145" t="s">
        <v>1630</v>
      </c>
      <c r="C145" t="s">
        <v>1631</v>
      </c>
      <c r="D145" t="s">
        <v>1632</v>
      </c>
      <c r="E145" t="s">
        <v>53</v>
      </c>
      <c r="F145" s="7">
        <v>26847</v>
      </c>
      <c r="G145" t="s">
        <v>230</v>
      </c>
      <c r="H145" t="s">
        <v>1633</v>
      </c>
      <c r="I145" t="s">
        <v>209</v>
      </c>
      <c r="J145" t="s">
        <v>3727</v>
      </c>
      <c r="K145" t="s">
        <v>225</v>
      </c>
      <c r="L145" t="s">
        <v>265</v>
      </c>
      <c r="M145" t="s">
        <v>1634</v>
      </c>
      <c r="N145" t="s">
        <v>1635</v>
      </c>
      <c r="O145" t="s">
        <v>1636</v>
      </c>
      <c r="P145" t="s">
        <v>1637</v>
      </c>
      <c r="Q145" t="s">
        <v>1638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25">
      <c r="A146">
        <v>145</v>
      </c>
      <c r="B146" t="s">
        <v>1639</v>
      </c>
      <c r="C146" t="s">
        <v>1640</v>
      </c>
      <c r="D146" t="s">
        <v>1641</v>
      </c>
      <c r="E146" t="s">
        <v>53</v>
      </c>
      <c r="F146" s="7">
        <v>44029</v>
      </c>
      <c r="G146" t="s">
        <v>253</v>
      </c>
      <c r="H146" t="s">
        <v>1642</v>
      </c>
      <c r="I146" t="s">
        <v>211</v>
      </c>
      <c r="J146" t="s">
        <v>3727</v>
      </c>
      <c r="K146" t="s">
        <v>225</v>
      </c>
      <c r="L146" t="s">
        <v>265</v>
      </c>
      <c r="M146" t="s">
        <v>1643</v>
      </c>
      <c r="N146" t="s">
        <v>1644</v>
      </c>
      <c r="O146" t="s">
        <v>1645</v>
      </c>
      <c r="P146" t="s">
        <v>1646</v>
      </c>
      <c r="Q146" t="s">
        <v>1647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25">
      <c r="A147">
        <v>146</v>
      </c>
      <c r="B147" t="s">
        <v>1648</v>
      </c>
      <c r="C147" t="s">
        <v>1649</v>
      </c>
      <c r="D147" t="s">
        <v>1650</v>
      </c>
      <c r="E147" t="s">
        <v>66</v>
      </c>
      <c r="F147" s="7">
        <v>11043</v>
      </c>
      <c r="G147" t="s">
        <v>241</v>
      </c>
      <c r="H147" t="s">
        <v>1651</v>
      </c>
      <c r="I147" t="s">
        <v>211</v>
      </c>
      <c r="J147" t="s">
        <v>3727</v>
      </c>
      <c r="K147" t="s">
        <v>225</v>
      </c>
      <c r="L147" t="s">
        <v>265</v>
      </c>
      <c r="M147" t="s">
        <v>1652</v>
      </c>
      <c r="N147" t="s">
        <v>1653</v>
      </c>
      <c r="O147" t="s">
        <v>1654</v>
      </c>
      <c r="P147" t="s">
        <v>1655</v>
      </c>
      <c r="Q147" t="s">
        <v>1656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25">
      <c r="A148">
        <v>147</v>
      </c>
      <c r="B148" t="s">
        <v>1657</v>
      </c>
      <c r="C148" t="s">
        <v>1658</v>
      </c>
      <c r="D148" t="s">
        <v>1659</v>
      </c>
      <c r="E148" t="s">
        <v>53</v>
      </c>
      <c r="F148" s="7">
        <v>28184</v>
      </c>
      <c r="G148" t="s">
        <v>231</v>
      </c>
      <c r="H148" t="s">
        <v>1660</v>
      </c>
      <c r="I148" t="s">
        <v>218</v>
      </c>
      <c r="J148" t="s">
        <v>3727</v>
      </c>
      <c r="K148" t="s">
        <v>225</v>
      </c>
      <c r="L148" t="s">
        <v>265</v>
      </c>
      <c r="M148" t="s">
        <v>1661</v>
      </c>
      <c r="N148" t="s">
        <v>1662</v>
      </c>
      <c r="O148" t="s">
        <v>1663</v>
      </c>
      <c r="P148" t="s">
        <v>1664</v>
      </c>
      <c r="Q148" t="s">
        <v>1665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25">
      <c r="A149">
        <v>148</v>
      </c>
      <c r="B149" t="s">
        <v>1666</v>
      </c>
      <c r="C149" t="s">
        <v>1667</v>
      </c>
      <c r="D149" t="s">
        <v>1668</v>
      </c>
      <c r="E149" t="s">
        <v>66</v>
      </c>
      <c r="F149" s="7">
        <v>20148</v>
      </c>
      <c r="G149" t="s">
        <v>254</v>
      </c>
      <c r="H149" t="s">
        <v>1669</v>
      </c>
      <c r="I149" t="s">
        <v>210</v>
      </c>
      <c r="J149" t="s">
        <v>3727</v>
      </c>
      <c r="K149" t="s">
        <v>225</v>
      </c>
      <c r="L149" t="s">
        <v>265</v>
      </c>
      <c r="M149" t="s">
        <v>1670</v>
      </c>
      <c r="N149" t="s">
        <v>1671</v>
      </c>
      <c r="O149" t="s">
        <v>1672</v>
      </c>
      <c r="P149" t="s">
        <v>1673</v>
      </c>
      <c r="Q149" t="s">
        <v>1674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25">
      <c r="A150">
        <v>149</v>
      </c>
      <c r="B150" t="s">
        <v>1675</v>
      </c>
      <c r="C150" t="s">
        <v>1676</v>
      </c>
      <c r="D150" t="s">
        <v>1677</v>
      </c>
      <c r="E150" t="s">
        <v>53</v>
      </c>
      <c r="F150" s="7">
        <v>40822</v>
      </c>
      <c r="G150" t="s">
        <v>243</v>
      </c>
      <c r="H150" t="s">
        <v>1678</v>
      </c>
      <c r="I150" t="s">
        <v>210</v>
      </c>
      <c r="J150" t="s">
        <v>3727</v>
      </c>
      <c r="K150" t="s">
        <v>225</v>
      </c>
      <c r="L150" t="s">
        <v>265</v>
      </c>
      <c r="M150" t="s">
        <v>1679</v>
      </c>
      <c r="N150" t="s">
        <v>1680</v>
      </c>
      <c r="O150" t="s">
        <v>1681</v>
      </c>
      <c r="P150" t="s">
        <v>1682</v>
      </c>
      <c r="Q150" t="s">
        <v>1683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25">
      <c r="A151">
        <v>150</v>
      </c>
      <c r="B151" t="s">
        <v>1684</v>
      </c>
      <c r="C151" t="s">
        <v>1685</v>
      </c>
      <c r="D151" t="s">
        <v>1686</v>
      </c>
      <c r="E151" t="s">
        <v>53</v>
      </c>
      <c r="F151" s="7">
        <v>24061</v>
      </c>
      <c r="G151" t="s">
        <v>242</v>
      </c>
      <c r="H151" t="s">
        <v>1687</v>
      </c>
      <c r="I151" t="s">
        <v>211</v>
      </c>
      <c r="J151" t="s">
        <v>3727</v>
      </c>
      <c r="K151" t="s">
        <v>225</v>
      </c>
      <c r="L151" t="s">
        <v>265</v>
      </c>
      <c r="M151" t="s">
        <v>1688</v>
      </c>
      <c r="N151" t="s">
        <v>1689</v>
      </c>
      <c r="O151" t="s">
        <v>1690</v>
      </c>
      <c r="P151" t="s">
        <v>1691</v>
      </c>
      <c r="Q151" t="s">
        <v>1692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25">
      <c r="A152">
        <v>151</v>
      </c>
      <c r="B152" t="s">
        <v>1693</v>
      </c>
      <c r="C152" t="s">
        <v>1694</v>
      </c>
      <c r="D152" t="s">
        <v>1695</v>
      </c>
      <c r="E152" t="s">
        <v>66</v>
      </c>
      <c r="F152" s="7">
        <v>29777</v>
      </c>
      <c r="G152" t="s">
        <v>236</v>
      </c>
      <c r="H152" t="s">
        <v>1696</v>
      </c>
      <c r="I152" t="s">
        <v>205</v>
      </c>
      <c r="J152" t="s">
        <v>3727</v>
      </c>
      <c r="K152" t="s">
        <v>225</v>
      </c>
      <c r="L152" t="s">
        <v>265</v>
      </c>
      <c r="M152" t="s">
        <v>1697</v>
      </c>
      <c r="N152" t="s">
        <v>1698</v>
      </c>
      <c r="O152" t="s">
        <v>1699</v>
      </c>
      <c r="P152" t="s">
        <v>1700</v>
      </c>
      <c r="Q152" t="s">
        <v>1701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25">
      <c r="A153">
        <v>152</v>
      </c>
      <c r="B153" t="s">
        <v>1702</v>
      </c>
      <c r="C153" t="s">
        <v>1703</v>
      </c>
      <c r="D153" t="s">
        <v>1704</v>
      </c>
      <c r="E153" t="s">
        <v>66</v>
      </c>
      <c r="F153" s="7">
        <v>22302</v>
      </c>
      <c r="G153" t="s">
        <v>259</v>
      </c>
      <c r="H153" t="s">
        <v>1705</v>
      </c>
      <c r="I153" t="s">
        <v>211</v>
      </c>
      <c r="J153" t="s">
        <v>3727</v>
      </c>
      <c r="K153" t="s">
        <v>225</v>
      </c>
      <c r="L153" t="s">
        <v>265</v>
      </c>
      <c r="M153" t="s">
        <v>1706</v>
      </c>
      <c r="N153" t="s">
        <v>1707</v>
      </c>
      <c r="O153" t="s">
        <v>1708</v>
      </c>
      <c r="P153" t="s">
        <v>1709</v>
      </c>
      <c r="Q153" t="s">
        <v>1710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25">
      <c r="A154">
        <v>153</v>
      </c>
      <c r="B154" t="s">
        <v>1711</v>
      </c>
      <c r="C154" t="s">
        <v>1712</v>
      </c>
      <c r="D154" t="s">
        <v>1713</v>
      </c>
      <c r="E154" t="s">
        <v>66</v>
      </c>
      <c r="F154" s="7">
        <v>44419</v>
      </c>
      <c r="G154" t="s">
        <v>247</v>
      </c>
      <c r="H154" t="s">
        <v>1714</v>
      </c>
      <c r="I154" t="s">
        <v>211</v>
      </c>
      <c r="J154" t="s">
        <v>3727</v>
      </c>
      <c r="K154" t="s">
        <v>225</v>
      </c>
      <c r="L154" t="s">
        <v>265</v>
      </c>
      <c r="M154" t="s">
        <v>1715</v>
      </c>
      <c r="N154" t="s">
        <v>1716</v>
      </c>
      <c r="O154" t="s">
        <v>1717</v>
      </c>
      <c r="P154" t="s">
        <v>1718</v>
      </c>
      <c r="Q154" t="s">
        <v>1719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25">
      <c r="A155">
        <v>154</v>
      </c>
      <c r="B155" t="s">
        <v>1720</v>
      </c>
      <c r="C155" t="s">
        <v>1721</v>
      </c>
      <c r="D155" t="s">
        <v>1722</v>
      </c>
      <c r="E155" t="s">
        <v>66</v>
      </c>
      <c r="F155" s="7">
        <v>11307</v>
      </c>
      <c r="G155" t="s">
        <v>251</v>
      </c>
      <c r="H155" t="s">
        <v>1723</v>
      </c>
      <c r="I155" t="s">
        <v>211</v>
      </c>
      <c r="J155" t="s">
        <v>3727</v>
      </c>
      <c r="K155" t="s">
        <v>225</v>
      </c>
      <c r="L155" t="s">
        <v>265</v>
      </c>
      <c r="M155" t="s">
        <v>1724</v>
      </c>
      <c r="N155" t="s">
        <v>1725</v>
      </c>
      <c r="O155" t="s">
        <v>1726</v>
      </c>
      <c r="P155" t="s">
        <v>1727</v>
      </c>
      <c r="Q155" t="s">
        <v>1728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25">
      <c r="A156">
        <v>155</v>
      </c>
      <c r="B156" t="s">
        <v>1729</v>
      </c>
      <c r="C156" t="s">
        <v>1730</v>
      </c>
      <c r="D156" t="s">
        <v>1731</v>
      </c>
      <c r="E156" t="s">
        <v>66</v>
      </c>
      <c r="F156" s="7">
        <v>31637</v>
      </c>
      <c r="G156" t="s">
        <v>240</v>
      </c>
      <c r="H156" t="s">
        <v>1732</v>
      </c>
      <c r="I156" t="s">
        <v>206</v>
      </c>
      <c r="J156" t="s">
        <v>3727</v>
      </c>
      <c r="K156" t="s">
        <v>225</v>
      </c>
      <c r="L156" t="s">
        <v>265</v>
      </c>
      <c r="M156" t="s">
        <v>1733</v>
      </c>
      <c r="N156" t="s">
        <v>1734</v>
      </c>
      <c r="O156" t="s">
        <v>1735</v>
      </c>
      <c r="P156" t="s">
        <v>1736</v>
      </c>
      <c r="Q156" t="s">
        <v>1737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25">
      <c r="A157">
        <v>156</v>
      </c>
      <c r="B157" t="s">
        <v>1738</v>
      </c>
      <c r="C157" t="s">
        <v>1739</v>
      </c>
      <c r="D157" t="s">
        <v>1740</v>
      </c>
      <c r="E157" t="s">
        <v>53</v>
      </c>
      <c r="F157" s="7">
        <v>42520</v>
      </c>
      <c r="G157" t="s">
        <v>259</v>
      </c>
      <c r="H157" t="s">
        <v>1741</v>
      </c>
      <c r="I157" t="s">
        <v>221</v>
      </c>
      <c r="J157" t="s">
        <v>3727</v>
      </c>
      <c r="K157" t="s">
        <v>225</v>
      </c>
      <c r="L157" t="s">
        <v>265</v>
      </c>
      <c r="M157" t="s">
        <v>1742</v>
      </c>
      <c r="N157" t="s">
        <v>1743</v>
      </c>
      <c r="O157" t="s">
        <v>1744</v>
      </c>
      <c r="P157" t="s">
        <v>1745</v>
      </c>
      <c r="Q157" t="s">
        <v>1746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25">
      <c r="A158">
        <v>157</v>
      </c>
      <c r="B158" t="s">
        <v>1747</v>
      </c>
      <c r="C158" t="s">
        <v>1748</v>
      </c>
      <c r="D158" t="s">
        <v>1749</v>
      </c>
      <c r="E158" t="s">
        <v>53</v>
      </c>
      <c r="F158" s="7">
        <v>37371</v>
      </c>
      <c r="G158" t="s">
        <v>238</v>
      </c>
      <c r="H158" t="s">
        <v>1750</v>
      </c>
      <c r="I158" t="s">
        <v>208</v>
      </c>
      <c r="J158" t="s">
        <v>3727</v>
      </c>
      <c r="K158" t="s">
        <v>225</v>
      </c>
      <c r="L158" t="s">
        <v>265</v>
      </c>
      <c r="M158" t="s">
        <v>1751</v>
      </c>
      <c r="N158" t="s">
        <v>1752</v>
      </c>
      <c r="O158" t="s">
        <v>1753</v>
      </c>
      <c r="P158" t="s">
        <v>1754</v>
      </c>
      <c r="Q158" t="s">
        <v>1755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25">
      <c r="A159">
        <v>158</v>
      </c>
      <c r="B159" t="s">
        <v>1756</v>
      </c>
      <c r="C159" t="s">
        <v>1757</v>
      </c>
      <c r="D159" t="s">
        <v>1758</v>
      </c>
      <c r="E159" t="s">
        <v>53</v>
      </c>
      <c r="F159" s="7">
        <v>19794</v>
      </c>
      <c r="G159" t="s">
        <v>228</v>
      </c>
      <c r="H159" t="s">
        <v>1759</v>
      </c>
      <c r="I159" t="s">
        <v>205</v>
      </c>
      <c r="J159" t="s">
        <v>3727</v>
      </c>
      <c r="K159" t="s">
        <v>225</v>
      </c>
      <c r="L159" t="s">
        <v>265</v>
      </c>
      <c r="M159" t="s">
        <v>1760</v>
      </c>
      <c r="N159" t="s">
        <v>1761</v>
      </c>
      <c r="O159" t="s">
        <v>1762</v>
      </c>
      <c r="P159" t="s">
        <v>1763</v>
      </c>
      <c r="Q159" t="s">
        <v>1764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25">
      <c r="A160">
        <v>159</v>
      </c>
      <c r="B160" t="s">
        <v>1765</v>
      </c>
      <c r="C160" t="s">
        <v>1766</v>
      </c>
      <c r="D160" t="s">
        <v>1767</v>
      </c>
      <c r="E160" t="s">
        <v>66</v>
      </c>
      <c r="F160" s="7">
        <v>18245</v>
      </c>
      <c r="G160" t="s">
        <v>246</v>
      </c>
      <c r="H160" t="s">
        <v>1768</v>
      </c>
      <c r="I160" t="s">
        <v>209</v>
      </c>
      <c r="J160" t="s">
        <v>3727</v>
      </c>
      <c r="K160" t="s">
        <v>225</v>
      </c>
      <c r="L160" t="s">
        <v>265</v>
      </c>
      <c r="M160" t="s">
        <v>1769</v>
      </c>
      <c r="N160" t="s">
        <v>1770</v>
      </c>
      <c r="O160" t="s">
        <v>1771</v>
      </c>
      <c r="P160" t="s">
        <v>1772</v>
      </c>
      <c r="Q160" t="s">
        <v>1773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25">
      <c r="A161">
        <v>160</v>
      </c>
      <c r="B161" t="s">
        <v>1774</v>
      </c>
      <c r="C161" t="s">
        <v>1775</v>
      </c>
      <c r="D161" t="s">
        <v>1776</v>
      </c>
      <c r="E161" t="s">
        <v>66</v>
      </c>
      <c r="F161" s="7">
        <v>36726</v>
      </c>
      <c r="G161" t="s">
        <v>241</v>
      </c>
      <c r="H161" t="s">
        <v>1777</v>
      </c>
      <c r="I161" t="s">
        <v>211</v>
      </c>
      <c r="J161" t="s">
        <v>3727</v>
      </c>
      <c r="K161" t="s">
        <v>225</v>
      </c>
      <c r="L161" t="s">
        <v>265</v>
      </c>
      <c r="M161" t="s">
        <v>1778</v>
      </c>
      <c r="N161" t="s">
        <v>1779</v>
      </c>
      <c r="O161" t="s">
        <v>1780</v>
      </c>
      <c r="P161" t="s">
        <v>1781</v>
      </c>
      <c r="Q161" t="s">
        <v>1782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25">
      <c r="A162">
        <v>161</v>
      </c>
      <c r="B162" t="s">
        <v>1783</v>
      </c>
      <c r="C162" t="s">
        <v>1784</v>
      </c>
      <c r="D162" t="s">
        <v>1785</v>
      </c>
      <c r="E162" t="s">
        <v>66</v>
      </c>
      <c r="F162" s="7">
        <v>21504</v>
      </c>
      <c r="G162" t="s">
        <v>257</v>
      </c>
      <c r="H162" t="s">
        <v>1786</v>
      </c>
      <c r="I162" t="s">
        <v>208</v>
      </c>
      <c r="J162" t="s">
        <v>3727</v>
      </c>
      <c r="K162" t="s">
        <v>225</v>
      </c>
      <c r="L162" t="s">
        <v>265</v>
      </c>
      <c r="M162" t="s">
        <v>1787</v>
      </c>
      <c r="N162" t="s">
        <v>1788</v>
      </c>
      <c r="O162" t="s">
        <v>1789</v>
      </c>
      <c r="P162" t="s">
        <v>1790</v>
      </c>
      <c r="Q162" t="s">
        <v>1791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25">
      <c r="A163">
        <v>162</v>
      </c>
      <c r="B163" t="s">
        <v>1792</v>
      </c>
      <c r="C163" t="s">
        <v>1793</v>
      </c>
      <c r="D163" t="s">
        <v>1794</v>
      </c>
      <c r="E163" t="s">
        <v>66</v>
      </c>
      <c r="F163" s="7">
        <v>20070</v>
      </c>
      <c r="G163" t="s">
        <v>239</v>
      </c>
      <c r="H163" t="s">
        <v>1795</v>
      </c>
      <c r="I163" t="s">
        <v>203</v>
      </c>
      <c r="J163" t="s">
        <v>3727</v>
      </c>
      <c r="K163" t="s">
        <v>225</v>
      </c>
      <c r="L163" t="s">
        <v>265</v>
      </c>
      <c r="M163" t="s">
        <v>1796</v>
      </c>
      <c r="N163" t="s">
        <v>1797</v>
      </c>
      <c r="O163" t="s">
        <v>1798</v>
      </c>
      <c r="P163" t="s">
        <v>1799</v>
      </c>
      <c r="Q163" t="s">
        <v>1800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25">
      <c r="A164">
        <v>163</v>
      </c>
      <c r="B164" t="s">
        <v>1801</v>
      </c>
      <c r="C164" t="s">
        <v>1802</v>
      </c>
      <c r="D164" t="s">
        <v>1803</v>
      </c>
      <c r="E164" t="s">
        <v>53</v>
      </c>
      <c r="F164" s="7">
        <v>24653</v>
      </c>
      <c r="G164" t="s">
        <v>243</v>
      </c>
      <c r="H164" t="s">
        <v>1804</v>
      </c>
      <c r="I164" t="s">
        <v>207</v>
      </c>
      <c r="J164" t="s">
        <v>3727</v>
      </c>
      <c r="K164" t="s">
        <v>225</v>
      </c>
      <c r="L164" t="s">
        <v>265</v>
      </c>
      <c r="M164" t="s">
        <v>1805</v>
      </c>
      <c r="N164" t="s">
        <v>1806</v>
      </c>
      <c r="O164" t="s">
        <v>1807</v>
      </c>
      <c r="P164" t="s">
        <v>1808</v>
      </c>
      <c r="Q164" t="s">
        <v>1809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25">
      <c r="A165">
        <v>164</v>
      </c>
      <c r="B165" t="s">
        <v>1810</v>
      </c>
      <c r="C165" t="s">
        <v>1811</v>
      </c>
      <c r="D165" t="s">
        <v>1812</v>
      </c>
      <c r="E165" t="s">
        <v>53</v>
      </c>
      <c r="F165" s="7">
        <v>43783</v>
      </c>
      <c r="G165" t="s">
        <v>242</v>
      </c>
      <c r="H165" t="s">
        <v>1813</v>
      </c>
      <c r="I165" t="s">
        <v>220</v>
      </c>
      <c r="J165" t="s">
        <v>3727</v>
      </c>
      <c r="K165" t="s">
        <v>225</v>
      </c>
      <c r="L165" t="s">
        <v>265</v>
      </c>
      <c r="M165" t="s">
        <v>1814</v>
      </c>
      <c r="N165" t="s">
        <v>1815</v>
      </c>
      <c r="O165" t="s">
        <v>1816</v>
      </c>
      <c r="P165" t="s">
        <v>1817</v>
      </c>
      <c r="Q165" t="s">
        <v>1818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25">
      <c r="A166">
        <v>165</v>
      </c>
      <c r="B166" t="s">
        <v>1819</v>
      </c>
      <c r="C166" t="s">
        <v>1820</v>
      </c>
      <c r="D166" t="s">
        <v>1821</v>
      </c>
      <c r="E166" t="s">
        <v>53</v>
      </c>
      <c r="F166" s="7">
        <v>36076</v>
      </c>
      <c r="G166" t="s">
        <v>252</v>
      </c>
      <c r="H166" t="s">
        <v>1822</v>
      </c>
      <c r="I166" t="s">
        <v>210</v>
      </c>
      <c r="J166" t="s">
        <v>3727</v>
      </c>
      <c r="K166" t="s">
        <v>225</v>
      </c>
      <c r="L166" t="s">
        <v>265</v>
      </c>
      <c r="M166" t="s">
        <v>1823</v>
      </c>
      <c r="N166" t="s">
        <v>1824</v>
      </c>
      <c r="O166" t="s">
        <v>1825</v>
      </c>
      <c r="P166" t="s">
        <v>1826</v>
      </c>
      <c r="Q166" t="s">
        <v>1827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25">
      <c r="A167">
        <v>166</v>
      </c>
      <c r="B167" t="s">
        <v>1828</v>
      </c>
      <c r="C167" t="s">
        <v>1829</v>
      </c>
      <c r="D167" t="s">
        <v>1830</v>
      </c>
      <c r="E167" t="s">
        <v>66</v>
      </c>
      <c r="F167" s="7">
        <v>25872</v>
      </c>
      <c r="G167" t="s">
        <v>253</v>
      </c>
      <c r="H167" t="s">
        <v>1831</v>
      </c>
      <c r="I167" t="s">
        <v>211</v>
      </c>
      <c r="J167" t="s">
        <v>3727</v>
      </c>
      <c r="K167" t="s">
        <v>225</v>
      </c>
      <c r="L167" t="s">
        <v>265</v>
      </c>
      <c r="M167" t="s">
        <v>1832</v>
      </c>
      <c r="N167" t="s">
        <v>1833</v>
      </c>
      <c r="O167" t="s">
        <v>1834</v>
      </c>
      <c r="P167" t="s">
        <v>1835</v>
      </c>
      <c r="Q167" t="s">
        <v>1836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25">
      <c r="A168">
        <v>167</v>
      </c>
      <c r="B168" t="s">
        <v>1837</v>
      </c>
      <c r="C168" t="s">
        <v>1838</v>
      </c>
      <c r="D168" t="s">
        <v>1839</v>
      </c>
      <c r="E168" t="s">
        <v>53</v>
      </c>
      <c r="F168" s="7">
        <v>30608</v>
      </c>
      <c r="G168" t="s">
        <v>236</v>
      </c>
      <c r="H168" t="s">
        <v>1840</v>
      </c>
      <c r="I168" t="s">
        <v>211</v>
      </c>
      <c r="J168" t="s">
        <v>3727</v>
      </c>
      <c r="K168" t="s">
        <v>225</v>
      </c>
      <c r="L168" t="s">
        <v>265</v>
      </c>
      <c r="M168" t="s">
        <v>1841</v>
      </c>
      <c r="N168" t="s">
        <v>1842</v>
      </c>
      <c r="O168" t="s">
        <v>1843</v>
      </c>
      <c r="P168" t="s">
        <v>1844</v>
      </c>
      <c r="Q168" t="s">
        <v>1845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25">
      <c r="A169">
        <v>168</v>
      </c>
      <c r="B169" t="s">
        <v>1846</v>
      </c>
      <c r="C169" t="s">
        <v>1847</v>
      </c>
      <c r="D169" t="s">
        <v>1848</v>
      </c>
      <c r="E169" t="s">
        <v>53</v>
      </c>
      <c r="F169" s="7">
        <v>22927</v>
      </c>
      <c r="G169" t="s">
        <v>229</v>
      </c>
      <c r="H169" t="s">
        <v>1849</v>
      </c>
      <c r="I169" t="s">
        <v>211</v>
      </c>
      <c r="J169" t="s">
        <v>3727</v>
      </c>
      <c r="K169" t="s">
        <v>225</v>
      </c>
      <c r="L169" t="s">
        <v>265</v>
      </c>
      <c r="M169" t="s">
        <v>1850</v>
      </c>
      <c r="N169" t="s">
        <v>1851</v>
      </c>
      <c r="O169" t="s">
        <v>1852</v>
      </c>
      <c r="P169" t="s">
        <v>1853</v>
      </c>
      <c r="Q169" t="s">
        <v>1854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25">
      <c r="A170">
        <v>169</v>
      </c>
      <c r="B170" t="s">
        <v>1855</v>
      </c>
      <c r="C170" t="s">
        <v>1856</v>
      </c>
      <c r="D170" t="s">
        <v>1857</v>
      </c>
      <c r="E170" t="s">
        <v>66</v>
      </c>
      <c r="F170" s="7">
        <v>42761</v>
      </c>
      <c r="G170" t="s">
        <v>246</v>
      </c>
      <c r="H170" t="s">
        <v>1858</v>
      </c>
      <c r="I170" t="s">
        <v>211</v>
      </c>
      <c r="J170" t="s">
        <v>3727</v>
      </c>
      <c r="K170" t="s">
        <v>225</v>
      </c>
      <c r="L170" t="s">
        <v>265</v>
      </c>
      <c r="M170" t="s">
        <v>1859</v>
      </c>
      <c r="N170" t="s">
        <v>1860</v>
      </c>
      <c r="O170" t="s">
        <v>1861</v>
      </c>
      <c r="P170" t="s">
        <v>1862</v>
      </c>
      <c r="Q170" t="s">
        <v>1863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25">
      <c r="A171">
        <v>170</v>
      </c>
      <c r="B171" t="s">
        <v>1864</v>
      </c>
      <c r="C171" t="s">
        <v>1865</v>
      </c>
      <c r="D171" t="s">
        <v>1866</v>
      </c>
      <c r="E171" t="s">
        <v>53</v>
      </c>
      <c r="F171" s="7">
        <v>13720</v>
      </c>
      <c r="G171" t="s">
        <v>247</v>
      </c>
      <c r="H171" t="s">
        <v>1867</v>
      </c>
      <c r="I171" t="s">
        <v>205</v>
      </c>
      <c r="J171" t="s">
        <v>3727</v>
      </c>
      <c r="K171" t="s">
        <v>225</v>
      </c>
      <c r="L171" t="s">
        <v>265</v>
      </c>
      <c r="M171" t="s">
        <v>1868</v>
      </c>
      <c r="N171" t="s">
        <v>1869</v>
      </c>
      <c r="O171" t="s">
        <v>1870</v>
      </c>
      <c r="P171" t="s">
        <v>1871</v>
      </c>
      <c r="Q171" t="s">
        <v>1872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25">
      <c r="A172">
        <v>171</v>
      </c>
      <c r="B172" t="s">
        <v>1873</v>
      </c>
      <c r="C172" t="s">
        <v>1874</v>
      </c>
      <c r="D172" t="s">
        <v>1875</v>
      </c>
      <c r="E172" t="s">
        <v>53</v>
      </c>
      <c r="F172" s="7">
        <v>31325</v>
      </c>
      <c r="G172" t="s">
        <v>240</v>
      </c>
      <c r="H172" t="s">
        <v>1876</v>
      </c>
      <c r="I172" t="s">
        <v>205</v>
      </c>
      <c r="J172" t="s">
        <v>3727</v>
      </c>
      <c r="K172" t="s">
        <v>225</v>
      </c>
      <c r="L172" t="s">
        <v>265</v>
      </c>
      <c r="M172" t="s">
        <v>1877</v>
      </c>
      <c r="N172" t="s">
        <v>1878</v>
      </c>
      <c r="O172" t="s">
        <v>1879</v>
      </c>
      <c r="P172" t="s">
        <v>1880</v>
      </c>
      <c r="Q172" t="s">
        <v>1881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25">
      <c r="A173">
        <v>172</v>
      </c>
      <c r="B173" t="s">
        <v>1882</v>
      </c>
      <c r="C173" t="s">
        <v>1883</v>
      </c>
      <c r="D173" t="s">
        <v>1884</v>
      </c>
      <c r="E173" t="s">
        <v>66</v>
      </c>
      <c r="F173" s="7">
        <v>21600</v>
      </c>
      <c r="G173" t="s">
        <v>226</v>
      </c>
      <c r="H173" t="s">
        <v>1885</v>
      </c>
      <c r="I173" t="s">
        <v>201</v>
      </c>
      <c r="J173" t="s">
        <v>3727</v>
      </c>
      <c r="K173" t="s">
        <v>225</v>
      </c>
      <c r="L173" t="s">
        <v>265</v>
      </c>
      <c r="M173" t="s">
        <v>1886</v>
      </c>
      <c r="N173" t="s">
        <v>1887</v>
      </c>
      <c r="O173" t="s">
        <v>1888</v>
      </c>
      <c r="P173" t="s">
        <v>1889</v>
      </c>
      <c r="Q173" t="s">
        <v>1890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25">
      <c r="A174">
        <v>173</v>
      </c>
      <c r="B174" t="s">
        <v>1891</v>
      </c>
      <c r="C174" t="s">
        <v>1892</v>
      </c>
      <c r="D174" t="s">
        <v>1893</v>
      </c>
      <c r="E174" t="s">
        <v>66</v>
      </c>
      <c r="F174" s="7">
        <v>42111</v>
      </c>
      <c r="G174" t="s">
        <v>263</v>
      </c>
      <c r="H174" t="s">
        <v>1894</v>
      </c>
      <c r="I174" t="s">
        <v>211</v>
      </c>
      <c r="J174" t="s">
        <v>3727</v>
      </c>
      <c r="K174" t="s">
        <v>225</v>
      </c>
      <c r="L174" t="s">
        <v>265</v>
      </c>
      <c r="M174" t="s">
        <v>1895</v>
      </c>
      <c r="N174" t="s">
        <v>1896</v>
      </c>
      <c r="O174" t="s">
        <v>1897</v>
      </c>
      <c r="P174" t="s">
        <v>1898</v>
      </c>
      <c r="Q174" t="s">
        <v>1899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25">
      <c r="A175">
        <v>174</v>
      </c>
      <c r="B175" t="s">
        <v>1900</v>
      </c>
      <c r="C175" t="s">
        <v>1901</v>
      </c>
      <c r="D175" t="s">
        <v>1902</v>
      </c>
      <c r="E175" t="s">
        <v>66</v>
      </c>
      <c r="F175" s="7">
        <v>30832</v>
      </c>
      <c r="G175" t="s">
        <v>248</v>
      </c>
      <c r="H175" t="s">
        <v>1903</v>
      </c>
      <c r="I175" t="s">
        <v>210</v>
      </c>
      <c r="J175" t="s">
        <v>3727</v>
      </c>
      <c r="K175" t="s">
        <v>225</v>
      </c>
      <c r="L175" t="s">
        <v>265</v>
      </c>
      <c r="M175" t="s">
        <v>1904</v>
      </c>
      <c r="N175" t="s">
        <v>1905</v>
      </c>
      <c r="O175" t="s">
        <v>1906</v>
      </c>
      <c r="P175" t="s">
        <v>1907</v>
      </c>
      <c r="Q175" t="s">
        <v>1908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25">
      <c r="A176">
        <v>175</v>
      </c>
      <c r="B176" t="s">
        <v>1909</v>
      </c>
      <c r="C176" t="s">
        <v>1910</v>
      </c>
      <c r="D176" t="s">
        <v>1911</v>
      </c>
      <c r="E176" t="s">
        <v>53</v>
      </c>
      <c r="F176" s="7">
        <v>39033</v>
      </c>
      <c r="G176" t="s">
        <v>235</v>
      </c>
      <c r="H176" t="s">
        <v>1912</v>
      </c>
      <c r="I176" t="s">
        <v>208</v>
      </c>
      <c r="J176" t="s">
        <v>3727</v>
      </c>
      <c r="K176" t="s">
        <v>225</v>
      </c>
      <c r="L176" t="s">
        <v>265</v>
      </c>
      <c r="M176" t="s">
        <v>1913</v>
      </c>
      <c r="N176" t="s">
        <v>1914</v>
      </c>
      <c r="O176" t="s">
        <v>1915</v>
      </c>
      <c r="P176" t="s">
        <v>1916</v>
      </c>
      <c r="Q176" t="s">
        <v>1917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25">
      <c r="A177">
        <v>176</v>
      </c>
      <c r="B177" t="s">
        <v>1918</v>
      </c>
      <c r="C177" t="s">
        <v>1919</v>
      </c>
      <c r="D177" t="s">
        <v>1920</v>
      </c>
      <c r="E177" t="s">
        <v>66</v>
      </c>
      <c r="F177" s="7">
        <v>27447</v>
      </c>
      <c r="G177" t="s">
        <v>253</v>
      </c>
      <c r="H177" t="s">
        <v>1921</v>
      </c>
      <c r="I177" t="s">
        <v>210</v>
      </c>
      <c r="J177" t="s">
        <v>3727</v>
      </c>
      <c r="K177" t="s">
        <v>225</v>
      </c>
      <c r="L177" t="s">
        <v>265</v>
      </c>
      <c r="M177" t="s">
        <v>1922</v>
      </c>
      <c r="N177" t="s">
        <v>1923</v>
      </c>
      <c r="O177" t="s">
        <v>1924</v>
      </c>
      <c r="P177" t="s">
        <v>1925</v>
      </c>
      <c r="Q177" t="s">
        <v>1926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25">
      <c r="A178">
        <v>177</v>
      </c>
      <c r="B178" t="s">
        <v>1927</v>
      </c>
      <c r="C178" t="s">
        <v>1928</v>
      </c>
      <c r="D178" t="s">
        <v>1929</v>
      </c>
      <c r="E178" t="s">
        <v>53</v>
      </c>
      <c r="F178" s="7">
        <v>19510</v>
      </c>
      <c r="G178" t="s">
        <v>226</v>
      </c>
      <c r="H178" t="s">
        <v>1930</v>
      </c>
      <c r="I178" t="s">
        <v>210</v>
      </c>
      <c r="J178" t="s">
        <v>3727</v>
      </c>
      <c r="K178" t="s">
        <v>225</v>
      </c>
      <c r="L178" t="s">
        <v>265</v>
      </c>
      <c r="M178" t="s">
        <v>1931</v>
      </c>
      <c r="N178" t="s">
        <v>1932</v>
      </c>
      <c r="O178" t="s">
        <v>1933</v>
      </c>
      <c r="P178" t="s">
        <v>1934</v>
      </c>
      <c r="Q178" t="s">
        <v>1935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25">
      <c r="A179">
        <v>178</v>
      </c>
      <c r="B179" t="s">
        <v>1936</v>
      </c>
      <c r="C179" t="s">
        <v>1937</v>
      </c>
      <c r="D179" t="s">
        <v>1938</v>
      </c>
      <c r="E179" t="s">
        <v>53</v>
      </c>
      <c r="F179" s="7">
        <v>35493</v>
      </c>
      <c r="G179" t="s">
        <v>238</v>
      </c>
      <c r="H179" t="s">
        <v>1939</v>
      </c>
      <c r="I179" t="s">
        <v>211</v>
      </c>
      <c r="J179" t="s">
        <v>3727</v>
      </c>
      <c r="K179" t="s">
        <v>225</v>
      </c>
      <c r="L179" t="s">
        <v>265</v>
      </c>
      <c r="M179" t="s">
        <v>1940</v>
      </c>
      <c r="N179" t="s">
        <v>1941</v>
      </c>
      <c r="O179" t="s">
        <v>1942</v>
      </c>
      <c r="P179" t="s">
        <v>1943</v>
      </c>
      <c r="Q179" t="s">
        <v>1944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25">
      <c r="A180">
        <v>179</v>
      </c>
      <c r="B180" t="s">
        <v>1945</v>
      </c>
      <c r="C180" t="s">
        <v>1946</v>
      </c>
      <c r="D180" t="s">
        <v>1947</v>
      </c>
      <c r="E180" t="s">
        <v>53</v>
      </c>
      <c r="F180" s="7">
        <v>40749</v>
      </c>
      <c r="G180" t="s">
        <v>235</v>
      </c>
      <c r="H180" t="s">
        <v>1948</v>
      </c>
      <c r="I180" t="s">
        <v>212</v>
      </c>
      <c r="J180" t="s">
        <v>3727</v>
      </c>
      <c r="K180" t="s">
        <v>225</v>
      </c>
      <c r="L180" t="s">
        <v>265</v>
      </c>
      <c r="M180" t="s">
        <v>1949</v>
      </c>
      <c r="N180" t="s">
        <v>1950</v>
      </c>
      <c r="O180" t="s">
        <v>1951</v>
      </c>
      <c r="P180" t="s">
        <v>1952</v>
      </c>
      <c r="Q180" t="s">
        <v>1953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25">
      <c r="A181">
        <v>180</v>
      </c>
      <c r="B181" t="s">
        <v>1954</v>
      </c>
      <c r="C181" t="s">
        <v>1955</v>
      </c>
      <c r="D181" t="s">
        <v>1956</v>
      </c>
      <c r="E181" t="s">
        <v>66</v>
      </c>
      <c r="F181" s="7">
        <v>14252</v>
      </c>
      <c r="G181" t="s">
        <v>250</v>
      </c>
      <c r="H181" t="s">
        <v>1957</v>
      </c>
      <c r="I181" t="s">
        <v>223</v>
      </c>
      <c r="J181" t="s">
        <v>3727</v>
      </c>
      <c r="K181" t="s">
        <v>225</v>
      </c>
      <c r="L181" t="s">
        <v>265</v>
      </c>
      <c r="M181" t="s">
        <v>1958</v>
      </c>
      <c r="N181" t="s">
        <v>1959</v>
      </c>
      <c r="O181" t="s">
        <v>1960</v>
      </c>
      <c r="P181" t="s">
        <v>1961</v>
      </c>
      <c r="Q181" t="s">
        <v>1962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25">
      <c r="A182">
        <v>181</v>
      </c>
      <c r="B182" t="s">
        <v>1963</v>
      </c>
      <c r="C182" t="s">
        <v>1964</v>
      </c>
      <c r="D182" t="s">
        <v>1965</v>
      </c>
      <c r="E182" t="s">
        <v>66</v>
      </c>
      <c r="F182" s="7">
        <v>31720</v>
      </c>
      <c r="G182" t="s">
        <v>232</v>
      </c>
      <c r="H182" t="s">
        <v>1966</v>
      </c>
      <c r="I182" t="s">
        <v>201</v>
      </c>
      <c r="J182" t="s">
        <v>3727</v>
      </c>
      <c r="K182" t="s">
        <v>225</v>
      </c>
      <c r="L182" t="s">
        <v>265</v>
      </c>
      <c r="M182" t="s">
        <v>1967</v>
      </c>
      <c r="N182" t="s">
        <v>1968</v>
      </c>
      <c r="O182" t="s">
        <v>1969</v>
      </c>
      <c r="P182" t="s">
        <v>1970</v>
      </c>
      <c r="Q182" t="s">
        <v>1971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25">
      <c r="A183">
        <v>182</v>
      </c>
      <c r="B183" t="s">
        <v>1972</v>
      </c>
      <c r="C183" t="s">
        <v>1973</v>
      </c>
      <c r="D183" t="s">
        <v>1974</v>
      </c>
      <c r="E183" t="s">
        <v>66</v>
      </c>
      <c r="F183" s="7">
        <v>32584</v>
      </c>
      <c r="G183" t="s">
        <v>263</v>
      </c>
      <c r="H183" t="s">
        <v>1975</v>
      </c>
      <c r="I183" t="s">
        <v>214</v>
      </c>
      <c r="J183" t="s">
        <v>3727</v>
      </c>
      <c r="K183" t="s">
        <v>225</v>
      </c>
      <c r="L183" t="s">
        <v>265</v>
      </c>
      <c r="M183" t="s">
        <v>1976</v>
      </c>
      <c r="N183" t="s">
        <v>1977</v>
      </c>
      <c r="O183" t="s">
        <v>1978</v>
      </c>
      <c r="P183" t="s">
        <v>1979</v>
      </c>
      <c r="Q183" t="s">
        <v>1980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25">
      <c r="A184">
        <v>183</v>
      </c>
      <c r="B184" t="s">
        <v>1981</v>
      </c>
      <c r="C184" t="s">
        <v>1982</v>
      </c>
      <c r="D184" t="s">
        <v>1983</v>
      </c>
      <c r="E184" t="s">
        <v>66</v>
      </c>
      <c r="F184" s="7">
        <v>23808</v>
      </c>
      <c r="G184" t="s">
        <v>241</v>
      </c>
      <c r="H184" t="s">
        <v>1984</v>
      </c>
      <c r="I184" t="s">
        <v>211</v>
      </c>
      <c r="J184" t="s">
        <v>3727</v>
      </c>
      <c r="K184" t="s">
        <v>225</v>
      </c>
      <c r="L184" t="s">
        <v>265</v>
      </c>
      <c r="M184" t="s">
        <v>1985</v>
      </c>
      <c r="N184" t="s">
        <v>1986</v>
      </c>
      <c r="O184" t="s">
        <v>1987</v>
      </c>
      <c r="P184" t="s">
        <v>1988</v>
      </c>
      <c r="Q184" t="s">
        <v>1989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25">
      <c r="A185">
        <v>184</v>
      </c>
      <c r="B185" t="s">
        <v>1990</v>
      </c>
      <c r="C185" t="s">
        <v>1991</v>
      </c>
      <c r="D185" t="s">
        <v>1992</v>
      </c>
      <c r="E185" t="s">
        <v>53</v>
      </c>
      <c r="F185" s="7">
        <v>38168</v>
      </c>
      <c r="G185" t="s">
        <v>242</v>
      </c>
      <c r="H185" t="s">
        <v>1993</v>
      </c>
      <c r="I185" t="s">
        <v>210</v>
      </c>
      <c r="J185" t="s">
        <v>3727</v>
      </c>
      <c r="K185" t="s">
        <v>225</v>
      </c>
      <c r="L185" t="s">
        <v>265</v>
      </c>
      <c r="M185" t="s">
        <v>1994</v>
      </c>
      <c r="N185" t="s">
        <v>1995</v>
      </c>
      <c r="O185" t="s">
        <v>1996</v>
      </c>
      <c r="P185" t="s">
        <v>1997</v>
      </c>
      <c r="Q185" t="s">
        <v>1998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25">
      <c r="A186">
        <v>185</v>
      </c>
      <c r="B186" t="s">
        <v>1999</v>
      </c>
      <c r="C186" t="s">
        <v>2000</v>
      </c>
      <c r="D186" t="s">
        <v>2001</v>
      </c>
      <c r="E186" t="s">
        <v>66</v>
      </c>
      <c r="F186" s="7">
        <v>44443</v>
      </c>
      <c r="G186" t="s">
        <v>253</v>
      </c>
      <c r="H186" t="s">
        <v>2002</v>
      </c>
      <c r="I186" t="s">
        <v>200</v>
      </c>
      <c r="J186" t="s">
        <v>3727</v>
      </c>
      <c r="K186" t="s">
        <v>225</v>
      </c>
      <c r="L186" t="s">
        <v>265</v>
      </c>
      <c r="M186" t="s">
        <v>2003</v>
      </c>
      <c r="N186" t="s">
        <v>2004</v>
      </c>
      <c r="O186" t="s">
        <v>2005</v>
      </c>
      <c r="P186" t="s">
        <v>2006</v>
      </c>
      <c r="Q186" t="s">
        <v>2007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25">
      <c r="A187">
        <v>186</v>
      </c>
      <c r="B187" t="s">
        <v>2008</v>
      </c>
      <c r="C187" t="s">
        <v>2009</v>
      </c>
      <c r="D187" t="s">
        <v>2010</v>
      </c>
      <c r="E187" t="s">
        <v>66</v>
      </c>
      <c r="F187" s="7">
        <v>14423</v>
      </c>
      <c r="G187" t="s">
        <v>242</v>
      </c>
      <c r="H187" t="s">
        <v>2011</v>
      </c>
      <c r="I187" t="s">
        <v>211</v>
      </c>
      <c r="J187" t="s">
        <v>3727</v>
      </c>
      <c r="K187" t="s">
        <v>225</v>
      </c>
      <c r="L187" t="s">
        <v>265</v>
      </c>
      <c r="M187" t="s">
        <v>2012</v>
      </c>
      <c r="N187" t="s">
        <v>2013</v>
      </c>
      <c r="O187" t="s">
        <v>2014</v>
      </c>
      <c r="P187" t="s">
        <v>2015</v>
      </c>
      <c r="Q187" t="s">
        <v>2016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25">
      <c r="A188">
        <v>187</v>
      </c>
      <c r="B188" t="s">
        <v>2017</v>
      </c>
      <c r="C188" t="s">
        <v>2018</v>
      </c>
      <c r="D188" t="s">
        <v>2019</v>
      </c>
      <c r="E188" t="s">
        <v>53</v>
      </c>
      <c r="F188" s="7">
        <v>12035</v>
      </c>
      <c r="G188" t="s">
        <v>241</v>
      </c>
      <c r="H188" t="s">
        <v>2020</v>
      </c>
      <c r="I188" t="s">
        <v>221</v>
      </c>
      <c r="J188" t="s">
        <v>3727</v>
      </c>
      <c r="K188" t="s">
        <v>225</v>
      </c>
      <c r="L188" t="s">
        <v>265</v>
      </c>
      <c r="M188" t="s">
        <v>2021</v>
      </c>
      <c r="N188" t="s">
        <v>2022</v>
      </c>
      <c r="O188" t="s">
        <v>2023</v>
      </c>
      <c r="P188" t="s">
        <v>2024</v>
      </c>
      <c r="Q188" t="s">
        <v>2025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3724</v>
      </c>
      <c r="B4" t="s">
        <v>3725</v>
      </c>
      <c r="D4" s="5" t="s">
        <v>3726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Especialidades</vt:lpstr>
      <vt:lpstr>Nomes</vt:lpstr>
      <vt:lpstr>Users</vt:lpstr>
      <vt:lpstr>rua_cod</vt:lpstr>
      <vt:lpstr>user_db</vt:lpstr>
      <vt:lpstr>Médicos</vt:lpstr>
      <vt:lpstr>Medicos_db</vt:lpstr>
      <vt:lpstr>doctor_has_Speciality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2021-03-03T20:18:04Z</dcterms:modified>
</cp:coreProperties>
</file>