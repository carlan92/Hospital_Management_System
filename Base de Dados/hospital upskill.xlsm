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-grupo2\Base de Dados\"/>
    </mc:Choice>
  </mc:AlternateContent>
  <xr:revisionPtr revIDLastSave="0" documentId="13_ncr:1_{84F391A3-98C5-4802-9EE0-53E0A5BE5ADF}" xr6:coauthVersionLast="46" xr6:coauthVersionMax="46" xr10:uidLastSave="{00000000-0000-0000-0000-000000000000}"/>
  <bookViews>
    <workbookView xWindow="-120" yWindow="-120" windowWidth="29040" windowHeight="15840" tabRatio="522" firstSheet="5" activeTab="9" xr2:uid="{270685B3-54EC-403D-A000-F7A56B1F5F8F}"/>
  </bookViews>
  <sheets>
    <sheet name="Especialidades" sheetId="1" r:id="rId1"/>
    <sheet name="Nomes" sheetId="2" r:id="rId2"/>
    <sheet name="rua_cod" sheetId="4" r:id="rId3"/>
    <sheet name="Users" sheetId="3" r:id="rId4"/>
    <sheet name="Médicos" sheetId="6" r:id="rId5"/>
    <sheet name="Receptionist" sheetId="9" r:id="rId6"/>
    <sheet name="doctor_has_Speciality" sheetId="8" r:id="rId7"/>
    <sheet name="patient_db" sheetId="5" r:id="rId8"/>
    <sheet name="Medicos_db" sheetId="7" r:id="rId9"/>
    <sheet name="Receptionist_db" sheetId="10" r:id="rId10"/>
    <sheet name="Folha1" sheetId="11" r:id="rId11"/>
  </sheets>
  <functionGroups builtInGroupCount="19"/>
  <definedNames>
    <definedName name="_xlnm._FilterDatabase" localSheetId="1" hidden="1">Nomes!$A$1:$E$1</definedName>
    <definedName name="_xlnm._FilterDatabase" localSheetId="2" hidden="1">rua_cod!$A$1:$B$104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1" i="10" l="1"/>
  <c r="Y4" i="10"/>
  <c r="Y5" i="10"/>
  <c r="Y6" i="10"/>
  <c r="Y7" i="10"/>
  <c r="Y8" i="10"/>
  <c r="Y9" i="10"/>
  <c r="Y10" i="10"/>
  <c r="Y3" i="10"/>
  <c r="Y2" i="10"/>
  <c r="Y188" i="7"/>
  <c r="Y4" i="7"/>
  <c r="Y5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27" i="7"/>
  <c r="Y28" i="7"/>
  <c r="Y29" i="7"/>
  <c r="Y30" i="7"/>
  <c r="Y31" i="7"/>
  <c r="Y32" i="7"/>
  <c r="Y33" i="7"/>
  <c r="Y34" i="7"/>
  <c r="Y35" i="7"/>
  <c r="Y36" i="7"/>
  <c r="Y37" i="7"/>
  <c r="Y38" i="7"/>
  <c r="Y39" i="7"/>
  <c r="Y40" i="7"/>
  <c r="Y41" i="7"/>
  <c r="Y42" i="7"/>
  <c r="Y43" i="7"/>
  <c r="Y44" i="7"/>
  <c r="Y45" i="7"/>
  <c r="Y46" i="7"/>
  <c r="Y47" i="7"/>
  <c r="Y48" i="7"/>
  <c r="Y49" i="7"/>
  <c r="Y50" i="7"/>
  <c r="Y51" i="7"/>
  <c r="Y52" i="7"/>
  <c r="Y53" i="7"/>
  <c r="Y54" i="7"/>
  <c r="Y55" i="7"/>
  <c r="Y56" i="7"/>
  <c r="Y57" i="7"/>
  <c r="Y58" i="7"/>
  <c r="Y59" i="7"/>
  <c r="Y60" i="7"/>
  <c r="Y61" i="7"/>
  <c r="Y62" i="7"/>
  <c r="Y63" i="7"/>
  <c r="Y64" i="7"/>
  <c r="Y65" i="7"/>
  <c r="Y66" i="7"/>
  <c r="Y67" i="7"/>
  <c r="Y68" i="7"/>
  <c r="Y69" i="7"/>
  <c r="Y70" i="7"/>
  <c r="Y71" i="7"/>
  <c r="Y72" i="7"/>
  <c r="Y73" i="7"/>
  <c r="Y74" i="7"/>
  <c r="Y75" i="7"/>
  <c r="Y76" i="7"/>
  <c r="Y77" i="7"/>
  <c r="Y78" i="7"/>
  <c r="Y79" i="7"/>
  <c r="Y80" i="7"/>
  <c r="Y81" i="7"/>
  <c r="Y82" i="7"/>
  <c r="Y83" i="7"/>
  <c r="Y84" i="7"/>
  <c r="Y85" i="7"/>
  <c r="Y86" i="7"/>
  <c r="Y87" i="7"/>
  <c r="Y88" i="7"/>
  <c r="Y89" i="7"/>
  <c r="Y90" i="7"/>
  <c r="Y91" i="7"/>
  <c r="Y92" i="7"/>
  <c r="Y93" i="7"/>
  <c r="Y94" i="7"/>
  <c r="Y95" i="7"/>
  <c r="Y96" i="7"/>
  <c r="Y97" i="7"/>
  <c r="Y98" i="7"/>
  <c r="Y99" i="7"/>
  <c r="Y100" i="7"/>
  <c r="Y101" i="7"/>
  <c r="Y102" i="7"/>
  <c r="Y103" i="7"/>
  <c r="Y104" i="7"/>
  <c r="Y105" i="7"/>
  <c r="Y106" i="7"/>
  <c r="Y107" i="7"/>
  <c r="Y108" i="7"/>
  <c r="Y109" i="7"/>
  <c r="Y110" i="7"/>
  <c r="Y111" i="7"/>
  <c r="Y112" i="7"/>
  <c r="Y113" i="7"/>
  <c r="Y114" i="7"/>
  <c r="Y115" i="7"/>
  <c r="Y116" i="7"/>
  <c r="Y117" i="7"/>
  <c r="Y118" i="7"/>
  <c r="Y119" i="7"/>
  <c r="Y120" i="7"/>
  <c r="Y121" i="7"/>
  <c r="Y122" i="7"/>
  <c r="Y123" i="7"/>
  <c r="Y124" i="7"/>
  <c r="Y125" i="7"/>
  <c r="Y126" i="7"/>
  <c r="Y127" i="7"/>
  <c r="Y128" i="7"/>
  <c r="Y129" i="7"/>
  <c r="Y130" i="7"/>
  <c r="Y131" i="7"/>
  <c r="Y132" i="7"/>
  <c r="Y133" i="7"/>
  <c r="Y134" i="7"/>
  <c r="Y135" i="7"/>
  <c r="Y136" i="7"/>
  <c r="Y137" i="7"/>
  <c r="Y138" i="7"/>
  <c r="Y139" i="7"/>
  <c r="Y140" i="7"/>
  <c r="Y141" i="7"/>
  <c r="Y142" i="7"/>
  <c r="Y143" i="7"/>
  <c r="Y144" i="7"/>
  <c r="Y145" i="7"/>
  <c r="Y146" i="7"/>
  <c r="Y147" i="7"/>
  <c r="Y148" i="7"/>
  <c r="Y149" i="7"/>
  <c r="Y150" i="7"/>
  <c r="Y151" i="7"/>
  <c r="Y152" i="7"/>
  <c r="Y153" i="7"/>
  <c r="Y154" i="7"/>
  <c r="Y155" i="7"/>
  <c r="Y156" i="7"/>
  <c r="Y157" i="7"/>
  <c r="Y158" i="7"/>
  <c r="Y159" i="7"/>
  <c r="Y160" i="7"/>
  <c r="Y161" i="7"/>
  <c r="Y162" i="7"/>
  <c r="Y163" i="7"/>
  <c r="Y164" i="7"/>
  <c r="Y165" i="7"/>
  <c r="Y166" i="7"/>
  <c r="Y167" i="7"/>
  <c r="Y168" i="7"/>
  <c r="Y169" i="7"/>
  <c r="Y170" i="7"/>
  <c r="Y171" i="7"/>
  <c r="Y172" i="7"/>
  <c r="Y173" i="7"/>
  <c r="Y174" i="7"/>
  <c r="Y175" i="7"/>
  <c r="Y176" i="7"/>
  <c r="Y177" i="7"/>
  <c r="Y178" i="7"/>
  <c r="Y179" i="7"/>
  <c r="Y180" i="7"/>
  <c r="Y181" i="7"/>
  <c r="Y182" i="7"/>
  <c r="Y183" i="7"/>
  <c r="Y184" i="7"/>
  <c r="Y185" i="7"/>
  <c r="Y186" i="7"/>
  <c r="Y187" i="7"/>
  <c r="Y3" i="7"/>
  <c r="Y2" i="7"/>
  <c r="W3" i="7"/>
  <c r="V3" i="7" s="1" a="1"/>
  <c r="V3" i="7" s="1"/>
  <c r="W4" i="7"/>
  <c r="V4" i="7" s="1" a="1"/>
  <c r="V4" i="7" s="1"/>
  <c r="W5" i="7"/>
  <c r="V5" i="7" s="1" a="1"/>
  <c r="V5" i="7" s="1"/>
  <c r="W6" i="7"/>
  <c r="V6" i="7" s="1" a="1"/>
  <c r="V6" i="7" s="1"/>
  <c r="W7" i="7"/>
  <c r="V7" i="7" s="1" a="1"/>
  <c r="V7" i="7" s="1"/>
  <c r="W8" i="7"/>
  <c r="V8" i="7" s="1" a="1"/>
  <c r="V8" i="7" s="1"/>
  <c r="W9" i="7"/>
  <c r="V9" i="7" s="1" a="1"/>
  <c r="V9" i="7" s="1"/>
  <c r="W10" i="7"/>
  <c r="V10" i="7" s="1" a="1"/>
  <c r="V10" i="7" s="1"/>
  <c r="W11" i="7"/>
  <c r="V11" i="7" s="1" a="1"/>
  <c r="V11" i="7" s="1"/>
  <c r="W12" i="7"/>
  <c r="V12" i="7" s="1" a="1"/>
  <c r="V12" i="7" s="1"/>
  <c r="W13" i="7"/>
  <c r="V13" i="7" s="1" a="1"/>
  <c r="V13" i="7" s="1"/>
  <c r="W14" i="7"/>
  <c r="V14" i="7" s="1" a="1"/>
  <c r="V14" i="7" s="1"/>
  <c r="W15" i="7"/>
  <c r="V15" i="7" s="1" a="1"/>
  <c r="V15" i="7" s="1"/>
  <c r="W16" i="7"/>
  <c r="V16" i="7" s="1" a="1"/>
  <c r="V16" i="7" s="1"/>
  <c r="W17" i="7"/>
  <c r="V17" i="7" s="1" a="1"/>
  <c r="V17" i="7" s="1"/>
  <c r="W18" i="7"/>
  <c r="V18" i="7" s="1" a="1"/>
  <c r="V18" i="7" s="1"/>
  <c r="W19" i="7"/>
  <c r="V19" i="7" s="1" a="1"/>
  <c r="V19" i="7" s="1"/>
  <c r="W20" i="7"/>
  <c r="V20" i="7" s="1" a="1"/>
  <c r="V20" i="7" s="1"/>
  <c r="W21" i="7"/>
  <c r="V21" i="7" s="1" a="1"/>
  <c r="V21" i="7" s="1"/>
  <c r="W22" i="7"/>
  <c r="V22" i="7" s="1" a="1"/>
  <c r="V22" i="7" s="1"/>
  <c r="W23" i="7"/>
  <c r="V23" i="7" s="1" a="1"/>
  <c r="V23" i="7" s="1"/>
  <c r="W24" i="7"/>
  <c r="V24" i="7" s="1" a="1"/>
  <c r="V24" i="7" s="1"/>
  <c r="W25" i="7"/>
  <c r="V25" i="7" s="1" a="1"/>
  <c r="V25" i="7" s="1"/>
  <c r="W26" i="7"/>
  <c r="V26" i="7" s="1" a="1"/>
  <c r="V26" i="7" s="1"/>
  <c r="W27" i="7"/>
  <c r="V27" i="7" s="1" a="1"/>
  <c r="V27" i="7" s="1"/>
  <c r="W28" i="7"/>
  <c r="V28" i="7" s="1" a="1"/>
  <c r="V28" i="7" s="1"/>
  <c r="W29" i="7"/>
  <c r="V29" i="7" s="1" a="1"/>
  <c r="V29" i="7" s="1"/>
  <c r="W30" i="7"/>
  <c r="V30" i="7" s="1" a="1"/>
  <c r="V30" i="7" s="1"/>
  <c r="W31" i="7"/>
  <c r="V31" i="7" s="1" a="1"/>
  <c r="V31" i="7" s="1"/>
  <c r="W32" i="7"/>
  <c r="V32" i="7" s="1" a="1"/>
  <c r="V32" i="7" s="1"/>
  <c r="W33" i="7"/>
  <c r="V33" i="7" s="1" a="1"/>
  <c r="V33" i="7" s="1"/>
  <c r="W34" i="7"/>
  <c r="V34" i="7" s="1" a="1"/>
  <c r="V34" i="7" s="1"/>
  <c r="W35" i="7"/>
  <c r="V35" i="7" s="1" a="1"/>
  <c r="V35" i="7" s="1"/>
  <c r="W36" i="7"/>
  <c r="V36" i="7" s="1" a="1"/>
  <c r="V36" i="7" s="1"/>
  <c r="W37" i="7"/>
  <c r="V37" i="7" s="1" a="1"/>
  <c r="V37" i="7" s="1"/>
  <c r="W38" i="7"/>
  <c r="V38" i="7" s="1" a="1"/>
  <c r="V38" i="7" s="1"/>
  <c r="W39" i="7"/>
  <c r="V39" i="7" s="1" a="1"/>
  <c r="V39" i="7" s="1"/>
  <c r="W40" i="7"/>
  <c r="V40" i="7" s="1" a="1"/>
  <c r="V40" i="7" s="1"/>
  <c r="W41" i="7"/>
  <c r="V41" i="7" s="1" a="1"/>
  <c r="V41" i="7" s="1"/>
  <c r="W42" i="7"/>
  <c r="V42" i="7" s="1" a="1"/>
  <c r="V42" i="7" s="1"/>
  <c r="W43" i="7"/>
  <c r="V43" i="7" s="1" a="1"/>
  <c r="V43" i="7" s="1"/>
  <c r="W44" i="7"/>
  <c r="V44" i="7" s="1" a="1"/>
  <c r="V44" i="7" s="1"/>
  <c r="W45" i="7"/>
  <c r="V45" i="7" s="1" a="1"/>
  <c r="V45" i="7" s="1"/>
  <c r="W46" i="7"/>
  <c r="V46" i="7" s="1" a="1"/>
  <c r="V46" i="7" s="1"/>
  <c r="W47" i="7"/>
  <c r="V47" i="7" s="1" a="1"/>
  <c r="V47" i="7" s="1"/>
  <c r="W48" i="7"/>
  <c r="V48" i="7" s="1" a="1"/>
  <c r="V48" i="7" s="1"/>
  <c r="W49" i="7"/>
  <c r="V49" i="7" s="1" a="1"/>
  <c r="V49" i="7" s="1"/>
  <c r="W50" i="7"/>
  <c r="V50" i="7" s="1" a="1"/>
  <c r="V50" i="7" s="1"/>
  <c r="W51" i="7"/>
  <c r="V51" i="7" s="1" a="1"/>
  <c r="V51" i="7" s="1"/>
  <c r="W52" i="7"/>
  <c r="V52" i="7" s="1" a="1"/>
  <c r="V52" i="7" s="1"/>
  <c r="W53" i="7"/>
  <c r="V53" i="7" s="1" a="1"/>
  <c r="V53" i="7" s="1"/>
  <c r="W54" i="7"/>
  <c r="V54" i="7" s="1" a="1"/>
  <c r="V54" i="7" s="1"/>
  <c r="W55" i="7"/>
  <c r="V55" i="7" s="1" a="1"/>
  <c r="V55" i="7" s="1"/>
  <c r="W56" i="7"/>
  <c r="V56" i="7" s="1" a="1"/>
  <c r="V56" i="7" s="1"/>
  <c r="W57" i="7"/>
  <c r="V57" i="7" s="1" a="1"/>
  <c r="V57" i="7" s="1"/>
  <c r="W58" i="7"/>
  <c r="V58" i="7" s="1" a="1"/>
  <c r="V58" i="7" s="1"/>
  <c r="W59" i="7"/>
  <c r="V59" i="7" s="1" a="1"/>
  <c r="V59" i="7" s="1"/>
  <c r="W60" i="7"/>
  <c r="V60" i="7" s="1" a="1"/>
  <c r="V60" i="7" s="1"/>
  <c r="W61" i="7"/>
  <c r="V61" i="7" s="1" a="1"/>
  <c r="V61" i="7" s="1"/>
  <c r="W62" i="7"/>
  <c r="V62" i="7" s="1" a="1"/>
  <c r="V62" i="7" s="1"/>
  <c r="W63" i="7"/>
  <c r="V63" i="7" s="1" a="1"/>
  <c r="V63" i="7" s="1"/>
  <c r="W64" i="7"/>
  <c r="V64" i="7" s="1" a="1"/>
  <c r="V64" i="7" s="1"/>
  <c r="W65" i="7"/>
  <c r="V65" i="7" s="1" a="1"/>
  <c r="V65" i="7" s="1"/>
  <c r="W66" i="7"/>
  <c r="V66" i="7" s="1" a="1"/>
  <c r="V66" i="7" s="1"/>
  <c r="W67" i="7"/>
  <c r="V67" i="7" s="1" a="1"/>
  <c r="V67" i="7" s="1"/>
  <c r="W68" i="7"/>
  <c r="V68" i="7" s="1" a="1"/>
  <c r="V68" i="7" s="1"/>
  <c r="W69" i="7"/>
  <c r="V69" i="7" s="1" a="1"/>
  <c r="V69" i="7" s="1"/>
  <c r="W70" i="7"/>
  <c r="V70" i="7" s="1" a="1"/>
  <c r="V70" i="7" s="1"/>
  <c r="W71" i="7"/>
  <c r="V71" i="7" s="1" a="1"/>
  <c r="V71" i="7" s="1"/>
  <c r="W72" i="7"/>
  <c r="V72" i="7" s="1" a="1"/>
  <c r="V72" i="7" s="1"/>
  <c r="W73" i="7"/>
  <c r="V73" i="7" s="1" a="1"/>
  <c r="V73" i="7" s="1"/>
  <c r="W74" i="7"/>
  <c r="V74" i="7" s="1" a="1"/>
  <c r="V74" i="7" s="1"/>
  <c r="W75" i="7"/>
  <c r="V75" i="7" s="1" a="1"/>
  <c r="V75" i="7" s="1"/>
  <c r="W76" i="7"/>
  <c r="V76" i="7" s="1" a="1"/>
  <c r="V76" i="7" s="1"/>
  <c r="W77" i="7"/>
  <c r="V77" i="7" s="1" a="1"/>
  <c r="V77" i="7" s="1"/>
  <c r="W78" i="7"/>
  <c r="V78" i="7" s="1" a="1"/>
  <c r="V78" i="7" s="1"/>
  <c r="W79" i="7"/>
  <c r="V79" i="7" s="1" a="1"/>
  <c r="V79" i="7" s="1"/>
  <c r="W80" i="7"/>
  <c r="V80" i="7" s="1" a="1"/>
  <c r="V80" i="7" s="1"/>
  <c r="W81" i="7"/>
  <c r="V81" i="7" s="1" a="1"/>
  <c r="V81" i="7" s="1"/>
  <c r="W82" i="7"/>
  <c r="V82" i="7" s="1" a="1"/>
  <c r="V82" i="7" s="1"/>
  <c r="W83" i="7"/>
  <c r="V83" i="7" s="1" a="1"/>
  <c r="V83" i="7" s="1"/>
  <c r="W84" i="7"/>
  <c r="V84" i="7" s="1" a="1"/>
  <c r="V84" i="7" s="1"/>
  <c r="W85" i="7"/>
  <c r="V85" i="7" s="1" a="1"/>
  <c r="V85" i="7" s="1"/>
  <c r="W86" i="7"/>
  <c r="V86" i="7" s="1" a="1"/>
  <c r="V86" i="7" s="1"/>
  <c r="W87" i="7"/>
  <c r="V87" i="7" s="1" a="1"/>
  <c r="V87" i="7" s="1"/>
  <c r="W88" i="7"/>
  <c r="V88" i="7" s="1" a="1"/>
  <c r="V88" i="7" s="1"/>
  <c r="W89" i="7"/>
  <c r="V89" i="7" s="1" a="1"/>
  <c r="V89" i="7" s="1"/>
  <c r="W90" i="7"/>
  <c r="V90" i="7" s="1" a="1"/>
  <c r="V90" i="7" s="1"/>
  <c r="W91" i="7"/>
  <c r="V91" i="7" s="1" a="1"/>
  <c r="V91" i="7" s="1"/>
  <c r="W92" i="7"/>
  <c r="V92" i="7" s="1" a="1"/>
  <c r="V92" i="7" s="1"/>
  <c r="W93" i="7"/>
  <c r="V93" i="7" s="1" a="1"/>
  <c r="V93" i="7" s="1"/>
  <c r="W94" i="7"/>
  <c r="V94" i="7" s="1" a="1"/>
  <c r="V94" i="7" s="1"/>
  <c r="W95" i="7"/>
  <c r="V95" i="7" s="1" a="1"/>
  <c r="V95" i="7" s="1"/>
  <c r="W96" i="7"/>
  <c r="V96" i="7" s="1" a="1"/>
  <c r="V96" i="7" s="1"/>
  <c r="W97" i="7"/>
  <c r="V97" i="7" s="1" a="1"/>
  <c r="V97" i="7" s="1"/>
  <c r="W98" i="7"/>
  <c r="V98" i="7" s="1" a="1"/>
  <c r="V98" i="7" s="1"/>
  <c r="W99" i="7"/>
  <c r="V99" i="7" s="1" a="1"/>
  <c r="V99" i="7" s="1"/>
  <c r="W100" i="7"/>
  <c r="V100" i="7" s="1" a="1"/>
  <c r="V100" i="7" s="1"/>
  <c r="W101" i="7"/>
  <c r="V101" i="7" s="1" a="1"/>
  <c r="V101" i="7" s="1"/>
  <c r="W102" i="7"/>
  <c r="V102" i="7" s="1" a="1"/>
  <c r="V102" i="7" s="1"/>
  <c r="W103" i="7"/>
  <c r="V103" i="7" s="1" a="1"/>
  <c r="V103" i="7" s="1"/>
  <c r="W104" i="7"/>
  <c r="V104" i="7" s="1" a="1"/>
  <c r="V104" i="7" s="1"/>
  <c r="W105" i="7"/>
  <c r="V105" i="7" s="1" a="1"/>
  <c r="V105" i="7" s="1"/>
  <c r="W106" i="7"/>
  <c r="V106" i="7" s="1" a="1"/>
  <c r="V106" i="7" s="1"/>
  <c r="W107" i="7"/>
  <c r="V107" i="7" s="1" a="1"/>
  <c r="V107" i="7" s="1"/>
  <c r="W108" i="7"/>
  <c r="V108" i="7" s="1" a="1"/>
  <c r="V108" i="7" s="1"/>
  <c r="W109" i="7"/>
  <c r="V109" i="7" s="1" a="1"/>
  <c r="V109" i="7" s="1"/>
  <c r="W110" i="7"/>
  <c r="V110" i="7" s="1" a="1"/>
  <c r="V110" i="7" s="1"/>
  <c r="W111" i="7"/>
  <c r="V111" i="7" s="1" a="1"/>
  <c r="V111" i="7" s="1"/>
  <c r="W112" i="7"/>
  <c r="V112" i="7" s="1" a="1"/>
  <c r="V112" i="7" s="1"/>
  <c r="W113" i="7"/>
  <c r="V113" i="7" s="1" a="1"/>
  <c r="V113" i="7" s="1"/>
  <c r="W114" i="7"/>
  <c r="V114" i="7" s="1" a="1"/>
  <c r="V114" i="7" s="1"/>
  <c r="W115" i="7"/>
  <c r="V115" i="7" s="1" a="1"/>
  <c r="V115" i="7" s="1"/>
  <c r="W116" i="7"/>
  <c r="V116" i="7" s="1" a="1"/>
  <c r="V116" i="7" s="1"/>
  <c r="W117" i="7"/>
  <c r="V117" i="7" s="1" a="1"/>
  <c r="V117" i="7" s="1"/>
  <c r="W118" i="7"/>
  <c r="V118" i="7" s="1" a="1"/>
  <c r="V118" i="7" s="1"/>
  <c r="W119" i="7"/>
  <c r="V119" i="7" s="1" a="1"/>
  <c r="V119" i="7" s="1"/>
  <c r="W120" i="7"/>
  <c r="V120" i="7" s="1" a="1"/>
  <c r="V120" i="7" s="1"/>
  <c r="W121" i="7"/>
  <c r="V121" i="7" s="1" a="1"/>
  <c r="V121" i="7" s="1"/>
  <c r="W122" i="7"/>
  <c r="V122" i="7" s="1" a="1"/>
  <c r="V122" i="7" s="1"/>
  <c r="W123" i="7"/>
  <c r="V123" i="7" s="1" a="1"/>
  <c r="V123" i="7" s="1"/>
  <c r="W124" i="7"/>
  <c r="V124" i="7" s="1" a="1"/>
  <c r="V124" i="7" s="1"/>
  <c r="W125" i="7"/>
  <c r="V125" i="7" s="1" a="1"/>
  <c r="V125" i="7" s="1"/>
  <c r="W126" i="7"/>
  <c r="V126" i="7" s="1" a="1"/>
  <c r="V126" i="7" s="1"/>
  <c r="W127" i="7"/>
  <c r="V127" i="7" s="1" a="1"/>
  <c r="V127" i="7" s="1"/>
  <c r="W128" i="7"/>
  <c r="V128" i="7" s="1" a="1"/>
  <c r="V128" i="7" s="1"/>
  <c r="W129" i="7"/>
  <c r="V129" i="7" s="1" a="1"/>
  <c r="V129" i="7" s="1"/>
  <c r="W130" i="7"/>
  <c r="V130" i="7" s="1" a="1"/>
  <c r="V130" i="7" s="1"/>
  <c r="W131" i="7"/>
  <c r="V131" i="7" s="1" a="1"/>
  <c r="V131" i="7" s="1"/>
  <c r="W132" i="7"/>
  <c r="V132" i="7" s="1" a="1"/>
  <c r="V132" i="7" s="1"/>
  <c r="W133" i="7"/>
  <c r="V133" i="7" s="1" a="1"/>
  <c r="V133" i="7" s="1"/>
  <c r="W134" i="7"/>
  <c r="V134" i="7" s="1" a="1"/>
  <c r="V134" i="7" s="1"/>
  <c r="W135" i="7"/>
  <c r="V135" i="7" s="1" a="1"/>
  <c r="V135" i="7" s="1"/>
  <c r="W136" i="7"/>
  <c r="V136" i="7" s="1" a="1"/>
  <c r="V136" i="7" s="1"/>
  <c r="W137" i="7"/>
  <c r="V137" i="7" s="1" a="1"/>
  <c r="V137" i="7" s="1"/>
  <c r="W138" i="7"/>
  <c r="V138" i="7" s="1" a="1"/>
  <c r="V138" i="7" s="1"/>
  <c r="W139" i="7"/>
  <c r="V139" i="7" s="1" a="1"/>
  <c r="V139" i="7" s="1"/>
  <c r="W140" i="7"/>
  <c r="V140" i="7" s="1" a="1"/>
  <c r="V140" i="7" s="1"/>
  <c r="W141" i="7"/>
  <c r="V141" i="7" s="1" a="1"/>
  <c r="V141" i="7" s="1"/>
  <c r="W142" i="7"/>
  <c r="V142" i="7" s="1" a="1"/>
  <c r="V142" i="7" s="1"/>
  <c r="W143" i="7"/>
  <c r="V143" i="7" s="1" a="1"/>
  <c r="V143" i="7" s="1"/>
  <c r="W144" i="7"/>
  <c r="V144" i="7" s="1" a="1"/>
  <c r="V144" i="7" s="1"/>
  <c r="W145" i="7"/>
  <c r="V145" i="7" s="1" a="1"/>
  <c r="V145" i="7" s="1"/>
  <c r="W146" i="7"/>
  <c r="V146" i="7" s="1" a="1"/>
  <c r="V146" i="7" s="1"/>
  <c r="W147" i="7"/>
  <c r="V147" i="7" s="1" a="1"/>
  <c r="V147" i="7" s="1"/>
  <c r="W148" i="7"/>
  <c r="V148" i="7" s="1" a="1"/>
  <c r="V148" i="7" s="1"/>
  <c r="W149" i="7"/>
  <c r="V149" i="7" s="1" a="1"/>
  <c r="V149" i="7" s="1"/>
  <c r="W150" i="7"/>
  <c r="V150" i="7" s="1" a="1"/>
  <c r="V150" i="7" s="1"/>
  <c r="W151" i="7"/>
  <c r="V151" i="7" s="1" a="1"/>
  <c r="V151" i="7" s="1"/>
  <c r="W152" i="7"/>
  <c r="V152" i="7" s="1" a="1"/>
  <c r="V152" i="7" s="1"/>
  <c r="W153" i="7"/>
  <c r="V153" i="7" s="1" a="1"/>
  <c r="V153" i="7" s="1"/>
  <c r="W154" i="7"/>
  <c r="V154" i="7" s="1" a="1"/>
  <c r="V154" i="7" s="1"/>
  <c r="W155" i="7"/>
  <c r="V155" i="7" s="1" a="1"/>
  <c r="V155" i="7" s="1"/>
  <c r="W156" i="7"/>
  <c r="V156" i="7" s="1" a="1"/>
  <c r="V156" i="7" s="1"/>
  <c r="W157" i="7"/>
  <c r="V157" i="7" s="1" a="1"/>
  <c r="V157" i="7" s="1"/>
  <c r="W158" i="7"/>
  <c r="V158" i="7" s="1" a="1"/>
  <c r="V158" i="7" s="1"/>
  <c r="W159" i="7"/>
  <c r="V159" i="7" s="1" a="1"/>
  <c r="V159" i="7" s="1"/>
  <c r="W160" i="7"/>
  <c r="V160" i="7" s="1" a="1"/>
  <c r="V160" i="7" s="1"/>
  <c r="W161" i="7"/>
  <c r="V161" i="7" s="1" a="1"/>
  <c r="V161" i="7" s="1"/>
  <c r="W162" i="7"/>
  <c r="V162" i="7" s="1" a="1"/>
  <c r="V162" i="7" s="1"/>
  <c r="W163" i="7"/>
  <c r="V163" i="7" s="1" a="1"/>
  <c r="V163" i="7" s="1"/>
  <c r="W164" i="7"/>
  <c r="V164" i="7" s="1" a="1"/>
  <c r="V164" i="7" s="1"/>
  <c r="W165" i="7"/>
  <c r="V165" i="7" s="1" a="1"/>
  <c r="V165" i="7" s="1"/>
  <c r="W166" i="7"/>
  <c r="V166" i="7" s="1" a="1"/>
  <c r="V166" i="7" s="1"/>
  <c r="W167" i="7"/>
  <c r="V167" i="7" s="1" a="1"/>
  <c r="V167" i="7" s="1"/>
  <c r="W168" i="7"/>
  <c r="V168" i="7" s="1" a="1"/>
  <c r="V168" i="7" s="1"/>
  <c r="W169" i="7"/>
  <c r="V169" i="7" s="1" a="1"/>
  <c r="V169" i="7" s="1"/>
  <c r="W170" i="7"/>
  <c r="V170" i="7" s="1" a="1"/>
  <c r="V170" i="7" s="1"/>
  <c r="W171" i="7"/>
  <c r="V171" i="7" s="1" a="1"/>
  <c r="V171" i="7" s="1"/>
  <c r="W172" i="7"/>
  <c r="V172" i="7" s="1" a="1"/>
  <c r="V172" i="7" s="1"/>
  <c r="W173" i="7"/>
  <c r="V173" i="7" s="1" a="1"/>
  <c r="V173" i="7" s="1"/>
  <c r="W174" i="7"/>
  <c r="V174" i="7" s="1" a="1"/>
  <c r="V174" i="7" s="1"/>
  <c r="W175" i="7"/>
  <c r="V175" i="7" s="1" a="1"/>
  <c r="V175" i="7" s="1"/>
  <c r="W176" i="7"/>
  <c r="V176" i="7" s="1" a="1"/>
  <c r="V176" i="7" s="1"/>
  <c r="W177" i="7"/>
  <c r="V177" i="7" s="1" a="1"/>
  <c r="V177" i="7" s="1"/>
  <c r="W178" i="7"/>
  <c r="V178" i="7" s="1" a="1"/>
  <c r="V178" i="7" s="1"/>
  <c r="W179" i="7"/>
  <c r="V179" i="7" s="1" a="1"/>
  <c r="V179" i="7" s="1"/>
  <c r="W180" i="7"/>
  <c r="V180" i="7" s="1" a="1"/>
  <c r="V180" i="7" s="1"/>
  <c r="W181" i="7"/>
  <c r="V181" i="7" s="1" a="1"/>
  <c r="V181" i="7" s="1"/>
  <c r="W182" i="7"/>
  <c r="V182" i="7" s="1" a="1"/>
  <c r="V182" i="7" s="1"/>
  <c r="W183" i="7"/>
  <c r="V183" i="7" s="1" a="1"/>
  <c r="V183" i="7" s="1"/>
  <c r="W184" i="7"/>
  <c r="V184" i="7" s="1" a="1"/>
  <c r="V184" i="7" s="1"/>
  <c r="W185" i="7"/>
  <c r="V185" i="7" s="1" a="1"/>
  <c r="V185" i="7" s="1"/>
  <c r="W186" i="7"/>
  <c r="V186" i="7" s="1" a="1"/>
  <c r="V186" i="7" s="1"/>
  <c r="W187" i="7"/>
  <c r="V187" i="7" s="1" a="1"/>
  <c r="V187" i="7" s="1"/>
  <c r="W188" i="7"/>
  <c r="V188" i="7" s="1" a="1"/>
  <c r="V188" i="7" s="1"/>
  <c r="W3" i="10"/>
  <c r="V3" i="10" s="1" a="1"/>
  <c r="V3" i="10" s="1"/>
  <c r="W4" i="10"/>
  <c r="V4" i="10" s="1" a="1"/>
  <c r="V4" i="10" s="1"/>
  <c r="W5" i="10"/>
  <c r="V5" i="10" s="1" a="1"/>
  <c r="V5" i="10" s="1"/>
  <c r="W6" i="10"/>
  <c r="V6" i="10" s="1" a="1"/>
  <c r="V6" i="10" s="1"/>
  <c r="W7" i="10"/>
  <c r="V7" i="10" s="1" a="1"/>
  <c r="V7" i="10" s="1"/>
  <c r="W8" i="10"/>
  <c r="V8" i="10" s="1" a="1"/>
  <c r="V8" i="10" s="1"/>
  <c r="W9" i="10"/>
  <c r="V9" i="10" s="1" a="1"/>
  <c r="V9" i="10" s="1"/>
  <c r="W10" i="10"/>
  <c r="V10" i="10" s="1" a="1"/>
  <c r="V10" i="10" s="1"/>
  <c r="W11" i="10"/>
  <c r="V11" i="10" s="1" a="1"/>
  <c r="V11" i="10" s="1"/>
  <c r="W2" i="10"/>
  <c r="V2" i="10" s="1" a="1"/>
  <c r="V2" i="10" s="1"/>
  <c r="W2" i="7"/>
  <c r="V2" i="7" s="1" a="1"/>
  <c r="V2" i="7" s="1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V25" i="5" s="1" a="1"/>
  <c r="V25" i="5" s="1"/>
  <c r="W26" i="5"/>
  <c r="V26" i="5" s="1" a="1"/>
  <c r="V26" i="5" s="1"/>
  <c r="W27" i="5"/>
  <c r="W28" i="5"/>
  <c r="W29" i="5"/>
  <c r="W30" i="5"/>
  <c r="W31" i="5"/>
  <c r="W32" i="5"/>
  <c r="W33" i="5"/>
  <c r="W34" i="5"/>
  <c r="W35" i="5"/>
  <c r="W36" i="5"/>
  <c r="W37" i="5"/>
  <c r="W38" i="5"/>
  <c r="W39" i="5"/>
  <c r="W40" i="5"/>
  <c r="W41" i="5"/>
  <c r="W42" i="5"/>
  <c r="W43" i="5"/>
  <c r="W44" i="5"/>
  <c r="W45" i="5"/>
  <c r="W46" i="5"/>
  <c r="W47" i="5"/>
  <c r="W48" i="5"/>
  <c r="W49" i="5"/>
  <c r="V49" i="5" s="1" a="1"/>
  <c r="V49" i="5" s="1"/>
  <c r="W50" i="5"/>
  <c r="V50" i="5" s="1" a="1"/>
  <c r="V50" i="5" s="1"/>
  <c r="W51" i="5"/>
  <c r="W52" i="5"/>
  <c r="W53" i="5"/>
  <c r="W54" i="5"/>
  <c r="W55" i="5"/>
  <c r="W56" i="5"/>
  <c r="W57" i="5"/>
  <c r="W58" i="5"/>
  <c r="W59" i="5"/>
  <c r="W60" i="5"/>
  <c r="W61" i="5"/>
  <c r="W62" i="5"/>
  <c r="W63" i="5"/>
  <c r="W64" i="5"/>
  <c r="W65" i="5"/>
  <c r="W66" i="5"/>
  <c r="W67" i="5"/>
  <c r="W68" i="5"/>
  <c r="W69" i="5"/>
  <c r="W70" i="5"/>
  <c r="W71" i="5"/>
  <c r="W72" i="5"/>
  <c r="W73" i="5"/>
  <c r="V73" i="5" s="1" a="1"/>
  <c r="V73" i="5" s="1"/>
  <c r="W74" i="5"/>
  <c r="V74" i="5" s="1" a="1"/>
  <c r="V74" i="5" s="1"/>
  <c r="W75" i="5"/>
  <c r="W76" i="5"/>
  <c r="W77" i="5"/>
  <c r="W78" i="5"/>
  <c r="W79" i="5"/>
  <c r="W80" i="5"/>
  <c r="W81" i="5"/>
  <c r="W82" i="5"/>
  <c r="W83" i="5"/>
  <c r="W84" i="5"/>
  <c r="W85" i="5"/>
  <c r="W86" i="5"/>
  <c r="W87" i="5"/>
  <c r="W88" i="5"/>
  <c r="W89" i="5"/>
  <c r="W90" i="5"/>
  <c r="W91" i="5"/>
  <c r="W92" i="5"/>
  <c r="W93" i="5"/>
  <c r="W94" i="5"/>
  <c r="W95" i="5"/>
  <c r="W96" i="5"/>
  <c r="W97" i="5"/>
  <c r="V97" i="5" s="1" a="1"/>
  <c r="V97" i="5" s="1"/>
  <c r="W98" i="5"/>
  <c r="V98" i="5" s="1" a="1"/>
  <c r="V98" i="5" s="1"/>
  <c r="W99" i="5"/>
  <c r="W100" i="5"/>
  <c r="W101" i="5"/>
  <c r="W102" i="5"/>
  <c r="W103" i="5"/>
  <c r="W104" i="5"/>
  <c r="W105" i="5"/>
  <c r="W106" i="5"/>
  <c r="W107" i="5"/>
  <c r="W108" i="5"/>
  <c r="W109" i="5"/>
  <c r="W110" i="5"/>
  <c r="W111" i="5"/>
  <c r="W112" i="5"/>
  <c r="W113" i="5"/>
  <c r="W114" i="5"/>
  <c r="W115" i="5"/>
  <c r="W116" i="5"/>
  <c r="W117" i="5"/>
  <c r="W118" i="5"/>
  <c r="W119" i="5"/>
  <c r="W120" i="5"/>
  <c r="W121" i="5"/>
  <c r="V121" i="5" s="1" a="1"/>
  <c r="V121" i="5" s="1"/>
  <c r="W122" i="5"/>
  <c r="V122" i="5" s="1" a="1"/>
  <c r="V122" i="5" s="1"/>
  <c r="W123" i="5"/>
  <c r="W124" i="5"/>
  <c r="W125" i="5"/>
  <c r="W126" i="5"/>
  <c r="W127" i="5"/>
  <c r="W128" i="5"/>
  <c r="W129" i="5"/>
  <c r="W130" i="5"/>
  <c r="W131" i="5"/>
  <c r="W132" i="5"/>
  <c r="W133" i="5"/>
  <c r="W134" i="5"/>
  <c r="W135" i="5"/>
  <c r="W136" i="5"/>
  <c r="W137" i="5"/>
  <c r="W138" i="5"/>
  <c r="W139" i="5"/>
  <c r="W140" i="5"/>
  <c r="W141" i="5"/>
  <c r="W142" i="5"/>
  <c r="W143" i="5"/>
  <c r="W144" i="5"/>
  <c r="W145" i="5"/>
  <c r="V145" i="5" s="1" a="1"/>
  <c r="V145" i="5" s="1"/>
  <c r="W146" i="5"/>
  <c r="V146" i="5" s="1" a="1"/>
  <c r="V146" i="5" s="1"/>
  <c r="W147" i="5"/>
  <c r="W148" i="5"/>
  <c r="W149" i="5"/>
  <c r="W150" i="5"/>
  <c r="W151" i="5"/>
  <c r="W152" i="5"/>
  <c r="W153" i="5"/>
  <c r="W154" i="5"/>
  <c r="W155" i="5"/>
  <c r="W156" i="5"/>
  <c r="W157" i="5"/>
  <c r="W158" i="5"/>
  <c r="W159" i="5"/>
  <c r="W160" i="5"/>
  <c r="W161" i="5"/>
  <c r="W162" i="5"/>
  <c r="W163" i="5"/>
  <c r="W164" i="5"/>
  <c r="W165" i="5"/>
  <c r="W166" i="5"/>
  <c r="W167" i="5"/>
  <c r="W168" i="5"/>
  <c r="W169" i="5"/>
  <c r="V169" i="5" s="1" a="1"/>
  <c r="V169" i="5" s="1"/>
  <c r="Y169" i="5" s="1"/>
  <c r="W170" i="5"/>
  <c r="V170" i="5" s="1" a="1"/>
  <c r="V170" i="5" s="1"/>
  <c r="W171" i="5"/>
  <c r="W172" i="5"/>
  <c r="W173" i="5"/>
  <c r="W174" i="5"/>
  <c r="W175" i="5"/>
  <c r="W176" i="5"/>
  <c r="W177" i="5"/>
  <c r="W178" i="5"/>
  <c r="W179" i="5"/>
  <c r="W180" i="5"/>
  <c r="W181" i="5"/>
  <c r="W182" i="5"/>
  <c r="W183" i="5"/>
  <c r="W184" i="5"/>
  <c r="W185" i="5"/>
  <c r="W186" i="5"/>
  <c r="W187" i="5"/>
  <c r="W188" i="5"/>
  <c r="W189" i="5"/>
  <c r="W190" i="5"/>
  <c r="W191" i="5"/>
  <c r="W192" i="5"/>
  <c r="W193" i="5"/>
  <c r="V193" i="5" s="1" a="1"/>
  <c r="V193" i="5" s="1"/>
  <c r="W194" i="5"/>
  <c r="V194" i="5" s="1" a="1"/>
  <c r="V194" i="5" s="1"/>
  <c r="W195" i="5"/>
  <c r="W196" i="5"/>
  <c r="W197" i="5"/>
  <c r="W198" i="5"/>
  <c r="W199" i="5"/>
  <c r="W2" i="5"/>
  <c r="V2" i="5" s="1" a="1"/>
  <c r="V2" i="5" s="1"/>
  <c r="Y2" i="5" s="1"/>
  <c r="V3" i="5" a="1"/>
  <c r="V3" i="5" s="1"/>
  <c r="V4" i="5" a="1"/>
  <c r="V4" i="5" s="1"/>
  <c r="V5" i="5" a="1"/>
  <c r="V5" i="5" s="1"/>
  <c r="V6" i="5" a="1"/>
  <c r="V6" i="5" s="1"/>
  <c r="V7" i="5" a="1"/>
  <c r="V7" i="5" s="1"/>
  <c r="V8" i="5" a="1"/>
  <c r="V8" i="5" s="1"/>
  <c r="V9" i="5" a="1"/>
  <c r="V9" i="5" s="1"/>
  <c r="V10" i="5" a="1"/>
  <c r="V10" i="5" s="1"/>
  <c r="V11" i="5" a="1"/>
  <c r="V11" i="5" s="1"/>
  <c r="V12" i="5" a="1"/>
  <c r="V12" i="5" s="1"/>
  <c r="V13" i="5" a="1"/>
  <c r="V13" i="5" s="1"/>
  <c r="V14" i="5" a="1"/>
  <c r="V14" i="5" s="1"/>
  <c r="V15" i="5" a="1"/>
  <c r="V15" i="5" s="1"/>
  <c r="V16" i="5" a="1"/>
  <c r="V16" i="5" s="1"/>
  <c r="V17" i="5" a="1"/>
  <c r="V17" i="5" s="1"/>
  <c r="V18" i="5" a="1"/>
  <c r="V18" i="5" s="1"/>
  <c r="V19" i="5" a="1"/>
  <c r="V19" i="5" s="1"/>
  <c r="Y19" i="5" s="1"/>
  <c r="V20" i="5" a="1"/>
  <c r="V20" i="5" s="1"/>
  <c r="V21" i="5" a="1"/>
  <c r="V21" i="5" s="1"/>
  <c r="V22" i="5" a="1"/>
  <c r="V22" i="5" s="1"/>
  <c r="V23" i="5" a="1"/>
  <c r="V23" i="5" s="1"/>
  <c r="V24" i="5" a="1"/>
  <c r="V24" i="5" s="1"/>
  <c r="V27" i="5" a="1"/>
  <c r="V27" i="5" s="1"/>
  <c r="V28" i="5" a="1"/>
  <c r="V28" i="5" s="1"/>
  <c r="V29" i="5" a="1"/>
  <c r="V29" i="5" s="1"/>
  <c r="Y29" i="5" s="1"/>
  <c r="V30" i="5" a="1"/>
  <c r="V30" i="5" s="1"/>
  <c r="V31" i="5" a="1"/>
  <c r="V31" i="5" s="1"/>
  <c r="V32" i="5" a="1"/>
  <c r="V32" i="5" s="1"/>
  <c r="V33" i="5" a="1"/>
  <c r="V33" i="5" s="1"/>
  <c r="V34" i="5" a="1"/>
  <c r="V34" i="5" s="1"/>
  <c r="V35" i="5" a="1"/>
  <c r="V35" i="5" s="1"/>
  <c r="V36" i="5" a="1"/>
  <c r="V36" i="5" s="1"/>
  <c r="V37" i="5" a="1"/>
  <c r="V37" i="5" s="1"/>
  <c r="V38" i="5" a="1"/>
  <c r="V38" i="5" s="1"/>
  <c r="V39" i="5" a="1"/>
  <c r="V39" i="5" s="1"/>
  <c r="V40" i="5" a="1"/>
  <c r="V40" i="5" s="1"/>
  <c r="V41" i="5" a="1"/>
  <c r="V41" i="5" s="1"/>
  <c r="V42" i="5" a="1"/>
  <c r="V42" i="5" s="1"/>
  <c r="V43" i="5" a="1"/>
  <c r="V43" i="5" s="1"/>
  <c r="V44" i="5" a="1"/>
  <c r="V44" i="5" s="1"/>
  <c r="Y44" i="5" s="1"/>
  <c r="V45" i="5" a="1"/>
  <c r="V45" i="5" s="1"/>
  <c r="V46" i="5" a="1"/>
  <c r="V46" i="5" s="1"/>
  <c r="V47" i="5" a="1"/>
  <c r="V47" i="5" s="1"/>
  <c r="V48" i="5" a="1"/>
  <c r="V48" i="5" s="1"/>
  <c r="V51" i="5" a="1"/>
  <c r="V51" i="5" s="1"/>
  <c r="V52" i="5" a="1"/>
  <c r="V52" i="5" s="1"/>
  <c r="V53" i="5" a="1"/>
  <c r="V53" i="5" s="1"/>
  <c r="V54" i="5" a="1"/>
  <c r="V54" i="5" s="1"/>
  <c r="V55" i="5" a="1"/>
  <c r="V55" i="5" s="1"/>
  <c r="V56" i="5" a="1"/>
  <c r="V56" i="5" s="1"/>
  <c r="V57" i="5" a="1"/>
  <c r="V57" i="5" s="1"/>
  <c r="V58" i="5" a="1"/>
  <c r="V58" i="5" s="1"/>
  <c r="V59" i="5" a="1"/>
  <c r="V59" i="5" s="1"/>
  <c r="V60" i="5" a="1"/>
  <c r="V60" i="5" s="1"/>
  <c r="V61" i="5" a="1"/>
  <c r="V61" i="5" s="1"/>
  <c r="V62" i="5" a="1"/>
  <c r="V62" i="5" s="1"/>
  <c r="V63" i="5" a="1"/>
  <c r="V63" i="5" s="1"/>
  <c r="V64" i="5" a="1"/>
  <c r="V64" i="5" s="1"/>
  <c r="V65" i="5" a="1"/>
  <c r="V65" i="5" s="1"/>
  <c r="V66" i="5" a="1"/>
  <c r="V66" i="5" s="1"/>
  <c r="V67" i="5" a="1"/>
  <c r="V67" i="5" s="1"/>
  <c r="V68" i="5" a="1"/>
  <c r="V68" i="5" s="1"/>
  <c r="V69" i="5" a="1"/>
  <c r="V69" i="5" s="1"/>
  <c r="V70" i="5" a="1"/>
  <c r="V70" i="5" s="1"/>
  <c r="V71" i="5" a="1"/>
  <c r="V71" i="5" s="1"/>
  <c r="V72" i="5" a="1"/>
  <c r="V72" i="5" s="1"/>
  <c r="V75" i="5" a="1"/>
  <c r="V75" i="5" s="1"/>
  <c r="V76" i="5" a="1"/>
  <c r="V76" i="5" s="1"/>
  <c r="V77" i="5" a="1"/>
  <c r="V77" i="5" s="1"/>
  <c r="V78" i="5" a="1"/>
  <c r="V78" i="5" s="1"/>
  <c r="V79" i="5" a="1"/>
  <c r="V79" i="5" s="1"/>
  <c r="V80" i="5" a="1"/>
  <c r="V80" i="5" s="1"/>
  <c r="V81" i="5" a="1"/>
  <c r="V81" i="5" s="1"/>
  <c r="V82" i="5" a="1"/>
  <c r="V82" i="5" s="1"/>
  <c r="V83" i="5" a="1"/>
  <c r="V83" i="5" s="1"/>
  <c r="V84" i="5" a="1"/>
  <c r="V84" i="5" s="1"/>
  <c r="V85" i="5" a="1"/>
  <c r="V85" i="5" s="1"/>
  <c r="V86" i="5" a="1"/>
  <c r="V86" i="5" s="1"/>
  <c r="V87" i="5" a="1"/>
  <c r="V87" i="5" s="1"/>
  <c r="V88" i="5" a="1"/>
  <c r="V88" i="5" s="1"/>
  <c r="V89" i="5" a="1"/>
  <c r="V89" i="5" s="1"/>
  <c r="V90" i="5" a="1"/>
  <c r="V90" i="5" s="1"/>
  <c r="V91" i="5" a="1"/>
  <c r="V91" i="5" s="1"/>
  <c r="V92" i="5" a="1"/>
  <c r="V92" i="5" s="1"/>
  <c r="V93" i="5" a="1"/>
  <c r="V93" i="5" s="1"/>
  <c r="V94" i="5" a="1"/>
  <c r="V94" i="5" s="1"/>
  <c r="V95" i="5" a="1"/>
  <c r="V95" i="5" s="1"/>
  <c r="V96" i="5" a="1"/>
  <c r="V96" i="5" s="1"/>
  <c r="V99" i="5" a="1"/>
  <c r="V99" i="5" s="1"/>
  <c r="V100" i="5" a="1"/>
  <c r="V100" i="5" s="1"/>
  <c r="V101" i="5" a="1"/>
  <c r="V101" i="5" s="1"/>
  <c r="V102" i="5" a="1"/>
  <c r="V102" i="5" s="1"/>
  <c r="V103" i="5" a="1"/>
  <c r="V103" i="5" s="1"/>
  <c r="V104" i="5" a="1"/>
  <c r="V104" i="5" s="1"/>
  <c r="V105" i="5" a="1"/>
  <c r="V105" i="5" s="1"/>
  <c r="V106" i="5" a="1"/>
  <c r="V106" i="5" s="1"/>
  <c r="V107" i="5" a="1"/>
  <c r="V107" i="5" s="1"/>
  <c r="V108" i="5" a="1"/>
  <c r="V108" i="5" s="1"/>
  <c r="V109" i="5" a="1"/>
  <c r="V109" i="5" s="1"/>
  <c r="V110" i="5" a="1"/>
  <c r="V110" i="5" s="1"/>
  <c r="V111" i="5" a="1"/>
  <c r="V111" i="5" s="1"/>
  <c r="V112" i="5" a="1"/>
  <c r="V112" i="5" s="1"/>
  <c r="V113" i="5" a="1"/>
  <c r="V113" i="5" s="1"/>
  <c r="V114" i="5" a="1"/>
  <c r="V114" i="5" s="1"/>
  <c r="V115" i="5" a="1"/>
  <c r="V115" i="5" s="1"/>
  <c r="V116" i="5" a="1"/>
  <c r="V116" i="5" s="1"/>
  <c r="V117" i="5" a="1"/>
  <c r="V117" i="5" s="1"/>
  <c r="V118" i="5" a="1"/>
  <c r="V118" i="5" s="1"/>
  <c r="V119" i="5" a="1"/>
  <c r="V119" i="5" s="1"/>
  <c r="V120" i="5" a="1"/>
  <c r="V120" i="5" s="1"/>
  <c r="V123" i="5" a="1"/>
  <c r="V123" i="5" s="1"/>
  <c r="V124" i="5" a="1"/>
  <c r="V124" i="5" s="1"/>
  <c r="V125" i="5" a="1"/>
  <c r="V125" i="5" s="1"/>
  <c r="V126" i="5" a="1"/>
  <c r="V126" i="5" s="1"/>
  <c r="V127" i="5" a="1"/>
  <c r="V127" i="5" s="1"/>
  <c r="V128" i="5" a="1"/>
  <c r="V128" i="5" s="1"/>
  <c r="V129" i="5" a="1"/>
  <c r="V129" i="5" s="1"/>
  <c r="V130" i="5" a="1"/>
  <c r="V130" i="5" s="1"/>
  <c r="V131" i="5" a="1"/>
  <c r="V131" i="5" s="1"/>
  <c r="V132" i="5" a="1"/>
  <c r="V132" i="5" s="1"/>
  <c r="V133" i="5" a="1"/>
  <c r="V133" i="5" s="1"/>
  <c r="V134" i="5" a="1"/>
  <c r="V134" i="5" s="1"/>
  <c r="V135" i="5" a="1"/>
  <c r="V135" i="5" s="1"/>
  <c r="V136" i="5" a="1"/>
  <c r="V136" i="5" s="1"/>
  <c r="V137" i="5" a="1"/>
  <c r="V137" i="5" s="1"/>
  <c r="V138" i="5" a="1"/>
  <c r="V138" i="5" s="1"/>
  <c r="V139" i="5" a="1"/>
  <c r="V139" i="5" s="1"/>
  <c r="V140" i="5" a="1"/>
  <c r="V140" i="5" s="1"/>
  <c r="V141" i="5" a="1"/>
  <c r="V141" i="5" s="1"/>
  <c r="V142" i="5" a="1"/>
  <c r="V142" i="5" s="1"/>
  <c r="V143" i="5" a="1"/>
  <c r="V143" i="5" s="1"/>
  <c r="V144" i="5" a="1"/>
  <c r="V144" i="5" s="1"/>
  <c r="V147" i="5" a="1"/>
  <c r="V147" i="5" s="1"/>
  <c r="V148" i="5" a="1"/>
  <c r="V148" i="5" s="1"/>
  <c r="V149" i="5" a="1"/>
  <c r="V149" i="5" s="1"/>
  <c r="V150" i="5" a="1"/>
  <c r="V150" i="5" s="1"/>
  <c r="V151" i="5" a="1"/>
  <c r="V151" i="5" s="1"/>
  <c r="V152" i="5" a="1"/>
  <c r="V152" i="5" s="1"/>
  <c r="V153" i="5" a="1"/>
  <c r="V153" i="5" s="1"/>
  <c r="V154" i="5" a="1"/>
  <c r="V154" i="5" s="1"/>
  <c r="V155" i="5" a="1"/>
  <c r="V155" i="5" s="1"/>
  <c r="V156" i="5" a="1"/>
  <c r="V156" i="5" s="1"/>
  <c r="V157" i="5" a="1"/>
  <c r="V157" i="5" s="1"/>
  <c r="V158" i="5" a="1"/>
  <c r="V158" i="5" s="1"/>
  <c r="V159" i="5" a="1"/>
  <c r="V159" i="5" s="1"/>
  <c r="V160" i="5" a="1"/>
  <c r="V160" i="5" s="1"/>
  <c r="V161" i="5" a="1"/>
  <c r="V161" i="5" s="1"/>
  <c r="V162" i="5" a="1"/>
  <c r="V162" i="5" s="1"/>
  <c r="V163" i="5" a="1"/>
  <c r="V163" i="5" s="1"/>
  <c r="V164" i="5" a="1"/>
  <c r="V164" i="5" s="1"/>
  <c r="V165" i="5" a="1"/>
  <c r="V165" i="5" s="1"/>
  <c r="V166" i="5" a="1"/>
  <c r="V166" i="5" s="1"/>
  <c r="V167" i="5" a="1"/>
  <c r="V167" i="5" s="1"/>
  <c r="V168" i="5" a="1"/>
  <c r="V168" i="5" s="1"/>
  <c r="V171" i="5" a="1"/>
  <c r="V171" i="5" s="1"/>
  <c r="V172" i="5" a="1"/>
  <c r="V172" i="5" s="1"/>
  <c r="V173" i="5" a="1"/>
  <c r="V173" i="5" s="1"/>
  <c r="V174" i="5" a="1"/>
  <c r="V174" i="5" s="1"/>
  <c r="V175" i="5" a="1"/>
  <c r="V175" i="5" s="1"/>
  <c r="V176" i="5" a="1"/>
  <c r="V176" i="5" s="1"/>
  <c r="V177" i="5" a="1"/>
  <c r="V177" i="5" s="1"/>
  <c r="V178" i="5" a="1"/>
  <c r="V178" i="5" s="1"/>
  <c r="Y178" i="5" s="1"/>
  <c r="V179" i="5" a="1"/>
  <c r="V179" i="5" s="1"/>
  <c r="V180" i="5" a="1"/>
  <c r="V180" i="5" s="1"/>
  <c r="V181" i="5" a="1"/>
  <c r="V181" i="5" s="1"/>
  <c r="V182" i="5" a="1"/>
  <c r="V182" i="5" s="1"/>
  <c r="V183" i="5" a="1"/>
  <c r="V183" i="5" s="1"/>
  <c r="V184" i="5" a="1"/>
  <c r="V184" i="5" s="1"/>
  <c r="V185" i="5" a="1"/>
  <c r="V185" i="5" s="1"/>
  <c r="V186" i="5" a="1"/>
  <c r="V186" i="5" s="1"/>
  <c r="V187" i="5" a="1"/>
  <c r="V187" i="5" s="1"/>
  <c r="V188" i="5" a="1"/>
  <c r="V188" i="5" s="1"/>
  <c r="V189" i="5" a="1"/>
  <c r="V189" i="5" s="1"/>
  <c r="V190" i="5" a="1"/>
  <c r="V190" i="5" s="1"/>
  <c r="V191" i="5" a="1"/>
  <c r="V191" i="5" s="1"/>
  <c r="V192" i="5" a="1"/>
  <c r="V192" i="5" s="1"/>
  <c r="V195" i="5" a="1"/>
  <c r="V195" i="5" s="1"/>
  <c r="V196" i="5" a="1"/>
  <c r="V196" i="5" s="1"/>
  <c r="V197" i="5" a="1"/>
  <c r="V197" i="5" s="1"/>
  <c r="V198" i="5" a="1"/>
  <c r="V198" i="5" s="1"/>
  <c r="V199" i="5" a="1"/>
  <c r="V199" i="5" s="1"/>
  <c r="R3" i="10"/>
  <c r="R4" i="10"/>
  <c r="R5" i="10"/>
  <c r="R6" i="10"/>
  <c r="R7" i="10"/>
  <c r="R8" i="10"/>
  <c r="R9" i="10"/>
  <c r="R10" i="10"/>
  <c r="R11" i="10"/>
  <c r="R2" i="10"/>
  <c r="Z11" i="10"/>
  <c r="Z4" i="10"/>
  <c r="Z5" i="10"/>
  <c r="Z6" i="10"/>
  <c r="Z7" i="10"/>
  <c r="Z8" i="10"/>
  <c r="Z9" i="10"/>
  <c r="Z10" i="10"/>
  <c r="Z3" i="10"/>
  <c r="Z2" i="10"/>
  <c r="AA11" i="10"/>
  <c r="AA10" i="10"/>
  <c r="AA9" i="10"/>
  <c r="AA8" i="10"/>
  <c r="AA7" i="10"/>
  <c r="AA6" i="10"/>
  <c r="AA5" i="10"/>
  <c r="AA4" i="10"/>
  <c r="AA3" i="10"/>
  <c r="AA2" i="10"/>
  <c r="B3" i="9"/>
  <c r="B4" i="9"/>
  <c r="B5" i="9"/>
  <c r="B6" i="9"/>
  <c r="B7" i="9"/>
  <c r="B8" i="9"/>
  <c r="R8" i="9" s="1"/>
  <c r="B9" i="9"/>
  <c r="R9" i="9" s="1"/>
  <c r="B10" i="9"/>
  <c r="C10" i="9" s="1"/>
  <c r="B11" i="9"/>
  <c r="R11" i="9" s="1"/>
  <c r="B2" i="9"/>
  <c r="AC11" i="9"/>
  <c r="AB11" i="9"/>
  <c r="AA11" i="9"/>
  <c r="AD11" i="9" s="1"/>
  <c r="Z11" i="9"/>
  <c r="Y11" i="9"/>
  <c r="P11" i="9" s="1" a="1"/>
  <c r="P11" i="9" s="1"/>
  <c r="X11" i="9"/>
  <c r="I11" i="9" s="1" a="1"/>
  <c r="I11" i="9" s="1"/>
  <c r="O11" i="9"/>
  <c r="N11" i="9"/>
  <c r="M11" i="9"/>
  <c r="G11" i="9" a="1"/>
  <c r="G11" i="9" s="1"/>
  <c r="AC10" i="9"/>
  <c r="AB10" i="9"/>
  <c r="AA10" i="9"/>
  <c r="AD10" i="9" s="1"/>
  <c r="Z10" i="9"/>
  <c r="Q10" i="9" s="1" a="1"/>
  <c r="Q10" i="9" s="1"/>
  <c r="Y10" i="9"/>
  <c r="P10" i="9" s="1" a="1"/>
  <c r="P10" i="9" s="1"/>
  <c r="X10" i="9"/>
  <c r="H10" i="9" s="1" a="1"/>
  <c r="H10" i="9" s="1"/>
  <c r="O10" i="9"/>
  <c r="N10" i="9"/>
  <c r="M10" i="9"/>
  <c r="G10" i="9" a="1"/>
  <c r="G10" i="9" s="1"/>
  <c r="AC9" i="9"/>
  <c r="AB9" i="9"/>
  <c r="AA9" i="9"/>
  <c r="AD9" i="9" s="1"/>
  <c r="Z9" i="9"/>
  <c r="Y9" i="9"/>
  <c r="P9" i="9" s="1" a="1"/>
  <c r="P9" i="9" s="1"/>
  <c r="X9" i="9"/>
  <c r="H9" i="9" s="1" a="1"/>
  <c r="H9" i="9" s="1"/>
  <c r="O9" i="9"/>
  <c r="N9" i="9"/>
  <c r="M9" i="9"/>
  <c r="G9" i="9" a="1"/>
  <c r="G9" i="9" s="1"/>
  <c r="C9" i="9"/>
  <c r="AC8" i="9"/>
  <c r="AB8" i="9"/>
  <c r="AA8" i="9"/>
  <c r="AD8" i="9" s="1"/>
  <c r="Z8" i="9"/>
  <c r="Q8" i="9" s="1" a="1"/>
  <c r="Q8" i="9" s="1"/>
  <c r="Y8" i="9"/>
  <c r="P8" i="9" s="1" a="1"/>
  <c r="P8" i="9" s="1"/>
  <c r="X8" i="9"/>
  <c r="I8" i="9" s="1" a="1"/>
  <c r="I8" i="9" s="1"/>
  <c r="O8" i="9"/>
  <c r="N8" i="9"/>
  <c r="M8" i="9"/>
  <c r="G8" i="9" a="1"/>
  <c r="G8" i="9" s="1"/>
  <c r="AC7" i="9"/>
  <c r="AB7" i="9"/>
  <c r="AA7" i="9"/>
  <c r="AD7" i="9" s="1"/>
  <c r="Z7" i="9"/>
  <c r="Y7" i="9"/>
  <c r="P7" i="9" s="1" a="1"/>
  <c r="P7" i="9" s="1"/>
  <c r="X7" i="9"/>
  <c r="I7" i="9" s="1" a="1"/>
  <c r="I7" i="9" s="1"/>
  <c r="O7" i="9"/>
  <c r="N7" i="9"/>
  <c r="M7" i="9"/>
  <c r="G7" i="9" a="1"/>
  <c r="G7" i="9" s="1"/>
  <c r="R7" i="9"/>
  <c r="AC6" i="9"/>
  <c r="AB6" i="9"/>
  <c r="AA6" i="9"/>
  <c r="AD6" i="9" s="1"/>
  <c r="Z6" i="9"/>
  <c r="Y6" i="9"/>
  <c r="P6" i="9" s="1" a="1"/>
  <c r="P6" i="9" s="1"/>
  <c r="X6" i="9"/>
  <c r="H6" i="9" s="1" a="1"/>
  <c r="H6" i="9" s="1"/>
  <c r="O6" i="9"/>
  <c r="N6" i="9"/>
  <c r="M6" i="9"/>
  <c r="G6" i="9" a="1"/>
  <c r="G6" i="9" s="1"/>
  <c r="R6" i="9"/>
  <c r="AC5" i="9"/>
  <c r="AB5" i="9"/>
  <c r="AA5" i="9"/>
  <c r="AD5" i="9" s="1"/>
  <c r="Z5" i="9"/>
  <c r="Y5" i="9"/>
  <c r="P5" i="9" s="1" a="1"/>
  <c r="P5" i="9" s="1"/>
  <c r="X5" i="9"/>
  <c r="I5" i="9" s="1" a="1"/>
  <c r="I5" i="9" s="1"/>
  <c r="O5" i="9"/>
  <c r="N5" i="9"/>
  <c r="M5" i="9"/>
  <c r="G5" i="9" a="1"/>
  <c r="G5" i="9" s="1"/>
  <c r="C5" i="9"/>
  <c r="R5" i="9"/>
  <c r="AC4" i="9"/>
  <c r="AB4" i="9"/>
  <c r="AA4" i="9"/>
  <c r="AD4" i="9" s="1"/>
  <c r="Z4" i="9"/>
  <c r="Q4" i="9" s="1" a="1"/>
  <c r="Q4" i="9" s="1"/>
  <c r="Y4" i="9"/>
  <c r="P4" i="9" s="1" a="1"/>
  <c r="P4" i="9" s="1"/>
  <c r="X4" i="9"/>
  <c r="I4" i="9" s="1" a="1"/>
  <c r="I4" i="9" s="1"/>
  <c r="O4" i="9"/>
  <c r="N4" i="9"/>
  <c r="M4" i="9"/>
  <c r="G4" i="9" a="1"/>
  <c r="G4" i="9" s="1"/>
  <c r="C4" i="9"/>
  <c r="R4" i="9"/>
  <c r="AC3" i="9"/>
  <c r="AB3" i="9"/>
  <c r="AA3" i="9"/>
  <c r="AD3" i="9" s="1"/>
  <c r="Z3" i="9"/>
  <c r="Y3" i="9"/>
  <c r="P3" i="9" s="1" a="1"/>
  <c r="P3" i="9" s="1"/>
  <c r="X3" i="9"/>
  <c r="H3" i="9" s="1" a="1"/>
  <c r="H3" i="9" s="1"/>
  <c r="R3" i="9"/>
  <c r="O3" i="9"/>
  <c r="N3" i="9"/>
  <c r="M3" i="9"/>
  <c r="G3" i="9" a="1"/>
  <c r="G3" i="9" s="1"/>
  <c r="C3" i="9"/>
  <c r="AC2" i="9"/>
  <c r="AB2" i="9"/>
  <c r="AA2" i="9"/>
  <c r="Z2" i="9"/>
  <c r="Y2" i="9"/>
  <c r="P2" i="9" s="1" a="1"/>
  <c r="P2" i="9" s="1"/>
  <c r="X2" i="9"/>
  <c r="H2" i="9" s="1" a="1"/>
  <c r="H2" i="9" s="1"/>
  <c r="R2" i="9"/>
  <c r="O2" i="9"/>
  <c r="N2" i="9"/>
  <c r="M2" i="9"/>
  <c r="G2" i="9" a="1"/>
  <c r="G2" i="9" s="1"/>
  <c r="C2" i="9"/>
  <c r="J3" i="2"/>
  <c r="O3" i="2" s="1" a="1"/>
  <c r="O3" i="2" s="1"/>
  <c r="J4" i="2"/>
  <c r="O4" i="2" s="1" a="1"/>
  <c r="O4" i="2" s="1"/>
  <c r="J5" i="2"/>
  <c r="O5" i="2" s="1" a="1"/>
  <c r="O5" i="2" s="1"/>
  <c r="J6" i="2"/>
  <c r="O6" i="2" s="1" a="1"/>
  <c r="O6" i="2" s="1"/>
  <c r="J7" i="2"/>
  <c r="O7" i="2" s="1" a="1"/>
  <c r="O7" i="2" s="1"/>
  <c r="J8" i="2"/>
  <c r="O8" i="2" s="1" a="1"/>
  <c r="O8" i="2" s="1"/>
  <c r="J9" i="2"/>
  <c r="O9" i="2" s="1" a="1"/>
  <c r="O9" i="2" s="1"/>
  <c r="J10" i="2"/>
  <c r="O10" i="2" s="1" a="1"/>
  <c r="O10" i="2" s="1"/>
  <c r="J11" i="2"/>
  <c r="O11" i="2" s="1" a="1"/>
  <c r="O11" i="2" s="1"/>
  <c r="J12" i="2"/>
  <c r="O12" i="2" s="1" a="1"/>
  <c r="O12" i="2" s="1"/>
  <c r="J13" i="2"/>
  <c r="O13" i="2" s="1" a="1"/>
  <c r="O13" i="2" s="1"/>
  <c r="J14" i="2"/>
  <c r="O14" i="2" s="1" a="1"/>
  <c r="O14" i="2" s="1"/>
  <c r="J15" i="2"/>
  <c r="O15" i="2" s="1" a="1"/>
  <c r="O15" i="2" s="1"/>
  <c r="J16" i="2"/>
  <c r="O16" i="2" s="1" a="1"/>
  <c r="O16" i="2" s="1"/>
  <c r="J17" i="2"/>
  <c r="O17" i="2" s="1" a="1"/>
  <c r="O17" i="2" s="1"/>
  <c r="J18" i="2"/>
  <c r="O18" i="2" s="1" a="1"/>
  <c r="O18" i="2" s="1"/>
  <c r="J19" i="2"/>
  <c r="O19" i="2" s="1" a="1"/>
  <c r="O19" i="2" s="1"/>
  <c r="J20" i="2"/>
  <c r="O20" i="2" s="1" a="1"/>
  <c r="O20" i="2" s="1"/>
  <c r="J21" i="2"/>
  <c r="O21" i="2" s="1" a="1"/>
  <c r="O21" i="2" s="1"/>
  <c r="J22" i="2"/>
  <c r="O22" i="2" s="1" a="1"/>
  <c r="O22" i="2" s="1"/>
  <c r="J23" i="2"/>
  <c r="O23" i="2" s="1" a="1"/>
  <c r="O23" i="2" s="1"/>
  <c r="J24" i="2"/>
  <c r="O24" i="2" s="1" a="1"/>
  <c r="O24" i="2" s="1"/>
  <c r="J25" i="2"/>
  <c r="O25" i="2" s="1" a="1"/>
  <c r="O25" i="2" s="1"/>
  <c r="J26" i="2"/>
  <c r="O26" i="2" s="1" a="1"/>
  <c r="O26" i="2" s="1"/>
  <c r="J27" i="2"/>
  <c r="O27" i="2" s="1" a="1"/>
  <c r="O27" i="2" s="1"/>
  <c r="J28" i="2"/>
  <c r="O28" i="2" s="1" a="1"/>
  <c r="O28" i="2" s="1"/>
  <c r="J29" i="2"/>
  <c r="O29" i="2" s="1" a="1"/>
  <c r="O29" i="2" s="1"/>
  <c r="J30" i="2"/>
  <c r="O30" i="2" s="1" a="1"/>
  <c r="O30" i="2" s="1"/>
  <c r="J31" i="2"/>
  <c r="O31" i="2" s="1" a="1"/>
  <c r="O31" i="2" s="1"/>
  <c r="J32" i="2"/>
  <c r="O32" i="2" s="1" a="1"/>
  <c r="O32" i="2" s="1"/>
  <c r="J33" i="2"/>
  <c r="O33" i="2" s="1" a="1"/>
  <c r="O33" i="2" s="1"/>
  <c r="J34" i="2"/>
  <c r="O34" i="2" s="1" a="1"/>
  <c r="O34" i="2" s="1"/>
  <c r="J35" i="2"/>
  <c r="O35" i="2" s="1" a="1"/>
  <c r="O35" i="2" s="1"/>
  <c r="J36" i="2"/>
  <c r="O36" i="2" s="1" a="1"/>
  <c r="O36" i="2" s="1"/>
  <c r="J37" i="2"/>
  <c r="O37" i="2" s="1" a="1"/>
  <c r="O37" i="2" s="1"/>
  <c r="J38" i="2"/>
  <c r="O38" i="2" s="1" a="1"/>
  <c r="O38" i="2" s="1"/>
  <c r="J39" i="2"/>
  <c r="O39" i="2" s="1" a="1"/>
  <c r="O39" i="2" s="1"/>
  <c r="J40" i="2"/>
  <c r="O40" i="2" s="1" a="1"/>
  <c r="O40" i="2" s="1"/>
  <c r="J41" i="2"/>
  <c r="O41" i="2" s="1" a="1"/>
  <c r="O41" i="2" s="1"/>
  <c r="J42" i="2"/>
  <c r="O42" i="2" s="1" a="1"/>
  <c r="O42" i="2" s="1"/>
  <c r="J43" i="2"/>
  <c r="O43" i="2" s="1" a="1"/>
  <c r="O43" i="2" s="1"/>
  <c r="J44" i="2"/>
  <c r="O44" i="2" s="1" a="1"/>
  <c r="O44" i="2" s="1"/>
  <c r="J45" i="2"/>
  <c r="O45" i="2" s="1" a="1"/>
  <c r="O45" i="2" s="1"/>
  <c r="J46" i="2"/>
  <c r="O46" i="2" s="1" a="1"/>
  <c r="O46" i="2" s="1"/>
  <c r="J47" i="2"/>
  <c r="O47" i="2" s="1" a="1"/>
  <c r="O47" i="2" s="1"/>
  <c r="J48" i="2"/>
  <c r="O48" i="2" s="1" a="1"/>
  <c r="O48" i="2" s="1"/>
  <c r="J49" i="2"/>
  <c r="O49" i="2" s="1" a="1"/>
  <c r="O49" i="2" s="1"/>
  <c r="J50" i="2"/>
  <c r="O50" i="2" s="1" a="1"/>
  <c r="O50" i="2" s="1"/>
  <c r="J51" i="2"/>
  <c r="O51" i="2" s="1" a="1"/>
  <c r="O51" i="2" s="1"/>
  <c r="J52" i="2"/>
  <c r="O52" i="2" s="1" a="1"/>
  <c r="O52" i="2" s="1"/>
  <c r="J53" i="2"/>
  <c r="O53" i="2" s="1" a="1"/>
  <c r="O53" i="2" s="1"/>
  <c r="J54" i="2"/>
  <c r="O54" i="2" s="1" a="1"/>
  <c r="O54" i="2" s="1"/>
  <c r="J55" i="2"/>
  <c r="O55" i="2" s="1" a="1"/>
  <c r="O55" i="2" s="1"/>
  <c r="J56" i="2"/>
  <c r="O56" i="2" s="1" a="1"/>
  <c r="O56" i="2" s="1"/>
  <c r="J57" i="2"/>
  <c r="O57" i="2" s="1" a="1"/>
  <c r="O57" i="2" s="1"/>
  <c r="J58" i="2"/>
  <c r="O58" i="2" s="1" a="1"/>
  <c r="O58" i="2" s="1"/>
  <c r="J59" i="2"/>
  <c r="O59" i="2" s="1" a="1"/>
  <c r="O59" i="2" s="1"/>
  <c r="J60" i="2"/>
  <c r="O60" i="2" s="1" a="1"/>
  <c r="O60" i="2" s="1"/>
  <c r="J61" i="2"/>
  <c r="O61" i="2" s="1" a="1"/>
  <c r="O61" i="2" s="1"/>
  <c r="J62" i="2"/>
  <c r="O62" i="2" s="1" a="1"/>
  <c r="O62" i="2" s="1"/>
  <c r="J63" i="2"/>
  <c r="O63" i="2" s="1" a="1"/>
  <c r="O63" i="2" s="1"/>
  <c r="J64" i="2"/>
  <c r="O64" i="2" s="1" a="1"/>
  <c r="O64" i="2" s="1"/>
  <c r="J65" i="2"/>
  <c r="O65" i="2" s="1" a="1"/>
  <c r="O65" i="2" s="1"/>
  <c r="J66" i="2"/>
  <c r="O66" i="2" s="1" a="1"/>
  <c r="O66" i="2" s="1"/>
  <c r="J67" i="2"/>
  <c r="O67" i="2" s="1" a="1"/>
  <c r="O67" i="2" s="1"/>
  <c r="J68" i="2"/>
  <c r="O68" i="2" s="1" a="1"/>
  <c r="O68" i="2" s="1"/>
  <c r="J69" i="2"/>
  <c r="O69" i="2" s="1" a="1"/>
  <c r="O69" i="2" s="1"/>
  <c r="J70" i="2"/>
  <c r="O70" i="2" s="1" a="1"/>
  <c r="O70" i="2" s="1"/>
  <c r="J71" i="2"/>
  <c r="O71" i="2" s="1" a="1"/>
  <c r="O71" i="2" s="1"/>
  <c r="J72" i="2"/>
  <c r="O72" i="2" s="1" a="1"/>
  <c r="O72" i="2" s="1"/>
  <c r="J73" i="2"/>
  <c r="O73" i="2" s="1" a="1"/>
  <c r="O73" i="2" s="1"/>
  <c r="J74" i="2"/>
  <c r="O74" i="2" s="1" a="1"/>
  <c r="O74" i="2" s="1"/>
  <c r="J75" i="2"/>
  <c r="O75" i="2" s="1" a="1"/>
  <c r="O75" i="2" s="1"/>
  <c r="J76" i="2"/>
  <c r="O76" i="2" s="1" a="1"/>
  <c r="O76" i="2" s="1"/>
  <c r="J77" i="2"/>
  <c r="O77" i="2" s="1" a="1"/>
  <c r="O77" i="2" s="1"/>
  <c r="J78" i="2"/>
  <c r="O78" i="2" s="1" a="1"/>
  <c r="O78" i="2" s="1"/>
  <c r="J79" i="2"/>
  <c r="O79" i="2" s="1" a="1"/>
  <c r="O79" i="2" s="1"/>
  <c r="J80" i="2"/>
  <c r="O80" i="2" s="1" a="1"/>
  <c r="O80" i="2" s="1"/>
  <c r="J81" i="2"/>
  <c r="O81" i="2" s="1" a="1"/>
  <c r="O81" i="2" s="1"/>
  <c r="J82" i="2"/>
  <c r="O82" i="2" s="1" a="1"/>
  <c r="O82" i="2" s="1"/>
  <c r="J83" i="2"/>
  <c r="O83" i="2" s="1" a="1"/>
  <c r="O83" i="2" s="1"/>
  <c r="J84" i="2"/>
  <c r="O84" i="2" s="1" a="1"/>
  <c r="O84" i="2" s="1"/>
  <c r="J85" i="2"/>
  <c r="O85" i="2" s="1" a="1"/>
  <c r="O85" i="2" s="1"/>
  <c r="J86" i="2"/>
  <c r="O86" i="2" s="1" a="1"/>
  <c r="O86" i="2" s="1"/>
  <c r="J87" i="2"/>
  <c r="O87" i="2" s="1" a="1"/>
  <c r="O87" i="2" s="1"/>
  <c r="J88" i="2"/>
  <c r="O88" i="2" s="1" a="1"/>
  <c r="O88" i="2" s="1"/>
  <c r="J89" i="2"/>
  <c r="O89" i="2" s="1" a="1"/>
  <c r="O89" i="2" s="1"/>
  <c r="J90" i="2"/>
  <c r="O90" i="2" s="1" a="1"/>
  <c r="O90" i="2" s="1"/>
  <c r="J91" i="2"/>
  <c r="O91" i="2" s="1" a="1"/>
  <c r="O91" i="2" s="1"/>
  <c r="J92" i="2"/>
  <c r="O92" i="2" s="1" a="1"/>
  <c r="O92" i="2" s="1"/>
  <c r="J93" i="2"/>
  <c r="O93" i="2" s="1" a="1"/>
  <c r="O93" i="2" s="1"/>
  <c r="J94" i="2"/>
  <c r="O94" i="2" s="1" a="1"/>
  <c r="O94" i="2" s="1"/>
  <c r="J95" i="2"/>
  <c r="O95" i="2" s="1" a="1"/>
  <c r="O95" i="2" s="1"/>
  <c r="J96" i="2"/>
  <c r="O96" i="2" s="1" a="1"/>
  <c r="O96" i="2" s="1"/>
  <c r="J97" i="2"/>
  <c r="O97" i="2" s="1" a="1"/>
  <c r="O97" i="2" s="1"/>
  <c r="J98" i="2"/>
  <c r="O98" i="2" s="1" a="1"/>
  <c r="O98" i="2" s="1"/>
  <c r="J99" i="2"/>
  <c r="O99" i="2" s="1" a="1"/>
  <c r="O99" i="2" s="1"/>
  <c r="J100" i="2"/>
  <c r="O100" i="2" s="1" a="1"/>
  <c r="O100" i="2" s="1"/>
  <c r="J101" i="2"/>
  <c r="O101" i="2" s="1" a="1"/>
  <c r="O101" i="2" s="1"/>
  <c r="J102" i="2"/>
  <c r="O102" i="2" s="1" a="1"/>
  <c r="O102" i="2" s="1"/>
  <c r="J103" i="2"/>
  <c r="O103" i="2" s="1" a="1"/>
  <c r="O103" i="2" s="1"/>
  <c r="J104" i="2"/>
  <c r="O104" i="2" s="1" a="1"/>
  <c r="O104" i="2" s="1"/>
  <c r="J105" i="2"/>
  <c r="O105" i="2" s="1" a="1"/>
  <c r="O105" i="2" s="1"/>
  <c r="J106" i="2"/>
  <c r="O106" i="2" s="1" a="1"/>
  <c r="O106" i="2" s="1"/>
  <c r="J107" i="2"/>
  <c r="O107" i="2" s="1" a="1"/>
  <c r="O107" i="2" s="1"/>
  <c r="J108" i="2"/>
  <c r="O108" i="2" s="1" a="1"/>
  <c r="O108" i="2" s="1"/>
  <c r="J109" i="2"/>
  <c r="O109" i="2" s="1" a="1"/>
  <c r="O109" i="2" s="1"/>
  <c r="J110" i="2"/>
  <c r="O110" i="2" s="1" a="1"/>
  <c r="O110" i="2" s="1"/>
  <c r="J111" i="2"/>
  <c r="O111" i="2" s="1" a="1"/>
  <c r="O111" i="2" s="1"/>
  <c r="J112" i="2"/>
  <c r="O112" i="2" s="1" a="1"/>
  <c r="O112" i="2" s="1"/>
  <c r="J113" i="2"/>
  <c r="O113" i="2" s="1" a="1"/>
  <c r="O113" i="2" s="1"/>
  <c r="J114" i="2"/>
  <c r="O114" i="2" s="1" a="1"/>
  <c r="O114" i="2" s="1"/>
  <c r="J115" i="2"/>
  <c r="O115" i="2" s="1" a="1"/>
  <c r="O115" i="2" s="1"/>
  <c r="J116" i="2"/>
  <c r="O116" i="2" s="1" a="1"/>
  <c r="O116" i="2" s="1"/>
  <c r="J117" i="2"/>
  <c r="O117" i="2" s="1" a="1"/>
  <c r="O117" i="2" s="1"/>
  <c r="J118" i="2"/>
  <c r="O118" i="2" s="1" a="1"/>
  <c r="O118" i="2" s="1"/>
  <c r="J119" i="2"/>
  <c r="O119" i="2" s="1" a="1"/>
  <c r="O119" i="2" s="1"/>
  <c r="J120" i="2"/>
  <c r="O120" i="2" s="1" a="1"/>
  <c r="O120" i="2" s="1"/>
  <c r="J121" i="2"/>
  <c r="O121" i="2" s="1" a="1"/>
  <c r="O121" i="2" s="1"/>
  <c r="J122" i="2"/>
  <c r="O122" i="2" s="1" a="1"/>
  <c r="O122" i="2" s="1"/>
  <c r="J123" i="2"/>
  <c r="O123" i="2" s="1" a="1"/>
  <c r="O123" i="2" s="1"/>
  <c r="J124" i="2"/>
  <c r="O124" i="2" s="1" a="1"/>
  <c r="O124" i="2" s="1"/>
  <c r="J125" i="2"/>
  <c r="O125" i="2" s="1" a="1"/>
  <c r="O125" i="2" s="1"/>
  <c r="J126" i="2"/>
  <c r="O126" i="2" s="1" a="1"/>
  <c r="O126" i="2" s="1"/>
  <c r="J127" i="2"/>
  <c r="O127" i="2" s="1" a="1"/>
  <c r="O127" i="2" s="1"/>
  <c r="J128" i="2"/>
  <c r="O128" i="2" s="1" a="1"/>
  <c r="O128" i="2" s="1"/>
  <c r="J129" i="2"/>
  <c r="O129" i="2" s="1" a="1"/>
  <c r="O129" i="2" s="1"/>
  <c r="J130" i="2"/>
  <c r="O130" i="2" s="1" a="1"/>
  <c r="O130" i="2" s="1"/>
  <c r="J131" i="2"/>
  <c r="O131" i="2" s="1" a="1"/>
  <c r="O131" i="2" s="1"/>
  <c r="J132" i="2"/>
  <c r="O132" i="2" s="1" a="1"/>
  <c r="O132" i="2" s="1"/>
  <c r="J133" i="2"/>
  <c r="O133" i="2" s="1" a="1"/>
  <c r="O133" i="2" s="1"/>
  <c r="J134" i="2"/>
  <c r="O134" i="2" s="1" a="1"/>
  <c r="O134" i="2" s="1"/>
  <c r="J135" i="2"/>
  <c r="O135" i="2" s="1" a="1"/>
  <c r="O135" i="2" s="1"/>
  <c r="J136" i="2"/>
  <c r="O136" i="2" s="1" a="1"/>
  <c r="O136" i="2" s="1"/>
  <c r="J137" i="2"/>
  <c r="O137" i="2" s="1" a="1"/>
  <c r="O137" i="2" s="1"/>
  <c r="J138" i="2"/>
  <c r="O138" i="2" s="1" a="1"/>
  <c r="O138" i="2" s="1"/>
  <c r="J139" i="2"/>
  <c r="O139" i="2" s="1" a="1"/>
  <c r="O139" i="2" s="1"/>
  <c r="J140" i="2"/>
  <c r="O140" i="2" s="1" a="1"/>
  <c r="O140" i="2" s="1"/>
  <c r="J141" i="2"/>
  <c r="O141" i="2" s="1" a="1"/>
  <c r="O141" i="2" s="1"/>
  <c r="J142" i="2"/>
  <c r="O142" i="2" s="1" a="1"/>
  <c r="O142" i="2" s="1"/>
  <c r="J143" i="2"/>
  <c r="O143" i="2" s="1" a="1"/>
  <c r="O143" i="2" s="1"/>
  <c r="J144" i="2"/>
  <c r="O144" i="2" s="1" a="1"/>
  <c r="O144" i="2" s="1"/>
  <c r="J145" i="2"/>
  <c r="O145" i="2" s="1" a="1"/>
  <c r="O145" i="2" s="1"/>
  <c r="J146" i="2"/>
  <c r="O146" i="2" s="1" a="1"/>
  <c r="O146" i="2" s="1"/>
  <c r="J147" i="2"/>
  <c r="O147" i="2" s="1" a="1"/>
  <c r="O147" i="2" s="1"/>
  <c r="J148" i="2"/>
  <c r="O148" i="2" s="1" a="1"/>
  <c r="O148" i="2" s="1"/>
  <c r="J149" i="2"/>
  <c r="O149" i="2" s="1" a="1"/>
  <c r="O149" i="2" s="1"/>
  <c r="J150" i="2"/>
  <c r="O150" i="2" s="1" a="1"/>
  <c r="O150" i="2" s="1"/>
  <c r="J151" i="2"/>
  <c r="O151" i="2" s="1" a="1"/>
  <c r="O151" i="2" s="1"/>
  <c r="J152" i="2"/>
  <c r="O152" i="2" s="1" a="1"/>
  <c r="O152" i="2" s="1"/>
  <c r="J153" i="2"/>
  <c r="O153" i="2" s="1" a="1"/>
  <c r="O153" i="2" s="1"/>
  <c r="J154" i="2"/>
  <c r="O154" i="2" s="1" a="1"/>
  <c r="O154" i="2" s="1"/>
  <c r="J155" i="2"/>
  <c r="O155" i="2" s="1" a="1"/>
  <c r="O155" i="2" s="1"/>
  <c r="J156" i="2"/>
  <c r="O156" i="2" s="1" a="1"/>
  <c r="O156" i="2" s="1"/>
  <c r="J157" i="2"/>
  <c r="O157" i="2" s="1" a="1"/>
  <c r="O157" i="2" s="1"/>
  <c r="J158" i="2"/>
  <c r="O158" i="2" s="1" a="1"/>
  <c r="O158" i="2" s="1"/>
  <c r="J159" i="2"/>
  <c r="O159" i="2" s="1" a="1"/>
  <c r="O159" i="2" s="1"/>
  <c r="J160" i="2"/>
  <c r="O160" i="2" s="1" a="1"/>
  <c r="O160" i="2" s="1"/>
  <c r="J161" i="2"/>
  <c r="O161" i="2" s="1" a="1"/>
  <c r="O161" i="2" s="1"/>
  <c r="J162" i="2"/>
  <c r="O162" i="2" s="1" a="1"/>
  <c r="O162" i="2" s="1"/>
  <c r="J163" i="2"/>
  <c r="O163" i="2" s="1" a="1"/>
  <c r="O163" i="2" s="1"/>
  <c r="J164" i="2"/>
  <c r="O164" i="2" s="1" a="1"/>
  <c r="O164" i="2" s="1"/>
  <c r="J165" i="2"/>
  <c r="O165" i="2" s="1" a="1"/>
  <c r="O165" i="2" s="1"/>
  <c r="J166" i="2"/>
  <c r="O166" i="2" s="1" a="1"/>
  <c r="O166" i="2" s="1"/>
  <c r="J167" i="2"/>
  <c r="O167" i="2" s="1" a="1"/>
  <c r="O167" i="2" s="1"/>
  <c r="J168" i="2"/>
  <c r="O168" i="2" s="1" a="1"/>
  <c r="O168" i="2" s="1"/>
  <c r="J169" i="2"/>
  <c r="O169" i="2" s="1" a="1"/>
  <c r="O169" i="2" s="1"/>
  <c r="J170" i="2"/>
  <c r="O170" i="2" s="1" a="1"/>
  <c r="O170" i="2" s="1"/>
  <c r="J171" i="2"/>
  <c r="O171" i="2" s="1" a="1"/>
  <c r="O171" i="2" s="1"/>
  <c r="J172" i="2"/>
  <c r="O172" i="2" s="1" a="1"/>
  <c r="O172" i="2" s="1"/>
  <c r="J173" i="2"/>
  <c r="O173" i="2" s="1" a="1"/>
  <c r="O173" i="2" s="1"/>
  <c r="J174" i="2"/>
  <c r="O174" i="2" s="1" a="1"/>
  <c r="O174" i="2" s="1"/>
  <c r="J175" i="2"/>
  <c r="O175" i="2" s="1" a="1"/>
  <c r="O175" i="2" s="1"/>
  <c r="J176" i="2"/>
  <c r="O176" i="2" s="1" a="1"/>
  <c r="O176" i="2" s="1"/>
  <c r="J177" i="2"/>
  <c r="O177" i="2" s="1" a="1"/>
  <c r="O177" i="2" s="1"/>
  <c r="J178" i="2"/>
  <c r="O178" i="2" s="1" a="1"/>
  <c r="O178" i="2" s="1"/>
  <c r="J179" i="2"/>
  <c r="O179" i="2" s="1" a="1"/>
  <c r="O179" i="2" s="1"/>
  <c r="J180" i="2"/>
  <c r="O180" i="2" s="1" a="1"/>
  <c r="O180" i="2" s="1"/>
  <c r="J181" i="2"/>
  <c r="O181" i="2" s="1" a="1"/>
  <c r="O181" i="2" s="1"/>
  <c r="J182" i="2"/>
  <c r="O182" i="2" s="1" a="1"/>
  <c r="O182" i="2" s="1"/>
  <c r="J183" i="2"/>
  <c r="O183" i="2" s="1" a="1"/>
  <c r="O183" i="2" s="1"/>
  <c r="J184" i="2"/>
  <c r="O184" i="2" s="1" a="1"/>
  <c r="O184" i="2" s="1"/>
  <c r="J185" i="2"/>
  <c r="O185" i="2" s="1" a="1"/>
  <c r="O185" i="2" s="1"/>
  <c r="J186" i="2"/>
  <c r="O186" i="2" s="1" a="1"/>
  <c r="O186" i="2" s="1"/>
  <c r="J187" i="2"/>
  <c r="O187" i="2" s="1" a="1"/>
  <c r="O187" i="2" s="1"/>
  <c r="J188" i="2"/>
  <c r="O188" i="2" s="1" a="1"/>
  <c r="O188" i="2" s="1"/>
  <c r="J189" i="2"/>
  <c r="O189" i="2" s="1" a="1"/>
  <c r="O189" i="2" s="1"/>
  <c r="J190" i="2"/>
  <c r="O190" i="2" s="1" a="1"/>
  <c r="O190" i="2" s="1"/>
  <c r="J191" i="2"/>
  <c r="O191" i="2" s="1" a="1"/>
  <c r="O191" i="2" s="1"/>
  <c r="J192" i="2"/>
  <c r="O192" i="2" s="1" a="1"/>
  <c r="O192" i="2" s="1"/>
  <c r="J193" i="2"/>
  <c r="O193" i="2" s="1" a="1"/>
  <c r="O193" i="2" s="1"/>
  <c r="J194" i="2"/>
  <c r="O194" i="2" s="1" a="1"/>
  <c r="O194" i="2" s="1"/>
  <c r="J195" i="2"/>
  <c r="O195" i="2" s="1" a="1"/>
  <c r="O195" i="2" s="1"/>
  <c r="J196" i="2"/>
  <c r="O196" i="2" s="1" a="1"/>
  <c r="O196" i="2" s="1"/>
  <c r="J197" i="2"/>
  <c r="O197" i="2" s="1" a="1"/>
  <c r="O197" i="2" s="1"/>
  <c r="J198" i="2"/>
  <c r="O198" i="2" s="1" a="1"/>
  <c r="O198" i="2" s="1"/>
  <c r="J199" i="2"/>
  <c r="O199" i="2" s="1" a="1"/>
  <c r="O199" i="2" s="1"/>
  <c r="J200" i="2"/>
  <c r="O200" i="2" s="1" a="1"/>
  <c r="O200" i="2" s="1"/>
  <c r="J2" i="2"/>
  <c r="O2" i="2" s="1" a="1"/>
  <c r="O2" i="2" s="1"/>
  <c r="I3" i="2"/>
  <c r="M3" i="2" s="1" a="1"/>
  <c r="M3" i="2" s="1"/>
  <c r="S3" i="2" s="1"/>
  <c r="I4" i="2"/>
  <c r="M4" i="2" s="1" a="1"/>
  <c r="M4" i="2" s="1"/>
  <c r="S4" i="2" s="1"/>
  <c r="E3" i="3" s="1"/>
  <c r="I5" i="2"/>
  <c r="M5" i="2" s="1" a="1"/>
  <c r="M5" i="2" s="1"/>
  <c r="S5" i="2" s="1"/>
  <c r="E4" i="3" s="1"/>
  <c r="I6" i="2"/>
  <c r="M6" i="2" s="1" a="1"/>
  <c r="M6" i="2" s="1"/>
  <c r="S6" i="2" s="1"/>
  <c r="E5" i="6" s="1"/>
  <c r="I7" i="2"/>
  <c r="M7" i="2" s="1" a="1"/>
  <c r="M7" i="2" s="1"/>
  <c r="S7" i="2" s="1"/>
  <c r="E6" i="3" s="1"/>
  <c r="I8" i="2"/>
  <c r="M8" i="2" s="1" a="1"/>
  <c r="M8" i="2" s="1"/>
  <c r="S8" i="2" s="1"/>
  <c r="E7" i="6" s="1"/>
  <c r="I9" i="2"/>
  <c r="M9" i="2" s="1" a="1"/>
  <c r="M9" i="2" s="1"/>
  <c r="S9" i="2" s="1"/>
  <c r="E8" i="3" s="1"/>
  <c r="I10" i="2"/>
  <c r="M10" i="2" s="1" a="1"/>
  <c r="M10" i="2" s="1"/>
  <c r="S10" i="2" s="1"/>
  <c r="E9" i="6" s="1"/>
  <c r="I11" i="2"/>
  <c r="N11" i="2" s="1" a="1"/>
  <c r="N11" i="2" s="1"/>
  <c r="T11" i="2" s="1"/>
  <c r="D10" i="3" s="1"/>
  <c r="I12" i="2"/>
  <c r="M12" i="2" s="1" a="1"/>
  <c r="M12" i="2" s="1"/>
  <c r="S12" i="2" s="1"/>
  <c r="E11" i="6" s="1"/>
  <c r="I13" i="2"/>
  <c r="M13" i="2" s="1" a="1"/>
  <c r="M13" i="2" s="1"/>
  <c r="I14" i="2"/>
  <c r="M14" i="2" s="1" a="1"/>
  <c r="M14" i="2" s="1"/>
  <c r="S14" i="2" s="1"/>
  <c r="E13" i="6" s="1"/>
  <c r="I15" i="2"/>
  <c r="M15" i="2" s="1" a="1"/>
  <c r="M15" i="2" s="1"/>
  <c r="S15" i="2" s="1"/>
  <c r="E14" i="6" s="1"/>
  <c r="I16" i="2"/>
  <c r="M16" i="2" s="1" a="1"/>
  <c r="M16" i="2" s="1"/>
  <c r="S16" i="2" s="1"/>
  <c r="I17" i="2"/>
  <c r="I18" i="2"/>
  <c r="M18" i="2" s="1" a="1"/>
  <c r="M18" i="2" s="1"/>
  <c r="S18" i="2" s="1"/>
  <c r="I19" i="2"/>
  <c r="M19" i="2" s="1" a="1"/>
  <c r="M19" i="2" s="1"/>
  <c r="S19" i="2" s="1"/>
  <c r="E18" i="6" s="1"/>
  <c r="I20" i="2"/>
  <c r="M20" i="2" s="1" a="1"/>
  <c r="M20" i="2" s="1"/>
  <c r="S20" i="2" s="1"/>
  <c r="E19" i="3" s="1"/>
  <c r="I21" i="2"/>
  <c r="M21" i="2" s="1" a="1"/>
  <c r="M21" i="2" s="1"/>
  <c r="S21" i="2" s="1"/>
  <c r="E20" i="3" s="1"/>
  <c r="I22" i="2"/>
  <c r="M22" i="2" s="1" a="1"/>
  <c r="M22" i="2" s="1"/>
  <c r="S22" i="2" s="1"/>
  <c r="E21" i="3" s="1"/>
  <c r="I23" i="2"/>
  <c r="N23" i="2" s="1" a="1"/>
  <c r="N23" i="2" s="1"/>
  <c r="I24" i="2"/>
  <c r="M24" i="2" s="1" a="1"/>
  <c r="M24" i="2" s="1"/>
  <c r="S24" i="2" s="1"/>
  <c r="E23" i="3" s="1"/>
  <c r="I25" i="2"/>
  <c r="M25" i="2" s="1" a="1"/>
  <c r="M25" i="2" s="1"/>
  <c r="S25" i="2" s="1"/>
  <c r="E24" i="3" s="1"/>
  <c r="I26" i="2"/>
  <c r="M26" i="2" s="1" a="1"/>
  <c r="M26" i="2" s="1"/>
  <c r="I27" i="2"/>
  <c r="M27" i="2" s="1" a="1"/>
  <c r="M27" i="2" s="1"/>
  <c r="S27" i="2" s="1"/>
  <c r="E26" i="3" s="1"/>
  <c r="I28" i="2"/>
  <c r="M28" i="2" s="1" a="1"/>
  <c r="M28" i="2" s="1"/>
  <c r="S28" i="2" s="1"/>
  <c r="E27" i="3" s="1"/>
  <c r="I29" i="2"/>
  <c r="M29" i="2" s="1" a="1"/>
  <c r="M29" i="2" s="1"/>
  <c r="S29" i="2" s="1"/>
  <c r="E28" i="6" s="1"/>
  <c r="I30" i="2"/>
  <c r="M30" i="2" s="1" a="1"/>
  <c r="M30" i="2" s="1"/>
  <c r="S30" i="2" s="1"/>
  <c r="E29" i="3" s="1"/>
  <c r="I31" i="2"/>
  <c r="M31" i="2" s="1" a="1"/>
  <c r="M31" i="2" s="1"/>
  <c r="S31" i="2" s="1"/>
  <c r="E30" i="6" s="1"/>
  <c r="I32" i="2"/>
  <c r="M32" i="2" s="1" a="1"/>
  <c r="M32" i="2" s="1"/>
  <c r="I33" i="2"/>
  <c r="M33" i="2" s="1" a="1"/>
  <c r="M33" i="2" s="1"/>
  <c r="S33" i="2" s="1"/>
  <c r="E32" i="3" s="1"/>
  <c r="I34" i="2"/>
  <c r="M34" i="2" s="1" a="1"/>
  <c r="M34" i="2" s="1"/>
  <c r="S34" i="2" s="1"/>
  <c r="E33" i="6" s="1"/>
  <c r="I35" i="2"/>
  <c r="N35" i="2" s="1" a="1"/>
  <c r="N35" i="2" s="1"/>
  <c r="I36" i="2"/>
  <c r="M36" i="2" s="1" a="1"/>
  <c r="M36" i="2" s="1"/>
  <c r="S36" i="2" s="1"/>
  <c r="E35" i="6" s="1"/>
  <c r="I37" i="2"/>
  <c r="M37" i="2" s="1" a="1"/>
  <c r="M37" i="2" s="1"/>
  <c r="S37" i="2" s="1"/>
  <c r="E36" i="6" s="1"/>
  <c r="I38" i="2"/>
  <c r="M38" i="2" s="1" a="1"/>
  <c r="M38" i="2" s="1"/>
  <c r="S38" i="2" s="1"/>
  <c r="E37" i="6" s="1"/>
  <c r="I39" i="2"/>
  <c r="M39" i="2" s="1" a="1"/>
  <c r="M39" i="2" s="1"/>
  <c r="S39" i="2" s="1"/>
  <c r="E38" i="6" s="1"/>
  <c r="I40" i="2"/>
  <c r="M40" i="2" s="1" a="1"/>
  <c r="M40" i="2" s="1"/>
  <c r="S40" i="2" s="1"/>
  <c r="I41" i="2"/>
  <c r="I42" i="2"/>
  <c r="M42" i="2" s="1" a="1"/>
  <c r="M42" i="2" s="1"/>
  <c r="S42" i="2" s="1"/>
  <c r="I43" i="2"/>
  <c r="M43" i="2" s="1" a="1"/>
  <c r="M43" i="2" s="1"/>
  <c r="S43" i="2" s="1"/>
  <c r="E42" i="6" s="1"/>
  <c r="I44" i="2"/>
  <c r="M44" i="2" s="1" a="1"/>
  <c r="M44" i="2" s="1"/>
  <c r="S44" i="2" s="1"/>
  <c r="E43" i="3" s="1"/>
  <c r="I45" i="2"/>
  <c r="M45" i="2" s="1" a="1"/>
  <c r="M45" i="2" s="1"/>
  <c r="S45" i="2" s="1"/>
  <c r="E44" i="3" s="1"/>
  <c r="I46" i="2"/>
  <c r="M46" i="2" s="1" a="1"/>
  <c r="M46" i="2" s="1"/>
  <c r="S46" i="2" s="1"/>
  <c r="E45" i="3" s="1"/>
  <c r="I47" i="2"/>
  <c r="N47" i="2" s="1" a="1"/>
  <c r="N47" i="2" s="1"/>
  <c r="I48" i="2"/>
  <c r="M48" i="2" s="1" a="1"/>
  <c r="M48" i="2" s="1"/>
  <c r="S48" i="2" s="1"/>
  <c r="E47" i="3" s="1"/>
  <c r="I49" i="2"/>
  <c r="M49" i="2" s="1" a="1"/>
  <c r="M49" i="2" s="1"/>
  <c r="S49" i="2" s="1"/>
  <c r="E48" i="3" s="1"/>
  <c r="I50" i="2"/>
  <c r="M50" i="2" s="1" a="1"/>
  <c r="M50" i="2" s="1"/>
  <c r="S50" i="2" s="1"/>
  <c r="E49" i="6" s="1"/>
  <c r="I51" i="2"/>
  <c r="M51" i="2" s="1" a="1"/>
  <c r="M51" i="2" s="1"/>
  <c r="S51" i="2" s="1"/>
  <c r="E50" i="3" s="1"/>
  <c r="I52" i="2"/>
  <c r="M52" i="2" s="1" a="1"/>
  <c r="M52" i="2" s="1"/>
  <c r="S52" i="2" s="1"/>
  <c r="E51" i="3" s="1"/>
  <c r="I53" i="2"/>
  <c r="M53" i="2" s="1" a="1"/>
  <c r="M53" i="2" s="1"/>
  <c r="S53" i="2" s="1"/>
  <c r="E52" i="6" s="1"/>
  <c r="I54" i="2"/>
  <c r="M54" i="2" s="1" a="1"/>
  <c r="M54" i="2" s="1"/>
  <c r="S54" i="2" s="1"/>
  <c r="E53" i="3" s="1"/>
  <c r="I55" i="2"/>
  <c r="M55" i="2" s="1" a="1"/>
  <c r="M55" i="2" s="1"/>
  <c r="S55" i="2" s="1"/>
  <c r="E54" i="6" s="1"/>
  <c r="I56" i="2"/>
  <c r="M56" i="2" s="1" a="1"/>
  <c r="M56" i="2" s="1"/>
  <c r="S56" i="2" s="1"/>
  <c r="E55" i="3" s="1"/>
  <c r="I57" i="2"/>
  <c r="M57" i="2" s="1" a="1"/>
  <c r="M57" i="2" s="1"/>
  <c r="S57" i="2" s="1"/>
  <c r="E56" i="3" s="1"/>
  <c r="I58" i="2"/>
  <c r="M58" i="2" s="1" a="1"/>
  <c r="M58" i="2" s="1"/>
  <c r="S58" i="2" s="1"/>
  <c r="I59" i="2"/>
  <c r="N59" i="2" s="1" a="1"/>
  <c r="N59" i="2" s="1"/>
  <c r="I60" i="2"/>
  <c r="M60" i="2" s="1" a="1"/>
  <c r="M60" i="2" s="1"/>
  <c r="S60" i="2" s="1"/>
  <c r="E59" i="6" s="1"/>
  <c r="I61" i="2"/>
  <c r="M61" i="2" s="1" a="1"/>
  <c r="M61" i="2" s="1"/>
  <c r="S61" i="2" s="1"/>
  <c r="E60" i="6" s="1"/>
  <c r="I62" i="2"/>
  <c r="M62" i="2" s="1" a="1"/>
  <c r="M62" i="2" s="1"/>
  <c r="S62" i="2" s="1"/>
  <c r="E61" i="6" s="1"/>
  <c r="I63" i="2"/>
  <c r="M63" i="2" s="1" a="1"/>
  <c r="M63" i="2" s="1"/>
  <c r="S63" i="2" s="1"/>
  <c r="E62" i="6" s="1"/>
  <c r="I64" i="2"/>
  <c r="M64" i="2" s="1" a="1"/>
  <c r="M64" i="2" s="1"/>
  <c r="S64" i="2" s="1"/>
  <c r="I65" i="2"/>
  <c r="I66" i="2"/>
  <c r="M66" i="2" s="1" a="1"/>
  <c r="M66" i="2" s="1"/>
  <c r="S66" i="2" s="1"/>
  <c r="I67" i="2"/>
  <c r="M67" i="2" s="1" a="1"/>
  <c r="M67" i="2" s="1"/>
  <c r="S67" i="2" s="1"/>
  <c r="E66" i="6" s="1"/>
  <c r="I68" i="2"/>
  <c r="M68" i="2" s="1" a="1"/>
  <c r="M68" i="2" s="1"/>
  <c r="S68" i="2" s="1"/>
  <c r="E67" i="3" s="1"/>
  <c r="I69" i="2"/>
  <c r="M69" i="2" s="1" a="1"/>
  <c r="M69" i="2" s="1"/>
  <c r="S69" i="2" s="1"/>
  <c r="E68" i="3" s="1"/>
  <c r="I70" i="2"/>
  <c r="M70" i="2" s="1" a="1"/>
  <c r="M70" i="2" s="1"/>
  <c r="S70" i="2" s="1"/>
  <c r="E69" i="3" s="1"/>
  <c r="I71" i="2"/>
  <c r="N71" i="2" s="1" a="1"/>
  <c r="N71" i="2" s="1"/>
  <c r="I72" i="2"/>
  <c r="M72" i="2" s="1" a="1"/>
  <c r="M72" i="2" s="1"/>
  <c r="I73" i="2"/>
  <c r="M73" i="2" s="1" a="1"/>
  <c r="M73" i="2" s="1"/>
  <c r="S73" i="2" s="1"/>
  <c r="E72" i="3" s="1"/>
  <c r="I74" i="2"/>
  <c r="M74" i="2" s="1" a="1"/>
  <c r="M74" i="2" s="1"/>
  <c r="S74" i="2" s="1"/>
  <c r="E73" i="6" s="1"/>
  <c r="I75" i="2"/>
  <c r="M75" i="2" s="1" a="1"/>
  <c r="M75" i="2" s="1"/>
  <c r="S75" i="2" s="1"/>
  <c r="E74" i="3" s="1"/>
  <c r="I76" i="2"/>
  <c r="M76" i="2" s="1" a="1"/>
  <c r="M76" i="2" s="1"/>
  <c r="S76" i="2" s="1"/>
  <c r="E75" i="3" s="1"/>
  <c r="I77" i="2"/>
  <c r="M77" i="2" s="1" a="1"/>
  <c r="M77" i="2" s="1"/>
  <c r="S77" i="2" s="1"/>
  <c r="E76" i="6" s="1"/>
  <c r="I78" i="2"/>
  <c r="M78" i="2" s="1" a="1"/>
  <c r="M78" i="2" s="1"/>
  <c r="S78" i="2" s="1"/>
  <c r="E77" i="3" s="1"/>
  <c r="I79" i="2"/>
  <c r="M79" i="2" s="1" a="1"/>
  <c r="M79" i="2" s="1"/>
  <c r="S79" i="2" s="1"/>
  <c r="E78" i="6" s="1"/>
  <c r="I80" i="2"/>
  <c r="M80" i="2" s="1" a="1"/>
  <c r="M80" i="2" s="1"/>
  <c r="S80" i="2" s="1"/>
  <c r="E79" i="3" s="1"/>
  <c r="I81" i="2"/>
  <c r="M81" i="2" s="1" a="1"/>
  <c r="M81" i="2" s="1"/>
  <c r="S81" i="2" s="1"/>
  <c r="E80" i="3" s="1"/>
  <c r="I82" i="2"/>
  <c r="M82" i="2" s="1" a="1"/>
  <c r="M82" i="2" s="1"/>
  <c r="S82" i="2" s="1"/>
  <c r="E81" i="6" s="1"/>
  <c r="I83" i="2"/>
  <c r="N83" i="2" s="1" a="1"/>
  <c r="N83" i="2" s="1"/>
  <c r="I84" i="2"/>
  <c r="M84" i="2" s="1" a="1"/>
  <c r="M84" i="2" s="1"/>
  <c r="S84" i="2" s="1"/>
  <c r="E83" i="6" s="1"/>
  <c r="I85" i="2"/>
  <c r="M85" i="2" s="1" a="1"/>
  <c r="M85" i="2" s="1"/>
  <c r="S85" i="2" s="1"/>
  <c r="E84" i="6" s="1"/>
  <c r="I86" i="2"/>
  <c r="M86" i="2" s="1" a="1"/>
  <c r="M86" i="2" s="1"/>
  <c r="S86" i="2" s="1"/>
  <c r="E85" i="6" s="1"/>
  <c r="I87" i="2"/>
  <c r="M87" i="2" s="1" a="1"/>
  <c r="M87" i="2" s="1"/>
  <c r="S87" i="2" s="1"/>
  <c r="E86" i="6" s="1"/>
  <c r="I88" i="2"/>
  <c r="M88" i="2" s="1" a="1"/>
  <c r="M88" i="2" s="1"/>
  <c r="S88" i="2" s="1"/>
  <c r="I89" i="2"/>
  <c r="I90" i="2"/>
  <c r="M90" i="2" s="1" a="1"/>
  <c r="M90" i="2" s="1"/>
  <c r="S90" i="2" s="1"/>
  <c r="I91" i="2"/>
  <c r="M91" i="2" s="1" a="1"/>
  <c r="M91" i="2" s="1"/>
  <c r="S91" i="2" s="1"/>
  <c r="I92" i="2"/>
  <c r="M92" i="2" s="1" a="1"/>
  <c r="M92" i="2" s="1"/>
  <c r="S92" i="2" s="1"/>
  <c r="I93" i="2"/>
  <c r="M93" i="2" s="1" a="1"/>
  <c r="M93" i="2" s="1"/>
  <c r="S93" i="2" s="1"/>
  <c r="E92" i="3" s="1"/>
  <c r="I94" i="2"/>
  <c r="M94" i="2" s="1" a="1"/>
  <c r="M94" i="2" s="1"/>
  <c r="S94" i="2" s="1"/>
  <c r="E93" i="3" s="1"/>
  <c r="I95" i="2"/>
  <c r="N95" i="2" s="1" a="1"/>
  <c r="N95" i="2" s="1"/>
  <c r="I96" i="2"/>
  <c r="M96" i="2" s="1" a="1"/>
  <c r="M96" i="2" s="1"/>
  <c r="I97" i="2"/>
  <c r="M97" i="2" s="1" a="1"/>
  <c r="M97" i="2" s="1"/>
  <c r="S97" i="2" s="1"/>
  <c r="I98" i="2"/>
  <c r="M98" i="2" s="1" a="1"/>
  <c r="M98" i="2" s="1"/>
  <c r="S98" i="2" s="1"/>
  <c r="I99" i="2"/>
  <c r="M99" i="2" s="1" a="1"/>
  <c r="M99" i="2" s="1"/>
  <c r="S99" i="2" s="1"/>
  <c r="I100" i="2"/>
  <c r="M100" i="2" s="1" a="1"/>
  <c r="M100" i="2" s="1"/>
  <c r="S100" i="2" s="1"/>
  <c r="I101" i="2"/>
  <c r="M101" i="2" s="1" a="1"/>
  <c r="M101" i="2" s="1"/>
  <c r="S101" i="2" s="1"/>
  <c r="I102" i="2"/>
  <c r="M102" i="2" s="1" a="1"/>
  <c r="M102" i="2" s="1"/>
  <c r="S102" i="2" s="1"/>
  <c r="I103" i="2"/>
  <c r="M103" i="2" s="1" a="1"/>
  <c r="M103" i="2" s="1"/>
  <c r="S103" i="2" s="1"/>
  <c r="I104" i="2"/>
  <c r="M104" i="2" s="1" a="1"/>
  <c r="M104" i="2" s="1"/>
  <c r="S104" i="2" s="1"/>
  <c r="I105" i="2"/>
  <c r="M105" i="2" s="1" a="1"/>
  <c r="M105" i="2" s="1"/>
  <c r="S105" i="2" s="1"/>
  <c r="I106" i="2"/>
  <c r="M106" i="2" s="1" a="1"/>
  <c r="M106" i="2" s="1"/>
  <c r="S106" i="2" s="1"/>
  <c r="I107" i="2"/>
  <c r="N107" i="2" s="1" a="1"/>
  <c r="N107" i="2" s="1"/>
  <c r="I108" i="2"/>
  <c r="M108" i="2" s="1" a="1"/>
  <c r="M108" i="2" s="1"/>
  <c r="S108" i="2" s="1"/>
  <c r="I109" i="2"/>
  <c r="M109" i="2" s="1" a="1"/>
  <c r="M109" i="2" s="1"/>
  <c r="I110" i="2"/>
  <c r="M110" i="2" s="1" a="1"/>
  <c r="M110" i="2" s="1"/>
  <c r="S110" i="2" s="1"/>
  <c r="I111" i="2"/>
  <c r="M111" i="2" s="1" a="1"/>
  <c r="M111" i="2" s="1"/>
  <c r="S111" i="2" s="1"/>
  <c r="I112" i="2"/>
  <c r="M112" i="2" s="1" a="1"/>
  <c r="M112" i="2" s="1"/>
  <c r="S112" i="2" s="1"/>
  <c r="I113" i="2"/>
  <c r="I114" i="2"/>
  <c r="M114" i="2" s="1" a="1"/>
  <c r="M114" i="2" s="1"/>
  <c r="S114" i="2" s="1"/>
  <c r="I115" i="2"/>
  <c r="M115" i="2" s="1" a="1"/>
  <c r="M115" i="2" s="1"/>
  <c r="S115" i="2" s="1"/>
  <c r="I116" i="2"/>
  <c r="M116" i="2" s="1" a="1"/>
  <c r="M116" i="2" s="1"/>
  <c r="S116" i="2" s="1"/>
  <c r="I117" i="2"/>
  <c r="M117" i="2" s="1" a="1"/>
  <c r="M117" i="2" s="1"/>
  <c r="S117" i="2" s="1"/>
  <c r="I118" i="2"/>
  <c r="M118" i="2" s="1" a="1"/>
  <c r="M118" i="2" s="1"/>
  <c r="S118" i="2" s="1"/>
  <c r="E117" i="3" s="1"/>
  <c r="I119" i="2"/>
  <c r="N119" i="2" s="1" a="1"/>
  <c r="N119" i="2" s="1"/>
  <c r="I120" i="2"/>
  <c r="M120" i="2" s="1" a="1"/>
  <c r="M120" i="2" s="1"/>
  <c r="S120" i="2" s="1"/>
  <c r="I121" i="2"/>
  <c r="M121" i="2" s="1" a="1"/>
  <c r="M121" i="2" s="1"/>
  <c r="S121" i="2" s="1"/>
  <c r="I122" i="2"/>
  <c r="M122" i="2" s="1" a="1"/>
  <c r="M122" i="2" s="1"/>
  <c r="S122" i="2" s="1"/>
  <c r="I123" i="2"/>
  <c r="M123" i="2" s="1" a="1"/>
  <c r="M123" i="2" s="1"/>
  <c r="S123" i="2" s="1"/>
  <c r="I124" i="2"/>
  <c r="M124" i="2" s="1" a="1"/>
  <c r="M124" i="2" s="1"/>
  <c r="S124" i="2" s="1"/>
  <c r="I125" i="2"/>
  <c r="M125" i="2" s="1" a="1"/>
  <c r="M125" i="2" s="1"/>
  <c r="S125" i="2" s="1"/>
  <c r="I126" i="2"/>
  <c r="M126" i="2" s="1" a="1"/>
  <c r="M126" i="2" s="1"/>
  <c r="S126" i="2" s="1"/>
  <c r="I127" i="2"/>
  <c r="M127" i="2" s="1" a="1"/>
  <c r="M127" i="2" s="1"/>
  <c r="S127" i="2" s="1"/>
  <c r="I128" i="2"/>
  <c r="M128" i="2" s="1" a="1"/>
  <c r="M128" i="2" s="1"/>
  <c r="S128" i="2" s="1"/>
  <c r="I129" i="2"/>
  <c r="M129" i="2" s="1" a="1"/>
  <c r="M129" i="2" s="1"/>
  <c r="S129" i="2" s="1"/>
  <c r="I130" i="2"/>
  <c r="M130" i="2" s="1" a="1"/>
  <c r="M130" i="2" s="1"/>
  <c r="S130" i="2" s="1"/>
  <c r="I131" i="2"/>
  <c r="N131" i="2" s="1" a="1"/>
  <c r="N131" i="2" s="1"/>
  <c r="I132" i="2"/>
  <c r="M132" i="2" s="1" a="1"/>
  <c r="M132" i="2" s="1"/>
  <c r="S132" i="2" s="1"/>
  <c r="I133" i="2"/>
  <c r="M133" i="2" s="1" a="1"/>
  <c r="M133" i="2" s="1"/>
  <c r="I134" i="2"/>
  <c r="M134" i="2" s="1" a="1"/>
  <c r="M134" i="2" s="1"/>
  <c r="S134" i="2" s="1"/>
  <c r="I135" i="2"/>
  <c r="M135" i="2" s="1" a="1"/>
  <c r="M135" i="2" s="1"/>
  <c r="S135" i="2" s="1"/>
  <c r="I136" i="2"/>
  <c r="M136" i="2" s="1" a="1"/>
  <c r="M136" i="2" s="1"/>
  <c r="S136" i="2" s="1"/>
  <c r="I137" i="2"/>
  <c r="I138" i="2"/>
  <c r="M138" i="2" s="1" a="1"/>
  <c r="M138" i="2" s="1"/>
  <c r="S138" i="2" s="1"/>
  <c r="I139" i="2"/>
  <c r="M139" i="2" s="1" a="1"/>
  <c r="M139" i="2" s="1"/>
  <c r="S139" i="2" s="1"/>
  <c r="I140" i="2"/>
  <c r="M140" i="2" s="1" a="1"/>
  <c r="M140" i="2" s="1"/>
  <c r="S140" i="2" s="1"/>
  <c r="I141" i="2"/>
  <c r="M141" i="2" s="1" a="1"/>
  <c r="M141" i="2" s="1"/>
  <c r="S141" i="2" s="1"/>
  <c r="I142" i="2"/>
  <c r="M142" i="2" s="1" a="1"/>
  <c r="M142" i="2" s="1"/>
  <c r="S142" i="2" s="1"/>
  <c r="I143" i="2"/>
  <c r="N143" i="2" s="1" a="1"/>
  <c r="N143" i="2" s="1"/>
  <c r="I144" i="2"/>
  <c r="M144" i="2" s="1" a="1"/>
  <c r="M144" i="2" s="1"/>
  <c r="S144" i="2" s="1"/>
  <c r="I145" i="2"/>
  <c r="M145" i="2" s="1" a="1"/>
  <c r="M145" i="2" s="1"/>
  <c r="S145" i="2" s="1"/>
  <c r="I146" i="2"/>
  <c r="M146" i="2" s="1" a="1"/>
  <c r="M146" i="2" s="1"/>
  <c r="S146" i="2" s="1"/>
  <c r="I147" i="2"/>
  <c r="M147" i="2" s="1" a="1"/>
  <c r="M147" i="2" s="1"/>
  <c r="S147" i="2" s="1"/>
  <c r="I148" i="2"/>
  <c r="M148" i="2" s="1" a="1"/>
  <c r="M148" i="2" s="1"/>
  <c r="S148" i="2" s="1"/>
  <c r="I149" i="2"/>
  <c r="M149" i="2" s="1" a="1"/>
  <c r="M149" i="2" s="1"/>
  <c r="S149" i="2" s="1"/>
  <c r="I150" i="2"/>
  <c r="M150" i="2" s="1" a="1"/>
  <c r="M150" i="2" s="1"/>
  <c r="S150" i="2" s="1"/>
  <c r="I151" i="2"/>
  <c r="M151" i="2" s="1" a="1"/>
  <c r="M151" i="2" s="1"/>
  <c r="S151" i="2" s="1"/>
  <c r="I152" i="2"/>
  <c r="N152" i="2" s="1" a="1"/>
  <c r="N152" i="2" s="1"/>
  <c r="I153" i="2"/>
  <c r="M153" i="2" s="1" a="1"/>
  <c r="M153" i="2" s="1"/>
  <c r="S153" i="2" s="1"/>
  <c r="I154" i="2"/>
  <c r="M154" i="2" s="1" a="1"/>
  <c r="M154" i="2" s="1"/>
  <c r="S154" i="2" s="1"/>
  <c r="I155" i="2"/>
  <c r="N155" i="2" s="1" a="1"/>
  <c r="N155" i="2" s="1"/>
  <c r="I156" i="2"/>
  <c r="M156" i="2" s="1" a="1"/>
  <c r="M156" i="2" s="1"/>
  <c r="S156" i="2" s="1"/>
  <c r="I157" i="2"/>
  <c r="M157" i="2" s="1" a="1"/>
  <c r="M157" i="2" s="1"/>
  <c r="S157" i="2" s="1"/>
  <c r="I158" i="2"/>
  <c r="M158" i="2" s="1" a="1"/>
  <c r="M158" i="2" s="1"/>
  <c r="S158" i="2" s="1"/>
  <c r="I159" i="2"/>
  <c r="M159" i="2" s="1" a="1"/>
  <c r="M159" i="2" s="1"/>
  <c r="S159" i="2" s="1"/>
  <c r="I160" i="2"/>
  <c r="M160" i="2" s="1" a="1"/>
  <c r="M160" i="2" s="1"/>
  <c r="S160" i="2" s="1"/>
  <c r="I161" i="2"/>
  <c r="I162" i="2"/>
  <c r="N162" i="2" s="1" a="1"/>
  <c r="N162" i="2" s="1"/>
  <c r="I163" i="2"/>
  <c r="M163" i="2" s="1" a="1"/>
  <c r="M163" i="2" s="1"/>
  <c r="S163" i="2" s="1"/>
  <c r="I164" i="2"/>
  <c r="M164" i="2" s="1" a="1"/>
  <c r="M164" i="2" s="1"/>
  <c r="S164" i="2" s="1"/>
  <c r="I165" i="2"/>
  <c r="M165" i="2" s="1" a="1"/>
  <c r="M165" i="2" s="1"/>
  <c r="S165" i="2" s="1"/>
  <c r="I166" i="2"/>
  <c r="N166" i="2" s="1" a="1"/>
  <c r="N166" i="2" s="1"/>
  <c r="I167" i="2"/>
  <c r="N167" i="2" s="1" a="1"/>
  <c r="N167" i="2" s="1"/>
  <c r="I168" i="2"/>
  <c r="M168" i="2" s="1" a="1"/>
  <c r="M168" i="2" s="1"/>
  <c r="S168" i="2" s="1"/>
  <c r="I169" i="2"/>
  <c r="M169" i="2" s="1" a="1"/>
  <c r="M169" i="2" s="1"/>
  <c r="S169" i="2" s="1"/>
  <c r="I170" i="2"/>
  <c r="M170" i="2" s="1" a="1"/>
  <c r="M170" i="2" s="1"/>
  <c r="S170" i="2" s="1"/>
  <c r="I171" i="2"/>
  <c r="M171" i="2" s="1" a="1"/>
  <c r="M171" i="2" s="1"/>
  <c r="S171" i="2" s="1"/>
  <c r="I172" i="2"/>
  <c r="M172" i="2" s="1" a="1"/>
  <c r="M172" i="2" s="1"/>
  <c r="S172" i="2" s="1"/>
  <c r="I173" i="2"/>
  <c r="M173" i="2" s="1" a="1"/>
  <c r="M173" i="2" s="1"/>
  <c r="S173" i="2" s="1"/>
  <c r="I174" i="2"/>
  <c r="M174" i="2" s="1" a="1"/>
  <c r="M174" i="2" s="1"/>
  <c r="S174" i="2" s="1"/>
  <c r="I175" i="2"/>
  <c r="M175" i="2" s="1" a="1"/>
  <c r="M175" i="2" s="1"/>
  <c r="S175" i="2" s="1"/>
  <c r="I176" i="2"/>
  <c r="M176" i="2" s="1" a="1"/>
  <c r="M176" i="2" s="1"/>
  <c r="S176" i="2" s="1"/>
  <c r="I177" i="2"/>
  <c r="M177" i="2" s="1" a="1"/>
  <c r="M177" i="2" s="1"/>
  <c r="S177" i="2" s="1"/>
  <c r="I178" i="2"/>
  <c r="M178" i="2" s="1" a="1"/>
  <c r="M178" i="2" s="1"/>
  <c r="S178" i="2" s="1"/>
  <c r="I179" i="2"/>
  <c r="N179" i="2" s="1" a="1"/>
  <c r="N179" i="2" s="1"/>
  <c r="I180" i="2"/>
  <c r="M180" i="2" s="1" a="1"/>
  <c r="M180" i="2" s="1"/>
  <c r="S180" i="2" s="1"/>
  <c r="I181" i="2"/>
  <c r="M181" i="2" s="1" a="1"/>
  <c r="M181" i="2" s="1"/>
  <c r="S181" i="2" s="1"/>
  <c r="I182" i="2"/>
  <c r="M182" i="2" s="1" a="1"/>
  <c r="M182" i="2" s="1"/>
  <c r="S182" i="2" s="1"/>
  <c r="I183" i="2"/>
  <c r="M183" i="2" s="1" a="1"/>
  <c r="M183" i="2" s="1"/>
  <c r="S183" i="2" s="1"/>
  <c r="I184" i="2"/>
  <c r="M184" i="2" s="1" a="1"/>
  <c r="M184" i="2" s="1"/>
  <c r="S184" i="2" s="1"/>
  <c r="I185" i="2"/>
  <c r="I186" i="2"/>
  <c r="N186" i="2" s="1" a="1"/>
  <c r="N186" i="2" s="1"/>
  <c r="I187" i="2"/>
  <c r="N187" i="2" s="1" a="1"/>
  <c r="N187" i="2" s="1"/>
  <c r="I188" i="2"/>
  <c r="M188" i="2" s="1" a="1"/>
  <c r="M188" i="2" s="1"/>
  <c r="S188" i="2" s="1"/>
  <c r="I189" i="2"/>
  <c r="N189" i="2" s="1" a="1"/>
  <c r="N189" i="2" s="1"/>
  <c r="I190" i="2"/>
  <c r="N190" i="2" s="1" a="1"/>
  <c r="N190" i="2" s="1"/>
  <c r="I191" i="2"/>
  <c r="N191" i="2" s="1" a="1"/>
  <c r="N191" i="2" s="1"/>
  <c r="I192" i="2"/>
  <c r="M192" i="2" s="1" a="1"/>
  <c r="M192" i="2" s="1"/>
  <c r="S192" i="2" s="1"/>
  <c r="I193" i="2"/>
  <c r="M193" i="2" s="1" a="1"/>
  <c r="M193" i="2" s="1"/>
  <c r="S193" i="2" s="1"/>
  <c r="I194" i="2"/>
  <c r="M194" i="2" s="1" a="1"/>
  <c r="M194" i="2" s="1"/>
  <c r="I195" i="2"/>
  <c r="M195" i="2" s="1" a="1"/>
  <c r="M195" i="2" s="1"/>
  <c r="S195" i="2" s="1"/>
  <c r="I196" i="2"/>
  <c r="M196" i="2" s="1" a="1"/>
  <c r="M196" i="2" s="1"/>
  <c r="S196" i="2" s="1"/>
  <c r="I197" i="2"/>
  <c r="M197" i="2" s="1" a="1"/>
  <c r="M197" i="2" s="1"/>
  <c r="S197" i="2" s="1"/>
  <c r="I198" i="2"/>
  <c r="M198" i="2" s="1" a="1"/>
  <c r="M198" i="2" s="1"/>
  <c r="S198" i="2" s="1"/>
  <c r="I199" i="2"/>
  <c r="M199" i="2" s="1" a="1"/>
  <c r="M199" i="2" s="1"/>
  <c r="S199" i="2" s="1"/>
  <c r="I200" i="2"/>
  <c r="M200" i="2" s="1" a="1"/>
  <c r="M200" i="2" s="1"/>
  <c r="S200" i="2" s="1"/>
  <c r="I2" i="2"/>
  <c r="M2" i="2" s="1" a="1"/>
  <c r="M2" i="2" s="1"/>
  <c r="AA188" i="7"/>
  <c r="AA4" i="7"/>
  <c r="AA5" i="7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25" i="7"/>
  <c r="AA26" i="7"/>
  <c r="AA27" i="7"/>
  <c r="AA28" i="7"/>
  <c r="AA29" i="7"/>
  <c r="AA30" i="7"/>
  <c r="AA31" i="7"/>
  <c r="AA32" i="7"/>
  <c r="AA33" i="7"/>
  <c r="AA34" i="7"/>
  <c r="AA35" i="7"/>
  <c r="AA36" i="7"/>
  <c r="AA37" i="7"/>
  <c r="AA38" i="7"/>
  <c r="AA39" i="7"/>
  <c r="AA40" i="7"/>
  <c r="AA41" i="7"/>
  <c r="AA42" i="7"/>
  <c r="AA43" i="7"/>
  <c r="AA44" i="7"/>
  <c r="AA45" i="7"/>
  <c r="AA46" i="7"/>
  <c r="AA47" i="7"/>
  <c r="AA48" i="7"/>
  <c r="AA49" i="7"/>
  <c r="AA50" i="7"/>
  <c r="AA51" i="7"/>
  <c r="AA52" i="7"/>
  <c r="AA53" i="7"/>
  <c r="AA54" i="7"/>
  <c r="AA55" i="7"/>
  <c r="AA56" i="7"/>
  <c r="AA57" i="7"/>
  <c r="AA58" i="7"/>
  <c r="AA59" i="7"/>
  <c r="AA60" i="7"/>
  <c r="AA61" i="7"/>
  <c r="AA62" i="7"/>
  <c r="AA63" i="7"/>
  <c r="AA64" i="7"/>
  <c r="AA65" i="7"/>
  <c r="AA66" i="7"/>
  <c r="AA67" i="7"/>
  <c r="AA68" i="7"/>
  <c r="AA69" i="7"/>
  <c r="AA70" i="7"/>
  <c r="AA71" i="7"/>
  <c r="AA72" i="7"/>
  <c r="AA73" i="7"/>
  <c r="AA74" i="7"/>
  <c r="AA75" i="7"/>
  <c r="AA76" i="7"/>
  <c r="AA77" i="7"/>
  <c r="AA78" i="7"/>
  <c r="AA79" i="7"/>
  <c r="AA80" i="7"/>
  <c r="AA81" i="7"/>
  <c r="AA82" i="7"/>
  <c r="AA83" i="7"/>
  <c r="AA84" i="7"/>
  <c r="AA85" i="7"/>
  <c r="AA86" i="7"/>
  <c r="AA87" i="7"/>
  <c r="AA88" i="7"/>
  <c r="AA89" i="7"/>
  <c r="AA90" i="7"/>
  <c r="AA91" i="7"/>
  <c r="AA92" i="7"/>
  <c r="AA93" i="7"/>
  <c r="AA94" i="7"/>
  <c r="AA95" i="7"/>
  <c r="AA96" i="7"/>
  <c r="AA97" i="7"/>
  <c r="AA98" i="7"/>
  <c r="AA99" i="7"/>
  <c r="AA100" i="7"/>
  <c r="AA101" i="7"/>
  <c r="AA102" i="7"/>
  <c r="AA103" i="7"/>
  <c r="AA104" i="7"/>
  <c r="AA105" i="7"/>
  <c r="AA106" i="7"/>
  <c r="AA107" i="7"/>
  <c r="AA108" i="7"/>
  <c r="AA109" i="7"/>
  <c r="AA110" i="7"/>
  <c r="AA111" i="7"/>
  <c r="AA112" i="7"/>
  <c r="AA113" i="7"/>
  <c r="AA114" i="7"/>
  <c r="AA115" i="7"/>
  <c r="AA116" i="7"/>
  <c r="AA117" i="7"/>
  <c r="AA118" i="7"/>
  <c r="AA119" i="7"/>
  <c r="AA120" i="7"/>
  <c r="AA121" i="7"/>
  <c r="AA122" i="7"/>
  <c r="AA123" i="7"/>
  <c r="AA124" i="7"/>
  <c r="AA125" i="7"/>
  <c r="AA126" i="7"/>
  <c r="AA127" i="7"/>
  <c r="AA128" i="7"/>
  <c r="AA129" i="7"/>
  <c r="AA130" i="7"/>
  <c r="AA131" i="7"/>
  <c r="AA132" i="7"/>
  <c r="AA133" i="7"/>
  <c r="AA134" i="7"/>
  <c r="AA135" i="7"/>
  <c r="AA136" i="7"/>
  <c r="AA137" i="7"/>
  <c r="AA138" i="7"/>
  <c r="AA139" i="7"/>
  <c r="AA140" i="7"/>
  <c r="AA141" i="7"/>
  <c r="AA142" i="7"/>
  <c r="AA143" i="7"/>
  <c r="AA144" i="7"/>
  <c r="AA145" i="7"/>
  <c r="AA146" i="7"/>
  <c r="AA147" i="7"/>
  <c r="AA148" i="7"/>
  <c r="AA149" i="7"/>
  <c r="AA150" i="7"/>
  <c r="AA151" i="7"/>
  <c r="AA152" i="7"/>
  <c r="AA153" i="7"/>
  <c r="AA154" i="7"/>
  <c r="AA155" i="7"/>
  <c r="AA156" i="7"/>
  <c r="AA157" i="7"/>
  <c r="AA158" i="7"/>
  <c r="AA159" i="7"/>
  <c r="AA160" i="7"/>
  <c r="AA161" i="7"/>
  <c r="AA162" i="7"/>
  <c r="AA163" i="7"/>
  <c r="AA164" i="7"/>
  <c r="AA165" i="7"/>
  <c r="AA166" i="7"/>
  <c r="AA167" i="7"/>
  <c r="AA168" i="7"/>
  <c r="AA169" i="7"/>
  <c r="AA170" i="7"/>
  <c r="AA171" i="7"/>
  <c r="AA172" i="7"/>
  <c r="AA173" i="7"/>
  <c r="AA174" i="7"/>
  <c r="AA175" i="7"/>
  <c r="AA176" i="7"/>
  <c r="AA177" i="7"/>
  <c r="AA178" i="7"/>
  <c r="AA179" i="7"/>
  <c r="AA180" i="7"/>
  <c r="AA181" i="7"/>
  <c r="AA182" i="7"/>
  <c r="AA183" i="7"/>
  <c r="AA184" i="7"/>
  <c r="AA185" i="7"/>
  <c r="AA186" i="7"/>
  <c r="AA187" i="7"/>
  <c r="AA3" i="7"/>
  <c r="AA2" i="7"/>
  <c r="Z188" i="7"/>
  <c r="Z4" i="7"/>
  <c r="Z5" i="7"/>
  <c r="Z6" i="7"/>
  <c r="Z7" i="7"/>
  <c r="Z8" i="7"/>
  <c r="Z9" i="7"/>
  <c r="Z10" i="7"/>
  <c r="Z11" i="7"/>
  <c r="Z12" i="7"/>
  <c r="Z13" i="7"/>
  <c r="Z14" i="7"/>
  <c r="Z15" i="7"/>
  <c r="Z16" i="7"/>
  <c r="Z17" i="7"/>
  <c r="Z18" i="7"/>
  <c r="Z19" i="7"/>
  <c r="Z20" i="7"/>
  <c r="Z21" i="7"/>
  <c r="Z22" i="7"/>
  <c r="Z23" i="7"/>
  <c r="Z24" i="7"/>
  <c r="Z25" i="7"/>
  <c r="Z26" i="7"/>
  <c r="Z27" i="7"/>
  <c r="Z28" i="7"/>
  <c r="Z29" i="7"/>
  <c r="Z30" i="7"/>
  <c r="Z31" i="7"/>
  <c r="Z32" i="7"/>
  <c r="Z33" i="7"/>
  <c r="Z34" i="7"/>
  <c r="Z35" i="7"/>
  <c r="Z36" i="7"/>
  <c r="Z37" i="7"/>
  <c r="Z38" i="7"/>
  <c r="Z39" i="7"/>
  <c r="Z40" i="7"/>
  <c r="Z41" i="7"/>
  <c r="Z42" i="7"/>
  <c r="Z43" i="7"/>
  <c r="Z44" i="7"/>
  <c r="Z45" i="7"/>
  <c r="Z46" i="7"/>
  <c r="Z47" i="7"/>
  <c r="Z48" i="7"/>
  <c r="Z49" i="7"/>
  <c r="Z50" i="7"/>
  <c r="Z51" i="7"/>
  <c r="Z52" i="7"/>
  <c r="Z53" i="7"/>
  <c r="Z54" i="7"/>
  <c r="Z55" i="7"/>
  <c r="Z56" i="7"/>
  <c r="Z57" i="7"/>
  <c r="Z58" i="7"/>
  <c r="Z59" i="7"/>
  <c r="Z60" i="7"/>
  <c r="Z61" i="7"/>
  <c r="Z62" i="7"/>
  <c r="Z63" i="7"/>
  <c r="Z64" i="7"/>
  <c r="Z65" i="7"/>
  <c r="Z66" i="7"/>
  <c r="Z67" i="7"/>
  <c r="Z68" i="7"/>
  <c r="Z69" i="7"/>
  <c r="Z70" i="7"/>
  <c r="Z71" i="7"/>
  <c r="Z72" i="7"/>
  <c r="Z73" i="7"/>
  <c r="Z74" i="7"/>
  <c r="Z75" i="7"/>
  <c r="Z76" i="7"/>
  <c r="Z77" i="7"/>
  <c r="Z78" i="7"/>
  <c r="Z79" i="7"/>
  <c r="Z80" i="7"/>
  <c r="Z81" i="7"/>
  <c r="Z82" i="7"/>
  <c r="Z83" i="7"/>
  <c r="Z84" i="7"/>
  <c r="Z85" i="7"/>
  <c r="Z86" i="7"/>
  <c r="Z87" i="7"/>
  <c r="Z88" i="7"/>
  <c r="Z89" i="7"/>
  <c r="Z90" i="7"/>
  <c r="Z91" i="7"/>
  <c r="Z92" i="7"/>
  <c r="Z93" i="7"/>
  <c r="Z94" i="7"/>
  <c r="Z95" i="7"/>
  <c r="Z96" i="7"/>
  <c r="Z97" i="7"/>
  <c r="Z98" i="7"/>
  <c r="Z99" i="7"/>
  <c r="Z100" i="7"/>
  <c r="Z101" i="7"/>
  <c r="Z102" i="7"/>
  <c r="Z103" i="7"/>
  <c r="Z104" i="7"/>
  <c r="Z105" i="7"/>
  <c r="Z106" i="7"/>
  <c r="Z107" i="7"/>
  <c r="Z108" i="7"/>
  <c r="Z109" i="7"/>
  <c r="Z110" i="7"/>
  <c r="Z111" i="7"/>
  <c r="Z112" i="7"/>
  <c r="Z113" i="7"/>
  <c r="Z114" i="7"/>
  <c r="Z115" i="7"/>
  <c r="Z116" i="7"/>
  <c r="Z117" i="7"/>
  <c r="Z118" i="7"/>
  <c r="Z119" i="7"/>
  <c r="Z120" i="7"/>
  <c r="Z121" i="7"/>
  <c r="Z122" i="7"/>
  <c r="Z123" i="7"/>
  <c r="Z124" i="7"/>
  <c r="Z125" i="7"/>
  <c r="Z126" i="7"/>
  <c r="Z127" i="7"/>
  <c r="Z128" i="7"/>
  <c r="Z129" i="7"/>
  <c r="Z130" i="7"/>
  <c r="Z131" i="7"/>
  <c r="Z132" i="7"/>
  <c r="Z133" i="7"/>
  <c r="Z134" i="7"/>
  <c r="Z135" i="7"/>
  <c r="Z136" i="7"/>
  <c r="Z137" i="7"/>
  <c r="Z138" i="7"/>
  <c r="Z139" i="7"/>
  <c r="Z140" i="7"/>
  <c r="Z141" i="7"/>
  <c r="Z142" i="7"/>
  <c r="Z143" i="7"/>
  <c r="Z144" i="7"/>
  <c r="Z145" i="7"/>
  <c r="Z146" i="7"/>
  <c r="Z147" i="7"/>
  <c r="Z148" i="7"/>
  <c r="Z149" i="7"/>
  <c r="Z150" i="7"/>
  <c r="Z151" i="7"/>
  <c r="Z152" i="7"/>
  <c r="Z153" i="7"/>
  <c r="Z154" i="7"/>
  <c r="Z155" i="7"/>
  <c r="Z156" i="7"/>
  <c r="Z157" i="7"/>
  <c r="Z158" i="7"/>
  <c r="Z159" i="7"/>
  <c r="Z160" i="7"/>
  <c r="Z161" i="7"/>
  <c r="Z162" i="7"/>
  <c r="Z163" i="7"/>
  <c r="Z164" i="7"/>
  <c r="Z165" i="7"/>
  <c r="Z166" i="7"/>
  <c r="Z167" i="7"/>
  <c r="Z168" i="7"/>
  <c r="Z169" i="7"/>
  <c r="Z170" i="7"/>
  <c r="Z171" i="7"/>
  <c r="Z172" i="7"/>
  <c r="Z173" i="7"/>
  <c r="Z174" i="7"/>
  <c r="Z175" i="7"/>
  <c r="Z176" i="7"/>
  <c r="Z177" i="7"/>
  <c r="Z178" i="7"/>
  <c r="Z179" i="7"/>
  <c r="Z180" i="7"/>
  <c r="Z181" i="7"/>
  <c r="Z182" i="7"/>
  <c r="Z183" i="7"/>
  <c r="Z184" i="7"/>
  <c r="Z185" i="7"/>
  <c r="Z186" i="7"/>
  <c r="Z187" i="7"/>
  <c r="Z3" i="7"/>
  <c r="Z2" i="7"/>
  <c r="Z199" i="5"/>
  <c r="Z4" i="5"/>
  <c r="Z5" i="5"/>
  <c r="Z6" i="5"/>
  <c r="Z7" i="5"/>
  <c r="Z8" i="5"/>
  <c r="Z9" i="5"/>
  <c r="Z10" i="5"/>
  <c r="Z11" i="5"/>
  <c r="Z12" i="5"/>
  <c r="Z13" i="5"/>
  <c r="Z14" i="5"/>
  <c r="Z15" i="5"/>
  <c r="Z16" i="5"/>
  <c r="Z17" i="5"/>
  <c r="Z18" i="5"/>
  <c r="Z19" i="5"/>
  <c r="Z20" i="5"/>
  <c r="Z21" i="5"/>
  <c r="Z22" i="5"/>
  <c r="Z23" i="5"/>
  <c r="Z24" i="5"/>
  <c r="Z25" i="5"/>
  <c r="Z26" i="5"/>
  <c r="Z27" i="5"/>
  <c r="Z28" i="5"/>
  <c r="Z29" i="5"/>
  <c r="Z30" i="5"/>
  <c r="Z31" i="5"/>
  <c r="Z32" i="5"/>
  <c r="Z33" i="5"/>
  <c r="Z34" i="5"/>
  <c r="Z35" i="5"/>
  <c r="Z36" i="5"/>
  <c r="Z37" i="5"/>
  <c r="Z38" i="5"/>
  <c r="Z39" i="5"/>
  <c r="Z40" i="5"/>
  <c r="Z41" i="5"/>
  <c r="Z42" i="5"/>
  <c r="Z43" i="5"/>
  <c r="Z44" i="5"/>
  <c r="Z45" i="5"/>
  <c r="Z46" i="5"/>
  <c r="Z47" i="5"/>
  <c r="Z48" i="5"/>
  <c r="Z49" i="5"/>
  <c r="Z50" i="5"/>
  <c r="Z51" i="5"/>
  <c r="Z52" i="5"/>
  <c r="Z53" i="5"/>
  <c r="Z54" i="5"/>
  <c r="Z55" i="5"/>
  <c r="Z56" i="5"/>
  <c r="Z57" i="5"/>
  <c r="Z58" i="5"/>
  <c r="Z59" i="5"/>
  <c r="Z60" i="5"/>
  <c r="Z61" i="5"/>
  <c r="Z62" i="5"/>
  <c r="Z63" i="5"/>
  <c r="Z64" i="5"/>
  <c r="Z65" i="5"/>
  <c r="Z66" i="5"/>
  <c r="Z67" i="5"/>
  <c r="Z68" i="5"/>
  <c r="Z69" i="5"/>
  <c r="Z70" i="5"/>
  <c r="Z71" i="5"/>
  <c r="Z72" i="5"/>
  <c r="Z73" i="5"/>
  <c r="Z74" i="5"/>
  <c r="Z75" i="5"/>
  <c r="Z76" i="5"/>
  <c r="Z77" i="5"/>
  <c r="Z78" i="5"/>
  <c r="Z79" i="5"/>
  <c r="Z80" i="5"/>
  <c r="Z81" i="5"/>
  <c r="Z82" i="5"/>
  <c r="Z83" i="5"/>
  <c r="Z84" i="5"/>
  <c r="Z85" i="5"/>
  <c r="Z86" i="5"/>
  <c r="Z87" i="5"/>
  <c r="Z88" i="5"/>
  <c r="Z89" i="5"/>
  <c r="Z90" i="5"/>
  <c r="Z91" i="5"/>
  <c r="Z92" i="5"/>
  <c r="Z93" i="5"/>
  <c r="Z94" i="5"/>
  <c r="Z95" i="5"/>
  <c r="Z96" i="5"/>
  <c r="Z97" i="5"/>
  <c r="Z98" i="5"/>
  <c r="Z99" i="5"/>
  <c r="Z100" i="5"/>
  <c r="Z101" i="5"/>
  <c r="Z102" i="5"/>
  <c r="Z103" i="5"/>
  <c r="Z104" i="5"/>
  <c r="Z105" i="5"/>
  <c r="Z106" i="5"/>
  <c r="Z107" i="5"/>
  <c r="Z108" i="5"/>
  <c r="Z109" i="5"/>
  <c r="Z110" i="5"/>
  <c r="Z111" i="5"/>
  <c r="Z112" i="5"/>
  <c r="Z113" i="5"/>
  <c r="Z114" i="5"/>
  <c r="Z115" i="5"/>
  <c r="Z116" i="5"/>
  <c r="Z117" i="5"/>
  <c r="Z118" i="5"/>
  <c r="Z119" i="5"/>
  <c r="Z120" i="5"/>
  <c r="Z121" i="5"/>
  <c r="Z122" i="5"/>
  <c r="Z123" i="5"/>
  <c r="Z124" i="5"/>
  <c r="Z125" i="5"/>
  <c r="Z126" i="5"/>
  <c r="Z127" i="5"/>
  <c r="Z128" i="5"/>
  <c r="Z129" i="5"/>
  <c r="Z130" i="5"/>
  <c r="Z131" i="5"/>
  <c r="Z132" i="5"/>
  <c r="Z133" i="5"/>
  <c r="Z134" i="5"/>
  <c r="Z135" i="5"/>
  <c r="Z136" i="5"/>
  <c r="Z137" i="5"/>
  <c r="Z138" i="5"/>
  <c r="Z139" i="5"/>
  <c r="Z140" i="5"/>
  <c r="Z141" i="5"/>
  <c r="Z142" i="5"/>
  <c r="Z143" i="5"/>
  <c r="Z144" i="5"/>
  <c r="Z145" i="5"/>
  <c r="Z146" i="5"/>
  <c r="Z147" i="5"/>
  <c r="Z148" i="5"/>
  <c r="Z149" i="5"/>
  <c r="Z150" i="5"/>
  <c r="Z151" i="5"/>
  <c r="Z152" i="5"/>
  <c r="Z153" i="5"/>
  <c r="Z154" i="5"/>
  <c r="Z155" i="5"/>
  <c r="Z156" i="5"/>
  <c r="Z157" i="5"/>
  <c r="Z158" i="5"/>
  <c r="Z159" i="5"/>
  <c r="Z160" i="5"/>
  <c r="Z161" i="5"/>
  <c r="Z162" i="5"/>
  <c r="Z163" i="5"/>
  <c r="Z164" i="5"/>
  <c r="Z165" i="5"/>
  <c r="Z166" i="5"/>
  <c r="Z167" i="5"/>
  <c r="Z168" i="5"/>
  <c r="Z169" i="5"/>
  <c r="Z170" i="5"/>
  <c r="Z171" i="5"/>
  <c r="Z172" i="5"/>
  <c r="Z173" i="5"/>
  <c r="Z174" i="5"/>
  <c r="Z175" i="5"/>
  <c r="Z176" i="5"/>
  <c r="Z177" i="5"/>
  <c r="Z178" i="5"/>
  <c r="Z179" i="5"/>
  <c r="Z180" i="5"/>
  <c r="Z181" i="5"/>
  <c r="Z182" i="5"/>
  <c r="Z183" i="5"/>
  <c r="Z184" i="5"/>
  <c r="Z185" i="5"/>
  <c r="Z186" i="5"/>
  <c r="Z187" i="5"/>
  <c r="Z188" i="5"/>
  <c r="Z189" i="5"/>
  <c r="Z190" i="5"/>
  <c r="Z191" i="5"/>
  <c r="Z192" i="5"/>
  <c r="Z193" i="5"/>
  <c r="Z194" i="5"/>
  <c r="Z195" i="5"/>
  <c r="Z196" i="5"/>
  <c r="Z197" i="5"/>
  <c r="Z198" i="5"/>
  <c r="Z3" i="5"/>
  <c r="Z2" i="5"/>
  <c r="D191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6" i="8"/>
  <c r="D5" i="8"/>
  <c r="R3" i="7"/>
  <c r="R4" i="7"/>
  <c r="R5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85" i="7"/>
  <c r="R86" i="7"/>
  <c r="R87" i="7"/>
  <c r="R88" i="7"/>
  <c r="R89" i="7"/>
  <c r="R90" i="7"/>
  <c r="R91" i="7"/>
  <c r="R92" i="7"/>
  <c r="R93" i="7"/>
  <c r="R94" i="7"/>
  <c r="R95" i="7"/>
  <c r="R96" i="7"/>
  <c r="R97" i="7"/>
  <c r="R98" i="7"/>
  <c r="R99" i="7"/>
  <c r="R100" i="7"/>
  <c r="R101" i="7"/>
  <c r="R102" i="7"/>
  <c r="R103" i="7"/>
  <c r="R104" i="7"/>
  <c r="R105" i="7"/>
  <c r="R106" i="7"/>
  <c r="R107" i="7"/>
  <c r="R108" i="7"/>
  <c r="R109" i="7"/>
  <c r="R110" i="7"/>
  <c r="R111" i="7"/>
  <c r="R112" i="7"/>
  <c r="R113" i="7"/>
  <c r="R114" i="7"/>
  <c r="R115" i="7"/>
  <c r="R116" i="7"/>
  <c r="R117" i="7"/>
  <c r="R118" i="7"/>
  <c r="R119" i="7"/>
  <c r="R120" i="7"/>
  <c r="R121" i="7"/>
  <c r="R122" i="7"/>
  <c r="R123" i="7"/>
  <c r="R124" i="7"/>
  <c r="R125" i="7"/>
  <c r="R126" i="7"/>
  <c r="R127" i="7"/>
  <c r="R128" i="7"/>
  <c r="R129" i="7"/>
  <c r="R130" i="7"/>
  <c r="R131" i="7"/>
  <c r="R132" i="7"/>
  <c r="R133" i="7"/>
  <c r="R134" i="7"/>
  <c r="R135" i="7"/>
  <c r="R136" i="7"/>
  <c r="R137" i="7"/>
  <c r="R138" i="7"/>
  <c r="R139" i="7"/>
  <c r="R140" i="7"/>
  <c r="R141" i="7"/>
  <c r="R142" i="7"/>
  <c r="R143" i="7"/>
  <c r="R144" i="7"/>
  <c r="R145" i="7"/>
  <c r="R146" i="7"/>
  <c r="R147" i="7"/>
  <c r="R148" i="7"/>
  <c r="R149" i="7"/>
  <c r="R150" i="7"/>
  <c r="R151" i="7"/>
  <c r="R152" i="7"/>
  <c r="R153" i="7"/>
  <c r="R154" i="7"/>
  <c r="R155" i="7"/>
  <c r="R156" i="7"/>
  <c r="R157" i="7"/>
  <c r="R158" i="7"/>
  <c r="R159" i="7"/>
  <c r="R160" i="7"/>
  <c r="R161" i="7"/>
  <c r="R162" i="7"/>
  <c r="R163" i="7"/>
  <c r="R164" i="7"/>
  <c r="R165" i="7"/>
  <c r="R166" i="7"/>
  <c r="R167" i="7"/>
  <c r="R168" i="7"/>
  <c r="R169" i="7"/>
  <c r="R170" i="7"/>
  <c r="R171" i="7"/>
  <c r="R172" i="7"/>
  <c r="R173" i="7"/>
  <c r="R174" i="7"/>
  <c r="R175" i="7"/>
  <c r="R176" i="7"/>
  <c r="R177" i="7"/>
  <c r="R178" i="7"/>
  <c r="R179" i="7"/>
  <c r="R180" i="7"/>
  <c r="R181" i="7"/>
  <c r="R182" i="7"/>
  <c r="R183" i="7"/>
  <c r="R184" i="7"/>
  <c r="R185" i="7"/>
  <c r="R186" i="7"/>
  <c r="R187" i="7"/>
  <c r="R188" i="7"/>
  <c r="R2" i="7"/>
  <c r="S3" i="6"/>
  <c r="S4" i="6"/>
  <c r="S5" i="6"/>
  <c r="S6" i="6"/>
  <c r="S7" i="6"/>
  <c r="S8" i="6"/>
  <c r="S9" i="6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S59" i="6"/>
  <c r="S60" i="6"/>
  <c r="S61" i="6"/>
  <c r="S62" i="6"/>
  <c r="S63" i="6"/>
  <c r="S64" i="6"/>
  <c r="S65" i="6"/>
  <c r="S66" i="6"/>
  <c r="S67" i="6"/>
  <c r="S68" i="6"/>
  <c r="S69" i="6"/>
  <c r="S70" i="6"/>
  <c r="S71" i="6"/>
  <c r="S72" i="6"/>
  <c r="S73" i="6"/>
  <c r="S74" i="6"/>
  <c r="S75" i="6"/>
  <c r="S76" i="6"/>
  <c r="S77" i="6"/>
  <c r="S78" i="6"/>
  <c r="S79" i="6"/>
  <c r="S80" i="6"/>
  <c r="S81" i="6"/>
  <c r="S82" i="6"/>
  <c r="S83" i="6"/>
  <c r="S84" i="6"/>
  <c r="S85" i="6"/>
  <c r="S86" i="6"/>
  <c r="S87" i="6"/>
  <c r="S88" i="6"/>
  <c r="S89" i="6"/>
  <c r="S90" i="6"/>
  <c r="S91" i="6"/>
  <c r="S92" i="6"/>
  <c r="S93" i="6"/>
  <c r="S94" i="6"/>
  <c r="S95" i="6"/>
  <c r="S96" i="6"/>
  <c r="S97" i="6"/>
  <c r="S98" i="6"/>
  <c r="S99" i="6"/>
  <c r="S100" i="6"/>
  <c r="S101" i="6"/>
  <c r="S102" i="6"/>
  <c r="S103" i="6"/>
  <c r="S104" i="6"/>
  <c r="S105" i="6"/>
  <c r="S106" i="6"/>
  <c r="S107" i="6"/>
  <c r="S108" i="6"/>
  <c r="S109" i="6"/>
  <c r="S110" i="6"/>
  <c r="S111" i="6"/>
  <c r="S112" i="6"/>
  <c r="S113" i="6"/>
  <c r="S114" i="6"/>
  <c r="S115" i="6"/>
  <c r="S116" i="6"/>
  <c r="S117" i="6"/>
  <c r="S118" i="6"/>
  <c r="S119" i="6"/>
  <c r="S120" i="6"/>
  <c r="S121" i="6"/>
  <c r="S122" i="6"/>
  <c r="S123" i="6"/>
  <c r="S124" i="6"/>
  <c r="S125" i="6"/>
  <c r="S126" i="6"/>
  <c r="S127" i="6"/>
  <c r="S128" i="6"/>
  <c r="S129" i="6"/>
  <c r="S130" i="6"/>
  <c r="S131" i="6"/>
  <c r="S132" i="6"/>
  <c r="S133" i="6"/>
  <c r="S134" i="6"/>
  <c r="S135" i="6"/>
  <c r="S136" i="6"/>
  <c r="S137" i="6"/>
  <c r="S138" i="6"/>
  <c r="S139" i="6"/>
  <c r="S140" i="6"/>
  <c r="S141" i="6"/>
  <c r="S142" i="6"/>
  <c r="S143" i="6"/>
  <c r="S144" i="6"/>
  <c r="S145" i="6"/>
  <c r="S146" i="6"/>
  <c r="S147" i="6"/>
  <c r="S148" i="6"/>
  <c r="S149" i="6"/>
  <c r="S150" i="6"/>
  <c r="S151" i="6"/>
  <c r="S152" i="6"/>
  <c r="S153" i="6"/>
  <c r="S154" i="6"/>
  <c r="S155" i="6"/>
  <c r="S156" i="6"/>
  <c r="S157" i="6"/>
  <c r="S158" i="6"/>
  <c r="S159" i="6"/>
  <c r="S160" i="6"/>
  <c r="S161" i="6"/>
  <c r="S162" i="6"/>
  <c r="S163" i="6"/>
  <c r="S164" i="6"/>
  <c r="S165" i="6"/>
  <c r="S166" i="6"/>
  <c r="S167" i="6"/>
  <c r="S168" i="6"/>
  <c r="S169" i="6"/>
  <c r="S170" i="6"/>
  <c r="S171" i="6"/>
  <c r="S172" i="6"/>
  <c r="S173" i="6"/>
  <c r="S174" i="6"/>
  <c r="S175" i="6"/>
  <c r="S176" i="6"/>
  <c r="S177" i="6"/>
  <c r="S178" i="6"/>
  <c r="S179" i="6"/>
  <c r="S180" i="6"/>
  <c r="S181" i="6"/>
  <c r="S182" i="6"/>
  <c r="S183" i="6"/>
  <c r="S184" i="6"/>
  <c r="S185" i="6"/>
  <c r="S186" i="6"/>
  <c r="S187" i="6"/>
  <c r="S188" i="6"/>
  <c r="S189" i="6"/>
  <c r="S190" i="6"/>
  <c r="S191" i="6"/>
  <c r="S192" i="6"/>
  <c r="S193" i="6"/>
  <c r="S194" i="6"/>
  <c r="S195" i="6"/>
  <c r="S196" i="6"/>
  <c r="S197" i="6"/>
  <c r="S198" i="6"/>
  <c r="S199" i="6"/>
  <c r="S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" i="6"/>
  <c r="AA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C3" i="6"/>
  <c r="AC4" i="6"/>
  <c r="AC5" i="6"/>
  <c r="AC6" i="6"/>
  <c r="AC7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C61" i="6"/>
  <c r="AC62" i="6"/>
  <c r="AC63" i="6"/>
  <c r="AC64" i="6"/>
  <c r="AC65" i="6"/>
  <c r="AC66" i="6"/>
  <c r="AC67" i="6"/>
  <c r="AC68" i="6"/>
  <c r="AC69" i="6"/>
  <c r="AC70" i="6"/>
  <c r="AC71" i="6"/>
  <c r="AC72" i="6"/>
  <c r="AC73" i="6"/>
  <c r="AC74" i="6"/>
  <c r="AC75" i="6"/>
  <c r="AC76" i="6"/>
  <c r="AC77" i="6"/>
  <c r="AC78" i="6"/>
  <c r="AC79" i="6"/>
  <c r="AC80" i="6"/>
  <c r="AC81" i="6"/>
  <c r="AC82" i="6"/>
  <c r="AC83" i="6"/>
  <c r="AC84" i="6"/>
  <c r="AC85" i="6"/>
  <c r="AC86" i="6"/>
  <c r="AC87" i="6"/>
  <c r="AC88" i="6"/>
  <c r="AC89" i="6"/>
  <c r="AC90" i="6"/>
  <c r="AC91" i="6"/>
  <c r="AC92" i="6"/>
  <c r="AC93" i="6"/>
  <c r="AC94" i="6"/>
  <c r="AC95" i="6"/>
  <c r="AC96" i="6"/>
  <c r="AC97" i="6"/>
  <c r="AC98" i="6"/>
  <c r="AC99" i="6"/>
  <c r="AC100" i="6"/>
  <c r="AC101" i="6"/>
  <c r="AC102" i="6"/>
  <c r="AC103" i="6"/>
  <c r="AC104" i="6"/>
  <c r="AC105" i="6"/>
  <c r="AC106" i="6"/>
  <c r="AC107" i="6"/>
  <c r="AC108" i="6"/>
  <c r="AC109" i="6"/>
  <c r="AC110" i="6"/>
  <c r="AC111" i="6"/>
  <c r="AC112" i="6"/>
  <c r="AC113" i="6"/>
  <c r="AC114" i="6"/>
  <c r="AC115" i="6"/>
  <c r="AC116" i="6"/>
  <c r="AC117" i="6"/>
  <c r="AC118" i="6"/>
  <c r="AC119" i="6"/>
  <c r="AC120" i="6"/>
  <c r="AC121" i="6"/>
  <c r="AC122" i="6"/>
  <c r="AC123" i="6"/>
  <c r="AC124" i="6"/>
  <c r="AC125" i="6"/>
  <c r="AC126" i="6"/>
  <c r="AC127" i="6"/>
  <c r="AC128" i="6"/>
  <c r="AC129" i="6"/>
  <c r="AC130" i="6"/>
  <c r="AC131" i="6"/>
  <c r="AC132" i="6"/>
  <c r="AC133" i="6"/>
  <c r="AC134" i="6"/>
  <c r="AC135" i="6"/>
  <c r="AC136" i="6"/>
  <c r="AC137" i="6"/>
  <c r="AC138" i="6"/>
  <c r="AC139" i="6"/>
  <c r="AC140" i="6"/>
  <c r="AC141" i="6"/>
  <c r="AC142" i="6"/>
  <c r="AC143" i="6"/>
  <c r="AC144" i="6"/>
  <c r="AC145" i="6"/>
  <c r="AC146" i="6"/>
  <c r="AC147" i="6"/>
  <c r="AC148" i="6"/>
  <c r="AC149" i="6"/>
  <c r="AC150" i="6"/>
  <c r="AC151" i="6"/>
  <c r="AC152" i="6"/>
  <c r="AC153" i="6"/>
  <c r="AC154" i="6"/>
  <c r="AC155" i="6"/>
  <c r="AC156" i="6"/>
  <c r="AC157" i="6"/>
  <c r="AC158" i="6"/>
  <c r="AC159" i="6"/>
  <c r="AC160" i="6"/>
  <c r="AC161" i="6"/>
  <c r="AC162" i="6"/>
  <c r="AC163" i="6"/>
  <c r="AC164" i="6"/>
  <c r="AC165" i="6"/>
  <c r="AC166" i="6"/>
  <c r="AC167" i="6"/>
  <c r="AC168" i="6"/>
  <c r="AC169" i="6"/>
  <c r="AC170" i="6"/>
  <c r="AC171" i="6"/>
  <c r="AC172" i="6"/>
  <c r="AC173" i="6"/>
  <c r="AC174" i="6"/>
  <c r="AC175" i="6"/>
  <c r="AC176" i="6"/>
  <c r="AC177" i="6"/>
  <c r="AC178" i="6"/>
  <c r="AC179" i="6"/>
  <c r="AC180" i="6"/>
  <c r="AC181" i="6"/>
  <c r="AC182" i="6"/>
  <c r="AC183" i="6"/>
  <c r="AC184" i="6"/>
  <c r="AC185" i="6"/>
  <c r="AC186" i="6"/>
  <c r="AC187" i="6"/>
  <c r="AC188" i="6"/>
  <c r="AC189" i="6"/>
  <c r="AC190" i="6"/>
  <c r="AC191" i="6"/>
  <c r="AC192" i="6"/>
  <c r="AC193" i="6"/>
  <c r="AC194" i="6"/>
  <c r="AC195" i="6"/>
  <c r="AC196" i="6"/>
  <c r="AC197" i="6"/>
  <c r="AC198" i="6"/>
  <c r="AC199" i="6"/>
  <c r="AA3" i="6"/>
  <c r="AD3" i="6" s="1"/>
  <c r="AA4" i="6"/>
  <c r="AD4" i="6" s="1"/>
  <c r="AA5" i="6"/>
  <c r="AD5" i="6" s="1"/>
  <c r="AA6" i="6"/>
  <c r="AD6" i="6" s="1"/>
  <c r="AA7" i="6"/>
  <c r="AD7" i="6" s="1"/>
  <c r="AA8" i="6"/>
  <c r="AD8" i="6" s="1"/>
  <c r="AA9" i="6"/>
  <c r="AD9" i="6" s="1"/>
  <c r="AA10" i="6"/>
  <c r="AD10" i="6" s="1"/>
  <c r="AA11" i="6"/>
  <c r="AD11" i="6" s="1"/>
  <c r="AA12" i="6"/>
  <c r="AD12" i="6" s="1"/>
  <c r="AA13" i="6"/>
  <c r="AD13" i="6" s="1"/>
  <c r="AA14" i="6"/>
  <c r="AD14" i="6" s="1"/>
  <c r="AA15" i="6"/>
  <c r="AD15" i="6" s="1"/>
  <c r="AA16" i="6"/>
  <c r="AD16" i="6" s="1"/>
  <c r="AA17" i="6"/>
  <c r="AD17" i="6" s="1"/>
  <c r="AA18" i="6"/>
  <c r="AD18" i="6" s="1"/>
  <c r="AA19" i="6"/>
  <c r="AD19" i="6" s="1"/>
  <c r="AA20" i="6"/>
  <c r="AD20" i="6" s="1"/>
  <c r="AA21" i="6"/>
  <c r="AD21" i="6" s="1"/>
  <c r="AA22" i="6"/>
  <c r="AD22" i="6" s="1"/>
  <c r="AA23" i="6"/>
  <c r="AD23" i="6" s="1"/>
  <c r="AA24" i="6"/>
  <c r="AD24" i="6" s="1"/>
  <c r="AA25" i="6"/>
  <c r="AD25" i="6" s="1"/>
  <c r="AA26" i="6"/>
  <c r="AD26" i="6" s="1"/>
  <c r="AA27" i="6"/>
  <c r="AD27" i="6" s="1"/>
  <c r="AA28" i="6"/>
  <c r="AD28" i="6" s="1"/>
  <c r="AA29" i="6"/>
  <c r="AD29" i="6" s="1"/>
  <c r="AA30" i="6"/>
  <c r="AD30" i="6" s="1"/>
  <c r="AA31" i="6"/>
  <c r="AD31" i="6" s="1"/>
  <c r="AA32" i="6"/>
  <c r="AD32" i="6" s="1"/>
  <c r="AA33" i="6"/>
  <c r="AD33" i="6" s="1"/>
  <c r="AA34" i="6"/>
  <c r="AD34" i="6" s="1"/>
  <c r="AA35" i="6"/>
  <c r="AD35" i="6" s="1"/>
  <c r="AA36" i="6"/>
  <c r="AD36" i="6" s="1"/>
  <c r="AA37" i="6"/>
  <c r="AD37" i="6" s="1"/>
  <c r="AA38" i="6"/>
  <c r="AD38" i="6" s="1"/>
  <c r="AA39" i="6"/>
  <c r="AD39" i="6" s="1"/>
  <c r="AA40" i="6"/>
  <c r="AD40" i="6" s="1"/>
  <c r="AA41" i="6"/>
  <c r="AD41" i="6" s="1"/>
  <c r="AA42" i="6"/>
  <c r="AD42" i="6" s="1"/>
  <c r="AA43" i="6"/>
  <c r="AD43" i="6" s="1"/>
  <c r="AA44" i="6"/>
  <c r="AD44" i="6" s="1"/>
  <c r="AA45" i="6"/>
  <c r="AD45" i="6" s="1"/>
  <c r="AA46" i="6"/>
  <c r="AD46" i="6" s="1"/>
  <c r="AA47" i="6"/>
  <c r="AD47" i="6" s="1"/>
  <c r="AA48" i="6"/>
  <c r="AD48" i="6" s="1"/>
  <c r="AA49" i="6"/>
  <c r="AD49" i="6" s="1"/>
  <c r="AA50" i="6"/>
  <c r="AD50" i="6" s="1"/>
  <c r="AA51" i="6"/>
  <c r="AD51" i="6" s="1"/>
  <c r="AA52" i="6"/>
  <c r="AD52" i="6" s="1"/>
  <c r="AA53" i="6"/>
  <c r="AD53" i="6" s="1"/>
  <c r="AA54" i="6"/>
  <c r="AD54" i="6" s="1"/>
  <c r="AA55" i="6"/>
  <c r="AD55" i="6" s="1"/>
  <c r="AA56" i="6"/>
  <c r="AD56" i="6" s="1"/>
  <c r="AA57" i="6"/>
  <c r="AD57" i="6" s="1"/>
  <c r="AA58" i="6"/>
  <c r="AD58" i="6" s="1"/>
  <c r="AA59" i="6"/>
  <c r="AD59" i="6" s="1"/>
  <c r="AA60" i="6"/>
  <c r="AD60" i="6" s="1"/>
  <c r="AA61" i="6"/>
  <c r="AD61" i="6" s="1"/>
  <c r="AA62" i="6"/>
  <c r="AD62" i="6" s="1"/>
  <c r="AA63" i="6"/>
  <c r="AD63" i="6" s="1"/>
  <c r="AA64" i="6"/>
  <c r="AD64" i="6" s="1"/>
  <c r="AA65" i="6"/>
  <c r="AD65" i="6" s="1"/>
  <c r="AA66" i="6"/>
  <c r="AD66" i="6" s="1"/>
  <c r="AA67" i="6"/>
  <c r="AD67" i="6" s="1"/>
  <c r="AA68" i="6"/>
  <c r="AD68" i="6" s="1"/>
  <c r="AA69" i="6"/>
  <c r="AD69" i="6" s="1"/>
  <c r="AA70" i="6"/>
  <c r="AD70" i="6" s="1"/>
  <c r="AA71" i="6"/>
  <c r="AD71" i="6" s="1"/>
  <c r="AA72" i="6"/>
  <c r="AD72" i="6" s="1"/>
  <c r="AA73" i="6"/>
  <c r="AD73" i="6" s="1"/>
  <c r="AA74" i="6"/>
  <c r="AD74" i="6" s="1"/>
  <c r="AA75" i="6"/>
  <c r="AD75" i="6" s="1"/>
  <c r="AA76" i="6"/>
  <c r="AD76" i="6" s="1"/>
  <c r="AA77" i="6"/>
  <c r="AD77" i="6" s="1"/>
  <c r="AA78" i="6"/>
  <c r="AD78" i="6" s="1"/>
  <c r="AA79" i="6"/>
  <c r="AD79" i="6" s="1"/>
  <c r="AA80" i="6"/>
  <c r="AD80" i="6" s="1"/>
  <c r="AA81" i="6"/>
  <c r="AD81" i="6" s="1"/>
  <c r="AA82" i="6"/>
  <c r="AD82" i="6" s="1"/>
  <c r="AA83" i="6"/>
  <c r="AD83" i="6" s="1"/>
  <c r="AA84" i="6"/>
  <c r="AD84" i="6" s="1"/>
  <c r="AA85" i="6"/>
  <c r="AD85" i="6" s="1"/>
  <c r="AA86" i="6"/>
  <c r="AD86" i="6" s="1"/>
  <c r="AA87" i="6"/>
  <c r="AD87" i="6" s="1"/>
  <c r="AA88" i="6"/>
  <c r="AD88" i="6" s="1"/>
  <c r="AA89" i="6"/>
  <c r="AD89" i="6" s="1"/>
  <c r="AA90" i="6"/>
  <c r="AD90" i="6" s="1"/>
  <c r="AA91" i="6"/>
  <c r="AD91" i="6" s="1"/>
  <c r="AA92" i="6"/>
  <c r="AD92" i="6" s="1"/>
  <c r="AA93" i="6"/>
  <c r="AD93" i="6" s="1"/>
  <c r="AA94" i="6"/>
  <c r="AD94" i="6" s="1"/>
  <c r="AA95" i="6"/>
  <c r="AD95" i="6" s="1"/>
  <c r="AA96" i="6"/>
  <c r="AD96" i="6" s="1"/>
  <c r="AA97" i="6"/>
  <c r="AD97" i="6" s="1"/>
  <c r="AA98" i="6"/>
  <c r="AD98" i="6" s="1"/>
  <c r="AA99" i="6"/>
  <c r="AD99" i="6" s="1"/>
  <c r="AA100" i="6"/>
  <c r="AD100" i="6" s="1"/>
  <c r="AA101" i="6"/>
  <c r="AD101" i="6" s="1"/>
  <c r="AA102" i="6"/>
  <c r="AD102" i="6" s="1"/>
  <c r="AA103" i="6"/>
  <c r="AD103" i="6" s="1"/>
  <c r="AA104" i="6"/>
  <c r="AD104" i="6" s="1"/>
  <c r="AA105" i="6"/>
  <c r="AD105" i="6" s="1"/>
  <c r="AA106" i="6"/>
  <c r="AD106" i="6" s="1"/>
  <c r="AA107" i="6"/>
  <c r="AD107" i="6" s="1"/>
  <c r="AA108" i="6"/>
  <c r="AD108" i="6" s="1"/>
  <c r="AA109" i="6"/>
  <c r="AD109" i="6" s="1"/>
  <c r="AA110" i="6"/>
  <c r="AD110" i="6" s="1"/>
  <c r="AA111" i="6"/>
  <c r="AD111" i="6" s="1"/>
  <c r="AA112" i="6"/>
  <c r="AD112" i="6" s="1"/>
  <c r="AA113" i="6"/>
  <c r="AD113" i="6" s="1"/>
  <c r="AA114" i="6"/>
  <c r="AD114" i="6" s="1"/>
  <c r="AA115" i="6"/>
  <c r="AD115" i="6" s="1"/>
  <c r="AA116" i="6"/>
  <c r="AD116" i="6" s="1"/>
  <c r="AA117" i="6"/>
  <c r="AD117" i="6" s="1"/>
  <c r="AA118" i="6"/>
  <c r="AD118" i="6" s="1"/>
  <c r="AA119" i="6"/>
  <c r="AD119" i="6" s="1"/>
  <c r="AA120" i="6"/>
  <c r="AD120" i="6" s="1"/>
  <c r="AA121" i="6"/>
  <c r="AD121" i="6" s="1"/>
  <c r="AA122" i="6"/>
  <c r="AD122" i="6" s="1"/>
  <c r="AA123" i="6"/>
  <c r="AD123" i="6" s="1"/>
  <c r="AA124" i="6"/>
  <c r="AD124" i="6" s="1"/>
  <c r="AA125" i="6"/>
  <c r="AD125" i="6" s="1"/>
  <c r="AA126" i="6"/>
  <c r="AD126" i="6" s="1"/>
  <c r="AA127" i="6"/>
  <c r="AD127" i="6" s="1"/>
  <c r="AA128" i="6"/>
  <c r="AD128" i="6" s="1"/>
  <c r="AA129" i="6"/>
  <c r="AD129" i="6" s="1"/>
  <c r="AA130" i="6"/>
  <c r="AD130" i="6" s="1"/>
  <c r="AA131" i="6"/>
  <c r="AD131" i="6" s="1"/>
  <c r="AA132" i="6"/>
  <c r="AD132" i="6" s="1"/>
  <c r="AA133" i="6"/>
  <c r="AD133" i="6" s="1"/>
  <c r="AA134" i="6"/>
  <c r="AD134" i="6" s="1"/>
  <c r="AA135" i="6"/>
  <c r="AD135" i="6" s="1"/>
  <c r="AA136" i="6"/>
  <c r="AD136" i="6" s="1"/>
  <c r="AA137" i="6"/>
  <c r="AD137" i="6" s="1"/>
  <c r="AA138" i="6"/>
  <c r="AD138" i="6" s="1"/>
  <c r="AA139" i="6"/>
  <c r="AD139" i="6" s="1"/>
  <c r="AA140" i="6"/>
  <c r="AD140" i="6" s="1"/>
  <c r="AA141" i="6"/>
  <c r="AD141" i="6" s="1"/>
  <c r="AA142" i="6"/>
  <c r="AD142" i="6" s="1"/>
  <c r="AA143" i="6"/>
  <c r="AD143" i="6" s="1"/>
  <c r="AA144" i="6"/>
  <c r="AD144" i="6" s="1"/>
  <c r="AA145" i="6"/>
  <c r="AD145" i="6" s="1"/>
  <c r="AA146" i="6"/>
  <c r="AD146" i="6" s="1"/>
  <c r="AA147" i="6"/>
  <c r="AD147" i="6" s="1"/>
  <c r="AA148" i="6"/>
  <c r="AD148" i="6" s="1"/>
  <c r="AA149" i="6"/>
  <c r="AD149" i="6" s="1"/>
  <c r="AA150" i="6"/>
  <c r="AD150" i="6" s="1"/>
  <c r="AA151" i="6"/>
  <c r="AD151" i="6" s="1"/>
  <c r="AA152" i="6"/>
  <c r="AD152" i="6" s="1"/>
  <c r="AA153" i="6"/>
  <c r="AD153" i="6" s="1"/>
  <c r="AA154" i="6"/>
  <c r="AD154" i="6" s="1"/>
  <c r="AA155" i="6"/>
  <c r="AD155" i="6" s="1"/>
  <c r="AA156" i="6"/>
  <c r="AD156" i="6" s="1"/>
  <c r="AA157" i="6"/>
  <c r="AD157" i="6" s="1"/>
  <c r="AA158" i="6"/>
  <c r="AD158" i="6" s="1"/>
  <c r="AA159" i="6"/>
  <c r="AD159" i="6" s="1"/>
  <c r="AA160" i="6"/>
  <c r="AD160" i="6" s="1"/>
  <c r="AA161" i="6"/>
  <c r="AD161" i="6" s="1"/>
  <c r="AA162" i="6"/>
  <c r="AD162" i="6" s="1"/>
  <c r="AA163" i="6"/>
  <c r="AD163" i="6" s="1"/>
  <c r="AA164" i="6"/>
  <c r="AD164" i="6" s="1"/>
  <c r="AA165" i="6"/>
  <c r="AD165" i="6" s="1"/>
  <c r="AA166" i="6"/>
  <c r="AD166" i="6" s="1"/>
  <c r="AA167" i="6"/>
  <c r="AD167" i="6" s="1"/>
  <c r="AA168" i="6"/>
  <c r="AD168" i="6" s="1"/>
  <c r="AA169" i="6"/>
  <c r="AD169" i="6" s="1"/>
  <c r="AA170" i="6"/>
  <c r="AD170" i="6" s="1"/>
  <c r="AA171" i="6"/>
  <c r="AD171" i="6" s="1"/>
  <c r="AA172" i="6"/>
  <c r="AD172" i="6" s="1"/>
  <c r="AA173" i="6"/>
  <c r="AD173" i="6" s="1"/>
  <c r="AA174" i="6"/>
  <c r="AD174" i="6" s="1"/>
  <c r="AA175" i="6"/>
  <c r="AD175" i="6" s="1"/>
  <c r="AA176" i="6"/>
  <c r="AD176" i="6" s="1"/>
  <c r="AA177" i="6"/>
  <c r="AD177" i="6" s="1"/>
  <c r="AA178" i="6"/>
  <c r="AD178" i="6" s="1"/>
  <c r="AA179" i="6"/>
  <c r="AD179" i="6" s="1"/>
  <c r="AA180" i="6"/>
  <c r="AD180" i="6" s="1"/>
  <c r="AA181" i="6"/>
  <c r="AD181" i="6" s="1"/>
  <c r="AA182" i="6"/>
  <c r="AD182" i="6" s="1"/>
  <c r="AA183" i="6"/>
  <c r="AD183" i="6" s="1"/>
  <c r="AA184" i="6"/>
  <c r="AD184" i="6" s="1"/>
  <c r="AA185" i="6"/>
  <c r="AD185" i="6" s="1"/>
  <c r="AA186" i="6"/>
  <c r="AD186" i="6" s="1"/>
  <c r="AA187" i="6"/>
  <c r="AD187" i="6" s="1"/>
  <c r="AA188" i="6"/>
  <c r="AD188" i="6" s="1"/>
  <c r="AA189" i="6"/>
  <c r="AD189" i="6" s="1"/>
  <c r="AA190" i="6"/>
  <c r="AD190" i="6" s="1"/>
  <c r="AA191" i="6"/>
  <c r="AD191" i="6" s="1"/>
  <c r="AA192" i="6"/>
  <c r="AD192" i="6" s="1"/>
  <c r="AA193" i="6"/>
  <c r="AD193" i="6" s="1"/>
  <c r="AA194" i="6"/>
  <c r="AD194" i="6" s="1"/>
  <c r="AA195" i="6"/>
  <c r="AD195" i="6" s="1"/>
  <c r="AA196" i="6"/>
  <c r="AD196" i="6" s="1"/>
  <c r="AA197" i="6"/>
  <c r="AD197" i="6" s="1"/>
  <c r="AA198" i="6"/>
  <c r="AD198" i="6" s="1"/>
  <c r="AA199" i="6"/>
  <c r="AD199" i="6" s="1"/>
  <c r="AA2" i="6"/>
  <c r="AD2" i="6" s="1"/>
  <c r="AB199" i="6"/>
  <c r="Z199" i="6"/>
  <c r="Y199" i="6"/>
  <c r="P199" i="6" s="1" a="1"/>
  <c r="P199" i="6" s="1"/>
  <c r="X199" i="6"/>
  <c r="I199" i="6" s="1" a="1"/>
  <c r="I199" i="6" s="1"/>
  <c r="O199" i="6"/>
  <c r="N199" i="6"/>
  <c r="M199" i="6"/>
  <c r="G199" i="6" a="1"/>
  <c r="G199" i="6" s="1"/>
  <c r="AB198" i="6"/>
  <c r="Z198" i="6"/>
  <c r="Y198" i="6"/>
  <c r="P198" i="6" s="1" a="1"/>
  <c r="P198" i="6" s="1"/>
  <c r="X198" i="6"/>
  <c r="I198" i="6" s="1" a="1"/>
  <c r="I198" i="6" s="1"/>
  <c r="O198" i="6"/>
  <c r="N198" i="6"/>
  <c r="M198" i="6"/>
  <c r="G198" i="6" a="1"/>
  <c r="G198" i="6" s="1"/>
  <c r="AB197" i="6"/>
  <c r="Z197" i="6"/>
  <c r="Y197" i="6"/>
  <c r="P197" i="6" s="1" a="1"/>
  <c r="P197" i="6" s="1"/>
  <c r="X197" i="6"/>
  <c r="H197" i="6" s="1" a="1"/>
  <c r="H197" i="6" s="1"/>
  <c r="O197" i="6"/>
  <c r="N197" i="6"/>
  <c r="M197" i="6"/>
  <c r="G197" i="6" a="1"/>
  <c r="G197" i="6" s="1"/>
  <c r="AB196" i="6"/>
  <c r="Z196" i="6"/>
  <c r="Y196" i="6"/>
  <c r="P196" i="6" s="1" a="1"/>
  <c r="P196" i="6" s="1"/>
  <c r="X196" i="6"/>
  <c r="H196" i="6" s="1" a="1"/>
  <c r="H196" i="6" s="1"/>
  <c r="O196" i="6"/>
  <c r="N196" i="6"/>
  <c r="M196" i="6"/>
  <c r="G196" i="6" a="1"/>
  <c r="G196" i="6" s="1"/>
  <c r="AB195" i="6"/>
  <c r="Z195" i="6"/>
  <c r="Y195" i="6"/>
  <c r="P195" i="6" s="1" a="1"/>
  <c r="P195" i="6" s="1"/>
  <c r="X195" i="6"/>
  <c r="I195" i="6" s="1" a="1"/>
  <c r="I195" i="6" s="1"/>
  <c r="O195" i="6"/>
  <c r="N195" i="6"/>
  <c r="M195" i="6"/>
  <c r="G195" i="6" a="1"/>
  <c r="G195" i="6" s="1"/>
  <c r="AB194" i="6"/>
  <c r="Z194" i="6"/>
  <c r="Y194" i="6"/>
  <c r="P194" i="6" s="1" a="1"/>
  <c r="P194" i="6" s="1"/>
  <c r="X194" i="6"/>
  <c r="I194" i="6" s="1" a="1"/>
  <c r="I194" i="6" s="1"/>
  <c r="O194" i="6"/>
  <c r="N194" i="6"/>
  <c r="M194" i="6"/>
  <c r="G194" i="6" a="1"/>
  <c r="G194" i="6" s="1"/>
  <c r="AB193" i="6"/>
  <c r="Z193" i="6"/>
  <c r="Y193" i="6"/>
  <c r="P193" i="6" s="1" a="1"/>
  <c r="P193" i="6" s="1"/>
  <c r="X193" i="6"/>
  <c r="I193" i="6" s="1" a="1"/>
  <c r="I193" i="6" s="1"/>
  <c r="O193" i="6"/>
  <c r="N193" i="6"/>
  <c r="M193" i="6"/>
  <c r="G193" i="6" a="1"/>
  <c r="G193" i="6" s="1"/>
  <c r="AB192" i="6"/>
  <c r="Z192" i="6"/>
  <c r="Y192" i="6"/>
  <c r="P192" i="6" s="1" a="1"/>
  <c r="P192" i="6" s="1"/>
  <c r="X192" i="6"/>
  <c r="I192" i="6" s="1" a="1"/>
  <c r="I192" i="6" s="1"/>
  <c r="O192" i="6"/>
  <c r="N192" i="6"/>
  <c r="M192" i="6"/>
  <c r="G192" i="6" a="1"/>
  <c r="G192" i="6" s="1"/>
  <c r="AB191" i="6"/>
  <c r="Z191" i="6"/>
  <c r="Y191" i="6"/>
  <c r="P191" i="6" s="1" a="1"/>
  <c r="P191" i="6" s="1"/>
  <c r="X191" i="6"/>
  <c r="I191" i="6" s="1" a="1"/>
  <c r="I191" i="6" s="1"/>
  <c r="O191" i="6"/>
  <c r="N191" i="6"/>
  <c r="M191" i="6"/>
  <c r="G191" i="6" a="1"/>
  <c r="G191" i="6" s="1"/>
  <c r="AB190" i="6"/>
  <c r="Z190" i="6"/>
  <c r="Y190" i="6"/>
  <c r="P190" i="6" s="1" a="1"/>
  <c r="P190" i="6" s="1"/>
  <c r="X190" i="6"/>
  <c r="I190" i="6" s="1" a="1"/>
  <c r="I190" i="6" s="1"/>
  <c r="O190" i="6"/>
  <c r="N190" i="6"/>
  <c r="M190" i="6"/>
  <c r="G190" i="6" a="1"/>
  <c r="G190" i="6" s="1"/>
  <c r="AB189" i="6"/>
  <c r="Z189" i="6"/>
  <c r="Y189" i="6"/>
  <c r="P189" i="6" s="1" a="1"/>
  <c r="P189" i="6" s="1"/>
  <c r="X189" i="6"/>
  <c r="I189" i="6" s="1" a="1"/>
  <c r="I189" i="6" s="1"/>
  <c r="O189" i="6"/>
  <c r="N189" i="6"/>
  <c r="M189" i="6"/>
  <c r="G189" i="6" a="1"/>
  <c r="G189" i="6" s="1"/>
  <c r="AB188" i="6"/>
  <c r="Z188" i="6"/>
  <c r="Y188" i="6"/>
  <c r="P188" i="6" s="1" a="1"/>
  <c r="P188" i="6" s="1"/>
  <c r="X188" i="6"/>
  <c r="I188" i="6" s="1" a="1"/>
  <c r="I188" i="6" s="1"/>
  <c r="O188" i="6"/>
  <c r="N188" i="6"/>
  <c r="M188" i="6"/>
  <c r="G188" i="6" a="1"/>
  <c r="G188" i="6" s="1"/>
  <c r="AB187" i="6"/>
  <c r="Z187" i="6"/>
  <c r="Y187" i="6"/>
  <c r="P187" i="6" s="1" a="1"/>
  <c r="P187" i="6" s="1"/>
  <c r="X187" i="6"/>
  <c r="H187" i="6" s="1" a="1"/>
  <c r="H187" i="6" s="1"/>
  <c r="O187" i="6"/>
  <c r="N187" i="6"/>
  <c r="M187" i="6"/>
  <c r="G187" i="6" a="1"/>
  <c r="G187" i="6" s="1"/>
  <c r="AB186" i="6"/>
  <c r="Z186" i="6"/>
  <c r="Y186" i="6"/>
  <c r="P186" i="6" s="1" a="1"/>
  <c r="P186" i="6" s="1"/>
  <c r="X186" i="6"/>
  <c r="I186" i="6" s="1" a="1"/>
  <c r="I186" i="6" s="1"/>
  <c r="O186" i="6"/>
  <c r="N186" i="6"/>
  <c r="M186" i="6"/>
  <c r="G186" i="6" a="1"/>
  <c r="G186" i="6" s="1"/>
  <c r="AB185" i="6"/>
  <c r="Z185" i="6"/>
  <c r="Y185" i="6"/>
  <c r="P185" i="6" s="1" a="1"/>
  <c r="P185" i="6" s="1"/>
  <c r="X185" i="6"/>
  <c r="I185" i="6" s="1" a="1"/>
  <c r="I185" i="6" s="1"/>
  <c r="O185" i="6"/>
  <c r="N185" i="6"/>
  <c r="M185" i="6"/>
  <c r="G185" i="6" a="1"/>
  <c r="G185" i="6" s="1"/>
  <c r="AB184" i="6"/>
  <c r="Z184" i="6"/>
  <c r="Y184" i="6"/>
  <c r="P184" i="6" s="1" a="1"/>
  <c r="P184" i="6" s="1"/>
  <c r="X184" i="6"/>
  <c r="H184" i="6" s="1" a="1"/>
  <c r="H184" i="6" s="1"/>
  <c r="O184" i="6"/>
  <c r="N184" i="6"/>
  <c r="M184" i="6"/>
  <c r="G184" i="6" a="1"/>
  <c r="G184" i="6" s="1"/>
  <c r="AB183" i="6"/>
  <c r="Z183" i="6"/>
  <c r="Y183" i="6"/>
  <c r="P183" i="6" s="1" a="1"/>
  <c r="P183" i="6" s="1"/>
  <c r="X183" i="6"/>
  <c r="I183" i="6" s="1" a="1"/>
  <c r="I183" i="6" s="1"/>
  <c r="O183" i="6"/>
  <c r="N183" i="6"/>
  <c r="M183" i="6"/>
  <c r="G183" i="6" a="1"/>
  <c r="G183" i="6" s="1"/>
  <c r="AB182" i="6"/>
  <c r="Z182" i="6"/>
  <c r="Y182" i="6"/>
  <c r="P182" i="6" s="1" a="1"/>
  <c r="P182" i="6" s="1"/>
  <c r="X182" i="6"/>
  <c r="I182" i="6" s="1" a="1"/>
  <c r="I182" i="6" s="1"/>
  <c r="O182" i="6"/>
  <c r="N182" i="6"/>
  <c r="M182" i="6"/>
  <c r="G182" i="6" a="1"/>
  <c r="G182" i="6" s="1"/>
  <c r="AB181" i="6"/>
  <c r="Z181" i="6"/>
  <c r="Y181" i="6"/>
  <c r="P181" i="6" s="1" a="1"/>
  <c r="P181" i="6" s="1"/>
  <c r="X181" i="6"/>
  <c r="H181" i="6" s="1" a="1"/>
  <c r="H181" i="6" s="1"/>
  <c r="O181" i="6"/>
  <c r="N181" i="6"/>
  <c r="M181" i="6"/>
  <c r="G181" i="6" a="1"/>
  <c r="G181" i="6" s="1"/>
  <c r="AB180" i="6"/>
  <c r="Z180" i="6"/>
  <c r="Y180" i="6"/>
  <c r="P180" i="6" s="1" a="1"/>
  <c r="P180" i="6" s="1"/>
  <c r="X180" i="6"/>
  <c r="I180" i="6" s="1" a="1"/>
  <c r="I180" i="6" s="1"/>
  <c r="O180" i="6"/>
  <c r="N180" i="6"/>
  <c r="M180" i="6"/>
  <c r="G180" i="6" a="1"/>
  <c r="G180" i="6" s="1"/>
  <c r="AB179" i="6"/>
  <c r="Z179" i="6"/>
  <c r="Y179" i="6"/>
  <c r="P179" i="6" s="1" a="1"/>
  <c r="P179" i="6" s="1"/>
  <c r="X179" i="6"/>
  <c r="I179" i="6" s="1" a="1"/>
  <c r="I179" i="6" s="1"/>
  <c r="O179" i="6"/>
  <c r="N179" i="6"/>
  <c r="M179" i="6"/>
  <c r="G179" i="6" a="1"/>
  <c r="G179" i="6" s="1"/>
  <c r="AB178" i="6"/>
  <c r="Z178" i="6"/>
  <c r="Y178" i="6"/>
  <c r="P178" i="6" s="1" a="1"/>
  <c r="P178" i="6" s="1"/>
  <c r="X178" i="6"/>
  <c r="H178" i="6" s="1" a="1"/>
  <c r="H178" i="6" s="1"/>
  <c r="O178" i="6"/>
  <c r="N178" i="6"/>
  <c r="M178" i="6"/>
  <c r="G178" i="6" a="1"/>
  <c r="G178" i="6" s="1"/>
  <c r="AB177" i="6"/>
  <c r="Z177" i="6"/>
  <c r="Y177" i="6"/>
  <c r="P177" i="6" s="1" a="1"/>
  <c r="P177" i="6" s="1"/>
  <c r="X177" i="6"/>
  <c r="I177" i="6" s="1" a="1"/>
  <c r="I177" i="6" s="1"/>
  <c r="O177" i="6"/>
  <c r="N177" i="6"/>
  <c r="M177" i="6"/>
  <c r="G177" i="6" a="1"/>
  <c r="G177" i="6" s="1"/>
  <c r="AB176" i="6"/>
  <c r="Z176" i="6"/>
  <c r="Y176" i="6"/>
  <c r="P176" i="6" s="1" a="1"/>
  <c r="P176" i="6" s="1"/>
  <c r="X176" i="6"/>
  <c r="I176" i="6" s="1" a="1"/>
  <c r="I176" i="6" s="1"/>
  <c r="O176" i="6"/>
  <c r="N176" i="6"/>
  <c r="M176" i="6"/>
  <c r="G176" i="6" a="1"/>
  <c r="G176" i="6" s="1"/>
  <c r="AB175" i="6"/>
  <c r="Z175" i="6"/>
  <c r="Y175" i="6"/>
  <c r="P175" i="6" s="1" a="1"/>
  <c r="P175" i="6" s="1"/>
  <c r="X175" i="6"/>
  <c r="H175" i="6" s="1" a="1"/>
  <c r="H175" i="6" s="1"/>
  <c r="O175" i="6"/>
  <c r="N175" i="6"/>
  <c r="M175" i="6"/>
  <c r="G175" i="6" a="1"/>
  <c r="G175" i="6" s="1"/>
  <c r="AB174" i="6"/>
  <c r="Z174" i="6"/>
  <c r="Y174" i="6"/>
  <c r="P174" i="6" s="1" a="1"/>
  <c r="P174" i="6" s="1"/>
  <c r="X174" i="6"/>
  <c r="I174" i="6" s="1" a="1"/>
  <c r="I174" i="6" s="1"/>
  <c r="O174" i="6"/>
  <c r="N174" i="6"/>
  <c r="M174" i="6"/>
  <c r="G174" i="6" a="1"/>
  <c r="G174" i="6" s="1"/>
  <c r="AB173" i="6"/>
  <c r="Z173" i="6"/>
  <c r="Y173" i="6"/>
  <c r="P173" i="6" s="1" a="1"/>
  <c r="P173" i="6" s="1"/>
  <c r="X173" i="6"/>
  <c r="H173" i="6" s="1" a="1"/>
  <c r="H173" i="6" s="1"/>
  <c r="O173" i="6"/>
  <c r="N173" i="6"/>
  <c r="M173" i="6"/>
  <c r="G173" i="6" a="1"/>
  <c r="G173" i="6" s="1"/>
  <c r="AB172" i="6"/>
  <c r="Z172" i="6"/>
  <c r="Y172" i="6"/>
  <c r="P172" i="6" s="1" a="1"/>
  <c r="P172" i="6" s="1"/>
  <c r="X172" i="6"/>
  <c r="H172" i="6" s="1" a="1"/>
  <c r="H172" i="6" s="1"/>
  <c r="O172" i="6"/>
  <c r="N172" i="6"/>
  <c r="M172" i="6"/>
  <c r="G172" i="6" a="1"/>
  <c r="G172" i="6" s="1"/>
  <c r="AB171" i="6"/>
  <c r="Z171" i="6"/>
  <c r="Y171" i="6"/>
  <c r="P171" i="6" s="1" a="1"/>
  <c r="P171" i="6" s="1"/>
  <c r="X171" i="6"/>
  <c r="I171" i="6" s="1" a="1"/>
  <c r="I171" i="6" s="1"/>
  <c r="O171" i="6"/>
  <c r="N171" i="6"/>
  <c r="M171" i="6"/>
  <c r="G171" i="6" a="1"/>
  <c r="G171" i="6" s="1"/>
  <c r="AB170" i="6"/>
  <c r="Z170" i="6"/>
  <c r="Y170" i="6"/>
  <c r="P170" i="6" s="1" a="1"/>
  <c r="P170" i="6" s="1"/>
  <c r="X170" i="6"/>
  <c r="I170" i="6" s="1" a="1"/>
  <c r="I170" i="6" s="1"/>
  <c r="O170" i="6"/>
  <c r="N170" i="6"/>
  <c r="M170" i="6"/>
  <c r="G170" i="6" a="1"/>
  <c r="G170" i="6" s="1"/>
  <c r="AB169" i="6"/>
  <c r="Z169" i="6"/>
  <c r="Y169" i="6"/>
  <c r="P169" i="6" s="1" a="1"/>
  <c r="P169" i="6" s="1"/>
  <c r="X169" i="6"/>
  <c r="H169" i="6" s="1" a="1"/>
  <c r="H169" i="6" s="1"/>
  <c r="O169" i="6"/>
  <c r="N169" i="6"/>
  <c r="M169" i="6"/>
  <c r="G169" i="6" a="1"/>
  <c r="G169" i="6" s="1"/>
  <c r="AB168" i="6"/>
  <c r="Z168" i="6"/>
  <c r="Y168" i="6"/>
  <c r="P168" i="6" s="1" a="1"/>
  <c r="P168" i="6" s="1"/>
  <c r="X168" i="6"/>
  <c r="I168" i="6" s="1" a="1"/>
  <c r="I168" i="6" s="1"/>
  <c r="O168" i="6"/>
  <c r="N168" i="6"/>
  <c r="M168" i="6"/>
  <c r="G168" i="6" a="1"/>
  <c r="G168" i="6" s="1"/>
  <c r="AB167" i="6"/>
  <c r="Z167" i="6"/>
  <c r="Y167" i="6"/>
  <c r="P167" i="6" s="1" a="1"/>
  <c r="P167" i="6" s="1"/>
  <c r="X167" i="6"/>
  <c r="I167" i="6" s="1" a="1"/>
  <c r="I167" i="6" s="1"/>
  <c r="O167" i="6"/>
  <c r="N167" i="6"/>
  <c r="M167" i="6"/>
  <c r="G167" i="6" a="1"/>
  <c r="G167" i="6" s="1"/>
  <c r="AB166" i="6"/>
  <c r="Z166" i="6"/>
  <c r="Y166" i="6"/>
  <c r="P166" i="6" s="1" a="1"/>
  <c r="P166" i="6" s="1"/>
  <c r="X166" i="6"/>
  <c r="I166" i="6" s="1" a="1"/>
  <c r="I166" i="6" s="1"/>
  <c r="O166" i="6"/>
  <c r="N166" i="6"/>
  <c r="M166" i="6"/>
  <c r="G166" i="6" a="1"/>
  <c r="G166" i="6" s="1"/>
  <c r="AB165" i="6"/>
  <c r="Z165" i="6"/>
  <c r="Y165" i="6"/>
  <c r="P165" i="6" s="1" a="1"/>
  <c r="P165" i="6" s="1"/>
  <c r="X165" i="6"/>
  <c r="I165" i="6" s="1" a="1"/>
  <c r="I165" i="6" s="1"/>
  <c r="O165" i="6"/>
  <c r="N165" i="6"/>
  <c r="M165" i="6"/>
  <c r="G165" i="6" a="1"/>
  <c r="G165" i="6" s="1"/>
  <c r="AB164" i="6"/>
  <c r="Z164" i="6"/>
  <c r="Y164" i="6"/>
  <c r="P164" i="6" s="1" a="1"/>
  <c r="P164" i="6" s="1"/>
  <c r="X164" i="6"/>
  <c r="I164" i="6" s="1" a="1"/>
  <c r="I164" i="6" s="1"/>
  <c r="O164" i="6"/>
  <c r="N164" i="6"/>
  <c r="M164" i="6"/>
  <c r="G164" i="6" a="1"/>
  <c r="G164" i="6" s="1"/>
  <c r="AB163" i="6"/>
  <c r="Z163" i="6"/>
  <c r="Y163" i="6"/>
  <c r="P163" i="6" s="1" a="1"/>
  <c r="P163" i="6" s="1"/>
  <c r="X163" i="6"/>
  <c r="H163" i="6" s="1" a="1"/>
  <c r="H163" i="6" s="1"/>
  <c r="O163" i="6"/>
  <c r="N163" i="6"/>
  <c r="M163" i="6"/>
  <c r="G163" i="6" a="1"/>
  <c r="G163" i="6" s="1"/>
  <c r="AB162" i="6"/>
  <c r="Z162" i="6"/>
  <c r="Y162" i="6"/>
  <c r="P162" i="6" s="1" a="1"/>
  <c r="P162" i="6" s="1"/>
  <c r="X162" i="6"/>
  <c r="I162" i="6" s="1" a="1"/>
  <c r="I162" i="6" s="1"/>
  <c r="O162" i="6"/>
  <c r="N162" i="6"/>
  <c r="M162" i="6"/>
  <c r="G162" i="6" a="1"/>
  <c r="G162" i="6" s="1"/>
  <c r="AB161" i="6"/>
  <c r="Z161" i="6"/>
  <c r="Y161" i="6"/>
  <c r="P161" i="6" s="1" a="1"/>
  <c r="P161" i="6" s="1"/>
  <c r="X161" i="6"/>
  <c r="I161" i="6" s="1" a="1"/>
  <c r="I161" i="6" s="1"/>
  <c r="O161" i="6"/>
  <c r="N161" i="6"/>
  <c r="M161" i="6"/>
  <c r="G161" i="6" a="1"/>
  <c r="G161" i="6" s="1"/>
  <c r="AB160" i="6"/>
  <c r="Z160" i="6"/>
  <c r="Y160" i="6"/>
  <c r="P160" i="6" s="1" a="1"/>
  <c r="P160" i="6" s="1"/>
  <c r="X160" i="6"/>
  <c r="H160" i="6" s="1" a="1"/>
  <c r="H160" i="6" s="1"/>
  <c r="O160" i="6"/>
  <c r="N160" i="6"/>
  <c r="M160" i="6"/>
  <c r="G160" i="6" a="1"/>
  <c r="G160" i="6" s="1"/>
  <c r="AB159" i="6"/>
  <c r="Z159" i="6"/>
  <c r="Y159" i="6"/>
  <c r="P159" i="6" s="1" a="1"/>
  <c r="P159" i="6" s="1"/>
  <c r="X159" i="6"/>
  <c r="I159" i="6" s="1" a="1"/>
  <c r="I159" i="6" s="1"/>
  <c r="O159" i="6"/>
  <c r="N159" i="6"/>
  <c r="M159" i="6"/>
  <c r="G159" i="6" a="1"/>
  <c r="G159" i="6" s="1"/>
  <c r="AB158" i="6"/>
  <c r="Z158" i="6"/>
  <c r="Y158" i="6"/>
  <c r="P158" i="6" s="1" a="1"/>
  <c r="P158" i="6" s="1"/>
  <c r="X158" i="6"/>
  <c r="I158" i="6" s="1" a="1"/>
  <c r="I158" i="6" s="1"/>
  <c r="O158" i="6"/>
  <c r="N158" i="6"/>
  <c r="M158" i="6"/>
  <c r="G158" i="6" a="1"/>
  <c r="G158" i="6" s="1"/>
  <c r="AB157" i="6"/>
  <c r="Z157" i="6"/>
  <c r="Y157" i="6"/>
  <c r="P157" i="6" s="1" a="1"/>
  <c r="P157" i="6" s="1"/>
  <c r="X157" i="6"/>
  <c r="H157" i="6" s="1" a="1"/>
  <c r="H157" i="6" s="1"/>
  <c r="O157" i="6"/>
  <c r="N157" i="6"/>
  <c r="M157" i="6"/>
  <c r="G157" i="6" a="1"/>
  <c r="G157" i="6" s="1"/>
  <c r="AB156" i="6"/>
  <c r="Z156" i="6"/>
  <c r="Y156" i="6"/>
  <c r="P156" i="6" s="1" a="1"/>
  <c r="P156" i="6" s="1"/>
  <c r="X156" i="6"/>
  <c r="I156" i="6" s="1" a="1"/>
  <c r="I156" i="6" s="1"/>
  <c r="O156" i="6"/>
  <c r="N156" i="6"/>
  <c r="M156" i="6"/>
  <c r="G156" i="6" a="1"/>
  <c r="G156" i="6" s="1"/>
  <c r="AB155" i="6"/>
  <c r="Z155" i="6"/>
  <c r="Y155" i="6"/>
  <c r="P155" i="6" s="1" a="1"/>
  <c r="P155" i="6" s="1"/>
  <c r="X155" i="6"/>
  <c r="I155" i="6" s="1" a="1"/>
  <c r="I155" i="6" s="1"/>
  <c r="O155" i="6"/>
  <c r="N155" i="6"/>
  <c r="M155" i="6"/>
  <c r="G155" i="6" a="1"/>
  <c r="G155" i="6" s="1"/>
  <c r="AB154" i="6"/>
  <c r="Z154" i="6"/>
  <c r="Y154" i="6"/>
  <c r="P154" i="6" s="1" a="1"/>
  <c r="P154" i="6" s="1"/>
  <c r="X154" i="6"/>
  <c r="I154" i="6" s="1" a="1"/>
  <c r="I154" i="6" s="1"/>
  <c r="O154" i="6"/>
  <c r="N154" i="6"/>
  <c r="M154" i="6"/>
  <c r="G154" i="6" a="1"/>
  <c r="G154" i="6" s="1"/>
  <c r="AB153" i="6"/>
  <c r="Z153" i="6"/>
  <c r="Y153" i="6"/>
  <c r="P153" i="6" s="1" a="1"/>
  <c r="P153" i="6" s="1"/>
  <c r="X153" i="6"/>
  <c r="I153" i="6" s="1" a="1"/>
  <c r="I153" i="6" s="1"/>
  <c r="O153" i="6"/>
  <c r="N153" i="6"/>
  <c r="M153" i="6"/>
  <c r="G153" i="6" a="1"/>
  <c r="G153" i="6" s="1"/>
  <c r="AB152" i="6"/>
  <c r="Z152" i="6"/>
  <c r="Y152" i="6"/>
  <c r="P152" i="6" s="1" a="1"/>
  <c r="P152" i="6" s="1"/>
  <c r="X152" i="6"/>
  <c r="I152" i="6" s="1" a="1"/>
  <c r="I152" i="6" s="1"/>
  <c r="O152" i="6"/>
  <c r="N152" i="6"/>
  <c r="M152" i="6"/>
  <c r="G152" i="6" a="1"/>
  <c r="G152" i="6" s="1"/>
  <c r="AB151" i="6"/>
  <c r="Z151" i="6"/>
  <c r="Y151" i="6"/>
  <c r="P151" i="6" s="1" a="1"/>
  <c r="P151" i="6" s="1"/>
  <c r="X151" i="6"/>
  <c r="H151" i="6" s="1" a="1"/>
  <c r="H151" i="6" s="1"/>
  <c r="O151" i="6"/>
  <c r="N151" i="6"/>
  <c r="M151" i="6"/>
  <c r="G151" i="6" a="1"/>
  <c r="G151" i="6" s="1"/>
  <c r="AB150" i="6"/>
  <c r="Z150" i="6"/>
  <c r="Y150" i="6"/>
  <c r="P150" i="6" s="1" a="1"/>
  <c r="P150" i="6" s="1"/>
  <c r="X150" i="6"/>
  <c r="I150" i="6" s="1" a="1"/>
  <c r="I150" i="6" s="1"/>
  <c r="O150" i="6"/>
  <c r="N150" i="6"/>
  <c r="M150" i="6"/>
  <c r="G150" i="6" a="1"/>
  <c r="G150" i="6" s="1"/>
  <c r="AB149" i="6"/>
  <c r="Z149" i="6"/>
  <c r="Y149" i="6"/>
  <c r="P149" i="6" s="1" a="1"/>
  <c r="P149" i="6" s="1"/>
  <c r="X149" i="6"/>
  <c r="I149" i="6" s="1" a="1"/>
  <c r="I149" i="6" s="1"/>
  <c r="O149" i="6"/>
  <c r="N149" i="6"/>
  <c r="M149" i="6"/>
  <c r="G149" i="6" a="1"/>
  <c r="G149" i="6" s="1"/>
  <c r="AB148" i="6"/>
  <c r="Z148" i="6"/>
  <c r="Y148" i="6"/>
  <c r="P148" i="6" s="1" a="1"/>
  <c r="P148" i="6" s="1"/>
  <c r="X148" i="6"/>
  <c r="H148" i="6" s="1" a="1"/>
  <c r="H148" i="6" s="1"/>
  <c r="O148" i="6"/>
  <c r="N148" i="6"/>
  <c r="M148" i="6"/>
  <c r="G148" i="6" a="1"/>
  <c r="G148" i="6" s="1"/>
  <c r="AB147" i="6"/>
  <c r="Z147" i="6"/>
  <c r="Y147" i="6"/>
  <c r="P147" i="6" s="1" a="1"/>
  <c r="P147" i="6" s="1"/>
  <c r="X147" i="6"/>
  <c r="I147" i="6" s="1" a="1"/>
  <c r="I147" i="6" s="1"/>
  <c r="O147" i="6"/>
  <c r="N147" i="6"/>
  <c r="M147" i="6"/>
  <c r="G147" i="6" a="1"/>
  <c r="G147" i="6" s="1"/>
  <c r="AB146" i="6"/>
  <c r="Z146" i="6"/>
  <c r="Y146" i="6"/>
  <c r="P146" i="6" s="1" a="1"/>
  <c r="P146" i="6" s="1"/>
  <c r="X146" i="6"/>
  <c r="I146" i="6" s="1" a="1"/>
  <c r="I146" i="6" s="1"/>
  <c r="O146" i="6"/>
  <c r="N146" i="6"/>
  <c r="M146" i="6"/>
  <c r="G146" i="6" a="1"/>
  <c r="G146" i="6" s="1"/>
  <c r="AB145" i="6"/>
  <c r="Z145" i="6"/>
  <c r="Y145" i="6"/>
  <c r="P145" i="6" s="1" a="1"/>
  <c r="P145" i="6" s="1"/>
  <c r="X145" i="6"/>
  <c r="H145" i="6" s="1" a="1"/>
  <c r="H145" i="6" s="1"/>
  <c r="O145" i="6"/>
  <c r="N145" i="6"/>
  <c r="M145" i="6"/>
  <c r="G145" i="6" a="1"/>
  <c r="G145" i="6" s="1"/>
  <c r="AB144" i="6"/>
  <c r="Z144" i="6"/>
  <c r="Y144" i="6"/>
  <c r="P144" i="6" s="1" a="1"/>
  <c r="P144" i="6" s="1"/>
  <c r="X144" i="6"/>
  <c r="I144" i="6" s="1" a="1"/>
  <c r="I144" i="6" s="1"/>
  <c r="O144" i="6"/>
  <c r="N144" i="6"/>
  <c r="M144" i="6"/>
  <c r="G144" i="6" a="1"/>
  <c r="G144" i="6" s="1"/>
  <c r="AB143" i="6"/>
  <c r="Z143" i="6"/>
  <c r="Y143" i="6"/>
  <c r="P143" i="6" s="1" a="1"/>
  <c r="P143" i="6" s="1"/>
  <c r="X143" i="6"/>
  <c r="H143" i="6" s="1" a="1"/>
  <c r="H143" i="6" s="1"/>
  <c r="O143" i="6"/>
  <c r="N143" i="6"/>
  <c r="M143" i="6"/>
  <c r="G143" i="6" a="1"/>
  <c r="G143" i="6" s="1"/>
  <c r="AB142" i="6"/>
  <c r="Z142" i="6"/>
  <c r="Y142" i="6"/>
  <c r="P142" i="6" s="1" a="1"/>
  <c r="P142" i="6" s="1"/>
  <c r="X142" i="6"/>
  <c r="I142" i="6" s="1" a="1"/>
  <c r="I142" i="6" s="1"/>
  <c r="O142" i="6"/>
  <c r="N142" i="6"/>
  <c r="M142" i="6"/>
  <c r="G142" i="6" a="1"/>
  <c r="G142" i="6" s="1"/>
  <c r="AB141" i="6"/>
  <c r="Z141" i="6"/>
  <c r="Y141" i="6"/>
  <c r="P141" i="6" s="1" a="1"/>
  <c r="P141" i="6" s="1"/>
  <c r="X141" i="6"/>
  <c r="I141" i="6" s="1" a="1"/>
  <c r="I141" i="6" s="1"/>
  <c r="O141" i="6"/>
  <c r="N141" i="6"/>
  <c r="M141" i="6"/>
  <c r="G141" i="6" a="1"/>
  <c r="G141" i="6" s="1"/>
  <c r="AB140" i="6"/>
  <c r="Z140" i="6"/>
  <c r="Y140" i="6"/>
  <c r="P140" i="6" s="1" a="1"/>
  <c r="P140" i="6" s="1"/>
  <c r="X140" i="6"/>
  <c r="I140" i="6" s="1" a="1"/>
  <c r="I140" i="6" s="1"/>
  <c r="O140" i="6"/>
  <c r="N140" i="6"/>
  <c r="M140" i="6"/>
  <c r="G140" i="6" a="1"/>
  <c r="G140" i="6" s="1"/>
  <c r="AB139" i="6"/>
  <c r="Z139" i="6"/>
  <c r="Y139" i="6"/>
  <c r="P139" i="6" s="1" a="1"/>
  <c r="P139" i="6" s="1"/>
  <c r="X139" i="6"/>
  <c r="H139" i="6" s="1" a="1"/>
  <c r="H139" i="6" s="1"/>
  <c r="O139" i="6"/>
  <c r="N139" i="6"/>
  <c r="M139" i="6"/>
  <c r="G139" i="6" a="1"/>
  <c r="G139" i="6" s="1"/>
  <c r="AB138" i="6"/>
  <c r="Z138" i="6"/>
  <c r="Y138" i="6"/>
  <c r="P138" i="6" s="1" a="1"/>
  <c r="P138" i="6" s="1"/>
  <c r="X138" i="6"/>
  <c r="I138" i="6" s="1" a="1"/>
  <c r="I138" i="6" s="1"/>
  <c r="O138" i="6"/>
  <c r="N138" i="6"/>
  <c r="M138" i="6"/>
  <c r="G138" i="6" a="1"/>
  <c r="G138" i="6" s="1"/>
  <c r="AB137" i="6"/>
  <c r="Z137" i="6"/>
  <c r="Y137" i="6"/>
  <c r="P137" i="6" s="1" a="1"/>
  <c r="P137" i="6" s="1"/>
  <c r="X137" i="6"/>
  <c r="I137" i="6" s="1" a="1"/>
  <c r="I137" i="6" s="1"/>
  <c r="O137" i="6"/>
  <c r="N137" i="6"/>
  <c r="M137" i="6"/>
  <c r="G137" i="6" a="1"/>
  <c r="G137" i="6" s="1"/>
  <c r="AB136" i="6"/>
  <c r="Z136" i="6"/>
  <c r="Y136" i="6"/>
  <c r="P136" i="6" s="1" a="1"/>
  <c r="P136" i="6" s="1"/>
  <c r="X136" i="6"/>
  <c r="H136" i="6" s="1" a="1"/>
  <c r="H136" i="6" s="1"/>
  <c r="O136" i="6"/>
  <c r="N136" i="6"/>
  <c r="M136" i="6"/>
  <c r="G136" i="6" a="1"/>
  <c r="G136" i="6" s="1"/>
  <c r="AB135" i="6"/>
  <c r="Z135" i="6"/>
  <c r="Y135" i="6"/>
  <c r="P135" i="6" s="1" a="1"/>
  <c r="P135" i="6" s="1"/>
  <c r="X135" i="6"/>
  <c r="H135" i="6" s="1" a="1"/>
  <c r="H135" i="6" s="1"/>
  <c r="O135" i="6"/>
  <c r="N135" i="6"/>
  <c r="M135" i="6"/>
  <c r="G135" i="6" a="1"/>
  <c r="G135" i="6" s="1"/>
  <c r="AB134" i="6"/>
  <c r="Z134" i="6"/>
  <c r="Y134" i="6"/>
  <c r="P134" i="6" s="1" a="1"/>
  <c r="P134" i="6" s="1"/>
  <c r="X134" i="6"/>
  <c r="H134" i="6" s="1" a="1"/>
  <c r="H134" i="6" s="1"/>
  <c r="O134" i="6"/>
  <c r="N134" i="6"/>
  <c r="M134" i="6"/>
  <c r="G134" i="6" a="1"/>
  <c r="G134" i="6" s="1"/>
  <c r="AB133" i="6"/>
  <c r="Z133" i="6"/>
  <c r="Y133" i="6"/>
  <c r="P133" i="6" s="1" a="1"/>
  <c r="P133" i="6" s="1"/>
  <c r="X133" i="6"/>
  <c r="H133" i="6" s="1" a="1"/>
  <c r="H133" i="6" s="1"/>
  <c r="O133" i="6"/>
  <c r="N133" i="6"/>
  <c r="M133" i="6"/>
  <c r="G133" i="6" a="1"/>
  <c r="G133" i="6" s="1"/>
  <c r="AB132" i="6"/>
  <c r="Z132" i="6"/>
  <c r="Y132" i="6"/>
  <c r="P132" i="6" s="1" a="1"/>
  <c r="P132" i="6" s="1"/>
  <c r="X132" i="6"/>
  <c r="H132" i="6" s="1" a="1"/>
  <c r="H132" i="6" s="1"/>
  <c r="O132" i="6"/>
  <c r="N132" i="6"/>
  <c r="M132" i="6"/>
  <c r="G132" i="6" a="1"/>
  <c r="G132" i="6" s="1"/>
  <c r="AB131" i="6"/>
  <c r="Z131" i="6"/>
  <c r="Y131" i="6"/>
  <c r="P131" i="6" s="1" a="1"/>
  <c r="P131" i="6" s="1"/>
  <c r="X131" i="6"/>
  <c r="H131" i="6" s="1" a="1"/>
  <c r="H131" i="6" s="1"/>
  <c r="O131" i="6"/>
  <c r="N131" i="6"/>
  <c r="M131" i="6"/>
  <c r="G131" i="6" a="1"/>
  <c r="G131" i="6" s="1"/>
  <c r="AB130" i="6"/>
  <c r="Z130" i="6"/>
  <c r="Y130" i="6"/>
  <c r="P130" i="6" s="1" a="1"/>
  <c r="P130" i="6" s="1"/>
  <c r="X130" i="6"/>
  <c r="I130" i="6" s="1" a="1"/>
  <c r="I130" i="6" s="1"/>
  <c r="O130" i="6"/>
  <c r="N130" i="6"/>
  <c r="M130" i="6"/>
  <c r="G130" i="6" a="1"/>
  <c r="G130" i="6" s="1"/>
  <c r="AB129" i="6"/>
  <c r="Z129" i="6"/>
  <c r="Y129" i="6"/>
  <c r="P129" i="6" s="1" a="1"/>
  <c r="P129" i="6" s="1"/>
  <c r="X129" i="6"/>
  <c r="H129" i="6" s="1" a="1"/>
  <c r="H129" i="6" s="1"/>
  <c r="O129" i="6"/>
  <c r="N129" i="6"/>
  <c r="M129" i="6"/>
  <c r="G129" i="6" a="1"/>
  <c r="G129" i="6" s="1"/>
  <c r="AB128" i="6"/>
  <c r="Z128" i="6"/>
  <c r="Y128" i="6"/>
  <c r="P128" i="6" s="1" a="1"/>
  <c r="P128" i="6" s="1"/>
  <c r="X128" i="6"/>
  <c r="I128" i="6" s="1" a="1"/>
  <c r="I128" i="6" s="1"/>
  <c r="O128" i="6"/>
  <c r="N128" i="6"/>
  <c r="M128" i="6"/>
  <c r="G128" i="6" a="1"/>
  <c r="G128" i="6" s="1"/>
  <c r="AB127" i="6"/>
  <c r="Z127" i="6"/>
  <c r="Y127" i="6"/>
  <c r="P127" i="6" s="1" a="1"/>
  <c r="P127" i="6" s="1"/>
  <c r="X127" i="6"/>
  <c r="H127" i="6" s="1" a="1"/>
  <c r="H127" i="6" s="1"/>
  <c r="O127" i="6"/>
  <c r="N127" i="6"/>
  <c r="M127" i="6"/>
  <c r="G127" i="6" a="1"/>
  <c r="G127" i="6" s="1"/>
  <c r="AB126" i="6"/>
  <c r="Z126" i="6"/>
  <c r="Y126" i="6"/>
  <c r="P126" i="6" s="1" a="1"/>
  <c r="P126" i="6" s="1"/>
  <c r="X126" i="6"/>
  <c r="I126" i="6" s="1" a="1"/>
  <c r="I126" i="6" s="1"/>
  <c r="O126" i="6"/>
  <c r="N126" i="6"/>
  <c r="M126" i="6"/>
  <c r="G126" i="6" a="1"/>
  <c r="G126" i="6" s="1"/>
  <c r="AB125" i="6"/>
  <c r="Z125" i="6"/>
  <c r="Y125" i="6"/>
  <c r="P125" i="6" s="1" a="1"/>
  <c r="P125" i="6" s="1"/>
  <c r="X125" i="6"/>
  <c r="I125" i="6" s="1" a="1"/>
  <c r="I125" i="6" s="1"/>
  <c r="O125" i="6"/>
  <c r="N125" i="6"/>
  <c r="M125" i="6"/>
  <c r="G125" i="6" a="1"/>
  <c r="G125" i="6" s="1"/>
  <c r="AB124" i="6"/>
  <c r="Z124" i="6"/>
  <c r="Y124" i="6"/>
  <c r="P124" i="6" s="1" a="1"/>
  <c r="P124" i="6" s="1"/>
  <c r="X124" i="6"/>
  <c r="H124" i="6" s="1" a="1"/>
  <c r="H124" i="6" s="1"/>
  <c r="O124" i="6"/>
  <c r="N124" i="6"/>
  <c r="M124" i="6"/>
  <c r="G124" i="6" a="1"/>
  <c r="G124" i="6" s="1"/>
  <c r="AB123" i="6"/>
  <c r="Z123" i="6"/>
  <c r="Y123" i="6"/>
  <c r="P123" i="6" s="1" a="1"/>
  <c r="P123" i="6" s="1"/>
  <c r="X123" i="6"/>
  <c r="H123" i="6" s="1" a="1"/>
  <c r="H123" i="6" s="1"/>
  <c r="O123" i="6"/>
  <c r="N123" i="6"/>
  <c r="M123" i="6"/>
  <c r="G123" i="6" a="1"/>
  <c r="G123" i="6" s="1"/>
  <c r="AB122" i="6"/>
  <c r="Z122" i="6"/>
  <c r="Y122" i="6"/>
  <c r="P122" i="6" s="1" a="1"/>
  <c r="P122" i="6" s="1"/>
  <c r="X122" i="6"/>
  <c r="I122" i="6" s="1" a="1"/>
  <c r="I122" i="6" s="1"/>
  <c r="O122" i="6"/>
  <c r="N122" i="6"/>
  <c r="M122" i="6"/>
  <c r="G122" i="6" a="1"/>
  <c r="G122" i="6" s="1"/>
  <c r="AB121" i="6"/>
  <c r="Z121" i="6"/>
  <c r="Y121" i="6"/>
  <c r="P121" i="6" s="1" a="1"/>
  <c r="P121" i="6" s="1"/>
  <c r="X121" i="6"/>
  <c r="H121" i="6" s="1" a="1"/>
  <c r="H121" i="6" s="1"/>
  <c r="O121" i="6"/>
  <c r="N121" i="6"/>
  <c r="M121" i="6"/>
  <c r="G121" i="6" a="1"/>
  <c r="G121" i="6" s="1"/>
  <c r="AB120" i="6"/>
  <c r="Z120" i="6"/>
  <c r="Y120" i="6"/>
  <c r="P120" i="6" s="1" a="1"/>
  <c r="P120" i="6" s="1"/>
  <c r="X120" i="6"/>
  <c r="H120" i="6" s="1" a="1"/>
  <c r="H120" i="6" s="1"/>
  <c r="O120" i="6"/>
  <c r="N120" i="6"/>
  <c r="M120" i="6"/>
  <c r="G120" i="6" a="1"/>
  <c r="G120" i="6" s="1"/>
  <c r="AB119" i="6"/>
  <c r="Z119" i="6"/>
  <c r="Y119" i="6"/>
  <c r="P119" i="6" s="1" a="1"/>
  <c r="P119" i="6" s="1"/>
  <c r="X119" i="6"/>
  <c r="I119" i="6" s="1" a="1"/>
  <c r="I119" i="6" s="1"/>
  <c r="O119" i="6"/>
  <c r="N119" i="6"/>
  <c r="M119" i="6"/>
  <c r="G119" i="6" a="1"/>
  <c r="G119" i="6" s="1"/>
  <c r="AB118" i="6"/>
  <c r="Z118" i="6"/>
  <c r="Y118" i="6"/>
  <c r="P118" i="6" s="1" a="1"/>
  <c r="P118" i="6" s="1"/>
  <c r="X118" i="6"/>
  <c r="I118" i="6" s="1" a="1"/>
  <c r="I118" i="6" s="1"/>
  <c r="O118" i="6"/>
  <c r="N118" i="6"/>
  <c r="M118" i="6"/>
  <c r="G118" i="6" a="1"/>
  <c r="G118" i="6" s="1"/>
  <c r="AB117" i="6"/>
  <c r="Z117" i="6"/>
  <c r="Y117" i="6"/>
  <c r="P117" i="6" s="1" a="1"/>
  <c r="P117" i="6" s="1"/>
  <c r="X117" i="6"/>
  <c r="H117" i="6" s="1" a="1"/>
  <c r="H117" i="6" s="1"/>
  <c r="O117" i="6"/>
  <c r="N117" i="6"/>
  <c r="M117" i="6"/>
  <c r="G117" i="6" a="1"/>
  <c r="G117" i="6" s="1"/>
  <c r="AB116" i="6"/>
  <c r="Z116" i="6"/>
  <c r="Y116" i="6"/>
  <c r="P116" i="6" s="1" a="1"/>
  <c r="P116" i="6" s="1"/>
  <c r="X116" i="6"/>
  <c r="I116" i="6" s="1" a="1"/>
  <c r="I116" i="6" s="1"/>
  <c r="O116" i="6"/>
  <c r="N116" i="6"/>
  <c r="M116" i="6"/>
  <c r="G116" i="6" a="1"/>
  <c r="G116" i="6" s="1"/>
  <c r="AB115" i="6"/>
  <c r="Z115" i="6"/>
  <c r="Y115" i="6"/>
  <c r="P115" i="6" s="1" a="1"/>
  <c r="P115" i="6" s="1"/>
  <c r="X115" i="6"/>
  <c r="H115" i="6" s="1" a="1"/>
  <c r="H115" i="6" s="1"/>
  <c r="O115" i="6"/>
  <c r="N115" i="6"/>
  <c r="M115" i="6"/>
  <c r="G115" i="6" a="1"/>
  <c r="G115" i="6" s="1"/>
  <c r="AB114" i="6"/>
  <c r="Z114" i="6"/>
  <c r="Y114" i="6"/>
  <c r="P114" i="6" s="1" a="1"/>
  <c r="P114" i="6" s="1"/>
  <c r="X114" i="6"/>
  <c r="I114" i="6" s="1" a="1"/>
  <c r="I114" i="6" s="1"/>
  <c r="O114" i="6"/>
  <c r="N114" i="6"/>
  <c r="M114" i="6"/>
  <c r="G114" i="6" a="1"/>
  <c r="G114" i="6" s="1"/>
  <c r="AB113" i="6"/>
  <c r="Z113" i="6"/>
  <c r="Y113" i="6"/>
  <c r="P113" i="6" s="1" a="1"/>
  <c r="P113" i="6" s="1"/>
  <c r="X113" i="6"/>
  <c r="H113" i="6" s="1" a="1"/>
  <c r="H113" i="6" s="1"/>
  <c r="O113" i="6"/>
  <c r="N113" i="6"/>
  <c r="M113" i="6"/>
  <c r="G113" i="6" a="1"/>
  <c r="G113" i="6" s="1"/>
  <c r="AB112" i="6"/>
  <c r="Z112" i="6"/>
  <c r="Y112" i="6"/>
  <c r="P112" i="6" s="1" a="1"/>
  <c r="P112" i="6" s="1"/>
  <c r="X112" i="6"/>
  <c r="I112" i="6" s="1" a="1"/>
  <c r="I112" i="6" s="1"/>
  <c r="O112" i="6"/>
  <c r="N112" i="6"/>
  <c r="M112" i="6"/>
  <c r="G112" i="6" a="1"/>
  <c r="G112" i="6" s="1"/>
  <c r="AB111" i="6"/>
  <c r="Z111" i="6"/>
  <c r="Y111" i="6"/>
  <c r="P111" i="6" s="1" a="1"/>
  <c r="P111" i="6" s="1"/>
  <c r="X111" i="6"/>
  <c r="I111" i="6" s="1" a="1"/>
  <c r="I111" i="6" s="1"/>
  <c r="O111" i="6"/>
  <c r="N111" i="6"/>
  <c r="M111" i="6"/>
  <c r="G111" i="6" a="1"/>
  <c r="G111" i="6" s="1"/>
  <c r="AB110" i="6"/>
  <c r="Z110" i="6"/>
  <c r="Y110" i="6"/>
  <c r="P110" i="6" s="1" a="1"/>
  <c r="P110" i="6" s="1"/>
  <c r="X110" i="6"/>
  <c r="H110" i="6" s="1" a="1"/>
  <c r="H110" i="6" s="1"/>
  <c r="O110" i="6"/>
  <c r="N110" i="6"/>
  <c r="M110" i="6"/>
  <c r="G110" i="6" a="1"/>
  <c r="G110" i="6" s="1"/>
  <c r="AB109" i="6"/>
  <c r="Z109" i="6"/>
  <c r="Y109" i="6"/>
  <c r="P109" i="6" s="1" a="1"/>
  <c r="P109" i="6" s="1"/>
  <c r="X109" i="6"/>
  <c r="I109" i="6" s="1" a="1"/>
  <c r="I109" i="6" s="1"/>
  <c r="O109" i="6"/>
  <c r="N109" i="6"/>
  <c r="M109" i="6"/>
  <c r="G109" i="6" a="1"/>
  <c r="G109" i="6" s="1"/>
  <c r="AB108" i="6"/>
  <c r="Z108" i="6"/>
  <c r="Y108" i="6"/>
  <c r="P108" i="6" s="1" a="1"/>
  <c r="P108" i="6" s="1"/>
  <c r="X108" i="6"/>
  <c r="H108" i="6" s="1" a="1"/>
  <c r="H108" i="6" s="1"/>
  <c r="O108" i="6"/>
  <c r="N108" i="6"/>
  <c r="M108" i="6"/>
  <c r="G108" i="6" a="1"/>
  <c r="G108" i="6" s="1"/>
  <c r="AB107" i="6"/>
  <c r="Z107" i="6"/>
  <c r="Y107" i="6"/>
  <c r="P107" i="6" s="1" a="1"/>
  <c r="P107" i="6" s="1"/>
  <c r="X107" i="6"/>
  <c r="I107" i="6" s="1" a="1"/>
  <c r="I107" i="6" s="1"/>
  <c r="O107" i="6"/>
  <c r="N107" i="6"/>
  <c r="M107" i="6"/>
  <c r="G107" i="6" a="1"/>
  <c r="G107" i="6" s="1"/>
  <c r="AB106" i="6"/>
  <c r="Z106" i="6"/>
  <c r="Y106" i="6"/>
  <c r="P106" i="6" s="1" a="1"/>
  <c r="P106" i="6" s="1"/>
  <c r="X106" i="6"/>
  <c r="I106" i="6" s="1" a="1"/>
  <c r="I106" i="6" s="1"/>
  <c r="O106" i="6"/>
  <c r="N106" i="6"/>
  <c r="M106" i="6"/>
  <c r="G106" i="6" a="1"/>
  <c r="G106" i="6" s="1"/>
  <c r="AB105" i="6"/>
  <c r="Z105" i="6"/>
  <c r="Y105" i="6"/>
  <c r="P105" i="6" s="1" a="1"/>
  <c r="P105" i="6" s="1"/>
  <c r="X105" i="6"/>
  <c r="I105" i="6" s="1" a="1"/>
  <c r="I105" i="6" s="1"/>
  <c r="O105" i="6"/>
  <c r="N105" i="6"/>
  <c r="M105" i="6"/>
  <c r="G105" i="6" a="1"/>
  <c r="G105" i="6" s="1"/>
  <c r="AB104" i="6"/>
  <c r="Z104" i="6"/>
  <c r="Y104" i="6"/>
  <c r="P104" i="6" s="1" a="1"/>
  <c r="P104" i="6" s="1"/>
  <c r="X104" i="6"/>
  <c r="H104" i="6" s="1" a="1"/>
  <c r="H104" i="6" s="1"/>
  <c r="O104" i="6"/>
  <c r="N104" i="6"/>
  <c r="M104" i="6"/>
  <c r="G104" i="6" a="1"/>
  <c r="G104" i="6" s="1"/>
  <c r="AB103" i="6"/>
  <c r="Z103" i="6"/>
  <c r="Y103" i="6"/>
  <c r="P103" i="6" s="1" a="1"/>
  <c r="P103" i="6" s="1"/>
  <c r="X103" i="6"/>
  <c r="I103" i="6" s="1" a="1"/>
  <c r="I103" i="6" s="1"/>
  <c r="O103" i="6"/>
  <c r="N103" i="6"/>
  <c r="M103" i="6"/>
  <c r="G103" i="6" a="1"/>
  <c r="G103" i="6" s="1"/>
  <c r="AB102" i="6"/>
  <c r="Z102" i="6"/>
  <c r="Y102" i="6"/>
  <c r="P102" i="6" s="1" a="1"/>
  <c r="P102" i="6" s="1"/>
  <c r="X102" i="6"/>
  <c r="I102" i="6" s="1" a="1"/>
  <c r="I102" i="6" s="1"/>
  <c r="O102" i="6"/>
  <c r="N102" i="6"/>
  <c r="M102" i="6"/>
  <c r="G102" i="6" a="1"/>
  <c r="G102" i="6" s="1"/>
  <c r="AB101" i="6"/>
  <c r="Z101" i="6"/>
  <c r="Y101" i="6"/>
  <c r="P101" i="6" s="1" a="1"/>
  <c r="P101" i="6" s="1"/>
  <c r="X101" i="6"/>
  <c r="I101" i="6" s="1" a="1"/>
  <c r="I101" i="6" s="1"/>
  <c r="O101" i="6"/>
  <c r="N101" i="6"/>
  <c r="M101" i="6"/>
  <c r="G101" i="6" a="1"/>
  <c r="G101" i="6" s="1"/>
  <c r="AB100" i="6"/>
  <c r="Z100" i="6"/>
  <c r="Y100" i="6"/>
  <c r="P100" i="6" s="1" a="1"/>
  <c r="P100" i="6" s="1"/>
  <c r="X100" i="6"/>
  <c r="I100" i="6" s="1" a="1"/>
  <c r="I100" i="6" s="1"/>
  <c r="O100" i="6"/>
  <c r="N100" i="6"/>
  <c r="M100" i="6"/>
  <c r="G100" i="6" a="1"/>
  <c r="G100" i="6" s="1"/>
  <c r="AB99" i="6"/>
  <c r="Z99" i="6"/>
  <c r="Y99" i="6"/>
  <c r="P99" i="6" s="1" a="1"/>
  <c r="P99" i="6" s="1"/>
  <c r="X99" i="6"/>
  <c r="I99" i="6" s="1" a="1"/>
  <c r="I99" i="6" s="1"/>
  <c r="O99" i="6"/>
  <c r="N99" i="6"/>
  <c r="M99" i="6"/>
  <c r="G99" i="6" a="1"/>
  <c r="G99" i="6" s="1"/>
  <c r="AB98" i="6"/>
  <c r="Z98" i="6"/>
  <c r="Y98" i="6"/>
  <c r="P98" i="6" s="1" a="1"/>
  <c r="P98" i="6" s="1"/>
  <c r="X98" i="6"/>
  <c r="H98" i="6" s="1" a="1"/>
  <c r="H98" i="6" s="1"/>
  <c r="O98" i="6"/>
  <c r="N98" i="6"/>
  <c r="M98" i="6"/>
  <c r="G98" i="6" a="1"/>
  <c r="G98" i="6" s="1"/>
  <c r="AB97" i="6"/>
  <c r="Z97" i="6"/>
  <c r="Y97" i="6"/>
  <c r="P97" i="6" s="1" a="1"/>
  <c r="P97" i="6" s="1"/>
  <c r="X97" i="6"/>
  <c r="I97" i="6" s="1" a="1"/>
  <c r="I97" i="6" s="1"/>
  <c r="O97" i="6"/>
  <c r="N97" i="6"/>
  <c r="M97" i="6"/>
  <c r="G97" i="6" a="1"/>
  <c r="G97" i="6" s="1"/>
  <c r="AB96" i="6"/>
  <c r="Z96" i="6"/>
  <c r="Y96" i="6"/>
  <c r="P96" i="6" s="1" a="1"/>
  <c r="P96" i="6" s="1"/>
  <c r="X96" i="6"/>
  <c r="I96" i="6" s="1" a="1"/>
  <c r="I96" i="6" s="1"/>
  <c r="O96" i="6"/>
  <c r="N96" i="6"/>
  <c r="M96" i="6"/>
  <c r="G96" i="6" a="1"/>
  <c r="G96" i="6" s="1"/>
  <c r="AB95" i="6"/>
  <c r="Z95" i="6"/>
  <c r="Y95" i="6"/>
  <c r="P95" i="6" s="1" a="1"/>
  <c r="P95" i="6" s="1"/>
  <c r="X95" i="6"/>
  <c r="I95" i="6" s="1" a="1"/>
  <c r="I95" i="6" s="1"/>
  <c r="O95" i="6"/>
  <c r="N95" i="6"/>
  <c r="M95" i="6"/>
  <c r="G95" i="6" a="1"/>
  <c r="G95" i="6" s="1"/>
  <c r="AB94" i="6"/>
  <c r="Z94" i="6"/>
  <c r="Y94" i="6"/>
  <c r="P94" i="6" s="1" a="1"/>
  <c r="P94" i="6" s="1"/>
  <c r="X94" i="6"/>
  <c r="H94" i="6" s="1" a="1"/>
  <c r="H94" i="6" s="1"/>
  <c r="O94" i="6"/>
  <c r="N94" i="6"/>
  <c r="M94" i="6"/>
  <c r="G94" i="6" a="1"/>
  <c r="G94" i="6" s="1"/>
  <c r="AB93" i="6"/>
  <c r="Z93" i="6"/>
  <c r="Y93" i="6"/>
  <c r="P93" i="6" s="1" a="1"/>
  <c r="P93" i="6" s="1"/>
  <c r="X93" i="6"/>
  <c r="I93" i="6" s="1" a="1"/>
  <c r="I93" i="6" s="1"/>
  <c r="O93" i="6"/>
  <c r="N93" i="6"/>
  <c r="M93" i="6"/>
  <c r="G93" i="6" a="1"/>
  <c r="G93" i="6" s="1"/>
  <c r="AB92" i="6"/>
  <c r="Z92" i="6"/>
  <c r="Y92" i="6"/>
  <c r="P92" i="6" s="1" a="1"/>
  <c r="P92" i="6" s="1"/>
  <c r="X92" i="6"/>
  <c r="I92" i="6" s="1" a="1"/>
  <c r="I92" i="6" s="1"/>
  <c r="O92" i="6"/>
  <c r="N92" i="6"/>
  <c r="M92" i="6"/>
  <c r="G92" i="6" a="1"/>
  <c r="G92" i="6" s="1"/>
  <c r="AB91" i="6"/>
  <c r="Z91" i="6"/>
  <c r="Y91" i="6"/>
  <c r="P91" i="6" s="1" a="1"/>
  <c r="P91" i="6" s="1"/>
  <c r="X91" i="6"/>
  <c r="I91" i="6" s="1" a="1"/>
  <c r="I91" i="6" s="1"/>
  <c r="O91" i="6"/>
  <c r="N91" i="6"/>
  <c r="M91" i="6"/>
  <c r="G91" i="6" a="1"/>
  <c r="G91" i="6" s="1"/>
  <c r="AB90" i="6"/>
  <c r="Z90" i="6"/>
  <c r="Y90" i="6"/>
  <c r="P90" i="6" s="1" a="1"/>
  <c r="P90" i="6" s="1"/>
  <c r="X90" i="6"/>
  <c r="H90" i="6" s="1" a="1"/>
  <c r="H90" i="6" s="1"/>
  <c r="O90" i="6"/>
  <c r="N90" i="6"/>
  <c r="M90" i="6"/>
  <c r="G90" i="6" a="1"/>
  <c r="G90" i="6" s="1"/>
  <c r="AB89" i="6"/>
  <c r="Z89" i="6"/>
  <c r="Y89" i="6"/>
  <c r="P89" i="6" s="1" a="1"/>
  <c r="P89" i="6" s="1"/>
  <c r="X89" i="6"/>
  <c r="H89" i="6" s="1" a="1"/>
  <c r="H89" i="6" s="1"/>
  <c r="O89" i="6"/>
  <c r="N89" i="6"/>
  <c r="M89" i="6"/>
  <c r="G89" i="6" a="1"/>
  <c r="G89" i="6" s="1"/>
  <c r="AB88" i="6"/>
  <c r="Z88" i="6"/>
  <c r="Y88" i="6"/>
  <c r="P88" i="6" s="1" a="1"/>
  <c r="P88" i="6" s="1"/>
  <c r="X88" i="6"/>
  <c r="H88" i="6" s="1" a="1"/>
  <c r="H88" i="6" s="1"/>
  <c r="O88" i="6"/>
  <c r="N88" i="6"/>
  <c r="M88" i="6"/>
  <c r="G88" i="6" a="1"/>
  <c r="G88" i="6" s="1"/>
  <c r="AB87" i="6"/>
  <c r="Z87" i="6"/>
  <c r="Y87" i="6"/>
  <c r="P87" i="6" s="1" a="1"/>
  <c r="P87" i="6" s="1"/>
  <c r="X87" i="6"/>
  <c r="H87" i="6" s="1" a="1"/>
  <c r="H87" i="6" s="1"/>
  <c r="O87" i="6"/>
  <c r="N87" i="6"/>
  <c r="M87" i="6"/>
  <c r="G87" i="6" a="1"/>
  <c r="G87" i="6" s="1"/>
  <c r="AB86" i="6"/>
  <c r="Z86" i="6"/>
  <c r="Y86" i="6"/>
  <c r="P86" i="6" s="1" a="1"/>
  <c r="P86" i="6" s="1"/>
  <c r="X86" i="6"/>
  <c r="H86" i="6" s="1" a="1"/>
  <c r="H86" i="6" s="1"/>
  <c r="O86" i="6"/>
  <c r="N86" i="6"/>
  <c r="M86" i="6"/>
  <c r="G86" i="6" a="1"/>
  <c r="G86" i="6" s="1"/>
  <c r="AB85" i="6"/>
  <c r="Z85" i="6"/>
  <c r="Y85" i="6"/>
  <c r="P85" i="6" s="1" a="1"/>
  <c r="P85" i="6" s="1"/>
  <c r="X85" i="6"/>
  <c r="H85" i="6" s="1" a="1"/>
  <c r="H85" i="6" s="1"/>
  <c r="O85" i="6"/>
  <c r="N85" i="6"/>
  <c r="M85" i="6"/>
  <c r="G85" i="6" a="1"/>
  <c r="G85" i="6" s="1"/>
  <c r="AB84" i="6"/>
  <c r="Z84" i="6"/>
  <c r="Y84" i="6"/>
  <c r="P84" i="6" s="1" a="1"/>
  <c r="P84" i="6" s="1"/>
  <c r="X84" i="6"/>
  <c r="I84" i="6" s="1" a="1"/>
  <c r="I84" i="6" s="1"/>
  <c r="O84" i="6"/>
  <c r="N84" i="6"/>
  <c r="M84" i="6"/>
  <c r="G84" i="6" a="1"/>
  <c r="G84" i="6" s="1"/>
  <c r="AB83" i="6"/>
  <c r="Z83" i="6"/>
  <c r="Y83" i="6"/>
  <c r="P83" i="6" s="1" a="1"/>
  <c r="P83" i="6" s="1"/>
  <c r="X83" i="6"/>
  <c r="I83" i="6" s="1" a="1"/>
  <c r="I83" i="6" s="1"/>
  <c r="O83" i="6"/>
  <c r="N83" i="6"/>
  <c r="M83" i="6"/>
  <c r="G83" i="6" a="1"/>
  <c r="G83" i="6" s="1"/>
  <c r="AB82" i="6"/>
  <c r="Z82" i="6"/>
  <c r="Y82" i="6"/>
  <c r="P82" i="6" s="1" a="1"/>
  <c r="P82" i="6" s="1"/>
  <c r="X82" i="6"/>
  <c r="I82" i="6" s="1" a="1"/>
  <c r="I82" i="6" s="1"/>
  <c r="O82" i="6"/>
  <c r="N82" i="6"/>
  <c r="M82" i="6"/>
  <c r="G82" i="6" a="1"/>
  <c r="G82" i="6" s="1"/>
  <c r="AB81" i="6"/>
  <c r="Z81" i="6"/>
  <c r="Y81" i="6"/>
  <c r="P81" i="6" s="1" a="1"/>
  <c r="P81" i="6" s="1"/>
  <c r="X81" i="6"/>
  <c r="I81" i="6" s="1" a="1"/>
  <c r="I81" i="6" s="1"/>
  <c r="O81" i="6"/>
  <c r="N81" i="6"/>
  <c r="M81" i="6"/>
  <c r="G81" i="6" a="1"/>
  <c r="G81" i="6" s="1"/>
  <c r="AB80" i="6"/>
  <c r="Z80" i="6"/>
  <c r="Y80" i="6"/>
  <c r="P80" i="6" s="1" a="1"/>
  <c r="P80" i="6" s="1"/>
  <c r="X80" i="6"/>
  <c r="I80" i="6" s="1" a="1"/>
  <c r="I80" i="6" s="1"/>
  <c r="O80" i="6"/>
  <c r="N80" i="6"/>
  <c r="M80" i="6"/>
  <c r="G80" i="6" a="1"/>
  <c r="G80" i="6" s="1"/>
  <c r="AB79" i="6"/>
  <c r="Z79" i="6"/>
  <c r="Y79" i="6"/>
  <c r="P79" i="6" s="1" a="1"/>
  <c r="P79" i="6" s="1"/>
  <c r="X79" i="6"/>
  <c r="H79" i="6" s="1" a="1"/>
  <c r="H79" i="6" s="1"/>
  <c r="O79" i="6"/>
  <c r="N79" i="6"/>
  <c r="M79" i="6"/>
  <c r="G79" i="6" a="1"/>
  <c r="G79" i="6" s="1"/>
  <c r="AB78" i="6"/>
  <c r="Z78" i="6"/>
  <c r="Y78" i="6"/>
  <c r="P78" i="6" s="1" a="1"/>
  <c r="P78" i="6" s="1"/>
  <c r="X78" i="6"/>
  <c r="I78" i="6" s="1" a="1"/>
  <c r="I78" i="6" s="1"/>
  <c r="O78" i="6"/>
  <c r="N78" i="6"/>
  <c r="M78" i="6"/>
  <c r="G78" i="6" a="1"/>
  <c r="G78" i="6" s="1"/>
  <c r="AB77" i="6"/>
  <c r="Z77" i="6"/>
  <c r="Y77" i="6"/>
  <c r="P77" i="6" s="1" a="1"/>
  <c r="P77" i="6" s="1"/>
  <c r="X77" i="6"/>
  <c r="I77" i="6" s="1" a="1"/>
  <c r="I77" i="6" s="1"/>
  <c r="O77" i="6"/>
  <c r="N77" i="6"/>
  <c r="M77" i="6"/>
  <c r="G77" i="6" a="1"/>
  <c r="G77" i="6" s="1"/>
  <c r="AB76" i="6"/>
  <c r="Z76" i="6"/>
  <c r="Y76" i="6"/>
  <c r="P76" i="6" s="1" a="1"/>
  <c r="P76" i="6" s="1"/>
  <c r="X76" i="6"/>
  <c r="I76" i="6" s="1" a="1"/>
  <c r="I76" i="6" s="1"/>
  <c r="O76" i="6"/>
  <c r="N76" i="6"/>
  <c r="M76" i="6"/>
  <c r="G76" i="6" a="1"/>
  <c r="G76" i="6" s="1"/>
  <c r="AB75" i="6"/>
  <c r="Z75" i="6"/>
  <c r="Y75" i="6"/>
  <c r="P75" i="6" s="1" a="1"/>
  <c r="P75" i="6" s="1"/>
  <c r="X75" i="6"/>
  <c r="I75" i="6" s="1" a="1"/>
  <c r="I75" i="6" s="1"/>
  <c r="O75" i="6"/>
  <c r="N75" i="6"/>
  <c r="M75" i="6"/>
  <c r="G75" i="6" a="1"/>
  <c r="G75" i="6" s="1"/>
  <c r="AB74" i="6"/>
  <c r="Z74" i="6"/>
  <c r="Y74" i="6"/>
  <c r="P74" i="6" s="1" a="1"/>
  <c r="P74" i="6" s="1"/>
  <c r="X74" i="6"/>
  <c r="I74" i="6" s="1" a="1"/>
  <c r="I74" i="6" s="1"/>
  <c r="O74" i="6"/>
  <c r="N74" i="6"/>
  <c r="M74" i="6"/>
  <c r="G74" i="6" a="1"/>
  <c r="G74" i="6" s="1"/>
  <c r="AB73" i="6"/>
  <c r="Z73" i="6"/>
  <c r="Y73" i="6"/>
  <c r="P73" i="6" s="1" a="1"/>
  <c r="P73" i="6" s="1"/>
  <c r="X73" i="6"/>
  <c r="I73" i="6" s="1" a="1"/>
  <c r="I73" i="6" s="1"/>
  <c r="O73" i="6"/>
  <c r="N73" i="6"/>
  <c r="M73" i="6"/>
  <c r="G73" i="6" a="1"/>
  <c r="G73" i="6" s="1"/>
  <c r="AB72" i="6"/>
  <c r="Z72" i="6"/>
  <c r="Y72" i="6"/>
  <c r="P72" i="6" s="1" a="1"/>
  <c r="P72" i="6" s="1"/>
  <c r="X72" i="6"/>
  <c r="I72" i="6" s="1" a="1"/>
  <c r="I72" i="6" s="1"/>
  <c r="O72" i="6"/>
  <c r="N72" i="6"/>
  <c r="M72" i="6"/>
  <c r="G72" i="6" a="1"/>
  <c r="G72" i="6" s="1"/>
  <c r="AB71" i="6"/>
  <c r="Z71" i="6"/>
  <c r="Y71" i="6"/>
  <c r="P71" i="6" s="1" a="1"/>
  <c r="P71" i="6" s="1"/>
  <c r="X71" i="6"/>
  <c r="I71" i="6" s="1" a="1"/>
  <c r="I71" i="6" s="1"/>
  <c r="O71" i="6"/>
  <c r="N71" i="6"/>
  <c r="M71" i="6"/>
  <c r="G71" i="6" a="1"/>
  <c r="G71" i="6" s="1"/>
  <c r="AB70" i="6"/>
  <c r="Z70" i="6"/>
  <c r="Y70" i="6"/>
  <c r="P70" i="6" s="1" a="1"/>
  <c r="P70" i="6" s="1"/>
  <c r="X70" i="6"/>
  <c r="I70" i="6" s="1" a="1"/>
  <c r="I70" i="6" s="1"/>
  <c r="O70" i="6"/>
  <c r="N70" i="6"/>
  <c r="M70" i="6"/>
  <c r="G70" i="6" a="1"/>
  <c r="G70" i="6" s="1"/>
  <c r="AB69" i="6"/>
  <c r="Z69" i="6"/>
  <c r="Y69" i="6"/>
  <c r="P69" i="6" s="1" a="1"/>
  <c r="P69" i="6" s="1"/>
  <c r="X69" i="6"/>
  <c r="I69" i="6" s="1" a="1"/>
  <c r="I69" i="6" s="1"/>
  <c r="O69" i="6"/>
  <c r="N69" i="6"/>
  <c r="M69" i="6"/>
  <c r="G69" i="6" a="1"/>
  <c r="G69" i="6" s="1"/>
  <c r="AB68" i="6"/>
  <c r="Z68" i="6"/>
  <c r="Y68" i="6"/>
  <c r="P68" i="6" s="1" a="1"/>
  <c r="P68" i="6" s="1"/>
  <c r="X68" i="6"/>
  <c r="I68" i="6" s="1" a="1"/>
  <c r="I68" i="6" s="1"/>
  <c r="O68" i="6"/>
  <c r="N68" i="6"/>
  <c r="M68" i="6"/>
  <c r="G68" i="6" a="1"/>
  <c r="G68" i="6" s="1"/>
  <c r="AB67" i="6"/>
  <c r="Z67" i="6"/>
  <c r="Y67" i="6"/>
  <c r="P67" i="6" s="1" a="1"/>
  <c r="P67" i="6" s="1"/>
  <c r="X67" i="6"/>
  <c r="H67" i="6" s="1" a="1"/>
  <c r="H67" i="6" s="1"/>
  <c r="O67" i="6"/>
  <c r="N67" i="6"/>
  <c r="M67" i="6"/>
  <c r="G67" i="6" a="1"/>
  <c r="G67" i="6" s="1"/>
  <c r="AB66" i="6"/>
  <c r="Z66" i="6"/>
  <c r="Y66" i="6"/>
  <c r="P66" i="6" s="1" a="1"/>
  <c r="P66" i="6" s="1"/>
  <c r="X66" i="6"/>
  <c r="I66" i="6" s="1" a="1"/>
  <c r="I66" i="6" s="1"/>
  <c r="O66" i="6"/>
  <c r="N66" i="6"/>
  <c r="M66" i="6"/>
  <c r="G66" i="6" a="1"/>
  <c r="G66" i="6" s="1"/>
  <c r="AB65" i="6"/>
  <c r="Z65" i="6"/>
  <c r="Y65" i="6"/>
  <c r="P65" i="6" s="1" a="1"/>
  <c r="P65" i="6" s="1"/>
  <c r="X65" i="6"/>
  <c r="I65" i="6" s="1" a="1"/>
  <c r="I65" i="6" s="1"/>
  <c r="O65" i="6"/>
  <c r="N65" i="6"/>
  <c r="M65" i="6"/>
  <c r="G65" i="6" a="1"/>
  <c r="G65" i="6" s="1"/>
  <c r="AB64" i="6"/>
  <c r="Z64" i="6"/>
  <c r="Y64" i="6"/>
  <c r="P64" i="6" s="1" a="1"/>
  <c r="P64" i="6" s="1"/>
  <c r="X64" i="6"/>
  <c r="H64" i="6" s="1" a="1"/>
  <c r="H64" i="6" s="1"/>
  <c r="O64" i="6"/>
  <c r="N64" i="6"/>
  <c r="M64" i="6"/>
  <c r="G64" i="6" a="1"/>
  <c r="G64" i="6" s="1"/>
  <c r="AB63" i="6"/>
  <c r="Z63" i="6"/>
  <c r="Y63" i="6"/>
  <c r="P63" i="6" s="1" a="1"/>
  <c r="P63" i="6" s="1"/>
  <c r="X63" i="6"/>
  <c r="I63" i="6" s="1" a="1"/>
  <c r="I63" i="6" s="1"/>
  <c r="O63" i="6"/>
  <c r="N63" i="6"/>
  <c r="M63" i="6"/>
  <c r="G63" i="6" a="1"/>
  <c r="G63" i="6" s="1"/>
  <c r="AB62" i="6"/>
  <c r="Z62" i="6"/>
  <c r="Y62" i="6"/>
  <c r="P62" i="6" s="1" a="1"/>
  <c r="P62" i="6" s="1"/>
  <c r="X62" i="6"/>
  <c r="I62" i="6" s="1" a="1"/>
  <c r="I62" i="6" s="1"/>
  <c r="O62" i="6"/>
  <c r="N62" i="6"/>
  <c r="M62" i="6"/>
  <c r="G62" i="6" a="1"/>
  <c r="G62" i="6" s="1"/>
  <c r="AB61" i="6"/>
  <c r="Z61" i="6"/>
  <c r="Y61" i="6"/>
  <c r="P61" i="6" s="1" a="1"/>
  <c r="P61" i="6" s="1"/>
  <c r="X61" i="6"/>
  <c r="I61" i="6" s="1" a="1"/>
  <c r="I61" i="6" s="1"/>
  <c r="O61" i="6"/>
  <c r="N61" i="6"/>
  <c r="M61" i="6"/>
  <c r="G61" i="6" a="1"/>
  <c r="G61" i="6" s="1"/>
  <c r="AB60" i="6"/>
  <c r="Z60" i="6"/>
  <c r="Y60" i="6"/>
  <c r="P60" i="6" s="1" a="1"/>
  <c r="P60" i="6" s="1"/>
  <c r="X60" i="6"/>
  <c r="H60" i="6" s="1" a="1"/>
  <c r="H60" i="6" s="1"/>
  <c r="O60" i="6"/>
  <c r="N60" i="6"/>
  <c r="M60" i="6"/>
  <c r="G60" i="6" a="1"/>
  <c r="G60" i="6" s="1"/>
  <c r="AB59" i="6"/>
  <c r="Z59" i="6"/>
  <c r="Y59" i="6"/>
  <c r="P59" i="6" s="1" a="1"/>
  <c r="P59" i="6" s="1"/>
  <c r="X59" i="6"/>
  <c r="I59" i="6" s="1" a="1"/>
  <c r="I59" i="6" s="1"/>
  <c r="O59" i="6"/>
  <c r="N59" i="6"/>
  <c r="M59" i="6"/>
  <c r="G59" i="6" a="1"/>
  <c r="G59" i="6" s="1"/>
  <c r="AB58" i="6"/>
  <c r="Z58" i="6"/>
  <c r="Y58" i="6"/>
  <c r="P58" i="6" s="1" a="1"/>
  <c r="P58" i="6" s="1"/>
  <c r="X58" i="6"/>
  <c r="I58" i="6" s="1" a="1"/>
  <c r="I58" i="6" s="1"/>
  <c r="O58" i="6"/>
  <c r="N58" i="6"/>
  <c r="M58" i="6"/>
  <c r="G58" i="6" a="1"/>
  <c r="G58" i="6" s="1"/>
  <c r="AB57" i="6"/>
  <c r="Z57" i="6"/>
  <c r="Y57" i="6"/>
  <c r="P57" i="6" s="1" a="1"/>
  <c r="P57" i="6" s="1"/>
  <c r="X57" i="6"/>
  <c r="I57" i="6" s="1" a="1"/>
  <c r="I57" i="6" s="1"/>
  <c r="O57" i="6"/>
  <c r="N57" i="6"/>
  <c r="M57" i="6"/>
  <c r="G57" i="6" a="1"/>
  <c r="G57" i="6" s="1"/>
  <c r="AB56" i="6"/>
  <c r="Z56" i="6"/>
  <c r="Y56" i="6"/>
  <c r="P56" i="6" s="1" a="1"/>
  <c r="P56" i="6" s="1"/>
  <c r="X56" i="6"/>
  <c r="I56" i="6" s="1" a="1"/>
  <c r="I56" i="6" s="1"/>
  <c r="O56" i="6"/>
  <c r="N56" i="6"/>
  <c r="M56" i="6"/>
  <c r="G56" i="6" a="1"/>
  <c r="G56" i="6" s="1"/>
  <c r="AB55" i="6"/>
  <c r="Z55" i="6"/>
  <c r="Y55" i="6"/>
  <c r="P55" i="6" s="1" a="1"/>
  <c r="P55" i="6" s="1"/>
  <c r="X55" i="6"/>
  <c r="H55" i="6" s="1" a="1"/>
  <c r="H55" i="6" s="1"/>
  <c r="O55" i="6"/>
  <c r="N55" i="6"/>
  <c r="M55" i="6"/>
  <c r="G55" i="6" a="1"/>
  <c r="G55" i="6" s="1"/>
  <c r="AB54" i="6"/>
  <c r="Z54" i="6"/>
  <c r="Y54" i="6"/>
  <c r="P54" i="6" s="1" a="1"/>
  <c r="P54" i="6" s="1"/>
  <c r="X54" i="6"/>
  <c r="I54" i="6" s="1" a="1"/>
  <c r="I54" i="6" s="1"/>
  <c r="O54" i="6"/>
  <c r="N54" i="6"/>
  <c r="M54" i="6"/>
  <c r="G54" i="6" a="1"/>
  <c r="G54" i="6" s="1"/>
  <c r="AB53" i="6"/>
  <c r="Z53" i="6"/>
  <c r="Y53" i="6"/>
  <c r="P53" i="6" s="1" a="1"/>
  <c r="P53" i="6" s="1"/>
  <c r="X53" i="6"/>
  <c r="I53" i="6" s="1" a="1"/>
  <c r="I53" i="6" s="1"/>
  <c r="O53" i="6"/>
  <c r="N53" i="6"/>
  <c r="M53" i="6"/>
  <c r="G53" i="6" a="1"/>
  <c r="G53" i="6" s="1"/>
  <c r="AB52" i="6"/>
  <c r="Z52" i="6"/>
  <c r="Y52" i="6"/>
  <c r="P52" i="6" s="1" a="1"/>
  <c r="P52" i="6" s="1"/>
  <c r="X52" i="6"/>
  <c r="I52" i="6" s="1" a="1"/>
  <c r="I52" i="6" s="1"/>
  <c r="O52" i="6"/>
  <c r="N52" i="6"/>
  <c r="M52" i="6"/>
  <c r="G52" i="6" a="1"/>
  <c r="G52" i="6" s="1"/>
  <c r="AB51" i="6"/>
  <c r="Z51" i="6"/>
  <c r="Y51" i="6"/>
  <c r="P51" i="6" s="1" a="1"/>
  <c r="P51" i="6" s="1"/>
  <c r="X51" i="6"/>
  <c r="I51" i="6" s="1" a="1"/>
  <c r="I51" i="6" s="1"/>
  <c r="O51" i="6"/>
  <c r="N51" i="6"/>
  <c r="M51" i="6"/>
  <c r="G51" i="6" a="1"/>
  <c r="G51" i="6" s="1"/>
  <c r="AB50" i="6"/>
  <c r="Z50" i="6"/>
  <c r="Y50" i="6"/>
  <c r="P50" i="6" s="1" a="1"/>
  <c r="P50" i="6" s="1"/>
  <c r="X50" i="6"/>
  <c r="I50" i="6" s="1" a="1"/>
  <c r="I50" i="6" s="1"/>
  <c r="O50" i="6"/>
  <c r="N50" i="6"/>
  <c r="M50" i="6"/>
  <c r="G50" i="6" a="1"/>
  <c r="G50" i="6" s="1"/>
  <c r="AB49" i="6"/>
  <c r="Z49" i="6"/>
  <c r="Y49" i="6"/>
  <c r="P49" i="6" s="1" a="1"/>
  <c r="P49" i="6" s="1"/>
  <c r="X49" i="6"/>
  <c r="I49" i="6" s="1" a="1"/>
  <c r="I49" i="6" s="1"/>
  <c r="O49" i="6"/>
  <c r="N49" i="6"/>
  <c r="M49" i="6"/>
  <c r="G49" i="6" a="1"/>
  <c r="G49" i="6" s="1"/>
  <c r="AB48" i="6"/>
  <c r="Z48" i="6"/>
  <c r="Y48" i="6"/>
  <c r="P48" i="6" s="1" a="1"/>
  <c r="P48" i="6" s="1"/>
  <c r="X48" i="6"/>
  <c r="I48" i="6" s="1" a="1"/>
  <c r="I48" i="6" s="1"/>
  <c r="O48" i="6"/>
  <c r="N48" i="6"/>
  <c r="M48" i="6"/>
  <c r="G48" i="6" a="1"/>
  <c r="G48" i="6" s="1"/>
  <c r="AB47" i="6"/>
  <c r="Z47" i="6"/>
  <c r="Y47" i="6"/>
  <c r="P47" i="6" s="1" a="1"/>
  <c r="P47" i="6" s="1"/>
  <c r="X47" i="6"/>
  <c r="I47" i="6" s="1" a="1"/>
  <c r="I47" i="6" s="1"/>
  <c r="O47" i="6"/>
  <c r="N47" i="6"/>
  <c r="M47" i="6"/>
  <c r="G47" i="6" a="1"/>
  <c r="G47" i="6" s="1"/>
  <c r="AB46" i="6"/>
  <c r="Z46" i="6"/>
  <c r="Y46" i="6"/>
  <c r="P46" i="6" s="1" a="1"/>
  <c r="P46" i="6" s="1"/>
  <c r="X46" i="6"/>
  <c r="I46" i="6" s="1" a="1"/>
  <c r="I46" i="6" s="1"/>
  <c r="O46" i="6"/>
  <c r="N46" i="6"/>
  <c r="M46" i="6"/>
  <c r="G46" i="6" a="1"/>
  <c r="G46" i="6" s="1"/>
  <c r="AB45" i="6"/>
  <c r="Z45" i="6"/>
  <c r="Y45" i="6"/>
  <c r="P45" i="6" s="1" a="1"/>
  <c r="P45" i="6" s="1"/>
  <c r="X45" i="6"/>
  <c r="I45" i="6" s="1" a="1"/>
  <c r="I45" i="6" s="1"/>
  <c r="O45" i="6"/>
  <c r="N45" i="6"/>
  <c r="M45" i="6"/>
  <c r="G45" i="6" a="1"/>
  <c r="G45" i="6" s="1"/>
  <c r="AB44" i="6"/>
  <c r="Z44" i="6"/>
  <c r="Y44" i="6"/>
  <c r="P44" i="6" s="1" a="1"/>
  <c r="P44" i="6" s="1"/>
  <c r="X44" i="6"/>
  <c r="I44" i="6" s="1" a="1"/>
  <c r="I44" i="6" s="1"/>
  <c r="O44" i="6"/>
  <c r="N44" i="6"/>
  <c r="M44" i="6"/>
  <c r="G44" i="6" a="1"/>
  <c r="G44" i="6" s="1"/>
  <c r="AB43" i="6"/>
  <c r="Z43" i="6"/>
  <c r="Y43" i="6"/>
  <c r="P43" i="6" s="1" a="1"/>
  <c r="P43" i="6" s="1"/>
  <c r="X43" i="6"/>
  <c r="H43" i="6" s="1" a="1"/>
  <c r="H43" i="6" s="1"/>
  <c r="O43" i="6"/>
  <c r="N43" i="6"/>
  <c r="M43" i="6"/>
  <c r="G43" i="6" a="1"/>
  <c r="G43" i="6" s="1"/>
  <c r="AB42" i="6"/>
  <c r="Z42" i="6"/>
  <c r="Y42" i="6"/>
  <c r="P42" i="6" s="1" a="1"/>
  <c r="P42" i="6" s="1"/>
  <c r="X42" i="6"/>
  <c r="I42" i="6" s="1" a="1"/>
  <c r="I42" i="6" s="1"/>
  <c r="O42" i="6"/>
  <c r="N42" i="6"/>
  <c r="M42" i="6"/>
  <c r="G42" i="6" a="1"/>
  <c r="G42" i="6" s="1"/>
  <c r="AB41" i="6"/>
  <c r="Z41" i="6"/>
  <c r="Y41" i="6"/>
  <c r="P41" i="6" s="1" a="1"/>
  <c r="P41" i="6" s="1"/>
  <c r="X41" i="6"/>
  <c r="I41" i="6" s="1" a="1"/>
  <c r="I41" i="6" s="1"/>
  <c r="O41" i="6"/>
  <c r="N41" i="6"/>
  <c r="M41" i="6"/>
  <c r="G41" i="6" a="1"/>
  <c r="G41" i="6" s="1"/>
  <c r="AB40" i="6"/>
  <c r="Z40" i="6"/>
  <c r="Y40" i="6"/>
  <c r="P40" i="6" s="1" a="1"/>
  <c r="P40" i="6" s="1"/>
  <c r="X40" i="6"/>
  <c r="I40" i="6" s="1" a="1"/>
  <c r="I40" i="6" s="1"/>
  <c r="O40" i="6"/>
  <c r="N40" i="6"/>
  <c r="M40" i="6"/>
  <c r="G40" i="6" a="1"/>
  <c r="G40" i="6" s="1"/>
  <c r="AB39" i="6"/>
  <c r="Z39" i="6"/>
  <c r="Y39" i="6"/>
  <c r="P39" i="6" s="1" a="1"/>
  <c r="P39" i="6" s="1"/>
  <c r="X39" i="6"/>
  <c r="H39" i="6" s="1" a="1"/>
  <c r="H39" i="6" s="1"/>
  <c r="O39" i="6"/>
  <c r="N39" i="6"/>
  <c r="M39" i="6"/>
  <c r="G39" i="6" a="1"/>
  <c r="G39" i="6" s="1"/>
  <c r="AB38" i="6"/>
  <c r="Z38" i="6"/>
  <c r="Y38" i="6"/>
  <c r="P38" i="6" s="1" a="1"/>
  <c r="P38" i="6" s="1"/>
  <c r="X38" i="6"/>
  <c r="I38" i="6" s="1" a="1"/>
  <c r="I38" i="6" s="1"/>
  <c r="O38" i="6"/>
  <c r="N38" i="6"/>
  <c r="M38" i="6"/>
  <c r="G38" i="6" a="1"/>
  <c r="G38" i="6" s="1"/>
  <c r="AB37" i="6"/>
  <c r="Z37" i="6"/>
  <c r="Y37" i="6"/>
  <c r="P37" i="6" s="1" a="1"/>
  <c r="P37" i="6" s="1"/>
  <c r="X37" i="6"/>
  <c r="I37" i="6" s="1" a="1"/>
  <c r="I37" i="6" s="1"/>
  <c r="O37" i="6"/>
  <c r="N37" i="6"/>
  <c r="M37" i="6"/>
  <c r="G37" i="6" a="1"/>
  <c r="G37" i="6" s="1"/>
  <c r="AB36" i="6"/>
  <c r="Z36" i="6"/>
  <c r="Y36" i="6"/>
  <c r="P36" i="6" s="1" a="1"/>
  <c r="P36" i="6" s="1"/>
  <c r="X36" i="6"/>
  <c r="I36" i="6" s="1" a="1"/>
  <c r="I36" i="6" s="1"/>
  <c r="O36" i="6"/>
  <c r="N36" i="6"/>
  <c r="M36" i="6"/>
  <c r="G36" i="6" a="1"/>
  <c r="G36" i="6" s="1"/>
  <c r="AB35" i="6"/>
  <c r="Z35" i="6"/>
  <c r="Y35" i="6"/>
  <c r="P35" i="6" s="1" a="1"/>
  <c r="P35" i="6" s="1"/>
  <c r="X35" i="6"/>
  <c r="I35" i="6" s="1" a="1"/>
  <c r="I35" i="6" s="1"/>
  <c r="O35" i="6"/>
  <c r="N35" i="6"/>
  <c r="M35" i="6"/>
  <c r="G35" i="6" a="1"/>
  <c r="G35" i="6" s="1"/>
  <c r="AB34" i="6"/>
  <c r="Z34" i="6"/>
  <c r="Y34" i="6"/>
  <c r="P34" i="6" s="1" a="1"/>
  <c r="P34" i="6" s="1"/>
  <c r="X34" i="6"/>
  <c r="I34" i="6" s="1" a="1"/>
  <c r="I34" i="6" s="1"/>
  <c r="O34" i="6"/>
  <c r="N34" i="6"/>
  <c r="M34" i="6"/>
  <c r="G34" i="6" a="1"/>
  <c r="G34" i="6" s="1"/>
  <c r="AB33" i="6"/>
  <c r="Z33" i="6"/>
  <c r="Y33" i="6"/>
  <c r="P33" i="6" s="1" a="1"/>
  <c r="P33" i="6" s="1"/>
  <c r="X33" i="6"/>
  <c r="I33" i="6" s="1" a="1"/>
  <c r="I33" i="6" s="1"/>
  <c r="O33" i="6"/>
  <c r="N33" i="6"/>
  <c r="M33" i="6"/>
  <c r="G33" i="6" a="1"/>
  <c r="G33" i="6" s="1"/>
  <c r="AB32" i="6"/>
  <c r="Z32" i="6"/>
  <c r="Y32" i="6"/>
  <c r="P32" i="6" s="1" a="1"/>
  <c r="P32" i="6" s="1"/>
  <c r="X32" i="6"/>
  <c r="I32" i="6" s="1" a="1"/>
  <c r="I32" i="6" s="1"/>
  <c r="O32" i="6"/>
  <c r="N32" i="6"/>
  <c r="M32" i="6"/>
  <c r="G32" i="6" a="1"/>
  <c r="G32" i="6" s="1"/>
  <c r="AB31" i="6"/>
  <c r="Z31" i="6"/>
  <c r="Y31" i="6"/>
  <c r="P31" i="6" s="1" a="1"/>
  <c r="P31" i="6" s="1"/>
  <c r="X31" i="6"/>
  <c r="H31" i="6" s="1" a="1"/>
  <c r="H31" i="6" s="1"/>
  <c r="O31" i="6"/>
  <c r="N31" i="6"/>
  <c r="M31" i="6"/>
  <c r="G31" i="6" a="1"/>
  <c r="G31" i="6" s="1"/>
  <c r="AB30" i="6"/>
  <c r="Z30" i="6"/>
  <c r="Y30" i="6"/>
  <c r="P30" i="6" s="1" a="1"/>
  <c r="P30" i="6" s="1"/>
  <c r="X30" i="6"/>
  <c r="I30" i="6" s="1" a="1"/>
  <c r="I30" i="6" s="1"/>
  <c r="O30" i="6"/>
  <c r="N30" i="6"/>
  <c r="M30" i="6"/>
  <c r="G30" i="6" a="1"/>
  <c r="G30" i="6" s="1"/>
  <c r="AB29" i="6"/>
  <c r="Z29" i="6"/>
  <c r="Y29" i="6"/>
  <c r="P29" i="6" s="1" a="1"/>
  <c r="P29" i="6" s="1"/>
  <c r="X29" i="6"/>
  <c r="I29" i="6" s="1" a="1"/>
  <c r="I29" i="6" s="1"/>
  <c r="O29" i="6"/>
  <c r="N29" i="6"/>
  <c r="M29" i="6"/>
  <c r="G29" i="6" a="1"/>
  <c r="G29" i="6" s="1"/>
  <c r="AB28" i="6"/>
  <c r="Z28" i="6"/>
  <c r="Y28" i="6"/>
  <c r="P28" i="6" s="1" a="1"/>
  <c r="P28" i="6" s="1"/>
  <c r="X28" i="6"/>
  <c r="I28" i="6" s="1" a="1"/>
  <c r="I28" i="6" s="1"/>
  <c r="O28" i="6"/>
  <c r="N28" i="6"/>
  <c r="M28" i="6"/>
  <c r="G28" i="6" a="1"/>
  <c r="G28" i="6" s="1"/>
  <c r="AB27" i="6"/>
  <c r="Z27" i="6"/>
  <c r="Y27" i="6"/>
  <c r="P27" i="6" s="1" a="1"/>
  <c r="P27" i="6" s="1"/>
  <c r="X27" i="6"/>
  <c r="I27" i="6" s="1" a="1"/>
  <c r="I27" i="6" s="1"/>
  <c r="O27" i="6"/>
  <c r="N27" i="6"/>
  <c r="M27" i="6"/>
  <c r="G27" i="6" a="1"/>
  <c r="G27" i="6" s="1"/>
  <c r="AB26" i="6"/>
  <c r="Z26" i="6"/>
  <c r="Y26" i="6"/>
  <c r="P26" i="6" s="1" a="1"/>
  <c r="P26" i="6" s="1"/>
  <c r="X26" i="6"/>
  <c r="I26" i="6" s="1" a="1"/>
  <c r="I26" i="6" s="1"/>
  <c r="O26" i="6"/>
  <c r="N26" i="6"/>
  <c r="M26" i="6"/>
  <c r="G26" i="6" a="1"/>
  <c r="G26" i="6" s="1"/>
  <c r="AB25" i="6"/>
  <c r="Z25" i="6"/>
  <c r="Y25" i="6"/>
  <c r="P25" i="6" s="1" a="1"/>
  <c r="P25" i="6" s="1"/>
  <c r="X25" i="6"/>
  <c r="I25" i="6" s="1" a="1"/>
  <c r="I25" i="6" s="1"/>
  <c r="O25" i="6"/>
  <c r="N25" i="6"/>
  <c r="M25" i="6"/>
  <c r="G25" i="6" a="1"/>
  <c r="G25" i="6" s="1"/>
  <c r="AB24" i="6"/>
  <c r="Z24" i="6"/>
  <c r="Y24" i="6"/>
  <c r="P24" i="6" s="1" a="1"/>
  <c r="P24" i="6" s="1"/>
  <c r="X24" i="6"/>
  <c r="I24" i="6" s="1" a="1"/>
  <c r="I24" i="6" s="1"/>
  <c r="O24" i="6"/>
  <c r="N24" i="6"/>
  <c r="M24" i="6"/>
  <c r="G24" i="6" a="1"/>
  <c r="G24" i="6" s="1"/>
  <c r="AB23" i="6"/>
  <c r="Z23" i="6"/>
  <c r="Y23" i="6"/>
  <c r="P23" i="6" s="1" a="1"/>
  <c r="P23" i="6" s="1"/>
  <c r="X23" i="6"/>
  <c r="I23" i="6" s="1" a="1"/>
  <c r="I23" i="6" s="1"/>
  <c r="O23" i="6"/>
  <c r="N23" i="6"/>
  <c r="M23" i="6"/>
  <c r="G23" i="6" a="1"/>
  <c r="G23" i="6" s="1"/>
  <c r="AB22" i="6"/>
  <c r="Z22" i="6"/>
  <c r="Y22" i="6"/>
  <c r="P22" i="6" s="1" a="1"/>
  <c r="P22" i="6" s="1"/>
  <c r="X22" i="6"/>
  <c r="I22" i="6" s="1" a="1"/>
  <c r="I22" i="6" s="1"/>
  <c r="O22" i="6"/>
  <c r="N22" i="6"/>
  <c r="M22" i="6"/>
  <c r="G22" i="6" a="1"/>
  <c r="G22" i="6" s="1"/>
  <c r="AB21" i="6"/>
  <c r="Z21" i="6"/>
  <c r="Y21" i="6"/>
  <c r="P21" i="6" s="1" a="1"/>
  <c r="P21" i="6" s="1"/>
  <c r="X21" i="6"/>
  <c r="I21" i="6" s="1" a="1"/>
  <c r="I21" i="6" s="1"/>
  <c r="O21" i="6"/>
  <c r="N21" i="6"/>
  <c r="M21" i="6"/>
  <c r="G21" i="6" a="1"/>
  <c r="G21" i="6" s="1"/>
  <c r="AB20" i="6"/>
  <c r="Z20" i="6"/>
  <c r="Y20" i="6"/>
  <c r="P20" i="6" s="1" a="1"/>
  <c r="P20" i="6" s="1"/>
  <c r="X20" i="6"/>
  <c r="I20" i="6" s="1" a="1"/>
  <c r="I20" i="6" s="1"/>
  <c r="O20" i="6"/>
  <c r="N20" i="6"/>
  <c r="M20" i="6"/>
  <c r="G20" i="6" a="1"/>
  <c r="G20" i="6" s="1"/>
  <c r="AB19" i="6"/>
  <c r="Z19" i="6"/>
  <c r="Y19" i="6"/>
  <c r="P19" i="6" s="1" a="1"/>
  <c r="P19" i="6" s="1"/>
  <c r="X19" i="6"/>
  <c r="H19" i="6" s="1" a="1"/>
  <c r="H19" i="6" s="1"/>
  <c r="O19" i="6"/>
  <c r="N19" i="6"/>
  <c r="M19" i="6"/>
  <c r="G19" i="6" a="1"/>
  <c r="G19" i="6" s="1"/>
  <c r="AB18" i="6"/>
  <c r="Z18" i="6"/>
  <c r="Y18" i="6"/>
  <c r="P18" i="6" s="1" a="1"/>
  <c r="P18" i="6" s="1"/>
  <c r="X18" i="6"/>
  <c r="I18" i="6" s="1" a="1"/>
  <c r="I18" i="6" s="1"/>
  <c r="O18" i="6"/>
  <c r="N18" i="6"/>
  <c r="M18" i="6"/>
  <c r="G18" i="6" a="1"/>
  <c r="G18" i="6" s="1"/>
  <c r="AB17" i="6"/>
  <c r="Z17" i="6"/>
  <c r="Y17" i="6"/>
  <c r="P17" i="6" s="1" a="1"/>
  <c r="P17" i="6" s="1"/>
  <c r="X17" i="6"/>
  <c r="I17" i="6" s="1" a="1"/>
  <c r="I17" i="6" s="1"/>
  <c r="O17" i="6"/>
  <c r="N17" i="6"/>
  <c r="M17" i="6"/>
  <c r="G17" i="6" a="1"/>
  <c r="G17" i="6" s="1"/>
  <c r="AB16" i="6"/>
  <c r="Z16" i="6"/>
  <c r="Y16" i="6"/>
  <c r="P16" i="6" s="1" a="1"/>
  <c r="P16" i="6" s="1"/>
  <c r="X16" i="6"/>
  <c r="I16" i="6" s="1" a="1"/>
  <c r="I16" i="6" s="1"/>
  <c r="O16" i="6"/>
  <c r="N16" i="6"/>
  <c r="M16" i="6"/>
  <c r="G16" i="6" a="1"/>
  <c r="G16" i="6" s="1"/>
  <c r="AB15" i="6"/>
  <c r="Z15" i="6"/>
  <c r="Y15" i="6"/>
  <c r="P15" i="6" s="1" a="1"/>
  <c r="P15" i="6" s="1"/>
  <c r="X15" i="6"/>
  <c r="I15" i="6" s="1" a="1"/>
  <c r="I15" i="6" s="1"/>
  <c r="O15" i="6"/>
  <c r="N15" i="6"/>
  <c r="M15" i="6"/>
  <c r="G15" i="6" a="1"/>
  <c r="G15" i="6" s="1"/>
  <c r="AB14" i="6"/>
  <c r="Z14" i="6"/>
  <c r="Y14" i="6"/>
  <c r="P14" i="6" s="1" a="1"/>
  <c r="P14" i="6" s="1"/>
  <c r="X14" i="6"/>
  <c r="I14" i="6" s="1" a="1"/>
  <c r="I14" i="6" s="1"/>
  <c r="O14" i="6"/>
  <c r="N14" i="6"/>
  <c r="M14" i="6"/>
  <c r="G14" i="6" a="1"/>
  <c r="G14" i="6" s="1"/>
  <c r="AB13" i="6"/>
  <c r="Z13" i="6"/>
  <c r="Y13" i="6"/>
  <c r="P13" i="6" s="1" a="1"/>
  <c r="P13" i="6" s="1"/>
  <c r="X13" i="6"/>
  <c r="I13" i="6" s="1" a="1"/>
  <c r="I13" i="6" s="1"/>
  <c r="O13" i="6"/>
  <c r="N13" i="6"/>
  <c r="M13" i="6"/>
  <c r="G13" i="6" a="1"/>
  <c r="G13" i="6" s="1"/>
  <c r="AB12" i="6"/>
  <c r="Z12" i="6"/>
  <c r="Y12" i="6"/>
  <c r="P12" i="6" s="1" a="1"/>
  <c r="P12" i="6" s="1"/>
  <c r="X12" i="6"/>
  <c r="I12" i="6" s="1" a="1"/>
  <c r="I12" i="6" s="1"/>
  <c r="O12" i="6"/>
  <c r="N12" i="6"/>
  <c r="M12" i="6"/>
  <c r="G12" i="6" a="1"/>
  <c r="G12" i="6" s="1"/>
  <c r="AB11" i="6"/>
  <c r="Z11" i="6"/>
  <c r="Y11" i="6"/>
  <c r="P11" i="6" s="1" a="1"/>
  <c r="P11" i="6" s="1"/>
  <c r="X11" i="6"/>
  <c r="I11" i="6" s="1" a="1"/>
  <c r="I11" i="6" s="1"/>
  <c r="O11" i="6"/>
  <c r="N11" i="6"/>
  <c r="M11" i="6"/>
  <c r="G11" i="6" a="1"/>
  <c r="G11" i="6" s="1"/>
  <c r="AB10" i="6"/>
  <c r="Z10" i="6"/>
  <c r="Y10" i="6"/>
  <c r="P10" i="6" s="1" a="1"/>
  <c r="P10" i="6" s="1"/>
  <c r="X10" i="6"/>
  <c r="I10" i="6" s="1" a="1"/>
  <c r="I10" i="6" s="1"/>
  <c r="O10" i="6"/>
  <c r="N10" i="6"/>
  <c r="M10" i="6"/>
  <c r="G10" i="6" a="1"/>
  <c r="G10" i="6" s="1"/>
  <c r="AB9" i="6"/>
  <c r="Z9" i="6"/>
  <c r="Y9" i="6"/>
  <c r="P9" i="6" s="1" a="1"/>
  <c r="P9" i="6" s="1"/>
  <c r="X9" i="6"/>
  <c r="I9" i="6" s="1" a="1"/>
  <c r="I9" i="6" s="1"/>
  <c r="O9" i="6"/>
  <c r="N9" i="6"/>
  <c r="M9" i="6"/>
  <c r="G9" i="6" a="1"/>
  <c r="G9" i="6" s="1"/>
  <c r="AB8" i="6"/>
  <c r="Z8" i="6"/>
  <c r="Y8" i="6"/>
  <c r="P8" i="6" s="1" a="1"/>
  <c r="P8" i="6" s="1"/>
  <c r="X8" i="6"/>
  <c r="I8" i="6" s="1" a="1"/>
  <c r="I8" i="6" s="1"/>
  <c r="O8" i="6"/>
  <c r="N8" i="6"/>
  <c r="M8" i="6"/>
  <c r="G8" i="6" a="1"/>
  <c r="G8" i="6" s="1"/>
  <c r="AB7" i="6"/>
  <c r="Z7" i="6"/>
  <c r="Y7" i="6"/>
  <c r="P7" i="6" s="1" a="1"/>
  <c r="P7" i="6" s="1"/>
  <c r="X7" i="6"/>
  <c r="H7" i="6" s="1" a="1"/>
  <c r="H7" i="6" s="1"/>
  <c r="O7" i="6"/>
  <c r="N7" i="6"/>
  <c r="M7" i="6"/>
  <c r="G7" i="6" a="1"/>
  <c r="G7" i="6" s="1"/>
  <c r="AB6" i="6"/>
  <c r="Z6" i="6"/>
  <c r="Y6" i="6"/>
  <c r="P6" i="6" s="1" a="1"/>
  <c r="P6" i="6" s="1"/>
  <c r="X6" i="6"/>
  <c r="I6" i="6" s="1" a="1"/>
  <c r="I6" i="6" s="1"/>
  <c r="O6" i="6"/>
  <c r="N6" i="6"/>
  <c r="M6" i="6"/>
  <c r="G6" i="6" a="1"/>
  <c r="G6" i="6" s="1"/>
  <c r="AB5" i="6"/>
  <c r="Z5" i="6"/>
  <c r="Y5" i="6"/>
  <c r="P5" i="6" s="1" a="1"/>
  <c r="P5" i="6" s="1"/>
  <c r="X5" i="6"/>
  <c r="I5" i="6" s="1" a="1"/>
  <c r="I5" i="6" s="1"/>
  <c r="O5" i="6"/>
  <c r="N5" i="6"/>
  <c r="M5" i="6"/>
  <c r="G5" i="6" a="1"/>
  <c r="G5" i="6" s="1"/>
  <c r="AB4" i="6"/>
  <c r="Z4" i="6"/>
  <c r="Y4" i="6"/>
  <c r="P4" i="6" s="1" a="1"/>
  <c r="P4" i="6" s="1"/>
  <c r="X4" i="6"/>
  <c r="I4" i="6" s="1" a="1"/>
  <c r="I4" i="6" s="1"/>
  <c r="O4" i="6"/>
  <c r="N4" i="6"/>
  <c r="M4" i="6"/>
  <c r="G4" i="6" a="1"/>
  <c r="G4" i="6" s="1"/>
  <c r="AB3" i="6"/>
  <c r="Z3" i="6"/>
  <c r="Y3" i="6"/>
  <c r="P3" i="6" s="1" a="1"/>
  <c r="P3" i="6" s="1"/>
  <c r="X3" i="6"/>
  <c r="I3" i="6" s="1" a="1"/>
  <c r="I3" i="6" s="1"/>
  <c r="O3" i="6"/>
  <c r="N3" i="6"/>
  <c r="M3" i="6"/>
  <c r="G3" i="6" a="1"/>
  <c r="G3" i="6" s="1"/>
  <c r="AC2" i="6"/>
  <c r="AB2" i="6"/>
  <c r="Z2" i="6"/>
  <c r="Y2" i="6"/>
  <c r="P2" i="6" s="1" a="1"/>
  <c r="P2" i="6" s="1"/>
  <c r="X2" i="6"/>
  <c r="I2" i="6" s="1" a="1"/>
  <c r="I2" i="6" s="1"/>
  <c r="O2" i="6"/>
  <c r="N2" i="6"/>
  <c r="M2" i="6"/>
  <c r="G2" i="6" a="1"/>
  <c r="G2" i="6" s="1"/>
  <c r="R3" i="5"/>
  <c r="R4" i="5"/>
  <c r="R5" i="5"/>
  <c r="R6" i="5"/>
  <c r="R7" i="5"/>
  <c r="R8" i="5"/>
  <c r="R9" i="5"/>
  <c r="R10" i="5"/>
  <c r="R11" i="5"/>
  <c r="R12" i="5"/>
  <c r="R13" i="5"/>
  <c r="R14" i="5"/>
  <c r="R15" i="5"/>
  <c r="R16" i="5"/>
  <c r="R17" i="5"/>
  <c r="R18" i="5"/>
  <c r="R20" i="5"/>
  <c r="R21" i="5"/>
  <c r="R22" i="5"/>
  <c r="R23" i="5"/>
  <c r="R24" i="5"/>
  <c r="R25" i="5"/>
  <c r="R26" i="5"/>
  <c r="R27" i="5"/>
  <c r="R28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" i="3"/>
  <c r="W3" i="3"/>
  <c r="P3" i="3" s="1" a="1"/>
  <c r="P3" i="3" s="1"/>
  <c r="W4" i="3"/>
  <c r="P4" i="3" s="1" a="1"/>
  <c r="P4" i="3" s="1"/>
  <c r="W5" i="3"/>
  <c r="P5" i="3" s="1" a="1"/>
  <c r="P5" i="3" s="1"/>
  <c r="W6" i="3"/>
  <c r="P6" i="3" s="1" a="1"/>
  <c r="P6" i="3" s="1"/>
  <c r="W7" i="3"/>
  <c r="P7" i="3" s="1" a="1"/>
  <c r="P7" i="3" s="1"/>
  <c r="W8" i="3"/>
  <c r="P8" i="3" s="1" a="1"/>
  <c r="P8" i="3" s="1"/>
  <c r="W9" i="3"/>
  <c r="P9" i="3" s="1" a="1"/>
  <c r="P9" i="3" s="1"/>
  <c r="W10" i="3"/>
  <c r="P10" i="3" s="1" a="1"/>
  <c r="P10" i="3" s="1"/>
  <c r="W11" i="3"/>
  <c r="P11" i="3" s="1" a="1"/>
  <c r="P11" i="3" s="1"/>
  <c r="W12" i="3"/>
  <c r="P12" i="3" s="1" a="1"/>
  <c r="P12" i="3" s="1"/>
  <c r="W13" i="3"/>
  <c r="P13" i="3" s="1" a="1"/>
  <c r="P13" i="3" s="1"/>
  <c r="W14" i="3"/>
  <c r="P14" i="3" s="1" a="1"/>
  <c r="P14" i="3" s="1"/>
  <c r="W15" i="3"/>
  <c r="P15" i="3" s="1" a="1"/>
  <c r="P15" i="3" s="1"/>
  <c r="W16" i="3"/>
  <c r="P16" i="3" s="1" a="1"/>
  <c r="P16" i="3" s="1"/>
  <c r="W17" i="3"/>
  <c r="P17" i="3" s="1" a="1"/>
  <c r="P17" i="3" s="1"/>
  <c r="W18" i="3"/>
  <c r="P18" i="3" s="1" a="1"/>
  <c r="P18" i="3" s="1"/>
  <c r="W19" i="3"/>
  <c r="P19" i="3" s="1" a="1"/>
  <c r="P19" i="3" s="1"/>
  <c r="W20" i="3"/>
  <c r="P20" i="3" s="1" a="1"/>
  <c r="P20" i="3" s="1"/>
  <c r="W21" i="3"/>
  <c r="P21" i="3" s="1" a="1"/>
  <c r="P21" i="3" s="1"/>
  <c r="W22" i="3"/>
  <c r="P22" i="3" s="1" a="1"/>
  <c r="P22" i="3" s="1"/>
  <c r="W23" i="3"/>
  <c r="P23" i="3" s="1" a="1"/>
  <c r="P23" i="3" s="1"/>
  <c r="W24" i="3"/>
  <c r="P24" i="3" s="1" a="1"/>
  <c r="P24" i="3" s="1"/>
  <c r="W25" i="3"/>
  <c r="P25" i="3" s="1" a="1"/>
  <c r="P25" i="3" s="1"/>
  <c r="W26" i="3"/>
  <c r="P26" i="3" s="1" a="1"/>
  <c r="P26" i="3" s="1"/>
  <c r="W27" i="3"/>
  <c r="P27" i="3" s="1" a="1"/>
  <c r="P27" i="3" s="1"/>
  <c r="W28" i="3"/>
  <c r="P28" i="3" s="1" a="1"/>
  <c r="P28" i="3" s="1"/>
  <c r="W29" i="3"/>
  <c r="P29" i="3" s="1" a="1"/>
  <c r="P29" i="3" s="1"/>
  <c r="W30" i="3"/>
  <c r="P30" i="3" s="1" a="1"/>
  <c r="P30" i="3" s="1"/>
  <c r="W31" i="3"/>
  <c r="P31" i="3" s="1" a="1"/>
  <c r="P31" i="3" s="1"/>
  <c r="W32" i="3"/>
  <c r="P32" i="3" s="1" a="1"/>
  <c r="P32" i="3" s="1"/>
  <c r="W33" i="3"/>
  <c r="P33" i="3" s="1" a="1"/>
  <c r="P33" i="3" s="1"/>
  <c r="W34" i="3"/>
  <c r="P34" i="3" s="1" a="1"/>
  <c r="P34" i="3" s="1"/>
  <c r="W35" i="3"/>
  <c r="P35" i="3" s="1" a="1"/>
  <c r="P35" i="3" s="1"/>
  <c r="W36" i="3"/>
  <c r="P36" i="3" s="1" a="1"/>
  <c r="P36" i="3" s="1"/>
  <c r="W37" i="3"/>
  <c r="P37" i="3" s="1" a="1"/>
  <c r="P37" i="3" s="1"/>
  <c r="W38" i="3"/>
  <c r="P38" i="3" s="1" a="1"/>
  <c r="P38" i="3" s="1"/>
  <c r="W39" i="3"/>
  <c r="P39" i="3" s="1" a="1"/>
  <c r="P39" i="3" s="1"/>
  <c r="W40" i="3"/>
  <c r="P40" i="3" s="1" a="1"/>
  <c r="P40" i="3" s="1"/>
  <c r="W41" i="3"/>
  <c r="P41" i="3" s="1" a="1"/>
  <c r="P41" i="3" s="1"/>
  <c r="W42" i="3"/>
  <c r="P42" i="3" s="1" a="1"/>
  <c r="P42" i="3" s="1"/>
  <c r="W43" i="3"/>
  <c r="P43" i="3" s="1" a="1"/>
  <c r="P43" i="3" s="1"/>
  <c r="W44" i="3"/>
  <c r="P44" i="3" s="1" a="1"/>
  <c r="P44" i="3" s="1"/>
  <c r="W45" i="3"/>
  <c r="P45" i="3" s="1" a="1"/>
  <c r="P45" i="3" s="1"/>
  <c r="W46" i="3"/>
  <c r="P46" i="3" s="1" a="1"/>
  <c r="P46" i="3" s="1"/>
  <c r="W47" i="3"/>
  <c r="P47" i="3" s="1" a="1"/>
  <c r="P47" i="3" s="1"/>
  <c r="W48" i="3"/>
  <c r="P48" i="3" s="1" a="1"/>
  <c r="P48" i="3" s="1"/>
  <c r="W49" i="3"/>
  <c r="P49" i="3" s="1" a="1"/>
  <c r="P49" i="3" s="1"/>
  <c r="W50" i="3"/>
  <c r="P50" i="3" s="1" a="1"/>
  <c r="P50" i="3" s="1"/>
  <c r="W51" i="3"/>
  <c r="P51" i="3" s="1" a="1"/>
  <c r="P51" i="3" s="1"/>
  <c r="W52" i="3"/>
  <c r="P52" i="3" s="1" a="1"/>
  <c r="P52" i="3" s="1"/>
  <c r="W53" i="3"/>
  <c r="P53" i="3" s="1" a="1"/>
  <c r="P53" i="3" s="1"/>
  <c r="W54" i="3"/>
  <c r="P54" i="3" s="1" a="1"/>
  <c r="P54" i="3" s="1"/>
  <c r="W55" i="3"/>
  <c r="P55" i="3" s="1" a="1"/>
  <c r="P55" i="3" s="1"/>
  <c r="W56" i="3"/>
  <c r="P56" i="3" s="1" a="1"/>
  <c r="P56" i="3" s="1"/>
  <c r="W57" i="3"/>
  <c r="P57" i="3" s="1" a="1"/>
  <c r="P57" i="3" s="1"/>
  <c r="W58" i="3"/>
  <c r="P58" i="3" s="1" a="1"/>
  <c r="P58" i="3" s="1"/>
  <c r="W59" i="3"/>
  <c r="P59" i="3" s="1" a="1"/>
  <c r="P59" i="3" s="1"/>
  <c r="W60" i="3"/>
  <c r="P60" i="3" s="1" a="1"/>
  <c r="P60" i="3" s="1"/>
  <c r="W61" i="3"/>
  <c r="P61" i="3" s="1" a="1"/>
  <c r="P61" i="3" s="1"/>
  <c r="W62" i="3"/>
  <c r="P62" i="3" s="1" a="1"/>
  <c r="P62" i="3" s="1"/>
  <c r="W63" i="3"/>
  <c r="P63" i="3" s="1" a="1"/>
  <c r="P63" i="3" s="1"/>
  <c r="W64" i="3"/>
  <c r="P64" i="3" s="1" a="1"/>
  <c r="P64" i="3" s="1"/>
  <c r="W65" i="3"/>
  <c r="P65" i="3" s="1" a="1"/>
  <c r="P65" i="3" s="1"/>
  <c r="W66" i="3"/>
  <c r="P66" i="3" s="1" a="1"/>
  <c r="P66" i="3" s="1"/>
  <c r="W67" i="3"/>
  <c r="P67" i="3" s="1" a="1"/>
  <c r="P67" i="3" s="1"/>
  <c r="W68" i="3"/>
  <c r="P68" i="3" s="1" a="1"/>
  <c r="P68" i="3" s="1"/>
  <c r="W69" i="3"/>
  <c r="P69" i="3" s="1" a="1"/>
  <c r="P69" i="3" s="1"/>
  <c r="W70" i="3"/>
  <c r="P70" i="3" s="1" a="1"/>
  <c r="P70" i="3" s="1"/>
  <c r="W71" i="3"/>
  <c r="P71" i="3" s="1" a="1"/>
  <c r="P71" i="3" s="1"/>
  <c r="W72" i="3"/>
  <c r="P72" i="3" s="1" a="1"/>
  <c r="P72" i="3" s="1"/>
  <c r="W73" i="3"/>
  <c r="P73" i="3" s="1" a="1"/>
  <c r="P73" i="3" s="1"/>
  <c r="W74" i="3"/>
  <c r="P74" i="3" s="1" a="1"/>
  <c r="P74" i="3" s="1"/>
  <c r="W75" i="3"/>
  <c r="P75" i="3" s="1" a="1"/>
  <c r="P75" i="3" s="1"/>
  <c r="W76" i="3"/>
  <c r="P76" i="3" s="1" a="1"/>
  <c r="P76" i="3" s="1"/>
  <c r="W77" i="3"/>
  <c r="P77" i="3" s="1" a="1"/>
  <c r="P77" i="3" s="1"/>
  <c r="W78" i="3"/>
  <c r="P78" i="3" s="1" a="1"/>
  <c r="P78" i="3" s="1"/>
  <c r="W79" i="3"/>
  <c r="P79" i="3" s="1" a="1"/>
  <c r="P79" i="3" s="1"/>
  <c r="W80" i="3"/>
  <c r="P80" i="3" s="1" a="1"/>
  <c r="P80" i="3" s="1"/>
  <c r="W81" i="3"/>
  <c r="P81" i="3" s="1" a="1"/>
  <c r="P81" i="3" s="1"/>
  <c r="W82" i="3"/>
  <c r="P82" i="3" s="1" a="1"/>
  <c r="P82" i="3" s="1"/>
  <c r="W83" i="3"/>
  <c r="P83" i="3" s="1" a="1"/>
  <c r="P83" i="3" s="1"/>
  <c r="W84" i="3"/>
  <c r="P84" i="3" s="1" a="1"/>
  <c r="P84" i="3" s="1"/>
  <c r="W85" i="3"/>
  <c r="P85" i="3" s="1" a="1"/>
  <c r="P85" i="3" s="1"/>
  <c r="W86" i="3"/>
  <c r="P86" i="3" s="1" a="1"/>
  <c r="P86" i="3" s="1"/>
  <c r="W87" i="3"/>
  <c r="P87" i="3" s="1" a="1"/>
  <c r="P87" i="3" s="1"/>
  <c r="W88" i="3"/>
  <c r="P88" i="3" s="1" a="1"/>
  <c r="P88" i="3" s="1"/>
  <c r="W89" i="3"/>
  <c r="P89" i="3" s="1" a="1"/>
  <c r="P89" i="3" s="1"/>
  <c r="W90" i="3"/>
  <c r="P90" i="3" s="1" a="1"/>
  <c r="P90" i="3" s="1"/>
  <c r="W91" i="3"/>
  <c r="P91" i="3" s="1" a="1"/>
  <c r="P91" i="3" s="1"/>
  <c r="W92" i="3"/>
  <c r="P92" i="3" s="1" a="1"/>
  <c r="P92" i="3" s="1"/>
  <c r="W93" i="3"/>
  <c r="P93" i="3" s="1" a="1"/>
  <c r="P93" i="3" s="1"/>
  <c r="W94" i="3"/>
  <c r="P94" i="3" s="1" a="1"/>
  <c r="P94" i="3" s="1"/>
  <c r="W95" i="3"/>
  <c r="P95" i="3" s="1" a="1"/>
  <c r="P95" i="3" s="1"/>
  <c r="W96" i="3"/>
  <c r="P96" i="3" s="1" a="1"/>
  <c r="P96" i="3" s="1"/>
  <c r="W97" i="3"/>
  <c r="P97" i="3" s="1" a="1"/>
  <c r="P97" i="3" s="1"/>
  <c r="W98" i="3"/>
  <c r="P98" i="3" s="1" a="1"/>
  <c r="P98" i="3" s="1"/>
  <c r="W99" i="3"/>
  <c r="P99" i="3" s="1" a="1"/>
  <c r="P99" i="3" s="1"/>
  <c r="W100" i="3"/>
  <c r="P100" i="3" s="1" a="1"/>
  <c r="P100" i="3" s="1"/>
  <c r="W101" i="3"/>
  <c r="P101" i="3" s="1" a="1"/>
  <c r="P101" i="3" s="1"/>
  <c r="W102" i="3"/>
  <c r="P102" i="3" s="1" a="1"/>
  <c r="P102" i="3" s="1"/>
  <c r="W103" i="3"/>
  <c r="P103" i="3" s="1" a="1"/>
  <c r="P103" i="3" s="1"/>
  <c r="W104" i="3"/>
  <c r="P104" i="3" s="1" a="1"/>
  <c r="P104" i="3" s="1"/>
  <c r="W105" i="3"/>
  <c r="P105" i="3" s="1" a="1"/>
  <c r="P105" i="3" s="1"/>
  <c r="W106" i="3"/>
  <c r="P106" i="3" s="1" a="1"/>
  <c r="P106" i="3" s="1"/>
  <c r="W107" i="3"/>
  <c r="P107" i="3" s="1" a="1"/>
  <c r="P107" i="3" s="1"/>
  <c r="W108" i="3"/>
  <c r="P108" i="3" s="1" a="1"/>
  <c r="P108" i="3" s="1"/>
  <c r="W109" i="3"/>
  <c r="P109" i="3" s="1" a="1"/>
  <c r="P109" i="3" s="1"/>
  <c r="W110" i="3"/>
  <c r="P110" i="3" s="1" a="1"/>
  <c r="P110" i="3" s="1"/>
  <c r="W111" i="3"/>
  <c r="P111" i="3" s="1" a="1"/>
  <c r="P111" i="3" s="1"/>
  <c r="W112" i="3"/>
  <c r="P112" i="3" s="1" a="1"/>
  <c r="P112" i="3" s="1"/>
  <c r="W113" i="3"/>
  <c r="P113" i="3" s="1" a="1"/>
  <c r="P113" i="3" s="1"/>
  <c r="W114" i="3"/>
  <c r="P114" i="3" s="1" a="1"/>
  <c r="P114" i="3" s="1"/>
  <c r="W115" i="3"/>
  <c r="P115" i="3" s="1" a="1"/>
  <c r="P115" i="3" s="1"/>
  <c r="W116" i="3"/>
  <c r="P116" i="3" s="1" a="1"/>
  <c r="P116" i="3" s="1"/>
  <c r="W117" i="3"/>
  <c r="P117" i="3" s="1" a="1"/>
  <c r="P117" i="3" s="1"/>
  <c r="W118" i="3"/>
  <c r="P118" i="3" s="1" a="1"/>
  <c r="P118" i="3" s="1"/>
  <c r="W119" i="3"/>
  <c r="P119" i="3" s="1" a="1"/>
  <c r="P119" i="3" s="1"/>
  <c r="W120" i="3"/>
  <c r="P120" i="3" s="1" a="1"/>
  <c r="P120" i="3" s="1"/>
  <c r="W121" i="3"/>
  <c r="P121" i="3" s="1" a="1"/>
  <c r="P121" i="3" s="1"/>
  <c r="W122" i="3"/>
  <c r="P122" i="3" s="1" a="1"/>
  <c r="P122" i="3" s="1"/>
  <c r="W123" i="3"/>
  <c r="P123" i="3" s="1" a="1"/>
  <c r="P123" i="3" s="1"/>
  <c r="W124" i="3"/>
  <c r="P124" i="3" s="1" a="1"/>
  <c r="P124" i="3" s="1"/>
  <c r="W125" i="3"/>
  <c r="P125" i="3" s="1" a="1"/>
  <c r="P125" i="3" s="1"/>
  <c r="W126" i="3"/>
  <c r="P126" i="3" s="1" a="1"/>
  <c r="P126" i="3" s="1"/>
  <c r="W127" i="3"/>
  <c r="P127" i="3" s="1" a="1"/>
  <c r="P127" i="3" s="1"/>
  <c r="W128" i="3"/>
  <c r="P128" i="3" s="1" a="1"/>
  <c r="P128" i="3" s="1"/>
  <c r="W129" i="3"/>
  <c r="P129" i="3" s="1" a="1"/>
  <c r="P129" i="3" s="1"/>
  <c r="W130" i="3"/>
  <c r="P130" i="3" s="1" a="1"/>
  <c r="P130" i="3" s="1"/>
  <c r="W131" i="3"/>
  <c r="P131" i="3" s="1" a="1"/>
  <c r="P131" i="3" s="1"/>
  <c r="W132" i="3"/>
  <c r="P132" i="3" s="1" a="1"/>
  <c r="P132" i="3" s="1"/>
  <c r="W133" i="3"/>
  <c r="P133" i="3" s="1" a="1"/>
  <c r="P133" i="3" s="1"/>
  <c r="W134" i="3"/>
  <c r="P134" i="3" s="1" a="1"/>
  <c r="P134" i="3" s="1"/>
  <c r="W135" i="3"/>
  <c r="P135" i="3" s="1" a="1"/>
  <c r="P135" i="3" s="1"/>
  <c r="W136" i="3"/>
  <c r="P136" i="3" s="1" a="1"/>
  <c r="P136" i="3" s="1"/>
  <c r="W137" i="3"/>
  <c r="P137" i="3" s="1" a="1"/>
  <c r="P137" i="3" s="1"/>
  <c r="W138" i="3"/>
  <c r="P138" i="3" s="1" a="1"/>
  <c r="P138" i="3" s="1"/>
  <c r="W139" i="3"/>
  <c r="P139" i="3" s="1" a="1"/>
  <c r="P139" i="3" s="1"/>
  <c r="W140" i="3"/>
  <c r="P140" i="3" s="1" a="1"/>
  <c r="P140" i="3" s="1"/>
  <c r="W141" i="3"/>
  <c r="P141" i="3" s="1" a="1"/>
  <c r="P141" i="3" s="1"/>
  <c r="W142" i="3"/>
  <c r="P142" i="3" s="1" a="1"/>
  <c r="P142" i="3" s="1"/>
  <c r="W143" i="3"/>
  <c r="P143" i="3" s="1" a="1"/>
  <c r="P143" i="3" s="1"/>
  <c r="W144" i="3"/>
  <c r="P144" i="3" s="1" a="1"/>
  <c r="P144" i="3" s="1"/>
  <c r="W145" i="3"/>
  <c r="P145" i="3" s="1" a="1"/>
  <c r="P145" i="3" s="1"/>
  <c r="W146" i="3"/>
  <c r="P146" i="3" s="1" a="1"/>
  <c r="P146" i="3" s="1"/>
  <c r="W147" i="3"/>
  <c r="P147" i="3" s="1" a="1"/>
  <c r="P147" i="3" s="1"/>
  <c r="W148" i="3"/>
  <c r="P148" i="3" s="1" a="1"/>
  <c r="P148" i="3" s="1"/>
  <c r="W149" i="3"/>
  <c r="P149" i="3" s="1" a="1"/>
  <c r="P149" i="3" s="1"/>
  <c r="W150" i="3"/>
  <c r="P150" i="3" s="1" a="1"/>
  <c r="P150" i="3" s="1"/>
  <c r="W151" i="3"/>
  <c r="P151" i="3" s="1" a="1"/>
  <c r="P151" i="3" s="1"/>
  <c r="W152" i="3"/>
  <c r="P152" i="3" s="1" a="1"/>
  <c r="P152" i="3" s="1"/>
  <c r="W153" i="3"/>
  <c r="P153" i="3" s="1" a="1"/>
  <c r="P153" i="3" s="1"/>
  <c r="W154" i="3"/>
  <c r="P154" i="3" s="1" a="1"/>
  <c r="P154" i="3" s="1"/>
  <c r="W155" i="3"/>
  <c r="P155" i="3" s="1" a="1"/>
  <c r="P155" i="3" s="1"/>
  <c r="W156" i="3"/>
  <c r="P156" i="3" s="1" a="1"/>
  <c r="P156" i="3" s="1"/>
  <c r="W157" i="3"/>
  <c r="P157" i="3" s="1" a="1"/>
  <c r="P157" i="3" s="1"/>
  <c r="W158" i="3"/>
  <c r="P158" i="3" s="1" a="1"/>
  <c r="P158" i="3" s="1"/>
  <c r="W159" i="3"/>
  <c r="P159" i="3" s="1" a="1"/>
  <c r="P159" i="3" s="1"/>
  <c r="W160" i="3"/>
  <c r="P160" i="3" s="1" a="1"/>
  <c r="P160" i="3" s="1"/>
  <c r="W161" i="3"/>
  <c r="P161" i="3" s="1" a="1"/>
  <c r="P161" i="3" s="1"/>
  <c r="W162" i="3"/>
  <c r="P162" i="3" s="1" a="1"/>
  <c r="P162" i="3" s="1"/>
  <c r="W163" i="3"/>
  <c r="P163" i="3" s="1" a="1"/>
  <c r="P163" i="3" s="1"/>
  <c r="W164" i="3"/>
  <c r="P164" i="3" s="1" a="1"/>
  <c r="P164" i="3" s="1"/>
  <c r="W165" i="3"/>
  <c r="P165" i="3" s="1" a="1"/>
  <c r="P165" i="3" s="1"/>
  <c r="W166" i="3"/>
  <c r="P166" i="3" s="1" a="1"/>
  <c r="P166" i="3" s="1"/>
  <c r="W167" i="3"/>
  <c r="P167" i="3" s="1" a="1"/>
  <c r="P167" i="3" s="1"/>
  <c r="W168" i="3"/>
  <c r="P168" i="3" s="1" a="1"/>
  <c r="P168" i="3" s="1"/>
  <c r="W169" i="3"/>
  <c r="P169" i="3" s="1" a="1"/>
  <c r="P169" i="3" s="1"/>
  <c r="W170" i="3"/>
  <c r="P170" i="3" s="1" a="1"/>
  <c r="P170" i="3" s="1"/>
  <c r="W171" i="3"/>
  <c r="P171" i="3" s="1" a="1"/>
  <c r="P171" i="3" s="1"/>
  <c r="W172" i="3"/>
  <c r="P172" i="3" s="1" a="1"/>
  <c r="P172" i="3" s="1"/>
  <c r="W173" i="3"/>
  <c r="P173" i="3" s="1" a="1"/>
  <c r="P173" i="3" s="1"/>
  <c r="W174" i="3"/>
  <c r="P174" i="3" s="1" a="1"/>
  <c r="P174" i="3" s="1"/>
  <c r="W175" i="3"/>
  <c r="P175" i="3" s="1" a="1"/>
  <c r="P175" i="3" s="1"/>
  <c r="W176" i="3"/>
  <c r="P176" i="3" s="1" a="1"/>
  <c r="P176" i="3" s="1"/>
  <c r="W177" i="3"/>
  <c r="P177" i="3" s="1" a="1"/>
  <c r="P177" i="3" s="1"/>
  <c r="W178" i="3"/>
  <c r="P178" i="3" s="1" a="1"/>
  <c r="P178" i="3" s="1"/>
  <c r="W179" i="3"/>
  <c r="P179" i="3" s="1" a="1"/>
  <c r="P179" i="3" s="1"/>
  <c r="W180" i="3"/>
  <c r="P180" i="3" s="1" a="1"/>
  <c r="P180" i="3" s="1"/>
  <c r="W181" i="3"/>
  <c r="P181" i="3" s="1" a="1"/>
  <c r="P181" i="3" s="1"/>
  <c r="W182" i="3"/>
  <c r="P182" i="3" s="1" a="1"/>
  <c r="P182" i="3" s="1"/>
  <c r="W183" i="3"/>
  <c r="P183" i="3" s="1" a="1"/>
  <c r="P183" i="3" s="1"/>
  <c r="W184" i="3"/>
  <c r="P184" i="3" s="1" a="1"/>
  <c r="P184" i="3" s="1"/>
  <c r="W185" i="3"/>
  <c r="P185" i="3" s="1" a="1"/>
  <c r="P185" i="3" s="1"/>
  <c r="W186" i="3"/>
  <c r="P186" i="3" s="1" a="1"/>
  <c r="P186" i="3" s="1"/>
  <c r="W187" i="3"/>
  <c r="P187" i="3" s="1" a="1"/>
  <c r="P187" i="3" s="1"/>
  <c r="W188" i="3"/>
  <c r="P188" i="3" s="1" a="1"/>
  <c r="P188" i="3" s="1"/>
  <c r="W189" i="3"/>
  <c r="P189" i="3" s="1" a="1"/>
  <c r="P189" i="3" s="1"/>
  <c r="W190" i="3"/>
  <c r="P190" i="3" s="1" a="1"/>
  <c r="P190" i="3" s="1"/>
  <c r="W191" i="3"/>
  <c r="P191" i="3" s="1" a="1"/>
  <c r="P191" i="3" s="1"/>
  <c r="W192" i="3"/>
  <c r="P192" i="3" s="1" a="1"/>
  <c r="P192" i="3" s="1"/>
  <c r="W193" i="3"/>
  <c r="P193" i="3" s="1" a="1"/>
  <c r="P193" i="3" s="1"/>
  <c r="W194" i="3"/>
  <c r="P194" i="3" s="1" a="1"/>
  <c r="P194" i="3" s="1"/>
  <c r="W195" i="3"/>
  <c r="P195" i="3" s="1" a="1"/>
  <c r="P195" i="3" s="1"/>
  <c r="W196" i="3"/>
  <c r="P196" i="3" s="1" a="1"/>
  <c r="P196" i="3" s="1"/>
  <c r="W197" i="3"/>
  <c r="P197" i="3" s="1" a="1"/>
  <c r="P197" i="3" s="1"/>
  <c r="W198" i="3"/>
  <c r="P198" i="3" s="1" a="1"/>
  <c r="P198" i="3" s="1"/>
  <c r="W199" i="3"/>
  <c r="P199" i="3" s="1" a="1"/>
  <c r="P199" i="3" s="1"/>
  <c r="W2" i="3"/>
  <c r="P2" i="3" s="1" a="1"/>
  <c r="P2" i="3" s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V3" i="3"/>
  <c r="H3" i="3" s="1" a="1"/>
  <c r="H3" i="3" s="1"/>
  <c r="V4" i="3"/>
  <c r="H4" i="3" s="1" a="1"/>
  <c r="H4" i="3" s="1"/>
  <c r="V5" i="3"/>
  <c r="H5" i="3" s="1" a="1"/>
  <c r="H5" i="3" s="1"/>
  <c r="V6" i="3"/>
  <c r="H6" i="3" s="1" a="1"/>
  <c r="H6" i="3" s="1"/>
  <c r="V7" i="3"/>
  <c r="H7" i="3" s="1" a="1"/>
  <c r="H7" i="3" s="1"/>
  <c r="V8" i="3"/>
  <c r="H8" i="3" s="1" a="1"/>
  <c r="H8" i="3" s="1"/>
  <c r="V9" i="3"/>
  <c r="H9" i="3" s="1" a="1"/>
  <c r="H9" i="3" s="1"/>
  <c r="V10" i="3"/>
  <c r="H10" i="3" s="1" a="1"/>
  <c r="H10" i="3" s="1"/>
  <c r="V11" i="3"/>
  <c r="H11" i="3" s="1" a="1"/>
  <c r="H11" i="3" s="1"/>
  <c r="V12" i="3"/>
  <c r="H12" i="3" s="1" a="1"/>
  <c r="H12" i="3" s="1"/>
  <c r="V13" i="3"/>
  <c r="H13" i="3" s="1" a="1"/>
  <c r="H13" i="3" s="1"/>
  <c r="V14" i="3"/>
  <c r="H14" i="3" s="1" a="1"/>
  <c r="H14" i="3" s="1"/>
  <c r="V15" i="3"/>
  <c r="H15" i="3" s="1" a="1"/>
  <c r="H15" i="3" s="1"/>
  <c r="V16" i="3"/>
  <c r="H16" i="3" s="1" a="1"/>
  <c r="H16" i="3" s="1"/>
  <c r="V17" i="3"/>
  <c r="H17" i="3" s="1" a="1"/>
  <c r="H17" i="3" s="1"/>
  <c r="V18" i="3"/>
  <c r="H18" i="3" s="1" a="1"/>
  <c r="H18" i="3" s="1"/>
  <c r="V19" i="3"/>
  <c r="H19" i="3" s="1" a="1"/>
  <c r="H19" i="3" s="1"/>
  <c r="V20" i="3"/>
  <c r="H20" i="3" s="1" a="1"/>
  <c r="H20" i="3" s="1"/>
  <c r="V21" i="3"/>
  <c r="H21" i="3" s="1" a="1"/>
  <c r="H21" i="3" s="1"/>
  <c r="V22" i="3"/>
  <c r="H22" i="3" s="1" a="1"/>
  <c r="H22" i="3" s="1"/>
  <c r="V23" i="3"/>
  <c r="H23" i="3" s="1" a="1"/>
  <c r="H23" i="3" s="1"/>
  <c r="V24" i="3"/>
  <c r="H24" i="3" s="1" a="1"/>
  <c r="H24" i="3" s="1"/>
  <c r="V25" i="3"/>
  <c r="H25" i="3" s="1" a="1"/>
  <c r="H25" i="3" s="1"/>
  <c r="V26" i="3"/>
  <c r="H26" i="3" s="1" a="1"/>
  <c r="H26" i="3" s="1"/>
  <c r="V27" i="3"/>
  <c r="H27" i="3" s="1" a="1"/>
  <c r="H27" i="3" s="1"/>
  <c r="V28" i="3"/>
  <c r="H28" i="3" s="1" a="1"/>
  <c r="H28" i="3" s="1"/>
  <c r="V29" i="3"/>
  <c r="H29" i="3" s="1" a="1"/>
  <c r="H29" i="3" s="1"/>
  <c r="V30" i="3"/>
  <c r="H30" i="3" s="1" a="1"/>
  <c r="H30" i="3" s="1"/>
  <c r="V31" i="3"/>
  <c r="H31" i="3" s="1" a="1"/>
  <c r="H31" i="3" s="1"/>
  <c r="V32" i="3"/>
  <c r="H32" i="3" s="1" a="1"/>
  <c r="H32" i="3" s="1"/>
  <c r="V33" i="3"/>
  <c r="H33" i="3" s="1" a="1"/>
  <c r="H33" i="3" s="1"/>
  <c r="V34" i="3"/>
  <c r="H34" i="3" s="1" a="1"/>
  <c r="H34" i="3" s="1"/>
  <c r="V35" i="3"/>
  <c r="H35" i="3" s="1" a="1"/>
  <c r="H35" i="3" s="1"/>
  <c r="V36" i="3"/>
  <c r="H36" i="3" s="1" a="1"/>
  <c r="H36" i="3" s="1"/>
  <c r="V37" i="3"/>
  <c r="H37" i="3" s="1" a="1"/>
  <c r="H37" i="3" s="1"/>
  <c r="V38" i="3"/>
  <c r="H38" i="3" s="1" a="1"/>
  <c r="H38" i="3" s="1"/>
  <c r="V39" i="3"/>
  <c r="H39" i="3" s="1" a="1"/>
  <c r="H39" i="3" s="1"/>
  <c r="V40" i="3"/>
  <c r="H40" i="3" s="1" a="1"/>
  <c r="H40" i="3" s="1"/>
  <c r="V41" i="3"/>
  <c r="H41" i="3" s="1" a="1"/>
  <c r="H41" i="3" s="1"/>
  <c r="V42" i="3"/>
  <c r="H42" i="3" s="1" a="1"/>
  <c r="H42" i="3" s="1"/>
  <c r="V43" i="3"/>
  <c r="H43" i="3" s="1" a="1"/>
  <c r="H43" i="3" s="1"/>
  <c r="V44" i="3"/>
  <c r="H44" i="3" s="1" a="1"/>
  <c r="H44" i="3" s="1"/>
  <c r="V45" i="3"/>
  <c r="H45" i="3" s="1" a="1"/>
  <c r="H45" i="3" s="1"/>
  <c r="V46" i="3"/>
  <c r="H46" i="3" s="1" a="1"/>
  <c r="H46" i="3" s="1"/>
  <c r="V47" i="3"/>
  <c r="H47" i="3" s="1" a="1"/>
  <c r="H47" i="3" s="1"/>
  <c r="V48" i="3"/>
  <c r="H48" i="3" s="1" a="1"/>
  <c r="H48" i="3" s="1"/>
  <c r="V49" i="3"/>
  <c r="H49" i="3" s="1" a="1"/>
  <c r="H49" i="3" s="1"/>
  <c r="V50" i="3"/>
  <c r="H50" i="3" s="1" a="1"/>
  <c r="H50" i="3" s="1"/>
  <c r="V51" i="3"/>
  <c r="H51" i="3" s="1" a="1"/>
  <c r="H51" i="3" s="1"/>
  <c r="V52" i="3"/>
  <c r="H52" i="3" s="1" a="1"/>
  <c r="H52" i="3" s="1"/>
  <c r="V53" i="3"/>
  <c r="H53" i="3" s="1" a="1"/>
  <c r="H53" i="3" s="1"/>
  <c r="V54" i="3"/>
  <c r="H54" i="3" s="1" a="1"/>
  <c r="H54" i="3" s="1"/>
  <c r="V55" i="3"/>
  <c r="H55" i="3" s="1" a="1"/>
  <c r="H55" i="3" s="1"/>
  <c r="V56" i="3"/>
  <c r="H56" i="3" s="1" a="1"/>
  <c r="H56" i="3" s="1"/>
  <c r="V57" i="3"/>
  <c r="H57" i="3" s="1" a="1"/>
  <c r="H57" i="3" s="1"/>
  <c r="V58" i="3"/>
  <c r="H58" i="3" s="1" a="1"/>
  <c r="H58" i="3" s="1"/>
  <c r="V59" i="3"/>
  <c r="H59" i="3" s="1" a="1"/>
  <c r="H59" i="3" s="1"/>
  <c r="V60" i="3"/>
  <c r="H60" i="3" s="1" a="1"/>
  <c r="H60" i="3" s="1"/>
  <c r="V61" i="3"/>
  <c r="H61" i="3" s="1" a="1"/>
  <c r="H61" i="3" s="1"/>
  <c r="V62" i="3"/>
  <c r="H62" i="3" s="1" a="1"/>
  <c r="H62" i="3" s="1"/>
  <c r="V63" i="3"/>
  <c r="H63" i="3" s="1" a="1"/>
  <c r="H63" i="3" s="1"/>
  <c r="V64" i="3"/>
  <c r="H64" i="3" s="1" a="1"/>
  <c r="H64" i="3" s="1"/>
  <c r="V65" i="3"/>
  <c r="H65" i="3" s="1" a="1"/>
  <c r="H65" i="3" s="1"/>
  <c r="V66" i="3"/>
  <c r="H66" i="3" s="1" a="1"/>
  <c r="H66" i="3" s="1"/>
  <c r="V67" i="3"/>
  <c r="H67" i="3" s="1" a="1"/>
  <c r="H67" i="3" s="1"/>
  <c r="V68" i="3"/>
  <c r="H68" i="3" s="1" a="1"/>
  <c r="H68" i="3" s="1"/>
  <c r="V69" i="3"/>
  <c r="H69" i="3" s="1" a="1"/>
  <c r="H69" i="3" s="1"/>
  <c r="V70" i="3"/>
  <c r="H70" i="3" s="1" a="1"/>
  <c r="H70" i="3" s="1"/>
  <c r="V71" i="3"/>
  <c r="H71" i="3" s="1" a="1"/>
  <c r="H71" i="3" s="1"/>
  <c r="V72" i="3"/>
  <c r="H72" i="3" s="1" a="1"/>
  <c r="H72" i="3" s="1"/>
  <c r="V73" i="3"/>
  <c r="H73" i="3" s="1" a="1"/>
  <c r="H73" i="3" s="1"/>
  <c r="V74" i="3"/>
  <c r="H74" i="3" s="1" a="1"/>
  <c r="H74" i="3" s="1"/>
  <c r="V75" i="3"/>
  <c r="H75" i="3" s="1" a="1"/>
  <c r="H75" i="3" s="1"/>
  <c r="V76" i="3"/>
  <c r="H76" i="3" s="1" a="1"/>
  <c r="H76" i="3" s="1"/>
  <c r="V77" i="3"/>
  <c r="H77" i="3" s="1" a="1"/>
  <c r="H77" i="3" s="1"/>
  <c r="V78" i="3"/>
  <c r="H78" i="3" s="1" a="1"/>
  <c r="H78" i="3" s="1"/>
  <c r="V79" i="3"/>
  <c r="H79" i="3" s="1" a="1"/>
  <c r="H79" i="3" s="1"/>
  <c r="V80" i="3"/>
  <c r="H80" i="3" s="1" a="1"/>
  <c r="H80" i="3" s="1"/>
  <c r="V81" i="3"/>
  <c r="H81" i="3" s="1" a="1"/>
  <c r="H81" i="3" s="1"/>
  <c r="V82" i="3"/>
  <c r="H82" i="3" s="1" a="1"/>
  <c r="H82" i="3" s="1"/>
  <c r="V83" i="3"/>
  <c r="H83" i="3" s="1" a="1"/>
  <c r="H83" i="3" s="1"/>
  <c r="V84" i="3"/>
  <c r="H84" i="3" s="1" a="1"/>
  <c r="H84" i="3" s="1"/>
  <c r="V85" i="3"/>
  <c r="H85" i="3" s="1" a="1"/>
  <c r="H85" i="3" s="1"/>
  <c r="V86" i="3"/>
  <c r="H86" i="3" s="1" a="1"/>
  <c r="H86" i="3" s="1"/>
  <c r="V87" i="3"/>
  <c r="H87" i="3" s="1" a="1"/>
  <c r="H87" i="3" s="1"/>
  <c r="V88" i="3"/>
  <c r="H88" i="3" s="1" a="1"/>
  <c r="H88" i="3" s="1"/>
  <c r="V89" i="3"/>
  <c r="H89" i="3" s="1" a="1"/>
  <c r="H89" i="3" s="1"/>
  <c r="V90" i="3"/>
  <c r="H90" i="3" s="1" a="1"/>
  <c r="H90" i="3" s="1"/>
  <c r="V91" i="3"/>
  <c r="H91" i="3" s="1" a="1"/>
  <c r="H91" i="3" s="1"/>
  <c r="V92" i="3"/>
  <c r="H92" i="3" s="1" a="1"/>
  <c r="H92" i="3" s="1"/>
  <c r="V93" i="3"/>
  <c r="H93" i="3" s="1" a="1"/>
  <c r="H93" i="3" s="1"/>
  <c r="V94" i="3"/>
  <c r="H94" i="3" s="1" a="1"/>
  <c r="H94" i="3" s="1"/>
  <c r="V95" i="3"/>
  <c r="H95" i="3" s="1" a="1"/>
  <c r="H95" i="3" s="1"/>
  <c r="V96" i="3"/>
  <c r="H96" i="3" s="1" a="1"/>
  <c r="H96" i="3" s="1"/>
  <c r="V97" i="3"/>
  <c r="H97" i="3" s="1" a="1"/>
  <c r="H97" i="3" s="1"/>
  <c r="V98" i="3"/>
  <c r="H98" i="3" s="1" a="1"/>
  <c r="H98" i="3" s="1"/>
  <c r="V99" i="3"/>
  <c r="H99" i="3" s="1" a="1"/>
  <c r="H99" i="3" s="1"/>
  <c r="V100" i="3"/>
  <c r="H100" i="3" s="1" a="1"/>
  <c r="H100" i="3" s="1"/>
  <c r="V101" i="3"/>
  <c r="H101" i="3" s="1" a="1"/>
  <c r="H101" i="3" s="1"/>
  <c r="V102" i="3"/>
  <c r="H102" i="3" s="1" a="1"/>
  <c r="H102" i="3" s="1"/>
  <c r="V103" i="3"/>
  <c r="H103" i="3" s="1" a="1"/>
  <c r="H103" i="3" s="1"/>
  <c r="V104" i="3"/>
  <c r="H104" i="3" s="1" a="1"/>
  <c r="H104" i="3" s="1"/>
  <c r="V105" i="3"/>
  <c r="H105" i="3" s="1" a="1"/>
  <c r="H105" i="3" s="1"/>
  <c r="V106" i="3"/>
  <c r="H106" i="3" s="1" a="1"/>
  <c r="H106" i="3" s="1"/>
  <c r="V107" i="3"/>
  <c r="H107" i="3" s="1" a="1"/>
  <c r="H107" i="3" s="1"/>
  <c r="V108" i="3"/>
  <c r="H108" i="3" s="1" a="1"/>
  <c r="H108" i="3" s="1"/>
  <c r="V109" i="3"/>
  <c r="H109" i="3" s="1" a="1"/>
  <c r="H109" i="3" s="1"/>
  <c r="V110" i="3"/>
  <c r="H110" i="3" s="1" a="1"/>
  <c r="H110" i="3" s="1"/>
  <c r="V111" i="3"/>
  <c r="H111" i="3" s="1" a="1"/>
  <c r="H111" i="3" s="1"/>
  <c r="V112" i="3"/>
  <c r="H112" i="3" s="1" a="1"/>
  <c r="H112" i="3" s="1"/>
  <c r="V113" i="3"/>
  <c r="H113" i="3" s="1" a="1"/>
  <c r="H113" i="3" s="1"/>
  <c r="V114" i="3"/>
  <c r="H114" i="3" s="1" a="1"/>
  <c r="H114" i="3" s="1"/>
  <c r="V115" i="3"/>
  <c r="H115" i="3" s="1" a="1"/>
  <c r="H115" i="3" s="1"/>
  <c r="V116" i="3"/>
  <c r="H116" i="3" s="1" a="1"/>
  <c r="H116" i="3" s="1"/>
  <c r="V117" i="3"/>
  <c r="H117" i="3" s="1" a="1"/>
  <c r="H117" i="3" s="1"/>
  <c r="V118" i="3"/>
  <c r="H118" i="3" s="1" a="1"/>
  <c r="H118" i="3" s="1"/>
  <c r="V119" i="3"/>
  <c r="H119" i="3" s="1" a="1"/>
  <c r="H119" i="3" s="1"/>
  <c r="V120" i="3"/>
  <c r="H120" i="3" s="1" a="1"/>
  <c r="H120" i="3" s="1"/>
  <c r="V121" i="3"/>
  <c r="H121" i="3" s="1" a="1"/>
  <c r="H121" i="3" s="1"/>
  <c r="V122" i="3"/>
  <c r="H122" i="3" s="1" a="1"/>
  <c r="H122" i="3" s="1"/>
  <c r="V123" i="3"/>
  <c r="H123" i="3" s="1" a="1"/>
  <c r="H123" i="3" s="1"/>
  <c r="V124" i="3"/>
  <c r="H124" i="3" s="1" a="1"/>
  <c r="H124" i="3" s="1"/>
  <c r="V125" i="3"/>
  <c r="H125" i="3" s="1" a="1"/>
  <c r="H125" i="3" s="1"/>
  <c r="V126" i="3"/>
  <c r="H126" i="3" s="1" a="1"/>
  <c r="H126" i="3" s="1"/>
  <c r="V127" i="3"/>
  <c r="H127" i="3" s="1" a="1"/>
  <c r="H127" i="3" s="1"/>
  <c r="V128" i="3"/>
  <c r="H128" i="3" s="1" a="1"/>
  <c r="H128" i="3" s="1"/>
  <c r="V129" i="3"/>
  <c r="H129" i="3" s="1" a="1"/>
  <c r="H129" i="3" s="1"/>
  <c r="V130" i="3"/>
  <c r="H130" i="3" s="1" a="1"/>
  <c r="H130" i="3" s="1"/>
  <c r="V131" i="3"/>
  <c r="H131" i="3" s="1" a="1"/>
  <c r="H131" i="3" s="1"/>
  <c r="V132" i="3"/>
  <c r="H132" i="3" s="1" a="1"/>
  <c r="H132" i="3" s="1"/>
  <c r="V133" i="3"/>
  <c r="H133" i="3" s="1" a="1"/>
  <c r="H133" i="3" s="1"/>
  <c r="V134" i="3"/>
  <c r="H134" i="3" s="1" a="1"/>
  <c r="H134" i="3" s="1"/>
  <c r="V135" i="3"/>
  <c r="H135" i="3" s="1" a="1"/>
  <c r="H135" i="3" s="1"/>
  <c r="V136" i="3"/>
  <c r="H136" i="3" s="1" a="1"/>
  <c r="H136" i="3" s="1"/>
  <c r="V137" i="3"/>
  <c r="H137" i="3" s="1" a="1"/>
  <c r="H137" i="3" s="1"/>
  <c r="V138" i="3"/>
  <c r="H138" i="3" s="1" a="1"/>
  <c r="H138" i="3" s="1"/>
  <c r="V139" i="3"/>
  <c r="H139" i="3" s="1" a="1"/>
  <c r="H139" i="3" s="1"/>
  <c r="V140" i="3"/>
  <c r="H140" i="3" s="1" a="1"/>
  <c r="H140" i="3" s="1"/>
  <c r="V141" i="3"/>
  <c r="H141" i="3" s="1" a="1"/>
  <c r="H141" i="3" s="1"/>
  <c r="V142" i="3"/>
  <c r="H142" i="3" s="1" a="1"/>
  <c r="H142" i="3" s="1"/>
  <c r="V143" i="3"/>
  <c r="H143" i="3" s="1" a="1"/>
  <c r="H143" i="3" s="1"/>
  <c r="V144" i="3"/>
  <c r="H144" i="3" s="1" a="1"/>
  <c r="H144" i="3" s="1"/>
  <c r="V145" i="3"/>
  <c r="H145" i="3" s="1" a="1"/>
  <c r="H145" i="3" s="1"/>
  <c r="V146" i="3"/>
  <c r="H146" i="3" s="1" a="1"/>
  <c r="H146" i="3" s="1"/>
  <c r="V147" i="3"/>
  <c r="H147" i="3" s="1" a="1"/>
  <c r="H147" i="3" s="1"/>
  <c r="V148" i="3"/>
  <c r="H148" i="3" s="1" a="1"/>
  <c r="H148" i="3" s="1"/>
  <c r="V149" i="3"/>
  <c r="H149" i="3" s="1" a="1"/>
  <c r="H149" i="3" s="1"/>
  <c r="V150" i="3"/>
  <c r="H150" i="3" s="1" a="1"/>
  <c r="H150" i="3" s="1"/>
  <c r="V151" i="3"/>
  <c r="H151" i="3" s="1" a="1"/>
  <c r="H151" i="3" s="1"/>
  <c r="V152" i="3"/>
  <c r="H152" i="3" s="1" a="1"/>
  <c r="H152" i="3" s="1"/>
  <c r="V153" i="3"/>
  <c r="H153" i="3" s="1" a="1"/>
  <c r="H153" i="3" s="1"/>
  <c r="V154" i="3"/>
  <c r="H154" i="3" s="1" a="1"/>
  <c r="H154" i="3" s="1"/>
  <c r="V155" i="3"/>
  <c r="H155" i="3" s="1" a="1"/>
  <c r="H155" i="3" s="1"/>
  <c r="V156" i="3"/>
  <c r="H156" i="3" s="1" a="1"/>
  <c r="H156" i="3" s="1"/>
  <c r="V157" i="3"/>
  <c r="H157" i="3" s="1" a="1"/>
  <c r="H157" i="3" s="1"/>
  <c r="V158" i="3"/>
  <c r="H158" i="3" s="1" a="1"/>
  <c r="H158" i="3" s="1"/>
  <c r="V159" i="3"/>
  <c r="H159" i="3" s="1" a="1"/>
  <c r="H159" i="3" s="1"/>
  <c r="V160" i="3"/>
  <c r="H160" i="3" s="1" a="1"/>
  <c r="H160" i="3" s="1"/>
  <c r="V161" i="3"/>
  <c r="H161" i="3" s="1" a="1"/>
  <c r="H161" i="3" s="1"/>
  <c r="V162" i="3"/>
  <c r="H162" i="3" s="1" a="1"/>
  <c r="H162" i="3" s="1"/>
  <c r="V163" i="3"/>
  <c r="H163" i="3" s="1" a="1"/>
  <c r="H163" i="3" s="1"/>
  <c r="V164" i="3"/>
  <c r="H164" i="3" s="1" a="1"/>
  <c r="H164" i="3" s="1"/>
  <c r="V165" i="3"/>
  <c r="H165" i="3" s="1" a="1"/>
  <c r="H165" i="3" s="1"/>
  <c r="V166" i="3"/>
  <c r="H166" i="3" s="1" a="1"/>
  <c r="H166" i="3" s="1"/>
  <c r="V167" i="3"/>
  <c r="H167" i="3" s="1" a="1"/>
  <c r="H167" i="3" s="1"/>
  <c r="V168" i="3"/>
  <c r="H168" i="3" s="1" a="1"/>
  <c r="H168" i="3" s="1"/>
  <c r="V169" i="3"/>
  <c r="H169" i="3" s="1" a="1"/>
  <c r="H169" i="3" s="1"/>
  <c r="V170" i="3"/>
  <c r="H170" i="3" s="1" a="1"/>
  <c r="H170" i="3" s="1"/>
  <c r="V171" i="3"/>
  <c r="H171" i="3" s="1" a="1"/>
  <c r="H171" i="3" s="1"/>
  <c r="V172" i="3"/>
  <c r="H172" i="3" s="1" a="1"/>
  <c r="H172" i="3" s="1"/>
  <c r="V173" i="3"/>
  <c r="H173" i="3" s="1" a="1"/>
  <c r="H173" i="3" s="1"/>
  <c r="V174" i="3"/>
  <c r="H174" i="3" s="1" a="1"/>
  <c r="H174" i="3" s="1"/>
  <c r="V175" i="3"/>
  <c r="H175" i="3" s="1" a="1"/>
  <c r="H175" i="3" s="1"/>
  <c r="V176" i="3"/>
  <c r="H176" i="3" s="1" a="1"/>
  <c r="H176" i="3" s="1"/>
  <c r="V177" i="3"/>
  <c r="H177" i="3" s="1" a="1"/>
  <c r="H177" i="3" s="1"/>
  <c r="V178" i="3"/>
  <c r="H178" i="3" s="1" a="1"/>
  <c r="H178" i="3" s="1"/>
  <c r="V179" i="3"/>
  <c r="H179" i="3" s="1" a="1"/>
  <c r="H179" i="3" s="1"/>
  <c r="V180" i="3"/>
  <c r="H180" i="3" s="1" a="1"/>
  <c r="H180" i="3" s="1"/>
  <c r="V181" i="3"/>
  <c r="H181" i="3" s="1" a="1"/>
  <c r="H181" i="3" s="1"/>
  <c r="V182" i="3"/>
  <c r="H182" i="3" s="1" a="1"/>
  <c r="H182" i="3" s="1"/>
  <c r="V183" i="3"/>
  <c r="H183" i="3" s="1" a="1"/>
  <c r="H183" i="3" s="1"/>
  <c r="V184" i="3"/>
  <c r="H184" i="3" s="1" a="1"/>
  <c r="H184" i="3" s="1"/>
  <c r="V185" i="3"/>
  <c r="H185" i="3" s="1" a="1"/>
  <c r="H185" i="3" s="1"/>
  <c r="V186" i="3"/>
  <c r="H186" i="3" s="1" a="1"/>
  <c r="H186" i="3" s="1"/>
  <c r="V187" i="3"/>
  <c r="H187" i="3" s="1" a="1"/>
  <c r="H187" i="3" s="1"/>
  <c r="V188" i="3"/>
  <c r="H188" i="3" s="1" a="1"/>
  <c r="H188" i="3" s="1"/>
  <c r="V189" i="3"/>
  <c r="H189" i="3" s="1" a="1"/>
  <c r="H189" i="3" s="1"/>
  <c r="V190" i="3"/>
  <c r="H190" i="3" s="1" a="1"/>
  <c r="H190" i="3" s="1"/>
  <c r="V191" i="3"/>
  <c r="H191" i="3" s="1" a="1"/>
  <c r="H191" i="3" s="1"/>
  <c r="V192" i="3"/>
  <c r="H192" i="3" s="1" a="1"/>
  <c r="H192" i="3" s="1"/>
  <c r="V193" i="3"/>
  <c r="H193" i="3" s="1" a="1"/>
  <c r="H193" i="3" s="1"/>
  <c r="V194" i="3"/>
  <c r="H194" i="3" s="1" a="1"/>
  <c r="H194" i="3" s="1"/>
  <c r="V195" i="3"/>
  <c r="H195" i="3" s="1" a="1"/>
  <c r="H195" i="3" s="1"/>
  <c r="V196" i="3"/>
  <c r="H196" i="3" s="1" a="1"/>
  <c r="H196" i="3" s="1"/>
  <c r="V197" i="3"/>
  <c r="H197" i="3" s="1" a="1"/>
  <c r="H197" i="3" s="1"/>
  <c r="V198" i="3"/>
  <c r="H198" i="3" s="1" a="1"/>
  <c r="H198" i="3" s="1"/>
  <c r="V199" i="3"/>
  <c r="H199" i="3" s="1" a="1"/>
  <c r="H199" i="3" s="1"/>
  <c r="V2" i="3"/>
  <c r="H2" i="3" s="1" a="1"/>
  <c r="H2" i="3" s="1"/>
  <c r="G3" i="3" a="1"/>
  <c r="G3" i="3" s="1"/>
  <c r="G4" i="3" a="1"/>
  <c r="G4" i="3" s="1"/>
  <c r="G5" i="3" a="1"/>
  <c r="G5" i="3" s="1"/>
  <c r="G6" i="3" a="1"/>
  <c r="G6" i="3" s="1"/>
  <c r="G7" i="3" a="1"/>
  <c r="G7" i="3" s="1"/>
  <c r="G8" i="3" a="1"/>
  <c r="G8" i="3" s="1"/>
  <c r="G9" i="3" a="1"/>
  <c r="G9" i="3" s="1"/>
  <c r="G10" i="3" a="1"/>
  <c r="G10" i="3" s="1"/>
  <c r="G11" i="3" a="1"/>
  <c r="G11" i="3" s="1"/>
  <c r="G12" i="3" a="1"/>
  <c r="G12" i="3" s="1"/>
  <c r="G13" i="3" a="1"/>
  <c r="G13" i="3" s="1"/>
  <c r="G14" i="3" a="1"/>
  <c r="G14" i="3" s="1"/>
  <c r="G15" i="3" a="1"/>
  <c r="G15" i="3" s="1"/>
  <c r="G16" i="3" a="1"/>
  <c r="G16" i="3" s="1"/>
  <c r="G17" i="3" a="1"/>
  <c r="G17" i="3" s="1"/>
  <c r="G18" i="3" a="1"/>
  <c r="G18" i="3" s="1"/>
  <c r="G19" i="3" a="1"/>
  <c r="G19" i="3" s="1"/>
  <c r="G20" i="3" a="1"/>
  <c r="G20" i="3" s="1"/>
  <c r="G21" i="3" a="1"/>
  <c r="G21" i="3" s="1"/>
  <c r="G22" i="3" a="1"/>
  <c r="G22" i="3" s="1"/>
  <c r="G23" i="3" a="1"/>
  <c r="G23" i="3" s="1"/>
  <c r="G24" i="3" a="1"/>
  <c r="G24" i="3" s="1"/>
  <c r="G25" i="3" a="1"/>
  <c r="G25" i="3" s="1"/>
  <c r="G26" i="3" a="1"/>
  <c r="G26" i="3" s="1"/>
  <c r="G27" i="3" a="1"/>
  <c r="G27" i="3" s="1"/>
  <c r="G28" i="3" a="1"/>
  <c r="G28" i="3" s="1"/>
  <c r="G29" i="3" a="1"/>
  <c r="G29" i="3" s="1"/>
  <c r="G30" i="3" a="1"/>
  <c r="G30" i="3" s="1"/>
  <c r="G31" i="3" a="1"/>
  <c r="G31" i="3" s="1"/>
  <c r="G32" i="3" a="1"/>
  <c r="G32" i="3" s="1"/>
  <c r="G33" i="3" a="1"/>
  <c r="G33" i="3" s="1"/>
  <c r="G34" i="3" a="1"/>
  <c r="G34" i="3" s="1"/>
  <c r="G35" i="3" a="1"/>
  <c r="G35" i="3" s="1"/>
  <c r="G36" i="3" a="1"/>
  <c r="G36" i="3" s="1"/>
  <c r="G37" i="3" a="1"/>
  <c r="G37" i="3" s="1"/>
  <c r="G38" i="3" a="1"/>
  <c r="G38" i="3" s="1"/>
  <c r="G39" i="3" a="1"/>
  <c r="G39" i="3" s="1"/>
  <c r="G40" i="3" a="1"/>
  <c r="G40" i="3" s="1"/>
  <c r="G41" i="3" a="1"/>
  <c r="G41" i="3" s="1"/>
  <c r="G42" i="3" a="1"/>
  <c r="G42" i="3" s="1"/>
  <c r="G43" i="3" a="1"/>
  <c r="G43" i="3" s="1"/>
  <c r="G44" i="3" a="1"/>
  <c r="G44" i="3" s="1"/>
  <c r="G45" i="3" a="1"/>
  <c r="G45" i="3" s="1"/>
  <c r="G46" i="3" a="1"/>
  <c r="G46" i="3" s="1"/>
  <c r="G47" i="3" a="1"/>
  <c r="G47" i="3" s="1"/>
  <c r="G48" i="3" a="1"/>
  <c r="G48" i="3" s="1"/>
  <c r="G49" i="3" a="1"/>
  <c r="G49" i="3" s="1"/>
  <c r="G50" i="3" a="1"/>
  <c r="G50" i="3" s="1"/>
  <c r="G51" i="3" a="1"/>
  <c r="G51" i="3" s="1"/>
  <c r="G52" i="3" a="1"/>
  <c r="G52" i="3" s="1"/>
  <c r="G53" i="3" a="1"/>
  <c r="G53" i="3" s="1"/>
  <c r="G54" i="3" a="1"/>
  <c r="G54" i="3" s="1"/>
  <c r="G55" i="3" a="1"/>
  <c r="G55" i="3" s="1"/>
  <c r="G56" i="3" a="1"/>
  <c r="G56" i="3" s="1"/>
  <c r="G57" i="3" a="1"/>
  <c r="G57" i="3" s="1"/>
  <c r="G58" i="3" a="1"/>
  <c r="G58" i="3" s="1"/>
  <c r="G59" i="3" a="1"/>
  <c r="G59" i="3" s="1"/>
  <c r="G60" i="3" a="1"/>
  <c r="G60" i="3" s="1"/>
  <c r="G61" i="3" a="1"/>
  <c r="G61" i="3" s="1"/>
  <c r="G62" i="3" a="1"/>
  <c r="G62" i="3" s="1"/>
  <c r="G63" i="3" a="1"/>
  <c r="G63" i="3" s="1"/>
  <c r="G64" i="3" a="1"/>
  <c r="G64" i="3" s="1"/>
  <c r="G65" i="3" a="1"/>
  <c r="G65" i="3" s="1"/>
  <c r="G66" i="3" a="1"/>
  <c r="G66" i="3" s="1"/>
  <c r="G67" i="3" a="1"/>
  <c r="G67" i="3" s="1"/>
  <c r="G68" i="3" a="1"/>
  <c r="G68" i="3" s="1"/>
  <c r="G69" i="3" a="1"/>
  <c r="G69" i="3" s="1"/>
  <c r="G70" i="3" a="1"/>
  <c r="G70" i="3" s="1"/>
  <c r="G71" i="3" a="1"/>
  <c r="G71" i="3" s="1"/>
  <c r="G72" i="3" a="1"/>
  <c r="G72" i="3" s="1"/>
  <c r="G73" i="3" a="1"/>
  <c r="G73" i="3" s="1"/>
  <c r="G74" i="3" a="1"/>
  <c r="G74" i="3" s="1"/>
  <c r="G75" i="3" a="1"/>
  <c r="G75" i="3" s="1"/>
  <c r="G76" i="3" a="1"/>
  <c r="G76" i="3" s="1"/>
  <c r="G77" i="3" a="1"/>
  <c r="G77" i="3" s="1"/>
  <c r="G78" i="3" a="1"/>
  <c r="G78" i="3" s="1"/>
  <c r="G79" i="3" a="1"/>
  <c r="G79" i="3" s="1"/>
  <c r="G80" i="3" a="1"/>
  <c r="G80" i="3" s="1"/>
  <c r="G81" i="3" a="1"/>
  <c r="G81" i="3" s="1"/>
  <c r="G82" i="3" a="1"/>
  <c r="G82" i="3" s="1"/>
  <c r="G83" i="3" a="1"/>
  <c r="G83" i="3" s="1"/>
  <c r="G84" i="3" a="1"/>
  <c r="G84" i="3" s="1"/>
  <c r="G85" i="3" a="1"/>
  <c r="G85" i="3" s="1"/>
  <c r="G86" i="3" a="1"/>
  <c r="G86" i="3" s="1"/>
  <c r="G87" i="3" a="1"/>
  <c r="G87" i="3" s="1"/>
  <c r="G88" i="3" a="1"/>
  <c r="G88" i="3" s="1"/>
  <c r="G89" i="3" a="1"/>
  <c r="G89" i="3" s="1"/>
  <c r="G90" i="3" a="1"/>
  <c r="G90" i="3" s="1"/>
  <c r="G91" i="3" a="1"/>
  <c r="G91" i="3" s="1"/>
  <c r="G92" i="3" a="1"/>
  <c r="G92" i="3" s="1"/>
  <c r="G93" i="3" a="1"/>
  <c r="G93" i="3" s="1"/>
  <c r="G94" i="3" a="1"/>
  <c r="G94" i="3" s="1"/>
  <c r="G95" i="3" a="1"/>
  <c r="G95" i="3" s="1"/>
  <c r="G96" i="3" a="1"/>
  <c r="G96" i="3" s="1"/>
  <c r="G97" i="3" a="1"/>
  <c r="G97" i="3" s="1"/>
  <c r="G98" i="3" a="1"/>
  <c r="G98" i="3" s="1"/>
  <c r="G99" i="3" a="1"/>
  <c r="G99" i="3" s="1"/>
  <c r="G100" i="3" a="1"/>
  <c r="G100" i="3" s="1"/>
  <c r="G101" i="3" a="1"/>
  <c r="G101" i="3" s="1"/>
  <c r="G102" i="3" a="1"/>
  <c r="G102" i="3" s="1"/>
  <c r="G103" i="3" a="1"/>
  <c r="G103" i="3" s="1"/>
  <c r="G104" i="3" a="1"/>
  <c r="G104" i="3" s="1"/>
  <c r="G105" i="3" a="1"/>
  <c r="G105" i="3" s="1"/>
  <c r="G106" i="3" a="1"/>
  <c r="G106" i="3" s="1"/>
  <c r="G107" i="3" a="1"/>
  <c r="G107" i="3" s="1"/>
  <c r="G108" i="3" a="1"/>
  <c r="G108" i="3" s="1"/>
  <c r="G109" i="3" a="1"/>
  <c r="G109" i="3" s="1"/>
  <c r="G110" i="3" a="1"/>
  <c r="G110" i="3" s="1"/>
  <c r="G111" i="3" a="1"/>
  <c r="G111" i="3" s="1"/>
  <c r="G112" i="3" a="1"/>
  <c r="G112" i="3" s="1"/>
  <c r="G113" i="3" a="1"/>
  <c r="G113" i="3" s="1"/>
  <c r="G114" i="3" a="1"/>
  <c r="G114" i="3" s="1"/>
  <c r="G115" i="3" a="1"/>
  <c r="G115" i="3" s="1"/>
  <c r="G116" i="3" a="1"/>
  <c r="G116" i="3" s="1"/>
  <c r="G117" i="3" a="1"/>
  <c r="G117" i="3" s="1"/>
  <c r="G118" i="3" a="1"/>
  <c r="G118" i="3" s="1"/>
  <c r="G119" i="3" a="1"/>
  <c r="G119" i="3" s="1"/>
  <c r="G120" i="3" a="1"/>
  <c r="G120" i="3" s="1"/>
  <c r="G121" i="3" a="1"/>
  <c r="G121" i="3" s="1"/>
  <c r="G122" i="3" a="1"/>
  <c r="G122" i="3" s="1"/>
  <c r="G123" i="3" a="1"/>
  <c r="G123" i="3" s="1"/>
  <c r="G124" i="3" a="1"/>
  <c r="G124" i="3" s="1"/>
  <c r="G125" i="3" a="1"/>
  <c r="G125" i="3" s="1"/>
  <c r="G126" i="3" a="1"/>
  <c r="G126" i="3" s="1"/>
  <c r="G127" i="3" a="1"/>
  <c r="G127" i="3" s="1"/>
  <c r="G128" i="3" a="1"/>
  <c r="G128" i="3" s="1"/>
  <c r="G129" i="3" a="1"/>
  <c r="G129" i="3" s="1"/>
  <c r="G130" i="3" a="1"/>
  <c r="G130" i="3" s="1"/>
  <c r="G131" i="3" a="1"/>
  <c r="G131" i="3" s="1"/>
  <c r="G132" i="3" a="1"/>
  <c r="G132" i="3" s="1"/>
  <c r="G133" i="3" a="1"/>
  <c r="G133" i="3" s="1"/>
  <c r="G134" i="3" a="1"/>
  <c r="G134" i="3" s="1"/>
  <c r="G135" i="3" a="1"/>
  <c r="G135" i="3" s="1"/>
  <c r="G136" i="3" a="1"/>
  <c r="G136" i="3" s="1"/>
  <c r="G137" i="3" a="1"/>
  <c r="G137" i="3" s="1"/>
  <c r="G138" i="3" a="1"/>
  <c r="G138" i="3" s="1"/>
  <c r="G139" i="3" a="1"/>
  <c r="G139" i="3" s="1"/>
  <c r="G140" i="3" a="1"/>
  <c r="G140" i="3" s="1"/>
  <c r="G141" i="3" a="1"/>
  <c r="G141" i="3" s="1"/>
  <c r="G142" i="3" a="1"/>
  <c r="G142" i="3" s="1"/>
  <c r="G143" i="3" a="1"/>
  <c r="G143" i="3" s="1"/>
  <c r="G144" i="3" a="1"/>
  <c r="G144" i="3" s="1"/>
  <c r="G145" i="3" a="1"/>
  <c r="G145" i="3" s="1"/>
  <c r="G146" i="3" a="1"/>
  <c r="G146" i="3" s="1"/>
  <c r="G147" i="3" a="1"/>
  <c r="G147" i="3" s="1"/>
  <c r="G148" i="3" a="1"/>
  <c r="G148" i="3" s="1"/>
  <c r="G149" i="3" a="1"/>
  <c r="G149" i="3" s="1"/>
  <c r="G150" i="3" a="1"/>
  <c r="G150" i="3" s="1"/>
  <c r="G151" i="3" a="1"/>
  <c r="G151" i="3" s="1"/>
  <c r="G152" i="3" a="1"/>
  <c r="G152" i="3" s="1"/>
  <c r="G153" i="3" a="1"/>
  <c r="G153" i="3" s="1"/>
  <c r="G154" i="3" a="1"/>
  <c r="G154" i="3" s="1"/>
  <c r="G155" i="3" a="1"/>
  <c r="G155" i="3" s="1"/>
  <c r="G156" i="3" a="1"/>
  <c r="G156" i="3" s="1"/>
  <c r="G157" i="3" a="1"/>
  <c r="G157" i="3" s="1"/>
  <c r="G158" i="3" a="1"/>
  <c r="G158" i="3" s="1"/>
  <c r="G159" i="3" a="1"/>
  <c r="G159" i="3" s="1"/>
  <c r="G160" i="3" a="1"/>
  <c r="G160" i="3" s="1"/>
  <c r="G161" i="3" a="1"/>
  <c r="G161" i="3" s="1"/>
  <c r="G162" i="3" a="1"/>
  <c r="G162" i="3" s="1"/>
  <c r="G163" i="3" a="1"/>
  <c r="G163" i="3" s="1"/>
  <c r="G164" i="3" a="1"/>
  <c r="G164" i="3" s="1"/>
  <c r="G165" i="3" a="1"/>
  <c r="G165" i="3" s="1"/>
  <c r="G166" i="3" a="1"/>
  <c r="G166" i="3" s="1"/>
  <c r="G167" i="3" a="1"/>
  <c r="G167" i="3" s="1"/>
  <c r="G168" i="3" a="1"/>
  <c r="G168" i="3" s="1"/>
  <c r="G169" i="3" a="1"/>
  <c r="G169" i="3" s="1"/>
  <c r="G170" i="3" a="1"/>
  <c r="G170" i="3" s="1"/>
  <c r="G171" i="3" a="1"/>
  <c r="G171" i="3" s="1"/>
  <c r="G172" i="3" a="1"/>
  <c r="G172" i="3" s="1"/>
  <c r="G173" i="3" a="1"/>
  <c r="G173" i="3" s="1"/>
  <c r="G174" i="3" a="1"/>
  <c r="G174" i="3" s="1"/>
  <c r="G175" i="3" a="1"/>
  <c r="G175" i="3" s="1"/>
  <c r="G176" i="3" a="1"/>
  <c r="G176" i="3" s="1"/>
  <c r="G177" i="3" a="1"/>
  <c r="G177" i="3" s="1"/>
  <c r="G178" i="3" a="1"/>
  <c r="G178" i="3" s="1"/>
  <c r="G179" i="3" a="1"/>
  <c r="G179" i="3" s="1"/>
  <c r="G180" i="3" a="1"/>
  <c r="G180" i="3" s="1"/>
  <c r="G181" i="3" a="1"/>
  <c r="G181" i="3" s="1"/>
  <c r="G182" i="3" a="1"/>
  <c r="G182" i="3" s="1"/>
  <c r="G183" i="3" a="1"/>
  <c r="G183" i="3" s="1"/>
  <c r="G184" i="3" a="1"/>
  <c r="G184" i="3" s="1"/>
  <c r="G185" i="3" a="1"/>
  <c r="G185" i="3" s="1"/>
  <c r="G186" i="3" a="1"/>
  <c r="G186" i="3" s="1"/>
  <c r="G187" i="3" a="1"/>
  <c r="G187" i="3" s="1"/>
  <c r="G188" i="3" a="1"/>
  <c r="G188" i="3" s="1"/>
  <c r="G189" i="3" a="1"/>
  <c r="G189" i="3" s="1"/>
  <c r="G190" i="3" a="1"/>
  <c r="G190" i="3" s="1"/>
  <c r="G191" i="3" a="1"/>
  <c r="G191" i="3" s="1"/>
  <c r="G192" i="3" a="1"/>
  <c r="G192" i="3" s="1"/>
  <c r="G193" i="3" a="1"/>
  <c r="G193" i="3" s="1"/>
  <c r="G194" i="3" a="1"/>
  <c r="G194" i="3" s="1"/>
  <c r="G195" i="3" a="1"/>
  <c r="G195" i="3" s="1"/>
  <c r="G196" i="3" a="1"/>
  <c r="G196" i="3" s="1"/>
  <c r="G197" i="3" a="1"/>
  <c r="G197" i="3" s="1"/>
  <c r="G198" i="3" a="1"/>
  <c r="G198" i="3" s="1"/>
  <c r="G199" i="3" a="1"/>
  <c r="G199" i="3" s="1"/>
  <c r="G2" i="3" a="1"/>
  <c r="G2" i="3" s="1"/>
  <c r="O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" i="3"/>
  <c r="S26" i="2"/>
  <c r="E25" i="6" s="1"/>
  <c r="S32" i="2"/>
  <c r="E31" i="3" s="1"/>
  <c r="S72" i="2"/>
  <c r="E71" i="3" s="1"/>
  <c r="S96" i="2"/>
  <c r="S109" i="2"/>
  <c r="S133" i="2"/>
  <c r="S194" i="2"/>
  <c r="S13" i="2"/>
  <c r="E12" i="6" s="1"/>
  <c r="L3" i="2"/>
  <c r="Q3" i="2" s="1" a="1"/>
  <c r="Q3" i="2" s="1"/>
  <c r="L4" i="2"/>
  <c r="Q4" i="2" s="1" a="1"/>
  <c r="Q4" i="2" s="1"/>
  <c r="L5" i="2"/>
  <c r="Q5" i="2" s="1" a="1"/>
  <c r="Q5" i="2" s="1"/>
  <c r="L6" i="2"/>
  <c r="Q6" i="2" s="1" a="1"/>
  <c r="Q6" i="2" s="1"/>
  <c r="L7" i="2"/>
  <c r="Q7" i="2" s="1" a="1"/>
  <c r="Q7" i="2" s="1"/>
  <c r="L8" i="2"/>
  <c r="Q8" i="2" s="1" a="1"/>
  <c r="Q8" i="2" s="1"/>
  <c r="L9" i="2"/>
  <c r="Q9" i="2" s="1" a="1"/>
  <c r="Q9" i="2" s="1"/>
  <c r="L10" i="2"/>
  <c r="Q10" i="2" s="1" a="1"/>
  <c r="Q10" i="2" s="1"/>
  <c r="L11" i="2"/>
  <c r="Q11" i="2" s="1" a="1"/>
  <c r="Q11" i="2" s="1"/>
  <c r="L12" i="2"/>
  <c r="Q12" i="2" s="1" a="1"/>
  <c r="Q12" i="2" s="1"/>
  <c r="L13" i="2"/>
  <c r="Q13" i="2" s="1" a="1"/>
  <c r="Q13" i="2" s="1"/>
  <c r="L14" i="2"/>
  <c r="Q14" i="2" s="1" a="1"/>
  <c r="Q14" i="2" s="1"/>
  <c r="L15" i="2"/>
  <c r="Q15" i="2" s="1" a="1"/>
  <c r="Q15" i="2" s="1"/>
  <c r="L16" i="2"/>
  <c r="Q16" i="2" s="1" a="1"/>
  <c r="Q16" i="2" s="1"/>
  <c r="L17" i="2"/>
  <c r="Q17" i="2" s="1" a="1"/>
  <c r="Q17" i="2" s="1"/>
  <c r="L18" i="2"/>
  <c r="Q18" i="2" s="1" a="1"/>
  <c r="Q18" i="2" s="1"/>
  <c r="L19" i="2"/>
  <c r="Q19" i="2" s="1" a="1"/>
  <c r="Q19" i="2" s="1"/>
  <c r="L20" i="2"/>
  <c r="Q20" i="2" s="1" a="1"/>
  <c r="Q20" i="2" s="1"/>
  <c r="L21" i="2"/>
  <c r="Q21" i="2" s="1" a="1"/>
  <c r="Q21" i="2" s="1"/>
  <c r="L22" i="2"/>
  <c r="Q22" i="2" s="1" a="1"/>
  <c r="Q22" i="2" s="1"/>
  <c r="L23" i="2"/>
  <c r="Q23" i="2" s="1" a="1"/>
  <c r="Q23" i="2" s="1"/>
  <c r="L24" i="2"/>
  <c r="Q24" i="2" s="1" a="1"/>
  <c r="Q24" i="2" s="1"/>
  <c r="L25" i="2"/>
  <c r="Q25" i="2" s="1" a="1"/>
  <c r="Q25" i="2" s="1"/>
  <c r="L26" i="2"/>
  <c r="Q26" i="2" s="1" a="1"/>
  <c r="Q26" i="2" s="1"/>
  <c r="L27" i="2"/>
  <c r="Q27" i="2" s="1" a="1"/>
  <c r="Q27" i="2" s="1"/>
  <c r="L28" i="2"/>
  <c r="Q28" i="2" s="1" a="1"/>
  <c r="Q28" i="2" s="1"/>
  <c r="L29" i="2"/>
  <c r="Q29" i="2" s="1" a="1"/>
  <c r="Q29" i="2" s="1"/>
  <c r="L30" i="2"/>
  <c r="Q30" i="2" s="1" a="1"/>
  <c r="Q30" i="2" s="1"/>
  <c r="L31" i="2"/>
  <c r="Q31" i="2" s="1" a="1"/>
  <c r="Q31" i="2" s="1"/>
  <c r="L32" i="2"/>
  <c r="Q32" i="2" s="1" a="1"/>
  <c r="Q32" i="2" s="1"/>
  <c r="L33" i="2"/>
  <c r="Q33" i="2" s="1" a="1"/>
  <c r="Q33" i="2" s="1"/>
  <c r="L34" i="2"/>
  <c r="Q34" i="2" s="1" a="1"/>
  <c r="Q34" i="2" s="1"/>
  <c r="L35" i="2"/>
  <c r="Q35" i="2" s="1" a="1"/>
  <c r="Q35" i="2" s="1"/>
  <c r="L36" i="2"/>
  <c r="Q36" i="2" s="1" a="1"/>
  <c r="Q36" i="2" s="1"/>
  <c r="L37" i="2"/>
  <c r="Q37" i="2" s="1" a="1"/>
  <c r="Q37" i="2" s="1"/>
  <c r="L38" i="2"/>
  <c r="Q38" i="2" s="1" a="1"/>
  <c r="Q38" i="2" s="1"/>
  <c r="L39" i="2"/>
  <c r="Q39" i="2" s="1" a="1"/>
  <c r="Q39" i="2" s="1"/>
  <c r="L40" i="2"/>
  <c r="Q40" i="2" s="1" a="1"/>
  <c r="Q40" i="2" s="1"/>
  <c r="L41" i="2"/>
  <c r="Q41" i="2" s="1" a="1"/>
  <c r="Q41" i="2" s="1"/>
  <c r="L42" i="2"/>
  <c r="Q42" i="2" s="1" a="1"/>
  <c r="Q42" i="2" s="1"/>
  <c r="L43" i="2"/>
  <c r="Q43" i="2" s="1" a="1"/>
  <c r="Q43" i="2" s="1"/>
  <c r="L44" i="2"/>
  <c r="Q44" i="2" s="1" a="1"/>
  <c r="Q44" i="2" s="1"/>
  <c r="L45" i="2"/>
  <c r="Q45" i="2" s="1" a="1"/>
  <c r="Q45" i="2" s="1"/>
  <c r="L46" i="2"/>
  <c r="Q46" i="2" s="1" a="1"/>
  <c r="Q46" i="2" s="1"/>
  <c r="L47" i="2"/>
  <c r="Q47" i="2" s="1" a="1"/>
  <c r="Q47" i="2" s="1"/>
  <c r="L48" i="2"/>
  <c r="Q48" i="2" s="1" a="1"/>
  <c r="Q48" i="2" s="1"/>
  <c r="L49" i="2"/>
  <c r="Q49" i="2" s="1" a="1"/>
  <c r="Q49" i="2" s="1"/>
  <c r="L50" i="2"/>
  <c r="Q50" i="2" s="1" a="1"/>
  <c r="Q50" i="2" s="1"/>
  <c r="L51" i="2"/>
  <c r="Q51" i="2" s="1" a="1"/>
  <c r="Q51" i="2" s="1"/>
  <c r="L52" i="2"/>
  <c r="Q52" i="2" s="1" a="1"/>
  <c r="Q52" i="2" s="1"/>
  <c r="L53" i="2"/>
  <c r="Q53" i="2" s="1" a="1"/>
  <c r="Q53" i="2" s="1"/>
  <c r="L54" i="2"/>
  <c r="Q54" i="2" s="1" a="1"/>
  <c r="Q54" i="2" s="1"/>
  <c r="L55" i="2"/>
  <c r="Q55" i="2" s="1" a="1"/>
  <c r="Q55" i="2" s="1"/>
  <c r="L56" i="2"/>
  <c r="Q56" i="2" s="1" a="1"/>
  <c r="Q56" i="2" s="1"/>
  <c r="L57" i="2"/>
  <c r="Q57" i="2" s="1" a="1"/>
  <c r="Q57" i="2" s="1"/>
  <c r="L58" i="2"/>
  <c r="Q58" i="2" s="1" a="1"/>
  <c r="Q58" i="2" s="1"/>
  <c r="L59" i="2"/>
  <c r="Q59" i="2" s="1" a="1"/>
  <c r="Q59" i="2" s="1"/>
  <c r="L60" i="2"/>
  <c r="Q60" i="2" s="1" a="1"/>
  <c r="Q60" i="2" s="1"/>
  <c r="L61" i="2"/>
  <c r="Q61" i="2" s="1" a="1"/>
  <c r="Q61" i="2" s="1"/>
  <c r="L62" i="2"/>
  <c r="Q62" i="2" s="1" a="1"/>
  <c r="Q62" i="2" s="1"/>
  <c r="L63" i="2"/>
  <c r="Q63" i="2" s="1" a="1"/>
  <c r="Q63" i="2" s="1"/>
  <c r="L64" i="2"/>
  <c r="Q64" i="2" s="1" a="1"/>
  <c r="Q64" i="2" s="1"/>
  <c r="L65" i="2"/>
  <c r="Q65" i="2" s="1" a="1"/>
  <c r="Q65" i="2" s="1"/>
  <c r="L66" i="2"/>
  <c r="Q66" i="2" s="1" a="1"/>
  <c r="Q66" i="2" s="1"/>
  <c r="L67" i="2"/>
  <c r="Q67" i="2" s="1" a="1"/>
  <c r="Q67" i="2" s="1"/>
  <c r="L68" i="2"/>
  <c r="Q68" i="2" s="1" a="1"/>
  <c r="Q68" i="2" s="1"/>
  <c r="L69" i="2"/>
  <c r="Q69" i="2" s="1" a="1"/>
  <c r="Q69" i="2" s="1"/>
  <c r="L70" i="2"/>
  <c r="Q70" i="2" s="1" a="1"/>
  <c r="Q70" i="2" s="1"/>
  <c r="L71" i="2"/>
  <c r="Q71" i="2" s="1" a="1"/>
  <c r="Q71" i="2" s="1"/>
  <c r="L72" i="2"/>
  <c r="Q72" i="2" s="1" a="1"/>
  <c r="Q72" i="2" s="1"/>
  <c r="L73" i="2"/>
  <c r="Q73" i="2" s="1" a="1"/>
  <c r="Q73" i="2" s="1"/>
  <c r="L74" i="2"/>
  <c r="Q74" i="2" s="1" a="1"/>
  <c r="Q74" i="2" s="1"/>
  <c r="L75" i="2"/>
  <c r="Q75" i="2" s="1" a="1"/>
  <c r="Q75" i="2" s="1"/>
  <c r="L76" i="2"/>
  <c r="Q76" i="2" s="1" a="1"/>
  <c r="Q76" i="2" s="1"/>
  <c r="L77" i="2"/>
  <c r="Q77" i="2" s="1" a="1"/>
  <c r="Q77" i="2" s="1"/>
  <c r="L78" i="2"/>
  <c r="Q78" i="2" s="1" a="1"/>
  <c r="Q78" i="2" s="1"/>
  <c r="L79" i="2"/>
  <c r="Q79" i="2" s="1" a="1"/>
  <c r="Q79" i="2" s="1"/>
  <c r="L80" i="2"/>
  <c r="Q80" i="2" s="1" a="1"/>
  <c r="Q80" i="2" s="1"/>
  <c r="L81" i="2"/>
  <c r="Q81" i="2" s="1" a="1"/>
  <c r="Q81" i="2" s="1"/>
  <c r="L82" i="2"/>
  <c r="Q82" i="2" s="1" a="1"/>
  <c r="Q82" i="2" s="1"/>
  <c r="L83" i="2"/>
  <c r="Q83" i="2" s="1" a="1"/>
  <c r="Q83" i="2" s="1"/>
  <c r="L84" i="2"/>
  <c r="Q84" i="2" s="1" a="1"/>
  <c r="Q84" i="2" s="1"/>
  <c r="L85" i="2"/>
  <c r="Q85" i="2" s="1" a="1"/>
  <c r="Q85" i="2" s="1"/>
  <c r="L86" i="2"/>
  <c r="Q86" i="2" s="1" a="1"/>
  <c r="Q86" i="2" s="1"/>
  <c r="L87" i="2"/>
  <c r="Q87" i="2" s="1" a="1"/>
  <c r="Q87" i="2" s="1"/>
  <c r="L88" i="2"/>
  <c r="Q88" i="2" s="1" a="1"/>
  <c r="Q88" i="2" s="1"/>
  <c r="L89" i="2"/>
  <c r="Q89" i="2" s="1" a="1"/>
  <c r="Q89" i="2" s="1"/>
  <c r="L90" i="2"/>
  <c r="Q90" i="2" s="1" a="1"/>
  <c r="Q90" i="2" s="1"/>
  <c r="L91" i="2"/>
  <c r="Q91" i="2" s="1" a="1"/>
  <c r="Q91" i="2" s="1"/>
  <c r="L92" i="2"/>
  <c r="Q92" i="2" s="1" a="1"/>
  <c r="Q92" i="2" s="1"/>
  <c r="L93" i="2"/>
  <c r="Q93" i="2" s="1" a="1"/>
  <c r="Q93" i="2" s="1"/>
  <c r="L94" i="2"/>
  <c r="Q94" i="2" s="1" a="1"/>
  <c r="Q94" i="2" s="1"/>
  <c r="L95" i="2"/>
  <c r="Q95" i="2" s="1" a="1"/>
  <c r="Q95" i="2" s="1"/>
  <c r="L96" i="2"/>
  <c r="Q96" i="2" s="1" a="1"/>
  <c r="Q96" i="2" s="1"/>
  <c r="L97" i="2"/>
  <c r="Q97" i="2" s="1" a="1"/>
  <c r="Q97" i="2" s="1"/>
  <c r="L98" i="2"/>
  <c r="Q98" i="2" s="1" a="1"/>
  <c r="Q98" i="2" s="1"/>
  <c r="L99" i="2"/>
  <c r="Q99" i="2" s="1" a="1"/>
  <c r="Q99" i="2" s="1"/>
  <c r="L100" i="2"/>
  <c r="Q100" i="2" s="1" a="1"/>
  <c r="Q100" i="2" s="1"/>
  <c r="L101" i="2"/>
  <c r="Q101" i="2" s="1" a="1"/>
  <c r="Q101" i="2" s="1"/>
  <c r="L102" i="2"/>
  <c r="Q102" i="2" s="1" a="1"/>
  <c r="Q102" i="2" s="1"/>
  <c r="L103" i="2"/>
  <c r="Q103" i="2" s="1" a="1"/>
  <c r="Q103" i="2" s="1"/>
  <c r="L104" i="2"/>
  <c r="Q104" i="2" s="1" a="1"/>
  <c r="Q104" i="2" s="1"/>
  <c r="L105" i="2"/>
  <c r="Q105" i="2" s="1" a="1"/>
  <c r="Q105" i="2" s="1"/>
  <c r="L106" i="2"/>
  <c r="Q106" i="2" s="1" a="1"/>
  <c r="Q106" i="2" s="1"/>
  <c r="L107" i="2"/>
  <c r="Q107" i="2" s="1" a="1"/>
  <c r="Q107" i="2" s="1"/>
  <c r="L108" i="2"/>
  <c r="Q108" i="2" s="1" a="1"/>
  <c r="Q108" i="2" s="1"/>
  <c r="L109" i="2"/>
  <c r="Q109" i="2" s="1" a="1"/>
  <c r="Q109" i="2" s="1"/>
  <c r="L110" i="2"/>
  <c r="Q110" i="2" s="1" a="1"/>
  <c r="Q110" i="2" s="1"/>
  <c r="L111" i="2"/>
  <c r="Q111" i="2" s="1" a="1"/>
  <c r="Q111" i="2" s="1"/>
  <c r="L112" i="2"/>
  <c r="Q112" i="2" s="1" a="1"/>
  <c r="Q112" i="2" s="1"/>
  <c r="L113" i="2"/>
  <c r="Q113" i="2" s="1" a="1"/>
  <c r="Q113" i="2" s="1"/>
  <c r="L114" i="2"/>
  <c r="Q114" i="2" s="1" a="1"/>
  <c r="Q114" i="2" s="1"/>
  <c r="L115" i="2"/>
  <c r="Q115" i="2" s="1" a="1"/>
  <c r="Q115" i="2" s="1"/>
  <c r="L116" i="2"/>
  <c r="Q116" i="2" s="1" a="1"/>
  <c r="Q116" i="2" s="1"/>
  <c r="L117" i="2"/>
  <c r="Q117" i="2" s="1" a="1"/>
  <c r="Q117" i="2" s="1"/>
  <c r="L118" i="2"/>
  <c r="Q118" i="2" s="1" a="1"/>
  <c r="Q118" i="2" s="1"/>
  <c r="L119" i="2"/>
  <c r="Q119" i="2" s="1" a="1"/>
  <c r="Q119" i="2" s="1"/>
  <c r="L120" i="2"/>
  <c r="Q120" i="2" s="1" a="1"/>
  <c r="Q120" i="2" s="1"/>
  <c r="L121" i="2"/>
  <c r="Q121" i="2" s="1" a="1"/>
  <c r="Q121" i="2" s="1"/>
  <c r="L122" i="2"/>
  <c r="Q122" i="2" s="1" a="1"/>
  <c r="Q122" i="2" s="1"/>
  <c r="L123" i="2"/>
  <c r="Q123" i="2" s="1" a="1"/>
  <c r="Q123" i="2" s="1"/>
  <c r="L124" i="2"/>
  <c r="Q124" i="2" s="1" a="1"/>
  <c r="Q124" i="2" s="1"/>
  <c r="L125" i="2"/>
  <c r="Q125" i="2" s="1" a="1"/>
  <c r="Q125" i="2" s="1"/>
  <c r="L126" i="2"/>
  <c r="Q126" i="2" s="1" a="1"/>
  <c r="Q126" i="2" s="1"/>
  <c r="L127" i="2"/>
  <c r="Q127" i="2" s="1" a="1"/>
  <c r="Q127" i="2" s="1"/>
  <c r="L128" i="2"/>
  <c r="Q128" i="2" s="1" a="1"/>
  <c r="Q128" i="2" s="1"/>
  <c r="L129" i="2"/>
  <c r="Q129" i="2" s="1" a="1"/>
  <c r="Q129" i="2" s="1"/>
  <c r="L130" i="2"/>
  <c r="Q130" i="2" s="1" a="1"/>
  <c r="Q130" i="2" s="1"/>
  <c r="L131" i="2"/>
  <c r="Q131" i="2" s="1" a="1"/>
  <c r="Q131" i="2" s="1"/>
  <c r="L132" i="2"/>
  <c r="Q132" i="2" s="1" a="1"/>
  <c r="Q132" i="2" s="1"/>
  <c r="L133" i="2"/>
  <c r="Q133" i="2" s="1" a="1"/>
  <c r="Q133" i="2" s="1"/>
  <c r="L134" i="2"/>
  <c r="Q134" i="2" s="1" a="1"/>
  <c r="Q134" i="2" s="1"/>
  <c r="L135" i="2"/>
  <c r="Q135" i="2" s="1" a="1"/>
  <c r="Q135" i="2" s="1"/>
  <c r="L136" i="2"/>
  <c r="Q136" i="2" s="1" a="1"/>
  <c r="Q136" i="2" s="1"/>
  <c r="L137" i="2"/>
  <c r="Q137" i="2" s="1" a="1"/>
  <c r="Q137" i="2" s="1"/>
  <c r="L138" i="2"/>
  <c r="Q138" i="2" s="1" a="1"/>
  <c r="Q138" i="2" s="1"/>
  <c r="L139" i="2"/>
  <c r="Q139" i="2" s="1" a="1"/>
  <c r="Q139" i="2" s="1"/>
  <c r="L140" i="2"/>
  <c r="Q140" i="2" s="1" a="1"/>
  <c r="Q140" i="2" s="1"/>
  <c r="L141" i="2"/>
  <c r="Q141" i="2" s="1" a="1"/>
  <c r="Q141" i="2" s="1"/>
  <c r="L142" i="2"/>
  <c r="Q142" i="2" s="1" a="1"/>
  <c r="Q142" i="2" s="1"/>
  <c r="L143" i="2"/>
  <c r="Q143" i="2" s="1" a="1"/>
  <c r="Q143" i="2" s="1"/>
  <c r="L144" i="2"/>
  <c r="Q144" i="2" s="1" a="1"/>
  <c r="Q144" i="2" s="1"/>
  <c r="L145" i="2"/>
  <c r="Q145" i="2" s="1" a="1"/>
  <c r="Q145" i="2" s="1"/>
  <c r="L146" i="2"/>
  <c r="Q146" i="2" s="1" a="1"/>
  <c r="Q146" i="2" s="1"/>
  <c r="L147" i="2"/>
  <c r="Q147" i="2" s="1" a="1"/>
  <c r="Q147" i="2" s="1"/>
  <c r="L148" i="2"/>
  <c r="Q148" i="2" s="1" a="1"/>
  <c r="Q148" i="2" s="1"/>
  <c r="L149" i="2"/>
  <c r="Q149" i="2" s="1" a="1"/>
  <c r="Q149" i="2" s="1"/>
  <c r="L150" i="2"/>
  <c r="Q150" i="2" s="1" a="1"/>
  <c r="Q150" i="2" s="1"/>
  <c r="L151" i="2"/>
  <c r="Q151" i="2" s="1" a="1"/>
  <c r="Q151" i="2" s="1"/>
  <c r="L152" i="2"/>
  <c r="Q152" i="2" s="1" a="1"/>
  <c r="Q152" i="2" s="1"/>
  <c r="L153" i="2"/>
  <c r="Q153" i="2" s="1" a="1"/>
  <c r="Q153" i="2" s="1"/>
  <c r="L154" i="2"/>
  <c r="Q154" i="2" s="1" a="1"/>
  <c r="Q154" i="2" s="1"/>
  <c r="L155" i="2"/>
  <c r="Q155" i="2" s="1" a="1"/>
  <c r="Q155" i="2" s="1"/>
  <c r="L156" i="2"/>
  <c r="Q156" i="2" s="1" a="1"/>
  <c r="Q156" i="2" s="1"/>
  <c r="L157" i="2"/>
  <c r="Q157" i="2" s="1" a="1"/>
  <c r="Q157" i="2" s="1"/>
  <c r="L158" i="2"/>
  <c r="Q158" i="2" s="1" a="1"/>
  <c r="Q158" i="2" s="1"/>
  <c r="L159" i="2"/>
  <c r="Q159" i="2" s="1" a="1"/>
  <c r="Q159" i="2" s="1"/>
  <c r="L160" i="2"/>
  <c r="Q160" i="2" s="1" a="1"/>
  <c r="Q160" i="2" s="1"/>
  <c r="L161" i="2"/>
  <c r="Q161" i="2" s="1" a="1"/>
  <c r="Q161" i="2" s="1"/>
  <c r="L162" i="2"/>
  <c r="Q162" i="2" s="1" a="1"/>
  <c r="Q162" i="2" s="1"/>
  <c r="L163" i="2"/>
  <c r="Q163" i="2" s="1" a="1"/>
  <c r="Q163" i="2" s="1"/>
  <c r="L164" i="2"/>
  <c r="Q164" i="2" s="1" a="1"/>
  <c r="Q164" i="2" s="1"/>
  <c r="L165" i="2"/>
  <c r="Q165" i="2" s="1" a="1"/>
  <c r="Q165" i="2" s="1"/>
  <c r="L166" i="2"/>
  <c r="Q166" i="2" s="1" a="1"/>
  <c r="Q166" i="2" s="1"/>
  <c r="L167" i="2"/>
  <c r="Q167" i="2" s="1" a="1"/>
  <c r="Q167" i="2" s="1"/>
  <c r="L168" i="2"/>
  <c r="Q168" i="2" s="1" a="1"/>
  <c r="Q168" i="2" s="1"/>
  <c r="L169" i="2"/>
  <c r="Q169" i="2" s="1" a="1"/>
  <c r="Q169" i="2" s="1"/>
  <c r="L170" i="2"/>
  <c r="Q170" i="2" s="1" a="1"/>
  <c r="Q170" i="2" s="1"/>
  <c r="L171" i="2"/>
  <c r="Q171" i="2" s="1" a="1"/>
  <c r="Q171" i="2" s="1"/>
  <c r="L172" i="2"/>
  <c r="Q172" i="2" s="1" a="1"/>
  <c r="Q172" i="2" s="1"/>
  <c r="L173" i="2"/>
  <c r="Q173" i="2" s="1" a="1"/>
  <c r="Q173" i="2" s="1"/>
  <c r="L174" i="2"/>
  <c r="Q174" i="2" s="1" a="1"/>
  <c r="Q174" i="2" s="1"/>
  <c r="L175" i="2"/>
  <c r="Q175" i="2" s="1" a="1"/>
  <c r="Q175" i="2" s="1"/>
  <c r="L176" i="2"/>
  <c r="Q176" i="2" s="1" a="1"/>
  <c r="Q176" i="2" s="1"/>
  <c r="L177" i="2"/>
  <c r="Q177" i="2" s="1" a="1"/>
  <c r="Q177" i="2" s="1"/>
  <c r="L178" i="2"/>
  <c r="Q178" i="2" s="1" a="1"/>
  <c r="Q178" i="2" s="1"/>
  <c r="L179" i="2"/>
  <c r="Q179" i="2" s="1" a="1"/>
  <c r="Q179" i="2" s="1"/>
  <c r="L180" i="2"/>
  <c r="Q180" i="2" s="1" a="1"/>
  <c r="Q180" i="2" s="1"/>
  <c r="L181" i="2"/>
  <c r="Q181" i="2" s="1" a="1"/>
  <c r="Q181" i="2" s="1"/>
  <c r="L182" i="2"/>
  <c r="Q182" i="2" s="1" a="1"/>
  <c r="Q182" i="2" s="1"/>
  <c r="L183" i="2"/>
  <c r="Q183" i="2" s="1" a="1"/>
  <c r="Q183" i="2" s="1"/>
  <c r="L184" i="2"/>
  <c r="Q184" i="2" s="1" a="1"/>
  <c r="Q184" i="2" s="1"/>
  <c r="L185" i="2"/>
  <c r="Q185" i="2" s="1" a="1"/>
  <c r="Q185" i="2" s="1"/>
  <c r="L186" i="2"/>
  <c r="Q186" i="2" s="1" a="1"/>
  <c r="Q186" i="2" s="1"/>
  <c r="L187" i="2"/>
  <c r="Q187" i="2" s="1" a="1"/>
  <c r="Q187" i="2" s="1"/>
  <c r="L188" i="2"/>
  <c r="Q188" i="2" s="1" a="1"/>
  <c r="Q188" i="2" s="1"/>
  <c r="L189" i="2"/>
  <c r="Q189" i="2" s="1" a="1"/>
  <c r="Q189" i="2" s="1"/>
  <c r="L190" i="2"/>
  <c r="Q190" i="2" s="1" a="1"/>
  <c r="Q190" i="2" s="1"/>
  <c r="L191" i="2"/>
  <c r="Q191" i="2" s="1" a="1"/>
  <c r="Q191" i="2" s="1"/>
  <c r="L192" i="2"/>
  <c r="Q192" i="2" s="1" a="1"/>
  <c r="Q192" i="2" s="1"/>
  <c r="L193" i="2"/>
  <c r="Q193" i="2" s="1" a="1"/>
  <c r="Q193" i="2" s="1"/>
  <c r="L194" i="2"/>
  <c r="Q194" i="2" s="1" a="1"/>
  <c r="Q194" i="2" s="1"/>
  <c r="L195" i="2"/>
  <c r="Q195" i="2" s="1" a="1"/>
  <c r="Q195" i="2" s="1"/>
  <c r="L196" i="2"/>
  <c r="Q196" i="2" s="1" a="1"/>
  <c r="Q196" i="2" s="1"/>
  <c r="L197" i="2"/>
  <c r="Q197" i="2" s="1" a="1"/>
  <c r="Q197" i="2" s="1"/>
  <c r="L198" i="2"/>
  <c r="Q198" i="2" s="1" a="1"/>
  <c r="Q198" i="2" s="1"/>
  <c r="L199" i="2"/>
  <c r="Q199" i="2" s="1" a="1"/>
  <c r="Q199" i="2" s="1"/>
  <c r="L200" i="2"/>
  <c r="Q200" i="2" s="1" a="1"/>
  <c r="Q200" i="2" s="1"/>
  <c r="L2" i="2"/>
  <c r="Q2" i="2" s="1" a="1"/>
  <c r="Q2" i="2" s="1"/>
  <c r="Y199" i="3"/>
  <c r="AB199" i="3" s="1"/>
  <c r="Y198" i="3"/>
  <c r="AB198" i="3" s="1"/>
  <c r="Y197" i="3"/>
  <c r="AB197" i="3" s="1"/>
  <c r="Y196" i="3"/>
  <c r="AB196" i="3" s="1"/>
  <c r="Y195" i="3"/>
  <c r="AB195" i="3" s="1"/>
  <c r="Y194" i="3"/>
  <c r="AB194" i="3" s="1"/>
  <c r="Y193" i="3"/>
  <c r="AB193" i="3" s="1"/>
  <c r="Y192" i="3"/>
  <c r="AB192" i="3" s="1"/>
  <c r="Y191" i="3"/>
  <c r="AB191" i="3" s="1"/>
  <c r="Y190" i="3"/>
  <c r="AB190" i="3" s="1"/>
  <c r="Y189" i="3"/>
  <c r="AB189" i="3" s="1"/>
  <c r="Y188" i="3"/>
  <c r="AB188" i="3" s="1"/>
  <c r="Y187" i="3"/>
  <c r="AB187" i="3" s="1"/>
  <c r="Y186" i="3"/>
  <c r="AB186" i="3" s="1"/>
  <c r="Y185" i="3"/>
  <c r="AB185" i="3" s="1"/>
  <c r="Y184" i="3"/>
  <c r="Y183" i="3"/>
  <c r="AB183" i="3" s="1"/>
  <c r="Y182" i="3"/>
  <c r="AB182" i="3" s="1"/>
  <c r="Y181" i="3"/>
  <c r="AB181" i="3" s="1"/>
  <c r="Y180" i="3"/>
  <c r="AB180" i="3" s="1"/>
  <c r="Y179" i="3"/>
  <c r="AB179" i="3" s="1"/>
  <c r="Y178" i="3"/>
  <c r="AB178" i="3" s="1"/>
  <c r="Y177" i="3"/>
  <c r="AB177" i="3" s="1"/>
  <c r="Y176" i="3"/>
  <c r="Y175" i="3"/>
  <c r="AB175" i="3" s="1"/>
  <c r="Y174" i="3"/>
  <c r="AB174" i="3" s="1"/>
  <c r="Y173" i="3"/>
  <c r="AB173" i="3" s="1"/>
  <c r="Y172" i="3"/>
  <c r="AB172" i="3" s="1"/>
  <c r="Y171" i="3"/>
  <c r="AB171" i="3" s="1"/>
  <c r="Y170" i="3"/>
  <c r="AB170" i="3" s="1"/>
  <c r="Y169" i="3"/>
  <c r="AB169" i="3" s="1"/>
  <c r="Y168" i="3"/>
  <c r="AB168" i="3" s="1"/>
  <c r="Y167" i="3"/>
  <c r="AB167" i="3" s="1"/>
  <c r="Y166" i="3"/>
  <c r="AB166" i="3" s="1"/>
  <c r="Y165" i="3"/>
  <c r="AB165" i="3" s="1"/>
  <c r="Y164" i="3"/>
  <c r="Y163" i="3"/>
  <c r="AB163" i="3" s="1"/>
  <c r="Y162" i="3"/>
  <c r="AB162" i="3" s="1"/>
  <c r="Y161" i="3"/>
  <c r="AB161" i="3" s="1"/>
  <c r="Y160" i="3"/>
  <c r="AB160" i="3" s="1"/>
  <c r="Y159" i="3"/>
  <c r="Y158" i="3"/>
  <c r="Y157" i="3"/>
  <c r="AB157" i="3" s="1"/>
  <c r="Y156" i="3"/>
  <c r="Y155" i="3"/>
  <c r="AB155" i="3" s="1"/>
  <c r="Y154" i="3"/>
  <c r="AB154" i="3" s="1"/>
  <c r="Y153" i="3"/>
  <c r="AB153" i="3" s="1"/>
  <c r="Y152" i="3"/>
  <c r="AB152" i="3" s="1"/>
  <c r="Y151" i="3"/>
  <c r="AB151" i="3" s="1"/>
  <c r="Y150" i="3"/>
  <c r="AB150" i="3" s="1"/>
  <c r="Y149" i="3"/>
  <c r="AB149" i="3" s="1"/>
  <c r="Y148" i="3"/>
  <c r="AB148" i="3" s="1"/>
  <c r="Y147" i="3"/>
  <c r="AB147" i="3" s="1"/>
  <c r="Y146" i="3"/>
  <c r="AB146" i="3" s="1"/>
  <c r="Y145" i="3"/>
  <c r="AB145" i="3" s="1"/>
  <c r="Y144" i="3"/>
  <c r="AB144" i="3" s="1"/>
  <c r="Y143" i="3"/>
  <c r="AB143" i="3" s="1"/>
  <c r="Y142" i="3"/>
  <c r="AB142" i="3" s="1"/>
  <c r="Y141" i="3"/>
  <c r="AB141" i="3" s="1"/>
  <c r="Y140" i="3"/>
  <c r="AB140" i="3" s="1"/>
  <c r="Y139" i="3"/>
  <c r="AB139" i="3" s="1"/>
  <c r="Y138" i="3"/>
  <c r="AB138" i="3" s="1"/>
  <c r="Y137" i="3"/>
  <c r="AB137" i="3" s="1"/>
  <c r="Y136" i="3"/>
  <c r="AB136" i="3" s="1"/>
  <c r="Y135" i="3"/>
  <c r="Y134" i="3"/>
  <c r="Y133" i="3"/>
  <c r="AB133" i="3" s="1"/>
  <c r="Y132" i="3"/>
  <c r="Y131" i="3"/>
  <c r="AB131" i="3" s="1"/>
  <c r="Y130" i="3"/>
  <c r="AB130" i="3" s="1"/>
  <c r="Y129" i="3"/>
  <c r="AB129" i="3" s="1"/>
  <c r="Y128" i="3"/>
  <c r="AB128" i="3" s="1"/>
  <c r="Y127" i="3"/>
  <c r="AB127" i="3" s="1"/>
  <c r="Y126" i="3"/>
  <c r="AB126" i="3" s="1"/>
  <c r="Y125" i="3"/>
  <c r="AB125" i="3" s="1"/>
  <c r="Y124" i="3"/>
  <c r="AB124" i="3" s="1"/>
  <c r="Y123" i="3"/>
  <c r="AB123" i="3" s="1"/>
  <c r="Y122" i="3"/>
  <c r="AB122" i="3" s="1"/>
  <c r="Y121" i="3"/>
  <c r="AB121" i="3" s="1"/>
  <c r="Y120" i="3"/>
  <c r="AB120" i="3" s="1"/>
  <c r="Y119" i="3"/>
  <c r="AB119" i="3" s="1"/>
  <c r="Y118" i="3"/>
  <c r="AB118" i="3" s="1"/>
  <c r="Y117" i="3"/>
  <c r="AB117" i="3" s="1"/>
  <c r="Y116" i="3"/>
  <c r="AB116" i="3" s="1"/>
  <c r="Y115" i="3"/>
  <c r="AB115" i="3" s="1"/>
  <c r="Y114" i="3"/>
  <c r="AB114" i="3" s="1"/>
  <c r="Y113" i="3"/>
  <c r="AB113" i="3" s="1"/>
  <c r="Y112" i="3"/>
  <c r="AB112" i="3" s="1"/>
  <c r="Y111" i="3"/>
  <c r="AB111" i="3" s="1"/>
  <c r="Y110" i="3"/>
  <c r="AB110" i="3" s="1"/>
  <c r="Y109" i="3"/>
  <c r="AB109" i="3" s="1"/>
  <c r="Y108" i="3"/>
  <c r="AB108" i="3" s="1"/>
  <c r="Y107" i="3"/>
  <c r="AB107" i="3" s="1"/>
  <c r="Y106" i="3"/>
  <c r="AB106" i="3" s="1"/>
  <c r="Y105" i="3"/>
  <c r="AB105" i="3" s="1"/>
  <c r="Y104" i="3"/>
  <c r="Y103" i="3"/>
  <c r="AB103" i="3" s="1"/>
  <c r="Y102" i="3"/>
  <c r="AB102" i="3" s="1"/>
  <c r="Y101" i="3"/>
  <c r="AB101" i="3" s="1"/>
  <c r="Y100" i="3"/>
  <c r="AB100" i="3" s="1"/>
  <c r="Y99" i="3"/>
  <c r="AB99" i="3" s="1"/>
  <c r="Y98" i="3"/>
  <c r="AB98" i="3" s="1"/>
  <c r="Y97" i="3"/>
  <c r="AB97" i="3" s="1"/>
  <c r="Y96" i="3"/>
  <c r="AB96" i="3" s="1"/>
  <c r="Y95" i="3"/>
  <c r="AB95" i="3" s="1"/>
  <c r="Y94" i="3"/>
  <c r="AB94" i="3" s="1"/>
  <c r="Y93" i="3"/>
  <c r="AB93" i="3" s="1"/>
  <c r="Y92" i="3"/>
  <c r="AB92" i="3" s="1"/>
  <c r="Y91" i="3"/>
  <c r="AB91" i="3" s="1"/>
  <c r="Y90" i="3"/>
  <c r="AB90" i="3" s="1"/>
  <c r="Y89" i="3"/>
  <c r="AB89" i="3" s="1"/>
  <c r="Y88" i="3"/>
  <c r="Y87" i="3"/>
  <c r="Y86" i="3"/>
  <c r="Y85" i="3"/>
  <c r="Y84" i="3"/>
  <c r="AB84" i="3" s="1"/>
  <c r="Y83" i="3"/>
  <c r="AB83" i="3" s="1"/>
  <c r="Y82" i="3"/>
  <c r="AB82" i="3" s="1"/>
  <c r="Y81" i="3"/>
  <c r="AB81" i="3" s="1"/>
  <c r="Y80" i="3"/>
  <c r="AB80" i="3" s="1"/>
  <c r="Y79" i="3"/>
  <c r="AB79" i="3" s="1"/>
  <c r="Y78" i="3"/>
  <c r="AB78" i="3" s="1"/>
  <c r="Y77" i="3"/>
  <c r="AB77" i="3" s="1"/>
  <c r="Y76" i="3"/>
  <c r="AB76" i="3" s="1"/>
  <c r="Y75" i="3"/>
  <c r="AB75" i="3" s="1"/>
  <c r="Y74" i="3"/>
  <c r="AB74" i="3" s="1"/>
  <c r="Y73" i="3"/>
  <c r="AB73" i="3" s="1"/>
  <c r="Y72" i="3"/>
  <c r="AB72" i="3" s="1"/>
  <c r="Y71" i="3"/>
  <c r="AB71" i="3" s="1"/>
  <c r="Y70" i="3"/>
  <c r="AB70" i="3" s="1"/>
  <c r="Y69" i="3"/>
  <c r="AB69" i="3" s="1"/>
  <c r="Y68" i="3"/>
  <c r="AB68" i="3" s="1"/>
  <c r="Y67" i="3"/>
  <c r="AB67" i="3" s="1"/>
  <c r="Y66" i="3"/>
  <c r="AB66" i="3" s="1"/>
  <c r="Y65" i="3"/>
  <c r="AB65" i="3" s="1"/>
  <c r="Y64" i="3"/>
  <c r="AB64" i="3" s="1"/>
  <c r="Y63" i="3"/>
  <c r="AB63" i="3" s="1"/>
  <c r="Y62" i="3"/>
  <c r="AB62" i="3" s="1"/>
  <c r="Y61" i="3"/>
  <c r="AB61" i="3" s="1"/>
  <c r="Y60" i="3"/>
  <c r="AB60" i="3" s="1"/>
  <c r="Y59" i="3"/>
  <c r="AB59" i="3" s="1"/>
  <c r="Y58" i="3"/>
  <c r="AB58" i="3" s="1"/>
  <c r="Y57" i="3"/>
  <c r="AB57" i="3" s="1"/>
  <c r="Y56" i="3"/>
  <c r="AB56" i="3" s="1"/>
  <c r="Y55" i="3"/>
  <c r="AB55" i="3" s="1"/>
  <c r="Y54" i="3"/>
  <c r="AB54" i="3" s="1"/>
  <c r="Y53" i="3"/>
  <c r="AB53" i="3" s="1"/>
  <c r="Y52" i="3"/>
  <c r="AB52" i="3" s="1"/>
  <c r="Y51" i="3"/>
  <c r="AB51" i="3" s="1"/>
  <c r="Y50" i="3"/>
  <c r="AB50" i="3" s="1"/>
  <c r="Y49" i="3"/>
  <c r="AB49" i="3" s="1"/>
  <c r="Y48" i="3"/>
  <c r="AB48" i="3" s="1"/>
  <c r="Y47" i="3"/>
  <c r="AB47" i="3" s="1"/>
  <c r="Y46" i="3"/>
  <c r="AB46" i="3" s="1"/>
  <c r="Y45" i="3"/>
  <c r="AB45" i="3" s="1"/>
  <c r="Y44" i="3"/>
  <c r="AB44" i="3" s="1"/>
  <c r="Y43" i="3"/>
  <c r="AB43" i="3" s="1"/>
  <c r="Y42" i="3"/>
  <c r="AB42" i="3" s="1"/>
  <c r="Y41" i="3"/>
  <c r="AB41" i="3" s="1"/>
  <c r="Y40" i="3"/>
  <c r="AB40" i="3" s="1"/>
  <c r="Y39" i="3"/>
  <c r="AB39" i="3" s="1"/>
  <c r="Y38" i="3"/>
  <c r="AB38" i="3" s="1"/>
  <c r="Y37" i="3"/>
  <c r="AB37" i="3" s="1"/>
  <c r="Y36" i="3"/>
  <c r="AB36" i="3" s="1"/>
  <c r="Y35" i="3"/>
  <c r="AB35" i="3" s="1"/>
  <c r="Y34" i="3"/>
  <c r="AB34" i="3" s="1"/>
  <c r="Y33" i="3"/>
  <c r="AB33" i="3" s="1"/>
  <c r="Y32" i="3"/>
  <c r="AB32" i="3" s="1"/>
  <c r="Y31" i="3"/>
  <c r="AB31" i="3" s="1"/>
  <c r="Y30" i="3"/>
  <c r="AB30" i="3" s="1"/>
  <c r="Y29" i="3"/>
  <c r="AB29" i="3" s="1"/>
  <c r="Y28" i="3"/>
  <c r="AB28" i="3" s="1"/>
  <c r="Y27" i="3"/>
  <c r="AB27" i="3" s="1"/>
  <c r="Y26" i="3"/>
  <c r="AB26" i="3" s="1"/>
  <c r="Y25" i="3"/>
  <c r="AB25" i="3" s="1"/>
  <c r="Y24" i="3"/>
  <c r="AB24" i="3" s="1"/>
  <c r="Y23" i="3"/>
  <c r="AB23" i="3" s="1"/>
  <c r="Y22" i="3"/>
  <c r="AB22" i="3" s="1"/>
  <c r="Y21" i="3"/>
  <c r="AB21" i="3" s="1"/>
  <c r="Y20" i="3"/>
  <c r="AB20" i="3" s="1"/>
  <c r="Y19" i="3"/>
  <c r="AB19" i="3" s="1"/>
  <c r="Y18" i="3"/>
  <c r="AB18" i="3" s="1"/>
  <c r="Y17" i="3"/>
  <c r="AB17" i="3" s="1"/>
  <c r="Y16" i="3"/>
  <c r="AB16" i="3" s="1"/>
  <c r="Y15" i="3"/>
  <c r="AB15" i="3" s="1"/>
  <c r="Y14" i="3"/>
  <c r="Y13" i="3"/>
  <c r="Y12" i="3"/>
  <c r="AB12" i="3" s="1"/>
  <c r="Y11" i="3"/>
  <c r="AB11" i="3" s="1"/>
  <c r="Y10" i="3"/>
  <c r="AB10" i="3" s="1"/>
  <c r="Y9" i="3"/>
  <c r="AB9" i="3" s="1"/>
  <c r="Y8" i="3"/>
  <c r="AB8" i="3" s="1"/>
  <c r="Y7" i="3"/>
  <c r="AB7" i="3" s="1"/>
  <c r="Y6" i="3"/>
  <c r="AB6" i="3" s="1"/>
  <c r="Y5" i="3"/>
  <c r="AB5" i="3" s="1"/>
  <c r="Y4" i="3"/>
  <c r="AB4" i="3" s="1"/>
  <c r="Y3" i="3"/>
  <c r="Y2" i="3"/>
  <c r="AB2" i="3" s="1"/>
  <c r="D52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3" i="1"/>
  <c r="D4" i="1"/>
  <c r="D3" i="1"/>
  <c r="D54" i="1"/>
  <c r="D55" i="1"/>
  <c r="D56" i="1"/>
  <c r="D57" i="1"/>
  <c r="K3" i="2"/>
  <c r="P3" i="2" s="1" a="1"/>
  <c r="P3" i="2" s="1"/>
  <c r="K4" i="2"/>
  <c r="P4" i="2" s="1" a="1"/>
  <c r="P4" i="2" s="1"/>
  <c r="K5" i="2"/>
  <c r="P5" i="2" s="1" a="1"/>
  <c r="P5" i="2" s="1"/>
  <c r="K6" i="2"/>
  <c r="P6" i="2" s="1" a="1"/>
  <c r="P6" i="2" s="1"/>
  <c r="K7" i="2"/>
  <c r="P7" i="2" s="1" a="1"/>
  <c r="P7" i="2" s="1"/>
  <c r="K8" i="2"/>
  <c r="P8" i="2" s="1" a="1"/>
  <c r="P8" i="2" s="1"/>
  <c r="K9" i="2"/>
  <c r="P9" i="2" s="1" a="1"/>
  <c r="P9" i="2" s="1"/>
  <c r="K10" i="2"/>
  <c r="P10" i="2" s="1" a="1"/>
  <c r="P10" i="2" s="1"/>
  <c r="K11" i="2"/>
  <c r="P11" i="2" s="1" a="1"/>
  <c r="P11" i="2" s="1"/>
  <c r="K12" i="2"/>
  <c r="P12" i="2" s="1" a="1"/>
  <c r="P12" i="2" s="1"/>
  <c r="K13" i="2"/>
  <c r="P13" i="2" s="1" a="1"/>
  <c r="P13" i="2" s="1"/>
  <c r="K14" i="2"/>
  <c r="P14" i="2" s="1" a="1"/>
  <c r="P14" i="2" s="1"/>
  <c r="K15" i="2"/>
  <c r="P15" i="2" s="1" a="1"/>
  <c r="P15" i="2" s="1"/>
  <c r="K16" i="2"/>
  <c r="P16" i="2" s="1" a="1"/>
  <c r="P16" i="2" s="1"/>
  <c r="K17" i="2"/>
  <c r="P17" i="2" s="1" a="1"/>
  <c r="P17" i="2" s="1"/>
  <c r="K18" i="2"/>
  <c r="P18" i="2" s="1" a="1"/>
  <c r="P18" i="2" s="1"/>
  <c r="K19" i="2"/>
  <c r="P19" i="2" s="1" a="1"/>
  <c r="P19" i="2" s="1"/>
  <c r="K20" i="2"/>
  <c r="P20" i="2" s="1" a="1"/>
  <c r="P20" i="2" s="1"/>
  <c r="K21" i="2"/>
  <c r="P21" i="2" s="1" a="1"/>
  <c r="P21" i="2" s="1"/>
  <c r="K22" i="2"/>
  <c r="P22" i="2" s="1" a="1"/>
  <c r="P22" i="2" s="1"/>
  <c r="K23" i="2"/>
  <c r="P23" i="2" s="1" a="1"/>
  <c r="P23" i="2" s="1"/>
  <c r="K24" i="2"/>
  <c r="P24" i="2" s="1" a="1"/>
  <c r="P24" i="2" s="1"/>
  <c r="K25" i="2"/>
  <c r="P25" i="2" s="1" a="1"/>
  <c r="P25" i="2" s="1"/>
  <c r="K26" i="2"/>
  <c r="P26" i="2" s="1" a="1"/>
  <c r="P26" i="2" s="1"/>
  <c r="K27" i="2"/>
  <c r="P27" i="2" s="1" a="1"/>
  <c r="P27" i="2" s="1"/>
  <c r="K28" i="2"/>
  <c r="P28" i="2" s="1" a="1"/>
  <c r="P28" i="2" s="1"/>
  <c r="K29" i="2"/>
  <c r="P29" i="2" s="1" a="1"/>
  <c r="P29" i="2" s="1"/>
  <c r="K30" i="2"/>
  <c r="P30" i="2" s="1" a="1"/>
  <c r="P30" i="2" s="1"/>
  <c r="K31" i="2"/>
  <c r="P31" i="2" s="1" a="1"/>
  <c r="P31" i="2" s="1"/>
  <c r="K32" i="2"/>
  <c r="P32" i="2" s="1" a="1"/>
  <c r="P32" i="2" s="1"/>
  <c r="K33" i="2"/>
  <c r="P33" i="2" s="1" a="1"/>
  <c r="P33" i="2" s="1"/>
  <c r="K34" i="2"/>
  <c r="P34" i="2" s="1" a="1"/>
  <c r="P34" i="2" s="1"/>
  <c r="K35" i="2"/>
  <c r="P35" i="2" s="1" a="1"/>
  <c r="P35" i="2" s="1"/>
  <c r="K36" i="2"/>
  <c r="P36" i="2" s="1" a="1"/>
  <c r="P36" i="2" s="1"/>
  <c r="K37" i="2"/>
  <c r="P37" i="2" s="1" a="1"/>
  <c r="P37" i="2" s="1"/>
  <c r="K38" i="2"/>
  <c r="P38" i="2" s="1" a="1"/>
  <c r="P38" i="2" s="1"/>
  <c r="K39" i="2"/>
  <c r="P39" i="2" s="1" a="1"/>
  <c r="P39" i="2" s="1"/>
  <c r="K40" i="2"/>
  <c r="P40" i="2" s="1" a="1"/>
  <c r="P40" i="2" s="1"/>
  <c r="K41" i="2"/>
  <c r="P41" i="2" s="1" a="1"/>
  <c r="P41" i="2" s="1"/>
  <c r="K42" i="2"/>
  <c r="P42" i="2" s="1" a="1"/>
  <c r="P42" i="2" s="1"/>
  <c r="K43" i="2"/>
  <c r="P43" i="2" s="1" a="1"/>
  <c r="P43" i="2" s="1"/>
  <c r="K44" i="2"/>
  <c r="P44" i="2" s="1" a="1"/>
  <c r="P44" i="2" s="1"/>
  <c r="K45" i="2"/>
  <c r="P45" i="2" s="1" a="1"/>
  <c r="P45" i="2" s="1"/>
  <c r="K46" i="2"/>
  <c r="P46" i="2" s="1" a="1"/>
  <c r="P46" i="2" s="1"/>
  <c r="K47" i="2"/>
  <c r="P47" i="2" s="1" a="1"/>
  <c r="P47" i="2" s="1"/>
  <c r="K48" i="2"/>
  <c r="P48" i="2" s="1" a="1"/>
  <c r="P48" i="2" s="1"/>
  <c r="K49" i="2"/>
  <c r="P49" i="2" s="1" a="1"/>
  <c r="P49" i="2" s="1"/>
  <c r="K50" i="2"/>
  <c r="P50" i="2" s="1" a="1"/>
  <c r="P50" i="2" s="1"/>
  <c r="K51" i="2"/>
  <c r="P51" i="2" s="1" a="1"/>
  <c r="P51" i="2" s="1"/>
  <c r="K52" i="2"/>
  <c r="P52" i="2" s="1" a="1"/>
  <c r="P52" i="2" s="1"/>
  <c r="K53" i="2"/>
  <c r="P53" i="2" s="1" a="1"/>
  <c r="P53" i="2" s="1"/>
  <c r="K54" i="2"/>
  <c r="P54" i="2" s="1" a="1"/>
  <c r="P54" i="2" s="1"/>
  <c r="K55" i="2"/>
  <c r="P55" i="2" s="1" a="1"/>
  <c r="P55" i="2" s="1"/>
  <c r="K56" i="2"/>
  <c r="P56" i="2" s="1" a="1"/>
  <c r="P56" i="2" s="1"/>
  <c r="K57" i="2"/>
  <c r="P57" i="2" s="1" a="1"/>
  <c r="P57" i="2" s="1"/>
  <c r="K58" i="2"/>
  <c r="P58" i="2" s="1" a="1"/>
  <c r="P58" i="2" s="1"/>
  <c r="K59" i="2"/>
  <c r="P59" i="2" s="1" a="1"/>
  <c r="P59" i="2" s="1"/>
  <c r="K60" i="2"/>
  <c r="P60" i="2" s="1" a="1"/>
  <c r="P60" i="2" s="1"/>
  <c r="K61" i="2"/>
  <c r="P61" i="2" s="1" a="1"/>
  <c r="P61" i="2" s="1"/>
  <c r="K62" i="2"/>
  <c r="P62" i="2" s="1" a="1"/>
  <c r="P62" i="2" s="1"/>
  <c r="K63" i="2"/>
  <c r="P63" i="2" s="1" a="1"/>
  <c r="P63" i="2" s="1"/>
  <c r="K64" i="2"/>
  <c r="P64" i="2" s="1" a="1"/>
  <c r="P64" i="2" s="1"/>
  <c r="K65" i="2"/>
  <c r="P65" i="2" s="1" a="1"/>
  <c r="P65" i="2" s="1"/>
  <c r="K66" i="2"/>
  <c r="P66" i="2" s="1" a="1"/>
  <c r="P66" i="2" s="1"/>
  <c r="K67" i="2"/>
  <c r="P67" i="2" s="1" a="1"/>
  <c r="P67" i="2" s="1"/>
  <c r="K68" i="2"/>
  <c r="P68" i="2" s="1" a="1"/>
  <c r="P68" i="2" s="1"/>
  <c r="K69" i="2"/>
  <c r="P69" i="2" s="1" a="1"/>
  <c r="P69" i="2" s="1"/>
  <c r="K70" i="2"/>
  <c r="P70" i="2" s="1" a="1"/>
  <c r="P70" i="2" s="1"/>
  <c r="K71" i="2"/>
  <c r="P71" i="2" s="1" a="1"/>
  <c r="P71" i="2" s="1"/>
  <c r="K72" i="2"/>
  <c r="P72" i="2" s="1" a="1"/>
  <c r="P72" i="2" s="1"/>
  <c r="K73" i="2"/>
  <c r="P73" i="2" s="1" a="1"/>
  <c r="P73" i="2" s="1"/>
  <c r="K74" i="2"/>
  <c r="P74" i="2" s="1" a="1"/>
  <c r="P74" i="2" s="1"/>
  <c r="K75" i="2"/>
  <c r="P75" i="2" s="1" a="1"/>
  <c r="P75" i="2" s="1"/>
  <c r="K76" i="2"/>
  <c r="P76" i="2" s="1" a="1"/>
  <c r="P76" i="2" s="1"/>
  <c r="K77" i="2"/>
  <c r="P77" i="2" s="1" a="1"/>
  <c r="P77" i="2" s="1"/>
  <c r="K78" i="2"/>
  <c r="P78" i="2" s="1" a="1"/>
  <c r="P78" i="2" s="1"/>
  <c r="K79" i="2"/>
  <c r="P79" i="2" s="1" a="1"/>
  <c r="P79" i="2" s="1"/>
  <c r="K80" i="2"/>
  <c r="P80" i="2" s="1" a="1"/>
  <c r="P80" i="2" s="1"/>
  <c r="K81" i="2"/>
  <c r="P81" i="2" s="1" a="1"/>
  <c r="P81" i="2" s="1"/>
  <c r="K82" i="2"/>
  <c r="P82" i="2" s="1" a="1"/>
  <c r="P82" i="2" s="1"/>
  <c r="K83" i="2"/>
  <c r="P83" i="2" s="1" a="1"/>
  <c r="P83" i="2" s="1"/>
  <c r="K84" i="2"/>
  <c r="P84" i="2" s="1" a="1"/>
  <c r="P84" i="2" s="1"/>
  <c r="K85" i="2"/>
  <c r="P85" i="2" s="1" a="1"/>
  <c r="P85" i="2" s="1"/>
  <c r="K86" i="2"/>
  <c r="P86" i="2" s="1" a="1"/>
  <c r="P86" i="2" s="1"/>
  <c r="K87" i="2"/>
  <c r="P87" i="2" s="1" a="1"/>
  <c r="P87" i="2" s="1"/>
  <c r="K88" i="2"/>
  <c r="P88" i="2" s="1" a="1"/>
  <c r="P88" i="2" s="1"/>
  <c r="K89" i="2"/>
  <c r="P89" i="2" s="1" a="1"/>
  <c r="P89" i="2" s="1"/>
  <c r="K90" i="2"/>
  <c r="P90" i="2" s="1" a="1"/>
  <c r="P90" i="2" s="1"/>
  <c r="K91" i="2"/>
  <c r="P91" i="2" s="1" a="1"/>
  <c r="P91" i="2" s="1"/>
  <c r="K92" i="2"/>
  <c r="P92" i="2" s="1" a="1"/>
  <c r="P92" i="2" s="1"/>
  <c r="K93" i="2"/>
  <c r="P93" i="2" s="1" a="1"/>
  <c r="P93" i="2" s="1"/>
  <c r="K94" i="2"/>
  <c r="P94" i="2" s="1" a="1"/>
  <c r="P94" i="2" s="1"/>
  <c r="K95" i="2"/>
  <c r="P95" i="2" s="1" a="1"/>
  <c r="P95" i="2" s="1"/>
  <c r="K96" i="2"/>
  <c r="P96" i="2" s="1" a="1"/>
  <c r="P96" i="2" s="1"/>
  <c r="K97" i="2"/>
  <c r="P97" i="2" s="1" a="1"/>
  <c r="P97" i="2" s="1"/>
  <c r="K98" i="2"/>
  <c r="P98" i="2" s="1" a="1"/>
  <c r="P98" i="2" s="1"/>
  <c r="K99" i="2"/>
  <c r="P99" i="2" s="1" a="1"/>
  <c r="P99" i="2" s="1"/>
  <c r="K100" i="2"/>
  <c r="P100" i="2" s="1" a="1"/>
  <c r="P100" i="2" s="1"/>
  <c r="K101" i="2"/>
  <c r="P101" i="2" s="1" a="1"/>
  <c r="P101" i="2" s="1"/>
  <c r="K102" i="2"/>
  <c r="P102" i="2" s="1" a="1"/>
  <c r="P102" i="2" s="1"/>
  <c r="K103" i="2"/>
  <c r="P103" i="2" s="1" a="1"/>
  <c r="P103" i="2" s="1"/>
  <c r="K104" i="2"/>
  <c r="P104" i="2" s="1" a="1"/>
  <c r="P104" i="2" s="1"/>
  <c r="K105" i="2"/>
  <c r="P105" i="2" s="1" a="1"/>
  <c r="P105" i="2" s="1"/>
  <c r="K106" i="2"/>
  <c r="P106" i="2" s="1" a="1"/>
  <c r="P106" i="2" s="1"/>
  <c r="K107" i="2"/>
  <c r="P107" i="2" s="1" a="1"/>
  <c r="P107" i="2" s="1"/>
  <c r="K108" i="2"/>
  <c r="P108" i="2" s="1" a="1"/>
  <c r="P108" i="2" s="1"/>
  <c r="K109" i="2"/>
  <c r="P109" i="2" s="1" a="1"/>
  <c r="P109" i="2" s="1"/>
  <c r="K110" i="2"/>
  <c r="P110" i="2" s="1" a="1"/>
  <c r="P110" i="2" s="1"/>
  <c r="K111" i="2"/>
  <c r="P111" i="2" s="1" a="1"/>
  <c r="P111" i="2" s="1"/>
  <c r="K112" i="2"/>
  <c r="P112" i="2" s="1" a="1"/>
  <c r="P112" i="2" s="1"/>
  <c r="K113" i="2"/>
  <c r="P113" i="2" s="1" a="1"/>
  <c r="P113" i="2" s="1"/>
  <c r="K114" i="2"/>
  <c r="P114" i="2" s="1" a="1"/>
  <c r="P114" i="2" s="1"/>
  <c r="K115" i="2"/>
  <c r="P115" i="2" s="1" a="1"/>
  <c r="P115" i="2" s="1"/>
  <c r="K116" i="2"/>
  <c r="P116" i="2" s="1" a="1"/>
  <c r="P116" i="2" s="1"/>
  <c r="K117" i="2"/>
  <c r="P117" i="2" s="1" a="1"/>
  <c r="P117" i="2" s="1"/>
  <c r="K118" i="2"/>
  <c r="P118" i="2" s="1" a="1"/>
  <c r="P118" i="2" s="1"/>
  <c r="K119" i="2"/>
  <c r="P119" i="2" s="1" a="1"/>
  <c r="P119" i="2" s="1"/>
  <c r="K120" i="2"/>
  <c r="P120" i="2" s="1" a="1"/>
  <c r="P120" i="2" s="1"/>
  <c r="K121" i="2"/>
  <c r="P121" i="2" s="1" a="1"/>
  <c r="P121" i="2" s="1"/>
  <c r="K122" i="2"/>
  <c r="P122" i="2" s="1" a="1"/>
  <c r="P122" i="2" s="1"/>
  <c r="K123" i="2"/>
  <c r="P123" i="2" s="1" a="1"/>
  <c r="P123" i="2" s="1"/>
  <c r="K124" i="2"/>
  <c r="P124" i="2" s="1" a="1"/>
  <c r="P124" i="2" s="1"/>
  <c r="K125" i="2"/>
  <c r="P125" i="2" s="1" a="1"/>
  <c r="P125" i="2" s="1"/>
  <c r="K126" i="2"/>
  <c r="P126" i="2" s="1" a="1"/>
  <c r="P126" i="2" s="1"/>
  <c r="K127" i="2"/>
  <c r="P127" i="2" s="1" a="1"/>
  <c r="P127" i="2" s="1"/>
  <c r="K128" i="2"/>
  <c r="P128" i="2" s="1" a="1"/>
  <c r="P128" i="2" s="1"/>
  <c r="K129" i="2"/>
  <c r="P129" i="2" s="1" a="1"/>
  <c r="P129" i="2" s="1"/>
  <c r="K130" i="2"/>
  <c r="P130" i="2" s="1" a="1"/>
  <c r="P130" i="2" s="1"/>
  <c r="K131" i="2"/>
  <c r="P131" i="2" s="1" a="1"/>
  <c r="P131" i="2" s="1"/>
  <c r="K132" i="2"/>
  <c r="P132" i="2" s="1" a="1"/>
  <c r="P132" i="2" s="1"/>
  <c r="K133" i="2"/>
  <c r="P133" i="2" s="1" a="1"/>
  <c r="P133" i="2" s="1"/>
  <c r="K134" i="2"/>
  <c r="P134" i="2" s="1" a="1"/>
  <c r="P134" i="2" s="1"/>
  <c r="K135" i="2"/>
  <c r="P135" i="2" s="1" a="1"/>
  <c r="P135" i="2" s="1"/>
  <c r="K136" i="2"/>
  <c r="P136" i="2" s="1" a="1"/>
  <c r="P136" i="2" s="1"/>
  <c r="K137" i="2"/>
  <c r="P137" i="2" s="1" a="1"/>
  <c r="P137" i="2" s="1"/>
  <c r="K138" i="2"/>
  <c r="P138" i="2" s="1" a="1"/>
  <c r="P138" i="2" s="1"/>
  <c r="K139" i="2"/>
  <c r="P139" i="2" s="1" a="1"/>
  <c r="P139" i="2" s="1"/>
  <c r="K140" i="2"/>
  <c r="P140" i="2" s="1" a="1"/>
  <c r="P140" i="2" s="1"/>
  <c r="K141" i="2"/>
  <c r="P141" i="2" s="1" a="1"/>
  <c r="P141" i="2" s="1"/>
  <c r="K142" i="2"/>
  <c r="P142" i="2" s="1" a="1"/>
  <c r="P142" i="2" s="1"/>
  <c r="K143" i="2"/>
  <c r="P143" i="2" s="1" a="1"/>
  <c r="P143" i="2" s="1"/>
  <c r="K144" i="2"/>
  <c r="P144" i="2" s="1" a="1"/>
  <c r="P144" i="2" s="1"/>
  <c r="K145" i="2"/>
  <c r="P145" i="2" s="1" a="1"/>
  <c r="P145" i="2" s="1"/>
  <c r="K146" i="2"/>
  <c r="P146" i="2" s="1" a="1"/>
  <c r="P146" i="2" s="1"/>
  <c r="K147" i="2"/>
  <c r="P147" i="2" s="1" a="1"/>
  <c r="P147" i="2" s="1"/>
  <c r="K148" i="2"/>
  <c r="P148" i="2" s="1" a="1"/>
  <c r="P148" i="2" s="1"/>
  <c r="K149" i="2"/>
  <c r="P149" i="2" s="1" a="1"/>
  <c r="P149" i="2" s="1"/>
  <c r="K150" i="2"/>
  <c r="P150" i="2" s="1" a="1"/>
  <c r="P150" i="2" s="1"/>
  <c r="K151" i="2"/>
  <c r="P151" i="2" s="1" a="1"/>
  <c r="P151" i="2" s="1"/>
  <c r="K152" i="2"/>
  <c r="P152" i="2" s="1" a="1"/>
  <c r="P152" i="2" s="1"/>
  <c r="K153" i="2"/>
  <c r="P153" i="2" s="1" a="1"/>
  <c r="P153" i="2" s="1"/>
  <c r="K154" i="2"/>
  <c r="P154" i="2" s="1" a="1"/>
  <c r="P154" i="2" s="1"/>
  <c r="K155" i="2"/>
  <c r="P155" i="2" s="1" a="1"/>
  <c r="P155" i="2" s="1"/>
  <c r="K156" i="2"/>
  <c r="P156" i="2" s="1" a="1"/>
  <c r="P156" i="2" s="1"/>
  <c r="K157" i="2"/>
  <c r="P157" i="2" s="1" a="1"/>
  <c r="P157" i="2" s="1"/>
  <c r="K158" i="2"/>
  <c r="P158" i="2" s="1" a="1"/>
  <c r="P158" i="2" s="1"/>
  <c r="K159" i="2"/>
  <c r="P159" i="2" s="1" a="1"/>
  <c r="P159" i="2" s="1"/>
  <c r="K160" i="2"/>
  <c r="P160" i="2" s="1" a="1"/>
  <c r="P160" i="2" s="1"/>
  <c r="K161" i="2"/>
  <c r="P161" i="2" s="1" a="1"/>
  <c r="P161" i="2" s="1"/>
  <c r="K162" i="2"/>
  <c r="P162" i="2" s="1" a="1"/>
  <c r="P162" i="2" s="1"/>
  <c r="K163" i="2"/>
  <c r="P163" i="2" s="1" a="1"/>
  <c r="P163" i="2" s="1"/>
  <c r="K164" i="2"/>
  <c r="P164" i="2" s="1" a="1"/>
  <c r="P164" i="2" s="1"/>
  <c r="K165" i="2"/>
  <c r="P165" i="2" s="1" a="1"/>
  <c r="P165" i="2" s="1"/>
  <c r="K166" i="2"/>
  <c r="P166" i="2" s="1" a="1"/>
  <c r="P166" i="2" s="1"/>
  <c r="K167" i="2"/>
  <c r="P167" i="2" s="1" a="1"/>
  <c r="P167" i="2" s="1"/>
  <c r="K168" i="2"/>
  <c r="P168" i="2" s="1" a="1"/>
  <c r="P168" i="2" s="1"/>
  <c r="K169" i="2"/>
  <c r="P169" i="2" s="1" a="1"/>
  <c r="P169" i="2" s="1"/>
  <c r="K170" i="2"/>
  <c r="P170" i="2" s="1" a="1"/>
  <c r="P170" i="2" s="1"/>
  <c r="K171" i="2"/>
  <c r="P171" i="2" s="1" a="1"/>
  <c r="P171" i="2" s="1"/>
  <c r="K172" i="2"/>
  <c r="P172" i="2" s="1" a="1"/>
  <c r="P172" i="2" s="1"/>
  <c r="K173" i="2"/>
  <c r="P173" i="2" s="1" a="1"/>
  <c r="P173" i="2" s="1"/>
  <c r="K174" i="2"/>
  <c r="P174" i="2" s="1" a="1"/>
  <c r="P174" i="2" s="1"/>
  <c r="K175" i="2"/>
  <c r="P175" i="2" s="1" a="1"/>
  <c r="P175" i="2" s="1"/>
  <c r="K176" i="2"/>
  <c r="P176" i="2" s="1" a="1"/>
  <c r="P176" i="2" s="1"/>
  <c r="K177" i="2"/>
  <c r="P177" i="2" s="1" a="1"/>
  <c r="P177" i="2" s="1"/>
  <c r="K178" i="2"/>
  <c r="P178" i="2" s="1" a="1"/>
  <c r="P178" i="2" s="1"/>
  <c r="K179" i="2"/>
  <c r="P179" i="2" s="1" a="1"/>
  <c r="P179" i="2" s="1"/>
  <c r="K180" i="2"/>
  <c r="P180" i="2" s="1" a="1"/>
  <c r="P180" i="2" s="1"/>
  <c r="K181" i="2"/>
  <c r="P181" i="2" s="1" a="1"/>
  <c r="P181" i="2" s="1"/>
  <c r="K182" i="2"/>
  <c r="P182" i="2" s="1" a="1"/>
  <c r="P182" i="2" s="1"/>
  <c r="K183" i="2"/>
  <c r="P183" i="2" s="1" a="1"/>
  <c r="P183" i="2" s="1"/>
  <c r="K184" i="2"/>
  <c r="P184" i="2" s="1" a="1"/>
  <c r="P184" i="2" s="1"/>
  <c r="K185" i="2"/>
  <c r="P185" i="2" s="1" a="1"/>
  <c r="P185" i="2" s="1"/>
  <c r="K186" i="2"/>
  <c r="P186" i="2" s="1" a="1"/>
  <c r="P186" i="2" s="1"/>
  <c r="K187" i="2"/>
  <c r="P187" i="2" s="1" a="1"/>
  <c r="P187" i="2" s="1"/>
  <c r="K188" i="2"/>
  <c r="P188" i="2" s="1" a="1"/>
  <c r="P188" i="2" s="1"/>
  <c r="K189" i="2"/>
  <c r="P189" i="2" s="1" a="1"/>
  <c r="P189" i="2" s="1"/>
  <c r="K190" i="2"/>
  <c r="P190" i="2" s="1" a="1"/>
  <c r="P190" i="2" s="1"/>
  <c r="K191" i="2"/>
  <c r="P191" i="2" s="1" a="1"/>
  <c r="P191" i="2" s="1"/>
  <c r="K192" i="2"/>
  <c r="P192" i="2" s="1" a="1"/>
  <c r="P192" i="2" s="1"/>
  <c r="K193" i="2"/>
  <c r="P193" i="2" s="1" a="1"/>
  <c r="P193" i="2" s="1"/>
  <c r="K194" i="2"/>
  <c r="P194" i="2" s="1" a="1"/>
  <c r="P194" i="2" s="1"/>
  <c r="K195" i="2"/>
  <c r="P195" i="2" s="1" a="1"/>
  <c r="P195" i="2" s="1"/>
  <c r="K196" i="2"/>
  <c r="P196" i="2" s="1" a="1"/>
  <c r="P196" i="2" s="1"/>
  <c r="K197" i="2"/>
  <c r="P197" i="2" s="1" a="1"/>
  <c r="P197" i="2" s="1"/>
  <c r="K198" i="2"/>
  <c r="P198" i="2" s="1" a="1"/>
  <c r="P198" i="2" s="1"/>
  <c r="K199" i="2"/>
  <c r="P199" i="2" s="1" a="1"/>
  <c r="P199" i="2" s="1"/>
  <c r="K200" i="2"/>
  <c r="P200" i="2" s="1" a="1"/>
  <c r="P200" i="2" s="1"/>
  <c r="K2" i="2"/>
  <c r="P2" i="2" s="1" a="1"/>
  <c r="P2" i="2" s="1"/>
  <c r="Z3" i="3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" i="3"/>
  <c r="AA2" i="3"/>
  <c r="Y193" i="5" l="1"/>
  <c r="Y145" i="5"/>
  <c r="Y121" i="5"/>
  <c r="Y97" i="5"/>
  <c r="Y73" i="5"/>
  <c r="Y49" i="5"/>
  <c r="Y25" i="5"/>
  <c r="Y69" i="5"/>
  <c r="Y94" i="5"/>
  <c r="Y119" i="5"/>
  <c r="Y144" i="5"/>
  <c r="Y195" i="5"/>
  <c r="Y196" i="5"/>
  <c r="Y171" i="5"/>
  <c r="Y120" i="5"/>
  <c r="Y95" i="5"/>
  <c r="Y70" i="5"/>
  <c r="Y45" i="5"/>
  <c r="Y20" i="5"/>
  <c r="Y194" i="5"/>
  <c r="Y170" i="5"/>
  <c r="Y146" i="5"/>
  <c r="Y122" i="5"/>
  <c r="Y98" i="5"/>
  <c r="Y74" i="5"/>
  <c r="Y50" i="5"/>
  <c r="Y26" i="5"/>
  <c r="Y168" i="5"/>
  <c r="Y143" i="5"/>
  <c r="Y118" i="5"/>
  <c r="Y93" i="5"/>
  <c r="Y68" i="5"/>
  <c r="Y43" i="5"/>
  <c r="Y18" i="5"/>
  <c r="Y192" i="5"/>
  <c r="Y167" i="5"/>
  <c r="Y142" i="5"/>
  <c r="Y117" i="5"/>
  <c r="Y92" i="5"/>
  <c r="Y67" i="5"/>
  <c r="Y42" i="5"/>
  <c r="Y17" i="5"/>
  <c r="Y191" i="5"/>
  <c r="Y166" i="5"/>
  <c r="Y141" i="5"/>
  <c r="Y116" i="5"/>
  <c r="Y91" i="5"/>
  <c r="Y66" i="5"/>
  <c r="Y41" i="5"/>
  <c r="Y16" i="5"/>
  <c r="Y190" i="5"/>
  <c r="Y165" i="5"/>
  <c r="Y140" i="5"/>
  <c r="Y115" i="5"/>
  <c r="Y90" i="5"/>
  <c r="Y65" i="5"/>
  <c r="Y40" i="5"/>
  <c r="Y15" i="5"/>
  <c r="Y189" i="5"/>
  <c r="Y164" i="5"/>
  <c r="Y139" i="5"/>
  <c r="Y114" i="5"/>
  <c r="Y89" i="5"/>
  <c r="Y64" i="5"/>
  <c r="Y39" i="5"/>
  <c r="Y14" i="5"/>
  <c r="Y188" i="5"/>
  <c r="Y163" i="5"/>
  <c r="Y138" i="5"/>
  <c r="Y113" i="5"/>
  <c r="Y88" i="5"/>
  <c r="Y63" i="5"/>
  <c r="Y38" i="5"/>
  <c r="Y13" i="5"/>
  <c r="Y187" i="5"/>
  <c r="Y162" i="5"/>
  <c r="Y137" i="5"/>
  <c r="Y112" i="5"/>
  <c r="Y87" i="5"/>
  <c r="Y62" i="5"/>
  <c r="Y37" i="5"/>
  <c r="Y12" i="5"/>
  <c r="Y186" i="5"/>
  <c r="Y161" i="5"/>
  <c r="Y136" i="5"/>
  <c r="Y111" i="5"/>
  <c r="Y86" i="5"/>
  <c r="Y61" i="5"/>
  <c r="Y36" i="5"/>
  <c r="Y11" i="5"/>
  <c r="Y185" i="5"/>
  <c r="Y160" i="5"/>
  <c r="Y135" i="5"/>
  <c r="Y110" i="5"/>
  <c r="Y85" i="5"/>
  <c r="Y60" i="5"/>
  <c r="Y35" i="5"/>
  <c r="Y10" i="5"/>
  <c r="Y184" i="5"/>
  <c r="Y159" i="5"/>
  <c r="Y134" i="5"/>
  <c r="Y109" i="5"/>
  <c r="Y84" i="5"/>
  <c r="Y59" i="5"/>
  <c r="Y34" i="5"/>
  <c r="Y9" i="5"/>
  <c r="Y183" i="5"/>
  <c r="Y158" i="5"/>
  <c r="Y133" i="5"/>
  <c r="Y108" i="5"/>
  <c r="Y83" i="5"/>
  <c r="Y58" i="5"/>
  <c r="Y33" i="5"/>
  <c r="Y8" i="5"/>
  <c r="Y182" i="5"/>
  <c r="Y157" i="5"/>
  <c r="Y132" i="5"/>
  <c r="Y107" i="5"/>
  <c r="Y82" i="5"/>
  <c r="Y57" i="5"/>
  <c r="Y32" i="5"/>
  <c r="Y7" i="5"/>
  <c r="Y181" i="5"/>
  <c r="Y156" i="5"/>
  <c r="Y131" i="5"/>
  <c r="Y106" i="5"/>
  <c r="Y81" i="5"/>
  <c r="Y56" i="5"/>
  <c r="Y31" i="5"/>
  <c r="Y6" i="5"/>
  <c r="Y180" i="5"/>
  <c r="Y155" i="5"/>
  <c r="Y130" i="5"/>
  <c r="Y105" i="5"/>
  <c r="Y80" i="5"/>
  <c r="Y55" i="5"/>
  <c r="Y30" i="5"/>
  <c r="Y5" i="5"/>
  <c r="Y179" i="5"/>
  <c r="Y154" i="5"/>
  <c r="Y129" i="5"/>
  <c r="Y104" i="5"/>
  <c r="Y79" i="5"/>
  <c r="Y54" i="5"/>
  <c r="Y4" i="5"/>
  <c r="Y153" i="5"/>
  <c r="Y128" i="5"/>
  <c r="Y103" i="5"/>
  <c r="Y78" i="5"/>
  <c r="Y53" i="5"/>
  <c r="Y28" i="5"/>
  <c r="Y3" i="5"/>
  <c r="Y177" i="5"/>
  <c r="Y152" i="5"/>
  <c r="Y127" i="5"/>
  <c r="Y102" i="5"/>
  <c r="Y77" i="5"/>
  <c r="Y52" i="5"/>
  <c r="Y27" i="5"/>
  <c r="Y176" i="5"/>
  <c r="Y151" i="5"/>
  <c r="Y126" i="5"/>
  <c r="Y101" i="5"/>
  <c r="Y76" i="5"/>
  <c r="Y51" i="5"/>
  <c r="Y175" i="5"/>
  <c r="Y150" i="5"/>
  <c r="Y125" i="5"/>
  <c r="Y100" i="5"/>
  <c r="Y75" i="5"/>
  <c r="Y24" i="5"/>
  <c r="Y199" i="5"/>
  <c r="Y174" i="5"/>
  <c r="Y149" i="5"/>
  <c r="Y124" i="5"/>
  <c r="Y99" i="5"/>
  <c r="Y48" i="5"/>
  <c r="Y23" i="5"/>
  <c r="Y198" i="5"/>
  <c r="Y173" i="5"/>
  <c r="Y148" i="5"/>
  <c r="Y123" i="5"/>
  <c r="Y72" i="5"/>
  <c r="Y47" i="5"/>
  <c r="Y22" i="5"/>
  <c r="Y197" i="5"/>
  <c r="Y172" i="5"/>
  <c r="Y147" i="5"/>
  <c r="Y96" i="5"/>
  <c r="Y71" i="5"/>
  <c r="Y46" i="5"/>
  <c r="Y21" i="5"/>
  <c r="C11" i="9"/>
  <c r="Q9" i="9" a="1"/>
  <c r="Q9" i="9" s="1"/>
  <c r="E105" i="6"/>
  <c r="E57" i="6"/>
  <c r="E10" i="9"/>
  <c r="E9" i="9"/>
  <c r="E8" i="9"/>
  <c r="E7" i="9"/>
  <c r="E6" i="9"/>
  <c r="E5" i="9"/>
  <c r="E4" i="9"/>
  <c r="E3" i="9"/>
  <c r="H5" i="9" a="1"/>
  <c r="H5" i="9" s="1"/>
  <c r="F11" i="9"/>
  <c r="F10" i="9"/>
  <c r="F9" i="9"/>
  <c r="F8" i="9"/>
  <c r="F7" i="9"/>
  <c r="F6" i="9"/>
  <c r="F5" i="9"/>
  <c r="F4" i="9"/>
  <c r="F3" i="9"/>
  <c r="E2" i="9"/>
  <c r="I6" i="9" a="1"/>
  <c r="I6" i="9" s="1"/>
  <c r="I3" i="9" a="1"/>
  <c r="I3" i="9" s="1"/>
  <c r="I10" i="9" a="1"/>
  <c r="I10" i="9" s="1"/>
  <c r="I9" i="9" a="1"/>
  <c r="I9" i="9" s="1"/>
  <c r="H4" i="9" a="1"/>
  <c r="H4" i="9" s="1"/>
  <c r="Q11" i="9" a="1"/>
  <c r="Q11" i="9" s="1"/>
  <c r="H11" i="9" a="1"/>
  <c r="H11" i="9" s="1"/>
  <c r="Q2" i="9" a="1"/>
  <c r="Q2" i="9" s="1"/>
  <c r="F2" i="9"/>
  <c r="E164" i="3"/>
  <c r="E127" i="3"/>
  <c r="E97" i="6"/>
  <c r="I2" i="9" a="1"/>
  <c r="I2" i="9" s="1"/>
  <c r="E163" i="3"/>
  <c r="E126" i="6"/>
  <c r="E96" i="3"/>
  <c r="C6" i="9"/>
  <c r="R10" i="9"/>
  <c r="E167" i="3"/>
  <c r="E162" i="6"/>
  <c r="E125" i="3"/>
  <c r="E95" i="3"/>
  <c r="E199" i="6"/>
  <c r="E128" i="3"/>
  <c r="E98" i="3"/>
  <c r="E157" i="6"/>
  <c r="E124" i="6"/>
  <c r="E198" i="6"/>
  <c r="C7" i="9"/>
  <c r="E123" i="3"/>
  <c r="C8" i="9"/>
  <c r="E153" i="6"/>
  <c r="E120" i="3"/>
  <c r="E131" i="6"/>
  <c r="E121" i="6"/>
  <c r="E90" i="6"/>
  <c r="E196" i="6"/>
  <c r="E150" i="6"/>
  <c r="E119" i="3"/>
  <c r="H7" i="9" a="1"/>
  <c r="H7" i="9" s="1"/>
  <c r="E91" i="3"/>
  <c r="E152" i="3"/>
  <c r="E195" i="6"/>
  <c r="E149" i="3"/>
  <c r="E192" i="6"/>
  <c r="E168" i="3"/>
  <c r="E144" i="3"/>
  <c r="Q3" i="9" a="1"/>
  <c r="Q3" i="9" s="1"/>
  <c r="E122" i="3"/>
  <c r="E197" i="6"/>
  <c r="E194" i="6"/>
  <c r="E148" i="6"/>
  <c r="E116" i="3"/>
  <c r="H8" i="9" a="1"/>
  <c r="H8" i="9" s="1"/>
  <c r="E170" i="3"/>
  <c r="E193" i="6"/>
  <c r="E156" i="6"/>
  <c r="E147" i="3"/>
  <c r="E115" i="3"/>
  <c r="E191" i="6"/>
  <c r="E146" i="3"/>
  <c r="E114" i="6"/>
  <c r="E100" i="6"/>
  <c r="E155" i="6"/>
  <c r="E181" i="6"/>
  <c r="E145" i="6"/>
  <c r="E109" i="6"/>
  <c r="Q5" i="9" a="1"/>
  <c r="Q5" i="9" s="1"/>
  <c r="E179" i="6"/>
  <c r="E143" i="3"/>
  <c r="E108" i="6"/>
  <c r="E187" i="6"/>
  <c r="E141" i="3"/>
  <c r="Q6" i="9" a="1"/>
  <c r="Q6" i="9" s="1"/>
  <c r="E107" i="6"/>
  <c r="E176" i="3"/>
  <c r="E140" i="3"/>
  <c r="E174" i="6"/>
  <c r="E139" i="3"/>
  <c r="E104" i="3"/>
  <c r="AD2" i="9"/>
  <c r="Q7" i="9" a="1"/>
  <c r="Q7" i="9" s="1"/>
  <c r="E177" i="6"/>
  <c r="E173" i="3"/>
  <c r="E138" i="6"/>
  <c r="E103" i="3"/>
  <c r="E172" i="6"/>
  <c r="E133" i="6"/>
  <c r="E102" i="6"/>
  <c r="E182" i="6"/>
  <c r="E158" i="6"/>
  <c r="E134" i="6"/>
  <c r="E110" i="6"/>
  <c r="E171" i="3"/>
  <c r="E132" i="6"/>
  <c r="E101" i="3"/>
  <c r="E180" i="6"/>
  <c r="E169" i="6"/>
  <c r="E129" i="6"/>
  <c r="E99" i="3"/>
  <c r="E55" i="6"/>
  <c r="E114" i="3"/>
  <c r="N200" i="2" a="1"/>
  <c r="N200" i="2" s="1"/>
  <c r="E175" i="3"/>
  <c r="E175" i="6"/>
  <c r="E18" i="3"/>
  <c r="M186" i="2" a="1"/>
  <c r="M186" i="2" s="1"/>
  <c r="S186" i="2" s="1"/>
  <c r="M162" i="2" a="1"/>
  <c r="M162" i="2" s="1"/>
  <c r="S162" i="2" s="1"/>
  <c r="E79" i="6"/>
  <c r="N199" i="2" a="1"/>
  <c r="N199" i="2" s="1"/>
  <c r="T199" i="2" s="1"/>
  <c r="N183" i="2" a="1"/>
  <c r="N183" i="2" s="1"/>
  <c r="N159" i="2" a="1"/>
  <c r="N159" i="2" s="1"/>
  <c r="T159" i="2" s="1"/>
  <c r="E103" i="6"/>
  <c r="N181" i="2" a="1"/>
  <c r="N181" i="2" s="1"/>
  <c r="T181" i="2" s="1"/>
  <c r="N157" i="2" a="1"/>
  <c r="N157" i="2" s="1"/>
  <c r="E23" i="6"/>
  <c r="N197" i="2" a="1"/>
  <c r="N197" i="2" s="1"/>
  <c r="T197" i="2" s="1"/>
  <c r="E127" i="6"/>
  <c r="E47" i="6"/>
  <c r="M155" i="2" a="1"/>
  <c r="M155" i="2" s="1"/>
  <c r="S155" i="2" s="1"/>
  <c r="N195" i="2" a="1"/>
  <c r="N195" i="2" s="1"/>
  <c r="T195" i="2" s="1"/>
  <c r="M179" i="2" a="1"/>
  <c r="M179" i="2" s="1"/>
  <c r="S179" i="2" s="1"/>
  <c r="E71" i="6"/>
  <c r="M152" i="2" a="1"/>
  <c r="M152" i="2" s="1"/>
  <c r="S152" i="2" s="1"/>
  <c r="E95" i="6"/>
  <c r="N176" i="2" a="1"/>
  <c r="N176" i="2" s="1"/>
  <c r="T176" i="2" s="1"/>
  <c r="N149" i="2" a="1"/>
  <c r="N149" i="2" s="1"/>
  <c r="T149" i="2" s="1"/>
  <c r="N193" i="2" a="1"/>
  <c r="N193" i="2" s="1"/>
  <c r="T193" i="2" s="1"/>
  <c r="N147" i="2" a="1"/>
  <c r="N147" i="2" s="1"/>
  <c r="T147" i="2" s="1"/>
  <c r="E119" i="6"/>
  <c r="N173" i="2" a="1"/>
  <c r="N173" i="2" s="1"/>
  <c r="N145" i="2" a="1"/>
  <c r="N145" i="2" s="1"/>
  <c r="T145" i="2" s="1"/>
  <c r="E42" i="3"/>
  <c r="E143" i="6"/>
  <c r="M191" i="2" a="1"/>
  <c r="M191" i="2" s="1"/>
  <c r="S191" i="2" s="1"/>
  <c r="N171" i="2" a="1"/>
  <c r="N171" i="2" s="1"/>
  <c r="T171" i="2" s="1"/>
  <c r="E167" i="6"/>
  <c r="M143" i="2" a="1"/>
  <c r="M143" i="2" s="1"/>
  <c r="S143" i="2" s="1"/>
  <c r="M190" i="2" a="1"/>
  <c r="M190" i="2" s="1"/>
  <c r="S190" i="2" s="1"/>
  <c r="E162" i="3"/>
  <c r="M189" i="2" a="1"/>
  <c r="M189" i="2" s="1"/>
  <c r="S189" i="2" s="1"/>
  <c r="N169" i="2" a="1"/>
  <c r="N169" i="2" s="1"/>
  <c r="T169" i="2" s="1"/>
  <c r="E138" i="3"/>
  <c r="D10" i="6"/>
  <c r="N188" i="2" a="1"/>
  <c r="N188" i="2" s="1"/>
  <c r="T188" i="2" s="1"/>
  <c r="M167" i="2" a="1"/>
  <c r="M167" i="2" s="1"/>
  <c r="S167" i="2" s="1"/>
  <c r="E90" i="3"/>
  <c r="E31" i="6"/>
  <c r="M187" i="2" a="1"/>
  <c r="M187" i="2" s="1"/>
  <c r="S187" i="2" s="1"/>
  <c r="E66" i="3"/>
  <c r="M166" i="2" a="1"/>
  <c r="M166" i="2" s="1"/>
  <c r="S166" i="2" s="1"/>
  <c r="E183" i="6"/>
  <c r="E183" i="3"/>
  <c r="E159" i="6"/>
  <c r="E159" i="3"/>
  <c r="E135" i="6"/>
  <c r="E135" i="3"/>
  <c r="E111" i="6"/>
  <c r="E111" i="3"/>
  <c r="E87" i="6"/>
  <c r="E87" i="3"/>
  <c r="E63" i="6"/>
  <c r="E63" i="3"/>
  <c r="E39" i="6"/>
  <c r="E39" i="3"/>
  <c r="E15" i="6"/>
  <c r="E15" i="3"/>
  <c r="E113" i="6"/>
  <c r="E113" i="3"/>
  <c r="E89" i="6"/>
  <c r="E89" i="3"/>
  <c r="E65" i="6"/>
  <c r="E65" i="3"/>
  <c r="E41" i="6"/>
  <c r="E41" i="3"/>
  <c r="E17" i="6"/>
  <c r="E17" i="3"/>
  <c r="E137" i="6"/>
  <c r="E137" i="3"/>
  <c r="M185" i="2" a="1"/>
  <c r="M185" i="2" s="1"/>
  <c r="S185" i="2" s="1"/>
  <c r="N185" i="2" a="1"/>
  <c r="N185" i="2" s="1"/>
  <c r="M161" i="2" a="1"/>
  <c r="M161" i="2" s="1"/>
  <c r="S161" i="2" s="1"/>
  <c r="N161" i="2" a="1"/>
  <c r="N161" i="2" s="1"/>
  <c r="M137" i="2" a="1"/>
  <c r="M137" i="2" s="1"/>
  <c r="S137" i="2" s="1"/>
  <c r="N137" i="2" a="1"/>
  <c r="N137" i="2" s="1"/>
  <c r="T137" i="2" s="1"/>
  <c r="M113" i="2" a="1"/>
  <c r="M113" i="2" s="1"/>
  <c r="S113" i="2" s="1"/>
  <c r="N113" i="2" a="1"/>
  <c r="N113" i="2" s="1"/>
  <c r="M89" i="2" a="1"/>
  <c r="M89" i="2" s="1"/>
  <c r="S89" i="2" s="1"/>
  <c r="N89" i="2" a="1"/>
  <c r="N89" i="2" s="1"/>
  <c r="T89" i="2" s="1"/>
  <c r="M65" i="2" a="1"/>
  <c r="M65" i="2" s="1"/>
  <c r="S65" i="2" s="1"/>
  <c r="N65" i="2" a="1"/>
  <c r="N65" i="2" s="1"/>
  <c r="T65" i="2" s="1"/>
  <c r="M41" i="2" a="1"/>
  <c r="M41" i="2" s="1"/>
  <c r="S41" i="2" s="1"/>
  <c r="N41" i="2" a="1"/>
  <c r="N41" i="2" s="1"/>
  <c r="T41" i="2" s="1"/>
  <c r="M17" i="2" a="1"/>
  <c r="M17" i="2" s="1"/>
  <c r="S17" i="2" s="1"/>
  <c r="N17" i="2" a="1"/>
  <c r="N17" i="2" s="1"/>
  <c r="T17" i="2" s="1"/>
  <c r="E3" i="6"/>
  <c r="E26" i="6"/>
  <c r="E50" i="6"/>
  <c r="E74" i="6"/>
  <c r="E98" i="6"/>
  <c r="E122" i="6"/>
  <c r="E146" i="6"/>
  <c r="E170" i="6"/>
  <c r="E182" i="3"/>
  <c r="E158" i="3"/>
  <c r="E134" i="3"/>
  <c r="E110" i="3"/>
  <c r="E86" i="3"/>
  <c r="E62" i="3"/>
  <c r="E38" i="3"/>
  <c r="E14" i="3"/>
  <c r="E181" i="3"/>
  <c r="E157" i="3"/>
  <c r="E133" i="3"/>
  <c r="E109" i="3"/>
  <c r="E85" i="3"/>
  <c r="E61" i="3"/>
  <c r="E37" i="3"/>
  <c r="E13" i="3"/>
  <c r="E8" i="6"/>
  <c r="E180" i="3"/>
  <c r="E156" i="3"/>
  <c r="E132" i="3"/>
  <c r="E108" i="3"/>
  <c r="E84" i="3"/>
  <c r="E60" i="3"/>
  <c r="E36" i="3"/>
  <c r="E12" i="3"/>
  <c r="E21" i="6"/>
  <c r="E29" i="6"/>
  <c r="E45" i="6"/>
  <c r="E53" i="6"/>
  <c r="E69" i="6"/>
  <c r="E77" i="6"/>
  <c r="E93" i="6"/>
  <c r="E101" i="6"/>
  <c r="E117" i="6"/>
  <c r="E125" i="6"/>
  <c r="E141" i="6"/>
  <c r="E149" i="6"/>
  <c r="E173" i="6"/>
  <c r="E179" i="3"/>
  <c r="E155" i="3"/>
  <c r="E131" i="3"/>
  <c r="E107" i="3"/>
  <c r="E83" i="3"/>
  <c r="E59" i="3"/>
  <c r="E35" i="3"/>
  <c r="E11" i="3"/>
  <c r="E177" i="3"/>
  <c r="E153" i="3"/>
  <c r="E129" i="3"/>
  <c r="E105" i="3"/>
  <c r="E81" i="3"/>
  <c r="E57" i="3"/>
  <c r="E33" i="3"/>
  <c r="E9" i="3"/>
  <c r="E6" i="6"/>
  <c r="E24" i="6"/>
  <c r="E32" i="6"/>
  <c r="E48" i="6"/>
  <c r="E56" i="6"/>
  <c r="E72" i="6"/>
  <c r="E80" i="6"/>
  <c r="E96" i="6"/>
  <c r="E104" i="6"/>
  <c r="E120" i="6"/>
  <c r="E128" i="6"/>
  <c r="E144" i="6"/>
  <c r="E152" i="6"/>
  <c r="E168" i="6"/>
  <c r="E176" i="6"/>
  <c r="E199" i="3"/>
  <c r="E7" i="3"/>
  <c r="E198" i="3"/>
  <c r="E174" i="3"/>
  <c r="E150" i="3"/>
  <c r="E126" i="3"/>
  <c r="E102" i="3"/>
  <c r="E78" i="3"/>
  <c r="E54" i="3"/>
  <c r="E30" i="3"/>
  <c r="E19" i="6"/>
  <c r="E27" i="6"/>
  <c r="E43" i="6"/>
  <c r="E51" i="6"/>
  <c r="E67" i="6"/>
  <c r="E75" i="6"/>
  <c r="E91" i="6"/>
  <c r="E99" i="6"/>
  <c r="E115" i="6"/>
  <c r="E123" i="6"/>
  <c r="E139" i="6"/>
  <c r="E147" i="6"/>
  <c r="E163" i="6"/>
  <c r="E171" i="6"/>
  <c r="E197" i="3"/>
  <c r="E5" i="3"/>
  <c r="E4" i="6"/>
  <c r="E196" i="3"/>
  <c r="E172" i="3"/>
  <c r="E148" i="3"/>
  <c r="E124" i="3"/>
  <c r="E100" i="3"/>
  <c r="E76" i="3"/>
  <c r="E52" i="3"/>
  <c r="E28" i="3"/>
  <c r="E195" i="3"/>
  <c r="E194" i="3"/>
  <c r="E193" i="3"/>
  <c r="E169" i="3"/>
  <c r="E145" i="3"/>
  <c r="E121" i="3"/>
  <c r="E97" i="3"/>
  <c r="E73" i="3"/>
  <c r="E49" i="3"/>
  <c r="E25" i="3"/>
  <c r="E192" i="3"/>
  <c r="E191" i="3"/>
  <c r="E20" i="6"/>
  <c r="E44" i="6"/>
  <c r="E68" i="6"/>
  <c r="E92" i="6"/>
  <c r="E116" i="6"/>
  <c r="E140" i="6"/>
  <c r="E164" i="6"/>
  <c r="E187" i="3"/>
  <c r="N198" i="2" a="1"/>
  <c r="N198" i="2" s="1"/>
  <c r="T198" i="2" s="1"/>
  <c r="N174" i="2" a="1"/>
  <c r="N174" i="2" s="1"/>
  <c r="T174" i="2" s="1"/>
  <c r="N150" i="2" a="1"/>
  <c r="N150" i="2" s="1"/>
  <c r="T150" i="2" s="1"/>
  <c r="N138" i="2" a="1"/>
  <c r="N138" i="2" s="1"/>
  <c r="T138" i="2" s="1"/>
  <c r="M131" i="2" a="1"/>
  <c r="M131" i="2" s="1"/>
  <c r="S131" i="2" s="1"/>
  <c r="N126" i="2" a="1"/>
  <c r="N126" i="2" s="1"/>
  <c r="T126" i="2" s="1"/>
  <c r="M119" i="2" a="1"/>
  <c r="M119" i="2" s="1"/>
  <c r="S119" i="2" s="1"/>
  <c r="N114" i="2" a="1"/>
  <c r="N114" i="2" s="1"/>
  <c r="T114" i="2" s="1"/>
  <c r="M107" i="2" a="1"/>
  <c r="M107" i="2" s="1"/>
  <c r="S107" i="2" s="1"/>
  <c r="N102" i="2" a="1"/>
  <c r="N102" i="2" s="1"/>
  <c r="T102" i="2" s="1"/>
  <c r="M95" i="2" a="1"/>
  <c r="M95" i="2" s="1"/>
  <c r="S95" i="2" s="1"/>
  <c r="N90" i="2" a="1"/>
  <c r="N90" i="2" s="1"/>
  <c r="T90" i="2" s="1"/>
  <c r="M83" i="2" a="1"/>
  <c r="M83" i="2" s="1"/>
  <c r="S83" i="2" s="1"/>
  <c r="N78" i="2" a="1"/>
  <c r="N78" i="2" s="1"/>
  <c r="T78" i="2" s="1"/>
  <c r="M71" i="2" a="1"/>
  <c r="M71" i="2" s="1"/>
  <c r="S71" i="2" s="1"/>
  <c r="N66" i="2" a="1"/>
  <c r="N66" i="2" s="1"/>
  <c r="M59" i="2" a="1"/>
  <c r="M59" i="2" s="1"/>
  <c r="S59" i="2" s="1"/>
  <c r="E11" i="9" s="1"/>
  <c r="N54" i="2" a="1"/>
  <c r="N54" i="2" s="1"/>
  <c r="T54" i="2" s="1"/>
  <c r="D6" i="9" s="1"/>
  <c r="M47" i="2" a="1"/>
  <c r="M47" i="2" s="1"/>
  <c r="S47" i="2" s="1"/>
  <c r="N42" i="2" a="1"/>
  <c r="N42" i="2" s="1"/>
  <c r="M35" i="2" a="1"/>
  <c r="M35" i="2" s="1"/>
  <c r="S35" i="2" s="1"/>
  <c r="N30" i="2" a="1"/>
  <c r="N30" i="2" s="1"/>
  <c r="T30" i="2" s="1"/>
  <c r="M23" i="2" a="1"/>
  <c r="M23" i="2" s="1"/>
  <c r="S23" i="2" s="1"/>
  <c r="N18" i="2" a="1"/>
  <c r="N18" i="2" s="1"/>
  <c r="T18" i="2" s="1"/>
  <c r="M11" i="2" a="1"/>
  <c r="M11" i="2" s="1"/>
  <c r="S11" i="2" s="1"/>
  <c r="N6" i="2" a="1"/>
  <c r="N6" i="2" s="1"/>
  <c r="T6" i="2" s="1"/>
  <c r="N133" i="2" a="1"/>
  <c r="N133" i="2" s="1"/>
  <c r="T133" i="2" s="1"/>
  <c r="N121" i="2" a="1"/>
  <c r="N121" i="2" s="1"/>
  <c r="T121" i="2" s="1"/>
  <c r="N109" i="2" a="1"/>
  <c r="N109" i="2" s="1"/>
  <c r="T109" i="2" s="1"/>
  <c r="N97" i="2" a="1"/>
  <c r="N97" i="2" s="1"/>
  <c r="T97" i="2" s="1"/>
  <c r="N85" i="2" a="1"/>
  <c r="N85" i="2" s="1"/>
  <c r="T85" i="2" s="1"/>
  <c r="N73" i="2" a="1"/>
  <c r="N73" i="2" s="1"/>
  <c r="T73" i="2" s="1"/>
  <c r="N61" i="2" a="1"/>
  <c r="N61" i="2" s="1"/>
  <c r="T61" i="2" s="1"/>
  <c r="N49" i="2" a="1"/>
  <c r="N49" i="2" s="1"/>
  <c r="T49" i="2" s="1"/>
  <c r="N37" i="2" a="1"/>
  <c r="N37" i="2" s="1"/>
  <c r="T37" i="2" s="1"/>
  <c r="N25" i="2" a="1"/>
  <c r="N25" i="2" s="1"/>
  <c r="T25" i="2" s="1"/>
  <c r="N13" i="2" a="1"/>
  <c r="N13" i="2" s="1"/>
  <c r="T13" i="2" s="1"/>
  <c r="N164" i="2" a="1"/>
  <c r="N164" i="2" s="1"/>
  <c r="T164" i="2" s="1"/>
  <c r="N140" i="2" a="1"/>
  <c r="N140" i="2" s="1"/>
  <c r="T140" i="2" s="1"/>
  <c r="N128" i="2" a="1"/>
  <c r="N128" i="2" s="1"/>
  <c r="N116" i="2" a="1"/>
  <c r="N116" i="2" s="1"/>
  <c r="T116" i="2" s="1"/>
  <c r="N104" i="2" a="1"/>
  <c r="N104" i="2" s="1"/>
  <c r="T104" i="2" s="1"/>
  <c r="N92" i="2" a="1"/>
  <c r="N92" i="2" s="1"/>
  <c r="T92" i="2" s="1"/>
  <c r="N80" i="2" a="1"/>
  <c r="N80" i="2" s="1"/>
  <c r="T80" i="2" s="1"/>
  <c r="N68" i="2" a="1"/>
  <c r="N68" i="2" s="1"/>
  <c r="T68" i="2" s="1"/>
  <c r="N56" i="2" a="1"/>
  <c r="N56" i="2" s="1"/>
  <c r="N44" i="2" a="1"/>
  <c r="N44" i="2" s="1"/>
  <c r="T44" i="2" s="1"/>
  <c r="N32" i="2" a="1"/>
  <c r="N32" i="2" s="1"/>
  <c r="T32" i="2" s="1"/>
  <c r="N20" i="2" a="1"/>
  <c r="N20" i="2" s="1"/>
  <c r="T20" i="2" s="1"/>
  <c r="N8" i="2" a="1"/>
  <c r="N8" i="2" s="1"/>
  <c r="T8" i="2" s="1"/>
  <c r="N135" i="2" a="1"/>
  <c r="N135" i="2" s="1"/>
  <c r="T135" i="2" s="1"/>
  <c r="N123" i="2" a="1"/>
  <c r="N123" i="2" s="1"/>
  <c r="T123" i="2" s="1"/>
  <c r="N111" i="2" a="1"/>
  <c r="N111" i="2" s="1"/>
  <c r="T111" i="2" s="1"/>
  <c r="N99" i="2" a="1"/>
  <c r="N99" i="2" s="1"/>
  <c r="T99" i="2" s="1"/>
  <c r="N87" i="2" a="1"/>
  <c r="N87" i="2" s="1"/>
  <c r="T87" i="2" s="1"/>
  <c r="N75" i="2" a="1"/>
  <c r="N75" i="2" s="1"/>
  <c r="T75" i="2" s="1"/>
  <c r="N63" i="2" a="1"/>
  <c r="N63" i="2" s="1"/>
  <c r="T63" i="2" s="1"/>
  <c r="N51" i="2" a="1"/>
  <c r="N51" i="2" s="1"/>
  <c r="T51" i="2" s="1"/>
  <c r="D3" i="9" s="1"/>
  <c r="N39" i="2" a="1"/>
  <c r="N39" i="2" s="1"/>
  <c r="T39" i="2" s="1"/>
  <c r="N27" i="2" a="1"/>
  <c r="N27" i="2" s="1"/>
  <c r="T27" i="2" s="1"/>
  <c r="N15" i="2" a="1"/>
  <c r="N15" i="2" s="1"/>
  <c r="N178" i="2" a="1"/>
  <c r="N178" i="2" s="1"/>
  <c r="T178" i="2" s="1"/>
  <c r="N154" i="2" a="1"/>
  <c r="N154" i="2" s="1"/>
  <c r="T154" i="2" s="1"/>
  <c r="N142" i="2" a="1"/>
  <c r="N142" i="2" s="1"/>
  <c r="N130" i="2" a="1"/>
  <c r="N130" i="2" s="1"/>
  <c r="T130" i="2" s="1"/>
  <c r="N118" i="2" a="1"/>
  <c r="N118" i="2" s="1"/>
  <c r="T118" i="2" s="1"/>
  <c r="N106" i="2" a="1"/>
  <c r="N106" i="2" s="1"/>
  <c r="T106" i="2" s="1"/>
  <c r="N94" i="2" a="1"/>
  <c r="N94" i="2" s="1"/>
  <c r="N82" i="2" a="1"/>
  <c r="N82" i="2" s="1"/>
  <c r="T82" i="2" s="1"/>
  <c r="N70" i="2" a="1"/>
  <c r="N70" i="2" s="1"/>
  <c r="T70" i="2" s="1"/>
  <c r="N58" i="2" a="1"/>
  <c r="N58" i="2" s="1"/>
  <c r="T58" i="2" s="1"/>
  <c r="D10" i="9" s="1"/>
  <c r="N46" i="2" a="1"/>
  <c r="N46" i="2" s="1"/>
  <c r="T46" i="2" s="1"/>
  <c r="N34" i="2" a="1"/>
  <c r="N34" i="2" s="1"/>
  <c r="T34" i="2" s="1"/>
  <c r="N22" i="2" a="1"/>
  <c r="N22" i="2" s="1"/>
  <c r="T22" i="2" s="1"/>
  <c r="N10" i="2" a="1"/>
  <c r="N10" i="2" s="1"/>
  <c r="T10" i="2" s="1"/>
  <c r="N125" i="2" a="1"/>
  <c r="N125" i="2" s="1"/>
  <c r="T125" i="2" s="1"/>
  <c r="N101" i="2" a="1"/>
  <c r="N101" i="2" s="1"/>
  <c r="T101" i="2" s="1"/>
  <c r="N77" i="2" a="1"/>
  <c r="N77" i="2" s="1"/>
  <c r="T77" i="2" s="1"/>
  <c r="N53" i="2" a="1"/>
  <c r="N53" i="2" s="1"/>
  <c r="T53" i="2" s="1"/>
  <c r="D5" i="9" s="1"/>
  <c r="N29" i="2" a="1"/>
  <c r="N29" i="2" s="1"/>
  <c r="T29" i="2" s="1"/>
  <c r="N5" i="2" a="1"/>
  <c r="N5" i="2" s="1"/>
  <c r="T5" i="2" s="1"/>
  <c r="N192" i="2" a="1"/>
  <c r="N192" i="2" s="1"/>
  <c r="T192" i="2" s="1"/>
  <c r="N180" i="2" a="1"/>
  <c r="N180" i="2" s="1"/>
  <c r="T180" i="2" s="1"/>
  <c r="N168" i="2" a="1"/>
  <c r="N168" i="2" s="1"/>
  <c r="T168" i="2" s="1"/>
  <c r="N156" i="2" a="1"/>
  <c r="N156" i="2" s="1"/>
  <c r="N144" i="2" a="1"/>
  <c r="N144" i="2" s="1"/>
  <c r="T144" i="2" s="1"/>
  <c r="N132" i="2" a="1"/>
  <c r="N132" i="2" s="1"/>
  <c r="T132" i="2" s="1"/>
  <c r="N120" i="2" a="1"/>
  <c r="N120" i="2" s="1"/>
  <c r="N108" i="2" a="1"/>
  <c r="N108" i="2" s="1"/>
  <c r="T108" i="2" s="1"/>
  <c r="N96" i="2" a="1"/>
  <c r="N96" i="2" s="1"/>
  <c r="T96" i="2" s="1"/>
  <c r="N84" i="2" a="1"/>
  <c r="N84" i="2" s="1"/>
  <c r="T84" i="2" s="1"/>
  <c r="N72" i="2" a="1"/>
  <c r="N72" i="2" s="1"/>
  <c r="T72" i="2" s="1"/>
  <c r="N60" i="2" a="1"/>
  <c r="N60" i="2" s="1"/>
  <c r="T60" i="2" s="1"/>
  <c r="N48" i="2" a="1"/>
  <c r="N48" i="2" s="1"/>
  <c r="N36" i="2" a="1"/>
  <c r="N36" i="2" s="1"/>
  <c r="T36" i="2" s="1"/>
  <c r="N24" i="2" a="1"/>
  <c r="N24" i="2" s="1"/>
  <c r="T24" i="2" s="1"/>
  <c r="N12" i="2" a="1"/>
  <c r="N12" i="2" s="1"/>
  <c r="T12" i="2" s="1"/>
  <c r="N175" i="2" a="1"/>
  <c r="N175" i="2" s="1"/>
  <c r="T175" i="2" s="1"/>
  <c r="N163" i="2" a="1"/>
  <c r="N163" i="2" s="1"/>
  <c r="T163" i="2" s="1"/>
  <c r="N151" i="2" a="1"/>
  <c r="N151" i="2" s="1"/>
  <c r="T151" i="2" s="1"/>
  <c r="N139" i="2" a="1"/>
  <c r="N139" i="2" s="1"/>
  <c r="T139" i="2" s="1"/>
  <c r="N127" i="2" a="1"/>
  <c r="N127" i="2" s="1"/>
  <c r="T127" i="2" s="1"/>
  <c r="N115" i="2" a="1"/>
  <c r="N115" i="2" s="1"/>
  <c r="T115" i="2" s="1"/>
  <c r="N103" i="2" a="1"/>
  <c r="N103" i="2" s="1"/>
  <c r="T103" i="2" s="1"/>
  <c r="N91" i="2" a="1"/>
  <c r="N91" i="2" s="1"/>
  <c r="T91" i="2" s="1"/>
  <c r="N79" i="2" a="1"/>
  <c r="N79" i="2" s="1"/>
  <c r="T79" i="2" s="1"/>
  <c r="N67" i="2" a="1"/>
  <c r="N67" i="2" s="1"/>
  <c r="T67" i="2" s="1"/>
  <c r="N55" i="2" a="1"/>
  <c r="N55" i="2" s="1"/>
  <c r="T55" i="2" s="1"/>
  <c r="D7" i="9" s="1"/>
  <c r="N43" i="2" a="1"/>
  <c r="N43" i="2" s="1"/>
  <c r="T43" i="2" s="1"/>
  <c r="N31" i="2" a="1"/>
  <c r="N31" i="2" s="1"/>
  <c r="T31" i="2" s="1"/>
  <c r="N19" i="2" a="1"/>
  <c r="N19" i="2" s="1"/>
  <c r="T19" i="2" s="1"/>
  <c r="N7" i="2" a="1"/>
  <c r="N7" i="2" s="1"/>
  <c r="T7" i="2" s="1"/>
  <c r="N194" i="2" a="1"/>
  <c r="N194" i="2" s="1"/>
  <c r="T194" i="2" s="1"/>
  <c r="N182" i="2" a="1"/>
  <c r="N182" i="2" s="1"/>
  <c r="T182" i="2" s="1"/>
  <c r="N170" i="2" a="1"/>
  <c r="N170" i="2" s="1"/>
  <c r="T170" i="2" s="1"/>
  <c r="N158" i="2" a="1"/>
  <c r="N158" i="2" s="1"/>
  <c r="T158" i="2" s="1"/>
  <c r="N146" i="2" a="1"/>
  <c r="N146" i="2" s="1"/>
  <c r="T146" i="2" s="1"/>
  <c r="N134" i="2" a="1"/>
  <c r="N134" i="2" s="1"/>
  <c r="T134" i="2" s="1"/>
  <c r="N122" i="2" a="1"/>
  <c r="N122" i="2" s="1"/>
  <c r="T122" i="2" s="1"/>
  <c r="N110" i="2" a="1"/>
  <c r="N110" i="2" s="1"/>
  <c r="T110" i="2" s="1"/>
  <c r="N98" i="2" a="1"/>
  <c r="N98" i="2" s="1"/>
  <c r="T98" i="2" s="1"/>
  <c r="N86" i="2" a="1"/>
  <c r="N86" i="2" s="1"/>
  <c r="T86" i="2" s="1"/>
  <c r="N74" i="2" a="1"/>
  <c r="N74" i="2" s="1"/>
  <c r="T74" i="2" s="1"/>
  <c r="N62" i="2" a="1"/>
  <c r="N62" i="2" s="1"/>
  <c r="T62" i="2" s="1"/>
  <c r="N50" i="2" a="1"/>
  <c r="N50" i="2" s="1"/>
  <c r="T50" i="2" s="1"/>
  <c r="N38" i="2" a="1"/>
  <c r="N38" i="2" s="1"/>
  <c r="T38" i="2" s="1"/>
  <c r="N26" i="2" a="1"/>
  <c r="N26" i="2" s="1"/>
  <c r="T26" i="2" s="1"/>
  <c r="N14" i="2" a="1"/>
  <c r="N14" i="2" s="1"/>
  <c r="T14" i="2" s="1"/>
  <c r="N177" i="2" a="1"/>
  <c r="N177" i="2" s="1"/>
  <c r="T177" i="2" s="1"/>
  <c r="N165" i="2" a="1"/>
  <c r="N165" i="2" s="1"/>
  <c r="T165" i="2" s="1"/>
  <c r="N153" i="2" a="1"/>
  <c r="N153" i="2" s="1"/>
  <c r="T153" i="2" s="1"/>
  <c r="N141" i="2" a="1"/>
  <c r="N141" i="2" s="1"/>
  <c r="T141" i="2" s="1"/>
  <c r="N129" i="2" a="1"/>
  <c r="N129" i="2" s="1"/>
  <c r="N117" i="2" a="1"/>
  <c r="N117" i="2" s="1"/>
  <c r="N105" i="2" a="1"/>
  <c r="N105" i="2" s="1"/>
  <c r="T105" i="2" s="1"/>
  <c r="N93" i="2" a="1"/>
  <c r="N93" i="2" s="1"/>
  <c r="N81" i="2" a="1"/>
  <c r="N81" i="2" s="1"/>
  <c r="T81" i="2" s="1"/>
  <c r="N69" i="2" a="1"/>
  <c r="N69" i="2" s="1"/>
  <c r="T69" i="2" s="1"/>
  <c r="N57" i="2" a="1"/>
  <c r="N57" i="2" s="1"/>
  <c r="T57" i="2" s="1"/>
  <c r="D9" i="9" s="1"/>
  <c r="N45" i="2" a="1"/>
  <c r="N45" i="2" s="1"/>
  <c r="T45" i="2" s="1"/>
  <c r="N33" i="2" a="1"/>
  <c r="N33" i="2" s="1"/>
  <c r="T33" i="2" s="1"/>
  <c r="N21" i="2" a="1"/>
  <c r="N21" i="2" s="1"/>
  <c r="T21" i="2" s="1"/>
  <c r="N9" i="2" a="1"/>
  <c r="N9" i="2" s="1"/>
  <c r="T9" i="2" s="1"/>
  <c r="N196" i="2" a="1"/>
  <c r="N196" i="2" s="1"/>
  <c r="T196" i="2" s="1"/>
  <c r="N184" i="2" a="1"/>
  <c r="N184" i="2" s="1"/>
  <c r="T184" i="2" s="1"/>
  <c r="N172" i="2" a="1"/>
  <c r="N172" i="2" s="1"/>
  <c r="T172" i="2" s="1"/>
  <c r="N160" i="2" a="1"/>
  <c r="N160" i="2" s="1"/>
  <c r="T160" i="2" s="1"/>
  <c r="N148" i="2" a="1"/>
  <c r="N148" i="2" s="1"/>
  <c r="T148" i="2" s="1"/>
  <c r="N136" i="2" a="1"/>
  <c r="N136" i="2" s="1"/>
  <c r="T136" i="2" s="1"/>
  <c r="N124" i="2" a="1"/>
  <c r="N124" i="2" s="1"/>
  <c r="T124" i="2" s="1"/>
  <c r="N112" i="2" a="1"/>
  <c r="N112" i="2" s="1"/>
  <c r="T112" i="2" s="1"/>
  <c r="N100" i="2" a="1"/>
  <c r="N100" i="2" s="1"/>
  <c r="T100" i="2" s="1"/>
  <c r="N88" i="2" a="1"/>
  <c r="N88" i="2" s="1"/>
  <c r="T88" i="2" s="1"/>
  <c r="N76" i="2" a="1"/>
  <c r="N76" i="2" s="1"/>
  <c r="T76" i="2" s="1"/>
  <c r="N64" i="2" a="1"/>
  <c r="N64" i="2" s="1"/>
  <c r="T64" i="2" s="1"/>
  <c r="N52" i="2" a="1"/>
  <c r="N52" i="2" s="1"/>
  <c r="T52" i="2" s="1"/>
  <c r="D4" i="9" s="1"/>
  <c r="N40" i="2" a="1"/>
  <c r="N40" i="2" s="1"/>
  <c r="N28" i="2" a="1"/>
  <c r="N28" i="2" s="1"/>
  <c r="T28" i="2" s="1"/>
  <c r="N16" i="2" a="1"/>
  <c r="N16" i="2" s="1"/>
  <c r="T16" i="2" s="1"/>
  <c r="N4" i="2" a="1"/>
  <c r="N4" i="2" s="1"/>
  <c r="T4" i="2" s="1"/>
  <c r="E2" i="6"/>
  <c r="E2" i="3"/>
  <c r="N3" i="2" a="1"/>
  <c r="N3" i="2" s="1"/>
  <c r="T3" i="2" s="1"/>
  <c r="N2" i="2" a="1"/>
  <c r="N2" i="2" s="1"/>
  <c r="H194" i="6" a="1"/>
  <c r="H194" i="6" s="1"/>
  <c r="H182" i="6" a="1"/>
  <c r="H182" i="6" s="1"/>
  <c r="H170" i="6" a="1"/>
  <c r="H170" i="6" s="1"/>
  <c r="H158" i="6" a="1"/>
  <c r="H158" i="6" s="1"/>
  <c r="H146" i="6" a="1"/>
  <c r="H146" i="6" s="1"/>
  <c r="H122" i="6" a="1"/>
  <c r="H122" i="6" s="1"/>
  <c r="H74" i="6" a="1"/>
  <c r="H74" i="6" s="1"/>
  <c r="H62" i="6" a="1"/>
  <c r="H62" i="6" s="1"/>
  <c r="H50" i="6" a="1"/>
  <c r="H50" i="6" s="1"/>
  <c r="H26" i="6" a="1"/>
  <c r="H26" i="6" s="1"/>
  <c r="H14" i="6" a="1"/>
  <c r="H14" i="6" s="1"/>
  <c r="H38" i="6" a="1"/>
  <c r="H38" i="6" s="1"/>
  <c r="H193" i="6" a="1"/>
  <c r="H193" i="6" s="1"/>
  <c r="H109" i="6" a="1"/>
  <c r="H109" i="6" s="1"/>
  <c r="H97" i="6" a="1"/>
  <c r="H97" i="6" s="1"/>
  <c r="H73" i="6" a="1"/>
  <c r="H73" i="6" s="1"/>
  <c r="H61" i="6" a="1"/>
  <c r="H61" i="6" s="1"/>
  <c r="H49" i="6" a="1"/>
  <c r="H49" i="6" s="1"/>
  <c r="H37" i="6" a="1"/>
  <c r="H37" i="6" s="1"/>
  <c r="H25" i="6" a="1"/>
  <c r="H25" i="6" s="1"/>
  <c r="H13" i="6" a="1"/>
  <c r="H13" i="6" s="1"/>
  <c r="H192" i="6" a="1"/>
  <c r="H192" i="6" s="1"/>
  <c r="H180" i="6" a="1"/>
  <c r="H180" i="6" s="1"/>
  <c r="H168" i="6" a="1"/>
  <c r="H168" i="6" s="1"/>
  <c r="H156" i="6" a="1"/>
  <c r="H156" i="6" s="1"/>
  <c r="H144" i="6" a="1"/>
  <c r="H144" i="6" s="1"/>
  <c r="H96" i="6" a="1"/>
  <c r="H96" i="6" s="1"/>
  <c r="H84" i="6" a="1"/>
  <c r="H84" i="6" s="1"/>
  <c r="H72" i="6" a="1"/>
  <c r="H72" i="6" s="1"/>
  <c r="H48" i="6" a="1"/>
  <c r="H48" i="6" s="1"/>
  <c r="H36" i="6" a="1"/>
  <c r="H36" i="6" s="1"/>
  <c r="H24" i="6" a="1"/>
  <c r="H24" i="6" s="1"/>
  <c r="H12" i="6" a="1"/>
  <c r="H12" i="6" s="1"/>
  <c r="H191" i="6" a="1"/>
  <c r="H191" i="6" s="1"/>
  <c r="H179" i="6" a="1"/>
  <c r="H179" i="6" s="1"/>
  <c r="H167" i="6" a="1"/>
  <c r="H167" i="6" s="1"/>
  <c r="H155" i="6" a="1"/>
  <c r="H155" i="6" s="1"/>
  <c r="H119" i="6" a="1"/>
  <c r="H119" i="6" s="1"/>
  <c r="H107" i="6" a="1"/>
  <c r="H107" i="6" s="1"/>
  <c r="H95" i="6" a="1"/>
  <c r="H95" i="6" s="1"/>
  <c r="H83" i="6" a="1"/>
  <c r="H83" i="6" s="1"/>
  <c r="H71" i="6" a="1"/>
  <c r="H71" i="6" s="1"/>
  <c r="H59" i="6" a="1"/>
  <c r="H59" i="6" s="1"/>
  <c r="H47" i="6" a="1"/>
  <c r="H47" i="6" s="1"/>
  <c r="H35" i="6" a="1"/>
  <c r="H35" i="6" s="1"/>
  <c r="H23" i="6" a="1"/>
  <c r="H23" i="6" s="1"/>
  <c r="H11" i="6" a="1"/>
  <c r="H11" i="6" s="1"/>
  <c r="H190" i="6" a="1"/>
  <c r="H190" i="6" s="1"/>
  <c r="H166" i="6" a="1"/>
  <c r="H166" i="6" s="1"/>
  <c r="H154" i="6" a="1"/>
  <c r="H154" i="6" s="1"/>
  <c r="H142" i="6" a="1"/>
  <c r="H142" i="6" s="1"/>
  <c r="H130" i="6" a="1"/>
  <c r="H130" i="6" s="1"/>
  <c r="H118" i="6" a="1"/>
  <c r="H118" i="6" s="1"/>
  <c r="H106" i="6" a="1"/>
  <c r="H106" i="6" s="1"/>
  <c r="H82" i="6" a="1"/>
  <c r="H82" i="6" s="1"/>
  <c r="H70" i="6" a="1"/>
  <c r="H70" i="6" s="1"/>
  <c r="H58" i="6" a="1"/>
  <c r="H58" i="6" s="1"/>
  <c r="H46" i="6" a="1"/>
  <c r="H46" i="6" s="1"/>
  <c r="H34" i="6" a="1"/>
  <c r="H34" i="6" s="1"/>
  <c r="H22" i="6" a="1"/>
  <c r="H22" i="6" s="1"/>
  <c r="H10" i="6" a="1"/>
  <c r="H10" i="6" s="1"/>
  <c r="H189" i="6" a="1"/>
  <c r="H189" i="6" s="1"/>
  <c r="H177" i="6" a="1"/>
  <c r="H177" i="6" s="1"/>
  <c r="H165" i="6" a="1"/>
  <c r="H165" i="6" s="1"/>
  <c r="H153" i="6" a="1"/>
  <c r="H153" i="6" s="1"/>
  <c r="H141" i="6" a="1"/>
  <c r="H141" i="6" s="1"/>
  <c r="H105" i="6" a="1"/>
  <c r="H105" i="6" s="1"/>
  <c r="H93" i="6" a="1"/>
  <c r="H93" i="6" s="1"/>
  <c r="H81" i="6" a="1"/>
  <c r="H81" i="6" s="1"/>
  <c r="H69" i="6" a="1"/>
  <c r="H69" i="6" s="1"/>
  <c r="H57" i="6" a="1"/>
  <c r="H57" i="6" s="1"/>
  <c r="H45" i="6" a="1"/>
  <c r="H45" i="6" s="1"/>
  <c r="H33" i="6" a="1"/>
  <c r="H33" i="6" s="1"/>
  <c r="H21" i="6" a="1"/>
  <c r="H21" i="6" s="1"/>
  <c r="H9" i="6" a="1"/>
  <c r="H9" i="6" s="1"/>
  <c r="H188" i="6" a="1"/>
  <c r="H188" i="6" s="1"/>
  <c r="H176" i="6" a="1"/>
  <c r="H176" i="6" s="1"/>
  <c r="H164" i="6" a="1"/>
  <c r="H164" i="6" s="1"/>
  <c r="H152" i="6" a="1"/>
  <c r="H152" i="6" s="1"/>
  <c r="H140" i="6" a="1"/>
  <c r="H140" i="6" s="1"/>
  <c r="H128" i="6" a="1"/>
  <c r="H128" i="6" s="1"/>
  <c r="H116" i="6" a="1"/>
  <c r="H116" i="6" s="1"/>
  <c r="H92" i="6" a="1"/>
  <c r="H92" i="6" s="1"/>
  <c r="H80" i="6" a="1"/>
  <c r="H80" i="6" s="1"/>
  <c r="H68" i="6" a="1"/>
  <c r="H68" i="6" s="1"/>
  <c r="H56" i="6" a="1"/>
  <c r="H56" i="6" s="1"/>
  <c r="H44" i="6" a="1"/>
  <c r="H44" i="6" s="1"/>
  <c r="H32" i="6" a="1"/>
  <c r="H32" i="6" s="1"/>
  <c r="H20" i="6" a="1"/>
  <c r="H20" i="6" s="1"/>
  <c r="H8" i="6" a="1"/>
  <c r="H8" i="6" s="1"/>
  <c r="H199" i="6" a="1"/>
  <c r="H199" i="6" s="1"/>
  <c r="H103" i="6" a="1"/>
  <c r="H103" i="6" s="1"/>
  <c r="H91" i="6" a="1"/>
  <c r="H91" i="6" s="1"/>
  <c r="H198" i="6" a="1"/>
  <c r="H198" i="6" s="1"/>
  <c r="H186" i="6" a="1"/>
  <c r="H186" i="6" s="1"/>
  <c r="H174" i="6" a="1"/>
  <c r="H174" i="6" s="1"/>
  <c r="H162" i="6" a="1"/>
  <c r="H162" i="6" s="1"/>
  <c r="H150" i="6" a="1"/>
  <c r="H150" i="6" s="1"/>
  <c r="H138" i="6" a="1"/>
  <c r="H138" i="6" s="1"/>
  <c r="H126" i="6" a="1"/>
  <c r="H126" i="6" s="1"/>
  <c r="H114" i="6" a="1"/>
  <c r="H114" i="6" s="1"/>
  <c r="H102" i="6" a="1"/>
  <c r="H102" i="6" s="1"/>
  <c r="H78" i="6" a="1"/>
  <c r="H78" i="6" s="1"/>
  <c r="H66" i="6" a="1"/>
  <c r="H66" i="6" s="1"/>
  <c r="H54" i="6" a="1"/>
  <c r="H54" i="6" s="1"/>
  <c r="H42" i="6" a="1"/>
  <c r="H42" i="6" s="1"/>
  <c r="H30" i="6" a="1"/>
  <c r="H30" i="6" s="1"/>
  <c r="H18" i="6" a="1"/>
  <c r="H18" i="6" s="1"/>
  <c r="H6" i="6" a="1"/>
  <c r="H6" i="6" s="1"/>
  <c r="H185" i="6" a="1"/>
  <c r="H185" i="6" s="1"/>
  <c r="H161" i="6" a="1"/>
  <c r="H161" i="6" s="1"/>
  <c r="H149" i="6" a="1"/>
  <c r="H149" i="6" s="1"/>
  <c r="H137" i="6" a="1"/>
  <c r="H137" i="6" s="1"/>
  <c r="H125" i="6" a="1"/>
  <c r="H125" i="6" s="1"/>
  <c r="H101" i="6" a="1"/>
  <c r="H101" i="6" s="1"/>
  <c r="H77" i="6" a="1"/>
  <c r="H77" i="6" s="1"/>
  <c r="H65" i="6" a="1"/>
  <c r="H65" i="6" s="1"/>
  <c r="H53" i="6" a="1"/>
  <c r="H53" i="6" s="1"/>
  <c r="H41" i="6" a="1"/>
  <c r="H41" i="6" s="1"/>
  <c r="H29" i="6" a="1"/>
  <c r="H29" i="6" s="1"/>
  <c r="H17" i="6" a="1"/>
  <c r="H17" i="6" s="1"/>
  <c r="H5" i="6" a="1"/>
  <c r="H5" i="6" s="1"/>
  <c r="H112" i="6" a="1"/>
  <c r="H112" i="6" s="1"/>
  <c r="H100" i="6" a="1"/>
  <c r="H100" i="6" s="1"/>
  <c r="H76" i="6" a="1"/>
  <c r="H76" i="6" s="1"/>
  <c r="H52" i="6" a="1"/>
  <c r="H52" i="6" s="1"/>
  <c r="H40" i="6" a="1"/>
  <c r="H40" i="6" s="1"/>
  <c r="H28" i="6" a="1"/>
  <c r="H28" i="6" s="1"/>
  <c r="H16" i="6" a="1"/>
  <c r="H16" i="6" s="1"/>
  <c r="H4" i="6" a="1"/>
  <c r="H4" i="6" s="1"/>
  <c r="H195" i="6" a="1"/>
  <c r="H195" i="6" s="1"/>
  <c r="H183" i="6" a="1"/>
  <c r="H183" i="6" s="1"/>
  <c r="H171" i="6" a="1"/>
  <c r="H171" i="6" s="1"/>
  <c r="H159" i="6" a="1"/>
  <c r="H159" i="6" s="1"/>
  <c r="H147" i="6" a="1"/>
  <c r="H147" i="6" s="1"/>
  <c r="H111" i="6" a="1"/>
  <c r="H111" i="6" s="1"/>
  <c r="H99" i="6" a="1"/>
  <c r="H99" i="6" s="1"/>
  <c r="H75" i="6" a="1"/>
  <c r="H75" i="6" s="1"/>
  <c r="H63" i="6" a="1"/>
  <c r="H63" i="6" s="1"/>
  <c r="H51" i="6" a="1"/>
  <c r="H51" i="6" s="1"/>
  <c r="H27" i="6" a="1"/>
  <c r="H27" i="6" s="1"/>
  <c r="H15" i="6" a="1"/>
  <c r="H15" i="6" s="1"/>
  <c r="H3" i="6" a="1"/>
  <c r="H3" i="6" s="1"/>
  <c r="H2" i="6" a="1"/>
  <c r="H2" i="6" s="1"/>
  <c r="I16" i="3" a="1"/>
  <c r="I16" i="3" s="1"/>
  <c r="I11" i="3" a="1"/>
  <c r="I11" i="3" s="1"/>
  <c r="I108" i="3" a="1"/>
  <c r="I108" i="3" s="1"/>
  <c r="I36" i="3" a="1"/>
  <c r="I36" i="3" s="1"/>
  <c r="I196" i="6" a="1"/>
  <c r="I196" i="6" s="1"/>
  <c r="I86" i="3" a="1"/>
  <c r="I86" i="3" s="1"/>
  <c r="F2" i="6"/>
  <c r="I98" i="6" a="1"/>
  <c r="I98" i="6" s="1"/>
  <c r="I90" i="6" a="1"/>
  <c r="I90" i="6" s="1"/>
  <c r="I64" i="6" a="1"/>
  <c r="I64" i="6" s="1"/>
  <c r="I67" i="3" a="1"/>
  <c r="I67" i="3" s="1"/>
  <c r="I115" i="6" a="1"/>
  <c r="I115" i="6" s="1"/>
  <c r="I39" i="6" a="1"/>
  <c r="I39" i="6" s="1"/>
  <c r="I108" i="6" a="1"/>
  <c r="I108" i="6" s="1"/>
  <c r="I43" i="6" a="1"/>
  <c r="I43" i="6" s="1"/>
  <c r="I94" i="6" a="1"/>
  <c r="I94" i="6" s="1"/>
  <c r="I187" i="6" a="1"/>
  <c r="I187" i="6" s="1"/>
  <c r="I129" i="6" a="1"/>
  <c r="I129" i="6" s="1"/>
  <c r="I55" i="6" a="1"/>
  <c r="I55" i="6" s="1"/>
  <c r="I104" i="6" a="1"/>
  <c r="I104" i="6" s="1"/>
  <c r="I7" i="6" a="1"/>
  <c r="I7" i="6" s="1"/>
  <c r="I132" i="3" a="1"/>
  <c r="I132" i="3" s="1"/>
  <c r="I84" i="3" a="1"/>
  <c r="I84" i="3" s="1"/>
  <c r="I85" i="6" a="1"/>
  <c r="I85" i="6" s="1"/>
  <c r="I181" i="6" a="1"/>
  <c r="I181" i="6" s="1"/>
  <c r="I178" i="6" a="1"/>
  <c r="I178" i="6" s="1"/>
  <c r="I88" i="3" a="1"/>
  <c r="I88" i="3" s="1"/>
  <c r="I79" i="6" a="1"/>
  <c r="I79" i="6" s="1"/>
  <c r="I197" i="6" a="1"/>
  <c r="I197" i="6" s="1"/>
  <c r="I43" i="3" a="1"/>
  <c r="I43" i="3" s="1"/>
  <c r="I139" i="6" a="1"/>
  <c r="I139" i="6" s="1"/>
  <c r="I19" i="3" a="1"/>
  <c r="I19" i="3" s="1"/>
  <c r="I87" i="6" a="1"/>
  <c r="I87" i="6" s="1"/>
  <c r="I60" i="6" a="1"/>
  <c r="I60" i="6" s="1"/>
  <c r="I163" i="6" a="1"/>
  <c r="I163" i="6" s="1"/>
  <c r="I169" i="6" a="1"/>
  <c r="I169" i="6" s="1"/>
  <c r="I173" i="6" a="1"/>
  <c r="I173" i="6" s="1"/>
  <c r="I31" i="6" a="1"/>
  <c r="I31" i="6" s="1"/>
  <c r="I89" i="6" a="1"/>
  <c r="I89" i="6" s="1"/>
  <c r="I136" i="6" a="1"/>
  <c r="I136" i="6" s="1"/>
  <c r="I139" i="3" a="1"/>
  <c r="I139" i="3" s="1"/>
  <c r="I113" i="6" a="1"/>
  <c r="I113" i="6" s="1"/>
  <c r="I115" i="3" a="1"/>
  <c r="I115" i="3" s="1"/>
  <c r="I148" i="6" a="1"/>
  <c r="I148" i="6" s="1"/>
  <c r="I86" i="6" a="1"/>
  <c r="I86" i="6" s="1"/>
  <c r="I117" i="6" a="1"/>
  <c r="I117" i="6" s="1"/>
  <c r="I127" i="6" a="1"/>
  <c r="I127" i="6" s="1"/>
  <c r="I88" i="6" a="1"/>
  <c r="I88" i="6" s="1"/>
  <c r="I172" i="6" a="1"/>
  <c r="I172" i="6" s="1"/>
  <c r="I124" i="6" a="1"/>
  <c r="I124" i="6" s="1"/>
  <c r="I110" i="6" a="1"/>
  <c r="I110" i="6" s="1"/>
  <c r="I157" i="6" a="1"/>
  <c r="I157" i="6" s="1"/>
  <c r="I133" i="6" a="1"/>
  <c r="I133" i="6" s="1"/>
  <c r="I145" i="6" a="1"/>
  <c r="I145" i="6" s="1"/>
  <c r="I121" i="6" a="1"/>
  <c r="I121" i="6" s="1"/>
  <c r="I19" i="6" a="1"/>
  <c r="I19" i="6" s="1"/>
  <c r="I184" i="6" a="1"/>
  <c r="I184" i="6" s="1"/>
  <c r="I175" i="6" a="1"/>
  <c r="I175" i="6" s="1"/>
  <c r="I67" i="6" a="1"/>
  <c r="I67" i="6" s="1"/>
  <c r="I151" i="6" a="1"/>
  <c r="I151" i="6" s="1"/>
  <c r="I160" i="6" a="1"/>
  <c r="I160" i="6" s="1"/>
  <c r="I134" i="6" a="1"/>
  <c r="I134" i="6" s="1"/>
  <c r="I131" i="6" a="1"/>
  <c r="I131" i="6" s="1"/>
  <c r="I135" i="6" a="1"/>
  <c r="I135" i="6" s="1"/>
  <c r="I143" i="6" a="1"/>
  <c r="I143" i="6" s="1"/>
  <c r="I120" i="6" a="1"/>
  <c r="I120" i="6" s="1"/>
  <c r="I123" i="6" a="1"/>
  <c r="I123" i="6" s="1"/>
  <c r="I132" i="6" a="1"/>
  <c r="I132" i="6" s="1"/>
  <c r="I156" i="3" a="1"/>
  <c r="I156" i="3" s="1"/>
  <c r="I18" i="3" a="1"/>
  <c r="I18" i="3" s="1"/>
  <c r="I138" i="3" a="1"/>
  <c r="I138" i="3" s="1"/>
  <c r="I60" i="3" a="1"/>
  <c r="I60" i="3" s="1"/>
  <c r="I180" i="3" a="1"/>
  <c r="I180" i="3" s="1"/>
  <c r="I107" i="3" a="1"/>
  <c r="I107" i="3" s="1"/>
  <c r="I29" i="3" a="1"/>
  <c r="I29" i="3" s="1"/>
  <c r="I22" i="3" a="1"/>
  <c r="I22" i="3" s="1"/>
  <c r="I131" i="3" a="1"/>
  <c r="I131" i="3" s="1"/>
  <c r="I59" i="3" a="1"/>
  <c r="I59" i="3" s="1"/>
  <c r="I35" i="3" a="1"/>
  <c r="I35" i="3" s="1"/>
  <c r="I179" i="3" a="1"/>
  <c r="I179" i="3" s="1"/>
  <c r="I14" i="3" a="1"/>
  <c r="I14" i="3" s="1"/>
  <c r="I155" i="3" a="1"/>
  <c r="I155" i="3" s="1"/>
  <c r="I83" i="3" a="1"/>
  <c r="I83" i="3" s="1"/>
  <c r="I21" i="3" a="1"/>
  <c r="I21" i="3" s="1"/>
  <c r="I140" i="3" a="1"/>
  <c r="I140" i="3" s="1"/>
  <c r="I90" i="3" a="1"/>
  <c r="I90" i="3" s="1"/>
  <c r="I114" i="3" a="1"/>
  <c r="I114" i="3" s="1"/>
  <c r="I66" i="3" a="1"/>
  <c r="I66" i="3" s="1"/>
  <c r="I186" i="3" a="1"/>
  <c r="I186" i="3" s="1"/>
  <c r="I45" i="3" a="1"/>
  <c r="I45" i="3" s="1"/>
  <c r="I117" i="3" a="1"/>
  <c r="I117" i="3" s="1"/>
  <c r="I162" i="3" a="1"/>
  <c r="I162" i="3" s="1"/>
  <c r="I42" i="3" a="1"/>
  <c r="I42" i="3" s="1"/>
  <c r="I149" i="3" a="1"/>
  <c r="I149" i="3" s="1"/>
  <c r="I158" i="3" a="1"/>
  <c r="I158" i="3" s="1"/>
  <c r="I89" i="3" a="1"/>
  <c r="I89" i="3" s="1"/>
  <c r="I141" i="3" a="1"/>
  <c r="I141" i="3" s="1"/>
  <c r="I17" i="3" a="1"/>
  <c r="I17" i="3" s="1"/>
  <c r="I65" i="3" a="1"/>
  <c r="I65" i="3" s="1"/>
  <c r="I134" i="3" a="1"/>
  <c r="I134" i="3" s="1"/>
  <c r="I62" i="3" a="1"/>
  <c r="I62" i="3" s="1"/>
  <c r="I136" i="3" a="1"/>
  <c r="I136" i="3" s="1"/>
  <c r="I137" i="3" a="1"/>
  <c r="I137" i="3" s="1"/>
  <c r="I64" i="3" a="1"/>
  <c r="I64" i="3" s="1"/>
  <c r="I187" i="3" a="1"/>
  <c r="I187" i="3" s="1"/>
  <c r="I118" i="3" a="1"/>
  <c r="I118" i="3" s="1"/>
  <c r="I46" i="3" a="1"/>
  <c r="I46" i="3" s="1"/>
  <c r="I185" i="3" a="1"/>
  <c r="I185" i="3" s="1"/>
  <c r="I184" i="3" a="1"/>
  <c r="I184" i="3" s="1"/>
  <c r="I112" i="3" a="1"/>
  <c r="I112" i="3" s="1"/>
  <c r="I40" i="3" a="1"/>
  <c r="I40" i="3" s="1"/>
  <c r="I182" i="3" a="1"/>
  <c r="I182" i="3" s="1"/>
  <c r="I113" i="3" a="1"/>
  <c r="I113" i="3" s="1"/>
  <c r="I41" i="3" a="1"/>
  <c r="I41" i="3" s="1"/>
  <c r="I111" i="3" a="1"/>
  <c r="I111" i="3" s="1"/>
  <c r="I38" i="3" a="1"/>
  <c r="I38" i="3" s="1"/>
  <c r="I163" i="3" a="1"/>
  <c r="I163" i="3" s="1"/>
  <c r="I110" i="3" a="1"/>
  <c r="I110" i="3" s="1"/>
  <c r="I161" i="3" a="1"/>
  <c r="I161" i="3" s="1"/>
  <c r="I160" i="3" a="1"/>
  <c r="I160" i="3" s="1"/>
  <c r="I91" i="3" a="1"/>
  <c r="I91" i="3" s="1"/>
  <c r="I24" i="3" a="1"/>
  <c r="I24" i="3" s="1"/>
  <c r="I70" i="3" a="1"/>
  <c r="I70" i="3" s="1"/>
  <c r="I69" i="3" a="1"/>
  <c r="I69" i="3" s="1"/>
  <c r="I189" i="3" a="1"/>
  <c r="I189" i="3" s="1"/>
  <c r="I166" i="3" a="1"/>
  <c r="I166" i="3" s="1"/>
  <c r="I93" i="3" a="1"/>
  <c r="I93" i="3" s="1"/>
  <c r="I26" i="3" a="1"/>
  <c r="I26" i="3" s="1"/>
  <c r="I142" i="3" a="1"/>
  <c r="I142" i="3" s="1"/>
  <c r="I25" i="3" a="1"/>
  <c r="I25" i="3" s="1"/>
  <c r="I188" i="3" a="1"/>
  <c r="I188" i="3" s="1"/>
  <c r="I68" i="3" a="1"/>
  <c r="I68" i="3" s="1"/>
  <c r="I20" i="3" a="1"/>
  <c r="I20" i="3" s="1"/>
  <c r="I116" i="3" a="1"/>
  <c r="I116" i="3" s="1"/>
  <c r="I164" i="3" a="1"/>
  <c r="I164" i="3" s="1"/>
  <c r="I44" i="3" a="1"/>
  <c r="I44" i="3" s="1"/>
  <c r="I92" i="3" a="1"/>
  <c r="I92" i="3" s="1"/>
  <c r="I73" i="3" a="1"/>
  <c r="I73" i="3" s="1"/>
  <c r="I165" i="3" a="1"/>
  <c r="I165" i="3" s="1"/>
  <c r="I74" i="3" a="1"/>
  <c r="I74" i="3" s="1"/>
  <c r="I121" i="3" a="1"/>
  <c r="I121" i="3" s="1"/>
  <c r="I169" i="3" a="1"/>
  <c r="I169" i="3" s="1"/>
  <c r="I49" i="3" a="1"/>
  <c r="I49" i="3" s="1"/>
  <c r="I97" i="3" a="1"/>
  <c r="I97" i="3" s="1"/>
  <c r="I145" i="3" a="1"/>
  <c r="I145" i="3" s="1"/>
  <c r="I193" i="3" a="1"/>
  <c r="I193" i="3" s="1"/>
  <c r="I194" i="3" a="1"/>
  <c r="I194" i="3" s="1"/>
  <c r="I192" i="3" a="1"/>
  <c r="I192" i="3" s="1"/>
  <c r="I191" i="3" a="1"/>
  <c r="I191" i="3" s="1"/>
  <c r="I146" i="3" a="1"/>
  <c r="I146" i="3" s="1"/>
  <c r="I98" i="3" a="1"/>
  <c r="I98" i="3" s="1"/>
  <c r="I50" i="3" a="1"/>
  <c r="I50" i="3" s="1"/>
  <c r="I96" i="3" a="1"/>
  <c r="I96" i="3" s="1"/>
  <c r="I95" i="3" a="1"/>
  <c r="I95" i="3" s="1"/>
  <c r="I170" i="3" a="1"/>
  <c r="I170" i="3" s="1"/>
  <c r="I168" i="3" a="1"/>
  <c r="I168" i="3" s="1"/>
  <c r="I122" i="3" a="1"/>
  <c r="I122" i="3" s="1"/>
  <c r="I144" i="3" a="1"/>
  <c r="I144" i="3" s="1"/>
  <c r="I183" i="3" a="1"/>
  <c r="I183" i="3" s="1"/>
  <c r="I63" i="3" a="1"/>
  <c r="I63" i="3" s="1"/>
  <c r="I94" i="3" a="1"/>
  <c r="I94" i="3" s="1"/>
  <c r="I53" i="3" a="1"/>
  <c r="I53" i="3" s="1"/>
  <c r="I135" i="3" a="1"/>
  <c r="I135" i="3" s="1"/>
  <c r="I15" i="3" a="1"/>
  <c r="I15" i="3" s="1"/>
  <c r="I48" i="3" a="1"/>
  <c r="I48" i="3" s="1"/>
  <c r="I87" i="3" a="1"/>
  <c r="I87" i="3" s="1"/>
  <c r="I120" i="3" a="1"/>
  <c r="I120" i="3" s="1"/>
  <c r="I197" i="3" a="1"/>
  <c r="I197" i="3" s="1"/>
  <c r="I159" i="3" a="1"/>
  <c r="I159" i="3" s="1"/>
  <c r="I39" i="3" a="1"/>
  <c r="I39" i="3" s="1"/>
  <c r="I72" i="3" a="1"/>
  <c r="I72" i="3" s="1"/>
  <c r="I190" i="3" a="1"/>
  <c r="I190" i="3" s="1"/>
  <c r="I27" i="3" a="1"/>
  <c r="I27" i="3" s="1"/>
  <c r="I195" i="3" a="1"/>
  <c r="I195" i="3" s="1"/>
  <c r="I124" i="3" a="1"/>
  <c r="I124" i="3" s="1"/>
  <c r="I123" i="3" a="1"/>
  <c r="I123" i="3" s="1"/>
  <c r="I52" i="3" a="1"/>
  <c r="I52" i="3" s="1"/>
  <c r="I51" i="3" a="1"/>
  <c r="I51" i="3" s="1"/>
  <c r="I148" i="3" a="1"/>
  <c r="I148" i="3" s="1"/>
  <c r="I147" i="3" a="1"/>
  <c r="I147" i="3" s="1"/>
  <c r="I76" i="3" a="1"/>
  <c r="I76" i="3" s="1"/>
  <c r="I75" i="3" a="1"/>
  <c r="I75" i="3" s="1"/>
  <c r="I196" i="3" a="1"/>
  <c r="I196" i="3" s="1"/>
  <c r="I172" i="3" a="1"/>
  <c r="I172" i="3" s="1"/>
  <c r="I171" i="3" a="1"/>
  <c r="I171" i="3" s="1"/>
  <c r="I100" i="3" a="1"/>
  <c r="I100" i="3" s="1"/>
  <c r="I99" i="3" a="1"/>
  <c r="I99" i="3" s="1"/>
  <c r="I28" i="3" a="1"/>
  <c r="I28" i="3" s="1"/>
  <c r="I32" i="3" a="1"/>
  <c r="I32" i="3" s="1"/>
  <c r="I125" i="3" a="1"/>
  <c r="I125" i="3" s="1"/>
  <c r="I77" i="3" a="1"/>
  <c r="I77" i="3" s="1"/>
  <c r="I173" i="3" a="1"/>
  <c r="I173" i="3" s="1"/>
  <c r="I101" i="3" a="1"/>
  <c r="I101" i="3" s="1"/>
  <c r="I152" i="3" a="1"/>
  <c r="I152" i="3" s="1"/>
  <c r="I119" i="3" a="1"/>
  <c r="I119" i="3" s="1"/>
  <c r="I23" i="3" a="1"/>
  <c r="I23" i="3" s="1"/>
  <c r="I143" i="3" a="1"/>
  <c r="I143" i="3" s="1"/>
  <c r="I47" i="3" a="1"/>
  <c r="I47" i="3" s="1"/>
  <c r="I167" i="3" a="1"/>
  <c r="I167" i="3" s="1"/>
  <c r="I71" i="3" a="1"/>
  <c r="I71" i="3" s="1"/>
  <c r="I56" i="3" a="1"/>
  <c r="I56" i="3" s="1"/>
  <c r="I176" i="3" a="1"/>
  <c r="I176" i="3" s="1"/>
  <c r="I80" i="3" a="1"/>
  <c r="I80" i="3" s="1"/>
  <c r="I2" i="3" a="1"/>
  <c r="I2" i="3" s="1"/>
  <c r="I104" i="3" a="1"/>
  <c r="I104" i="3" s="1"/>
  <c r="I8" i="3" a="1"/>
  <c r="I8" i="3" s="1"/>
  <c r="I128" i="3" a="1"/>
  <c r="I128" i="3" s="1"/>
  <c r="I181" i="3" a="1"/>
  <c r="I181" i="3" s="1"/>
  <c r="I157" i="3" a="1"/>
  <c r="I157" i="3" s="1"/>
  <c r="I133" i="3" a="1"/>
  <c r="I133" i="3" s="1"/>
  <c r="I109" i="3" a="1"/>
  <c r="I109" i="3" s="1"/>
  <c r="I85" i="3" a="1"/>
  <c r="I85" i="3" s="1"/>
  <c r="I61" i="3" a="1"/>
  <c r="I61" i="3" s="1"/>
  <c r="I37" i="3" a="1"/>
  <c r="I37" i="3" s="1"/>
  <c r="I13" i="3" a="1"/>
  <c r="I13" i="3" s="1"/>
  <c r="I12" i="3" a="1"/>
  <c r="I12" i="3" s="1"/>
  <c r="I178" i="3" a="1"/>
  <c r="I178" i="3" s="1"/>
  <c r="I154" i="3" a="1"/>
  <c r="I154" i="3" s="1"/>
  <c r="I130" i="3" a="1"/>
  <c r="I130" i="3" s="1"/>
  <c r="I106" i="3" a="1"/>
  <c r="I106" i="3" s="1"/>
  <c r="I82" i="3" a="1"/>
  <c r="I82" i="3" s="1"/>
  <c r="I58" i="3" a="1"/>
  <c r="I58" i="3" s="1"/>
  <c r="I34" i="3" a="1"/>
  <c r="I34" i="3" s="1"/>
  <c r="I10" i="3" a="1"/>
  <c r="I10" i="3" s="1"/>
  <c r="I177" i="3" a="1"/>
  <c r="I177" i="3" s="1"/>
  <c r="I153" i="3" a="1"/>
  <c r="I153" i="3" s="1"/>
  <c r="I129" i="3" a="1"/>
  <c r="I129" i="3" s="1"/>
  <c r="I105" i="3" a="1"/>
  <c r="I105" i="3" s="1"/>
  <c r="I81" i="3" a="1"/>
  <c r="I81" i="3" s="1"/>
  <c r="I57" i="3" a="1"/>
  <c r="I57" i="3" s="1"/>
  <c r="I33" i="3" a="1"/>
  <c r="I33" i="3" s="1"/>
  <c r="I9" i="3" a="1"/>
  <c r="I9" i="3" s="1"/>
  <c r="I199" i="3" a="1"/>
  <c r="I199" i="3" s="1"/>
  <c r="I175" i="3" a="1"/>
  <c r="I175" i="3" s="1"/>
  <c r="I151" i="3" a="1"/>
  <c r="I151" i="3" s="1"/>
  <c r="I127" i="3" a="1"/>
  <c r="I127" i="3" s="1"/>
  <c r="I103" i="3" a="1"/>
  <c r="I103" i="3" s="1"/>
  <c r="I79" i="3" a="1"/>
  <c r="I79" i="3" s="1"/>
  <c r="I55" i="3" a="1"/>
  <c r="I55" i="3" s="1"/>
  <c r="I31" i="3" a="1"/>
  <c r="I31" i="3" s="1"/>
  <c r="I7" i="3" a="1"/>
  <c r="I7" i="3" s="1"/>
  <c r="I198" i="3" a="1"/>
  <c r="I198" i="3" s="1"/>
  <c r="I174" i="3" a="1"/>
  <c r="I174" i="3" s="1"/>
  <c r="I150" i="3" a="1"/>
  <c r="I150" i="3" s="1"/>
  <c r="I126" i="3" a="1"/>
  <c r="I126" i="3" s="1"/>
  <c r="I102" i="3" a="1"/>
  <c r="I102" i="3" s="1"/>
  <c r="I78" i="3" a="1"/>
  <c r="I78" i="3" s="1"/>
  <c r="I54" i="3" a="1"/>
  <c r="I54" i="3" s="1"/>
  <c r="I30" i="3" a="1"/>
  <c r="I30" i="3" s="1"/>
  <c r="I6" i="3" a="1"/>
  <c r="I6" i="3" s="1"/>
  <c r="I5" i="3" a="1"/>
  <c r="I5" i="3" s="1"/>
  <c r="I4" i="3" a="1"/>
  <c r="I4" i="3" s="1"/>
  <c r="I3" i="3" a="1"/>
  <c r="I3" i="3" s="1"/>
  <c r="T48" i="2"/>
  <c r="T117" i="2"/>
  <c r="T173" i="2"/>
  <c r="T189" i="2"/>
  <c r="T186" i="2"/>
  <c r="T162" i="2"/>
  <c r="T66" i="2"/>
  <c r="T42" i="2"/>
  <c r="T35" i="2"/>
  <c r="T185" i="2"/>
  <c r="T161" i="2"/>
  <c r="T113" i="2"/>
  <c r="T23" i="2"/>
  <c r="T40" i="2"/>
  <c r="T190" i="2"/>
  <c r="T183" i="2"/>
  <c r="T93" i="2"/>
  <c r="T157" i="2"/>
  <c r="T94" i="2"/>
  <c r="T156" i="2"/>
  <c r="T142" i="2"/>
  <c r="T179" i="2"/>
  <c r="T155" i="2"/>
  <c r="T131" i="2"/>
  <c r="T107" i="2"/>
  <c r="T83" i="2"/>
  <c r="T59" i="2"/>
  <c r="D11" i="9" s="1"/>
  <c r="T166" i="2"/>
  <c r="T120" i="2"/>
  <c r="T191" i="2"/>
  <c r="T167" i="2"/>
  <c r="T143" i="2"/>
  <c r="T119" i="2"/>
  <c r="T95" i="2"/>
  <c r="T71" i="2"/>
  <c r="T47" i="2"/>
  <c r="T187" i="2"/>
  <c r="T129" i="2"/>
  <c r="T200" i="2"/>
  <c r="T152" i="2"/>
  <c r="T128" i="2"/>
  <c r="T56" i="2"/>
  <c r="D8" i="9" s="1"/>
  <c r="T15" i="2"/>
  <c r="AB135" i="3"/>
  <c r="AB13" i="3"/>
  <c r="AB159" i="3"/>
  <c r="AB158" i="3"/>
  <c r="AB87" i="3"/>
  <c r="AB176" i="3"/>
  <c r="AB156" i="3"/>
  <c r="AB86" i="3"/>
  <c r="AB132" i="3"/>
  <c r="AB104" i="3"/>
  <c r="AB134" i="3"/>
  <c r="AB88" i="3"/>
  <c r="AB184" i="3"/>
  <c r="AB14" i="3"/>
  <c r="AB85" i="3"/>
  <c r="AB164" i="3"/>
  <c r="AB3" i="3"/>
  <c r="F2" i="3"/>
  <c r="B10" i="3" a="1"/>
  <c r="E189" i="3" l="1"/>
  <c r="E188" i="3"/>
  <c r="E151" i="3"/>
  <c r="D2" i="9"/>
  <c r="E189" i="6"/>
  <c r="E142" i="3"/>
  <c r="E190" i="6"/>
  <c r="E190" i="3"/>
  <c r="E165" i="3"/>
  <c r="E151" i="6"/>
  <c r="E166" i="3"/>
  <c r="E178" i="3"/>
  <c r="E154" i="3"/>
  <c r="E142" i="6"/>
  <c r="E188" i="6"/>
  <c r="E166" i="6"/>
  <c r="E178" i="6"/>
  <c r="E165" i="6"/>
  <c r="E186" i="6"/>
  <c r="E186" i="3"/>
  <c r="E154" i="6"/>
  <c r="E161" i="6"/>
  <c r="E161" i="3"/>
  <c r="E185" i="6"/>
  <c r="E185" i="3"/>
  <c r="E130" i="3"/>
  <c r="E130" i="6"/>
  <c r="D9" i="6"/>
  <c r="D9" i="3"/>
  <c r="E16" i="6"/>
  <c r="E16" i="3"/>
  <c r="D7" i="6"/>
  <c r="D7" i="3"/>
  <c r="D5" i="6"/>
  <c r="D5" i="3"/>
  <c r="D11" i="3"/>
  <c r="D11" i="6"/>
  <c r="E10" i="3"/>
  <c r="E10" i="6"/>
  <c r="E40" i="3"/>
  <c r="E40" i="6"/>
  <c r="D8" i="3"/>
  <c r="D8" i="6"/>
  <c r="E22" i="3"/>
  <c r="E22" i="6"/>
  <c r="E64" i="6"/>
  <c r="E64" i="3"/>
  <c r="E34" i="3"/>
  <c r="E34" i="6"/>
  <c r="E88" i="3"/>
  <c r="E88" i="6"/>
  <c r="E46" i="3"/>
  <c r="E46" i="6"/>
  <c r="E112" i="3"/>
  <c r="E112" i="6"/>
  <c r="E58" i="3"/>
  <c r="E58" i="6"/>
  <c r="E136" i="6"/>
  <c r="E136" i="3"/>
  <c r="D3" i="3"/>
  <c r="D3" i="6"/>
  <c r="D6" i="6"/>
  <c r="D6" i="3"/>
  <c r="E70" i="3"/>
  <c r="E70" i="6"/>
  <c r="E160" i="3"/>
  <c r="E160" i="6"/>
  <c r="D12" i="6"/>
  <c r="D12" i="3"/>
  <c r="E82" i="3"/>
  <c r="E82" i="6"/>
  <c r="E184" i="3"/>
  <c r="E184" i="6"/>
  <c r="E94" i="3"/>
  <c r="E94" i="6"/>
  <c r="D4" i="6"/>
  <c r="D4" i="3"/>
  <c r="E106" i="3"/>
  <c r="E106" i="6"/>
  <c r="E118" i="3"/>
  <c r="E118" i="6"/>
  <c r="D2" i="3"/>
  <c r="D2" i="6"/>
  <c r="D152" i="3"/>
  <c r="D152" i="6"/>
  <c r="D119" i="3"/>
  <c r="D119" i="6"/>
  <c r="D49" i="3"/>
  <c r="D49" i="6"/>
  <c r="D84" i="3"/>
  <c r="D84" i="6"/>
  <c r="D134" i="3"/>
  <c r="D134" i="6"/>
  <c r="D88" i="3"/>
  <c r="D88" i="6"/>
  <c r="D25" i="3"/>
  <c r="D25" i="6"/>
  <c r="D14" i="3"/>
  <c r="D14" i="6"/>
  <c r="D132" i="3"/>
  <c r="D132" i="6"/>
  <c r="D42" i="3"/>
  <c r="D42" i="6"/>
  <c r="D143" i="3"/>
  <c r="D143" i="6"/>
  <c r="D81" i="3"/>
  <c r="D81" i="6"/>
  <c r="D191" i="3"/>
  <c r="D191" i="6"/>
  <c r="D106" i="3"/>
  <c r="D106" i="6"/>
  <c r="D156" i="3"/>
  <c r="D156" i="6"/>
  <c r="D32" i="3"/>
  <c r="D32" i="6"/>
  <c r="D160" i="3"/>
  <c r="D160" i="6"/>
  <c r="D36" i="3"/>
  <c r="D36" i="6"/>
  <c r="D112" i="3"/>
  <c r="D112" i="6"/>
  <c r="D130" i="3"/>
  <c r="D130" i="6"/>
  <c r="D180" i="3"/>
  <c r="D180" i="6"/>
  <c r="D44" i="3"/>
  <c r="D44" i="6"/>
  <c r="D184" i="3"/>
  <c r="D184" i="6"/>
  <c r="D43" i="3"/>
  <c r="D43" i="6"/>
  <c r="D72" i="3"/>
  <c r="D72" i="6"/>
  <c r="D154" i="3"/>
  <c r="D154" i="6"/>
  <c r="D30" i="3"/>
  <c r="D30" i="6"/>
  <c r="D189" i="3"/>
  <c r="D189" i="6"/>
  <c r="D34" i="3"/>
  <c r="D34" i="6"/>
  <c r="D67" i="3"/>
  <c r="D67" i="6"/>
  <c r="D53" i="3"/>
  <c r="D53" i="6"/>
  <c r="D153" i="3"/>
  <c r="D153" i="6"/>
  <c r="D96" i="3"/>
  <c r="D96" i="6"/>
  <c r="D178" i="3"/>
  <c r="D178" i="6"/>
  <c r="D140" i="3"/>
  <c r="D140" i="6"/>
  <c r="D18" i="3"/>
  <c r="D18" i="6"/>
  <c r="D117" i="3"/>
  <c r="D117" i="6"/>
  <c r="D91" i="3"/>
  <c r="D91" i="6"/>
  <c r="D78" i="3"/>
  <c r="D78" i="6"/>
  <c r="D177" i="3"/>
  <c r="D177" i="6"/>
  <c r="D120" i="3"/>
  <c r="D120" i="6"/>
  <c r="D28" i="3"/>
  <c r="D28" i="6"/>
  <c r="D61" i="3"/>
  <c r="D61" i="6"/>
  <c r="D51" i="3"/>
  <c r="D51" i="6"/>
  <c r="D124" i="3"/>
  <c r="D124" i="6"/>
  <c r="D115" i="3"/>
  <c r="D115" i="6"/>
  <c r="D136" i="3"/>
  <c r="D136" i="6"/>
  <c r="D144" i="3"/>
  <c r="D144" i="6"/>
  <c r="D85" i="3"/>
  <c r="D85" i="6"/>
  <c r="D148" i="3"/>
  <c r="D148" i="6"/>
  <c r="D41" i="3"/>
  <c r="D41" i="6"/>
  <c r="D139" i="3"/>
  <c r="D139" i="6"/>
  <c r="D39" i="3"/>
  <c r="D39" i="6"/>
  <c r="D65" i="3"/>
  <c r="D65" i="6"/>
  <c r="D163" i="3"/>
  <c r="D163" i="6"/>
  <c r="D89" i="3"/>
  <c r="D89" i="6"/>
  <c r="D187" i="3"/>
  <c r="D187" i="6"/>
  <c r="D58" i="3"/>
  <c r="D58" i="6"/>
  <c r="D167" i="3"/>
  <c r="D167" i="6"/>
  <c r="D54" i="3"/>
  <c r="D54" i="6"/>
  <c r="D126" i="3"/>
  <c r="D126" i="6"/>
  <c r="D138" i="3"/>
  <c r="D138" i="6"/>
  <c r="D76" i="3"/>
  <c r="D76" i="6"/>
  <c r="D157" i="3"/>
  <c r="D157" i="6"/>
  <c r="D87" i="3"/>
  <c r="D87" i="6"/>
  <c r="D113" i="3"/>
  <c r="D113" i="6"/>
  <c r="D37" i="3"/>
  <c r="D37" i="6"/>
  <c r="D170" i="3"/>
  <c r="D170" i="6"/>
  <c r="D168" i="3"/>
  <c r="D168" i="6"/>
  <c r="D146" i="3"/>
  <c r="D146" i="6"/>
  <c r="D198" i="3"/>
  <c r="D198" i="6"/>
  <c r="D162" i="3"/>
  <c r="D162" i="6"/>
  <c r="D73" i="3"/>
  <c r="D73" i="6"/>
  <c r="D59" i="3"/>
  <c r="D59" i="6"/>
  <c r="D181" i="3"/>
  <c r="D181" i="6"/>
  <c r="D111" i="3"/>
  <c r="D111" i="6"/>
  <c r="D137" i="3"/>
  <c r="D137" i="6"/>
  <c r="D116" i="3"/>
  <c r="D116" i="6"/>
  <c r="D13" i="3"/>
  <c r="D13" i="6"/>
  <c r="D82" i="3"/>
  <c r="D82" i="6"/>
  <c r="D90" i="3"/>
  <c r="D90" i="6"/>
  <c r="D186" i="3"/>
  <c r="D186" i="6"/>
  <c r="D31" i="3"/>
  <c r="D31" i="6"/>
  <c r="D135" i="3"/>
  <c r="D135" i="6"/>
  <c r="D161" i="3"/>
  <c r="D161" i="6"/>
  <c r="D45" i="3"/>
  <c r="D45" i="6"/>
  <c r="D158" i="3"/>
  <c r="D158" i="6"/>
  <c r="D57" i="3"/>
  <c r="D57" i="6"/>
  <c r="D63" i="3"/>
  <c r="D63" i="6"/>
  <c r="D55" i="3"/>
  <c r="D55" i="6"/>
  <c r="D79" i="3"/>
  <c r="D79" i="6"/>
  <c r="D46" i="3"/>
  <c r="D46" i="6"/>
  <c r="D121" i="3"/>
  <c r="D121" i="6"/>
  <c r="D107" i="3"/>
  <c r="D107" i="6"/>
  <c r="D92" i="3"/>
  <c r="D92" i="6"/>
  <c r="D159" i="3"/>
  <c r="D159" i="6"/>
  <c r="D185" i="3"/>
  <c r="D185" i="6"/>
  <c r="D47" i="3"/>
  <c r="D47" i="6"/>
  <c r="D129" i="3"/>
  <c r="D129" i="6"/>
  <c r="D114" i="3"/>
  <c r="D114" i="6"/>
  <c r="D83" i="3"/>
  <c r="D83" i="6"/>
  <c r="D145" i="3"/>
  <c r="D145" i="6"/>
  <c r="D69" i="3"/>
  <c r="D69" i="6"/>
  <c r="D35" i="3"/>
  <c r="D35" i="6"/>
  <c r="D123" i="3"/>
  <c r="D123" i="6"/>
  <c r="D77" i="3"/>
  <c r="D77" i="6"/>
  <c r="D102" i="3"/>
  <c r="D102" i="6"/>
  <c r="D192" i="3"/>
  <c r="D192" i="6"/>
  <c r="D97" i="3"/>
  <c r="D97" i="6"/>
  <c r="D103" i="3"/>
  <c r="D103" i="6"/>
  <c r="D70" i="3"/>
  <c r="D70" i="6"/>
  <c r="D131" i="3"/>
  <c r="D131" i="6"/>
  <c r="D183" i="3"/>
  <c r="D183" i="6"/>
  <c r="D127" i="3"/>
  <c r="D127" i="6"/>
  <c r="D94" i="3"/>
  <c r="D94" i="6"/>
  <c r="D169" i="3"/>
  <c r="D169" i="6"/>
  <c r="D155" i="3"/>
  <c r="D155" i="6"/>
  <c r="D50" i="3"/>
  <c r="D50" i="6"/>
  <c r="D33" i="3"/>
  <c r="D33" i="6"/>
  <c r="D188" i="3"/>
  <c r="D188" i="6"/>
  <c r="D149" i="3"/>
  <c r="D149" i="6"/>
  <c r="D101" i="3"/>
  <c r="D101" i="6"/>
  <c r="D193" i="3"/>
  <c r="D193" i="6"/>
  <c r="D179" i="3"/>
  <c r="D179" i="6"/>
  <c r="D21" i="3"/>
  <c r="D21" i="6"/>
  <c r="D68" i="3"/>
  <c r="D68" i="6"/>
  <c r="D48" i="3"/>
  <c r="D48" i="6"/>
  <c r="D108" i="3"/>
  <c r="D108" i="6"/>
  <c r="D109" i="3"/>
  <c r="D109" i="6"/>
  <c r="D20" i="3"/>
  <c r="D20" i="6"/>
  <c r="D164" i="3"/>
  <c r="D164" i="6"/>
  <c r="D174" i="3"/>
  <c r="D174" i="6"/>
  <c r="D19" i="3"/>
  <c r="D19" i="6"/>
  <c r="D199" i="3"/>
  <c r="D199" i="6"/>
  <c r="D194" i="3"/>
  <c r="D194" i="6"/>
  <c r="D173" i="3"/>
  <c r="D173" i="6"/>
  <c r="D74" i="3"/>
  <c r="D74" i="6"/>
  <c r="D176" i="3"/>
  <c r="D176" i="6"/>
  <c r="D182" i="3"/>
  <c r="D182" i="6"/>
  <c r="D171" i="3"/>
  <c r="D171" i="6"/>
  <c r="D166" i="3"/>
  <c r="D166" i="6"/>
  <c r="D93" i="3"/>
  <c r="D93" i="6"/>
  <c r="D99" i="3"/>
  <c r="D99" i="6"/>
  <c r="D56" i="3"/>
  <c r="D56" i="6"/>
  <c r="D190" i="3"/>
  <c r="D190" i="6"/>
  <c r="D27" i="3"/>
  <c r="D27" i="6"/>
  <c r="D147" i="3"/>
  <c r="D147" i="6"/>
  <c r="D38" i="3"/>
  <c r="D38" i="6"/>
  <c r="D22" i="3"/>
  <c r="D22" i="6"/>
  <c r="D75" i="3"/>
  <c r="D75" i="6"/>
  <c r="R12" i="6"/>
  <c r="Q12" i="6" a="1"/>
  <c r="Q12" i="6" s="1"/>
  <c r="C12" i="6"/>
  <c r="D26" i="3"/>
  <c r="D26" i="6"/>
  <c r="D16" i="3"/>
  <c r="D16" i="6"/>
  <c r="D66" i="3"/>
  <c r="D66" i="6"/>
  <c r="D150" i="3"/>
  <c r="D150" i="6"/>
  <c r="D118" i="3"/>
  <c r="D118" i="6"/>
  <c r="D175" i="3"/>
  <c r="D175" i="6"/>
  <c r="D122" i="3"/>
  <c r="D122" i="6"/>
  <c r="D100" i="3"/>
  <c r="D100" i="6"/>
  <c r="D62" i="3"/>
  <c r="D62" i="6"/>
  <c r="D197" i="3"/>
  <c r="D197" i="6"/>
  <c r="D172" i="3"/>
  <c r="D172" i="6"/>
  <c r="C4" i="6"/>
  <c r="R4" i="6"/>
  <c r="Q4" i="6" a="1"/>
  <c r="Q4" i="6" s="1"/>
  <c r="D133" i="3"/>
  <c r="D133" i="6"/>
  <c r="D98" i="3"/>
  <c r="D98" i="6"/>
  <c r="D29" i="3"/>
  <c r="D29" i="6"/>
  <c r="D71" i="3"/>
  <c r="D71" i="6"/>
  <c r="D23" i="3"/>
  <c r="D23" i="6"/>
  <c r="D40" i="3"/>
  <c r="D40" i="6"/>
  <c r="D125" i="3"/>
  <c r="D125" i="6"/>
  <c r="C8" i="6"/>
  <c r="R8" i="6"/>
  <c r="Q8" i="6" a="1"/>
  <c r="Q8" i="6" s="1"/>
  <c r="D105" i="3"/>
  <c r="D105" i="6"/>
  <c r="D141" i="3"/>
  <c r="D141" i="6"/>
  <c r="D151" i="3"/>
  <c r="D151" i="6"/>
  <c r="D142" i="3"/>
  <c r="D142" i="6"/>
  <c r="D52" i="3"/>
  <c r="D52" i="6"/>
  <c r="D80" i="3"/>
  <c r="D80" i="6"/>
  <c r="D165" i="3"/>
  <c r="D165" i="6"/>
  <c r="D17" i="3"/>
  <c r="D17" i="6"/>
  <c r="D104" i="3"/>
  <c r="D104" i="6"/>
  <c r="D195" i="3"/>
  <c r="D195" i="6"/>
  <c r="D86" i="3"/>
  <c r="D86" i="6"/>
  <c r="D15" i="3"/>
  <c r="D15" i="6"/>
  <c r="D128" i="3"/>
  <c r="D128" i="6"/>
  <c r="D95" i="3"/>
  <c r="D95" i="6"/>
  <c r="D196" i="3"/>
  <c r="D196" i="6"/>
  <c r="D60" i="3"/>
  <c r="D60" i="6"/>
  <c r="D110" i="3"/>
  <c r="D110" i="6"/>
  <c r="D64" i="3"/>
  <c r="D64" i="6"/>
  <c r="D24" i="3"/>
  <c r="D24" i="6"/>
  <c r="C5" i="6"/>
  <c r="R5" i="6"/>
  <c r="Q5" i="6" a="1"/>
  <c r="Q5" i="6" s="1"/>
  <c r="B10" i="3"/>
  <c r="C10" i="3" s="1"/>
  <c r="W2" i="2"/>
  <c r="B196" i="3" a="1"/>
  <c r="B138" i="3" a="1"/>
  <c r="B148" i="3" a="1"/>
  <c r="B60" i="3" a="1"/>
  <c r="B90" i="3" a="1"/>
  <c r="B133" i="3" a="1"/>
  <c r="B131" i="3" a="1"/>
  <c r="B194" i="3" a="1"/>
  <c r="B48" i="3" a="1"/>
  <c r="B8" i="3" a="1"/>
  <c r="B162" i="3" a="1"/>
  <c r="B82" i="3" a="1"/>
  <c r="B47" i="3" a="1"/>
  <c r="B6" i="3" a="1"/>
  <c r="B121" i="3" a="1"/>
  <c r="B169" i="3" a="1"/>
  <c r="B59" i="3" a="1"/>
  <c r="B21" i="3" a="1"/>
  <c r="B141" i="3" a="1"/>
  <c r="B142" i="3" a="1"/>
  <c r="B103" i="3" a="1"/>
  <c r="B123" i="3" a="1"/>
  <c r="B166" i="3" a="1"/>
  <c r="B188" i="3" a="1"/>
  <c r="B107" i="3" a="1"/>
  <c r="B92" i="3" a="1"/>
  <c r="B52" i="3" a="1"/>
  <c r="B12" i="3" a="1"/>
  <c r="B132" i="3" a="1"/>
  <c r="B180" i="3" a="1"/>
  <c r="B96" i="3" a="1"/>
  <c r="B124" i="3" a="1"/>
  <c r="B187" i="3" a="1"/>
  <c r="B168" i="3" a="1"/>
  <c r="B155" i="3" a="1"/>
  <c r="B109" i="3" a="1"/>
  <c r="B153" i="3" a="1"/>
  <c r="B35" i="3" a="1"/>
  <c r="B16" i="3" a="1"/>
  <c r="B110" i="3" a="1"/>
  <c r="B154" i="3" a="1"/>
  <c r="B2" i="3" a="1"/>
  <c r="B7" i="3" a="1"/>
  <c r="B56" i="3" a="1"/>
  <c r="B29" i="3" a="1"/>
  <c r="B170" i="3" a="1"/>
  <c r="B147" i="3" a="1"/>
  <c r="B179" i="3" a="1"/>
  <c r="B58" i="3" a="1"/>
  <c r="B80" i="3" a="1"/>
  <c r="B64" i="3" a="1"/>
  <c r="B159" i="3" a="1"/>
  <c r="B26" i="3" a="1"/>
  <c r="B192" i="3" a="1"/>
  <c r="B164" i="3" a="1"/>
  <c r="B91" i="3" a="1"/>
  <c r="B125" i="3" a="1"/>
  <c r="B143" i="3" a="1"/>
  <c r="B184" i="3" a="1"/>
  <c r="B140" i="3" a="1"/>
  <c r="B136" i="3" a="1"/>
  <c r="B167" i="3" a="1"/>
  <c r="B198" i="3" a="1"/>
  <c r="B31" i="3" a="1"/>
  <c r="B102" i="3" a="1"/>
  <c r="B33" i="3" a="1"/>
  <c r="B99" i="3" a="1"/>
  <c r="B42" i="3" a="1"/>
  <c r="B199" i="3" a="1"/>
  <c r="B46" i="3" a="1"/>
  <c r="B95" i="3" a="1"/>
  <c r="B150" i="3" a="1"/>
  <c r="B165" i="3" a="1"/>
  <c r="B24" i="3" a="1"/>
  <c r="B130" i="3" a="1"/>
  <c r="B27" i="3" a="1"/>
  <c r="B93" i="3" a="1"/>
  <c r="B146" i="3" a="1"/>
  <c r="B20" i="3" a="1"/>
  <c r="B19" i="3" a="1"/>
  <c r="B22" i="3" a="1"/>
  <c r="B115" i="3" a="1"/>
  <c r="B111" i="3" a="1"/>
  <c r="B190" i="3" a="1"/>
  <c r="B18" i="3" a="1"/>
  <c r="B118" i="3" a="1"/>
  <c r="B17" i="3" a="1"/>
  <c r="B108" i="3" a="1"/>
  <c r="B66" i="3" a="1"/>
  <c r="B178" i="3" a="1"/>
  <c r="B97" i="3" a="1"/>
  <c r="B186" i="3" a="1"/>
  <c r="B101" i="3" a="1"/>
  <c r="B5" i="3" a="1"/>
  <c r="B11" i="3" a="1"/>
  <c r="B3" i="3" a="1"/>
  <c r="B152" i="3" a="1"/>
  <c r="B191" i="3" a="1"/>
  <c r="B72" i="3" a="1"/>
  <c r="B117" i="3" a="1"/>
  <c r="B85" i="3" a="1"/>
  <c r="B126" i="3" a="1"/>
  <c r="B73" i="3" a="1"/>
  <c r="B161" i="3" a="1"/>
  <c r="B185" i="3" a="1"/>
  <c r="B149" i="3" a="1"/>
  <c r="B23" i="3" a="1"/>
  <c r="B104" i="3" a="1"/>
  <c r="B106" i="3" a="1"/>
  <c r="B151" i="3" a="1"/>
  <c r="B77" i="3" a="1"/>
  <c r="B135" i="3" a="1"/>
  <c r="B119" i="3" a="1"/>
  <c r="B78" i="3" a="1"/>
  <c r="B98" i="3" a="1"/>
  <c r="B114" i="3" a="1"/>
  <c r="B89" i="3" a="1"/>
  <c r="B43" i="3" a="1"/>
  <c r="B71" i="3" a="1"/>
  <c r="B32" i="3" a="1"/>
  <c r="B122" i="3" a="1"/>
  <c r="B195" i="3" a="1"/>
  <c r="B49" i="3" a="1"/>
  <c r="B156" i="3" a="1"/>
  <c r="B30" i="3" a="1"/>
  <c r="B41" i="3" a="1"/>
  <c r="B76" i="3" a="1"/>
  <c r="B181" i="3" a="1"/>
  <c r="B158" i="3" a="1"/>
  <c r="B129" i="3" a="1"/>
  <c r="B70" i="3" a="1"/>
  <c r="B193" i="3" a="1"/>
  <c r="B75" i="3" a="1"/>
  <c r="B38" i="3" a="1"/>
  <c r="B182" i="3" a="1"/>
  <c r="B100" i="3" a="1"/>
  <c r="B86" i="3" a="1"/>
  <c r="B9" i="3" a="1"/>
  <c r="B171" i="3" a="1"/>
  <c r="B81" i="3" a="1"/>
  <c r="B84" i="3" a="1"/>
  <c r="B57" i="3" a="1"/>
  <c r="B139" i="3" a="1"/>
  <c r="B45" i="3" a="1"/>
  <c r="B189" i="3" a="1"/>
  <c r="B44" i="3" a="1"/>
  <c r="B174" i="3" a="1"/>
  <c r="B51" i="3" a="1"/>
  <c r="B177" i="3" a="1"/>
  <c r="B40" i="3" a="1"/>
  <c r="B172" i="3" a="1"/>
  <c r="B62" i="3" a="1"/>
  <c r="B15" i="3" a="1"/>
  <c r="B144" i="3" a="1"/>
  <c r="B175" i="3" a="1"/>
  <c r="B134" i="3" a="1"/>
  <c r="B160" i="3" a="1"/>
  <c r="B34" i="3" a="1"/>
  <c r="B120" i="3" a="1"/>
  <c r="B39" i="3" a="1"/>
  <c r="B87" i="3" a="1"/>
  <c r="B137" i="3" a="1"/>
  <c r="B63" i="3" a="1"/>
  <c r="B83" i="3" a="1"/>
  <c r="B183" i="3" a="1"/>
  <c r="B74" i="3" a="1"/>
  <c r="B157" i="3" a="1"/>
  <c r="B197" i="3" a="1"/>
  <c r="B105" i="3" a="1"/>
  <c r="B128" i="3" a="1"/>
  <c r="B14" i="3" a="1"/>
  <c r="B4" i="3" a="1"/>
  <c r="B88" i="3" a="1"/>
  <c r="B36" i="3" a="1"/>
  <c r="B67" i="3" a="1"/>
  <c r="B28" i="3" a="1"/>
  <c r="B65" i="3" a="1"/>
  <c r="B113" i="3" a="1"/>
  <c r="B116" i="3" a="1"/>
  <c r="B55" i="3" a="1"/>
  <c r="B145" i="3" a="1"/>
  <c r="B127" i="3" a="1"/>
  <c r="B68" i="3" a="1"/>
  <c r="B176" i="3" a="1"/>
  <c r="B54" i="3" a="1"/>
  <c r="B25" i="3" a="1"/>
  <c r="B112" i="3" a="1"/>
  <c r="B53" i="3" a="1"/>
  <c r="B61" i="3" a="1"/>
  <c r="B163" i="3" a="1"/>
  <c r="B37" i="3" a="1"/>
  <c r="B13" i="3" a="1"/>
  <c r="B79" i="3" a="1"/>
  <c r="B69" i="3" a="1"/>
  <c r="B94" i="3" a="1"/>
  <c r="B50" i="3" a="1"/>
  <c r="B173" i="3" a="1"/>
  <c r="B12" i="3" l="1"/>
  <c r="C12" i="3" s="1"/>
  <c r="B8" i="3"/>
  <c r="C8" i="3" s="1"/>
  <c r="B6" i="3"/>
  <c r="C6" i="3" s="1"/>
  <c r="B3" i="3"/>
  <c r="C3" i="3" s="1"/>
  <c r="B11" i="3"/>
  <c r="B5" i="3"/>
  <c r="C5" i="3" s="1"/>
  <c r="B7" i="3"/>
  <c r="Q7" i="3" s="1" a="1"/>
  <c r="Q7" i="3" s="1"/>
  <c r="B4" i="3"/>
  <c r="C4" i="3" s="1"/>
  <c r="B9" i="3"/>
  <c r="C9" i="3" s="1"/>
  <c r="B2" i="3"/>
  <c r="R2" i="3" s="1"/>
  <c r="Q10" i="3" a="1"/>
  <c r="Q10" i="3" s="1"/>
  <c r="R10" i="3"/>
  <c r="B133" i="3"/>
  <c r="C133" i="3" s="1"/>
  <c r="B166" i="3"/>
  <c r="R166" i="3" s="1"/>
  <c r="B109" i="3"/>
  <c r="C109" i="3" s="1"/>
  <c r="B155" i="3"/>
  <c r="C155" i="3" s="1"/>
  <c r="B123" i="3"/>
  <c r="C123" i="3" s="1"/>
  <c r="B90" i="3"/>
  <c r="R90" i="3" s="1"/>
  <c r="B168" i="3"/>
  <c r="C168" i="3" s="1"/>
  <c r="B124" i="3"/>
  <c r="C124" i="3" s="1"/>
  <c r="B96" i="3"/>
  <c r="R96" i="3" s="1"/>
  <c r="B180" i="3"/>
  <c r="C180" i="3" s="1"/>
  <c r="B132" i="3"/>
  <c r="R132" i="3" s="1"/>
  <c r="B171" i="3"/>
  <c r="C171" i="3" s="1"/>
  <c r="B108" i="3"/>
  <c r="C108" i="3" s="1"/>
  <c r="B35" i="3"/>
  <c r="C35" i="3" s="1"/>
  <c r="B46" i="3"/>
  <c r="C46" i="3" s="1"/>
  <c r="B82" i="3"/>
  <c r="C82" i="3" s="1"/>
  <c r="B170" i="3"/>
  <c r="C170" i="3" s="1"/>
  <c r="B89" i="3"/>
  <c r="C89" i="3" s="1"/>
  <c r="B51" i="3"/>
  <c r="R51" i="3" s="1"/>
  <c r="B153" i="3"/>
  <c r="R153" i="3" s="1"/>
  <c r="B130" i="3"/>
  <c r="C130" i="3" s="1"/>
  <c r="B14" i="3"/>
  <c r="C14" i="3" s="1"/>
  <c r="B182" i="3"/>
  <c r="Q182" i="3" s="1" a="1"/>
  <c r="Q182" i="3" s="1"/>
  <c r="B48" i="3"/>
  <c r="C48" i="3" s="1"/>
  <c r="B69" i="3"/>
  <c r="Q69" i="3" s="1" a="1"/>
  <c r="Q69" i="3" s="1"/>
  <c r="B163" i="3"/>
  <c r="C163" i="3" s="1"/>
  <c r="B53" i="3"/>
  <c r="C53" i="3" s="1"/>
  <c r="B112" i="3"/>
  <c r="C112" i="3" s="1"/>
  <c r="B25" i="3"/>
  <c r="C25" i="3" s="1"/>
  <c r="B95" i="3"/>
  <c r="C95" i="3" s="1"/>
  <c r="B141" i="3"/>
  <c r="C141" i="3" s="1"/>
  <c r="B172" i="3"/>
  <c r="R172" i="3" s="1"/>
  <c r="B142" i="3"/>
  <c r="C142" i="3" s="1"/>
  <c r="B75" i="3"/>
  <c r="R75" i="3" s="1"/>
  <c r="B176" i="3"/>
  <c r="C176" i="3" s="1"/>
  <c r="B68" i="3"/>
  <c r="R68" i="3" s="1"/>
  <c r="B145" i="3"/>
  <c r="C145" i="3" s="1"/>
  <c r="B116" i="3"/>
  <c r="C116" i="3" s="1"/>
  <c r="B113" i="3"/>
  <c r="R113" i="3" s="1"/>
  <c r="B67" i="3"/>
  <c r="C67" i="3" s="1"/>
  <c r="B36" i="3"/>
  <c r="C36" i="3" s="1"/>
  <c r="B88" i="3"/>
  <c r="C88" i="3" s="1"/>
  <c r="B197" i="3"/>
  <c r="R197" i="3" s="1"/>
  <c r="B128" i="3"/>
  <c r="R128" i="3" s="1"/>
  <c r="B22" i="3"/>
  <c r="R22" i="3" s="1"/>
  <c r="B21" i="3"/>
  <c r="Q21" i="3" s="1" a="1"/>
  <c r="Q21" i="3" s="1"/>
  <c r="B183" i="3"/>
  <c r="C183" i="3" s="1"/>
  <c r="B83" i="3"/>
  <c r="C83" i="3" s="1"/>
  <c r="B63" i="3"/>
  <c r="R63" i="3" s="1"/>
  <c r="B137" i="3"/>
  <c r="R137" i="3" s="1"/>
  <c r="B39" i="3"/>
  <c r="C39" i="3" s="1"/>
  <c r="B120" i="3"/>
  <c r="C120" i="3" s="1"/>
  <c r="B34" i="3"/>
  <c r="C34" i="3" s="1"/>
  <c r="B160" i="3"/>
  <c r="C160" i="3" s="1"/>
  <c r="B134" i="3"/>
  <c r="Q134" i="3" s="1" a="1"/>
  <c r="Q134" i="3" s="1"/>
  <c r="B62" i="3"/>
  <c r="C62" i="3" s="1"/>
  <c r="B196" i="3"/>
  <c r="C196" i="3" s="1"/>
  <c r="B173" i="3"/>
  <c r="C173" i="3" s="1"/>
  <c r="B179" i="3"/>
  <c r="R179" i="3" s="1"/>
  <c r="B131" i="3"/>
  <c r="R131" i="3" s="1"/>
  <c r="B114" i="3"/>
  <c r="Q114" i="3" s="1" a="1"/>
  <c r="Q114" i="3" s="1"/>
  <c r="B111" i="3"/>
  <c r="R111" i="3" s="1"/>
  <c r="B157" i="3"/>
  <c r="C157" i="3" s="1"/>
  <c r="B139" i="3"/>
  <c r="C139" i="3" s="1"/>
  <c r="B177" i="3"/>
  <c r="R177" i="3" s="1"/>
  <c r="B189" i="3"/>
  <c r="C189" i="3" s="1"/>
  <c r="B84" i="3"/>
  <c r="C84" i="3" s="1"/>
  <c r="B86" i="3"/>
  <c r="R86" i="3" s="1"/>
  <c r="B100" i="3"/>
  <c r="C100" i="3" s="1"/>
  <c r="B26" i="3"/>
  <c r="C26" i="3" s="1"/>
  <c r="B125" i="3"/>
  <c r="C125" i="3" s="1"/>
  <c r="B147" i="3"/>
  <c r="C147" i="3" s="1"/>
  <c r="B194" i="3"/>
  <c r="B193" i="3"/>
  <c r="R193" i="3" s="1"/>
  <c r="B70" i="3"/>
  <c r="C70" i="3" s="1"/>
  <c r="B129" i="3"/>
  <c r="Q129" i="3" s="1" a="1"/>
  <c r="Q129" i="3" s="1"/>
  <c r="B181" i="3"/>
  <c r="C181" i="3" s="1"/>
  <c r="B76" i="3"/>
  <c r="C76" i="3" s="1"/>
  <c r="B41" i="3"/>
  <c r="C41" i="3" s="1"/>
  <c r="B78" i="3"/>
  <c r="C78" i="3" s="1"/>
  <c r="B30" i="3"/>
  <c r="C30" i="3" s="1"/>
  <c r="B156" i="3"/>
  <c r="C156" i="3" s="1"/>
  <c r="B49" i="3"/>
  <c r="C49" i="3" s="1"/>
  <c r="B122" i="3"/>
  <c r="C122" i="3" s="1"/>
  <c r="B195" i="3"/>
  <c r="C195" i="3" s="1"/>
  <c r="B40" i="3"/>
  <c r="C40" i="3" s="1"/>
  <c r="B27" i="3"/>
  <c r="R27" i="3" s="1"/>
  <c r="B199" i="3"/>
  <c r="B101" i="3"/>
  <c r="C101" i="3" s="1"/>
  <c r="B47" i="3"/>
  <c r="C47" i="3" s="1"/>
  <c r="B45" i="3"/>
  <c r="C45" i="3" s="1"/>
  <c r="B59" i="3"/>
  <c r="C59" i="3" s="1"/>
  <c r="B138" i="3"/>
  <c r="C138" i="3" s="1"/>
  <c r="B148" i="3"/>
  <c r="C148" i="3" s="1"/>
  <c r="B91" i="3"/>
  <c r="C91" i="3" s="1"/>
  <c r="B154" i="3"/>
  <c r="C154" i="3" s="1"/>
  <c r="B106" i="3"/>
  <c r="C106" i="3" s="1"/>
  <c r="B119" i="3"/>
  <c r="C119" i="3" s="1"/>
  <c r="B175" i="3"/>
  <c r="C175" i="3" s="1"/>
  <c r="B104" i="3"/>
  <c r="C104" i="3" s="1"/>
  <c r="B23" i="3"/>
  <c r="C23" i="3" s="1"/>
  <c r="B190" i="3"/>
  <c r="C190" i="3" s="1"/>
  <c r="B19" i="3"/>
  <c r="C19" i="3" s="1"/>
  <c r="B97" i="3"/>
  <c r="Q97" i="3" s="1" a="1"/>
  <c r="Q97" i="3" s="1"/>
  <c r="B185" i="3"/>
  <c r="C185" i="3" s="1"/>
  <c r="B73" i="3"/>
  <c r="R73" i="3" s="1"/>
  <c r="B126" i="3"/>
  <c r="C126" i="3" s="1"/>
  <c r="B117" i="3"/>
  <c r="Q117" i="3" s="1" a="1"/>
  <c r="Q117" i="3" s="1"/>
  <c r="B72" i="3"/>
  <c r="R72" i="3" s="1"/>
  <c r="B191" i="3"/>
  <c r="C191" i="3" s="1"/>
  <c r="B152" i="3"/>
  <c r="Q152" i="3" s="1" a="1"/>
  <c r="Q152" i="3" s="1"/>
  <c r="B17" i="3"/>
  <c r="C17" i="3" s="1"/>
  <c r="B118" i="3"/>
  <c r="R118" i="3" s="1"/>
  <c r="B151" i="3"/>
  <c r="C151" i="3" s="1"/>
  <c r="B71" i="3"/>
  <c r="C71" i="3" s="1"/>
  <c r="B56" i="3"/>
  <c r="C56" i="3" s="1"/>
  <c r="B174" i="3"/>
  <c r="R174" i="3" s="1"/>
  <c r="B188" i="3"/>
  <c r="C188" i="3" s="1"/>
  <c r="B159" i="3"/>
  <c r="C159" i="3" s="1"/>
  <c r="B135" i="3"/>
  <c r="Q135" i="3" s="1" a="1"/>
  <c r="Q135" i="3" s="1"/>
  <c r="B162" i="3"/>
  <c r="C162" i="3" s="1"/>
  <c r="B54" i="3"/>
  <c r="C54" i="3" s="1"/>
  <c r="B144" i="3"/>
  <c r="R144" i="3" s="1"/>
  <c r="B18" i="3"/>
  <c r="R18" i="3" s="1"/>
  <c r="B43" i="3"/>
  <c r="C43" i="3" s="1"/>
  <c r="B60" i="3"/>
  <c r="Q60" i="3" s="1" a="1"/>
  <c r="Q60" i="3" s="1"/>
  <c r="B165" i="3"/>
  <c r="C165" i="3" s="1"/>
  <c r="B24" i="3"/>
  <c r="C24" i="3" s="1"/>
  <c r="B29" i="3"/>
  <c r="C29" i="3" s="1"/>
  <c r="B99" i="3"/>
  <c r="C99" i="3" s="1"/>
  <c r="B164" i="3"/>
  <c r="Q164" i="3" s="1" a="1"/>
  <c r="Q164" i="3" s="1"/>
  <c r="B33" i="3"/>
  <c r="R33" i="3" s="1"/>
  <c r="B102" i="3"/>
  <c r="C102" i="3" s="1"/>
  <c r="B92" i="3"/>
  <c r="Q92" i="3" s="1" a="1"/>
  <c r="Q92" i="3" s="1"/>
  <c r="B31" i="3"/>
  <c r="C31" i="3" s="1"/>
  <c r="B198" i="3"/>
  <c r="Q198" i="3" s="1" a="1"/>
  <c r="Q198" i="3" s="1"/>
  <c r="B167" i="3"/>
  <c r="C167" i="3" s="1"/>
  <c r="B136" i="3"/>
  <c r="C136" i="3" s="1"/>
  <c r="B140" i="3"/>
  <c r="Q140" i="3" s="1" a="1"/>
  <c r="Q140" i="3" s="1"/>
  <c r="B184" i="3"/>
  <c r="C184" i="3" s="1"/>
  <c r="B143" i="3"/>
  <c r="C143" i="3" s="1"/>
  <c r="B64" i="3"/>
  <c r="C64" i="3" s="1"/>
  <c r="B80" i="3"/>
  <c r="C80" i="3" s="1"/>
  <c r="B66" i="3"/>
  <c r="R66" i="3" s="1"/>
  <c r="B98" i="3"/>
  <c r="C98" i="3" s="1"/>
  <c r="B93" i="3"/>
  <c r="Q93" i="3" s="1" a="1"/>
  <c r="Q93" i="3" s="1"/>
  <c r="B20" i="3"/>
  <c r="C20" i="3" s="1"/>
  <c r="B50" i="3"/>
  <c r="C50" i="3" s="1"/>
  <c r="B107" i="3"/>
  <c r="C107" i="3" s="1"/>
  <c r="B186" i="3"/>
  <c r="C186" i="3" s="1"/>
  <c r="B146" i="3"/>
  <c r="C146" i="3" s="1"/>
  <c r="B58" i="3"/>
  <c r="C58" i="3" s="1"/>
  <c r="B115" i="3"/>
  <c r="C115" i="3" s="1"/>
  <c r="B178" i="3"/>
  <c r="C178" i="3" s="1"/>
  <c r="B44" i="3"/>
  <c r="R44" i="3" s="1"/>
  <c r="B42" i="3"/>
  <c r="R42" i="3" s="1"/>
  <c r="B52" i="3"/>
  <c r="C52" i="3" s="1"/>
  <c r="B16" i="3"/>
  <c r="C16" i="3" s="1"/>
  <c r="R7" i="3"/>
  <c r="C7" i="6"/>
  <c r="R7" i="6"/>
  <c r="Q7" i="6" a="1"/>
  <c r="Q7" i="6" s="1"/>
  <c r="C3" i="6"/>
  <c r="R3" i="6"/>
  <c r="Q3" i="6" a="1"/>
  <c r="Q3" i="6" s="1"/>
  <c r="R11" i="6"/>
  <c r="Q11" i="6" a="1"/>
  <c r="Q11" i="6" s="1"/>
  <c r="C11" i="6"/>
  <c r="C6" i="6"/>
  <c r="R6" i="6"/>
  <c r="Q6" i="6" a="1"/>
  <c r="Q6" i="6" s="1"/>
  <c r="C9" i="6"/>
  <c r="R9" i="6"/>
  <c r="Q9" i="6" a="1"/>
  <c r="Q9" i="6" s="1"/>
  <c r="Q2" i="6" a="1"/>
  <c r="Q2" i="6" s="1"/>
  <c r="C2" i="6"/>
  <c r="R2" i="6"/>
  <c r="R10" i="6"/>
  <c r="Q10" i="6" a="1"/>
  <c r="Q10" i="6" s="1"/>
  <c r="C10" i="6"/>
  <c r="B149" i="3"/>
  <c r="C149" i="3" s="1"/>
  <c r="B110" i="3"/>
  <c r="Q110" i="3" s="1" a="1"/>
  <c r="Q110" i="3" s="1"/>
  <c r="B169" i="3"/>
  <c r="C169" i="3" s="1"/>
  <c r="B87" i="3"/>
  <c r="R87" i="3" s="1"/>
  <c r="B37" i="3"/>
  <c r="C37" i="3" s="1"/>
  <c r="B79" i="3"/>
  <c r="C79" i="3" s="1"/>
  <c r="B158" i="3"/>
  <c r="C158" i="3" s="1"/>
  <c r="B161" i="3"/>
  <c r="R161" i="3" s="1"/>
  <c r="B77" i="3"/>
  <c r="C77" i="3" s="1"/>
  <c r="B13" i="3"/>
  <c r="C13" i="3" s="1"/>
  <c r="B55" i="3"/>
  <c r="C55" i="3" s="1"/>
  <c r="B94" i="3"/>
  <c r="R94" i="3" s="1"/>
  <c r="C2" i="3"/>
  <c r="Q2" i="3" a="1"/>
  <c r="Q2" i="3" s="1"/>
  <c r="Q6" i="3" a="1"/>
  <c r="Q6" i="3" s="1"/>
  <c r="Q9" i="3" a="1"/>
  <c r="Q9" i="3" s="1"/>
  <c r="B103" i="3"/>
  <c r="C103" i="3" s="1"/>
  <c r="B150" i="3"/>
  <c r="R150" i="3" s="1"/>
  <c r="B38" i="3"/>
  <c r="C38" i="3" s="1"/>
  <c r="B74" i="3"/>
  <c r="C74" i="3" s="1"/>
  <c r="B15" i="3"/>
  <c r="C15" i="3" s="1"/>
  <c r="B28" i="3"/>
  <c r="C28" i="3" s="1"/>
  <c r="B85" i="3"/>
  <c r="C85" i="3" s="1"/>
  <c r="B127" i="3"/>
  <c r="C127" i="3" s="1"/>
  <c r="B187" i="3"/>
  <c r="C187" i="3" s="1"/>
  <c r="B192" i="3"/>
  <c r="C192" i="3" s="1"/>
  <c r="B121" i="3"/>
  <c r="Q121" i="3" s="1" a="1"/>
  <c r="Q121" i="3" s="1"/>
  <c r="B32" i="3"/>
  <c r="C32" i="3" s="1"/>
  <c r="B61" i="3"/>
  <c r="C61" i="3" s="1"/>
  <c r="B65" i="3"/>
  <c r="C65" i="3" s="1"/>
  <c r="Q3" i="3" a="1"/>
  <c r="Q3" i="3" s="1"/>
  <c r="R5" i="3"/>
  <c r="Q153" i="3" a="1"/>
  <c r="Q153" i="3" s="1"/>
  <c r="Q12" i="3" a="1"/>
  <c r="Q12" i="3" s="1"/>
  <c r="R12" i="3"/>
  <c r="Q5" i="3" a="1"/>
  <c r="Q5" i="3" s="1"/>
  <c r="B105" i="3"/>
  <c r="C105" i="3" s="1"/>
  <c r="B81" i="3"/>
  <c r="Q81" i="3" s="1" a="1"/>
  <c r="Q81" i="3" s="1"/>
  <c r="B57" i="3"/>
  <c r="Q57" i="3" s="1" a="1"/>
  <c r="Q57" i="3" s="1"/>
  <c r="R8" i="3" l="1"/>
  <c r="Q8" i="3" a="1"/>
  <c r="Q8" i="3" s="1"/>
  <c r="R34" i="3"/>
  <c r="C153" i="3"/>
  <c r="Q4" i="3" a="1"/>
  <c r="Q4" i="3" s="1"/>
  <c r="R3" i="3"/>
  <c r="Q14" i="3" a="1"/>
  <c r="Q14" i="3" s="1"/>
  <c r="R6" i="3"/>
  <c r="Q155" i="3" a="1"/>
  <c r="Q155" i="3" s="1"/>
  <c r="R133" i="3"/>
  <c r="C22" i="3"/>
  <c r="R130" i="3"/>
  <c r="Q133" i="3" a="1"/>
  <c r="Q133" i="3" s="1"/>
  <c r="C179" i="3"/>
  <c r="C7" i="3"/>
  <c r="R155" i="3"/>
  <c r="Q180" i="3" a="1"/>
  <c r="Q180" i="3" s="1"/>
  <c r="Q112" i="3" a="1"/>
  <c r="Q112" i="3" s="1"/>
  <c r="R4" i="3"/>
  <c r="R168" i="3"/>
  <c r="Q100" i="3" a="1"/>
  <c r="Q100" i="3" s="1"/>
  <c r="Q168" i="3" a="1"/>
  <c r="Q168" i="3" s="1"/>
  <c r="Q109" i="3" a="1"/>
  <c r="Q109" i="3" s="1"/>
  <c r="Q96" i="3" a="1"/>
  <c r="Q96" i="3" s="1"/>
  <c r="R112" i="3"/>
  <c r="R109" i="3"/>
  <c r="R183" i="3"/>
  <c r="R9" i="3"/>
  <c r="Q53" i="3" a="1"/>
  <c r="Q53" i="3" s="1"/>
  <c r="Q83" i="3" a="1"/>
  <c r="Q83" i="3" s="1"/>
  <c r="Q90" i="3" a="1"/>
  <c r="Q90" i="3" s="1"/>
  <c r="R95" i="3"/>
  <c r="Q95" i="3" a="1"/>
  <c r="Q95" i="3" s="1"/>
  <c r="Q130" i="3" a="1"/>
  <c r="Q130" i="3" s="1"/>
  <c r="C11" i="3"/>
  <c r="R11" i="3"/>
  <c r="Q11" i="3" a="1"/>
  <c r="Q11" i="3" s="1"/>
  <c r="Q141" i="3" a="1"/>
  <c r="Q141" i="3" s="1"/>
  <c r="R141" i="3"/>
  <c r="R14" i="3"/>
  <c r="C172" i="3"/>
  <c r="Q128" i="3" a="1"/>
  <c r="Q128" i="3" s="1"/>
  <c r="C128" i="3"/>
  <c r="R180" i="3"/>
  <c r="R182" i="3"/>
  <c r="C182" i="3"/>
  <c r="Q22" i="3" a="1"/>
  <c r="Q22" i="3" s="1"/>
  <c r="Q163" i="3" a="1"/>
  <c r="Q163" i="3" s="1"/>
  <c r="Q75" i="3" a="1"/>
  <c r="Q75" i="3" s="1"/>
  <c r="C75" i="3"/>
  <c r="R142" i="3"/>
  <c r="C96" i="3"/>
  <c r="C90" i="3"/>
  <c r="R21" i="3"/>
  <c r="Q23" i="3" a="1"/>
  <c r="Q23" i="3" s="1"/>
  <c r="Q184" i="3" a="1"/>
  <c r="Q184" i="3" s="1"/>
  <c r="Q142" i="3" a="1"/>
  <c r="Q142" i="3" s="1"/>
  <c r="Q39" i="3" a="1"/>
  <c r="Q39" i="3" s="1"/>
  <c r="Q123" i="3" a="1"/>
  <c r="Q123" i="3" s="1"/>
  <c r="Q183" i="3" a="1"/>
  <c r="Q183" i="3" s="1"/>
  <c r="R120" i="3"/>
  <c r="R123" i="3"/>
  <c r="R39" i="3"/>
  <c r="C60" i="3"/>
  <c r="Q25" i="3" a="1"/>
  <c r="Q25" i="3" s="1"/>
  <c r="C137" i="3"/>
  <c r="Q145" i="3" a="1"/>
  <c r="Q145" i="3" s="1"/>
  <c r="R145" i="3"/>
  <c r="R122" i="3"/>
  <c r="R119" i="3"/>
  <c r="R116" i="3"/>
  <c r="Q49" i="3" a="1"/>
  <c r="Q49" i="3" s="1"/>
  <c r="C63" i="3"/>
  <c r="Q179" i="3" a="1"/>
  <c r="Q179" i="3" s="1"/>
  <c r="R148" i="3"/>
  <c r="R23" i="3"/>
  <c r="C92" i="3"/>
  <c r="R92" i="3"/>
  <c r="Q125" i="3" a="1"/>
  <c r="Q125" i="3" s="1"/>
  <c r="R160" i="3"/>
  <c r="Q98" i="3" a="1"/>
  <c r="Q98" i="3" s="1"/>
  <c r="R35" i="3"/>
  <c r="R115" i="3"/>
  <c r="R25" i="3"/>
  <c r="Q172" i="3" a="1"/>
  <c r="Q172" i="3" s="1"/>
  <c r="Q137" i="3" a="1"/>
  <c r="Q137" i="3" s="1"/>
  <c r="Q116" i="3" a="1"/>
  <c r="Q116" i="3" s="1"/>
  <c r="R125" i="3"/>
  <c r="R100" i="3"/>
  <c r="Q175" i="3" a="1"/>
  <c r="Q175" i="3" s="1"/>
  <c r="Q196" i="3" a="1"/>
  <c r="Q196" i="3" s="1"/>
  <c r="R176" i="3"/>
  <c r="Q173" i="3" a="1"/>
  <c r="Q173" i="3" s="1"/>
  <c r="Q148" i="3" a="1"/>
  <c r="Q148" i="3" s="1"/>
  <c r="R93" i="3"/>
  <c r="Q40" i="3" a="1"/>
  <c r="Q40" i="3" s="1"/>
  <c r="Q35" i="3" a="1"/>
  <c r="Q35" i="3" s="1"/>
  <c r="Q176" i="3" a="1"/>
  <c r="Q176" i="3" s="1"/>
  <c r="Q122" i="3" a="1"/>
  <c r="Q122" i="3" s="1"/>
  <c r="C21" i="3"/>
  <c r="Q68" i="3" a="1"/>
  <c r="Q68" i="3" s="1"/>
  <c r="Q181" i="3" a="1"/>
  <c r="Q181" i="3" s="1"/>
  <c r="C68" i="3"/>
  <c r="Q126" i="3" a="1"/>
  <c r="Q126" i="3" s="1"/>
  <c r="Q43" i="3" a="1"/>
  <c r="Q43" i="3" s="1"/>
  <c r="Q54" i="3" a="1"/>
  <c r="Q54" i="3" s="1"/>
  <c r="R20" i="3"/>
  <c r="R156" i="3"/>
  <c r="R54" i="3"/>
  <c r="R106" i="3"/>
  <c r="R16" i="3"/>
  <c r="Q67" i="3" a="1"/>
  <c r="Q67" i="3" s="1"/>
  <c r="Q149" i="3" a="1"/>
  <c r="Q149" i="3" s="1"/>
  <c r="C73" i="3"/>
  <c r="R173" i="3"/>
  <c r="R67" i="3"/>
  <c r="C114" i="3"/>
  <c r="C113" i="3"/>
  <c r="R19" i="3"/>
  <c r="R198" i="3"/>
  <c r="Q63" i="3" a="1"/>
  <c r="Q63" i="3" s="1"/>
  <c r="R30" i="3"/>
  <c r="R196" i="3"/>
  <c r="C33" i="3"/>
  <c r="Q91" i="3" a="1"/>
  <c r="Q91" i="3" s="1"/>
  <c r="R45" i="3"/>
  <c r="R89" i="3"/>
  <c r="Q89" i="3" a="1"/>
  <c r="Q89" i="3" s="1"/>
  <c r="R140" i="3"/>
  <c r="Q170" i="3" a="1"/>
  <c r="Q170" i="3" s="1"/>
  <c r="R170" i="3"/>
  <c r="C140" i="3"/>
  <c r="C51" i="3"/>
  <c r="Q33" i="3" a="1"/>
  <c r="Q33" i="3" s="1"/>
  <c r="Q88" i="3" a="1"/>
  <c r="Q88" i="3" s="1"/>
  <c r="R91" i="3"/>
  <c r="R36" i="3"/>
  <c r="Q160" i="3" a="1"/>
  <c r="Q160" i="3" s="1"/>
  <c r="R181" i="3"/>
  <c r="C197" i="3"/>
  <c r="Q36" i="3" a="1"/>
  <c r="Q36" i="3" s="1"/>
  <c r="Q51" i="3" a="1"/>
  <c r="Q51" i="3" s="1"/>
  <c r="R31" i="3"/>
  <c r="R47" i="3"/>
  <c r="Q47" i="3" a="1"/>
  <c r="Q47" i="3" s="1"/>
  <c r="R60" i="3"/>
  <c r="Q167" i="3" a="1"/>
  <c r="Q167" i="3" s="1"/>
  <c r="Q139" i="3" a="1"/>
  <c r="Q139" i="3" s="1"/>
  <c r="R187" i="3"/>
  <c r="Q20" i="3" a="1"/>
  <c r="Q20" i="3" s="1"/>
  <c r="C174" i="3"/>
  <c r="R114" i="3"/>
  <c r="Q101" i="3" a="1"/>
  <c r="Q101" i="3" s="1"/>
  <c r="Q30" i="3" a="1"/>
  <c r="Q30" i="3" s="1"/>
  <c r="C44" i="3"/>
  <c r="R139" i="3"/>
  <c r="R43" i="3"/>
  <c r="Q31" i="3" a="1"/>
  <c r="Q31" i="3" s="1"/>
  <c r="Q16" i="3" a="1"/>
  <c r="Q16" i="3" s="1"/>
  <c r="Q106" i="3" a="1"/>
  <c r="Q106" i="3" s="1"/>
  <c r="Q45" i="3" a="1"/>
  <c r="Q45" i="3" s="1"/>
  <c r="Q59" i="3" a="1"/>
  <c r="Q59" i="3" s="1"/>
  <c r="R104" i="3"/>
  <c r="C150" i="3"/>
  <c r="R101" i="3"/>
  <c r="C111" i="3"/>
  <c r="Q34" i="3" a="1"/>
  <c r="Q34" i="3" s="1"/>
  <c r="Q174" i="3" a="1"/>
  <c r="Q174" i="3" s="1"/>
  <c r="R53" i="3"/>
  <c r="R77" i="3"/>
  <c r="Q120" i="3" a="1"/>
  <c r="Q120" i="3" s="1"/>
  <c r="Q111" i="3" a="1"/>
  <c r="Q111" i="3" s="1"/>
  <c r="Q186" i="3" a="1"/>
  <c r="Q186" i="3" s="1"/>
  <c r="Q147" i="3" a="1"/>
  <c r="Q147" i="3" s="1"/>
  <c r="Q156" i="3" a="1"/>
  <c r="Q156" i="3" s="1"/>
  <c r="R175" i="3"/>
  <c r="Q19" i="3" a="1"/>
  <c r="Q19" i="3" s="1"/>
  <c r="R186" i="3"/>
  <c r="Q72" i="3" a="1"/>
  <c r="Q72" i="3" s="1"/>
  <c r="R26" i="3"/>
  <c r="R49" i="3"/>
  <c r="R124" i="3"/>
  <c r="Q115" i="3" a="1"/>
  <c r="Q115" i="3" s="1"/>
  <c r="C72" i="3"/>
  <c r="Q102" i="3" a="1"/>
  <c r="Q102" i="3" s="1"/>
  <c r="R102" i="3"/>
  <c r="Q197" i="3" a="1"/>
  <c r="Q197" i="3" s="1"/>
  <c r="C27" i="3"/>
  <c r="Q124" i="3" a="1"/>
  <c r="Q124" i="3" s="1"/>
  <c r="R184" i="3"/>
  <c r="R165" i="3"/>
  <c r="R83" i="3"/>
  <c r="Q44" i="3" a="1"/>
  <c r="Q44" i="3" s="1"/>
  <c r="R167" i="3"/>
  <c r="Q73" i="3" a="1"/>
  <c r="Q73" i="3" s="1"/>
  <c r="R59" i="3"/>
  <c r="Q38" i="3" a="1"/>
  <c r="Q38" i="3" s="1"/>
  <c r="C66" i="3"/>
  <c r="R146" i="3"/>
  <c r="C97" i="3"/>
  <c r="Q131" i="3" a="1"/>
  <c r="Q131" i="3" s="1"/>
  <c r="Q87" i="3" a="1"/>
  <c r="Q87" i="3" s="1"/>
  <c r="Q165" i="3" a="1"/>
  <c r="Q165" i="3" s="1"/>
  <c r="R88" i="3"/>
  <c r="R71" i="3"/>
  <c r="C131" i="3"/>
  <c r="R126" i="3"/>
  <c r="R169" i="3"/>
  <c r="R64" i="3"/>
  <c r="R103" i="3"/>
  <c r="R134" i="3"/>
  <c r="R188" i="3"/>
  <c r="R157" i="3"/>
  <c r="R15" i="3"/>
  <c r="Q119" i="3" a="1"/>
  <c r="Q119" i="3" s="1"/>
  <c r="Q113" i="3" a="1"/>
  <c r="Q113" i="3" s="1"/>
  <c r="Q26" i="3" a="1"/>
  <c r="Q26" i="3" s="1"/>
  <c r="C134" i="3"/>
  <c r="Q188" i="3" a="1"/>
  <c r="Q188" i="3" s="1"/>
  <c r="R143" i="3"/>
  <c r="C161" i="3"/>
  <c r="Q24" i="3" a="1"/>
  <c r="Q24" i="3" s="1"/>
  <c r="R117" i="3"/>
  <c r="Q15" i="3" a="1"/>
  <c r="Q15" i="3" s="1"/>
  <c r="R154" i="3"/>
  <c r="Q64" i="3" a="1"/>
  <c r="Q64" i="3" s="1"/>
  <c r="Q177" i="3" a="1"/>
  <c r="Q177" i="3" s="1"/>
  <c r="Q62" i="3" a="1"/>
  <c r="Q62" i="3" s="1"/>
  <c r="R190" i="3"/>
  <c r="Q138" i="3" a="1"/>
  <c r="Q138" i="3" s="1"/>
  <c r="R50" i="3"/>
  <c r="R138" i="3"/>
  <c r="R58" i="3"/>
  <c r="R189" i="3"/>
  <c r="Q185" i="3" a="1"/>
  <c r="Q185" i="3" s="1"/>
  <c r="R151" i="3"/>
  <c r="Q127" i="3" a="1"/>
  <c r="Q127" i="3" s="1"/>
  <c r="Q151" i="3" a="1"/>
  <c r="Q151" i="3" s="1"/>
  <c r="R24" i="3"/>
  <c r="Q136" i="3" a="1"/>
  <c r="Q136" i="3" s="1"/>
  <c r="Q146" i="3" a="1"/>
  <c r="Q146" i="3" s="1"/>
  <c r="R191" i="3"/>
  <c r="R62" i="3"/>
  <c r="Q71" i="3" a="1"/>
  <c r="Q71" i="3" s="1"/>
  <c r="Q154" i="3" a="1"/>
  <c r="Q154" i="3" s="1"/>
  <c r="R110" i="3"/>
  <c r="Q132" i="3" a="1"/>
  <c r="Q132" i="3" s="1"/>
  <c r="R56" i="3"/>
  <c r="Q191" i="3" a="1"/>
  <c r="Q191" i="3" s="1"/>
  <c r="Q50" i="3" a="1"/>
  <c r="Q50" i="3" s="1"/>
  <c r="C117" i="3"/>
  <c r="C110" i="3"/>
  <c r="C132" i="3"/>
  <c r="C177" i="3"/>
  <c r="Q157" i="3" a="1"/>
  <c r="Q157" i="3" s="1"/>
  <c r="R149" i="3"/>
  <c r="R38" i="3"/>
  <c r="Q103" i="3" a="1"/>
  <c r="Q103" i="3" s="1"/>
  <c r="Q37" i="3" a="1"/>
  <c r="Q37" i="3" s="1"/>
  <c r="Q77" i="3" a="1"/>
  <c r="Q77" i="3" s="1"/>
  <c r="Q178" i="3" a="1"/>
  <c r="Q178" i="3" s="1"/>
  <c r="C93" i="3"/>
  <c r="Q66" i="3" a="1"/>
  <c r="Q66" i="3" s="1"/>
  <c r="Q56" i="3" a="1"/>
  <c r="Q56" i="3" s="1"/>
  <c r="C198" i="3"/>
  <c r="Q192" i="3" a="1"/>
  <c r="Q192" i="3" s="1"/>
  <c r="C87" i="3"/>
  <c r="Q169" i="3" a="1"/>
  <c r="Q169" i="3" s="1"/>
  <c r="Q190" i="3" a="1"/>
  <c r="Q190" i="3" s="1"/>
  <c r="Q150" i="3" a="1"/>
  <c r="Q150" i="3" s="1"/>
  <c r="R121" i="3"/>
  <c r="R97" i="3"/>
  <c r="Q143" i="3" a="1"/>
  <c r="Q143" i="3" s="1"/>
  <c r="Q17" i="3" a="1"/>
  <c r="Q17" i="3" s="1"/>
  <c r="C135" i="3"/>
  <c r="R70" i="3"/>
  <c r="Q70" i="3" a="1"/>
  <c r="Q70" i="3" s="1"/>
  <c r="Q189" i="3" a="1"/>
  <c r="Q189" i="3" s="1"/>
  <c r="R135" i="3"/>
  <c r="R79" i="3"/>
  <c r="Q42" i="3" a="1"/>
  <c r="Q42" i="3" s="1"/>
  <c r="R171" i="3"/>
  <c r="R107" i="3"/>
  <c r="Q171" i="3" a="1"/>
  <c r="Q171" i="3" s="1"/>
  <c r="Q79" i="3" a="1"/>
  <c r="Q79" i="3" s="1"/>
  <c r="Q107" i="3" a="1"/>
  <c r="Q107" i="3" s="1"/>
  <c r="Q104" i="3" a="1"/>
  <c r="Q104" i="3" s="1"/>
  <c r="C152" i="3"/>
  <c r="Q94" i="3" a="1"/>
  <c r="Q94" i="3" s="1"/>
  <c r="R17" i="3"/>
  <c r="Q159" i="3" a="1"/>
  <c r="Q159" i="3" s="1"/>
  <c r="R84" i="3"/>
  <c r="C94" i="3"/>
  <c r="R147" i="3"/>
  <c r="R152" i="3"/>
  <c r="Q84" i="3" a="1"/>
  <c r="Q84" i="3" s="1"/>
  <c r="R192" i="3"/>
  <c r="C121" i="3"/>
  <c r="R136" i="3"/>
  <c r="R98" i="3"/>
  <c r="R80" i="3"/>
  <c r="R52" i="3"/>
  <c r="R185" i="3"/>
  <c r="R127" i="3"/>
  <c r="Q161" i="3" a="1"/>
  <c r="Q161" i="3" s="1"/>
  <c r="R159" i="3"/>
  <c r="R37" i="3"/>
  <c r="Q80" i="3" a="1"/>
  <c r="Q80" i="3" s="1"/>
  <c r="Q52" i="3" a="1"/>
  <c r="Q52" i="3" s="1"/>
  <c r="Q58" i="3" a="1"/>
  <c r="Q58" i="3" s="1"/>
  <c r="Q29" i="3" a="1"/>
  <c r="Q29" i="3" s="1"/>
  <c r="R29" i="3"/>
  <c r="Q108" i="3" a="1"/>
  <c r="Q108" i="3" s="1"/>
  <c r="R108" i="3"/>
  <c r="R178" i="3"/>
  <c r="Q195" i="3" a="1"/>
  <c r="Q195" i="3" s="1"/>
  <c r="R162" i="3"/>
  <c r="R195" i="3"/>
  <c r="Q162" i="3" a="1"/>
  <c r="Q162" i="3" s="1"/>
  <c r="R129" i="3"/>
  <c r="Q118" i="3" a="1"/>
  <c r="Q118" i="3" s="1"/>
  <c r="C129" i="3"/>
  <c r="C42" i="3"/>
  <c r="Q158" i="3" a="1"/>
  <c r="Q158" i="3" s="1"/>
  <c r="R40" i="3"/>
  <c r="Q155" i="6" a="1"/>
  <c r="Q155" i="6" s="1"/>
  <c r="C155" i="6"/>
  <c r="R155" i="6"/>
  <c r="R178" i="6"/>
  <c r="Q178" i="6" a="1"/>
  <c r="Q178" i="6" s="1"/>
  <c r="C178" i="6"/>
  <c r="C192" i="6"/>
  <c r="R192" i="6"/>
  <c r="Q192" i="6" a="1"/>
  <c r="Q192" i="6" s="1"/>
  <c r="R72" i="6"/>
  <c r="Q72" i="6" a="1"/>
  <c r="Q72" i="6" s="1"/>
  <c r="C72" i="6"/>
  <c r="C193" i="6"/>
  <c r="R193" i="6"/>
  <c r="Q193" i="6" a="1"/>
  <c r="Q193" i="6" s="1"/>
  <c r="R111" i="6"/>
  <c r="C111" i="6"/>
  <c r="Q111" i="6" a="1"/>
  <c r="Q111" i="6" s="1"/>
  <c r="R35" i="6"/>
  <c r="Q35" i="6" a="1"/>
  <c r="Q35" i="6" s="1"/>
  <c r="C35" i="6"/>
  <c r="C197" i="6"/>
  <c r="R197" i="6"/>
  <c r="Q197" i="6" a="1"/>
  <c r="Q197" i="6" s="1"/>
  <c r="R188" i="6"/>
  <c r="Q188" i="6" a="1"/>
  <c r="Q188" i="6" s="1"/>
  <c r="C188" i="6"/>
  <c r="R58" i="6"/>
  <c r="Q58" i="6" a="1"/>
  <c r="Q58" i="6" s="1"/>
  <c r="C58" i="6"/>
  <c r="Q46" i="3" a="1"/>
  <c r="Q46" i="3" s="1"/>
  <c r="C146" i="6"/>
  <c r="R146" i="6"/>
  <c r="Q146" i="6" a="1"/>
  <c r="Q146" i="6" s="1"/>
  <c r="C66" i="6"/>
  <c r="R66" i="6"/>
  <c r="Q66" i="6" a="1"/>
  <c r="Q66" i="6" s="1"/>
  <c r="C56" i="6"/>
  <c r="R56" i="6"/>
  <c r="Q56" i="6" a="1"/>
  <c r="Q56" i="6" s="1"/>
  <c r="C126" i="6"/>
  <c r="R126" i="6"/>
  <c r="Q126" i="6" a="1"/>
  <c r="Q126" i="6" s="1"/>
  <c r="R104" i="6"/>
  <c r="C104" i="6"/>
  <c r="Q104" i="6" a="1"/>
  <c r="Q104" i="6" s="1"/>
  <c r="Q131" i="6" a="1"/>
  <c r="Q131" i="6" s="1"/>
  <c r="C131" i="6"/>
  <c r="R131" i="6"/>
  <c r="R34" i="6"/>
  <c r="Q34" i="6" a="1"/>
  <c r="Q34" i="6" s="1"/>
  <c r="C34" i="6"/>
  <c r="R99" i="3"/>
  <c r="C133" i="6"/>
  <c r="R133" i="6"/>
  <c r="Q133" i="6" a="1"/>
  <c r="Q133" i="6" s="1"/>
  <c r="C186" i="6"/>
  <c r="R186" i="6"/>
  <c r="Q186" i="6" a="1"/>
  <c r="Q186" i="6" s="1"/>
  <c r="R73" i="6"/>
  <c r="Q73" i="6" a="1"/>
  <c r="Q73" i="6" s="1"/>
  <c r="C73" i="6"/>
  <c r="C86" i="3"/>
  <c r="Q86" i="3" a="1"/>
  <c r="Q86" i="3" s="1"/>
  <c r="Q179" i="6" a="1"/>
  <c r="Q179" i="6" s="1"/>
  <c r="C179" i="6"/>
  <c r="R179" i="6"/>
  <c r="C120" i="6"/>
  <c r="R120" i="6"/>
  <c r="Q120" i="6" a="1"/>
  <c r="Q120" i="6" s="1"/>
  <c r="C88" i="6"/>
  <c r="R88" i="6"/>
  <c r="Q88" i="6" a="1"/>
  <c r="Q88" i="6" s="1"/>
  <c r="C172" i="6"/>
  <c r="R172" i="6"/>
  <c r="Q172" i="6" a="1"/>
  <c r="Q172" i="6" s="1"/>
  <c r="Q107" i="6" a="1"/>
  <c r="Q107" i="6" s="1"/>
  <c r="C107" i="6"/>
  <c r="R107" i="6"/>
  <c r="R80" i="6"/>
  <c r="Q80" i="6" a="1"/>
  <c r="Q80" i="6" s="1"/>
  <c r="C80" i="6"/>
  <c r="C161" i="6"/>
  <c r="R161" i="6"/>
  <c r="Q161" i="6" a="1"/>
  <c r="Q161" i="6" s="1"/>
  <c r="C51" i="6"/>
  <c r="R51" i="6"/>
  <c r="Q51" i="6" a="1"/>
  <c r="Q51" i="6" s="1"/>
  <c r="C173" i="6"/>
  <c r="R173" i="6"/>
  <c r="Q173" i="6" a="1"/>
  <c r="Q173" i="6" s="1"/>
  <c r="C39" i="6"/>
  <c r="R39" i="6"/>
  <c r="Q39" i="6" a="1"/>
  <c r="Q39" i="6" s="1"/>
  <c r="R36" i="6"/>
  <c r="Q36" i="6" a="1"/>
  <c r="Q36" i="6" s="1"/>
  <c r="C36" i="6"/>
  <c r="R141" i="6"/>
  <c r="Q141" i="6" a="1"/>
  <c r="Q141" i="6" s="1"/>
  <c r="C141" i="6"/>
  <c r="C194" i="6"/>
  <c r="R194" i="6"/>
  <c r="Q194" i="6" a="1"/>
  <c r="Q194" i="6" s="1"/>
  <c r="R76" i="3"/>
  <c r="R108" i="6"/>
  <c r="C108" i="6"/>
  <c r="Q108" i="6" a="1"/>
  <c r="Q108" i="6" s="1"/>
  <c r="R77" i="6"/>
  <c r="Q77" i="6" a="1"/>
  <c r="Q77" i="6" s="1"/>
  <c r="C77" i="6"/>
  <c r="C64" i="6"/>
  <c r="R64" i="6"/>
  <c r="Q64" i="6" a="1"/>
  <c r="Q64" i="6" s="1"/>
  <c r="C185" i="6"/>
  <c r="R185" i="6"/>
  <c r="Q185" i="6" a="1"/>
  <c r="Q185" i="6" s="1"/>
  <c r="Q119" i="6" a="1"/>
  <c r="Q119" i="6" s="1"/>
  <c r="C119" i="6"/>
  <c r="R119" i="6"/>
  <c r="C193" i="3"/>
  <c r="Q193" i="3" a="1"/>
  <c r="Q193" i="3" s="1"/>
  <c r="Q38" i="6" a="1"/>
  <c r="Q38" i="6" s="1"/>
  <c r="C38" i="6"/>
  <c r="R38" i="6"/>
  <c r="R87" i="6"/>
  <c r="Q87" i="6" a="1"/>
  <c r="Q87" i="6" s="1"/>
  <c r="C87" i="6"/>
  <c r="C67" i="6"/>
  <c r="R67" i="6"/>
  <c r="Q67" i="6" a="1"/>
  <c r="Q67" i="6" s="1"/>
  <c r="Q95" i="6" a="1"/>
  <c r="Q95" i="6" s="1"/>
  <c r="C95" i="6"/>
  <c r="R95" i="6"/>
  <c r="R151" i="6"/>
  <c r="Q151" i="6" a="1"/>
  <c r="Q151" i="6" s="1"/>
  <c r="C151" i="6"/>
  <c r="R115" i="6"/>
  <c r="Q115" i="6" a="1"/>
  <c r="Q115" i="6" s="1"/>
  <c r="C115" i="6"/>
  <c r="Q78" i="3" a="1"/>
  <c r="Q78" i="3" s="1"/>
  <c r="R48" i="3"/>
  <c r="R163" i="3"/>
  <c r="Q50" i="6" a="1"/>
  <c r="Q50" i="6" s="1"/>
  <c r="C50" i="6"/>
  <c r="R50" i="6"/>
  <c r="R97" i="6"/>
  <c r="Q97" i="6" a="1"/>
  <c r="Q97" i="6" s="1"/>
  <c r="C97" i="6"/>
  <c r="R106" i="6"/>
  <c r="C106" i="6"/>
  <c r="Q106" i="6" a="1"/>
  <c r="Q106" i="6" s="1"/>
  <c r="C194" i="3"/>
  <c r="Q194" i="3" a="1"/>
  <c r="Q194" i="3" s="1"/>
  <c r="R194" i="3"/>
  <c r="C137" i="6"/>
  <c r="R137" i="6"/>
  <c r="Q137" i="6" a="1"/>
  <c r="Q137" i="6" s="1"/>
  <c r="C28" i="6"/>
  <c r="R28" i="6"/>
  <c r="Q28" i="6" a="1"/>
  <c r="Q28" i="6" s="1"/>
  <c r="R25" i="6"/>
  <c r="Q25" i="6" a="1"/>
  <c r="Q25" i="6" s="1"/>
  <c r="C25" i="6"/>
  <c r="C196" i="6"/>
  <c r="R196" i="6"/>
  <c r="Q196" i="6" a="1"/>
  <c r="Q196" i="6" s="1"/>
  <c r="Q105" i="6" a="1"/>
  <c r="Q105" i="6" s="1"/>
  <c r="C105" i="6"/>
  <c r="R105" i="6"/>
  <c r="R65" i="3"/>
  <c r="Q76" i="3" a="1"/>
  <c r="Q76" i="3" s="1"/>
  <c r="C20" i="6"/>
  <c r="R20" i="6"/>
  <c r="Q20" i="6" a="1"/>
  <c r="Q20" i="6" s="1"/>
  <c r="C169" i="6"/>
  <c r="R169" i="6"/>
  <c r="Q169" i="6" a="1"/>
  <c r="Q169" i="6" s="1"/>
  <c r="C149" i="6"/>
  <c r="R149" i="6"/>
  <c r="Q149" i="6" a="1"/>
  <c r="Q149" i="6" s="1"/>
  <c r="R154" i="6"/>
  <c r="Q154" i="6" a="1"/>
  <c r="Q154" i="6" s="1"/>
  <c r="C154" i="6"/>
  <c r="R82" i="6"/>
  <c r="Q82" i="6" a="1"/>
  <c r="Q82" i="6" s="1"/>
  <c r="C82" i="6"/>
  <c r="C63" i="6"/>
  <c r="R63" i="6"/>
  <c r="Q63" i="6" a="1"/>
  <c r="Q63" i="6" s="1"/>
  <c r="C65" i="6"/>
  <c r="R65" i="6"/>
  <c r="Q65" i="6" a="1"/>
  <c r="Q65" i="6" s="1"/>
  <c r="C112" i="6"/>
  <c r="Q112" i="6" a="1"/>
  <c r="Q112" i="6" s="1"/>
  <c r="R112" i="6"/>
  <c r="Q14" i="6" a="1"/>
  <c r="Q14" i="6" s="1"/>
  <c r="C14" i="6"/>
  <c r="R14" i="6"/>
  <c r="C69" i="3"/>
  <c r="Q93" i="6" a="1"/>
  <c r="Q93" i="6" s="1"/>
  <c r="R93" i="6"/>
  <c r="C93" i="6"/>
  <c r="Q143" i="6" a="1"/>
  <c r="Q143" i="6" s="1"/>
  <c r="C143" i="6"/>
  <c r="R143" i="6"/>
  <c r="C19" i="6"/>
  <c r="R19" i="6"/>
  <c r="Q19" i="6" a="1"/>
  <c r="Q19" i="6" s="1"/>
  <c r="Q91" i="6" a="1"/>
  <c r="Q91" i="6" s="1"/>
  <c r="R91" i="6"/>
  <c r="C91" i="6"/>
  <c r="C122" i="6"/>
  <c r="Q122" i="6" a="1"/>
  <c r="Q122" i="6" s="1"/>
  <c r="R122" i="6"/>
  <c r="Q83" i="6" a="1"/>
  <c r="Q83" i="6" s="1"/>
  <c r="R83" i="6"/>
  <c r="C83" i="6"/>
  <c r="Q113" i="6" a="1"/>
  <c r="Q113" i="6" s="1"/>
  <c r="C113" i="6"/>
  <c r="R113" i="6"/>
  <c r="C53" i="6"/>
  <c r="R53" i="6"/>
  <c r="Q53" i="6" a="1"/>
  <c r="Q53" i="6" s="1"/>
  <c r="C160" i="6"/>
  <c r="R160" i="6"/>
  <c r="Q160" i="6" a="1"/>
  <c r="Q160" i="6" s="1"/>
  <c r="Q99" i="3" a="1"/>
  <c r="Q99" i="3" s="1"/>
  <c r="C184" i="6"/>
  <c r="R184" i="6"/>
  <c r="Q184" i="6" a="1"/>
  <c r="Q184" i="6" s="1"/>
  <c r="C150" i="6"/>
  <c r="R150" i="6"/>
  <c r="Q150" i="6" a="1"/>
  <c r="Q150" i="6" s="1"/>
  <c r="C148" i="6"/>
  <c r="R148" i="6"/>
  <c r="Q148" i="6" a="1"/>
  <c r="Q148" i="6" s="1"/>
  <c r="C183" i="6"/>
  <c r="R183" i="6"/>
  <c r="Q183" i="6" a="1"/>
  <c r="Q183" i="6" s="1"/>
  <c r="R116" i="6"/>
  <c r="Q116" i="6" a="1"/>
  <c r="Q116" i="6" s="1"/>
  <c r="C116" i="6"/>
  <c r="R61" i="6"/>
  <c r="Q61" i="6" a="1"/>
  <c r="Q61" i="6" s="1"/>
  <c r="C61" i="6"/>
  <c r="Q109" i="6" a="1"/>
  <c r="Q109" i="6" s="1"/>
  <c r="C109" i="6"/>
  <c r="R109" i="6"/>
  <c r="C144" i="3"/>
  <c r="R78" i="3"/>
  <c r="C98" i="6"/>
  <c r="R98" i="6"/>
  <c r="Q98" i="6" a="1"/>
  <c r="Q98" i="6" s="1"/>
  <c r="R140" i="6"/>
  <c r="Q140" i="6" a="1"/>
  <c r="Q140" i="6" s="1"/>
  <c r="C140" i="6"/>
  <c r="R23" i="6"/>
  <c r="Q23" i="6" a="1"/>
  <c r="Q23" i="6" s="1"/>
  <c r="C23" i="6"/>
  <c r="C138" i="6"/>
  <c r="R138" i="6"/>
  <c r="Q138" i="6" a="1"/>
  <c r="Q138" i="6" s="1"/>
  <c r="C195" i="6"/>
  <c r="R195" i="6"/>
  <c r="Q195" i="6" a="1"/>
  <c r="Q195" i="6" s="1"/>
  <c r="C21" i="6"/>
  <c r="R21" i="6"/>
  <c r="Q21" i="6" a="1"/>
  <c r="Q21" i="6" s="1"/>
  <c r="C55" i="6"/>
  <c r="R55" i="6"/>
  <c r="Q55" i="6" a="1"/>
  <c r="Q55" i="6" s="1"/>
  <c r="R163" i="6"/>
  <c r="Q163" i="6" a="1"/>
  <c r="Q163" i="6" s="1"/>
  <c r="C163" i="6"/>
  <c r="C57" i="6"/>
  <c r="R57" i="6"/>
  <c r="Q57" i="6" a="1"/>
  <c r="Q57" i="6" s="1"/>
  <c r="R85" i="6"/>
  <c r="Q85" i="6" a="1"/>
  <c r="Q85" i="6" s="1"/>
  <c r="C85" i="6"/>
  <c r="R69" i="3"/>
  <c r="Q144" i="3" a="1"/>
  <c r="Q144" i="3" s="1"/>
  <c r="R164" i="3"/>
  <c r="R46" i="3"/>
  <c r="Q48" i="3" a="1"/>
  <c r="Q48" i="3" s="1"/>
  <c r="C136" i="6"/>
  <c r="R136" i="6"/>
  <c r="Q136" i="6" a="1"/>
  <c r="Q136" i="6" s="1"/>
  <c r="R165" i="6"/>
  <c r="Q165" i="6" a="1"/>
  <c r="Q165" i="6" s="1"/>
  <c r="C165" i="6"/>
  <c r="C171" i="6"/>
  <c r="R171" i="6"/>
  <c r="Q171" i="6" a="1"/>
  <c r="Q171" i="6" s="1"/>
  <c r="R59" i="6"/>
  <c r="Q59" i="6" a="1"/>
  <c r="Q59" i="6" s="1"/>
  <c r="C59" i="6"/>
  <c r="C125" i="6"/>
  <c r="R125" i="6"/>
  <c r="Q125" i="6" a="1"/>
  <c r="Q125" i="6" s="1"/>
  <c r="C74" i="6"/>
  <c r="R74" i="6"/>
  <c r="Q74" i="6" a="1"/>
  <c r="Q74" i="6" s="1"/>
  <c r="C145" i="6"/>
  <c r="R145" i="6"/>
  <c r="Q145" i="6" a="1"/>
  <c r="Q145" i="6" s="1"/>
  <c r="R37" i="6"/>
  <c r="Q37" i="6" a="1"/>
  <c r="Q37" i="6" s="1"/>
  <c r="C37" i="6"/>
  <c r="Q167" i="6" a="1"/>
  <c r="Q167" i="6" s="1"/>
  <c r="C167" i="6"/>
  <c r="R167" i="6"/>
  <c r="R24" i="6"/>
  <c r="Q24" i="6" a="1"/>
  <c r="Q24" i="6" s="1"/>
  <c r="C24" i="6"/>
  <c r="C45" i="6"/>
  <c r="R45" i="6"/>
  <c r="Q45" i="6" a="1"/>
  <c r="Q45" i="6" s="1"/>
  <c r="R127" i="6"/>
  <c r="Q127" i="6" a="1"/>
  <c r="Q127" i="6" s="1"/>
  <c r="C127" i="6"/>
  <c r="R13" i="6"/>
  <c r="Q13" i="6" a="1"/>
  <c r="Q13" i="6" s="1"/>
  <c r="C13" i="6"/>
  <c r="C134" i="6"/>
  <c r="R134" i="6"/>
  <c r="Q134" i="6" a="1"/>
  <c r="Q134" i="6" s="1"/>
  <c r="Q27" i="3" a="1"/>
  <c r="Q27" i="3" s="1"/>
  <c r="R55" i="3"/>
  <c r="R41" i="3"/>
  <c r="Q85" i="3" a="1"/>
  <c r="Q85" i="3" s="1"/>
  <c r="R46" i="6"/>
  <c r="Q46" i="6" a="1"/>
  <c r="Q46" i="6" s="1"/>
  <c r="C46" i="6"/>
  <c r="C198" i="6"/>
  <c r="R198" i="6"/>
  <c r="Q198" i="6" a="1"/>
  <c r="Q198" i="6" s="1"/>
  <c r="R71" i="6"/>
  <c r="Q71" i="6" a="1"/>
  <c r="Q71" i="6" s="1"/>
  <c r="C71" i="6"/>
  <c r="R47" i="6"/>
  <c r="Q47" i="6" a="1"/>
  <c r="Q47" i="6" s="1"/>
  <c r="C47" i="6"/>
  <c r="R49" i="6"/>
  <c r="Q49" i="6" a="1"/>
  <c r="Q49" i="6" s="1"/>
  <c r="C49" i="6"/>
  <c r="R89" i="6"/>
  <c r="Q89" i="6" a="1"/>
  <c r="Q89" i="6" s="1"/>
  <c r="C89" i="6"/>
  <c r="C68" i="6"/>
  <c r="R68" i="6"/>
  <c r="Q68" i="6" a="1"/>
  <c r="Q68" i="6" s="1"/>
  <c r="Q79" i="6" a="1"/>
  <c r="Q79" i="6" s="1"/>
  <c r="R79" i="6"/>
  <c r="C79" i="6"/>
  <c r="Q117" i="6" a="1"/>
  <c r="Q117" i="6" s="1"/>
  <c r="C117" i="6"/>
  <c r="R117" i="6"/>
  <c r="C174" i="6"/>
  <c r="R174" i="6"/>
  <c r="Q174" i="6" a="1"/>
  <c r="Q174" i="6" s="1"/>
  <c r="Q55" i="3" a="1"/>
  <c r="Q55" i="3" s="1"/>
  <c r="Q18" i="3" a="1"/>
  <c r="Q18" i="3" s="1"/>
  <c r="C132" i="6"/>
  <c r="R132" i="6"/>
  <c r="Q132" i="6" a="1"/>
  <c r="Q132" i="6" s="1"/>
  <c r="C31" i="6"/>
  <c r="R31" i="6"/>
  <c r="Q31" i="6" a="1"/>
  <c r="Q31" i="6" s="1"/>
  <c r="Q103" i="6" a="1"/>
  <c r="Q103" i="6" s="1"/>
  <c r="R103" i="6"/>
  <c r="C103" i="6"/>
  <c r="C156" i="6"/>
  <c r="R156" i="6"/>
  <c r="Q156" i="6" a="1"/>
  <c r="Q156" i="6" s="1"/>
  <c r="C100" i="6"/>
  <c r="Q100" i="6" a="1"/>
  <c r="Q100" i="6" s="1"/>
  <c r="R100" i="6"/>
  <c r="R176" i="6"/>
  <c r="Q176" i="6" a="1"/>
  <c r="Q176" i="6" s="1"/>
  <c r="C176" i="6"/>
  <c r="C69" i="6"/>
  <c r="R69" i="6"/>
  <c r="Q69" i="6" a="1"/>
  <c r="Q69" i="6" s="1"/>
  <c r="C18" i="3"/>
  <c r="Q41" i="3" a="1"/>
  <c r="Q41" i="3" s="1"/>
  <c r="C180" i="6"/>
  <c r="R180" i="6"/>
  <c r="Q180" i="6" a="1"/>
  <c r="Q180" i="6" s="1"/>
  <c r="R92" i="6"/>
  <c r="Q92" i="6" a="1"/>
  <c r="Q92" i="6" s="1"/>
  <c r="C92" i="6"/>
  <c r="Q81" i="6" a="1"/>
  <c r="Q81" i="6" s="1"/>
  <c r="C81" i="6"/>
  <c r="R81" i="6"/>
  <c r="R118" i="6"/>
  <c r="C118" i="6"/>
  <c r="Q118" i="6" a="1"/>
  <c r="Q118" i="6" s="1"/>
  <c r="R101" i="6"/>
  <c r="Q101" i="6" a="1"/>
  <c r="Q101" i="6" s="1"/>
  <c r="C101" i="6"/>
  <c r="C30" i="6"/>
  <c r="R30" i="6"/>
  <c r="Q30" i="6" a="1"/>
  <c r="Q30" i="6" s="1"/>
  <c r="C86" i="6"/>
  <c r="R86" i="6"/>
  <c r="Q86" i="6" a="1"/>
  <c r="Q86" i="6" s="1"/>
  <c r="R75" i="6"/>
  <c r="Q75" i="6" a="1"/>
  <c r="Q75" i="6" s="1"/>
  <c r="C75" i="6"/>
  <c r="R94" i="6"/>
  <c r="Q94" i="6" a="1"/>
  <c r="Q94" i="6" s="1"/>
  <c r="C94" i="6"/>
  <c r="C164" i="3"/>
  <c r="R96" i="6"/>
  <c r="Q96" i="6" a="1"/>
  <c r="Q96" i="6" s="1"/>
  <c r="C96" i="6"/>
  <c r="C102" i="6"/>
  <c r="R102" i="6"/>
  <c r="Q102" i="6" a="1"/>
  <c r="Q102" i="6" s="1"/>
  <c r="C43" i="6"/>
  <c r="R43" i="6"/>
  <c r="Q43" i="6" a="1"/>
  <c r="Q43" i="6" s="1"/>
  <c r="R199" i="6"/>
  <c r="Q199" i="6" a="1"/>
  <c r="Q199" i="6" s="1"/>
  <c r="C199" i="6"/>
  <c r="C78" i="6"/>
  <c r="R78" i="6"/>
  <c r="Q78" i="6" a="1"/>
  <c r="Q78" i="6" s="1"/>
  <c r="R48" i="6"/>
  <c r="Q48" i="6" a="1"/>
  <c r="Q48" i="6" s="1"/>
  <c r="C48" i="6"/>
  <c r="R128" i="6"/>
  <c r="Q128" i="6" a="1"/>
  <c r="Q128" i="6" s="1"/>
  <c r="C128" i="6"/>
  <c r="C124" i="6"/>
  <c r="R124" i="6"/>
  <c r="Q124" i="6" a="1"/>
  <c r="Q124" i="6" s="1"/>
  <c r="C16" i="6"/>
  <c r="R16" i="6"/>
  <c r="Q16" i="6" a="1"/>
  <c r="Q16" i="6" s="1"/>
  <c r="C33" i="6"/>
  <c r="R33" i="6"/>
  <c r="Q33" i="6" a="1"/>
  <c r="Q33" i="6" s="1"/>
  <c r="C18" i="6"/>
  <c r="R18" i="6"/>
  <c r="Q18" i="6" a="1"/>
  <c r="Q18" i="6" s="1"/>
  <c r="C17" i="6"/>
  <c r="R17" i="6"/>
  <c r="Q17" i="6" a="1"/>
  <c r="Q17" i="6" s="1"/>
  <c r="C27" i="6"/>
  <c r="R27" i="6"/>
  <c r="Q27" i="6" a="1"/>
  <c r="Q27" i="6" s="1"/>
  <c r="C41" i="6"/>
  <c r="R41" i="6"/>
  <c r="Q41" i="6" a="1"/>
  <c r="Q41" i="6" s="1"/>
  <c r="R84" i="6"/>
  <c r="Q84" i="6" a="1"/>
  <c r="Q84" i="6" s="1"/>
  <c r="C84" i="6"/>
  <c r="C182" i="6"/>
  <c r="R182" i="6"/>
  <c r="Q182" i="6" a="1"/>
  <c r="Q182" i="6" s="1"/>
  <c r="C166" i="3"/>
  <c r="Q166" i="3" a="1"/>
  <c r="Q166" i="3" s="1"/>
  <c r="C147" i="6"/>
  <c r="R147" i="6"/>
  <c r="Q147" i="6" a="1"/>
  <c r="Q147" i="6" s="1"/>
  <c r="R187" i="6"/>
  <c r="Q187" i="6" a="1"/>
  <c r="Q187" i="6" s="1"/>
  <c r="C187" i="6"/>
  <c r="R164" i="6"/>
  <c r="Q164" i="6" a="1"/>
  <c r="Q164" i="6" s="1"/>
  <c r="C164" i="6"/>
  <c r="C144" i="6"/>
  <c r="R144" i="6"/>
  <c r="Q144" i="6" a="1"/>
  <c r="Q144" i="6" s="1"/>
  <c r="R190" i="6"/>
  <c r="Q190" i="6" a="1"/>
  <c r="Q190" i="6" s="1"/>
  <c r="C190" i="6"/>
  <c r="C76" i="6"/>
  <c r="R76" i="6"/>
  <c r="Q76" i="6" a="1"/>
  <c r="Q76" i="6" s="1"/>
  <c r="C32" i="6"/>
  <c r="R32" i="6"/>
  <c r="Q32" i="6" a="1"/>
  <c r="Q32" i="6" s="1"/>
  <c r="Q26" i="6" a="1"/>
  <c r="Q26" i="6" s="1"/>
  <c r="C26" i="6"/>
  <c r="R26" i="6"/>
  <c r="R166" i="6"/>
  <c r="Q166" i="6" a="1"/>
  <c r="Q166" i="6" s="1"/>
  <c r="C166" i="6"/>
  <c r="R82" i="3"/>
  <c r="R61" i="3"/>
  <c r="C168" i="6"/>
  <c r="R168" i="6"/>
  <c r="Q168" i="6" a="1"/>
  <c r="Q168" i="6" s="1"/>
  <c r="C52" i="6"/>
  <c r="R52" i="6"/>
  <c r="Q52" i="6" a="1"/>
  <c r="Q52" i="6" s="1"/>
  <c r="R99" i="6"/>
  <c r="Q99" i="6" a="1"/>
  <c r="Q99" i="6" s="1"/>
  <c r="C99" i="6"/>
  <c r="C54" i="6"/>
  <c r="R54" i="6"/>
  <c r="Q54" i="6" a="1"/>
  <c r="Q54" i="6" s="1"/>
  <c r="C40" i="6"/>
  <c r="R40" i="6"/>
  <c r="Q40" i="6" a="1"/>
  <c r="Q40" i="6" s="1"/>
  <c r="C181" i="6"/>
  <c r="R181" i="6"/>
  <c r="Q181" i="6" a="1"/>
  <c r="Q181" i="6" s="1"/>
  <c r="R189" i="6"/>
  <c r="Q189" i="6" a="1"/>
  <c r="Q189" i="6" s="1"/>
  <c r="C189" i="6"/>
  <c r="Q62" i="6" a="1"/>
  <c r="Q62" i="6" s="1"/>
  <c r="C62" i="6"/>
  <c r="R62" i="6"/>
  <c r="C170" i="6"/>
  <c r="R170" i="6"/>
  <c r="Q170" i="6" a="1"/>
  <c r="Q170" i="6" s="1"/>
  <c r="C114" i="6"/>
  <c r="R114" i="6"/>
  <c r="Q114" i="6" a="1"/>
  <c r="Q114" i="6" s="1"/>
  <c r="C90" i="6"/>
  <c r="R90" i="6"/>
  <c r="Q90" i="6" a="1"/>
  <c r="Q90" i="6" s="1"/>
  <c r="C110" i="6"/>
  <c r="R110" i="6"/>
  <c r="Q110" i="6" a="1"/>
  <c r="Q110" i="6" s="1"/>
  <c r="C29" i="6"/>
  <c r="R29" i="6"/>
  <c r="Q29" i="6" a="1"/>
  <c r="Q29" i="6" s="1"/>
  <c r="C162" i="6"/>
  <c r="R162" i="6"/>
  <c r="Q162" i="6" a="1"/>
  <c r="Q162" i="6" s="1"/>
  <c r="R153" i="6"/>
  <c r="Q153" i="6" a="1"/>
  <c r="Q153" i="6" s="1"/>
  <c r="C153" i="6"/>
  <c r="C158" i="6"/>
  <c r="R158" i="6"/>
  <c r="Q158" i="6" a="1"/>
  <c r="Q158" i="6" s="1"/>
  <c r="R177" i="6"/>
  <c r="Q177" i="6" a="1"/>
  <c r="Q177" i="6" s="1"/>
  <c r="C177" i="6"/>
  <c r="C15" i="6"/>
  <c r="R15" i="6"/>
  <c r="Q15" i="6" a="1"/>
  <c r="Q15" i="6" s="1"/>
  <c r="R142" i="6"/>
  <c r="Q142" i="6" a="1"/>
  <c r="Q142" i="6" s="1"/>
  <c r="C142" i="6"/>
  <c r="R175" i="6"/>
  <c r="Q175" i="6" a="1"/>
  <c r="Q175" i="6" s="1"/>
  <c r="C175" i="6"/>
  <c r="C118" i="3"/>
  <c r="C121" i="6"/>
  <c r="R121" i="6"/>
  <c r="Q121" i="6" a="1"/>
  <c r="Q121" i="6" s="1"/>
  <c r="C42" i="6"/>
  <c r="R42" i="6"/>
  <c r="Q42" i="6" a="1"/>
  <c r="Q42" i="6" s="1"/>
  <c r="C135" i="6"/>
  <c r="R135" i="6"/>
  <c r="Q135" i="6" a="1"/>
  <c r="Q135" i="6" s="1"/>
  <c r="R152" i="6"/>
  <c r="Q152" i="6" a="1"/>
  <c r="Q152" i="6" s="1"/>
  <c r="C152" i="6"/>
  <c r="R129" i="6"/>
  <c r="Q129" i="6" a="1"/>
  <c r="Q129" i="6" s="1"/>
  <c r="C129" i="6"/>
  <c r="R139" i="6"/>
  <c r="Q139" i="6" a="1"/>
  <c r="Q139" i="6" s="1"/>
  <c r="C139" i="6"/>
  <c r="R22" i="6"/>
  <c r="Q22" i="6" a="1"/>
  <c r="Q22" i="6" s="1"/>
  <c r="C22" i="6"/>
  <c r="R60" i="6"/>
  <c r="Q60" i="6" a="1"/>
  <c r="Q60" i="6" s="1"/>
  <c r="C60" i="6"/>
  <c r="Q82" i="3" a="1"/>
  <c r="Q82" i="3" s="1"/>
  <c r="C123" i="6"/>
  <c r="R123" i="6"/>
  <c r="Q123" i="6" a="1"/>
  <c r="Q123" i="6" s="1"/>
  <c r="C44" i="6"/>
  <c r="R44" i="6"/>
  <c r="Q44" i="6" a="1"/>
  <c r="Q44" i="6" s="1"/>
  <c r="C159" i="6"/>
  <c r="R159" i="6"/>
  <c r="Q159" i="6" a="1"/>
  <c r="Q159" i="6" s="1"/>
  <c r="Q191" i="6" a="1"/>
  <c r="Q191" i="6" s="1"/>
  <c r="C191" i="6"/>
  <c r="R191" i="6"/>
  <c r="C199" i="3"/>
  <c r="R199" i="3"/>
  <c r="Q199" i="3" a="1"/>
  <c r="Q199" i="3" s="1"/>
  <c r="R70" i="6"/>
  <c r="Q70" i="6" a="1"/>
  <c r="Q70" i="6" s="1"/>
  <c r="C70" i="6"/>
  <c r="C157" i="6"/>
  <c r="R157" i="6"/>
  <c r="Q157" i="6" a="1"/>
  <c r="Q157" i="6" s="1"/>
  <c r="R130" i="6"/>
  <c r="Q130" i="6" a="1"/>
  <c r="Q130" i="6" s="1"/>
  <c r="C130" i="6"/>
  <c r="Q32" i="3" a="1"/>
  <c r="Q32" i="3" s="1"/>
  <c r="R32" i="3"/>
  <c r="R13" i="3"/>
  <c r="Q13" i="3" a="1"/>
  <c r="Q13" i="3" s="1"/>
  <c r="R158" i="3"/>
  <c r="Q61" i="3" a="1"/>
  <c r="Q61" i="3" s="1"/>
  <c r="C57" i="3"/>
  <c r="Q65" i="3" a="1"/>
  <c r="Q65" i="3" s="1"/>
  <c r="Q187" i="3" a="1"/>
  <c r="Q187" i="3" s="1"/>
  <c r="R28" i="3"/>
  <c r="Q28" i="3" a="1"/>
  <c r="Q28" i="3" s="1"/>
  <c r="Q74" i="3" a="1"/>
  <c r="Q74" i="3" s="1"/>
  <c r="R74" i="3"/>
  <c r="R85" i="3"/>
  <c r="R57" i="3"/>
  <c r="R81" i="3"/>
  <c r="C81" i="3"/>
  <c r="R105" i="3"/>
  <c r="Q105" i="3" a="1"/>
  <c r="Q105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<sst xmlns="http://schemas.openxmlformats.org/spreadsheetml/2006/main" count="8674" uniqueCount="4231">
  <si>
    <t>Nome da Especialidade</t>
  </si>
  <si>
    <t>Dermato-Venereologia</t>
  </si>
  <si>
    <t>Anatomia Patológica</t>
  </si>
  <si>
    <t>Anestesiologia</t>
  </si>
  <si>
    <t>Angiologia e Cirurgia Vascular</t>
  </si>
  <si>
    <t>Cardiologia</t>
  </si>
  <si>
    <t>Cardiologia Pediátrica</t>
  </si>
  <si>
    <t>Cirurgia Cardíaca</t>
  </si>
  <si>
    <t>Cirurgia Cardiotorácica</t>
  </si>
  <si>
    <t>Cirurgia Geral</t>
  </si>
  <si>
    <t>Cirurgia Maxilo-Facial</t>
  </si>
  <si>
    <t>Cirurgia Pediátrica</t>
  </si>
  <si>
    <t>Cirurgia Plástica Reco. e Est.</t>
  </si>
  <si>
    <t>Cirurgia Torácica</t>
  </si>
  <si>
    <t>Doenças Infecciosas</t>
  </si>
  <si>
    <t>Endocrinologia e Nutrição</t>
  </si>
  <si>
    <t>Estomatologia</t>
  </si>
  <si>
    <t>Farmacologia Clínica</t>
  </si>
  <si>
    <t>Gastrenterologia</t>
  </si>
  <si>
    <t>Genética Médica</t>
  </si>
  <si>
    <t>Ginecologia/Obstetrícia</t>
  </si>
  <si>
    <t>Hematologia Clínica</t>
  </si>
  <si>
    <t>Imunoalergologia</t>
  </si>
  <si>
    <t>Imunohemoterapia</t>
  </si>
  <si>
    <t>Medicina Desportiva</t>
  </si>
  <si>
    <t>Medicina do Trabalho</t>
  </si>
  <si>
    <t>Especialidade Medicina Física e de Reabilitação</t>
  </si>
  <si>
    <t>Medicina Geral e Familiar</t>
  </si>
  <si>
    <t>Medicina Intensiva</t>
  </si>
  <si>
    <t>Medicina Interna</t>
  </si>
  <si>
    <t>Medicina Legal</t>
  </si>
  <si>
    <t>Medicina Nuclear</t>
  </si>
  <si>
    <t>Medicina Tropical</t>
  </si>
  <si>
    <t>Nefrologia</t>
  </si>
  <si>
    <t>Neurocirurgia</t>
  </si>
  <si>
    <t>Neurologia</t>
  </si>
  <si>
    <t>Neurorradiologia</t>
  </si>
  <si>
    <t>Oftalmologia</t>
  </si>
  <si>
    <t>Oncologia Médica</t>
  </si>
  <si>
    <t>Ortopedia</t>
  </si>
  <si>
    <t>Otorrinolaringologia</t>
  </si>
  <si>
    <t>Patologia Clínica</t>
  </si>
  <si>
    <t>Pediatria</t>
  </si>
  <si>
    <t>Pneumologia</t>
  </si>
  <si>
    <t>Psiquiatria</t>
  </si>
  <si>
    <t>Psiquiatria da Infância e da Adolescência</t>
  </si>
  <si>
    <t>Radiologia</t>
  </si>
  <si>
    <t>Radioncologia</t>
  </si>
  <si>
    <t>Reumatologia</t>
  </si>
  <si>
    <t>Saúde Pública</t>
  </si>
  <si>
    <t>Urologia</t>
  </si>
  <si>
    <t>Sexo</t>
  </si>
  <si>
    <t>Nome</t>
  </si>
  <si>
    <t>Masculino</t>
  </si>
  <si>
    <t>Santiago</t>
  </si>
  <si>
    <t>Francisco</t>
  </si>
  <si>
    <t>João</t>
  </si>
  <si>
    <t>Afonso</t>
  </si>
  <si>
    <t>Rodrigo</t>
  </si>
  <si>
    <t>Martim</t>
  </si>
  <si>
    <t>Tomás</t>
  </si>
  <si>
    <t>Duarte</t>
  </si>
  <si>
    <t>Miguel</t>
  </si>
  <si>
    <t>Gabriel</t>
  </si>
  <si>
    <t>Pedro</t>
  </si>
  <si>
    <t>Marco</t>
  </si>
  <si>
    <t>Feminino</t>
  </si>
  <si>
    <t>Maria</t>
  </si>
  <si>
    <t>Leonor</t>
  </si>
  <si>
    <t>Matilde</t>
  </si>
  <si>
    <t>Beatriz</t>
  </si>
  <si>
    <t>Carolina</t>
  </si>
  <si>
    <t>Mariana</t>
  </si>
  <si>
    <t>Ana</t>
  </si>
  <si>
    <t>Sofia</t>
  </si>
  <si>
    <t>Francisca</t>
  </si>
  <si>
    <t>Inês</t>
  </si>
  <si>
    <t>Diogo</t>
  </si>
  <si>
    <t>Tiago</t>
  </si>
  <si>
    <t>Bruno</t>
  </si>
  <si>
    <t>José</t>
  </si>
  <si>
    <t>André</t>
  </si>
  <si>
    <t>Ricardo</t>
  </si>
  <si>
    <t>Luís</t>
  </si>
  <si>
    <t>Joana</t>
  </si>
  <si>
    <t>Catarina</t>
  </si>
  <si>
    <t>Sara</t>
  </si>
  <si>
    <t>Daniela</t>
  </si>
  <si>
    <t>Diana</t>
  </si>
  <si>
    <t>Apelidos</t>
  </si>
  <si>
    <t>Silva</t>
  </si>
  <si>
    <t>Santos</t>
  </si>
  <si>
    <t>Ferreira</t>
  </si>
  <si>
    <t>Pereira</t>
  </si>
  <si>
    <t>Oliveira</t>
  </si>
  <si>
    <t>Costa</t>
  </si>
  <si>
    <t>Rodrigues</t>
  </si>
  <si>
    <t>Martins</t>
  </si>
  <si>
    <t>Jesus</t>
  </si>
  <si>
    <t>Sousa</t>
  </si>
  <si>
    <t>Fernandes</t>
  </si>
  <si>
    <t>Gonçalves</t>
  </si>
  <si>
    <t>Gomes</t>
  </si>
  <si>
    <t>Lopes</t>
  </si>
  <si>
    <t>Marques</t>
  </si>
  <si>
    <t>Alves</t>
  </si>
  <si>
    <t>Almeida</t>
  </si>
  <si>
    <t>Ribeiro</t>
  </si>
  <si>
    <t>Pinto</t>
  </si>
  <si>
    <t>Carvalho</t>
  </si>
  <si>
    <t>Teixeira</t>
  </si>
  <si>
    <t>Moreira</t>
  </si>
  <si>
    <t>Correia</t>
  </si>
  <si>
    <t>Mendes</t>
  </si>
  <si>
    <t>Nunes</t>
  </si>
  <si>
    <t>Soares</t>
  </si>
  <si>
    <t>Vieira</t>
  </si>
  <si>
    <t>Monteiro</t>
  </si>
  <si>
    <t>Cardoso</t>
  </si>
  <si>
    <t>Rocha</t>
  </si>
  <si>
    <t>Raposo</t>
  </si>
  <si>
    <t>Neves</t>
  </si>
  <si>
    <t>Coelho</t>
  </si>
  <si>
    <t>Cruz</t>
  </si>
  <si>
    <t>Cunha</t>
  </si>
  <si>
    <t>Pires</t>
  </si>
  <si>
    <t>Ramos</t>
  </si>
  <si>
    <t>Reis</t>
  </si>
  <si>
    <t>Simões</t>
  </si>
  <si>
    <t>Antunes</t>
  </si>
  <si>
    <t>Matos</t>
  </si>
  <si>
    <t>Fonseca</t>
  </si>
  <si>
    <t>Machado</t>
  </si>
  <si>
    <t>Araújo</t>
  </si>
  <si>
    <t>Barbosa</t>
  </si>
  <si>
    <t>Tavares</t>
  </si>
  <si>
    <t>Lourenço</t>
  </si>
  <si>
    <t>Castro</t>
  </si>
  <si>
    <t>Figueiredo</t>
  </si>
  <si>
    <t>Azevedo</t>
  </si>
  <si>
    <t>Freitas</t>
  </si>
  <si>
    <t>Magalhães</t>
  </si>
  <si>
    <t>Henriques</t>
  </si>
  <si>
    <t>Lima</t>
  </si>
  <si>
    <t>Guerreiro</t>
  </si>
  <si>
    <t>Batista</t>
  </si>
  <si>
    <t>Pinheiro</t>
  </si>
  <si>
    <t>Faria</t>
  </si>
  <si>
    <t>Miranda</t>
  </si>
  <si>
    <t>Barros</t>
  </si>
  <si>
    <t>Morais</t>
  </si>
  <si>
    <t>Nogueira</t>
  </si>
  <si>
    <t>Esteves</t>
  </si>
  <si>
    <t>Anjos</t>
  </si>
  <si>
    <t>Baptista</t>
  </si>
  <si>
    <t>Campos</t>
  </si>
  <si>
    <t>Mota</t>
  </si>
  <si>
    <t>Andrade</t>
  </si>
  <si>
    <t>Brito</t>
  </si>
  <si>
    <t>Sá</t>
  </si>
  <si>
    <t>Nascimento</t>
  </si>
  <si>
    <t>Leite</t>
  </si>
  <si>
    <t>Abreu</t>
  </si>
  <si>
    <t>Borges</t>
  </si>
  <si>
    <t>Melo</t>
  </si>
  <si>
    <t>Vaz</t>
  </si>
  <si>
    <t>Pinho</t>
  </si>
  <si>
    <t>Vicente</t>
  </si>
  <si>
    <t>Gaspar</t>
  </si>
  <si>
    <t>Assunção</t>
  </si>
  <si>
    <t>Maia</t>
  </si>
  <si>
    <t>Moura</t>
  </si>
  <si>
    <t>Valente</t>
  </si>
  <si>
    <t>Domingues</t>
  </si>
  <si>
    <t>Garcia</t>
  </si>
  <si>
    <t>Carneiro</t>
  </si>
  <si>
    <t>Loureiro</t>
  </si>
  <si>
    <t>Neto</t>
  </si>
  <si>
    <t>Amaral</t>
  </si>
  <si>
    <t>Branco</t>
  </si>
  <si>
    <t>Leal</t>
  </si>
  <si>
    <t>Pacheco</t>
  </si>
  <si>
    <t>Macedo</t>
  </si>
  <si>
    <t>Paiva</t>
  </si>
  <si>
    <t>Matias</t>
  </si>
  <si>
    <t>Amorim</t>
  </si>
  <si>
    <t>Torres</t>
  </si>
  <si>
    <t>birthday</t>
  </si>
  <si>
    <t>year</t>
  </si>
  <si>
    <t>day</t>
  </si>
  <si>
    <t>month</t>
  </si>
  <si>
    <t>Vera</t>
  </si>
  <si>
    <t>Lurdes</t>
  </si>
  <si>
    <t>INSERT INTO speciality(name)</t>
  </si>
  <si>
    <t>1º nome</t>
  </si>
  <si>
    <t>2º nome</t>
  </si>
  <si>
    <t>1º apelido</t>
  </si>
  <si>
    <t>2º apelido</t>
  </si>
  <si>
    <t>num_cod_postal</t>
  </si>
  <si>
    <t>desig_postal</t>
  </si>
  <si>
    <t>Coimbra</t>
  </si>
  <si>
    <t>Leiria</t>
  </si>
  <si>
    <t>Tomar</t>
  </si>
  <si>
    <t>Torres Novas</t>
  </si>
  <si>
    <t>Torres Vedras</t>
  </si>
  <si>
    <t>Santarém</t>
  </si>
  <si>
    <t>Sintra</t>
  </si>
  <si>
    <t>Queluz</t>
  </si>
  <si>
    <t>Setúbal</t>
  </si>
  <si>
    <t>Almada</t>
  </si>
  <si>
    <t>Amadora</t>
  </si>
  <si>
    <t>Lisboa</t>
  </si>
  <si>
    <t>Loures</t>
  </si>
  <si>
    <t>Mafra</t>
  </si>
  <si>
    <t>Montijo</t>
  </si>
  <si>
    <t>Oeiras</t>
  </si>
  <si>
    <t>Barreiro</t>
  </si>
  <si>
    <t>Caparica</t>
  </si>
  <si>
    <t>Carcavelos</t>
  </si>
  <si>
    <t>Carnaxide</t>
  </si>
  <si>
    <t>Cascais</t>
  </si>
  <si>
    <t>Costa de Caparica</t>
  </si>
  <si>
    <t>Entroncamento</t>
  </si>
  <si>
    <t>Ericeira</t>
  </si>
  <si>
    <t>random</t>
  </si>
  <si>
    <t>Portuguesa</t>
  </si>
  <si>
    <t>Rua do Arsenal</t>
  </si>
  <si>
    <t>Rua dos Bacalhoeiros</t>
  </si>
  <si>
    <t>Calçada de Carriche</t>
  </si>
  <si>
    <t>Rua Cidade de Bolama</t>
  </si>
  <si>
    <t>Estrada da Circunvalação de Lisboa</t>
  </si>
  <si>
    <t>Rua dos Fanqueiros</t>
  </si>
  <si>
    <t>Rua Garrett</t>
  </si>
  <si>
    <t>Rua dos Heróis de Quionga</t>
  </si>
  <si>
    <t>Rua do Instituto Bacteriológico</t>
  </si>
  <si>
    <t>Estrada das Laranjeiras</t>
  </si>
  <si>
    <t>Rua da Madalena</t>
  </si>
  <si>
    <t>Calçada Marquês de Abrantes</t>
  </si>
  <si>
    <t>Calçada do Moinho de Vento</t>
  </si>
  <si>
    <t>Rua da Oliveira ao Carmo</t>
  </si>
  <si>
    <t>Calçada do Poço dos Mouros</t>
  </si>
  <si>
    <t>Rua da Prata</t>
  </si>
  <si>
    <t>Avenida Ressano Garcia</t>
  </si>
  <si>
    <t>Rua Roberto Duarte Silva</t>
  </si>
  <si>
    <t>Rua da Betesga</t>
  </si>
  <si>
    <t>Rua do Comércio</t>
  </si>
  <si>
    <t>Rua do Guarda-Mor</t>
  </si>
  <si>
    <t>Rua Ferreira Lapa</t>
  </si>
  <si>
    <t>Rua General Morais Sarmento</t>
  </si>
  <si>
    <t>Rua Júlio César Machado</t>
  </si>
  <si>
    <t>Rua Nova do Almada</t>
  </si>
  <si>
    <t>Rua do Salitre</t>
  </si>
  <si>
    <t>Rua de São Julião</t>
  </si>
  <si>
    <t>Rua de São Mamede</t>
  </si>
  <si>
    <t>Rua do Sacramento à Lapa</t>
  </si>
  <si>
    <t>Rua de São Bento</t>
  </si>
  <si>
    <t>Travessa de São João da Praça</t>
  </si>
  <si>
    <t>Rua do Sol a Santana</t>
  </si>
  <si>
    <t>Ruas</t>
  </si>
  <si>
    <t>Rua da Alfândega</t>
  </si>
  <si>
    <t>Rua Augusta</t>
  </si>
  <si>
    <t>Rua do Carmo</t>
  </si>
  <si>
    <t>Estrada Militar</t>
  </si>
  <si>
    <t>Rua da Junqueira</t>
  </si>
  <si>
    <t>PoscódigoPostal</t>
  </si>
  <si>
    <t>Bilhete de Identidade</t>
  </si>
  <si>
    <t>phone</t>
  </si>
  <si>
    <t>@outlook.com</t>
  </si>
  <si>
    <t>@gmail.com</t>
  </si>
  <si>
    <t>@sapo.pt</t>
  </si>
  <si>
    <t>Posphone</t>
  </si>
  <si>
    <t>Posemail</t>
  </si>
  <si>
    <t>id</t>
  </si>
  <si>
    <t>username</t>
  </si>
  <si>
    <t>password</t>
  </si>
  <si>
    <t>name</t>
  </si>
  <si>
    <t>sex</t>
  </si>
  <si>
    <t>address</t>
  </si>
  <si>
    <t>account</t>
  </si>
  <si>
    <t>nationality</t>
  </si>
  <si>
    <t>nif</t>
  </si>
  <si>
    <t>patientNumber</t>
  </si>
  <si>
    <t>email</t>
  </si>
  <si>
    <t>photoURL</t>
  </si>
  <si>
    <t>tomboa1199</t>
  </si>
  <si>
    <t>pswtomboa1199</t>
  </si>
  <si>
    <t>verboa1949</t>
  </si>
  <si>
    <t>pswverboa1949</t>
  </si>
  <si>
    <t>marica2829</t>
  </si>
  <si>
    <t>pswmarica2829</t>
  </si>
  <si>
    <t>marica2829@gmail.com</t>
  </si>
  <si>
    <t>marira2655</t>
  </si>
  <si>
    <t>pswmarira2655</t>
  </si>
  <si>
    <t>marira2655@sapo.pt</t>
  </si>
  <si>
    <t>marboa1000</t>
  </si>
  <si>
    <t>pswmarboa1000</t>
  </si>
  <si>
    <t>marais2754</t>
  </si>
  <si>
    <t>pswmarais2754</t>
  </si>
  <si>
    <t>rodnto2334</t>
  </si>
  <si>
    <t>pswrodnto2334</t>
  </si>
  <si>
    <t>rodnto2334@sapo.pt</t>
  </si>
  <si>
    <t>tiaboa1549</t>
  </si>
  <si>
    <t>pswtiaboa1549</t>
  </si>
  <si>
    <t>tiaboa1549@sapo.pt</t>
  </si>
  <si>
    <t>luiboa1300</t>
  </si>
  <si>
    <t>pswluiboa1300</t>
  </si>
  <si>
    <t>luiboa1300@sapo.pt</t>
  </si>
  <si>
    <t>marboa1959</t>
  </si>
  <si>
    <t>pswmarboa1959</t>
  </si>
  <si>
    <t>brufra2640</t>
  </si>
  <si>
    <t>pswbrufra2640</t>
  </si>
  <si>
    <t>brufra2640@sapo.pt</t>
  </si>
  <si>
    <t>fraboa1150</t>
  </si>
  <si>
    <t>pswfraboa1150</t>
  </si>
  <si>
    <t>fraboa1150@sapo.pt</t>
  </si>
  <si>
    <t>tomiro2834</t>
  </si>
  <si>
    <t>pswtomiro2834</t>
  </si>
  <si>
    <t>marais2754@gmail.com</t>
  </si>
  <si>
    <t>marica2825</t>
  </si>
  <si>
    <t>pswmarica2825</t>
  </si>
  <si>
    <t>marica2825@sapo.pt</t>
  </si>
  <si>
    <t>tomboa1449</t>
  </si>
  <si>
    <t>pswtomboa1449</t>
  </si>
  <si>
    <t>marboa1169</t>
  </si>
  <si>
    <t>pswmarboa1169</t>
  </si>
  <si>
    <t>marboa1169@outlook.com</t>
  </si>
  <si>
    <t>marlos2775</t>
  </si>
  <si>
    <t>pswmarlos2775</t>
  </si>
  <si>
    <t>marlos2775@gmail.com</t>
  </si>
  <si>
    <t>marmar2300</t>
  </si>
  <si>
    <t>pswmarmar2300</t>
  </si>
  <si>
    <t>1400-125</t>
  </si>
  <si>
    <t>aforem2009</t>
  </si>
  <si>
    <t>pswaforem2009</t>
  </si>
  <si>
    <t>city</t>
  </si>
  <si>
    <t>document_number</t>
  </si>
  <si>
    <t>patient_number</t>
  </si>
  <si>
    <t>document_type</t>
  </si>
  <si>
    <t>post_Code</t>
  </si>
  <si>
    <t>photourl</t>
  </si>
  <si>
    <t>@hospital.upskill.com</t>
  </si>
  <si>
    <t>Doctor</t>
  </si>
  <si>
    <t>license_number</t>
  </si>
  <si>
    <t>employee_type</t>
  </si>
  <si>
    <t>med012</t>
  </si>
  <si>
    <t>pswmed012</t>
  </si>
  <si>
    <t>Tomás Santos</t>
  </si>
  <si>
    <t>2674-999</t>
  </si>
  <si>
    <t>33696253</t>
  </si>
  <si>
    <t>118341462</t>
  </si>
  <si>
    <t>535478583</t>
  </si>
  <si>
    <t>963706322</t>
  </si>
  <si>
    <t>med012@hospital.upskill.com</t>
  </si>
  <si>
    <t>med013</t>
  </si>
  <si>
    <t>pswmed013</t>
  </si>
  <si>
    <t>André Nogueira</t>
  </si>
  <si>
    <t>2914-110</t>
  </si>
  <si>
    <t>58060035</t>
  </si>
  <si>
    <t>500525330</t>
  </si>
  <si>
    <t>639557550</t>
  </si>
  <si>
    <t>966710210</t>
  </si>
  <si>
    <t>med013@hospital.upskill.com</t>
  </si>
  <si>
    <t>med014</t>
  </si>
  <si>
    <t>pswmed014</t>
  </si>
  <si>
    <t>Sara Miranda</t>
  </si>
  <si>
    <t>3000-412</t>
  </si>
  <si>
    <t>28644332</t>
  </si>
  <si>
    <t>439805765</t>
  </si>
  <si>
    <t>665084101</t>
  </si>
  <si>
    <t>910103682</t>
  </si>
  <si>
    <t>med014@hospital.upskill.com</t>
  </si>
  <si>
    <t>med015</t>
  </si>
  <si>
    <t>pswmed015</t>
  </si>
  <si>
    <t>Sofia Fonseca</t>
  </si>
  <si>
    <t>1200-505</t>
  </si>
  <si>
    <t>39128367</t>
  </si>
  <si>
    <t>580249488</t>
  </si>
  <si>
    <t>963855058</t>
  </si>
  <si>
    <t>963418644</t>
  </si>
  <si>
    <t>med015@hospital.upskill.com</t>
  </si>
  <si>
    <t>med016</t>
  </si>
  <si>
    <t>pswmed016</t>
  </si>
  <si>
    <t>Afonso Neves</t>
  </si>
  <si>
    <t>1949-949</t>
  </si>
  <si>
    <t>92943346</t>
  </si>
  <si>
    <t>433733189</t>
  </si>
  <si>
    <t>831453292</t>
  </si>
  <si>
    <t>911182360</t>
  </si>
  <si>
    <t>med016@hospital.upskill.com</t>
  </si>
  <si>
    <t>med017</t>
  </si>
  <si>
    <t>pswmed017</t>
  </si>
  <si>
    <t>Sofia Antunes</t>
  </si>
  <si>
    <t>2004-480</t>
  </si>
  <si>
    <t>13352267</t>
  </si>
  <si>
    <t>199571599</t>
  </si>
  <si>
    <t>450437281</t>
  </si>
  <si>
    <t>965384042</t>
  </si>
  <si>
    <t>med017@hospital.upskill.com</t>
  </si>
  <si>
    <t>med018</t>
  </si>
  <si>
    <t>pswmed018</t>
  </si>
  <si>
    <t>Diogo Baptista</t>
  </si>
  <si>
    <t>1959-925</t>
  </si>
  <si>
    <t>55725963</t>
  </si>
  <si>
    <t>146885985</t>
  </si>
  <si>
    <t>621580208</t>
  </si>
  <si>
    <t>931465362</t>
  </si>
  <si>
    <t>med018@hospital.upskill.com</t>
  </si>
  <si>
    <t>med019</t>
  </si>
  <si>
    <t>pswmed019</t>
  </si>
  <si>
    <t>Vera Mendes</t>
  </si>
  <si>
    <t>2724-953</t>
  </si>
  <si>
    <t>47492153</t>
  </si>
  <si>
    <t>533401158</t>
  </si>
  <si>
    <t>521361032</t>
  </si>
  <si>
    <t>968368319</t>
  </si>
  <si>
    <t>med019@hospital.upskill.com</t>
  </si>
  <si>
    <t>med020</t>
  </si>
  <si>
    <t>pswmed020</t>
  </si>
  <si>
    <t>Luís Oliveira</t>
  </si>
  <si>
    <t>2419-164</t>
  </si>
  <si>
    <t>38438525</t>
  </si>
  <si>
    <t>478007887</t>
  </si>
  <si>
    <t>867442594</t>
  </si>
  <si>
    <t>924432019</t>
  </si>
  <si>
    <t>med020@hospital.upskill.com</t>
  </si>
  <si>
    <t>med021</t>
  </si>
  <si>
    <t>pswmed021</t>
  </si>
  <si>
    <t>Beatriz Guerreiro</t>
  </si>
  <si>
    <t>2610-611</t>
  </si>
  <si>
    <t>91237602</t>
  </si>
  <si>
    <t>954771175</t>
  </si>
  <si>
    <t>775823974</t>
  </si>
  <si>
    <t>931953399</t>
  </si>
  <si>
    <t>med021@hospital.upskill.com</t>
  </si>
  <si>
    <t>med022</t>
  </si>
  <si>
    <t>pswmed022</t>
  </si>
  <si>
    <t>Tomás Domingues</t>
  </si>
  <si>
    <t>2904-862</t>
  </si>
  <si>
    <t>17748762</t>
  </si>
  <si>
    <t>339553711</t>
  </si>
  <si>
    <t>372102865</t>
  </si>
  <si>
    <t>914038015</t>
  </si>
  <si>
    <t>med022@hospital.upskill.com</t>
  </si>
  <si>
    <t>med023</t>
  </si>
  <si>
    <t>pswmed023</t>
  </si>
  <si>
    <t>Maria Sousa</t>
  </si>
  <si>
    <t>2420-573</t>
  </si>
  <si>
    <t>73526953</t>
  </si>
  <si>
    <t>707477594</t>
  </si>
  <si>
    <t>922404080</t>
  </si>
  <si>
    <t>935200647</t>
  </si>
  <si>
    <t>med023@hospital.upskill.com</t>
  </si>
  <si>
    <t>med024</t>
  </si>
  <si>
    <t>pswmed024</t>
  </si>
  <si>
    <t>Lurdes Esteves</t>
  </si>
  <si>
    <t>2654-516</t>
  </si>
  <si>
    <t>44552239</t>
  </si>
  <si>
    <t>837752328</t>
  </si>
  <si>
    <t>742678965</t>
  </si>
  <si>
    <t>920367653</t>
  </si>
  <si>
    <t>med024@hospital.upskill.com</t>
  </si>
  <si>
    <t>med025</t>
  </si>
  <si>
    <t>pswmed025</t>
  </si>
  <si>
    <t>Bruno Miranda</t>
  </si>
  <si>
    <t>2814-590</t>
  </si>
  <si>
    <t>95601024</t>
  </si>
  <si>
    <t>106647341</t>
  </si>
  <si>
    <t>277148136</t>
  </si>
  <si>
    <t>966864988</t>
  </si>
  <si>
    <t>med025@hospital.upskill.com</t>
  </si>
  <si>
    <t>med026</t>
  </si>
  <si>
    <t>pswmed026</t>
  </si>
  <si>
    <t>Luís Miranda</t>
  </si>
  <si>
    <t>1649-61</t>
  </si>
  <si>
    <t>19045668</t>
  </si>
  <si>
    <t>662077315</t>
  </si>
  <si>
    <t>529541810</t>
  </si>
  <si>
    <t>920739832</t>
  </si>
  <si>
    <t>med026@hospital.upskill.com</t>
  </si>
  <si>
    <t>med027</t>
  </si>
  <si>
    <t>pswmed027</t>
  </si>
  <si>
    <t>Miguel Mota</t>
  </si>
  <si>
    <t>1300-816</t>
  </si>
  <si>
    <t>14775683</t>
  </si>
  <si>
    <t>682941556</t>
  </si>
  <si>
    <t>392222416</t>
  </si>
  <si>
    <t>924174901</t>
  </si>
  <si>
    <t>med027@hospital.upskill.com</t>
  </si>
  <si>
    <t>med028</t>
  </si>
  <si>
    <t>pswmed028</t>
  </si>
  <si>
    <t>Ana Carneiro</t>
  </si>
  <si>
    <t>2423-281</t>
  </si>
  <si>
    <t>13784174</t>
  </si>
  <si>
    <t>774689054</t>
  </si>
  <si>
    <t>349584753</t>
  </si>
  <si>
    <t>920557337</t>
  </si>
  <si>
    <t>med028@hospital.upskill.com</t>
  </si>
  <si>
    <t>med029</t>
  </si>
  <si>
    <t>pswmed029</t>
  </si>
  <si>
    <t>Maria Pereira</t>
  </si>
  <si>
    <t>2904-16</t>
  </si>
  <si>
    <t>23246998</t>
  </si>
  <si>
    <t>825232321</t>
  </si>
  <si>
    <t>234779728</t>
  </si>
  <si>
    <t>929975981</t>
  </si>
  <si>
    <t>med029@hospital.upskill.com</t>
  </si>
  <si>
    <t>med030</t>
  </si>
  <si>
    <t>pswmed030</t>
  </si>
  <si>
    <t>Francisca Neto</t>
  </si>
  <si>
    <t>2700-44</t>
  </si>
  <si>
    <t>71192882</t>
  </si>
  <si>
    <t>190466321</t>
  </si>
  <si>
    <t>590719808</t>
  </si>
  <si>
    <t>928805344</t>
  </si>
  <si>
    <t>med030@hospital.upskill.com</t>
  </si>
  <si>
    <t>med031</t>
  </si>
  <si>
    <t>pswmed031</t>
  </si>
  <si>
    <t>Luís Amorim</t>
  </si>
  <si>
    <t>1069-799</t>
  </si>
  <si>
    <t>72552448</t>
  </si>
  <si>
    <t>678254929</t>
  </si>
  <si>
    <t>430801507</t>
  </si>
  <si>
    <t>937121327</t>
  </si>
  <si>
    <t>med031@hospital.upskill.com</t>
  </si>
  <si>
    <t>med032</t>
  </si>
  <si>
    <t>pswmed032</t>
  </si>
  <si>
    <t>Carolina Pinho</t>
  </si>
  <si>
    <t>1949-796</t>
  </si>
  <si>
    <t>62421317</t>
  </si>
  <si>
    <t>664223058</t>
  </si>
  <si>
    <t>759238919</t>
  </si>
  <si>
    <t>937730920</t>
  </si>
  <si>
    <t>med032@hospital.upskill.com</t>
  </si>
  <si>
    <t>med033</t>
  </si>
  <si>
    <t>pswmed033</t>
  </si>
  <si>
    <t>Daniela Castro Baptista</t>
  </si>
  <si>
    <t>1998-138</t>
  </si>
  <si>
    <t>20364889</t>
  </si>
  <si>
    <t>892990128</t>
  </si>
  <si>
    <t>214105146</t>
  </si>
  <si>
    <t>928368747</t>
  </si>
  <si>
    <t>med033@hospital.upskill.com</t>
  </si>
  <si>
    <t>med034</t>
  </si>
  <si>
    <t>pswmed034</t>
  </si>
  <si>
    <t>Luís Ferreira Morais</t>
  </si>
  <si>
    <t>2614-252</t>
  </si>
  <si>
    <t>39542763</t>
  </si>
  <si>
    <t>181657084</t>
  </si>
  <si>
    <t>924064526</t>
  </si>
  <si>
    <t>923033282</t>
  </si>
  <si>
    <t>med034@hospital.upskill.com</t>
  </si>
  <si>
    <t>med035</t>
  </si>
  <si>
    <t>pswmed035</t>
  </si>
  <si>
    <t>Joana Fernandes Ferreira</t>
  </si>
  <si>
    <t>1169-44</t>
  </si>
  <si>
    <t>75787908</t>
  </si>
  <si>
    <t>259223217</t>
  </si>
  <si>
    <t>655526951</t>
  </si>
  <si>
    <t>932650211</t>
  </si>
  <si>
    <t>med035@hospital.upskill.com</t>
  </si>
  <si>
    <t>med036</t>
  </si>
  <si>
    <t>pswmed036</t>
  </si>
  <si>
    <t>José Gaspar Leal</t>
  </si>
  <si>
    <t>2714-547</t>
  </si>
  <si>
    <t>80146984</t>
  </si>
  <si>
    <t>469380803</t>
  </si>
  <si>
    <t>314734480</t>
  </si>
  <si>
    <t>966190771</t>
  </si>
  <si>
    <t>med036@hospital.upskill.com</t>
  </si>
  <si>
    <t>med037</t>
  </si>
  <si>
    <t>pswmed037</t>
  </si>
  <si>
    <t>Afonso Lourenço Abreu</t>
  </si>
  <si>
    <t>2749-892</t>
  </si>
  <si>
    <t>69635686</t>
  </si>
  <si>
    <t>911856714</t>
  </si>
  <si>
    <t>635897481</t>
  </si>
  <si>
    <t>933580171</t>
  </si>
  <si>
    <t>med037@hospital.upskill.com</t>
  </si>
  <si>
    <t>med038</t>
  </si>
  <si>
    <t>pswmed038</t>
  </si>
  <si>
    <t>Luís Ramos Ramos</t>
  </si>
  <si>
    <t>1199-850</t>
  </si>
  <si>
    <t>41414797</t>
  </si>
  <si>
    <t>128347042</t>
  </si>
  <si>
    <t>110244371</t>
  </si>
  <si>
    <t>968194030</t>
  </si>
  <si>
    <t>med038@hospital.upskill.com</t>
  </si>
  <si>
    <t>med039</t>
  </si>
  <si>
    <t>pswmed039</t>
  </si>
  <si>
    <t>José Cruz Matos</t>
  </si>
  <si>
    <t>2720-10</t>
  </si>
  <si>
    <t>34631755</t>
  </si>
  <si>
    <t>136840423</t>
  </si>
  <si>
    <t>154068972</t>
  </si>
  <si>
    <t>939911331</t>
  </si>
  <si>
    <t>med039@hospital.upskill.com</t>
  </si>
  <si>
    <t>med040</t>
  </si>
  <si>
    <t>pswmed040</t>
  </si>
  <si>
    <t>José Cardoso Castro</t>
  </si>
  <si>
    <t>2775-554</t>
  </si>
  <si>
    <t>74296340</t>
  </si>
  <si>
    <t>931018102</t>
  </si>
  <si>
    <t>914845039</t>
  </si>
  <si>
    <t>925694345</t>
  </si>
  <si>
    <t>med040@hospital.upskill.com</t>
  </si>
  <si>
    <t>med041</t>
  </si>
  <si>
    <t>pswmed041</t>
  </si>
  <si>
    <t>Tiago Ferreira Martins</t>
  </si>
  <si>
    <t>2910-179</t>
  </si>
  <si>
    <t>38346486</t>
  </si>
  <si>
    <t>699992984</t>
  </si>
  <si>
    <t>360548211</t>
  </si>
  <si>
    <t>919223042</t>
  </si>
  <si>
    <t>med041@hospital.upskill.com</t>
  </si>
  <si>
    <t>med042</t>
  </si>
  <si>
    <t>pswmed042</t>
  </si>
  <si>
    <t>Gabriel Matos Carneiro</t>
  </si>
  <si>
    <t>1099-465</t>
  </si>
  <si>
    <t>68051463</t>
  </si>
  <si>
    <t>141253950</t>
  </si>
  <si>
    <t>258508634</t>
  </si>
  <si>
    <t>924622420</t>
  </si>
  <si>
    <t>med042@hospital.upskill.com</t>
  </si>
  <si>
    <t>med043</t>
  </si>
  <si>
    <t>pswmed043</t>
  </si>
  <si>
    <t>Miguel Almeida Lima</t>
  </si>
  <si>
    <t>2829-151</t>
  </si>
  <si>
    <t>98739895</t>
  </si>
  <si>
    <t>117389003</t>
  </si>
  <si>
    <t>282445387</t>
  </si>
  <si>
    <t>919692272</t>
  </si>
  <si>
    <t>med043@hospital.upskill.com</t>
  </si>
  <si>
    <t>med044</t>
  </si>
  <si>
    <t>pswmed044</t>
  </si>
  <si>
    <t>Marco Amorim Santos</t>
  </si>
  <si>
    <t>1200-680</t>
  </si>
  <si>
    <t>34959489</t>
  </si>
  <si>
    <t>292181130</t>
  </si>
  <si>
    <t>382000530</t>
  </si>
  <si>
    <t>935788418</t>
  </si>
  <si>
    <t>med044@hospital.upskill.com</t>
  </si>
  <si>
    <t>med045</t>
  </si>
  <si>
    <t>pswmed045</t>
  </si>
  <si>
    <t>Marco Alves Antunes</t>
  </si>
  <si>
    <t>1150-167</t>
  </si>
  <si>
    <t>22509017</t>
  </si>
  <si>
    <t>284010712</t>
  </si>
  <si>
    <t>397574699</t>
  </si>
  <si>
    <t>934324382</t>
  </si>
  <si>
    <t>med045@hospital.upskill.com</t>
  </si>
  <si>
    <t>med046</t>
  </si>
  <si>
    <t>pswmed046</t>
  </si>
  <si>
    <t>Afonso Mota Pinho</t>
  </si>
  <si>
    <t>2420-892</t>
  </si>
  <si>
    <t>57598220</t>
  </si>
  <si>
    <t>815923823</t>
  </si>
  <si>
    <t>353708725</t>
  </si>
  <si>
    <t>922666499</t>
  </si>
  <si>
    <t>med046@hospital.upskill.com</t>
  </si>
  <si>
    <t>med047</t>
  </si>
  <si>
    <t>pswmed047</t>
  </si>
  <si>
    <t>Santiago Figueiredo Pinheiro</t>
  </si>
  <si>
    <t>2414-205</t>
  </si>
  <si>
    <t>94304833</t>
  </si>
  <si>
    <t>599516459</t>
  </si>
  <si>
    <t>886533774</t>
  </si>
  <si>
    <t>962633745</t>
  </si>
  <si>
    <t>med047@hospital.upskill.com</t>
  </si>
  <si>
    <t>med048</t>
  </si>
  <si>
    <t>pswmed048</t>
  </si>
  <si>
    <t>Joana Sá Garcia</t>
  </si>
  <si>
    <t>2670-910</t>
  </si>
  <si>
    <t>74539669</t>
  </si>
  <si>
    <t>438575984</t>
  </si>
  <si>
    <t>299529729</t>
  </si>
  <si>
    <t>966895040</t>
  </si>
  <si>
    <t>med048@hospital.upskill.com</t>
  </si>
  <si>
    <t>med049</t>
  </si>
  <si>
    <t>pswmed049</t>
  </si>
  <si>
    <t>Beatriz Paiva Marques</t>
  </si>
  <si>
    <t>1067-805</t>
  </si>
  <si>
    <t>16191870</t>
  </si>
  <si>
    <t>721867444</t>
  </si>
  <si>
    <t>563703619</t>
  </si>
  <si>
    <t>920694885</t>
  </si>
  <si>
    <t>med049@hospital.upskill.com</t>
  </si>
  <si>
    <t>med050</t>
  </si>
  <si>
    <t>pswmed050</t>
  </si>
  <si>
    <t>Afonso José Tavares Miranda</t>
  </si>
  <si>
    <t>2560-542</t>
  </si>
  <si>
    <t>39670437</t>
  </si>
  <si>
    <t>453096007</t>
  </si>
  <si>
    <t>253870958</t>
  </si>
  <si>
    <t>938362729</t>
  </si>
  <si>
    <t>med050@hospital.upskill.com</t>
  </si>
  <si>
    <t>med051</t>
  </si>
  <si>
    <t>pswmed051</t>
  </si>
  <si>
    <t>Rodrigo Mariana Santos Araújo</t>
  </si>
  <si>
    <t>1649-98</t>
  </si>
  <si>
    <t>20780186</t>
  </si>
  <si>
    <t>313289654</t>
  </si>
  <si>
    <t>433671939</t>
  </si>
  <si>
    <t>932843056</t>
  </si>
  <si>
    <t>med051@hospital.upskill.com</t>
  </si>
  <si>
    <t>med052</t>
  </si>
  <si>
    <t>pswmed052</t>
  </si>
  <si>
    <t>Matilde Sara Coelho Ribeiro</t>
  </si>
  <si>
    <t>1200-604</t>
  </si>
  <si>
    <t>68439063</t>
  </si>
  <si>
    <t>446859515</t>
  </si>
  <si>
    <t>747206327</t>
  </si>
  <si>
    <t>928171103</t>
  </si>
  <si>
    <t>med052@hospital.upskill.com</t>
  </si>
  <si>
    <t>med053</t>
  </si>
  <si>
    <t>pswmed053</t>
  </si>
  <si>
    <t>Francisco Diogo Pires Assunção</t>
  </si>
  <si>
    <t>1349-903</t>
  </si>
  <si>
    <t>53705375</t>
  </si>
  <si>
    <t>227069487</t>
  </si>
  <si>
    <t>319750281</t>
  </si>
  <si>
    <t>927950886</t>
  </si>
  <si>
    <t>med053@hospital.upskill.com</t>
  </si>
  <si>
    <t>med054</t>
  </si>
  <si>
    <t>pswmed054</t>
  </si>
  <si>
    <t>Tiago João Nogueira Matos</t>
  </si>
  <si>
    <t>1100-761</t>
  </si>
  <si>
    <t>38589986</t>
  </si>
  <si>
    <t>559464074</t>
  </si>
  <si>
    <t>791898566</t>
  </si>
  <si>
    <t>939271963</t>
  </si>
  <si>
    <t>med054@hospital.upskill.com</t>
  </si>
  <si>
    <t>med055</t>
  </si>
  <si>
    <t>pswmed055</t>
  </si>
  <si>
    <t>Pedro João Santos Gaspar</t>
  </si>
  <si>
    <t>2419-31</t>
  </si>
  <si>
    <t>45014313</t>
  </si>
  <si>
    <t>502140806</t>
  </si>
  <si>
    <t>316742900</t>
  </si>
  <si>
    <t>914529174</t>
  </si>
  <si>
    <t>med055@hospital.upskill.com</t>
  </si>
  <si>
    <t>med056</t>
  </si>
  <si>
    <t>pswmed056</t>
  </si>
  <si>
    <t>Francisca João Moreira Ribeiro</t>
  </si>
  <si>
    <t>1800-582</t>
  </si>
  <si>
    <t>81684087</t>
  </si>
  <si>
    <t>149072825</t>
  </si>
  <si>
    <t>539540791</t>
  </si>
  <si>
    <t>911149516</t>
  </si>
  <si>
    <t>med056@hospital.upskill.com</t>
  </si>
  <si>
    <t>med057</t>
  </si>
  <si>
    <t>pswmed057</t>
  </si>
  <si>
    <t>João Ana Almeida Maia</t>
  </si>
  <si>
    <t>2825-660</t>
  </si>
  <si>
    <t>77443779</t>
  </si>
  <si>
    <t>153105734</t>
  </si>
  <si>
    <t>777955068</t>
  </si>
  <si>
    <t>925538728</t>
  </si>
  <si>
    <t>med057@hospital.upskill.com</t>
  </si>
  <si>
    <t>med058</t>
  </si>
  <si>
    <t>pswmed058</t>
  </si>
  <si>
    <t>Miguel Leonor Domingues Lopes</t>
  </si>
  <si>
    <t>1750-440</t>
  </si>
  <si>
    <t>86716102</t>
  </si>
  <si>
    <t>556609452</t>
  </si>
  <si>
    <t>233042960</t>
  </si>
  <si>
    <t>960653444</t>
  </si>
  <si>
    <t>med058@hospital.upskill.com</t>
  </si>
  <si>
    <t>med059</t>
  </si>
  <si>
    <t>pswmed059</t>
  </si>
  <si>
    <t>Luís Sofia Carneiro Fonseca</t>
  </si>
  <si>
    <t>1999-731</t>
  </si>
  <si>
    <t>37986900</t>
  </si>
  <si>
    <t>593484432</t>
  </si>
  <si>
    <t>653673221</t>
  </si>
  <si>
    <t>925338843</t>
  </si>
  <si>
    <t>med059@hospital.upskill.com</t>
  </si>
  <si>
    <t>med060</t>
  </si>
  <si>
    <t>pswmed060</t>
  </si>
  <si>
    <t>Duarte Luís Cardoso Cunha</t>
  </si>
  <si>
    <t>2654-168</t>
  </si>
  <si>
    <t>88953156</t>
  </si>
  <si>
    <t>397732593</t>
  </si>
  <si>
    <t>523682737</t>
  </si>
  <si>
    <t>912441208</t>
  </si>
  <si>
    <t>med060@hospital.upskill.com</t>
  </si>
  <si>
    <t>med061</t>
  </si>
  <si>
    <t>pswmed061</t>
  </si>
  <si>
    <t>Catarina Carolina Carneiro Leite</t>
  </si>
  <si>
    <t>2750-238</t>
  </si>
  <si>
    <t>88704200</t>
  </si>
  <si>
    <t>623987568</t>
  </si>
  <si>
    <t>880845556</t>
  </si>
  <si>
    <t>960593146</t>
  </si>
  <si>
    <t>med061@hospital.upskill.com</t>
  </si>
  <si>
    <t>med062</t>
  </si>
  <si>
    <t>pswmed062</t>
  </si>
  <si>
    <t>José Catarina Barbosa Figueiredo</t>
  </si>
  <si>
    <t>2720-897</t>
  </si>
  <si>
    <t>58201933</t>
  </si>
  <si>
    <t>356282233</t>
  </si>
  <si>
    <t>325629423</t>
  </si>
  <si>
    <t>930238334</t>
  </si>
  <si>
    <t>med062@hospital.upskill.com</t>
  </si>
  <si>
    <t>med063</t>
  </si>
  <si>
    <t>pswmed063</t>
  </si>
  <si>
    <t>Mariana Carolina Rocha Pinheiro</t>
  </si>
  <si>
    <t>2779-584</t>
  </si>
  <si>
    <t>28255623</t>
  </si>
  <si>
    <t>551088405</t>
  </si>
  <si>
    <t>728327382</t>
  </si>
  <si>
    <t>911714300</t>
  </si>
  <si>
    <t>med063@hospital.upskill.com</t>
  </si>
  <si>
    <t>med064</t>
  </si>
  <si>
    <t>pswmed064</t>
  </si>
  <si>
    <t>Francisca Diana Mendes Oliveira</t>
  </si>
  <si>
    <t>2414-99</t>
  </si>
  <si>
    <t>39635626</t>
  </si>
  <si>
    <t>455794753</t>
  </si>
  <si>
    <t>844872412</t>
  </si>
  <si>
    <t>910505328</t>
  </si>
  <si>
    <t>med064@hospital.upskill.com</t>
  </si>
  <si>
    <t>med065</t>
  </si>
  <si>
    <t>pswmed065</t>
  </si>
  <si>
    <t>Rodrigo Rodrigo Araújo Melo</t>
  </si>
  <si>
    <t>1300-430</t>
  </si>
  <si>
    <t>63842104</t>
  </si>
  <si>
    <t>666619540</t>
  </si>
  <si>
    <t>176766770</t>
  </si>
  <si>
    <t>934133757</t>
  </si>
  <si>
    <t>med065@hospital.upskill.com</t>
  </si>
  <si>
    <t>med066</t>
  </si>
  <si>
    <t>pswmed066</t>
  </si>
  <si>
    <t>Carolina Catarina Sousa Ribeiro</t>
  </si>
  <si>
    <t>70417846</t>
  </si>
  <si>
    <t>544181226</t>
  </si>
  <si>
    <t>183794647</t>
  </si>
  <si>
    <t>934514431</t>
  </si>
  <si>
    <t>med066@hospital.upskill.com</t>
  </si>
  <si>
    <t>med067</t>
  </si>
  <si>
    <t>pswmed067</t>
  </si>
  <si>
    <t>Leonor Rodrigo Pereira Mendes</t>
  </si>
  <si>
    <t>1149-810</t>
  </si>
  <si>
    <t>20128933</t>
  </si>
  <si>
    <t>987051048</t>
  </si>
  <si>
    <t>285627219</t>
  </si>
  <si>
    <t>930370276</t>
  </si>
  <si>
    <t>med067@hospital.upskill.com</t>
  </si>
  <si>
    <t>med068</t>
  </si>
  <si>
    <t>pswmed068</t>
  </si>
  <si>
    <t>Mariana Santiago Andrade Fernandes</t>
  </si>
  <si>
    <t>1749-845</t>
  </si>
  <si>
    <t>68198969</t>
  </si>
  <si>
    <t>445048373</t>
  </si>
  <si>
    <t>373109601</t>
  </si>
  <si>
    <t>969130112</t>
  </si>
  <si>
    <t>med068@hospital.upskill.com</t>
  </si>
  <si>
    <t>med069</t>
  </si>
  <si>
    <t>pswmed069</t>
  </si>
  <si>
    <t>Catarina Francisco Mota Miranda</t>
  </si>
  <si>
    <t>2710-691</t>
  </si>
  <si>
    <t>52154542</t>
  </si>
  <si>
    <t>576251739</t>
  </si>
  <si>
    <t>409787637</t>
  </si>
  <si>
    <t>929963484</t>
  </si>
  <si>
    <t>med069@hospital.upskill.com</t>
  </si>
  <si>
    <t>med070</t>
  </si>
  <si>
    <t>pswmed070</t>
  </si>
  <si>
    <t>Matilde Lurdes Freitas Moura</t>
  </si>
  <si>
    <t>2560-849</t>
  </si>
  <si>
    <t>12113236</t>
  </si>
  <si>
    <t>749184445</t>
  </si>
  <si>
    <t>160175051</t>
  </si>
  <si>
    <t>928286125</t>
  </si>
  <si>
    <t>med070@hospital.upskill.com</t>
  </si>
  <si>
    <t>med071</t>
  </si>
  <si>
    <t>pswmed071</t>
  </si>
  <si>
    <t>Francisco Tiago Sá Nunes</t>
  </si>
  <si>
    <t>2825-656</t>
  </si>
  <si>
    <t>74781613</t>
  </si>
  <si>
    <t>779749183</t>
  </si>
  <si>
    <t>194254933</t>
  </si>
  <si>
    <t>916423661</t>
  </si>
  <si>
    <t>med071@hospital.upskill.com</t>
  </si>
  <si>
    <t>med072</t>
  </si>
  <si>
    <t>pswmed072</t>
  </si>
  <si>
    <t>Miguel Diogo Miranda Matias</t>
  </si>
  <si>
    <t>2900-334</t>
  </si>
  <si>
    <t>62131426</t>
  </si>
  <si>
    <t>315332701</t>
  </si>
  <si>
    <t>421832457</t>
  </si>
  <si>
    <t>969205241</t>
  </si>
  <si>
    <t>med072@hospital.upskill.com</t>
  </si>
  <si>
    <t>med073</t>
  </si>
  <si>
    <t>pswmed073</t>
  </si>
  <si>
    <t>Tiago André Rocha Lopes</t>
  </si>
  <si>
    <t>3000-484</t>
  </si>
  <si>
    <t>75349752</t>
  </si>
  <si>
    <t>625987680</t>
  </si>
  <si>
    <t>317269559</t>
  </si>
  <si>
    <t>917408087</t>
  </si>
  <si>
    <t>med073@hospital.upskill.com</t>
  </si>
  <si>
    <t>med074</t>
  </si>
  <si>
    <t>pswmed074</t>
  </si>
  <si>
    <t>Francisco Vera Antunes Cunha</t>
  </si>
  <si>
    <t>2714-77</t>
  </si>
  <si>
    <t>68602763</t>
  </si>
  <si>
    <t>351751341</t>
  </si>
  <si>
    <t>439029727</t>
  </si>
  <si>
    <t>931426258</t>
  </si>
  <si>
    <t>med074@hospital.upskill.com</t>
  </si>
  <si>
    <t>med075</t>
  </si>
  <si>
    <t>pswmed075</t>
  </si>
  <si>
    <t>Santiago Marco Pinho Baptista</t>
  </si>
  <si>
    <t>1149-322</t>
  </si>
  <si>
    <t>14725823</t>
  </si>
  <si>
    <t>674469563</t>
  </si>
  <si>
    <t>682463417</t>
  </si>
  <si>
    <t>929027210</t>
  </si>
  <si>
    <t>med075@hospital.upskill.com</t>
  </si>
  <si>
    <t>med076</t>
  </si>
  <si>
    <t>pswmed076</t>
  </si>
  <si>
    <t>Leonor Duarte Almeida Marques</t>
  </si>
  <si>
    <t>3000-240</t>
  </si>
  <si>
    <t>65322986</t>
  </si>
  <si>
    <t>538389912</t>
  </si>
  <si>
    <t>882382367</t>
  </si>
  <si>
    <t>934249174</t>
  </si>
  <si>
    <t>med076@hospital.upskill.com</t>
  </si>
  <si>
    <t>med077</t>
  </si>
  <si>
    <t>pswmed077</t>
  </si>
  <si>
    <t>Beatriz Diogo Barros Pinto</t>
  </si>
  <si>
    <t>1099-732</t>
  </si>
  <si>
    <t>68029459</t>
  </si>
  <si>
    <t>219877889</t>
  </si>
  <si>
    <t>386331661</t>
  </si>
  <si>
    <t>960356372</t>
  </si>
  <si>
    <t>med077@hospital.upskill.com</t>
  </si>
  <si>
    <t>med078</t>
  </si>
  <si>
    <t>pswmed078</t>
  </si>
  <si>
    <t>Ana Tiago Nunes Matos</t>
  </si>
  <si>
    <t>2834-523</t>
  </si>
  <si>
    <t>91860386</t>
  </si>
  <si>
    <t>299428620</t>
  </si>
  <si>
    <t>787735034</t>
  </si>
  <si>
    <t>927444172</t>
  </si>
  <si>
    <t>med078@hospital.upskill.com</t>
  </si>
  <si>
    <t>med079</t>
  </si>
  <si>
    <t>pswmed079</t>
  </si>
  <si>
    <t>Beatriz Mariana Nascimento Freitas</t>
  </si>
  <si>
    <t>2749-80</t>
  </si>
  <si>
    <t>84786543</t>
  </si>
  <si>
    <t>751752800</t>
  </si>
  <si>
    <t>593613799</t>
  </si>
  <si>
    <t>931008964</t>
  </si>
  <si>
    <t>med079@hospital.upskill.com</t>
  </si>
  <si>
    <t>med080</t>
  </si>
  <si>
    <t>pswmed080</t>
  </si>
  <si>
    <t>Rodrigo Diana Domingues Torres</t>
  </si>
  <si>
    <t>2004-239</t>
  </si>
  <si>
    <t>65717941</t>
  </si>
  <si>
    <t>749676592</t>
  </si>
  <si>
    <t>926885534</t>
  </si>
  <si>
    <t>968196846</t>
  </si>
  <si>
    <t>med080@hospital.upskill.com</t>
  </si>
  <si>
    <t>med081</t>
  </si>
  <si>
    <t>pswmed081</t>
  </si>
  <si>
    <t>Bruno Joana Loureiro Alves</t>
  </si>
  <si>
    <t>2825-546</t>
  </si>
  <si>
    <t>86298454</t>
  </si>
  <si>
    <t>615211923</t>
  </si>
  <si>
    <t>762942241</t>
  </si>
  <si>
    <t>936502696</t>
  </si>
  <si>
    <t>med081@hospital.upskill.com</t>
  </si>
  <si>
    <t>med082</t>
  </si>
  <si>
    <t>pswmed082</t>
  </si>
  <si>
    <t>Francisca Mariana Machado Martins</t>
  </si>
  <si>
    <t>2775-774</t>
  </si>
  <si>
    <t>60752565</t>
  </si>
  <si>
    <t>267799279</t>
  </si>
  <si>
    <t>178371865</t>
  </si>
  <si>
    <t>925957948</t>
  </si>
  <si>
    <t>med082@hospital.upskill.com</t>
  </si>
  <si>
    <t>med083</t>
  </si>
  <si>
    <t>pswmed083</t>
  </si>
  <si>
    <t>Martim Bruno Rocha Guerreiro</t>
  </si>
  <si>
    <t>2415-55</t>
  </si>
  <si>
    <t>84354224</t>
  </si>
  <si>
    <t>276740665</t>
  </si>
  <si>
    <t>962880597</t>
  </si>
  <si>
    <t>965515416</t>
  </si>
  <si>
    <t>med083@hospital.upskill.com</t>
  </si>
  <si>
    <t>med084</t>
  </si>
  <si>
    <t>pswmed084</t>
  </si>
  <si>
    <t>Gabriel Sara Brito Domingues</t>
  </si>
  <si>
    <t>1949-787</t>
  </si>
  <si>
    <t>42480191</t>
  </si>
  <si>
    <t>363209352</t>
  </si>
  <si>
    <t>710264460</t>
  </si>
  <si>
    <t>926700649</t>
  </si>
  <si>
    <t>med084@hospital.upskill.com</t>
  </si>
  <si>
    <t>med085</t>
  </si>
  <si>
    <t>pswmed085</t>
  </si>
  <si>
    <t>Beatriz Afonso Moura Machado</t>
  </si>
  <si>
    <t>2779-181</t>
  </si>
  <si>
    <t>23628387</t>
  </si>
  <si>
    <t>261718716</t>
  </si>
  <si>
    <t>158557534</t>
  </si>
  <si>
    <t>960593510</t>
  </si>
  <si>
    <t>med085@hospital.upskill.com</t>
  </si>
  <si>
    <t>med086</t>
  </si>
  <si>
    <t>pswmed086</t>
  </si>
  <si>
    <t>Gabriel Duarte Neto Rocha</t>
  </si>
  <si>
    <t>1099-305</t>
  </si>
  <si>
    <t>79022005</t>
  </si>
  <si>
    <t>711964392</t>
  </si>
  <si>
    <t>794893603</t>
  </si>
  <si>
    <t>934680263</t>
  </si>
  <si>
    <t>med086@hospital.upskill.com</t>
  </si>
  <si>
    <t>med087</t>
  </si>
  <si>
    <t>pswmed087</t>
  </si>
  <si>
    <t>Francisco Mariana Soares Simões</t>
  </si>
  <si>
    <t>2350-627</t>
  </si>
  <si>
    <t>40410488</t>
  </si>
  <si>
    <t>764773529</t>
  </si>
  <si>
    <t>256136898</t>
  </si>
  <si>
    <t>968018985</t>
  </si>
  <si>
    <t>med087@hospital.upskill.com</t>
  </si>
  <si>
    <t>med088</t>
  </si>
  <si>
    <t>pswmed088</t>
  </si>
  <si>
    <t>Carolina André Azevedo Gaspar</t>
  </si>
  <si>
    <t>1999-41</t>
  </si>
  <si>
    <t>93579833</t>
  </si>
  <si>
    <t>862822548</t>
  </si>
  <si>
    <t>253013752</t>
  </si>
  <si>
    <t>961361058</t>
  </si>
  <si>
    <t>med088@hospital.upskill.com</t>
  </si>
  <si>
    <t>med089</t>
  </si>
  <si>
    <t>pswmed089</t>
  </si>
  <si>
    <t>Martim Ana Maia Tavares</t>
  </si>
  <si>
    <t>1950-452</t>
  </si>
  <si>
    <t>55707176</t>
  </si>
  <si>
    <t>333672673</t>
  </si>
  <si>
    <t>787664139</t>
  </si>
  <si>
    <t>929995483</t>
  </si>
  <si>
    <t>med089@hospital.upskill.com</t>
  </si>
  <si>
    <t>med090</t>
  </si>
  <si>
    <t>pswmed090</t>
  </si>
  <si>
    <t>Diogo Maria Valente Leite</t>
  </si>
  <si>
    <t>1300-832</t>
  </si>
  <si>
    <t>82482537</t>
  </si>
  <si>
    <t>863509065</t>
  </si>
  <si>
    <t>392898089</t>
  </si>
  <si>
    <t>961610768</t>
  </si>
  <si>
    <t>med090@hospital.upskill.com</t>
  </si>
  <si>
    <t>med091</t>
  </si>
  <si>
    <t>pswmed091</t>
  </si>
  <si>
    <t>Miguel Daniela Araújo Assunção</t>
  </si>
  <si>
    <t>1800-229</t>
  </si>
  <si>
    <t>56980397</t>
  </si>
  <si>
    <t>768690417</t>
  </si>
  <si>
    <t>868912666</t>
  </si>
  <si>
    <t>963115441</t>
  </si>
  <si>
    <t>med091@hospital.upskill.com</t>
  </si>
  <si>
    <t>med092</t>
  </si>
  <si>
    <t>pswmed092</t>
  </si>
  <si>
    <t>Daniela Marco Freitas Vaz</t>
  </si>
  <si>
    <t>2810-911</t>
  </si>
  <si>
    <t>66570393</t>
  </si>
  <si>
    <t>812928115</t>
  </si>
  <si>
    <t>523701106</t>
  </si>
  <si>
    <t>965853891</t>
  </si>
  <si>
    <t>med092@hospital.upskill.com</t>
  </si>
  <si>
    <t>med093</t>
  </si>
  <si>
    <t>pswmed093</t>
  </si>
  <si>
    <t>Afonso Luís Raposo Pinto</t>
  </si>
  <si>
    <t>2754-571</t>
  </si>
  <si>
    <t>83777376</t>
  </si>
  <si>
    <t>781297794</t>
  </si>
  <si>
    <t>698777117</t>
  </si>
  <si>
    <t>933919410</t>
  </si>
  <si>
    <t>med093@hospital.upskill.com</t>
  </si>
  <si>
    <t>med094</t>
  </si>
  <si>
    <t>pswmed094</t>
  </si>
  <si>
    <t>Diogo Gabriel Melo Moura</t>
  </si>
  <si>
    <t>1149-521</t>
  </si>
  <si>
    <t>49721151</t>
  </si>
  <si>
    <t>399163565</t>
  </si>
  <si>
    <t>850247680</t>
  </si>
  <si>
    <t>965896894</t>
  </si>
  <si>
    <t>med094@hospital.upskill.com</t>
  </si>
  <si>
    <t>med095</t>
  </si>
  <si>
    <t>pswmed095</t>
  </si>
  <si>
    <t>Tomás Francisca Brito Araújo</t>
  </si>
  <si>
    <t>1000-477</t>
  </si>
  <si>
    <t>64679712</t>
  </si>
  <si>
    <t>391707929</t>
  </si>
  <si>
    <t>123778456</t>
  </si>
  <si>
    <t>914369190</t>
  </si>
  <si>
    <t>med095@hospital.upskill.com</t>
  </si>
  <si>
    <t>med096</t>
  </si>
  <si>
    <t>pswmed096</t>
  </si>
  <si>
    <t>Ricardo Carolina Pires Carvalho</t>
  </si>
  <si>
    <t>2829-545</t>
  </si>
  <si>
    <t>93705457</t>
  </si>
  <si>
    <t>709292193</t>
  </si>
  <si>
    <t>841556037</t>
  </si>
  <si>
    <t>960557669</t>
  </si>
  <si>
    <t>med096@hospital.upskill.com</t>
  </si>
  <si>
    <t>med097</t>
  </si>
  <si>
    <t>pswmed097</t>
  </si>
  <si>
    <t>Maria Martim Tavares Antunes</t>
  </si>
  <si>
    <t>1749-688</t>
  </si>
  <si>
    <t>87852216</t>
  </si>
  <si>
    <t>968403489</t>
  </si>
  <si>
    <t>205945789</t>
  </si>
  <si>
    <t>936653818</t>
  </si>
  <si>
    <t>med097@hospital.upskill.com</t>
  </si>
  <si>
    <t>med098</t>
  </si>
  <si>
    <t>pswmed098</t>
  </si>
  <si>
    <t>Miguel Santiago Amorim Rocha</t>
  </si>
  <si>
    <t>2614-306</t>
  </si>
  <si>
    <t>65114515</t>
  </si>
  <si>
    <t>976746897</t>
  </si>
  <si>
    <t>341533719</t>
  </si>
  <si>
    <t>937888745</t>
  </si>
  <si>
    <t>med098@hospital.upskill.com</t>
  </si>
  <si>
    <t>med099</t>
  </si>
  <si>
    <t>pswmed099</t>
  </si>
  <si>
    <t>André Rodrigo Moreira Silva</t>
  </si>
  <si>
    <t>2775-45</t>
  </si>
  <si>
    <t>60599370</t>
  </si>
  <si>
    <t>215959333</t>
  </si>
  <si>
    <t>473748617</t>
  </si>
  <si>
    <t>931855664</t>
  </si>
  <si>
    <t>med099@hospital.upskill.com</t>
  </si>
  <si>
    <t>med100</t>
  </si>
  <si>
    <t>pswmed100</t>
  </si>
  <si>
    <t>Duarte Duarte Rodrigues Lima</t>
  </si>
  <si>
    <t>2004-39</t>
  </si>
  <si>
    <t>87221935</t>
  </si>
  <si>
    <t>773369861</t>
  </si>
  <si>
    <t>465412027</t>
  </si>
  <si>
    <t>962140989</t>
  </si>
  <si>
    <t>med100@hospital.upskill.com</t>
  </si>
  <si>
    <t>med101</t>
  </si>
  <si>
    <t>pswmed101</t>
  </si>
  <si>
    <t>José Tomás Alves Coelho</t>
  </si>
  <si>
    <t>1900-643</t>
  </si>
  <si>
    <t>39974473</t>
  </si>
  <si>
    <t>270075422</t>
  </si>
  <si>
    <t>808775453</t>
  </si>
  <si>
    <t>937639634</t>
  </si>
  <si>
    <t>med101@hospital.upskill.com</t>
  </si>
  <si>
    <t>med102</t>
  </si>
  <si>
    <t>pswmed102</t>
  </si>
  <si>
    <t>Rodrigo Inês Vicente Reis</t>
  </si>
  <si>
    <t>2674-168</t>
  </si>
  <si>
    <t>24753334</t>
  </si>
  <si>
    <t>140405657</t>
  </si>
  <si>
    <t>911377883</t>
  </si>
  <si>
    <t>919676765</t>
  </si>
  <si>
    <t>med102@hospital.upskill.com</t>
  </si>
  <si>
    <t>med103</t>
  </si>
  <si>
    <t>pswmed103</t>
  </si>
  <si>
    <t>Daniela Tiago Rodrigues Branco</t>
  </si>
  <si>
    <t>2724-48</t>
  </si>
  <si>
    <t>40438791</t>
  </si>
  <si>
    <t>997276756</t>
  </si>
  <si>
    <t>865131182</t>
  </si>
  <si>
    <t>960884039</t>
  </si>
  <si>
    <t>med103@hospital.upskill.com</t>
  </si>
  <si>
    <t>med104</t>
  </si>
  <si>
    <t>pswmed104</t>
  </si>
  <si>
    <t>Duarte Inês Gomes Marques</t>
  </si>
  <si>
    <t>2914-650</t>
  </si>
  <si>
    <t>68349455</t>
  </si>
  <si>
    <t>358356102</t>
  </si>
  <si>
    <t>457198468</t>
  </si>
  <si>
    <t>921917057</t>
  </si>
  <si>
    <t>med104@hospital.upskill.com</t>
  </si>
  <si>
    <t>med105</t>
  </si>
  <si>
    <t>pswmed105</t>
  </si>
  <si>
    <t>Francisca Diana Tavares Nunes</t>
  </si>
  <si>
    <t>1249-791</t>
  </si>
  <si>
    <t>49162897</t>
  </si>
  <si>
    <t>707564723</t>
  </si>
  <si>
    <t>576764909</t>
  </si>
  <si>
    <t>933504937</t>
  </si>
  <si>
    <t>med105@hospital.upskill.com</t>
  </si>
  <si>
    <t>med106</t>
  </si>
  <si>
    <t>pswmed106</t>
  </si>
  <si>
    <t>Marco Joana Vicente Paiva</t>
  </si>
  <si>
    <t>2004-193</t>
  </si>
  <si>
    <t>56079530</t>
  </si>
  <si>
    <t>907563409</t>
  </si>
  <si>
    <t>774541123</t>
  </si>
  <si>
    <t>960163443</t>
  </si>
  <si>
    <t>med106@hospital.upskill.com</t>
  </si>
  <si>
    <t>med107</t>
  </si>
  <si>
    <t>pswmed107</t>
  </si>
  <si>
    <t>Tiago Matilde Oliveira Silva</t>
  </si>
  <si>
    <t>1949-245</t>
  </si>
  <si>
    <t>93599804</t>
  </si>
  <si>
    <t>356865821</t>
  </si>
  <si>
    <t>252581810</t>
  </si>
  <si>
    <t>962950572</t>
  </si>
  <si>
    <t>med107@hospital.upskill.com</t>
  </si>
  <si>
    <t>med108</t>
  </si>
  <si>
    <t>pswmed108</t>
  </si>
  <si>
    <t>Francisco Sofia Brito Pinho</t>
  </si>
  <si>
    <t>2900-638</t>
  </si>
  <si>
    <t>52193687</t>
  </si>
  <si>
    <t>700860724</t>
  </si>
  <si>
    <t>922491323</t>
  </si>
  <si>
    <t>930483292</t>
  </si>
  <si>
    <t>med108@hospital.upskill.com</t>
  </si>
  <si>
    <t>med109</t>
  </si>
  <si>
    <t>pswmed109</t>
  </si>
  <si>
    <t>Ana Daniela Soares Fernandes</t>
  </si>
  <si>
    <t>1800-328</t>
  </si>
  <si>
    <t>34198329</t>
  </si>
  <si>
    <t>286039057</t>
  </si>
  <si>
    <t>137746925</t>
  </si>
  <si>
    <t>966319136</t>
  </si>
  <si>
    <t>med109@hospital.upskill.com</t>
  </si>
  <si>
    <t>med110</t>
  </si>
  <si>
    <t>pswmed110</t>
  </si>
  <si>
    <t>Tiago Marco Amorim Macedo</t>
  </si>
  <si>
    <t>1000-161</t>
  </si>
  <si>
    <t>98799194</t>
  </si>
  <si>
    <t>821817761</t>
  </si>
  <si>
    <t>852025432</t>
  </si>
  <si>
    <t>922697953</t>
  </si>
  <si>
    <t>med110@hospital.upskill.com</t>
  </si>
  <si>
    <t>med111</t>
  </si>
  <si>
    <t>pswmed111</t>
  </si>
  <si>
    <t>Inês André Lopes Melo</t>
  </si>
  <si>
    <t>2650-809</t>
  </si>
  <si>
    <t>38622674</t>
  </si>
  <si>
    <t>585711247</t>
  </si>
  <si>
    <t>963989015</t>
  </si>
  <si>
    <t>med111@hospital.upskill.com</t>
  </si>
  <si>
    <t>med112</t>
  </si>
  <si>
    <t>pswmed112</t>
  </si>
  <si>
    <t>Carolina Ana Gomes Torres</t>
  </si>
  <si>
    <t>2410-812</t>
  </si>
  <si>
    <t>87438092</t>
  </si>
  <si>
    <t>827531424</t>
  </si>
  <si>
    <t>606380052</t>
  </si>
  <si>
    <t>919969616</t>
  </si>
  <si>
    <t>med112@hospital.upskill.com</t>
  </si>
  <si>
    <t>med113</t>
  </si>
  <si>
    <t>pswmed113</t>
  </si>
  <si>
    <t>Daniela Lurdes Nunes Miranda</t>
  </si>
  <si>
    <t>2904-4</t>
  </si>
  <si>
    <t>73977966</t>
  </si>
  <si>
    <t>784333504</t>
  </si>
  <si>
    <t>400890235</t>
  </si>
  <si>
    <t>917497455</t>
  </si>
  <si>
    <t>med113@hospital.upskill.com</t>
  </si>
  <si>
    <t>med114</t>
  </si>
  <si>
    <t>pswmed114</t>
  </si>
  <si>
    <t>Carolina Lurdes Correia Freitas</t>
  </si>
  <si>
    <t>2419-237</t>
  </si>
  <si>
    <t>79266021</t>
  </si>
  <si>
    <t>911582490</t>
  </si>
  <si>
    <t>569143046</t>
  </si>
  <si>
    <t>966927920</t>
  </si>
  <si>
    <t>med114@hospital.upskill.com</t>
  </si>
  <si>
    <t>med115</t>
  </si>
  <si>
    <t>pswmed115</t>
  </si>
  <si>
    <t>Inês Inês Anjos Guerreiro</t>
  </si>
  <si>
    <t>2904-419</t>
  </si>
  <si>
    <t>55709802</t>
  </si>
  <si>
    <t>239868479</t>
  </si>
  <si>
    <t>514909927</t>
  </si>
  <si>
    <t>962854357</t>
  </si>
  <si>
    <t>med115@hospital.upskill.com</t>
  </si>
  <si>
    <t>med116</t>
  </si>
  <si>
    <t>pswmed116</t>
  </si>
  <si>
    <t>Vera Pedro Neves Abreu</t>
  </si>
  <si>
    <t>2644-314</t>
  </si>
  <si>
    <t>87211952</t>
  </si>
  <si>
    <t>124025999</t>
  </si>
  <si>
    <t>738847057</t>
  </si>
  <si>
    <t>963167644</t>
  </si>
  <si>
    <t>med116@hospital.upskill.com</t>
  </si>
  <si>
    <t>med117</t>
  </si>
  <si>
    <t>pswmed117</t>
  </si>
  <si>
    <t>Luís Ana Martins Moreira</t>
  </si>
  <si>
    <t>2829-11</t>
  </si>
  <si>
    <t>36907258</t>
  </si>
  <si>
    <t>573768976</t>
  </si>
  <si>
    <t>297923926</t>
  </si>
  <si>
    <t>915356190</t>
  </si>
  <si>
    <t>med117@hospital.upskill.com</t>
  </si>
  <si>
    <t>med118</t>
  </si>
  <si>
    <t>pswmed118</t>
  </si>
  <si>
    <t>Tomás Vera Lima Pinto</t>
  </si>
  <si>
    <t>1100-109</t>
  </si>
  <si>
    <t>76350921</t>
  </si>
  <si>
    <t>673829753</t>
  </si>
  <si>
    <t>804446474</t>
  </si>
  <si>
    <t>913856773</t>
  </si>
  <si>
    <t>med118@hospital.upskill.com</t>
  </si>
  <si>
    <t>med119</t>
  </si>
  <si>
    <t>pswmed119</t>
  </si>
  <si>
    <t>Gabriel Leonor Nascimento Freitas</t>
  </si>
  <si>
    <t>1549-871</t>
  </si>
  <si>
    <t>33587122</t>
  </si>
  <si>
    <t>423550460</t>
  </si>
  <si>
    <t>286945042</t>
  </si>
  <si>
    <t>966153829</t>
  </si>
  <si>
    <t>med119@hospital.upskill.com</t>
  </si>
  <si>
    <t>med120</t>
  </si>
  <si>
    <t>pswmed120</t>
  </si>
  <si>
    <t>Beatriz Sara Vicente Faria</t>
  </si>
  <si>
    <t>2659-513</t>
  </si>
  <si>
    <t>20253622</t>
  </si>
  <si>
    <t>409527432</t>
  </si>
  <si>
    <t>475414265</t>
  </si>
  <si>
    <t>912870314</t>
  </si>
  <si>
    <t>med120@hospital.upskill.com</t>
  </si>
  <si>
    <t>med121</t>
  </si>
  <si>
    <t>pswmed121</t>
  </si>
  <si>
    <t>Francisco Tomás Amorim Campos</t>
  </si>
  <si>
    <t>2780-195</t>
  </si>
  <si>
    <t>33863764</t>
  </si>
  <si>
    <t>339226352</t>
  </si>
  <si>
    <t>680060814</t>
  </si>
  <si>
    <t>918814050</t>
  </si>
  <si>
    <t>med121@hospital.upskill.com</t>
  </si>
  <si>
    <t>med122</t>
  </si>
  <si>
    <t>pswmed122</t>
  </si>
  <si>
    <t>Beatriz Leonor Cardoso Guerreiro</t>
  </si>
  <si>
    <t>2834-362</t>
  </si>
  <si>
    <t>84876504</t>
  </si>
  <si>
    <t>199628606</t>
  </si>
  <si>
    <t>769279931</t>
  </si>
  <si>
    <t>936533090</t>
  </si>
  <si>
    <t>med122@hospital.upskill.com</t>
  </si>
  <si>
    <t>med123</t>
  </si>
  <si>
    <t>pswmed123</t>
  </si>
  <si>
    <t>André André Cruz Macedo</t>
  </si>
  <si>
    <t>1069-757</t>
  </si>
  <si>
    <t>51051662</t>
  </si>
  <si>
    <t>229516489</t>
  </si>
  <si>
    <t>478204972</t>
  </si>
  <si>
    <t>929440137</t>
  </si>
  <si>
    <t>med123@hospital.upskill.com</t>
  </si>
  <si>
    <t>med124</t>
  </si>
  <si>
    <t>pswmed124</t>
  </si>
  <si>
    <t>André Francisco Amorim Pinheiro</t>
  </si>
  <si>
    <t>1549-14</t>
  </si>
  <si>
    <t>61959585</t>
  </si>
  <si>
    <t>220210708</t>
  </si>
  <si>
    <t>276123553</t>
  </si>
  <si>
    <t>964571750</t>
  </si>
  <si>
    <t>med124@hospital.upskill.com</t>
  </si>
  <si>
    <t>med125</t>
  </si>
  <si>
    <t>pswmed125</t>
  </si>
  <si>
    <t>Tomás Luís Garcia Jesus</t>
  </si>
  <si>
    <t>2870-730</t>
  </si>
  <si>
    <t>10334328</t>
  </si>
  <si>
    <t>258335952</t>
  </si>
  <si>
    <t>624684238</t>
  </si>
  <si>
    <t>916600750</t>
  </si>
  <si>
    <t>med125@hospital.upskill.com</t>
  </si>
  <si>
    <t>med126</t>
  </si>
  <si>
    <t>pswmed126</t>
  </si>
  <si>
    <t>Lurdes José Abreu Melo</t>
  </si>
  <si>
    <t>1950-302</t>
  </si>
  <si>
    <t>57658946</t>
  </si>
  <si>
    <t>255738176</t>
  </si>
  <si>
    <t>390991642</t>
  </si>
  <si>
    <t>934965985</t>
  </si>
  <si>
    <t>med126@hospital.upskill.com</t>
  </si>
  <si>
    <t>med127</t>
  </si>
  <si>
    <t>pswmed127</t>
  </si>
  <si>
    <t>Sara Ana Pacheco Lima</t>
  </si>
  <si>
    <t>1049-22</t>
  </si>
  <si>
    <t>65860807</t>
  </si>
  <si>
    <t>653483171</t>
  </si>
  <si>
    <t>151257909</t>
  </si>
  <si>
    <t>927864106</t>
  </si>
  <si>
    <t>med127@hospital.upskill.com</t>
  </si>
  <si>
    <t>med128</t>
  </si>
  <si>
    <t>pswmed128</t>
  </si>
  <si>
    <t>André Lurdes Macedo Loureiro</t>
  </si>
  <si>
    <t>1349-962</t>
  </si>
  <si>
    <t>99083739</t>
  </si>
  <si>
    <t>690867620</t>
  </si>
  <si>
    <t>169088328</t>
  </si>
  <si>
    <t>929411356</t>
  </si>
  <si>
    <t>med128@hospital.upskill.com</t>
  </si>
  <si>
    <t>med129</t>
  </si>
  <si>
    <t>pswmed129</t>
  </si>
  <si>
    <t>Mariana Rodrigo Lima Pinto</t>
  </si>
  <si>
    <t>2779-811</t>
  </si>
  <si>
    <t>47724584</t>
  </si>
  <si>
    <t>789703854</t>
  </si>
  <si>
    <t>687357988</t>
  </si>
  <si>
    <t>960485999</t>
  </si>
  <si>
    <t>med129@hospital.upskill.com</t>
  </si>
  <si>
    <t>med130</t>
  </si>
  <si>
    <t>pswmed130</t>
  </si>
  <si>
    <t>Ricardo Martim Jesus Valente</t>
  </si>
  <si>
    <t>2825-78</t>
  </si>
  <si>
    <t>73134353</t>
  </si>
  <si>
    <t>216215068</t>
  </si>
  <si>
    <t>846698606</t>
  </si>
  <si>
    <t>938254076</t>
  </si>
  <si>
    <t>med130@hospital.upskill.com</t>
  </si>
  <si>
    <t>med131</t>
  </si>
  <si>
    <t>pswmed131</t>
  </si>
  <si>
    <t>Miguel Beatriz Miranda Reis</t>
  </si>
  <si>
    <t>1959-569</t>
  </si>
  <si>
    <t>75775786</t>
  </si>
  <si>
    <t>896075677</t>
  </si>
  <si>
    <t>256381116</t>
  </si>
  <si>
    <t>916862458</t>
  </si>
  <si>
    <t>med131@hospital.upskill.com</t>
  </si>
  <si>
    <t>med132</t>
  </si>
  <si>
    <t>pswmed132</t>
  </si>
  <si>
    <t>Francisca Bruno Neves Andrade</t>
  </si>
  <si>
    <t>1069-863</t>
  </si>
  <si>
    <t>67071246</t>
  </si>
  <si>
    <t>475742469</t>
  </si>
  <si>
    <t>979006872</t>
  </si>
  <si>
    <t>969035645</t>
  </si>
  <si>
    <t>med132@hospital.upskill.com</t>
  </si>
  <si>
    <t>med133</t>
  </si>
  <si>
    <t>pswmed133</t>
  </si>
  <si>
    <t>Gabriel Afonso Ramos Nogueira</t>
  </si>
  <si>
    <t>1099-699</t>
  </si>
  <si>
    <t>16065975</t>
  </si>
  <si>
    <t>832996346</t>
  </si>
  <si>
    <t>814650471</t>
  </si>
  <si>
    <t>936853191</t>
  </si>
  <si>
    <t>med133@hospital.upskill.com</t>
  </si>
  <si>
    <t>med134</t>
  </si>
  <si>
    <t>pswmed134</t>
  </si>
  <si>
    <t>Bruno Ricardo Pires Lourenço</t>
  </si>
  <si>
    <t>1050-509</t>
  </si>
  <si>
    <t>71803716</t>
  </si>
  <si>
    <t>842380643</t>
  </si>
  <si>
    <t>609320671</t>
  </si>
  <si>
    <t>931797541</t>
  </si>
  <si>
    <t>med134@hospital.upskill.com</t>
  </si>
  <si>
    <t>med135</t>
  </si>
  <si>
    <t>pswmed135</t>
  </si>
  <si>
    <t>Mariana João Domingues Mota</t>
  </si>
  <si>
    <t>2644-515</t>
  </si>
  <si>
    <t>87942510</t>
  </si>
  <si>
    <t>443148654</t>
  </si>
  <si>
    <t>940879104</t>
  </si>
  <si>
    <t>915078578</t>
  </si>
  <si>
    <t>med135@hospital.upskill.com</t>
  </si>
  <si>
    <t>med136</t>
  </si>
  <si>
    <t>pswmed136</t>
  </si>
  <si>
    <t>Gabriel Francisco Esteves Oliveira</t>
  </si>
  <si>
    <t>2825-797</t>
  </si>
  <si>
    <t>98363189</t>
  </si>
  <si>
    <t>790494930</t>
  </si>
  <si>
    <t>615488433</t>
  </si>
  <si>
    <t>934778005</t>
  </si>
  <si>
    <t>med136@hospital.upskill.com</t>
  </si>
  <si>
    <t>med137</t>
  </si>
  <si>
    <t>pswmed137</t>
  </si>
  <si>
    <t>Bruno José Teixeira Monteiro</t>
  </si>
  <si>
    <t>1249-809</t>
  </si>
  <si>
    <t>14736332</t>
  </si>
  <si>
    <t>952294210</t>
  </si>
  <si>
    <t>380296293</t>
  </si>
  <si>
    <t>912500470</t>
  </si>
  <si>
    <t>med137@hospital.upskill.com</t>
  </si>
  <si>
    <t>med138</t>
  </si>
  <si>
    <t>pswmed138</t>
  </si>
  <si>
    <t>Maria Tiago Garcia Freitas</t>
  </si>
  <si>
    <t>1170-696</t>
  </si>
  <si>
    <t>57896492</t>
  </si>
  <si>
    <t>696530831</t>
  </si>
  <si>
    <t>618557008</t>
  </si>
  <si>
    <t>963547783</t>
  </si>
  <si>
    <t>med138@hospital.upskill.com</t>
  </si>
  <si>
    <t>med139</t>
  </si>
  <si>
    <t>pswmed139</t>
  </si>
  <si>
    <t>Mariana Mariana Vieira Pacheco</t>
  </si>
  <si>
    <t>1649-615</t>
  </si>
  <si>
    <t>14901171</t>
  </si>
  <si>
    <t>764583453</t>
  </si>
  <si>
    <t>365675865</t>
  </si>
  <si>
    <t>932945801</t>
  </si>
  <si>
    <t>med139@hospital.upskill.com</t>
  </si>
  <si>
    <t>med140</t>
  </si>
  <si>
    <t>pswmed140</t>
  </si>
  <si>
    <t>Vera João Amaral Cruz</t>
  </si>
  <si>
    <t>2710-102</t>
  </si>
  <si>
    <t>41697178</t>
  </si>
  <si>
    <t>797802585</t>
  </si>
  <si>
    <t>726337185</t>
  </si>
  <si>
    <t>917616220</t>
  </si>
  <si>
    <t>med140@hospital.upskill.com</t>
  </si>
  <si>
    <t>med141</t>
  </si>
  <si>
    <t>pswmed141</t>
  </si>
  <si>
    <t>Afonso Joana Assunção Gomes</t>
  </si>
  <si>
    <t>2414-104</t>
  </si>
  <si>
    <t>33120801</t>
  </si>
  <si>
    <t>798998875</t>
  </si>
  <si>
    <t>774495144</t>
  </si>
  <si>
    <t>925996121</t>
  </si>
  <si>
    <t>med141@hospital.upskill.com</t>
  </si>
  <si>
    <t>med142</t>
  </si>
  <si>
    <t>pswmed142</t>
  </si>
  <si>
    <t>Catarina Gabriel Moreira Silva</t>
  </si>
  <si>
    <t>1249-655</t>
  </si>
  <si>
    <t>54864252</t>
  </si>
  <si>
    <t>405844962</t>
  </si>
  <si>
    <t>492534311</t>
  </si>
  <si>
    <t>913212242</t>
  </si>
  <si>
    <t>med142@hospital.upskill.com</t>
  </si>
  <si>
    <t>med143</t>
  </si>
  <si>
    <t>pswmed143</t>
  </si>
  <si>
    <t>Maria Diogo Domingues Valente</t>
  </si>
  <si>
    <t>1769-380</t>
  </si>
  <si>
    <t>47754237</t>
  </si>
  <si>
    <t>976293226</t>
  </si>
  <si>
    <t>180699100</t>
  </si>
  <si>
    <t>926283038</t>
  </si>
  <si>
    <t>med143@hospital.upskill.com</t>
  </si>
  <si>
    <t>med144</t>
  </si>
  <si>
    <t>pswmed144</t>
  </si>
  <si>
    <t>Beatriz Diogo Gonçalves Almeida</t>
  </si>
  <si>
    <t>1250-222</t>
  </si>
  <si>
    <t>79569284</t>
  </si>
  <si>
    <t>585051365</t>
  </si>
  <si>
    <t>952305062</t>
  </si>
  <si>
    <t>927836780</t>
  </si>
  <si>
    <t>med144@hospital.upskill.com</t>
  </si>
  <si>
    <t>med145</t>
  </si>
  <si>
    <t>pswmed145</t>
  </si>
  <si>
    <t>Beatriz Carolina Batista Leal</t>
  </si>
  <si>
    <t>1750-653</t>
  </si>
  <si>
    <t>11101081</t>
  </si>
  <si>
    <t>922773602</t>
  </si>
  <si>
    <t>657271476</t>
  </si>
  <si>
    <t>964893906</t>
  </si>
  <si>
    <t>med145@hospital.upskill.com</t>
  </si>
  <si>
    <t>med146</t>
  </si>
  <si>
    <t>pswmed146</t>
  </si>
  <si>
    <t>João Daniela Azevedo Abreu</t>
  </si>
  <si>
    <t>1999-407</t>
  </si>
  <si>
    <t>80504184</t>
  </si>
  <si>
    <t>801757415</t>
  </si>
  <si>
    <t>573704723</t>
  </si>
  <si>
    <t>935064808</t>
  </si>
  <si>
    <t>med146@hospital.upskill.com</t>
  </si>
  <si>
    <t>med147</t>
  </si>
  <si>
    <t>pswmed147</t>
  </si>
  <si>
    <t>Rodrigo Lurdes Cruz Pinho</t>
  </si>
  <si>
    <t>2423-20</t>
  </si>
  <si>
    <t>80740602</t>
  </si>
  <si>
    <t>862071189</t>
  </si>
  <si>
    <t>457452336</t>
  </si>
  <si>
    <t>922142290</t>
  </si>
  <si>
    <t>med147@hospital.upskill.com</t>
  </si>
  <si>
    <t>med148</t>
  </si>
  <si>
    <t>pswmed148</t>
  </si>
  <si>
    <t>André Diogo Machado Vieira</t>
  </si>
  <si>
    <t>1250-335</t>
  </si>
  <si>
    <t>99568157</t>
  </si>
  <si>
    <t>879379457</t>
  </si>
  <si>
    <t>303382348</t>
  </si>
  <si>
    <t>911244314</t>
  </si>
  <si>
    <t>med148@hospital.upskill.com</t>
  </si>
  <si>
    <t>med149</t>
  </si>
  <si>
    <t>pswmed149</t>
  </si>
  <si>
    <t>Francisca Miguel Mendes Maia</t>
  </si>
  <si>
    <t>1949-790</t>
  </si>
  <si>
    <t>84297198</t>
  </si>
  <si>
    <t>874614775</t>
  </si>
  <si>
    <t>467032594</t>
  </si>
  <si>
    <t>920920032</t>
  </si>
  <si>
    <t>med149@hospital.upskill.com</t>
  </si>
  <si>
    <t>med150</t>
  </si>
  <si>
    <t>pswmed150</t>
  </si>
  <si>
    <t>Francisco Pedro Magalhães Branco</t>
  </si>
  <si>
    <t>2659-751</t>
  </si>
  <si>
    <t>35274617</t>
  </si>
  <si>
    <t>148521200</t>
  </si>
  <si>
    <t>882690342</t>
  </si>
  <si>
    <t>968033992</t>
  </si>
  <si>
    <t>med150@hospital.upskill.com</t>
  </si>
  <si>
    <t>med151</t>
  </si>
  <si>
    <t>pswmed151</t>
  </si>
  <si>
    <t>José Francisco Soares Garcia</t>
  </si>
  <si>
    <t>1649-422</t>
  </si>
  <si>
    <t>67692095</t>
  </si>
  <si>
    <t>857851455</t>
  </si>
  <si>
    <t>622491139</t>
  </si>
  <si>
    <t>933347810</t>
  </si>
  <si>
    <t>med151@hospital.upskill.com</t>
  </si>
  <si>
    <t>med152</t>
  </si>
  <si>
    <t>pswmed152</t>
  </si>
  <si>
    <t>Tomás Martim Monteiro Rodrigues</t>
  </si>
  <si>
    <t>2650-224</t>
  </si>
  <si>
    <t>22457210</t>
  </si>
  <si>
    <t>598445762</t>
  </si>
  <si>
    <t>362953002</t>
  </si>
  <si>
    <t>926793148</t>
  </si>
  <si>
    <t>med152@hospital.upskill.com</t>
  </si>
  <si>
    <t>med153</t>
  </si>
  <si>
    <t>pswmed153</t>
  </si>
  <si>
    <t>Marco Maria Carvalho Fernandes</t>
  </si>
  <si>
    <t>2000-194</t>
  </si>
  <si>
    <t>33569866</t>
  </si>
  <si>
    <t>966821609</t>
  </si>
  <si>
    <t>666195068</t>
  </si>
  <si>
    <t>920618676</t>
  </si>
  <si>
    <t>med153@hospital.upskill.com</t>
  </si>
  <si>
    <t>med154</t>
  </si>
  <si>
    <t>pswmed154</t>
  </si>
  <si>
    <t>Marco Gabriel Neto Brito</t>
  </si>
  <si>
    <t>2005-374</t>
  </si>
  <si>
    <t>16216762</t>
  </si>
  <si>
    <t>135723215</t>
  </si>
  <si>
    <t>672910609</t>
  </si>
  <si>
    <t>939888307</t>
  </si>
  <si>
    <t>med154@hospital.upskill.com</t>
  </si>
  <si>
    <t>med155</t>
  </si>
  <si>
    <t>pswmed155</t>
  </si>
  <si>
    <t>Rodrigo Pedro Vicente Ramos</t>
  </si>
  <si>
    <t>2805-399</t>
  </si>
  <si>
    <t>39858987</t>
  </si>
  <si>
    <t>763086675</t>
  </si>
  <si>
    <t>569998927</t>
  </si>
  <si>
    <t>932614861</t>
  </si>
  <si>
    <t>med155@hospital.upskill.com</t>
  </si>
  <si>
    <t>med156</t>
  </si>
  <si>
    <t>pswmed156</t>
  </si>
  <si>
    <t>Gabriel João Nascimento Soares</t>
  </si>
  <si>
    <t>1100-801</t>
  </si>
  <si>
    <t>31485019</t>
  </si>
  <si>
    <t>637852025</t>
  </si>
  <si>
    <t>527257313</t>
  </si>
  <si>
    <t>922083009</t>
  </si>
  <si>
    <t>med156@hospital.upskill.com</t>
  </si>
  <si>
    <t>med157</t>
  </si>
  <si>
    <t>pswmed157</t>
  </si>
  <si>
    <t>Daniela Mariana Brito Raposo</t>
  </si>
  <si>
    <t>1748-287</t>
  </si>
  <si>
    <t>75274436</t>
  </si>
  <si>
    <t>896917927</t>
  </si>
  <si>
    <t>763097499</t>
  </si>
  <si>
    <t>930200608</t>
  </si>
  <si>
    <t>med157@hospital.upskill.com</t>
  </si>
  <si>
    <t>med158</t>
  </si>
  <si>
    <t>pswmed158</t>
  </si>
  <si>
    <t>Bruno Catarina Guerreiro Gomes</t>
  </si>
  <si>
    <t>2779-522</t>
  </si>
  <si>
    <t>97742740</t>
  </si>
  <si>
    <t>249042616</t>
  </si>
  <si>
    <t>125574648</t>
  </si>
  <si>
    <t>966581609</t>
  </si>
  <si>
    <t>med158@hospital.upskill.com</t>
  </si>
  <si>
    <t>med159</t>
  </si>
  <si>
    <t>pswmed159</t>
  </si>
  <si>
    <t>Sofia Inês Sá Jesus</t>
  </si>
  <si>
    <t>2610-872</t>
  </si>
  <si>
    <t>27705984</t>
  </si>
  <si>
    <t>903387796</t>
  </si>
  <si>
    <t>563851406</t>
  </si>
  <si>
    <t>921728959</t>
  </si>
  <si>
    <t>med159@hospital.upskill.com</t>
  </si>
  <si>
    <t>med160</t>
  </si>
  <si>
    <t>pswmed160</t>
  </si>
  <si>
    <t>Martim Martim Mendes Baptista</t>
  </si>
  <si>
    <t>2610-58</t>
  </si>
  <si>
    <t>68314294</t>
  </si>
  <si>
    <t>466535486</t>
  </si>
  <si>
    <t>928420290</t>
  </si>
  <si>
    <t>965101270</t>
  </si>
  <si>
    <t>med160@hospital.upskill.com</t>
  </si>
  <si>
    <t>med161</t>
  </si>
  <si>
    <t>pswmed161</t>
  </si>
  <si>
    <t>Francisco Ricardo Jesus Gomes</t>
  </si>
  <si>
    <t>1750-348</t>
  </si>
  <si>
    <t>87625569</t>
  </si>
  <si>
    <t>959522693</t>
  </si>
  <si>
    <t>322004746</t>
  </si>
  <si>
    <t>919165616</t>
  </si>
  <si>
    <t>med161@hospital.upskill.com</t>
  </si>
  <si>
    <t>med162</t>
  </si>
  <si>
    <t>pswmed162</t>
  </si>
  <si>
    <t>Carolina Duarte Pinho Amaral</t>
  </si>
  <si>
    <t>2000-704</t>
  </si>
  <si>
    <t>37297248</t>
  </si>
  <si>
    <t>850140471</t>
  </si>
  <si>
    <t>204287446</t>
  </si>
  <si>
    <t>921036009</t>
  </si>
  <si>
    <t>med162@hospital.upskill.com</t>
  </si>
  <si>
    <t>med163</t>
  </si>
  <si>
    <t>pswmed163</t>
  </si>
  <si>
    <t>Lurdes Beatriz Coelho Domingues</t>
  </si>
  <si>
    <t>1269-977</t>
  </si>
  <si>
    <t>49078320</t>
  </si>
  <si>
    <t>211141707</t>
  </si>
  <si>
    <t>670034332</t>
  </si>
  <si>
    <t>927617739</t>
  </si>
  <si>
    <t>med163@hospital.upskill.com</t>
  </si>
  <si>
    <t>med164</t>
  </si>
  <si>
    <t>pswmed164</t>
  </si>
  <si>
    <t>Francisca Joana Leal Barbosa</t>
  </si>
  <si>
    <t>1169-962</t>
  </si>
  <si>
    <t>49110185</t>
  </si>
  <si>
    <t>578692489</t>
  </si>
  <si>
    <t>993984582</t>
  </si>
  <si>
    <t>912310903</t>
  </si>
  <si>
    <t>med164@hospital.upskill.com</t>
  </si>
  <si>
    <t>med165</t>
  </si>
  <si>
    <t>pswmed165</t>
  </si>
  <si>
    <t>Mariana Afonso Vaz Coelho</t>
  </si>
  <si>
    <t>1169-806</t>
  </si>
  <si>
    <t>85044072</t>
  </si>
  <si>
    <t>332876310</t>
  </si>
  <si>
    <t>533899298</t>
  </si>
  <si>
    <t>931792508</t>
  </si>
  <si>
    <t>med165@hospital.upskill.com</t>
  </si>
  <si>
    <t>med166</t>
  </si>
  <si>
    <t>pswmed166</t>
  </si>
  <si>
    <t>Vera Matilde Henriques Torres</t>
  </si>
  <si>
    <t>2714-39</t>
  </si>
  <si>
    <t>54351832</t>
  </si>
  <si>
    <t>512310400</t>
  </si>
  <si>
    <t>438529874</t>
  </si>
  <si>
    <t>936697922</t>
  </si>
  <si>
    <t>med166@hospital.upskill.com</t>
  </si>
  <si>
    <t>med167</t>
  </si>
  <si>
    <t>pswmed167</t>
  </si>
  <si>
    <t>Luís Miguel Mota Barbosa</t>
  </si>
  <si>
    <t>2825-653</t>
  </si>
  <si>
    <t>80978954</t>
  </si>
  <si>
    <t>358095370</t>
  </si>
  <si>
    <t>771156914</t>
  </si>
  <si>
    <t>919374387</t>
  </si>
  <si>
    <t>med167@hospital.upskill.com</t>
  </si>
  <si>
    <t>med168</t>
  </si>
  <si>
    <t>pswmed168</t>
  </si>
  <si>
    <t>Tiago Catarina Batista Raposo</t>
  </si>
  <si>
    <t>2904-79</t>
  </si>
  <si>
    <t>97918113</t>
  </si>
  <si>
    <t>461473866</t>
  </si>
  <si>
    <t>135205573</t>
  </si>
  <si>
    <t>962802926</t>
  </si>
  <si>
    <t>med168@hospital.upskill.com</t>
  </si>
  <si>
    <t>med169</t>
  </si>
  <si>
    <t>pswmed169</t>
  </si>
  <si>
    <t>Afonso Ana Paiva Nunes</t>
  </si>
  <si>
    <t>2004-184</t>
  </si>
  <si>
    <t>87190151</t>
  </si>
  <si>
    <t>349320258</t>
  </si>
  <si>
    <t>825206033</t>
  </si>
  <si>
    <t>931999868</t>
  </si>
  <si>
    <t>med169@hospital.upskill.com</t>
  </si>
  <si>
    <t>med170</t>
  </si>
  <si>
    <t>pswmed170</t>
  </si>
  <si>
    <t>Daniela André Andrade Barbosa</t>
  </si>
  <si>
    <t>2814-57</t>
  </si>
  <si>
    <t>23357029</t>
  </si>
  <si>
    <t>212629083</t>
  </si>
  <si>
    <t>686276368</t>
  </si>
  <si>
    <t>966920989</t>
  </si>
  <si>
    <t>med170@hospital.upskill.com</t>
  </si>
  <si>
    <t>med171</t>
  </si>
  <si>
    <t>pswmed171</t>
  </si>
  <si>
    <t>Beatriz Miguel Gaspar Almeida</t>
  </si>
  <si>
    <t>1800-397</t>
  </si>
  <si>
    <t>29843426</t>
  </si>
  <si>
    <t>923188446</t>
  </si>
  <si>
    <t>641425464</t>
  </si>
  <si>
    <t>960955984</t>
  </si>
  <si>
    <t>med171@hospital.upskill.com</t>
  </si>
  <si>
    <t>med172</t>
  </si>
  <si>
    <t>pswmed172</t>
  </si>
  <si>
    <t>Maria Francisco Torres Ferreira</t>
  </si>
  <si>
    <t>2900-39</t>
  </si>
  <si>
    <t>98632300</t>
  </si>
  <si>
    <t>663707373</t>
  </si>
  <si>
    <t>408981479</t>
  </si>
  <si>
    <t>920051430</t>
  </si>
  <si>
    <t>med172@hospital.upskill.com</t>
  </si>
  <si>
    <t>med173</t>
  </si>
  <si>
    <t>pswmed173</t>
  </si>
  <si>
    <t>Lurdes Mariana Almeida Moura</t>
  </si>
  <si>
    <t>2350-47</t>
  </si>
  <si>
    <t>73820576</t>
  </si>
  <si>
    <t>524885903</t>
  </si>
  <si>
    <t>539896198</t>
  </si>
  <si>
    <t>963304339</t>
  </si>
  <si>
    <t>med173@hospital.upskill.com</t>
  </si>
  <si>
    <t>med174</t>
  </si>
  <si>
    <t>pswmed174</t>
  </si>
  <si>
    <t>Diogo Bruno Vieira Jesus</t>
  </si>
  <si>
    <t>2749-323</t>
  </si>
  <si>
    <t>52245547</t>
  </si>
  <si>
    <t>107167212</t>
  </si>
  <si>
    <t>939277197</t>
  </si>
  <si>
    <t>936205064</t>
  </si>
  <si>
    <t>med174@hospital.upskill.com</t>
  </si>
  <si>
    <t>med175</t>
  </si>
  <si>
    <t>pswmed175</t>
  </si>
  <si>
    <t>Bruno Ricardo Vicente Ribeiro</t>
  </si>
  <si>
    <t>2754-296</t>
  </si>
  <si>
    <t>63601759</t>
  </si>
  <si>
    <t>259595960</t>
  </si>
  <si>
    <t>386856592</t>
  </si>
  <si>
    <t>930844057</t>
  </si>
  <si>
    <t>med175@hospital.upskill.com</t>
  </si>
  <si>
    <t>med176</t>
  </si>
  <si>
    <t>pswmed176</t>
  </si>
  <si>
    <t>Francisco Rodrigo Moreira Almeida</t>
  </si>
  <si>
    <t>2610-592</t>
  </si>
  <si>
    <t>93772551</t>
  </si>
  <si>
    <t>654107835</t>
  </si>
  <si>
    <t>648781073</t>
  </si>
  <si>
    <t>964938119</t>
  </si>
  <si>
    <t>med176@hospital.upskill.com</t>
  </si>
  <si>
    <t>med177</t>
  </si>
  <si>
    <t>pswmed177</t>
  </si>
  <si>
    <t>Sofia Beatriz Neves Morais</t>
  </si>
  <si>
    <t>1600-951</t>
  </si>
  <si>
    <t>66917681</t>
  </si>
  <si>
    <t>649159556</t>
  </si>
  <si>
    <t>163329868</t>
  </si>
  <si>
    <t>925527558</t>
  </si>
  <si>
    <t>med177@hospital.upskill.com</t>
  </si>
  <si>
    <t>med178</t>
  </si>
  <si>
    <t>pswmed178</t>
  </si>
  <si>
    <t>Santiago Joana Gonçalves Neves</t>
  </si>
  <si>
    <t>1998-7</t>
  </si>
  <si>
    <t>67620114</t>
  </si>
  <si>
    <t>276177474</t>
  </si>
  <si>
    <t>779317269</t>
  </si>
  <si>
    <t>920253874</t>
  </si>
  <si>
    <t>med178@hospital.upskill.com</t>
  </si>
  <si>
    <t>med179</t>
  </si>
  <si>
    <t>pswmed179</t>
  </si>
  <si>
    <t>Tiago José Domingues Garcia</t>
  </si>
  <si>
    <t>1600-876</t>
  </si>
  <si>
    <t>43687614</t>
  </si>
  <si>
    <t>111798186</t>
  </si>
  <si>
    <t>462974509</t>
  </si>
  <si>
    <t>930804445</t>
  </si>
  <si>
    <t>med179@hospital.upskill.com</t>
  </si>
  <si>
    <t>med180</t>
  </si>
  <si>
    <t>pswmed180</t>
  </si>
  <si>
    <t>Mariana Inês Tavares Oliveira</t>
  </si>
  <si>
    <t>1249-198</t>
  </si>
  <si>
    <t>96642147</t>
  </si>
  <si>
    <t>978910972</t>
  </si>
  <si>
    <t>333996800</t>
  </si>
  <si>
    <t>937639335</t>
  </si>
  <si>
    <t>med180@hospital.upskill.com</t>
  </si>
  <si>
    <t>med181</t>
  </si>
  <si>
    <t>pswmed181</t>
  </si>
  <si>
    <t>Bruno Ana Correia Assunção</t>
  </si>
  <si>
    <t>2000-906</t>
  </si>
  <si>
    <t>35026920</t>
  </si>
  <si>
    <t>838687825</t>
  </si>
  <si>
    <t>990344501</t>
  </si>
  <si>
    <t>938502983</t>
  </si>
  <si>
    <t>med181@hospital.upskill.com</t>
  </si>
  <si>
    <t>med182</t>
  </si>
  <si>
    <t>pswmed182</t>
  </si>
  <si>
    <t>Pedro João Sá Pinheiro</t>
  </si>
  <si>
    <t>2009-763</t>
  </si>
  <si>
    <t>69859903</t>
  </si>
  <si>
    <t>971954007</t>
  </si>
  <si>
    <t>291907089</t>
  </si>
  <si>
    <t>962322732</t>
  </si>
  <si>
    <t>med182@hospital.upskill.com</t>
  </si>
  <si>
    <t>med183</t>
  </si>
  <si>
    <t>pswmed183</t>
  </si>
  <si>
    <t>Inês Sofia Campos Vicente</t>
  </si>
  <si>
    <t>2420-766</t>
  </si>
  <si>
    <t>79018748</t>
  </si>
  <si>
    <t>764542853</t>
  </si>
  <si>
    <t>195543716</t>
  </si>
  <si>
    <t>921294620</t>
  </si>
  <si>
    <t>med183@hospital.upskill.com</t>
  </si>
  <si>
    <t>med184</t>
  </si>
  <si>
    <t>pswmed184</t>
  </si>
  <si>
    <t>Catarina João Sá Cardoso</t>
  </si>
  <si>
    <t>1249-525</t>
  </si>
  <si>
    <t>70773267</t>
  </si>
  <si>
    <t>949578839</t>
  </si>
  <si>
    <t>144181235</t>
  </si>
  <si>
    <t>963143404</t>
  </si>
  <si>
    <t>med184@hospital.upskill.com</t>
  </si>
  <si>
    <t>med185</t>
  </si>
  <si>
    <t>pswmed185</t>
  </si>
  <si>
    <t>Catarina Mariana Gonçalves Nunes</t>
  </si>
  <si>
    <t>2720-707</t>
  </si>
  <si>
    <t>86408290</t>
  </si>
  <si>
    <t>387209795</t>
  </si>
  <si>
    <t>971556016</t>
  </si>
  <si>
    <t>966023653</t>
  </si>
  <si>
    <t>med185@hospital.upskill.com</t>
  </si>
  <si>
    <t>med186</t>
  </si>
  <si>
    <t>pswmed186</t>
  </si>
  <si>
    <t>Afonso Francisco Moura Ribeiro</t>
  </si>
  <si>
    <t>2914-806</t>
  </si>
  <si>
    <t>12200888</t>
  </si>
  <si>
    <t>348828792</t>
  </si>
  <si>
    <t>623637816</t>
  </si>
  <si>
    <t>934842831</t>
  </si>
  <si>
    <t>med186@hospital.upskill.com</t>
  </si>
  <si>
    <t>med187</t>
  </si>
  <si>
    <t>pswmed187</t>
  </si>
  <si>
    <t>Catarina Ana Azevedo Gomes</t>
  </si>
  <si>
    <t>2614-774</t>
  </si>
  <si>
    <t>34471969</t>
  </si>
  <si>
    <t>134902894</t>
  </si>
  <si>
    <t>678037833</t>
  </si>
  <si>
    <t>913784154</t>
  </si>
  <si>
    <t>med187@hospital.upskill.com</t>
  </si>
  <si>
    <t>med188</t>
  </si>
  <si>
    <t>pswmed188</t>
  </si>
  <si>
    <t>Santiago Francisco Pinho Figueiredo</t>
  </si>
  <si>
    <t>2610-539</t>
  </si>
  <si>
    <t>83847944</t>
  </si>
  <si>
    <t>594422239</t>
  </si>
  <si>
    <t>242139838</t>
  </si>
  <si>
    <t>966524366</t>
  </si>
  <si>
    <t>med188@hospital.upskill.com</t>
  </si>
  <si>
    <t>med189</t>
  </si>
  <si>
    <t>pswmed189</t>
  </si>
  <si>
    <t>Gabriel Mariana Borges Vieira</t>
  </si>
  <si>
    <t>1998-946</t>
  </si>
  <si>
    <t>98067373</t>
  </si>
  <si>
    <t>225839730</t>
  </si>
  <si>
    <t>592972845</t>
  </si>
  <si>
    <t>922626874</t>
  </si>
  <si>
    <t>med189@hospital.upskill.com</t>
  </si>
  <si>
    <t>med190</t>
  </si>
  <si>
    <t>pswmed190</t>
  </si>
  <si>
    <t>Pedro Martim Teixeira Jesus</t>
  </si>
  <si>
    <t>2670-880</t>
  </si>
  <si>
    <t>43402361</t>
  </si>
  <si>
    <t>166242901</t>
  </si>
  <si>
    <t>396655042</t>
  </si>
  <si>
    <t>920533116</t>
  </si>
  <si>
    <t>med190@hospital.upskill.com</t>
  </si>
  <si>
    <t>med191</t>
  </si>
  <si>
    <t>pswmed191</t>
  </si>
  <si>
    <t>Diana Daniela Andrade Cunha</t>
  </si>
  <si>
    <t>2655-422</t>
  </si>
  <si>
    <t>10712331</t>
  </si>
  <si>
    <t>762479156</t>
  </si>
  <si>
    <t>161736413</t>
  </si>
  <si>
    <t>928731953</t>
  </si>
  <si>
    <t>med191@hospital.upskill.com</t>
  </si>
  <si>
    <t>med192</t>
  </si>
  <si>
    <t>pswmed192</t>
  </si>
  <si>
    <t>Mariana Martim Pires Faria</t>
  </si>
  <si>
    <t>2414-951</t>
  </si>
  <si>
    <t>22901071</t>
  </si>
  <si>
    <t>715800421</t>
  </si>
  <si>
    <t>752066384</t>
  </si>
  <si>
    <t>925173370</t>
  </si>
  <si>
    <t>med192@hospital.upskill.com</t>
  </si>
  <si>
    <t>med193</t>
  </si>
  <si>
    <t>pswmed193</t>
  </si>
  <si>
    <t>Carolina Martim Morais Domingues</t>
  </si>
  <si>
    <t>2870-30</t>
  </si>
  <si>
    <t>92143440</t>
  </si>
  <si>
    <t>473971105</t>
  </si>
  <si>
    <t>705377476</t>
  </si>
  <si>
    <t>916923694</t>
  </si>
  <si>
    <t>med193@hospital.upskill.com</t>
  </si>
  <si>
    <t>med194</t>
  </si>
  <si>
    <t>pswmed194</t>
  </si>
  <si>
    <t>Ana Tiago Loureiro Batista</t>
  </si>
  <si>
    <t>1067-588</t>
  </si>
  <si>
    <t>66334183</t>
  </si>
  <si>
    <t>455438770</t>
  </si>
  <si>
    <t>489240765</t>
  </si>
  <si>
    <t>928234479</t>
  </si>
  <si>
    <t>med194@hospital.upskill.com</t>
  </si>
  <si>
    <t>med195</t>
  </si>
  <si>
    <t>pswmed195</t>
  </si>
  <si>
    <t>Martim Ana Almeida Cardoso</t>
  </si>
  <si>
    <t>2654-921</t>
  </si>
  <si>
    <t>80316565</t>
  </si>
  <si>
    <t>124734537</t>
  </si>
  <si>
    <t>200947676</t>
  </si>
  <si>
    <t>914622488</t>
  </si>
  <si>
    <t>med195@hospital.upskill.com</t>
  </si>
  <si>
    <t>med196</t>
  </si>
  <si>
    <t>pswmed196</t>
  </si>
  <si>
    <t>Mariana Daniela Branco Fonseca</t>
  </si>
  <si>
    <t>3000-190</t>
  </si>
  <si>
    <t>78534413</t>
  </si>
  <si>
    <t>234074635</t>
  </si>
  <si>
    <t>209032635</t>
  </si>
  <si>
    <t>969511554</t>
  </si>
  <si>
    <t>med196@hospital.upskill.com</t>
  </si>
  <si>
    <t>med197</t>
  </si>
  <si>
    <t>pswmed197</t>
  </si>
  <si>
    <t>Daniela Sara Branco Coelho</t>
  </si>
  <si>
    <t>1098-624</t>
  </si>
  <si>
    <t>95571505</t>
  </si>
  <si>
    <t>778129184</t>
  </si>
  <si>
    <t>429373531</t>
  </si>
  <si>
    <t>960726280</t>
  </si>
  <si>
    <t>med197@hospital.upskill.com</t>
  </si>
  <si>
    <t>med198</t>
  </si>
  <si>
    <t>pswmed198</t>
  </si>
  <si>
    <t>José Maria Domingues Nunes</t>
  </si>
  <si>
    <t>2825-819</t>
  </si>
  <si>
    <t>74770193</t>
  </si>
  <si>
    <t>451473099</t>
  </si>
  <si>
    <t>244018326</t>
  </si>
  <si>
    <t>928663067</t>
  </si>
  <si>
    <t>med198@hospital.upskill.com</t>
  </si>
  <si>
    <t>post_code</t>
  </si>
  <si>
    <t>matboa1998</t>
  </si>
  <si>
    <t>pswmatboa1998</t>
  </si>
  <si>
    <t>1998-797</t>
  </si>
  <si>
    <t>78624754</t>
  </si>
  <si>
    <t>451928972</t>
  </si>
  <si>
    <t>234765887</t>
  </si>
  <si>
    <t>968240344</t>
  </si>
  <si>
    <t>matboa1998@outlook.com</t>
  </si>
  <si>
    <t>ineboa1149</t>
  </si>
  <si>
    <t>pswineboa1149</t>
  </si>
  <si>
    <t>1149-717</t>
  </si>
  <si>
    <t>41331330</t>
  </si>
  <si>
    <t>663836367</t>
  </si>
  <si>
    <t>188647465</t>
  </si>
  <si>
    <t>933180718</t>
  </si>
  <si>
    <t>ineboa1149@sapo.pt</t>
  </si>
  <si>
    <t>catbal2900</t>
  </si>
  <si>
    <t>pswcatbal2900</t>
  </si>
  <si>
    <t>2900-035</t>
  </si>
  <si>
    <t>33811622</t>
  </si>
  <si>
    <t>771288542</t>
  </si>
  <si>
    <t>593706337</t>
  </si>
  <si>
    <t>926958025</t>
  </si>
  <si>
    <t>catbal2900@gmail.com</t>
  </si>
  <si>
    <t>sanira2659</t>
  </si>
  <si>
    <t>pswsanira2659</t>
  </si>
  <si>
    <t>2659-635</t>
  </si>
  <si>
    <t>50701579</t>
  </si>
  <si>
    <t>542975440</t>
  </si>
  <si>
    <t>356688422</t>
  </si>
  <si>
    <t>968126436</t>
  </si>
  <si>
    <t>sanira2659@gmail.com</t>
  </si>
  <si>
    <t>1199-516</t>
  </si>
  <si>
    <t>97453109</t>
  </si>
  <si>
    <t>176544640</t>
  </si>
  <si>
    <t>222840086</t>
  </si>
  <si>
    <t>966272040</t>
  </si>
  <si>
    <t>tomboa1199@gmail.com</t>
  </si>
  <si>
    <t>danboa1500</t>
  </si>
  <si>
    <t>pswdanboa1500</t>
  </si>
  <si>
    <t>1500-766</t>
  </si>
  <si>
    <t>40209340</t>
  </si>
  <si>
    <t>295159011</t>
  </si>
  <si>
    <t>349852642</t>
  </si>
  <si>
    <t>965184474</t>
  </si>
  <si>
    <t>danboa1500@gmail.com</t>
  </si>
  <si>
    <t>1300-689</t>
  </si>
  <si>
    <t>85307322</t>
  </si>
  <si>
    <t>526431410</t>
  </si>
  <si>
    <t>409443020</t>
  </si>
  <si>
    <t>929766199</t>
  </si>
  <si>
    <t>luiboa1300@gmail.com</t>
  </si>
  <si>
    <t>danboa1068</t>
  </si>
  <si>
    <t>pswdanboa1068</t>
  </si>
  <si>
    <t>1068-338</t>
  </si>
  <si>
    <t>21664050</t>
  </si>
  <si>
    <t>402086217</t>
  </si>
  <si>
    <t>186375197</t>
  </si>
  <si>
    <t>926770275</t>
  </si>
  <si>
    <t>danboa1068@sapo.pt</t>
  </si>
  <si>
    <t>tiamar2300</t>
  </si>
  <si>
    <t>pswtiamar2300</t>
  </si>
  <si>
    <t>2300-606</t>
  </si>
  <si>
    <t>30377138</t>
  </si>
  <si>
    <t>725527120</t>
  </si>
  <si>
    <t>204508046</t>
  </si>
  <si>
    <t>928672436</t>
  </si>
  <si>
    <t>tiamar2300@gmail.com</t>
  </si>
  <si>
    <t>danria2410</t>
  </si>
  <si>
    <t>pswdanria2410</t>
  </si>
  <si>
    <t>2410-777</t>
  </si>
  <si>
    <t>53687911</t>
  </si>
  <si>
    <t>311877594</t>
  </si>
  <si>
    <t>697156304</t>
  </si>
  <si>
    <t>917651006</t>
  </si>
  <si>
    <t>danria2410@gmail.com</t>
  </si>
  <si>
    <t>ineada2810</t>
  </si>
  <si>
    <t>pswineada2810</t>
  </si>
  <si>
    <t>2810-929</t>
  </si>
  <si>
    <t>97254696</t>
  </si>
  <si>
    <t>875221726</t>
  </si>
  <si>
    <t>236245090</t>
  </si>
  <si>
    <t>968453282</t>
  </si>
  <si>
    <t>ineada2810@sapo.pt</t>
  </si>
  <si>
    <t>tomira2659</t>
  </si>
  <si>
    <t>pswtomira2659</t>
  </si>
  <si>
    <t>Tomás Alves</t>
  </si>
  <si>
    <t>2659-411</t>
  </si>
  <si>
    <t>49353265</t>
  </si>
  <si>
    <t>863169869</t>
  </si>
  <si>
    <t>662412241</t>
  </si>
  <si>
    <t>939034152</t>
  </si>
  <si>
    <t>tomira2659@outlook.com</t>
  </si>
  <si>
    <t>andboa1070</t>
  </si>
  <si>
    <t>pswandboa1070</t>
  </si>
  <si>
    <t>André Fernandes</t>
  </si>
  <si>
    <t>1070-732</t>
  </si>
  <si>
    <t>93244153</t>
  </si>
  <si>
    <t>323457686</t>
  </si>
  <si>
    <t>960855137</t>
  </si>
  <si>
    <t>961670040</t>
  </si>
  <si>
    <t>andboa1070@gmail.com</t>
  </si>
  <si>
    <t>sarboa1748</t>
  </si>
  <si>
    <t>pswsarboa1748</t>
  </si>
  <si>
    <t>Sara Fonseca</t>
  </si>
  <si>
    <t>1748-007</t>
  </si>
  <si>
    <t>42668010</t>
  </si>
  <si>
    <t>447668216</t>
  </si>
  <si>
    <t>671355240</t>
  </si>
  <si>
    <t>917457301</t>
  </si>
  <si>
    <t>sarboa1748@outlook.com</t>
  </si>
  <si>
    <t>sofboa1149</t>
  </si>
  <si>
    <t>pswsofboa1149</t>
  </si>
  <si>
    <t>Sofia Monteiro</t>
  </si>
  <si>
    <t>1149-593</t>
  </si>
  <si>
    <t>44704014</t>
  </si>
  <si>
    <t>972591702</t>
  </si>
  <si>
    <t>709129991</t>
  </si>
  <si>
    <t>969025575</t>
  </si>
  <si>
    <t>sofboa1149@outlook.com</t>
  </si>
  <si>
    <t>afovas2350</t>
  </si>
  <si>
    <t>pswafovas2350</t>
  </si>
  <si>
    <t>Afonso Lopes</t>
  </si>
  <si>
    <t>2350-352</t>
  </si>
  <si>
    <t>13602453</t>
  </si>
  <si>
    <t>428893392</t>
  </si>
  <si>
    <t>724663676</t>
  </si>
  <si>
    <t>966203362</t>
  </si>
  <si>
    <t>afovas2350@gmail.com</t>
  </si>
  <si>
    <t>sofora2720</t>
  </si>
  <si>
    <t>pswsofora2720</t>
  </si>
  <si>
    <t>Sofia Araújo</t>
  </si>
  <si>
    <t>2720-006</t>
  </si>
  <si>
    <t>19962455</t>
  </si>
  <si>
    <t>250402701</t>
  </si>
  <si>
    <t>958712719</t>
  </si>
  <si>
    <t>939919167</t>
  </si>
  <si>
    <t>sofora2720@sapo.pt</t>
  </si>
  <si>
    <t>dioboa1549</t>
  </si>
  <si>
    <t>pswdioboa1549</t>
  </si>
  <si>
    <t>Diogo Marques</t>
  </si>
  <si>
    <t>1549-225</t>
  </si>
  <si>
    <t>13530939</t>
  </si>
  <si>
    <t>514260555</t>
  </si>
  <si>
    <t>661991618</t>
  </si>
  <si>
    <t>929195602</t>
  </si>
  <si>
    <t>dioboa1549@gmail.com</t>
  </si>
  <si>
    <t>verboa1449</t>
  </si>
  <si>
    <t>pswverboa1449</t>
  </si>
  <si>
    <t>Vera Guerreiro</t>
  </si>
  <si>
    <t>1449-554</t>
  </si>
  <si>
    <t>99736925</t>
  </si>
  <si>
    <t>206120516</t>
  </si>
  <si>
    <t>654314148</t>
  </si>
  <si>
    <t>920829499</t>
  </si>
  <si>
    <t>verboa1449@gmail.com</t>
  </si>
  <si>
    <t>luires2674</t>
  </si>
  <si>
    <t>pswluires2674</t>
  </si>
  <si>
    <t>Luís Moura</t>
  </si>
  <si>
    <t>2674-161</t>
  </si>
  <si>
    <t>48547393</t>
  </si>
  <si>
    <t>829232999</t>
  </si>
  <si>
    <t>742534559</t>
  </si>
  <si>
    <t>935089632</t>
  </si>
  <si>
    <t>luires2674@outlook.com</t>
  </si>
  <si>
    <t>beaboa1250</t>
  </si>
  <si>
    <t>pswbeaboa1250</t>
  </si>
  <si>
    <t>Beatriz Rodrigues</t>
  </si>
  <si>
    <t>1250-099</t>
  </si>
  <si>
    <t>54553248</t>
  </si>
  <si>
    <t>787624174</t>
  </si>
  <si>
    <t>279413108</t>
  </si>
  <si>
    <t>933692996</t>
  </si>
  <si>
    <t>beaboa1250@outlook.com</t>
  </si>
  <si>
    <t>tomiro2830</t>
  </si>
  <si>
    <t>pswtomiro2830</t>
  </si>
  <si>
    <t>Tomás Antunes</t>
  </si>
  <si>
    <t>2830-356</t>
  </si>
  <si>
    <t>83954885</t>
  </si>
  <si>
    <t>610817157</t>
  </si>
  <si>
    <t>131311426</t>
  </si>
  <si>
    <t>932240266</t>
  </si>
  <si>
    <t>tomiro2830@gmail.com</t>
  </si>
  <si>
    <t>marboa1449</t>
  </si>
  <si>
    <t>pswmarboa1449</t>
  </si>
  <si>
    <t>Maria Gonçalves</t>
  </si>
  <si>
    <t>1449-773</t>
  </si>
  <si>
    <t>97208417</t>
  </si>
  <si>
    <t>280167680</t>
  </si>
  <si>
    <t>841088729</t>
  </si>
  <si>
    <t>966458655</t>
  </si>
  <si>
    <t>marboa1449@sapo.pt</t>
  </si>
  <si>
    <t>lurora2614</t>
  </si>
  <si>
    <t>pswlurora2614</t>
  </si>
  <si>
    <t>Lurdes Anjos</t>
  </si>
  <si>
    <t>2614-558</t>
  </si>
  <si>
    <t>52766014</t>
  </si>
  <si>
    <t>587768332</t>
  </si>
  <si>
    <t>921851723</t>
  </si>
  <si>
    <t>963669868</t>
  </si>
  <si>
    <t>lurora2614@gmail.com</t>
  </si>
  <si>
    <t>brumar2300</t>
  </si>
  <si>
    <t>pswbrumar2300</t>
  </si>
  <si>
    <t>Bruno Cardoso</t>
  </si>
  <si>
    <t>2300-648</t>
  </si>
  <si>
    <t>49434863</t>
  </si>
  <si>
    <t>901014406</t>
  </si>
  <si>
    <t>771910521</t>
  </si>
  <si>
    <t>911763111</t>
  </si>
  <si>
    <t>brumar2300@gmail.com</t>
  </si>
  <si>
    <t>luibal2900</t>
  </si>
  <si>
    <t>pswluibal2900</t>
  </si>
  <si>
    <t>Luís Vaz</t>
  </si>
  <si>
    <t>2900-389</t>
  </si>
  <si>
    <t>90881305</t>
  </si>
  <si>
    <t>871142470</t>
  </si>
  <si>
    <t>119341641</t>
  </si>
  <si>
    <t>912739528</t>
  </si>
  <si>
    <t>luibal2900@gmail.com</t>
  </si>
  <si>
    <t>migboa1069</t>
  </si>
  <si>
    <t>pswmigboa1069</t>
  </si>
  <si>
    <t>Miguel Henriques</t>
  </si>
  <si>
    <t>1069-220</t>
  </si>
  <si>
    <t>98240797</t>
  </si>
  <si>
    <t>748524936</t>
  </si>
  <si>
    <t>639542463</t>
  </si>
  <si>
    <t>913254788</t>
  </si>
  <si>
    <t>migboa1069@gmail.com</t>
  </si>
  <si>
    <t>anaboa1069</t>
  </si>
  <si>
    <t>pswanaboa1069</t>
  </si>
  <si>
    <t>Ana Ribeiro</t>
  </si>
  <si>
    <t>1069-339</t>
  </si>
  <si>
    <t>92832000</t>
  </si>
  <si>
    <t>764495194</t>
  </si>
  <si>
    <t>310908090</t>
  </si>
  <si>
    <t>964115155</t>
  </si>
  <si>
    <t>anaboa1069@outlook.com</t>
  </si>
  <si>
    <t>Maria Ferreira</t>
  </si>
  <si>
    <t>2754-094</t>
  </si>
  <si>
    <t>71545317</t>
  </si>
  <si>
    <t>950173863</t>
  </si>
  <si>
    <t>332168392</t>
  </si>
  <si>
    <t>968892766</t>
  </si>
  <si>
    <t>fraide2794</t>
  </si>
  <si>
    <t>pswfraide2794</t>
  </si>
  <si>
    <t>Francisca Raposo</t>
  </si>
  <si>
    <t>2794-864</t>
  </si>
  <si>
    <t>83796504</t>
  </si>
  <si>
    <t>120828074</t>
  </si>
  <si>
    <t>769360947</t>
  </si>
  <si>
    <t>915574498</t>
  </si>
  <si>
    <t>fraide2794@outlook.com</t>
  </si>
  <si>
    <t>luiboa1200</t>
  </si>
  <si>
    <t>pswluiboa1200</t>
  </si>
  <si>
    <t>Luís Lima</t>
  </si>
  <si>
    <t>1200-936</t>
  </si>
  <si>
    <t>10780788</t>
  </si>
  <si>
    <t>629677497</t>
  </si>
  <si>
    <t>909190085</t>
  </si>
  <si>
    <t>936801172</t>
  </si>
  <si>
    <t>luiboa1200@sapo.pt</t>
  </si>
  <si>
    <t>carboa1849</t>
  </si>
  <si>
    <t>pswcarboa1849</t>
  </si>
  <si>
    <t>Carolina Ribeiro</t>
  </si>
  <si>
    <t>1849-970</t>
  </si>
  <si>
    <t>66745495</t>
  </si>
  <si>
    <t>333029176</t>
  </si>
  <si>
    <t>230345618</t>
  </si>
  <si>
    <t>915047705</t>
  </si>
  <si>
    <t>carboa1849@sapo.pt</t>
  </si>
  <si>
    <t>danluz2745</t>
  </si>
  <si>
    <t>pswdanluz2745</t>
  </si>
  <si>
    <t>Daniela Nascimento Oliveira</t>
  </si>
  <si>
    <t>2745-127</t>
  </si>
  <si>
    <t>42551173</t>
  </si>
  <si>
    <t>354429799</t>
  </si>
  <si>
    <t>778997333</t>
  </si>
  <si>
    <t>936973199</t>
  </si>
  <si>
    <t>danluz2745@outlook.com</t>
  </si>
  <si>
    <t>luiboa1950</t>
  </si>
  <si>
    <t>pswluiboa1950</t>
  </si>
  <si>
    <t>Luís Cruz Simões</t>
  </si>
  <si>
    <t>1950-476</t>
  </si>
  <si>
    <t>13966838</t>
  </si>
  <si>
    <t>179399141</t>
  </si>
  <si>
    <t>100041004</t>
  </si>
  <si>
    <t>914502172</t>
  </si>
  <si>
    <t>luiboa1950@sapo.pt</t>
  </si>
  <si>
    <t>joaais2750</t>
  </si>
  <si>
    <t>pswjoaais2750</t>
  </si>
  <si>
    <t>Joana Pinho Rocha</t>
  </si>
  <si>
    <t>2750-029</t>
  </si>
  <si>
    <t>92754268</t>
  </si>
  <si>
    <t>690270684</t>
  </si>
  <si>
    <t>140405514</t>
  </si>
  <si>
    <t>964111504</t>
  </si>
  <si>
    <t>joaais2750@sapo.pt</t>
  </si>
  <si>
    <t>josboa1350</t>
  </si>
  <si>
    <t>pswjosboa1350</t>
  </si>
  <si>
    <t>José Machado Anjos</t>
  </si>
  <si>
    <t>1350-896</t>
  </si>
  <si>
    <t>44449557</t>
  </si>
  <si>
    <t>897333196</t>
  </si>
  <si>
    <t>879565568</t>
  </si>
  <si>
    <t>960006116</t>
  </si>
  <si>
    <t>josboa1350@outlook.com</t>
  </si>
  <si>
    <t>afoada2800</t>
  </si>
  <si>
    <t>pswafoada2800</t>
  </si>
  <si>
    <t>Afonso Freitas Simões</t>
  </si>
  <si>
    <t>2800-543</t>
  </si>
  <si>
    <t>48775692</t>
  </si>
  <si>
    <t>442766446</t>
  </si>
  <si>
    <t>168068537</t>
  </si>
  <si>
    <t>938282700</t>
  </si>
  <si>
    <t>afoada2800@gmail.com</t>
  </si>
  <si>
    <t>luinto2330</t>
  </si>
  <si>
    <t>pswluinto2330</t>
  </si>
  <si>
    <t>Luís Campos Neto</t>
  </si>
  <si>
    <t>2330-347</t>
  </si>
  <si>
    <t>19645770</t>
  </si>
  <si>
    <t>215593110</t>
  </si>
  <si>
    <t>740344092</t>
  </si>
  <si>
    <t>935815866</t>
  </si>
  <si>
    <t>luinto2330@gmail.com</t>
  </si>
  <si>
    <t>josira2659</t>
  </si>
  <si>
    <t>pswjosira2659</t>
  </si>
  <si>
    <t>José Garcia Ribeiro</t>
  </si>
  <si>
    <t>2659-254</t>
  </si>
  <si>
    <t>33862797</t>
  </si>
  <si>
    <t>617202739</t>
  </si>
  <si>
    <t>442156607</t>
  </si>
  <si>
    <t>921610847</t>
  </si>
  <si>
    <t>josira2659@outlook.com</t>
  </si>
  <si>
    <t>josbra3000</t>
  </si>
  <si>
    <t>pswjosbra3000</t>
  </si>
  <si>
    <t>José Gonçalves Esteves</t>
  </si>
  <si>
    <t>3000-307</t>
  </si>
  <si>
    <t>57372394</t>
  </si>
  <si>
    <t>511532615</t>
  </si>
  <si>
    <t>173062103</t>
  </si>
  <si>
    <t>966368981</t>
  </si>
  <si>
    <t>josbra3000@sapo.pt</t>
  </si>
  <si>
    <t>tiaboa1269</t>
  </si>
  <si>
    <t>pswtiaboa1269</t>
  </si>
  <si>
    <t>Tiago Sá Lourenço</t>
  </si>
  <si>
    <t>1269-310</t>
  </si>
  <si>
    <t>71488926</t>
  </si>
  <si>
    <t>213552044</t>
  </si>
  <si>
    <t>186167308</t>
  </si>
  <si>
    <t>935138223</t>
  </si>
  <si>
    <t>tiaboa1269@outlook.com</t>
  </si>
  <si>
    <t>gabira2655</t>
  </si>
  <si>
    <t>pswgabira2655</t>
  </si>
  <si>
    <t>Gabriel Ribeiro Tavares</t>
  </si>
  <si>
    <t>2655-193</t>
  </si>
  <si>
    <t>23463815</t>
  </si>
  <si>
    <t>539397928</t>
  </si>
  <si>
    <t>338201319</t>
  </si>
  <si>
    <t>934988076</t>
  </si>
  <si>
    <t>gabira2655@gmail.com</t>
  </si>
  <si>
    <t>migboa1900</t>
  </si>
  <si>
    <t>pswmigboa1900</t>
  </si>
  <si>
    <t>Miguel Pereira Morais</t>
  </si>
  <si>
    <t>1900-943</t>
  </si>
  <si>
    <t>68951616</t>
  </si>
  <si>
    <t>422440781</t>
  </si>
  <si>
    <t>354331457</t>
  </si>
  <si>
    <t>922667954</t>
  </si>
  <si>
    <t>migboa1900@outlook.com</t>
  </si>
  <si>
    <t>Marco Ribeiro Valente</t>
  </si>
  <si>
    <t>2655-578</t>
  </si>
  <si>
    <t>54893103</t>
  </si>
  <si>
    <t>306189858</t>
  </si>
  <si>
    <t>546065255</t>
  </si>
  <si>
    <t>919985800</t>
  </si>
  <si>
    <t>marira2659</t>
  </si>
  <si>
    <t>pswmarira2659</t>
  </si>
  <si>
    <t>Marco Ferreira Sá</t>
  </si>
  <si>
    <t>2659-641</t>
  </si>
  <si>
    <t>43097415</t>
  </si>
  <si>
    <t>397180680</t>
  </si>
  <si>
    <t>639860952</t>
  </si>
  <si>
    <t>934979602</t>
  </si>
  <si>
    <t>marira2659@gmail.com</t>
  </si>
  <si>
    <t>aforia2419</t>
  </si>
  <si>
    <t>pswaforia2419</t>
  </si>
  <si>
    <t>Afonso Miranda Torres</t>
  </si>
  <si>
    <t>2419-959</t>
  </si>
  <si>
    <t>20203894</t>
  </si>
  <si>
    <t>856997536</t>
  </si>
  <si>
    <t>361264062</t>
  </si>
  <si>
    <t>912840680</t>
  </si>
  <si>
    <t>aforia2419@gmail.com</t>
  </si>
  <si>
    <t>sanboa1950</t>
  </si>
  <si>
    <t>pswsanboa1950</t>
  </si>
  <si>
    <t>Santiago Leal Matias</t>
  </si>
  <si>
    <t>1950-487</t>
  </si>
  <si>
    <t>75538337</t>
  </si>
  <si>
    <t>984301341</t>
  </si>
  <si>
    <t>157425709</t>
  </si>
  <si>
    <t>918595256</t>
  </si>
  <si>
    <t>sanboa1950@sapo.pt</t>
  </si>
  <si>
    <t>joaboa1067</t>
  </si>
  <si>
    <t>pswjoaboa1067</t>
  </si>
  <si>
    <t>Joana Campos Branco</t>
  </si>
  <si>
    <t>1067-714</t>
  </si>
  <si>
    <t>30500099</t>
  </si>
  <si>
    <t>427227460</t>
  </si>
  <si>
    <t>445110718</t>
  </si>
  <si>
    <t>964417168</t>
  </si>
  <si>
    <t>joaboa1067@outlook.com</t>
  </si>
  <si>
    <t>beabal2914</t>
  </si>
  <si>
    <t>pswbeabal2914</t>
  </si>
  <si>
    <t>Beatriz Baptista Campos</t>
  </si>
  <si>
    <t>2914-096</t>
  </si>
  <si>
    <t>83156191</t>
  </si>
  <si>
    <t>435528525</t>
  </si>
  <si>
    <t>820723227</t>
  </si>
  <si>
    <t>921681363</t>
  </si>
  <si>
    <t>beabal2914@sapo.pt</t>
  </si>
  <si>
    <t>afoica2825</t>
  </si>
  <si>
    <t>pswafoica2825</t>
  </si>
  <si>
    <t>Afonso José Carvalho Costa</t>
  </si>
  <si>
    <t>2825-490</t>
  </si>
  <si>
    <t>62799668</t>
  </si>
  <si>
    <t>641004413</t>
  </si>
  <si>
    <t>470837378</t>
  </si>
  <si>
    <t>937455457</t>
  </si>
  <si>
    <t>afoica2825@sapo.pt</t>
  </si>
  <si>
    <t>rodboa1349</t>
  </si>
  <si>
    <t>pswrodboa1349</t>
  </si>
  <si>
    <t>Rodrigo Mariana Esteves Ramos</t>
  </si>
  <si>
    <t>1349-048</t>
  </si>
  <si>
    <t>64868411</t>
  </si>
  <si>
    <t>337840802</t>
  </si>
  <si>
    <t>749755057</t>
  </si>
  <si>
    <t>918051060</t>
  </si>
  <si>
    <t>rodboa1349@sapo.pt</t>
  </si>
  <si>
    <t>matboa1200</t>
  </si>
  <si>
    <t>pswmatboa1200</t>
  </si>
  <si>
    <t>Matilde Sara Lourenço Baptista</t>
  </si>
  <si>
    <t>1200-458</t>
  </si>
  <si>
    <t>69912205</t>
  </si>
  <si>
    <t>747613461</t>
  </si>
  <si>
    <t>234972868</t>
  </si>
  <si>
    <t>917611732</t>
  </si>
  <si>
    <t>matboa1200@outlook.com</t>
  </si>
  <si>
    <t>frarem2000</t>
  </si>
  <si>
    <t>pswfrarem2000</t>
  </si>
  <si>
    <t>Francisco Diogo Lourenço Mendes</t>
  </si>
  <si>
    <t>2000-828</t>
  </si>
  <si>
    <t>33792897</t>
  </si>
  <si>
    <t>660525990</t>
  </si>
  <si>
    <t>207286044</t>
  </si>
  <si>
    <t>962900518</t>
  </si>
  <si>
    <t>frarem2000@outlook.com</t>
  </si>
  <si>
    <t>tiairo2834</t>
  </si>
  <si>
    <t>pswtiairo2834</t>
  </si>
  <si>
    <t>Tiago João Pereira Gomes</t>
  </si>
  <si>
    <t>2834-975</t>
  </si>
  <si>
    <t>10425363</t>
  </si>
  <si>
    <t>973493124</t>
  </si>
  <si>
    <t>886445606</t>
  </si>
  <si>
    <t>939819443</t>
  </si>
  <si>
    <t>tiairo2834@outlook.com</t>
  </si>
  <si>
    <t>pednto2334</t>
  </si>
  <si>
    <t>pswpednto2334</t>
  </si>
  <si>
    <t>Pedro João Castro Rodrigues</t>
  </si>
  <si>
    <t>2334-340</t>
  </si>
  <si>
    <t>59547809</t>
  </si>
  <si>
    <t>664564164</t>
  </si>
  <si>
    <t>518520759</t>
  </si>
  <si>
    <t>914035074</t>
  </si>
  <si>
    <t>pednto2334@gmail.com</t>
  </si>
  <si>
    <t>fravas2350</t>
  </si>
  <si>
    <t>pswfravas2350</t>
  </si>
  <si>
    <t>Francisca João Machado Miranda</t>
  </si>
  <si>
    <t>2350-102</t>
  </si>
  <si>
    <t>74854183</t>
  </si>
  <si>
    <t>469543594</t>
  </si>
  <si>
    <t>960999999</t>
  </si>
  <si>
    <t>911579295</t>
  </si>
  <si>
    <t>fravas2350@gmail.com</t>
  </si>
  <si>
    <t>joaada2814</t>
  </si>
  <si>
    <t>pswjoaada2814</t>
  </si>
  <si>
    <t>João Ana Lima Loureiro</t>
  </si>
  <si>
    <t>2814-011</t>
  </si>
  <si>
    <t>85830291</t>
  </si>
  <si>
    <t>493126874</t>
  </si>
  <si>
    <t>672575891</t>
  </si>
  <si>
    <t>922466068</t>
  </si>
  <si>
    <t>joaada2814@outlook.com</t>
  </si>
  <si>
    <t>migrem2009</t>
  </si>
  <si>
    <t>pswmigrem2009</t>
  </si>
  <si>
    <t>Miguel Leonor Domingues Magalhães</t>
  </si>
  <si>
    <t>2009-064</t>
  </si>
  <si>
    <t>21871432</t>
  </si>
  <si>
    <t>353531528</t>
  </si>
  <si>
    <t>119959009</t>
  </si>
  <si>
    <t>968897222</t>
  </si>
  <si>
    <t>migrem2009@gmail.com</t>
  </si>
  <si>
    <t>luiboa1350</t>
  </si>
  <si>
    <t>pswluiboa1350</t>
  </si>
  <si>
    <t>Luís Sofia Torres Lopes</t>
  </si>
  <si>
    <t>1350-111</t>
  </si>
  <si>
    <t>69618503</t>
  </si>
  <si>
    <t>247460069</t>
  </si>
  <si>
    <t>532697613</t>
  </si>
  <si>
    <t>919441524</t>
  </si>
  <si>
    <t>luiboa1350@sapo.pt</t>
  </si>
  <si>
    <t>duaboa1959</t>
  </si>
  <si>
    <t>pswduaboa1959</t>
  </si>
  <si>
    <t>Duarte Luís Moura Rodrigues</t>
  </si>
  <si>
    <t>1959-924</t>
  </si>
  <si>
    <t>13218009</t>
  </si>
  <si>
    <t>232244867</t>
  </si>
  <si>
    <t>871297708</t>
  </si>
  <si>
    <t>929109147</t>
  </si>
  <si>
    <t>duaboa1959@gmail.com</t>
  </si>
  <si>
    <t>catiro2834</t>
  </si>
  <si>
    <t>pswcatiro2834</t>
  </si>
  <si>
    <t>Catarina Carolina Amaral Oliveira</t>
  </si>
  <si>
    <t>2834-596</t>
  </si>
  <si>
    <t>34484776</t>
  </si>
  <si>
    <t>413715646</t>
  </si>
  <si>
    <t>168313102</t>
  </si>
  <si>
    <t>925246416</t>
  </si>
  <si>
    <t>catiro2834@sapo.pt</t>
  </si>
  <si>
    <t>josboa1449</t>
  </si>
  <si>
    <t>pswjosboa1449</t>
  </si>
  <si>
    <t>José Catarina Pinho Neves</t>
  </si>
  <si>
    <t>1449-678</t>
  </si>
  <si>
    <t>65057586</t>
  </si>
  <si>
    <t>291257924</t>
  </si>
  <si>
    <t>509744507</t>
  </si>
  <si>
    <t>937693125</t>
  </si>
  <si>
    <t>josboa1449@outlook.com</t>
  </si>
  <si>
    <t>marboa1200</t>
  </si>
  <si>
    <t>pswmarboa1200</t>
  </si>
  <si>
    <t>Mariana Carolina Vicente Batista</t>
  </si>
  <si>
    <t>1200-175</t>
  </si>
  <si>
    <t>45968953</t>
  </si>
  <si>
    <t>371761884</t>
  </si>
  <si>
    <t>684555582</t>
  </si>
  <si>
    <t>914412029</t>
  </si>
  <si>
    <t>marboa1200@outlook.com</t>
  </si>
  <si>
    <t>fraria2410</t>
  </si>
  <si>
    <t>pswfraria2410</t>
  </si>
  <si>
    <t>Francisca Diana Abreu Ferreira</t>
  </si>
  <si>
    <t>2410-428</t>
  </si>
  <si>
    <t>39448996</t>
  </si>
  <si>
    <t>249003570</t>
  </si>
  <si>
    <t>797346733</t>
  </si>
  <si>
    <t>962988085</t>
  </si>
  <si>
    <t>fraria2410@outlook.com</t>
  </si>
  <si>
    <t>rodria2415</t>
  </si>
  <si>
    <t>pswrodria2415</t>
  </si>
  <si>
    <t>Rodrigo Rodrigo Loureiro Teixeira</t>
  </si>
  <si>
    <t>2415-072</t>
  </si>
  <si>
    <t>53877334</t>
  </si>
  <si>
    <t>984350026</t>
  </si>
  <si>
    <t>793770092</t>
  </si>
  <si>
    <t>934540642</t>
  </si>
  <si>
    <t>rodria2415@gmail.com</t>
  </si>
  <si>
    <t>carboa1700</t>
  </si>
  <si>
    <t>pswcarboa1700</t>
  </si>
  <si>
    <t>Carolina Catarina Araújo Mendes</t>
  </si>
  <si>
    <t>1700-374</t>
  </si>
  <si>
    <t>29520487</t>
  </si>
  <si>
    <t>851741642</t>
  </si>
  <si>
    <t>368426765</t>
  </si>
  <si>
    <t>921433280</t>
  </si>
  <si>
    <t>carboa1700@gmail.com</t>
  </si>
  <si>
    <t>leoboa1949</t>
  </si>
  <si>
    <t>pswleoboa1949</t>
  </si>
  <si>
    <t>Leonor Rodrigo Rocha Vaz</t>
  </si>
  <si>
    <t>1949-190</t>
  </si>
  <si>
    <t>65695082</t>
  </si>
  <si>
    <t>814800647</t>
  </si>
  <si>
    <t>744117582</t>
  </si>
  <si>
    <t>964307079</t>
  </si>
  <si>
    <t>leoboa1949@gmail.com</t>
  </si>
  <si>
    <t>Mariana Santiago Amorim Gomes</t>
  </si>
  <si>
    <t>2300-556</t>
  </si>
  <si>
    <t>33595034</t>
  </si>
  <si>
    <t>686409605</t>
  </si>
  <si>
    <t>685186190</t>
  </si>
  <si>
    <t>966373581</t>
  </si>
  <si>
    <t>marmar2300@gmail.com</t>
  </si>
  <si>
    <t>catica2825</t>
  </si>
  <si>
    <t>pswcatica2825</t>
  </si>
  <si>
    <t>Catarina Francisco Cruz Barbosa</t>
  </si>
  <si>
    <t>2825-147</t>
  </si>
  <si>
    <t>78421506</t>
  </si>
  <si>
    <t>831345399</t>
  </si>
  <si>
    <t>570197220</t>
  </si>
  <si>
    <t>938165259</t>
  </si>
  <si>
    <t>catica2825@outlook.com</t>
  </si>
  <si>
    <t>matboa1950</t>
  </si>
  <si>
    <t>pswmatboa1950</t>
  </si>
  <si>
    <t>Matilde Lurdes Castro Loureiro</t>
  </si>
  <si>
    <t>1950-362</t>
  </si>
  <si>
    <t>34599081</t>
  </si>
  <si>
    <t>387905069</t>
  </si>
  <si>
    <t>673482981</t>
  </si>
  <si>
    <t>913492766</t>
  </si>
  <si>
    <t>matboa1950@gmail.com</t>
  </si>
  <si>
    <t>fraboa1950</t>
  </si>
  <si>
    <t>pswfraboa1950</t>
  </si>
  <si>
    <t>Francisco Tiago Cardoso Simões</t>
  </si>
  <si>
    <t>1950-000</t>
  </si>
  <si>
    <t>50548726</t>
  </si>
  <si>
    <t>832091637</t>
  </si>
  <si>
    <t>292579801</t>
  </si>
  <si>
    <t>935848306</t>
  </si>
  <si>
    <t>fraboa1950@sapo.pt</t>
  </si>
  <si>
    <t>migbal2914</t>
  </si>
  <si>
    <t>pswmigbal2914</t>
  </si>
  <si>
    <t>Miguel Diogo Fernandes Pacheco</t>
  </si>
  <si>
    <t>2914-639</t>
  </si>
  <si>
    <t>30983600</t>
  </si>
  <si>
    <t>782031457</t>
  </si>
  <si>
    <t>987701621</t>
  </si>
  <si>
    <t>967137122</t>
  </si>
  <si>
    <t>migbal2914@sapo.pt</t>
  </si>
  <si>
    <t>tiaira2659</t>
  </si>
  <si>
    <t>pswtiaira2659</t>
  </si>
  <si>
    <t>Tiago André Carvalho Santos</t>
  </si>
  <si>
    <t>2659-512</t>
  </si>
  <si>
    <t>89182166</t>
  </si>
  <si>
    <t>990347869</t>
  </si>
  <si>
    <t>274347664</t>
  </si>
  <si>
    <t>931766194</t>
  </si>
  <si>
    <t>tiaira2659@gmail.com</t>
  </si>
  <si>
    <t>fraboa1349</t>
  </si>
  <si>
    <t>pswfraboa1349</t>
  </si>
  <si>
    <t>Francisco Vera Melo Henriques</t>
  </si>
  <si>
    <t>1349-185</t>
  </si>
  <si>
    <t>11083959</t>
  </si>
  <si>
    <t>745670841</t>
  </si>
  <si>
    <t>991060898</t>
  </si>
  <si>
    <t>929725107</t>
  </si>
  <si>
    <t>fraboa1349@outlook.com</t>
  </si>
  <si>
    <t>Santiago Marco Cruz Nunes</t>
  </si>
  <si>
    <t>1950-801</t>
  </si>
  <si>
    <t>49137072</t>
  </si>
  <si>
    <t>140066375</t>
  </si>
  <si>
    <t>950365806</t>
  </si>
  <si>
    <t>965651052</t>
  </si>
  <si>
    <t>leoboa1250</t>
  </si>
  <si>
    <t>pswleoboa1250</t>
  </si>
  <si>
    <t>Leonor Duarte Ramos Melo</t>
  </si>
  <si>
    <t>1250-748</t>
  </si>
  <si>
    <t>31648782</t>
  </si>
  <si>
    <t>223691792</t>
  </si>
  <si>
    <t>765925446</t>
  </si>
  <si>
    <t>923596358</t>
  </si>
  <si>
    <t>leoboa1250@sapo.pt</t>
  </si>
  <si>
    <t>beaora2614</t>
  </si>
  <si>
    <t>pswbeaora2614</t>
  </si>
  <si>
    <t>Beatriz Diogo Cruz Ramos</t>
  </si>
  <si>
    <t>2614-324</t>
  </si>
  <si>
    <t>61347923</t>
  </si>
  <si>
    <t>756211029</t>
  </si>
  <si>
    <t>420846106</t>
  </si>
  <si>
    <t>934209642</t>
  </si>
  <si>
    <t>beaora2614@outlook.com</t>
  </si>
  <si>
    <t>anaboa1998</t>
  </si>
  <si>
    <t>pswanaboa1998</t>
  </si>
  <si>
    <t>Ana Tiago Barbosa Leal</t>
  </si>
  <si>
    <t>1998-961</t>
  </si>
  <si>
    <t>86981754</t>
  </si>
  <si>
    <t>379660272</t>
  </si>
  <si>
    <t>916521813</t>
  </si>
  <si>
    <t>914723656</t>
  </si>
  <si>
    <t>anaboa1998@sapo.pt</t>
  </si>
  <si>
    <t>beaboa1649</t>
  </si>
  <si>
    <t>pswbeaboa1649</t>
  </si>
  <si>
    <t>Beatriz Mariana Matias Ribeiro</t>
  </si>
  <si>
    <t>1649-363</t>
  </si>
  <si>
    <t>82588701</t>
  </si>
  <si>
    <t>809412821</t>
  </si>
  <si>
    <t>261516683</t>
  </si>
  <si>
    <t>933312523</t>
  </si>
  <si>
    <t>beaboa1649@sapo.pt</t>
  </si>
  <si>
    <t>rodrem2009</t>
  </si>
  <si>
    <t>pswrodrem2009</t>
  </si>
  <si>
    <t>Rodrigo Diana Pires Neves</t>
  </si>
  <si>
    <t>2009-773</t>
  </si>
  <si>
    <t>45090103</t>
  </si>
  <si>
    <t>369831948</t>
  </si>
  <si>
    <t>402334743</t>
  </si>
  <si>
    <t>932942747</t>
  </si>
  <si>
    <t>rodrem2009@sapo.pt</t>
  </si>
  <si>
    <t>bruboa1300</t>
  </si>
  <si>
    <t>pswbruboa1300</t>
  </si>
  <si>
    <t>Bruno Joana Gaspar Melo</t>
  </si>
  <si>
    <t>1300-732</t>
  </si>
  <si>
    <t>98303307</t>
  </si>
  <si>
    <t>240948186</t>
  </si>
  <si>
    <t>337872997</t>
  </si>
  <si>
    <t>968774378</t>
  </si>
  <si>
    <t>bruboa1300@outlook.com</t>
  </si>
  <si>
    <t>fraboa1050</t>
  </si>
  <si>
    <t>pswfraboa1050</t>
  </si>
  <si>
    <t>Francisca Mariana Coelho Marques</t>
  </si>
  <si>
    <t>1050-941</t>
  </si>
  <si>
    <t>43492331</t>
  </si>
  <si>
    <t>431037997</t>
  </si>
  <si>
    <t>921083994</t>
  </si>
  <si>
    <t>963132795</t>
  </si>
  <si>
    <t>fraboa1050@sapo.pt</t>
  </si>
  <si>
    <t>Martim Bruno Raposo Borges</t>
  </si>
  <si>
    <t>2775-293</t>
  </si>
  <si>
    <t>28171783</t>
  </si>
  <si>
    <t>488007815</t>
  </si>
  <si>
    <t>504591008</t>
  </si>
  <si>
    <t>920120892</t>
  </si>
  <si>
    <t>marlos2775@outlook.com</t>
  </si>
  <si>
    <t>gabnto2330</t>
  </si>
  <si>
    <t>pswgabnto2330</t>
  </si>
  <si>
    <t>Gabriel Sara Morais Leal</t>
  </si>
  <si>
    <t>2330-562</t>
  </si>
  <si>
    <t>48786129</t>
  </si>
  <si>
    <t>352590238</t>
  </si>
  <si>
    <t>443229053</t>
  </si>
  <si>
    <t>965921199</t>
  </si>
  <si>
    <t>gabnto2330@outlook.com</t>
  </si>
  <si>
    <t>beaboa1098</t>
  </si>
  <si>
    <t>pswbeaboa1098</t>
  </si>
  <si>
    <t>Beatriz Afonso Santos Ferreira</t>
  </si>
  <si>
    <t>1098-551</t>
  </si>
  <si>
    <t>48105884</t>
  </si>
  <si>
    <t>553368744</t>
  </si>
  <si>
    <t>518588077</t>
  </si>
  <si>
    <t>927776976</t>
  </si>
  <si>
    <t>beaboa1098@outlook.com</t>
  </si>
  <si>
    <t>gabrem2009</t>
  </si>
  <si>
    <t>pswgabrem2009</t>
  </si>
  <si>
    <t>Gabriel Duarte Pinto Amaral</t>
  </si>
  <si>
    <t>2009-265</t>
  </si>
  <si>
    <t>68519616</t>
  </si>
  <si>
    <t>382546816</t>
  </si>
  <si>
    <t>227789291</t>
  </si>
  <si>
    <t>963869258</t>
  </si>
  <si>
    <t>gabrem2009@sapo.pt</t>
  </si>
  <si>
    <t>fraboa1067</t>
  </si>
  <si>
    <t>pswfraboa1067</t>
  </si>
  <si>
    <t>Francisco Mariana Matias Miranda</t>
  </si>
  <si>
    <t>1067-738</t>
  </si>
  <si>
    <t>38012101</t>
  </si>
  <si>
    <t>634216481</t>
  </si>
  <si>
    <t>530225478</t>
  </si>
  <si>
    <t>963908101</t>
  </si>
  <si>
    <t>fraboa1067@sapo.pt</t>
  </si>
  <si>
    <t>carlos2775</t>
  </si>
  <si>
    <t>pswcarlos2775</t>
  </si>
  <si>
    <t>Carolina André Anjos Santos</t>
  </si>
  <si>
    <t>2775-985</t>
  </si>
  <si>
    <t>65809207</t>
  </si>
  <si>
    <t>717350049</t>
  </si>
  <si>
    <t>258512815</t>
  </si>
  <si>
    <t>936684178</t>
  </si>
  <si>
    <t>carlos2775@outlook.com</t>
  </si>
  <si>
    <t>Martim Ana Baptista Azevedo</t>
  </si>
  <si>
    <t>1000-426</t>
  </si>
  <si>
    <t>15569997</t>
  </si>
  <si>
    <t>580040177</t>
  </si>
  <si>
    <t>446008100</t>
  </si>
  <si>
    <t>911166669</t>
  </si>
  <si>
    <t>marboa1000@outlook.com</t>
  </si>
  <si>
    <t>dioboa1700</t>
  </si>
  <si>
    <t>pswdioboa1700</t>
  </si>
  <si>
    <t>Diogo Maria Fonseca Simões</t>
  </si>
  <si>
    <t>1700-520</t>
  </si>
  <si>
    <t>67409293</t>
  </si>
  <si>
    <t>290784725</t>
  </si>
  <si>
    <t>388843721</t>
  </si>
  <si>
    <t>932975765</t>
  </si>
  <si>
    <t>dioboa1700@outlook.com</t>
  </si>
  <si>
    <t>migboa1800</t>
  </si>
  <si>
    <t>pswmigboa1800</t>
  </si>
  <si>
    <t>Miguel Daniela Magalhães Cunha</t>
  </si>
  <si>
    <t>1800-402</t>
  </si>
  <si>
    <t>47329405</t>
  </si>
  <si>
    <t>267283310</t>
  </si>
  <si>
    <t>894552170</t>
  </si>
  <si>
    <t>915242913</t>
  </si>
  <si>
    <t>migboa1800@gmail.com</t>
  </si>
  <si>
    <t>daniro2830</t>
  </si>
  <si>
    <t>pswdaniro2830</t>
  </si>
  <si>
    <t>Daniela Marco Baptista Amorim</t>
  </si>
  <si>
    <t>2830-495</t>
  </si>
  <si>
    <t>69916772</t>
  </si>
  <si>
    <t>503233287</t>
  </si>
  <si>
    <t>549369637</t>
  </si>
  <si>
    <t>928355989</t>
  </si>
  <si>
    <t>daniro2830@outlook.com</t>
  </si>
  <si>
    <t>Afonso Luís Simões Carneiro</t>
  </si>
  <si>
    <t>2009-419</t>
  </si>
  <si>
    <t>26756588</t>
  </si>
  <si>
    <t>924103404</t>
  </si>
  <si>
    <t>672391278</t>
  </si>
  <si>
    <t>928000701</t>
  </si>
  <si>
    <t>aforem2009@sapo.pt</t>
  </si>
  <si>
    <t>dionto2334</t>
  </si>
  <si>
    <t>pswdionto2334</t>
  </si>
  <si>
    <t>Diogo Gabriel Ramos Anjos</t>
  </si>
  <si>
    <t>2334-315</t>
  </si>
  <si>
    <t>62971663</t>
  </si>
  <si>
    <t>427176925</t>
  </si>
  <si>
    <t>667579135</t>
  </si>
  <si>
    <t>934951508</t>
  </si>
  <si>
    <t>dionto2334@outlook.com</t>
  </si>
  <si>
    <t>tomlos2779</t>
  </si>
  <si>
    <t>pswtomlos2779</t>
  </si>
  <si>
    <t>Tomás Francisca Neto Melo</t>
  </si>
  <si>
    <t>2779-721</t>
  </si>
  <si>
    <t>72149185</t>
  </si>
  <si>
    <t>450508641</t>
  </si>
  <si>
    <t>141310846</t>
  </si>
  <si>
    <t>920167738</t>
  </si>
  <si>
    <t>tomlos2779@sapo.pt</t>
  </si>
  <si>
    <t>ricboa1748</t>
  </si>
  <si>
    <t>pswricboa1748</t>
  </si>
  <si>
    <t>Ricardo Carolina Guerreiro Castro</t>
  </si>
  <si>
    <t>1748-656</t>
  </si>
  <si>
    <t>20884004</t>
  </si>
  <si>
    <t>192156124</t>
  </si>
  <si>
    <t>610290081</t>
  </si>
  <si>
    <t>924488501</t>
  </si>
  <si>
    <t>ricboa1748@outlook.com</t>
  </si>
  <si>
    <t>marora2654</t>
  </si>
  <si>
    <t>pswmarora2654</t>
  </si>
  <si>
    <t>Maria Martim Barbosa Esteves</t>
  </si>
  <si>
    <t>2654-424</t>
  </si>
  <si>
    <t>74062576</t>
  </si>
  <si>
    <t>855669267</t>
  </si>
  <si>
    <t>444267404</t>
  </si>
  <si>
    <t>964648106</t>
  </si>
  <si>
    <t>marora2654@sapo.pt</t>
  </si>
  <si>
    <t>migboa1150</t>
  </si>
  <si>
    <t>pswmigboa1150</t>
  </si>
  <si>
    <t>Miguel Santiago Henriques Lourenço</t>
  </si>
  <si>
    <t>1150-942</t>
  </si>
  <si>
    <t>90593281</t>
  </si>
  <si>
    <t>117590197</t>
  </si>
  <si>
    <t>191079042</t>
  </si>
  <si>
    <t>934524575</t>
  </si>
  <si>
    <t>migboa1150@sapo.pt</t>
  </si>
  <si>
    <t>andria2424</t>
  </si>
  <si>
    <t>pswandria2424</t>
  </si>
  <si>
    <t>André Rodrigo Henriques Ferreira</t>
  </si>
  <si>
    <t>2424-183</t>
  </si>
  <si>
    <t>28462968</t>
  </si>
  <si>
    <t>354575196</t>
  </si>
  <si>
    <t>787232012</t>
  </si>
  <si>
    <t>914514262</t>
  </si>
  <si>
    <t>andria2424@sapo.pt</t>
  </si>
  <si>
    <t>duaboa1949</t>
  </si>
  <si>
    <t>pswduaboa1949</t>
  </si>
  <si>
    <t>Duarte Duarte Gaspar Pereira</t>
  </si>
  <si>
    <t>1949-765</t>
  </si>
  <si>
    <t>54510803</t>
  </si>
  <si>
    <t>681076498</t>
  </si>
  <si>
    <t>756758558</t>
  </si>
  <si>
    <t>910689905</t>
  </si>
  <si>
    <t>duaboa1949@sapo.pt</t>
  </si>
  <si>
    <t>José Tomás Carneiro Leite</t>
  </si>
  <si>
    <t>1350-725</t>
  </si>
  <si>
    <t>51361023</t>
  </si>
  <si>
    <t>764266216</t>
  </si>
  <si>
    <t>409687848</t>
  </si>
  <si>
    <t>910640335</t>
  </si>
  <si>
    <t>rodboa1049</t>
  </si>
  <si>
    <t>pswrodboa1049</t>
  </si>
  <si>
    <t>Rodrigo Inês Branco Costa</t>
  </si>
  <si>
    <t>1049-723</t>
  </si>
  <si>
    <t>78646074</t>
  </si>
  <si>
    <t>514876207</t>
  </si>
  <si>
    <t>259239344</t>
  </si>
  <si>
    <t>926934449</t>
  </si>
  <si>
    <t>rodboa1049@sapo.pt</t>
  </si>
  <si>
    <t>danica2825</t>
  </si>
  <si>
    <t>pswdanica2825</t>
  </si>
  <si>
    <t>Daniela Tiago Araújo Castro</t>
  </si>
  <si>
    <t>2825-805</t>
  </si>
  <si>
    <t>84411572</t>
  </si>
  <si>
    <t>544762038</t>
  </si>
  <si>
    <t>490453735</t>
  </si>
  <si>
    <t>914385256</t>
  </si>
  <si>
    <t>danica2825@outlook.com</t>
  </si>
  <si>
    <t>duaica2825</t>
  </si>
  <si>
    <t>pswduaica2825</t>
  </si>
  <si>
    <t>Duarte Inês Lopes Mota</t>
  </si>
  <si>
    <t>2825-682</t>
  </si>
  <si>
    <t>14596302</t>
  </si>
  <si>
    <t>803494779</t>
  </si>
  <si>
    <t>588915303</t>
  </si>
  <si>
    <t>963104327</t>
  </si>
  <si>
    <t>duaica2825@gmail.com</t>
  </si>
  <si>
    <t>fraras2784</t>
  </si>
  <si>
    <t>pswfraras2784</t>
  </si>
  <si>
    <t>Francisca Diana Valente Silva</t>
  </si>
  <si>
    <t>2784-536</t>
  </si>
  <si>
    <t>79126318</t>
  </si>
  <si>
    <t>564938610</t>
  </si>
  <si>
    <t>662560850</t>
  </si>
  <si>
    <t>938667475</t>
  </si>
  <si>
    <t>fraras2784@outlook.com</t>
  </si>
  <si>
    <t>Marco Joana Santos Amaral</t>
  </si>
  <si>
    <t>2775-044</t>
  </si>
  <si>
    <t>37481992</t>
  </si>
  <si>
    <t>599909838</t>
  </si>
  <si>
    <t>811205411</t>
  </si>
  <si>
    <t>932911610</t>
  </si>
  <si>
    <t>tiaora2724</t>
  </si>
  <si>
    <t>pswtiaora2724</t>
  </si>
  <si>
    <t>Tiago Matilde Pinho Barbosa</t>
  </si>
  <si>
    <t>2724-914</t>
  </si>
  <si>
    <t>31527788</t>
  </si>
  <si>
    <t>160549843</t>
  </si>
  <si>
    <t>760081408</t>
  </si>
  <si>
    <t>961727025</t>
  </si>
  <si>
    <t>tiaora2724@sapo.pt</t>
  </si>
  <si>
    <t>fraboa1149</t>
  </si>
  <si>
    <t>pswfraboa1149</t>
  </si>
  <si>
    <t>Francisco Sofia Paiva Lopes</t>
  </si>
  <si>
    <t>1149-929</t>
  </si>
  <si>
    <t>82096017</t>
  </si>
  <si>
    <t>253583690</t>
  </si>
  <si>
    <t>254195373</t>
  </si>
  <si>
    <t>916192739</t>
  </si>
  <si>
    <t>fraboa1149@gmail.com</t>
  </si>
  <si>
    <t>anaboa1099</t>
  </si>
  <si>
    <t>pswanaboa1099</t>
  </si>
  <si>
    <t>Ana Daniela Ribeiro Machado</t>
  </si>
  <si>
    <t>1099-453</t>
  </si>
  <si>
    <t>83892096</t>
  </si>
  <si>
    <t>776838870</t>
  </si>
  <si>
    <t>634355915</t>
  </si>
  <si>
    <t>923906466</t>
  </si>
  <si>
    <t>anaboa1099@sapo.pt</t>
  </si>
  <si>
    <t>Tiago Marco Gonçalves Brito</t>
  </si>
  <si>
    <t>1549-631</t>
  </si>
  <si>
    <t>15196191</t>
  </si>
  <si>
    <t>473674266</t>
  </si>
  <si>
    <t>151423782</t>
  </si>
  <si>
    <t>963589494</t>
  </si>
  <si>
    <t>Inês André Correia Cunha</t>
  </si>
  <si>
    <t>1149-564</t>
  </si>
  <si>
    <t>66776420</t>
  </si>
  <si>
    <t>602128942</t>
  </si>
  <si>
    <t>332510232</t>
  </si>
  <si>
    <t>966818271</t>
  </si>
  <si>
    <t>ineboa1149@outlook.com</t>
  </si>
  <si>
    <t>carboa1769</t>
  </si>
  <si>
    <t>pswcarboa1769</t>
  </si>
  <si>
    <t>Carolina Ana Tavares Pacheco</t>
  </si>
  <si>
    <t>1769-433</t>
  </si>
  <si>
    <t>72952531</t>
  </si>
  <si>
    <t>674503967</t>
  </si>
  <si>
    <t>286222242</t>
  </si>
  <si>
    <t>911249295</t>
  </si>
  <si>
    <t>carboa1769@sapo.pt</t>
  </si>
  <si>
    <t>danboa1949</t>
  </si>
  <si>
    <t>pswdanboa1949</t>
  </si>
  <si>
    <t>Daniela Lurdes Lopes Cruz</t>
  </si>
  <si>
    <t>1949-685</t>
  </si>
  <si>
    <t>70522021</t>
  </si>
  <si>
    <t>422758230</t>
  </si>
  <si>
    <t>322543312</t>
  </si>
  <si>
    <t>918516524</t>
  </si>
  <si>
    <t>danboa1949@outlook.com</t>
  </si>
  <si>
    <t>carboa1067</t>
  </si>
  <si>
    <t>pswcarboa1067</t>
  </si>
  <si>
    <t>Carolina Lurdes Carvalho Ferreira</t>
  </si>
  <si>
    <t>1067-153</t>
  </si>
  <si>
    <t>80166644</t>
  </si>
  <si>
    <t>991769177</t>
  </si>
  <si>
    <t>964048807</t>
  </si>
  <si>
    <t>928479997</t>
  </si>
  <si>
    <t>carboa1067@gmail.com</t>
  </si>
  <si>
    <t>ineboa1649</t>
  </si>
  <si>
    <t>pswineboa1649</t>
  </si>
  <si>
    <t>Inês Inês Moreira Barbosa</t>
  </si>
  <si>
    <t>1649-818</t>
  </si>
  <si>
    <t>74789929</t>
  </si>
  <si>
    <t>708753378</t>
  </si>
  <si>
    <t>310207550</t>
  </si>
  <si>
    <t>967589975</t>
  </si>
  <si>
    <t>ineboa1649@outlook.com</t>
  </si>
  <si>
    <t>verbal2910</t>
  </si>
  <si>
    <t>pswverbal2910</t>
  </si>
  <si>
    <t>Vera Pedro Alves Miranda</t>
  </si>
  <si>
    <t>2910-225</t>
  </si>
  <si>
    <t>53185592</t>
  </si>
  <si>
    <t>151164518</t>
  </si>
  <si>
    <t>348217564</t>
  </si>
  <si>
    <t>934576202</t>
  </si>
  <si>
    <t>verbal2910@outlook.com</t>
  </si>
  <si>
    <t>Luís Ana Soares Anjos</t>
  </si>
  <si>
    <t>1300-953</t>
  </si>
  <si>
    <t>25342480</t>
  </si>
  <si>
    <t>770752531</t>
  </si>
  <si>
    <t>255580168</t>
  </si>
  <si>
    <t>929484323</t>
  </si>
  <si>
    <t>Tomás Vera Garcia Ferreira</t>
  </si>
  <si>
    <t>2834-922</t>
  </si>
  <si>
    <t>76562059</t>
  </si>
  <si>
    <t>255285859</t>
  </si>
  <si>
    <t>576781958</t>
  </si>
  <si>
    <t>921957705</t>
  </si>
  <si>
    <t>tomiro2834@sapo.pt</t>
  </si>
  <si>
    <t>gabbal2904</t>
  </si>
  <si>
    <t>pswgabbal2904</t>
  </si>
  <si>
    <t>Gabriel Leonor Guerreiro Antunes</t>
  </si>
  <si>
    <t>2904-627</t>
  </si>
  <si>
    <t>10770425</t>
  </si>
  <si>
    <t>561060367</t>
  </si>
  <si>
    <t>717220070</t>
  </si>
  <si>
    <t>915947328</t>
  </si>
  <si>
    <t>gabbal2904@outlook.com</t>
  </si>
  <si>
    <t>beaboa1500</t>
  </si>
  <si>
    <t>pswbeaboa1500</t>
  </si>
  <si>
    <t>Beatriz Sara Gonçalves Jesus</t>
  </si>
  <si>
    <t>1500-531</t>
  </si>
  <si>
    <t>42144185</t>
  </si>
  <si>
    <t>715395823</t>
  </si>
  <si>
    <t>732306221</t>
  </si>
  <si>
    <t>937567411</t>
  </si>
  <si>
    <t>beaboa1500@outlook.com</t>
  </si>
  <si>
    <t>fraria2424</t>
  </si>
  <si>
    <t>pswfraria2424</t>
  </si>
  <si>
    <t>Francisco Tomás Barros Pinto</t>
  </si>
  <si>
    <t>2424-967</t>
  </si>
  <si>
    <t>18762619</t>
  </si>
  <si>
    <t>645711655</t>
  </si>
  <si>
    <t>407138067</t>
  </si>
  <si>
    <t>963280705</t>
  </si>
  <si>
    <t>fraria2424@outlook.com</t>
  </si>
  <si>
    <t>bearem2004</t>
  </si>
  <si>
    <t>pswbearem2004</t>
  </si>
  <si>
    <t>Beatriz Leonor Morais Vaz</t>
  </si>
  <si>
    <t>2004-604</t>
  </si>
  <si>
    <t>38182479</t>
  </si>
  <si>
    <t>359027838</t>
  </si>
  <si>
    <t>114288819</t>
  </si>
  <si>
    <t>929944404</t>
  </si>
  <si>
    <t>bearem2004@outlook.com</t>
  </si>
  <si>
    <t>andora2654</t>
  </si>
  <si>
    <t>pswandora2654</t>
  </si>
  <si>
    <t>André André Nascimento Esteves</t>
  </si>
  <si>
    <t>2654-448</t>
  </si>
  <si>
    <t>52216879</t>
  </si>
  <si>
    <t>376224550</t>
  </si>
  <si>
    <t>898316921</t>
  </si>
  <si>
    <t>960980279</t>
  </si>
  <si>
    <t>andora2654@gmail.com</t>
  </si>
  <si>
    <t>andras2784</t>
  </si>
  <si>
    <t>pswandras2784</t>
  </si>
  <si>
    <t>André Francisco Teixeira Pacheco</t>
  </si>
  <si>
    <t>2784-676</t>
  </si>
  <si>
    <t>47164559</t>
  </si>
  <si>
    <t>116041015</t>
  </si>
  <si>
    <t>380145458</t>
  </si>
  <si>
    <t>936097684</t>
  </si>
  <si>
    <t>andras2784@gmail.com</t>
  </si>
  <si>
    <t>tomora2704</t>
  </si>
  <si>
    <t>pswtomora2704</t>
  </si>
  <si>
    <t>Tomás Luís Pinto Pinto</t>
  </si>
  <si>
    <t>2704-228</t>
  </si>
  <si>
    <t>89995903</t>
  </si>
  <si>
    <t>970360811</t>
  </si>
  <si>
    <t>889712255</t>
  </si>
  <si>
    <t>917650988</t>
  </si>
  <si>
    <t>tomora2704@outlook.com</t>
  </si>
  <si>
    <t>lurnto2334</t>
  </si>
  <si>
    <t>pswlurnto2334</t>
  </si>
  <si>
    <t>Lurdes José Vaz Gomes</t>
  </si>
  <si>
    <t>2334-933</t>
  </si>
  <si>
    <t>68296409</t>
  </si>
  <si>
    <t>693541652</t>
  </si>
  <si>
    <t>517374476</t>
  </si>
  <si>
    <t>964145554</t>
  </si>
  <si>
    <t>lurnto2334@gmail.com</t>
  </si>
  <si>
    <t>sarada2809</t>
  </si>
  <si>
    <t>pswsarada2809</t>
  </si>
  <si>
    <t>Sara Ana Lopes Anjos</t>
  </si>
  <si>
    <t>2809-894</t>
  </si>
  <si>
    <t>64375390</t>
  </si>
  <si>
    <t>162286423</t>
  </si>
  <si>
    <t>180810438</t>
  </si>
  <si>
    <t>916181820</t>
  </si>
  <si>
    <t>sarada2809@sapo.pt</t>
  </si>
  <si>
    <t>andira2659</t>
  </si>
  <si>
    <t>pswandira2659</t>
  </si>
  <si>
    <t>André Lurdes Sousa Costa</t>
  </si>
  <si>
    <t>2659-854</t>
  </si>
  <si>
    <t>86848646</t>
  </si>
  <si>
    <t>732820779</t>
  </si>
  <si>
    <t>403946902</t>
  </si>
  <si>
    <t>933088908</t>
  </si>
  <si>
    <t>andira2659@sapo.pt</t>
  </si>
  <si>
    <t>Mariana Rodrigo Alves Brito</t>
  </si>
  <si>
    <t>2659-816</t>
  </si>
  <si>
    <t>14777420</t>
  </si>
  <si>
    <t>949285271</t>
  </si>
  <si>
    <t>394959732</t>
  </si>
  <si>
    <t>916536497</t>
  </si>
  <si>
    <t>marira2659@sapo.pt</t>
  </si>
  <si>
    <t>ricria2424</t>
  </si>
  <si>
    <t>pswricria2424</t>
  </si>
  <si>
    <t>Ricardo Martim Borges Matias</t>
  </si>
  <si>
    <t>2424-262</t>
  </si>
  <si>
    <t>31444506</t>
  </si>
  <si>
    <t>123173843</t>
  </si>
  <si>
    <t>886441085</t>
  </si>
  <si>
    <t>915289496</t>
  </si>
  <si>
    <t>ricria2424@sapo.pt</t>
  </si>
  <si>
    <t>migboa1959</t>
  </si>
  <si>
    <t>pswmigboa1959</t>
  </si>
  <si>
    <t>Miguel Beatriz Amaral Melo</t>
  </si>
  <si>
    <t>1959-831</t>
  </si>
  <si>
    <t>81332627</t>
  </si>
  <si>
    <t>841979325</t>
  </si>
  <si>
    <t>635135792</t>
  </si>
  <si>
    <t>914625530</t>
  </si>
  <si>
    <t>migboa1959@outlook.com</t>
  </si>
  <si>
    <t>fraboa1400</t>
  </si>
  <si>
    <t>pswfraboa1400</t>
  </si>
  <si>
    <t>Francisca Bruno Pacheco Soares</t>
  </si>
  <si>
    <t>1400-673</t>
  </si>
  <si>
    <t>92268478</t>
  </si>
  <si>
    <t>703063861</t>
  </si>
  <si>
    <t>966739304</t>
  </si>
  <si>
    <t>968287168</t>
  </si>
  <si>
    <t>fraboa1400@sapo.pt</t>
  </si>
  <si>
    <t>gabboa1449</t>
  </si>
  <si>
    <t>pswgabboa1449</t>
  </si>
  <si>
    <t>Gabriel Afonso Araújo Rodrigues</t>
  </si>
  <si>
    <t>1449-313</t>
  </si>
  <si>
    <t>47192530</t>
  </si>
  <si>
    <t>769100553</t>
  </si>
  <si>
    <t>726799093</t>
  </si>
  <si>
    <t>939820221</t>
  </si>
  <si>
    <t>gabboa1449@gmail.com</t>
  </si>
  <si>
    <t>bruiro2834</t>
  </si>
  <si>
    <t>pswbruiro2834</t>
  </si>
  <si>
    <t>Bruno Ricardo Baptista Coelho</t>
  </si>
  <si>
    <t>2834-851</t>
  </si>
  <si>
    <t>60873204</t>
  </si>
  <si>
    <t>265764214</t>
  </si>
  <si>
    <t>717496292</t>
  </si>
  <si>
    <t>916988867</t>
  </si>
  <si>
    <t>bruiro2834@gmail.com</t>
  </si>
  <si>
    <t>Mariana João Abreu Barbosa</t>
  </si>
  <si>
    <t>1169-508</t>
  </si>
  <si>
    <t>64596374</t>
  </si>
  <si>
    <t>794548053</t>
  </si>
  <si>
    <t>679670235</t>
  </si>
  <si>
    <t>964234135</t>
  </si>
  <si>
    <t>gabada2809</t>
  </si>
  <si>
    <t>pswgabada2809</t>
  </si>
  <si>
    <t>Gabriel Francisco Fonseca Nunes</t>
  </si>
  <si>
    <t>2809-333</t>
  </si>
  <si>
    <t>46316989</t>
  </si>
  <si>
    <t>986370739</t>
  </si>
  <si>
    <t>596758409</t>
  </si>
  <si>
    <t>926488619</t>
  </si>
  <si>
    <t>gabada2809@gmail.com</t>
  </si>
  <si>
    <t>bruboa1068</t>
  </si>
  <si>
    <t>pswbruboa1068</t>
  </si>
  <si>
    <t>Bruno José Reis Paiva</t>
  </si>
  <si>
    <t>1068-903</t>
  </si>
  <si>
    <t>54412099</t>
  </si>
  <si>
    <t>336098380</t>
  </si>
  <si>
    <t>773509919</t>
  </si>
  <si>
    <t>921527749</t>
  </si>
  <si>
    <t>bruboa1068@outlook.com</t>
  </si>
  <si>
    <t>marrem2009</t>
  </si>
  <si>
    <t>pswmarrem2009</t>
  </si>
  <si>
    <t>Maria Tiago Rodrigues Magalhães</t>
  </si>
  <si>
    <t>2009-671</t>
  </si>
  <si>
    <t>12433037</t>
  </si>
  <si>
    <t>620191451</t>
  </si>
  <si>
    <t>471596632</t>
  </si>
  <si>
    <t>928478954</t>
  </si>
  <si>
    <t>marrem2009@outlook.com</t>
  </si>
  <si>
    <t>Mariana Mariana Borges Marques</t>
  </si>
  <si>
    <t>1200-817</t>
  </si>
  <si>
    <t>28290563</t>
  </si>
  <si>
    <t>322961285</t>
  </si>
  <si>
    <t>460934801</t>
  </si>
  <si>
    <t>961094604</t>
  </si>
  <si>
    <t>marboa1200@sapo.pt</t>
  </si>
  <si>
    <t>Vera João Amaral Henriques</t>
  </si>
  <si>
    <t>1949-312</t>
  </si>
  <si>
    <t>45066879</t>
  </si>
  <si>
    <t>406012614</t>
  </si>
  <si>
    <t>134901017</t>
  </si>
  <si>
    <t>930483686</t>
  </si>
  <si>
    <t>verboa1949@gmail.com</t>
  </si>
  <si>
    <t>afoada2809</t>
  </si>
  <si>
    <t>pswafoada2809</t>
  </si>
  <si>
    <t>Afonso Joana Melo Jesus</t>
  </si>
  <si>
    <t>2809-231</t>
  </si>
  <si>
    <t>77134988</t>
  </si>
  <si>
    <t>136699056</t>
  </si>
  <si>
    <t>142662162</t>
  </si>
  <si>
    <t>919288249</t>
  </si>
  <si>
    <t>afoada2809@outlook.com</t>
  </si>
  <si>
    <t>catais2754</t>
  </si>
  <si>
    <t>pswcatais2754</t>
  </si>
  <si>
    <t>Catarina Gabriel Pires Henriques</t>
  </si>
  <si>
    <t>2754-087</t>
  </si>
  <si>
    <t>87013409</t>
  </si>
  <si>
    <t>189012752</t>
  </si>
  <si>
    <t>597601384</t>
  </si>
  <si>
    <t>930474383</t>
  </si>
  <si>
    <t>catais2754@gmail.com</t>
  </si>
  <si>
    <t>marvas2350</t>
  </si>
  <si>
    <t>pswmarvas2350</t>
  </si>
  <si>
    <t>Maria Diogo Pacheco Costa</t>
  </si>
  <si>
    <t>2350-172</t>
  </si>
  <si>
    <t>32368574</t>
  </si>
  <si>
    <t>896618041</t>
  </si>
  <si>
    <t>416069363</t>
  </si>
  <si>
    <t>931792325</t>
  </si>
  <si>
    <t>marvas2350@outlook.com</t>
  </si>
  <si>
    <t>beaboa1949</t>
  </si>
  <si>
    <t>pswbeaboa1949</t>
  </si>
  <si>
    <t>Beatriz Diogo Maia Mota</t>
  </si>
  <si>
    <t>1949-914</t>
  </si>
  <si>
    <t>11582388</t>
  </si>
  <si>
    <t>651900553</t>
  </si>
  <si>
    <t>394773586</t>
  </si>
  <si>
    <t>963946603</t>
  </si>
  <si>
    <t>beaboa1949@sapo.pt</t>
  </si>
  <si>
    <t>beaada2814</t>
  </si>
  <si>
    <t>pswbeaada2814</t>
  </si>
  <si>
    <t>Beatriz Carolina Maia Ribeiro</t>
  </si>
  <si>
    <t>2814-306</t>
  </si>
  <si>
    <t>42003578</t>
  </si>
  <si>
    <t>108309490</t>
  </si>
  <si>
    <t>188076333</t>
  </si>
  <si>
    <t>922502287</t>
  </si>
  <si>
    <t>beaada2814@sapo.pt</t>
  </si>
  <si>
    <t>joaboa1199</t>
  </si>
  <si>
    <t>pswjoaboa1199</t>
  </si>
  <si>
    <t>João Daniela Vieira Monteiro</t>
  </si>
  <si>
    <t>1199-168</t>
  </si>
  <si>
    <t>81558036</t>
  </si>
  <si>
    <t>770167294</t>
  </si>
  <si>
    <t>812687196</t>
  </si>
  <si>
    <t>968850583</t>
  </si>
  <si>
    <t>joaboa1199@outlook.com</t>
  </si>
  <si>
    <t>rodora2720</t>
  </si>
  <si>
    <t>pswrodora2720</t>
  </si>
  <si>
    <t>Rodrigo Lurdes Nunes Figueiredo</t>
  </si>
  <si>
    <t>64028134</t>
  </si>
  <si>
    <t>631483347</t>
  </si>
  <si>
    <t>736010624</t>
  </si>
  <si>
    <t>962764356</t>
  </si>
  <si>
    <t>rodora2720@gmail.com</t>
  </si>
  <si>
    <t>andmar2300</t>
  </si>
  <si>
    <t>pswandmar2300</t>
  </si>
  <si>
    <t>André Diogo Garcia Maia</t>
  </si>
  <si>
    <t>2300-228</t>
  </si>
  <si>
    <t>38077000</t>
  </si>
  <si>
    <t>498097562</t>
  </si>
  <si>
    <t>842070775</t>
  </si>
  <si>
    <t>918544897</t>
  </si>
  <si>
    <t>andmar2300@sapo.pt</t>
  </si>
  <si>
    <t>fraboa1990</t>
  </si>
  <si>
    <t>pswfraboa1990</t>
  </si>
  <si>
    <t>Francisca Miguel Campos Almeida</t>
  </si>
  <si>
    <t>1990-703</t>
  </si>
  <si>
    <t>78587402</t>
  </si>
  <si>
    <t>928730837</t>
  </si>
  <si>
    <t>869494064</t>
  </si>
  <si>
    <t>925271864</t>
  </si>
  <si>
    <t>fraboa1990@sapo.pt</t>
  </si>
  <si>
    <t>fraboa1749</t>
  </si>
  <si>
    <t>pswfraboa1749</t>
  </si>
  <si>
    <t>Francisco Pedro Monteiro Teixeira</t>
  </si>
  <si>
    <t>1749-633</t>
  </si>
  <si>
    <t>26903560</t>
  </si>
  <si>
    <t>887856633</t>
  </si>
  <si>
    <t>357934667</t>
  </si>
  <si>
    <t>918748526</t>
  </si>
  <si>
    <t>fraboa1749@gmail.com</t>
  </si>
  <si>
    <t>josica2825</t>
  </si>
  <si>
    <t>pswjosica2825</t>
  </si>
  <si>
    <t>José Francisco Fonseca Teixeira</t>
  </si>
  <si>
    <t>2825-063</t>
  </si>
  <si>
    <t>15106038</t>
  </si>
  <si>
    <t>243683277</t>
  </si>
  <si>
    <t>126197354</t>
  </si>
  <si>
    <t>920564550</t>
  </si>
  <si>
    <t>josica2825@gmail.com</t>
  </si>
  <si>
    <t>Tomás Martim Morais Nascimento</t>
  </si>
  <si>
    <t>1449-549</t>
  </si>
  <si>
    <t>38520440</t>
  </si>
  <si>
    <t>268028542</t>
  </si>
  <si>
    <t>608685107</t>
  </si>
  <si>
    <t>922109990</t>
  </si>
  <si>
    <t>tomboa1449@sapo.pt</t>
  </si>
  <si>
    <t>marboa1998</t>
  </si>
  <si>
    <t>pswmarboa1998</t>
  </si>
  <si>
    <t>Marco Maria Morais Vicente</t>
  </si>
  <si>
    <t>1998-506</t>
  </si>
  <si>
    <t>82548278</t>
  </si>
  <si>
    <t>579014785</t>
  </si>
  <si>
    <t>148503876</t>
  </si>
  <si>
    <t>919883820</t>
  </si>
  <si>
    <t>marboa1998@sapo.pt</t>
  </si>
  <si>
    <t>mariro2830</t>
  </si>
  <si>
    <t>pswmariro2830</t>
  </si>
  <si>
    <t>Marco Gabriel Garcia Batista</t>
  </si>
  <si>
    <t>2830-501</t>
  </si>
  <si>
    <t>24247996</t>
  </si>
  <si>
    <t>620969272</t>
  </si>
  <si>
    <t>872559092</t>
  </si>
  <si>
    <t>928789478</t>
  </si>
  <si>
    <t>mariro2830@outlook.com</t>
  </si>
  <si>
    <t>Rodrigo Pedro Freitas Almeida</t>
  </si>
  <si>
    <t>2334-211</t>
  </si>
  <si>
    <t>30144429</t>
  </si>
  <si>
    <t>876217971</t>
  </si>
  <si>
    <t>139435797</t>
  </si>
  <si>
    <t>934445942</t>
  </si>
  <si>
    <t>gabboa1649</t>
  </si>
  <si>
    <t>pswgabboa1649</t>
  </si>
  <si>
    <t>Gabriel João Lourenço Soares</t>
  </si>
  <si>
    <t>1649-341</t>
  </si>
  <si>
    <t>82553228</t>
  </si>
  <si>
    <t>510436820</t>
  </si>
  <si>
    <t>491608450</t>
  </si>
  <si>
    <t>968362311</t>
  </si>
  <si>
    <t>gabboa1649@gmail.com</t>
  </si>
  <si>
    <t>danora2650</t>
  </si>
  <si>
    <t>pswdanora2650</t>
  </si>
  <si>
    <t>Daniela Mariana Araújo Simões</t>
  </si>
  <si>
    <t>2650-924</t>
  </si>
  <si>
    <t>14726570</t>
  </si>
  <si>
    <t>215812825</t>
  </si>
  <si>
    <t>958905017</t>
  </si>
  <si>
    <t>914540452</t>
  </si>
  <si>
    <t>danora2650@outlook.com</t>
  </si>
  <si>
    <t>Bruno Catarina Tavares Reis</t>
  </si>
  <si>
    <t>2640-587</t>
  </si>
  <si>
    <t>76396255</t>
  </si>
  <si>
    <t>768635761</t>
  </si>
  <si>
    <t>136961662</t>
  </si>
  <si>
    <t>939152914</t>
  </si>
  <si>
    <t>sofmar2300</t>
  </si>
  <si>
    <t>pswsofmar2300</t>
  </si>
  <si>
    <t>Sofia Inês Morais Carneiro</t>
  </si>
  <si>
    <t>2300-035</t>
  </si>
  <si>
    <t>54093210</t>
  </si>
  <si>
    <t>857975014</t>
  </si>
  <si>
    <t>237287578</t>
  </si>
  <si>
    <t>922334287</t>
  </si>
  <si>
    <t>sofmar2300@sapo.pt</t>
  </si>
  <si>
    <t>Martim Martim Leal Machado</t>
  </si>
  <si>
    <t>1959-682</t>
  </si>
  <si>
    <t>13612070</t>
  </si>
  <si>
    <t>482351255</t>
  </si>
  <si>
    <t>139786096</t>
  </si>
  <si>
    <t>933056386</t>
  </si>
  <si>
    <t>marboa1959@gmail.com</t>
  </si>
  <si>
    <t>fraboa1249</t>
  </si>
  <si>
    <t>pswfraboa1249</t>
  </si>
  <si>
    <t>Francisco Ricardo Assunção Cruz</t>
  </si>
  <si>
    <t>1249-927</t>
  </si>
  <si>
    <t>85401867</t>
  </si>
  <si>
    <t>386337695</t>
  </si>
  <si>
    <t>226283996</t>
  </si>
  <si>
    <t>921758053</t>
  </si>
  <si>
    <t>fraboa1249@outlook.com</t>
  </si>
  <si>
    <t>carboa1050</t>
  </si>
  <si>
    <t>pswcarboa1050</t>
  </si>
  <si>
    <t>Carolina Duarte Brito Batista</t>
  </si>
  <si>
    <t>1050-024</t>
  </si>
  <si>
    <t>21695229</t>
  </si>
  <si>
    <t>626022855</t>
  </si>
  <si>
    <t>691590096</t>
  </si>
  <si>
    <t>929118412</t>
  </si>
  <si>
    <t>carboa1050@gmail.com</t>
  </si>
  <si>
    <t>lurmar2300</t>
  </si>
  <si>
    <t>pswlurmar2300</t>
  </si>
  <si>
    <t>Lurdes Beatriz Gaspar Cruz</t>
  </si>
  <si>
    <t>2300-629</t>
  </si>
  <si>
    <t>41835796</t>
  </si>
  <si>
    <t>560728028</t>
  </si>
  <si>
    <t>906371644</t>
  </si>
  <si>
    <t>923292473</t>
  </si>
  <si>
    <t>lurmar2300@gmail.com</t>
  </si>
  <si>
    <t>Francisca Joana Mendes Assunção</t>
  </si>
  <si>
    <t>1150-690</t>
  </si>
  <si>
    <t>57770306</t>
  </si>
  <si>
    <t>134704839</t>
  </si>
  <si>
    <t>940130126</t>
  </si>
  <si>
    <t>924129660</t>
  </si>
  <si>
    <t>Mariana Afonso Amaral Maia</t>
  </si>
  <si>
    <t>2829-608</t>
  </si>
  <si>
    <t>75799241</t>
  </si>
  <si>
    <t>138395777</t>
  </si>
  <si>
    <t>752519491</t>
  </si>
  <si>
    <t>965490039</t>
  </si>
  <si>
    <t>vertra2710</t>
  </si>
  <si>
    <t>pswvertra2710</t>
  </si>
  <si>
    <t>Vera Matilde Magalhães Araújo</t>
  </si>
  <si>
    <t>2710-797</t>
  </si>
  <si>
    <t>92466696</t>
  </si>
  <si>
    <t>735251925</t>
  </si>
  <si>
    <t>868202358</t>
  </si>
  <si>
    <t>921008688</t>
  </si>
  <si>
    <t>vertra2710@outlook.com</t>
  </si>
  <si>
    <t>luiria2415</t>
  </si>
  <si>
    <t>pswluiria2415</t>
  </si>
  <si>
    <t>Luís Miguel Anjos Lourenço</t>
  </si>
  <si>
    <t>2415-543</t>
  </si>
  <si>
    <t>73487242</t>
  </si>
  <si>
    <t>863244150</t>
  </si>
  <si>
    <t>129490663</t>
  </si>
  <si>
    <t>931363668</t>
  </si>
  <si>
    <t>luiria2415@sapo.pt</t>
  </si>
  <si>
    <t>Tiago Catarina Ramos Tavares</t>
  </si>
  <si>
    <t>2724-900</t>
  </si>
  <si>
    <t>27845509</t>
  </si>
  <si>
    <t>650161031</t>
  </si>
  <si>
    <t>635314060</t>
  </si>
  <si>
    <t>911461461</t>
  </si>
  <si>
    <t>tiaora2724@gmail.com</t>
  </si>
  <si>
    <t>afofra2640</t>
  </si>
  <si>
    <t>pswafofra2640</t>
  </si>
  <si>
    <t>Afonso Ana Cunha Neto</t>
  </si>
  <si>
    <t>2640-865</t>
  </si>
  <si>
    <t>77408671</t>
  </si>
  <si>
    <t>331839745</t>
  </si>
  <si>
    <t>584608094</t>
  </si>
  <si>
    <t>919527433</t>
  </si>
  <si>
    <t>afofra2640@outlook.com</t>
  </si>
  <si>
    <t>dannto2330</t>
  </si>
  <si>
    <t>pswdannto2330</t>
  </si>
  <si>
    <t>Daniela André Garcia Gonçalves</t>
  </si>
  <si>
    <t>2330-898</t>
  </si>
  <si>
    <t>15401283</t>
  </si>
  <si>
    <t>944072870</t>
  </si>
  <si>
    <t>731660523</t>
  </si>
  <si>
    <t>969868132</t>
  </si>
  <si>
    <t>dannto2330@outlook.com</t>
  </si>
  <si>
    <t>beaira2655</t>
  </si>
  <si>
    <t>pswbeaira2655</t>
  </si>
  <si>
    <t>Beatriz Miguel Brito Alves</t>
  </si>
  <si>
    <t>2655-346</t>
  </si>
  <si>
    <t>79152012</t>
  </si>
  <si>
    <t>962832827</t>
  </si>
  <si>
    <t>152835754</t>
  </si>
  <si>
    <t>910936628</t>
  </si>
  <si>
    <t>beaira2655@sapo.pt</t>
  </si>
  <si>
    <t>Maria Francisco Miranda Freitas</t>
  </si>
  <si>
    <t>2009-728</t>
  </si>
  <si>
    <t>77737448</t>
  </si>
  <si>
    <t>736876740</t>
  </si>
  <si>
    <t>219966719</t>
  </si>
  <si>
    <t>967963484</t>
  </si>
  <si>
    <t>marrem2009@sapo.pt</t>
  </si>
  <si>
    <t>lurora2720</t>
  </si>
  <si>
    <t>pswlurora2720</t>
  </si>
  <si>
    <t>Lurdes Mariana Campos Rocha</t>
  </si>
  <si>
    <t>2720-373</t>
  </si>
  <si>
    <t>87295880</t>
  </si>
  <si>
    <t>284789307</t>
  </si>
  <si>
    <t>823543222</t>
  </si>
  <si>
    <t>915128827</t>
  </si>
  <si>
    <t>lurora2720@outlook.com</t>
  </si>
  <si>
    <t>dioira2659</t>
  </si>
  <si>
    <t>pswdioira2659</t>
  </si>
  <si>
    <t>Diogo Bruno Faria Martins</t>
  </si>
  <si>
    <t>2659-338</t>
  </si>
  <si>
    <t>47359122</t>
  </si>
  <si>
    <t>588241287</t>
  </si>
  <si>
    <t>858883588</t>
  </si>
  <si>
    <t>928093395</t>
  </si>
  <si>
    <t>dioira2659@outlook.com</t>
  </si>
  <si>
    <t>Bruno Ricardo Raposo Mendes</t>
  </si>
  <si>
    <t>1300-996</t>
  </si>
  <si>
    <t>63044475</t>
  </si>
  <si>
    <t>373847645</t>
  </si>
  <si>
    <t>979482838</t>
  </si>
  <si>
    <t>939964079</t>
  </si>
  <si>
    <t>bruboa1300@gmail.com</t>
  </si>
  <si>
    <t>fraboa1999</t>
  </si>
  <si>
    <t>pswfraboa1999</t>
  </si>
  <si>
    <t>Francisco Rodrigo Jesus Reis</t>
  </si>
  <si>
    <t>1999-410</t>
  </si>
  <si>
    <t>78482005</t>
  </si>
  <si>
    <t>250188399</t>
  </si>
  <si>
    <t>903454666</t>
  </si>
  <si>
    <t>913870790</t>
  </si>
  <si>
    <t>fraboa1999@outlook.com</t>
  </si>
  <si>
    <t>sofluz2749</t>
  </si>
  <si>
    <t>pswsofluz2749</t>
  </si>
  <si>
    <t>Sofia Beatriz Pinheiro Vicente</t>
  </si>
  <si>
    <t>2749-057</t>
  </si>
  <si>
    <t>70863311</t>
  </si>
  <si>
    <t>520574637</t>
  </si>
  <si>
    <t>820278934</t>
  </si>
  <si>
    <t>925845040</t>
  </si>
  <si>
    <t>sofluz2749@gmail.com</t>
  </si>
  <si>
    <t>sanfra2640</t>
  </si>
  <si>
    <t>pswsanfra2640</t>
  </si>
  <si>
    <t>Santiago Joana Campos Assunção</t>
  </si>
  <si>
    <t>2640-952</t>
  </si>
  <si>
    <t>13418101</t>
  </si>
  <si>
    <t>780390983</t>
  </si>
  <si>
    <t>774694371</t>
  </si>
  <si>
    <t>924301383</t>
  </si>
  <si>
    <t>sanfra2640@sapo.pt</t>
  </si>
  <si>
    <t>tiaboa1950</t>
  </si>
  <si>
    <t>pswtiaboa1950</t>
  </si>
  <si>
    <t>Tiago José Simões Pereira</t>
  </si>
  <si>
    <t>1950-109</t>
  </si>
  <si>
    <t>46832074</t>
  </si>
  <si>
    <t>517068814</t>
  </si>
  <si>
    <t>129474672</t>
  </si>
  <si>
    <t>926269580</t>
  </si>
  <si>
    <t>tiaboa1950@outlook.com</t>
  </si>
  <si>
    <t>Mariana Inês Miranda Raposo</t>
  </si>
  <si>
    <t>2825-893</t>
  </si>
  <si>
    <t>74093696</t>
  </si>
  <si>
    <t>750768789</t>
  </si>
  <si>
    <t>300490378</t>
  </si>
  <si>
    <t>914219222</t>
  </si>
  <si>
    <t>bruada2804</t>
  </si>
  <si>
    <t>pswbruada2804</t>
  </si>
  <si>
    <t>Bruno Ana Martins Carneiro</t>
  </si>
  <si>
    <t>2804-824</t>
  </si>
  <si>
    <t>88189559</t>
  </si>
  <si>
    <t>928802555</t>
  </si>
  <si>
    <t>401170147</t>
  </si>
  <si>
    <t>928802716</t>
  </si>
  <si>
    <t>bruada2804@gmail.com</t>
  </si>
  <si>
    <t>pedboa1249</t>
  </si>
  <si>
    <t>pswpedboa1249</t>
  </si>
  <si>
    <t>Pedro João Anjos Borges</t>
  </si>
  <si>
    <t>1249-920</t>
  </si>
  <si>
    <t>16540879</t>
  </si>
  <si>
    <t>694482780</t>
  </si>
  <si>
    <t>604117473</t>
  </si>
  <si>
    <t>969142926</t>
  </si>
  <si>
    <t>pedboa1249@gmail.com</t>
  </si>
  <si>
    <t>Inês Sofia Andrade Cardoso</t>
  </si>
  <si>
    <t>2810-673</t>
  </si>
  <si>
    <t>30864273</t>
  </si>
  <si>
    <t>735223878</t>
  </si>
  <si>
    <t>220095402</t>
  </si>
  <si>
    <t>916537462</t>
  </si>
  <si>
    <t>ineada2810@gmail.com</t>
  </si>
  <si>
    <t>catboa1950</t>
  </si>
  <si>
    <t>pswcatboa1950</t>
  </si>
  <si>
    <t>Catarina João Lima Batista</t>
  </si>
  <si>
    <t>1950-886</t>
  </si>
  <si>
    <t>87274841</t>
  </si>
  <si>
    <t>218888076</t>
  </si>
  <si>
    <t>550368583</t>
  </si>
  <si>
    <t>935237900</t>
  </si>
  <si>
    <t>catboa1950@gmail.com</t>
  </si>
  <si>
    <t>catras2560</t>
  </si>
  <si>
    <t>pswcatras2560</t>
  </si>
  <si>
    <t>Catarina Mariana Nogueira Castro</t>
  </si>
  <si>
    <t>2560-290</t>
  </si>
  <si>
    <t>94628407</t>
  </si>
  <si>
    <t>649735823</t>
  </si>
  <si>
    <t>483294789</t>
  </si>
  <si>
    <t>965471535</t>
  </si>
  <si>
    <t>catras2560@outlook.com</t>
  </si>
  <si>
    <t>afoboa1049</t>
  </si>
  <si>
    <t>pswafoboa1049</t>
  </si>
  <si>
    <t>Afonso Francisco Brito Macedo</t>
  </si>
  <si>
    <t>1049-086</t>
  </si>
  <si>
    <t>55580055</t>
  </si>
  <si>
    <t>999526192</t>
  </si>
  <si>
    <t>781241357</t>
  </si>
  <si>
    <t>920285032</t>
  </si>
  <si>
    <t>afoboa1049@gmail.com</t>
  </si>
  <si>
    <t>catboa1050</t>
  </si>
  <si>
    <t>pswcatboa1050</t>
  </si>
  <si>
    <t>Catarina Ana Oliveira Almeida</t>
  </si>
  <si>
    <t>1050-502</t>
  </si>
  <si>
    <t>28402659</t>
  </si>
  <si>
    <t>603277121</t>
  </si>
  <si>
    <t>816444751</t>
  </si>
  <si>
    <t>939089121</t>
  </si>
  <si>
    <t>catboa1050@sapo.pt</t>
  </si>
  <si>
    <t>sanria2415</t>
  </si>
  <si>
    <t>pswsanria2415</t>
  </si>
  <si>
    <t>Santiago Francisco Jesus Guerreiro</t>
  </si>
  <si>
    <t>2415-766</t>
  </si>
  <si>
    <t>10030705</t>
  </si>
  <si>
    <t>175130611</t>
  </si>
  <si>
    <t>439709162</t>
  </si>
  <si>
    <t>968447369</t>
  </si>
  <si>
    <t>sanria2415@outlook.com</t>
  </si>
  <si>
    <t>gabboa1068</t>
  </si>
  <si>
    <t>pswgabboa1068</t>
  </si>
  <si>
    <t>Gabriel Mariana Alves Batista</t>
  </si>
  <si>
    <t>1068-401</t>
  </si>
  <si>
    <t>25662799</t>
  </si>
  <si>
    <t>861404898</t>
  </si>
  <si>
    <t>753480671</t>
  </si>
  <si>
    <t>922347116</t>
  </si>
  <si>
    <t>gabboa1068@outlook.com</t>
  </si>
  <si>
    <t>pedras2560</t>
  </si>
  <si>
    <t>pswpedras2560</t>
  </si>
  <si>
    <t>Pedro Martim Leite Costa</t>
  </si>
  <si>
    <t>2560-032</t>
  </si>
  <si>
    <t>11043736</t>
  </si>
  <si>
    <t>638792183</t>
  </si>
  <si>
    <t>537044970</t>
  </si>
  <si>
    <t>936679793</t>
  </si>
  <si>
    <t>pedras2560@outlook.com</t>
  </si>
  <si>
    <t>diaboa1149</t>
  </si>
  <si>
    <t>pswdiaboa1149</t>
  </si>
  <si>
    <t>Diana Daniela Rodrigues Machado</t>
  </si>
  <si>
    <t>1149-882</t>
  </si>
  <si>
    <t>68689576</t>
  </si>
  <si>
    <t>309977083</t>
  </si>
  <si>
    <t>880754714</t>
  </si>
  <si>
    <t>918013222</t>
  </si>
  <si>
    <t>diaboa1149@sapo.pt</t>
  </si>
  <si>
    <t>marada2810</t>
  </si>
  <si>
    <t>pswmarada2810</t>
  </si>
  <si>
    <t>Mariana Martim Reis Carneiro</t>
  </si>
  <si>
    <t>2810-499</t>
  </si>
  <si>
    <t>66498218</t>
  </si>
  <si>
    <t>563768317</t>
  </si>
  <si>
    <t>752205875</t>
  </si>
  <si>
    <t>920248595</t>
  </si>
  <si>
    <t>marada2810@gmail.com</t>
  </si>
  <si>
    <t>carboa1949</t>
  </si>
  <si>
    <t>pswcarboa1949</t>
  </si>
  <si>
    <t>Carolina Martim Reis Lourenço</t>
  </si>
  <si>
    <t>1949-719</t>
  </si>
  <si>
    <t>19911014</t>
  </si>
  <si>
    <t>225081273</t>
  </si>
  <si>
    <t>811899239</t>
  </si>
  <si>
    <t>912691503</t>
  </si>
  <si>
    <t>carboa1949@sapo.pt</t>
  </si>
  <si>
    <t>ananto2330</t>
  </si>
  <si>
    <t>pswananto2330</t>
  </si>
  <si>
    <t>Ana Tiago Nascimento Azevedo</t>
  </si>
  <si>
    <t>2330-740</t>
  </si>
  <si>
    <t>16700050</t>
  </si>
  <si>
    <t>410114937</t>
  </si>
  <si>
    <t>612291302</t>
  </si>
  <si>
    <t>923966831</t>
  </si>
  <si>
    <t>ananto2330@gmail.com</t>
  </si>
  <si>
    <t>marboa1849</t>
  </si>
  <si>
    <t>pswmarboa1849</t>
  </si>
  <si>
    <t>Martim Ana Machado Raposo</t>
  </si>
  <si>
    <t>1849-417</t>
  </si>
  <si>
    <t>68286763</t>
  </si>
  <si>
    <t>466380166</t>
  </si>
  <si>
    <t>179861279</t>
  </si>
  <si>
    <t>918458486</t>
  </si>
  <si>
    <t>marboa1849@sapo.pt</t>
  </si>
  <si>
    <t>marboa1300</t>
  </si>
  <si>
    <t>pswmarboa1300</t>
  </si>
  <si>
    <t>Mariana Daniela Batista Nunes</t>
  </si>
  <si>
    <t>1300-076</t>
  </si>
  <si>
    <t>85669523</t>
  </si>
  <si>
    <t>389028289</t>
  </si>
  <si>
    <t>959109928</t>
  </si>
  <si>
    <t>962786004</t>
  </si>
  <si>
    <t>marboa1300@gmail.com</t>
  </si>
  <si>
    <t>danada2810</t>
  </si>
  <si>
    <t>pswdanada2810</t>
  </si>
  <si>
    <t>Daniela Sara Cruz Sousa</t>
  </si>
  <si>
    <t>2810-166</t>
  </si>
  <si>
    <t>24535120</t>
  </si>
  <si>
    <t>823146489</t>
  </si>
  <si>
    <t>716190758</t>
  </si>
  <si>
    <t>921399761</t>
  </si>
  <si>
    <t>danada2810@gmail.com</t>
  </si>
  <si>
    <t>josiro2834</t>
  </si>
  <si>
    <t>pswjosiro2834</t>
  </si>
  <si>
    <t>José Maria Brito Rocha</t>
  </si>
  <si>
    <t>2834-451</t>
  </si>
  <si>
    <t>90085975</t>
  </si>
  <si>
    <t>961759372</t>
  </si>
  <si>
    <t>243100371</t>
  </si>
  <si>
    <t>963816258</t>
  </si>
  <si>
    <t>josiro2834@gmail.com</t>
  </si>
  <si>
    <t>user_id</t>
  </si>
  <si>
    <t>speciality_id</t>
  </si>
  <si>
    <t>INSERT INTO doctor_has_speciality(user_id, speciality_id)</t>
  </si>
  <si>
    <t>Médico</t>
  </si>
  <si>
    <t>Utente</t>
  </si>
  <si>
    <t>anaboa1069.jpg</t>
  </si>
  <si>
    <t>dioboa1549.jpg</t>
  </si>
  <si>
    <t>matboa1998.jpg</t>
  </si>
  <si>
    <t>migboa1900.jpg</t>
  </si>
  <si>
    <t>sofluz2749.jpg</t>
  </si>
  <si>
    <t>INSERT INTO patient(patient_id)</t>
  </si>
  <si>
    <t>INSERT INTO user(user_id,username, password, name, sex, birthday, address, post_code, city, account, nationality, document_type, document_number, nif, patient_number, phone, email, photourl)</t>
  </si>
  <si>
    <t>INSERT INTO user(user_id, username, password, name, sex, birthday, address, post_code, city, account, nationality, document_type, document_number, nif, patient_number, phone, email, photourl)</t>
  </si>
  <si>
    <t>INSERT INTO doctor(doctor_id, license_number, speciality_id)</t>
  </si>
  <si>
    <t>INSERT INTO employee(employee_id)</t>
  </si>
  <si>
    <t>ineada2810w</t>
  </si>
  <si>
    <t>Joaquim</t>
  </si>
  <si>
    <t>Laura</t>
  </si>
  <si>
    <t>Lara</t>
  </si>
  <si>
    <t>Recepcionista</t>
  </si>
  <si>
    <t>rec001</t>
  </si>
  <si>
    <t>pswrec001</t>
  </si>
  <si>
    <t>rec001@hospital.upskill.com</t>
  </si>
  <si>
    <t>rec002</t>
  </si>
  <si>
    <t>pswrec002</t>
  </si>
  <si>
    <t>rec002@hospital.upskill.com</t>
  </si>
  <si>
    <t>rec003</t>
  </si>
  <si>
    <t>pswrec003</t>
  </si>
  <si>
    <t>rec003@hospital.upskill.com</t>
  </si>
  <si>
    <t>rec004</t>
  </si>
  <si>
    <t>pswrec004</t>
  </si>
  <si>
    <t>rec004@hospital.upskill.com</t>
  </si>
  <si>
    <t>rec005</t>
  </si>
  <si>
    <t>pswrec005</t>
  </si>
  <si>
    <t>rec005@hospital.upskill.com</t>
  </si>
  <si>
    <t>rec006</t>
  </si>
  <si>
    <t>pswrec006</t>
  </si>
  <si>
    <t>rec006@hospital.upskill.com</t>
  </si>
  <si>
    <t>rec007</t>
  </si>
  <si>
    <t>pswrec007</t>
  </si>
  <si>
    <t>rec007@hospital.upskill.com</t>
  </si>
  <si>
    <t>rec008</t>
  </si>
  <si>
    <t>pswrec008</t>
  </si>
  <si>
    <t>rec008@hospital.upskill.com</t>
  </si>
  <si>
    <t>rec009</t>
  </si>
  <si>
    <t>pswrec009</t>
  </si>
  <si>
    <t>rec009@hospital.upskill.com</t>
  </si>
  <si>
    <t>rec010</t>
  </si>
  <si>
    <t>pswrec010</t>
  </si>
  <si>
    <t>rec010@hospital.upskill.com</t>
  </si>
  <si>
    <t>Santiago Assunção Vieira</t>
  </si>
  <si>
    <t>2614-241</t>
  </si>
  <si>
    <t>76127900</t>
  </si>
  <si>
    <t>213459174</t>
  </si>
  <si>
    <t>630516313</t>
  </si>
  <si>
    <t>912802112</t>
  </si>
  <si>
    <t>José Pires Antunes</t>
  </si>
  <si>
    <t>2900-411</t>
  </si>
  <si>
    <t>41324617</t>
  </si>
  <si>
    <t>848321758</t>
  </si>
  <si>
    <t>586932508</t>
  </si>
  <si>
    <t>966229913</t>
  </si>
  <si>
    <t>Catarina Sofia Cunha Gomes</t>
  </si>
  <si>
    <t>2654-228</t>
  </si>
  <si>
    <t>47409942</t>
  </si>
  <si>
    <t>858039431</t>
  </si>
  <si>
    <t>349866136</t>
  </si>
  <si>
    <t>934738939</t>
  </si>
  <si>
    <t>Duarte José Miranda Oliveira</t>
  </si>
  <si>
    <t>1449-634</t>
  </si>
  <si>
    <t>76178103</t>
  </si>
  <si>
    <t>427188848</t>
  </si>
  <si>
    <t>995257896</t>
  </si>
  <si>
    <t>918829948</t>
  </si>
  <si>
    <t>Santiago Matilde Figueiredo Figueiredo</t>
  </si>
  <si>
    <t>1549-731</t>
  </si>
  <si>
    <t>62507076</t>
  </si>
  <si>
    <t>634350831</t>
  </si>
  <si>
    <t>684226986</t>
  </si>
  <si>
    <t>931373585</t>
  </si>
  <si>
    <t>Duarte Luís Castro Antunes</t>
  </si>
  <si>
    <t>2654-578</t>
  </si>
  <si>
    <t>91496657</t>
  </si>
  <si>
    <t>489716842</t>
  </si>
  <si>
    <t>539816581</t>
  </si>
  <si>
    <t>963125267</t>
  </si>
  <si>
    <t>Tiago Rodrigo Cunha Ramos</t>
  </si>
  <si>
    <t>1349-564</t>
  </si>
  <si>
    <t>63387806</t>
  </si>
  <si>
    <t>829988758</t>
  </si>
  <si>
    <t>815702121</t>
  </si>
  <si>
    <t>914945528</t>
  </si>
  <si>
    <t>Gabriel João Torres Ferreira</t>
  </si>
  <si>
    <t>2745-266</t>
  </si>
  <si>
    <t>93447178</t>
  </si>
  <si>
    <t>267136156</t>
  </si>
  <si>
    <t>608205890</t>
  </si>
  <si>
    <t>911291253</t>
  </si>
  <si>
    <t>Tiago Inês Pereira Henriques</t>
  </si>
  <si>
    <t>2750-876</t>
  </si>
  <si>
    <t>37567118</t>
  </si>
  <si>
    <t>587506877</t>
  </si>
  <si>
    <t>884609656</t>
  </si>
  <si>
    <t>966490826</t>
  </si>
  <si>
    <t>Marco Inês Reis Araújo</t>
  </si>
  <si>
    <t>2829-427</t>
  </si>
  <si>
    <t>50227653</t>
  </si>
  <si>
    <t>692666346</t>
  </si>
  <si>
    <t>144598948</t>
  </si>
  <si>
    <t>939877634</t>
  </si>
  <si>
    <t>INSERT INTO receptionist(receptionist_id)</t>
  </si>
  <si>
    <t>$2a$10$sCyfntHoJxJkaV8/hToChe3xcls99gqWMnAFxm8Vr8fRUYmG1OPse</t>
  </si>
  <si>
    <t>$2a$10$GkLiK5N952Cp5JQU3yCpAeqKg0CwrOdQsYYy9uwa7KAmDLEKCk.ba</t>
  </si>
  <si>
    <t>$2a$10$27NnE99YDimv1priWckUiOh2bkfx6uX1kBLTgMcochqJ0dH80q0by</t>
  </si>
  <si>
    <t>$2a$10$H5KCkkVPVCWO4epryVFN0O0IViz0x0K7zaJavtV0bg5ovN1jYLN9i</t>
  </si>
  <si>
    <t>$2a$10$TY2BJubJGCJ1nYLcLldCzOUUAgRq/jpbVbHpLK6PPqZ34wa1FWZcG</t>
  </si>
  <si>
    <t>$2a$10$PJX3tP9/1JjiEC/MjeYm2e4QvJnjTajkkhr8h7Xwd9.5GkkWxDmzu</t>
  </si>
  <si>
    <t>$2a$10$OQZuG.EaPKLAJSbnyqLIxOZBTm7FJkvR28wqdCbhrUYnLq3UMIMwe</t>
  </si>
  <si>
    <t>$2a$10$C8W.ApYdhR7OvesANvf5euyahsEtRWa1aFeUUeqwJKkeDZMzMQIla</t>
  </si>
  <si>
    <t>$2a$10$pWLW1cravfjz/Z9EdF6ESeDxFJk1jaId9NMERW.rDWiuAVLvUyPsu</t>
  </si>
  <si>
    <t>$2a$10$SD4v8.fbqjNPO.clLljby.U7JISQABxekkbl1rgqgpBmHZB8kqtgW</t>
  </si>
  <si>
    <t>$2a$10$gCYnW6C8MCxyK1zyJRKha.xG5DK2XsVZ/aOD69H6HIDYiZPBVgjOO</t>
  </si>
  <si>
    <t>$2a$10$/IUrTc08s9VVQZ/YIgoMJOjC/YaK6MQqZkhDJphHctu6CouLHR6bS</t>
  </si>
  <si>
    <t>$2a$10$mA0aO6/Vhp1IPcjSJaS3Iuz.GA/lkZbJX4jmKFZjabuA.OzhPMkdy</t>
  </si>
  <si>
    <t>$2a$10$T2tXj6oP3P0v0WJZ0szCOOOBNuckPzu43QTda/eTIPBqCAdLb/fui</t>
  </si>
  <si>
    <t>$2a$10$URbGy/.tp1qitbitOAb91Ou0tpnzv98XBw1HVgLi0khv6mg4xEs7e</t>
  </si>
  <si>
    <t>$2a$10$4WBtK3JlAz0peLjTtG0fNueFWJ6nBdqt.LNny4dXIGfWaq7ILkdOK</t>
  </si>
  <si>
    <t>$2a$10$2N3BIb2wJZazF7vw9zWGtezQSRNQeEvYMqCVMUs51ghnwjQV4HkYK</t>
  </si>
  <si>
    <t>$2a$10$s9KYG3ESHs1UT/IrBtVqc.RdIwl8e2XW4aTBxT3Bi8dYU8HlxIiv6</t>
  </si>
  <si>
    <t>$2a$10$4eaHnwmF3RguYFjSumgEV.kSeO6srBb.i3Pc9AvNuL7xTnggTtVhW</t>
  </si>
  <si>
    <t>$2a$10$b4oRzE9yWHgk1n.8FKCGe.DTChVapB66G26aC78O32IbEqTEk2fKS</t>
  </si>
  <si>
    <t>$2a$10$vdXhTFb5ghbzW6QpeyqNgeN.BwU742boO2ylHRyhSWeap4ka0jZnK</t>
  </si>
  <si>
    <t>$2a$10$R70M8Jco0wrrzpMUulYtcuGWy0ZKrs9bv5UJh4JkLutR2.kPMpln2</t>
  </si>
  <si>
    <t>$2a$10$0/5VeU1JquHrQ7HpJNhQL.XuZiQO9T8rKewhwORdsQfSuPNeEZx/i</t>
  </si>
  <si>
    <t>$2a$10$aHplquJfoK1CsPGdez8hRecwEN0612uq0mq8PaN6xhkinXC2i4GUC</t>
  </si>
  <si>
    <t>$2a$10$OWtfwAt.KVIZlUmoj2ysGeB5ZqrD8ghN1i2yUDzRC1jw2t.VrTP0W</t>
  </si>
  <si>
    <t>$2a$10$SRCdoWzjmv05vSO9DIa.N.YtUVTECribe9CqaTDLqAwWLG4Zy37qi</t>
  </si>
  <si>
    <t>$2a$10$xuw81ebrt07MWBhRBa0fNO1uIOYAaxJiAVkBTjF6jk61/KggZ99c.</t>
  </si>
  <si>
    <t>$2a$10$NwKqhAtlExQmXu6o2EPqJOnjOk7xrncMIEPeEHuCurSa/dmVvdhKq</t>
  </si>
  <si>
    <t>$2a$10$p29UIyVdHRHpPrQJyWCkse1k4jI78hakbGpLzYw3EI8ZfWtjwAG5.</t>
  </si>
  <si>
    <t>$2a$10$syyvmfQKvYDcm7eJE212MucMZNNv/nt4XpOq0F69Te0Ue93.HkbeK</t>
  </si>
  <si>
    <t>$2a$10$vnJJhiEgRf0wTQAhmOrKi.SbuPB5vWFriPM1QRE2qAoBLZA6TpY7S</t>
  </si>
  <si>
    <t>$2a$10$porJGDZRgy2kWbJv9Ir81e2XLCOla5JOJKPdcu5fBIuio/3qsRfhe</t>
  </si>
  <si>
    <t>$2a$10$vatyk.aBj6PiEYBh4cxOqu4.UcvkvqSm2IE9hQUJ6nyQFXmJmCzIe</t>
  </si>
  <si>
    <t>$2a$10$XpMWOUTCIY8Oduo5yeb91eHG8mmBtv.PE0VjAbTcmVwKJsX3xNaI2</t>
  </si>
  <si>
    <t>$2a$10$DS8Ledc6jx7fi0Z3QBg7Nuqhm2Up3jOybVF6RrwGp1/YFRdjO91cq</t>
  </si>
  <si>
    <t>$2a$10$edE02mv2G1Gj0VdGq73qJuGhawuGyz5RWq9GwgOrhIotDyy5iQm2S</t>
  </si>
  <si>
    <t>$2a$10$Fbe3RadzvDZz7/gQJmQXDuvqrulE6S293REpdW3ouT09TtHwZMCmG</t>
  </si>
  <si>
    <t>$2a$10$SDElTn1kG.Ph1gSxsKWK6.thArunabMp.MIifevWpligq3Zz40gkG</t>
  </si>
  <si>
    <t>$2a$10$O1ouLPQ.VF/9IWsFkCMnved4ZhzOkUo/UgoY3Waz6EI1bJuYNG1h2</t>
  </si>
  <si>
    <t>$2a$10$LNUv0DWnIQM7y2zYrFiUhO3Gk/1sNqSvV1MqzIB4iFOQ2vICHMCZe</t>
  </si>
  <si>
    <t>$2a$10$p7q83kSl/ZR2MouXeP0.TOtEVGRpPigDiFcBQo2ZwltvVyVVI1r/2</t>
  </si>
  <si>
    <t>$2a$10$e7r6L//wb97uEbhyfP.3f.IikqwUFls5KZNNDcdKf2Jb3DTUb71Oq</t>
  </si>
  <si>
    <t>$2a$10$ob5sxH78DxIdnvxOn9MhNOIs5zxNWDOpUIHq3dRtI8vVLi8EuAgVO</t>
  </si>
  <si>
    <t>$2a$10$kch.PJHYa3GL/OjTanN7fuLhkfCS6rOaJMysiAN6JNXzBsXOQusMm</t>
  </si>
  <si>
    <t>$2a$10$lL1fi/.v2TmSy254IRVlv.oo7pIgStYlLDOvKfHebAixvc3dkPfLm</t>
  </si>
  <si>
    <t>$2a$10$EYBcvm4G98PZLLbfXu4tm.DLzJ6WyGFUVn0pyz32c8SoCUoVHj6zO</t>
  </si>
  <si>
    <t>$2a$10$4LVFRNWWGTpzrhUbcREBTeepSuofAyFC9t7RK4vZ5.IZ/IZfS/GF2</t>
  </si>
  <si>
    <t>$2a$10$8nLYqeuxShWjcfchk2CBPuWREnirNfQcAyn3j/m.lXNrUjfiNknLO</t>
  </si>
  <si>
    <t>$2a$10$WzzsgaBRKBUkH7plgclftOQ3c/LSy0iaB1qIXK0XjOEs7jpkSYoDu</t>
  </si>
  <si>
    <t>$2a$10$y8GFfcQOGpjEwYIYBFBXYuKSFFbMTp6VlOCHmaw52pEB/e/VNUIKy</t>
  </si>
  <si>
    <t>$2a$10$VJL027DHTJgpLLQUm4Be0eGkiIwBMjPMPEuQD95ZQBCfJ0ajr8Cx2</t>
  </si>
  <si>
    <t>$2a$10$kV3YFkxe499Cy.PaIvWAEu1KnHoNlQVrZQ5NYj4tqFJht4L363cvK</t>
  </si>
  <si>
    <t>$2a$10$QSOZX3cA7Xf5ZpCJdf6yc.xUT4UVG20ijvoiEryfOiusVDJTppvAS</t>
  </si>
  <si>
    <t>$2a$10$B8hUvSiAYNXQGLl8CcBLb.NbzlnZzJ4tCx8cSBpA62Vzuz8gN5DGO</t>
  </si>
  <si>
    <t>$2a$10$GyUC58pWhbQ7eO4l04KBXeK2RtEpP.TT0wxJ0tA19j0ZudiNZOUaS</t>
  </si>
  <si>
    <t>$2a$10$C6dweK1AJTabBlnV5LZphuA5wDjOWzQu9i7dt39p7sYSfCQ2yfo8m</t>
  </si>
  <si>
    <t>$2a$10$q7S8qvqLut0hy.AvGLkJf.o0WhrpzlUodXNySsH9LievxzEn22LNG</t>
  </si>
  <si>
    <t>$2a$10$hED.5mPyNJAT105U.CsXyudzBAIiKnBLKpL0.BjLYkd6ty5Ff3ZfG</t>
  </si>
  <si>
    <t>$2a$10$lWr9AHBXU.XtUy/X7umSLO3Rh.JD5C0CMg9vv9cbwp7r1HCtnNDlC</t>
  </si>
  <si>
    <t>$2a$10$VSor6KmlhdcwBTf.RIfaBOZcStsjOfEwr9I6LEAB7KYg1c6h7sOYm</t>
  </si>
  <si>
    <t>$2a$10$XK10RxqiJ15nq4Yle8befeh32ExDZTixA2FPdotRXBu.0xtcfiTjS</t>
  </si>
  <si>
    <t>$2a$10$9jLDWeJ9XhSHTFAZiX/n2.YSfJGuzpYThzi4FWo0nb.BJPWZZ9FMi</t>
  </si>
  <si>
    <t>$2a$10$GKGy1xzQ4AGhL411DJfSqeFtzJm8w6j5NB2UfZEizTX8TeN/eGd6W</t>
  </si>
  <si>
    <t>$2a$10$GITTP.cHp5s9qrI6/w2c2eDFpce5hzEhZmvDNBbJ1TL4Fd5YXa/4m</t>
  </si>
  <si>
    <t>$2a$10$diLOAFBVCugy7MsG.5th.Opw8C1HJKQtCwUaE5lMgxj2W51INfT8i</t>
  </si>
  <si>
    <t>$2a$10$90h//kPwvQBgU286nKz1cOt5Hu9kBWRu3xcx5THT4wZO8iw2LSvg6</t>
  </si>
  <si>
    <t>$2a$10$AyLiHX6Si5Hw//SfN4MJ8Os3NyIWeiK1KM7SwnBavJoxzLrCMdfTu</t>
  </si>
  <si>
    <t>$2a$10$ZAXcxy37DGEmllmq5BXTT.xsJhR.vrqoLMP2bWDYJRlVzDD/TXZyu</t>
  </si>
  <si>
    <t>$2a$10$mU7wQ3SGXXwGjItqbisHtOo6/ygaOvmDAQdvGi13XBj1WXueF7hau</t>
  </si>
  <si>
    <t>$2a$10$gfEnqtP8xOMUJsioxcqCYu85n40NZSlsdd/AsuS9zLGt1ndixtNz6</t>
  </si>
  <si>
    <t>$2a$10$rCxz7r.3DEGf9ph5PmKJpeMh4VJhbJIurCWynwMoIcpb29nUgZT7G</t>
  </si>
  <si>
    <t>$2a$10$2MfJMcBKW.WwxPH88HeVpO5y.Gqh7gFavzLbLk.i4pLy/m0iY1Goy</t>
  </si>
  <si>
    <t>$2a$10$s0a9kJzuDzyOqHVnpIakpOJFnqjWfo1qVQ3IcbvZWh1dPRGZ7Rv4S</t>
  </si>
  <si>
    <t>$2a$10$lUiwyjI5i00z.cPkhnPEz.f.uFqsurpUCoptvT99FR7U1/b5CAPOm</t>
  </si>
  <si>
    <t>$2a$10$GPfNk6xF0IB6cftiuZ.LBug/PVQQDvLLagAkyA3RlW7fw8QqYyAWK</t>
  </si>
  <si>
    <t>$2a$10$rSsZ6rRXT2EvOSc/WKFcbOaIdqYMJJ1gS7yK0s9ERqnOzAMIYAFtO</t>
  </si>
  <si>
    <t>$2a$10$KpAz/GXQf2I4oXRGu224UuI2dEE5jOTLlEpnEQsTJE4IImsklj2kG</t>
  </si>
  <si>
    <t>$2a$10$nImsoLO3GX6r5mgk.5kTDOnYMvdqG9nwbRrx721QuA4nDeUbwcZHy</t>
  </si>
  <si>
    <t>$2a$10$gJUn3wOLFPcIsu58QlbpqOU.r4uWgwlLG1qoFv27yK6XdEqszOSbi</t>
  </si>
  <si>
    <t>$2a$10$LmRbBRgw/79BhxMNM4oOzuMGrzS.H0K7s4wskdcEx5RGStZiOaflO</t>
  </si>
  <si>
    <t>$2a$10$NxOA3a2M.aksPdIFUzuf1u1680XnFXmyqDOajR.kUAa.7q8oGcZGO</t>
  </si>
  <si>
    <t>$2a$10$VQg/37mwnFWmerDpIe/um.FKqfFsiUS8RAgHovldCk18jGkR1ooDy</t>
  </si>
  <si>
    <t>$2a$10$qTQ/RYmheuLkU51/zmIoPOvKXx7AhlPwrTbq/PoD7Zh9YoSzJTSN.</t>
  </si>
  <si>
    <t>$2a$10$mT/pdvXznDBP8UK4e.6DtOC5h77.d4/tTcVAiZjI26XXcS1qSlFdu</t>
  </si>
  <si>
    <t>$2a$10$0KOG403SfRnLduIZo51duuKAH0jLc4BKHbLxBqL8bPSpnpkLXRN5i</t>
  </si>
  <si>
    <t>$2a$10$TcQnZ1V4MX7wlPXYcPsq4.d/8o4jqre8Srv8yi.Mvmf/5FkrQfwBm</t>
  </si>
  <si>
    <t>$2a$10$lBwQpPVNSXqNT6RJ3/zS7.7MIP3vHTFysyj4LwNu6aVXUmaQ5NGbG</t>
  </si>
  <si>
    <t>$2a$10$QwfmnHj5CoObHeopPS/yeOe2IBhrjJHHrP.PW9vFtBQhzY3Njf9zi</t>
  </si>
  <si>
    <t>$2a$10$UNHFggl520KXvmsDw75DVeSQ3UOVVOgAAQaqsFmiQxpJGzMgoJbsO</t>
  </si>
  <si>
    <t>$2a$10$vvwr1fDF980LYKKq7HsuUuKdDSaZth2Q7fvUa4jV2WLfnoWNpdprW</t>
  </si>
  <si>
    <t>$2a$10$tXtXwAsxe6qEXRbrdYbJb.EOEG3dAmNjmFuNkbu8NdwYPGF83bX4C</t>
  </si>
  <si>
    <t>$2a$10$P2xvUS63DlzhV.Qm7O7Zue/VAYRldRZEOJTbTQPcWmPBCrHGHWlB2</t>
  </si>
  <si>
    <t>$2a$10$hvV1BUoClf5Cu5K3.XHJ1OsXvZcihGGsOaVFXbyanOws7E.vSNfx6</t>
  </si>
  <si>
    <t>$2a$10$xajaDk/qhlJ1LEycPerxKO2A/JFeaMEMEqk1OQJScB6oNr9Ao8b.u</t>
  </si>
  <si>
    <t>$2a$10$NBjX3U.4elPJsZS.JMpdZOtLoQXoCJvAjcM3uQz8.6ZOeWQP7l9JG</t>
  </si>
  <si>
    <t>$2a$10$NazZe794lS6fM32LCOxqc.NrlEJqkyCztyMx2OBu2fVsGGv8/caey</t>
  </si>
  <si>
    <t>$2a$10$gnTSROFGwtqxDUgBOFK3VumkzdXfof.K6jakZ2b/Gy7nZtRxC4iD2</t>
  </si>
  <si>
    <t>$2a$10$nGBe5eiCJqEb71Ljtnw1DuR/hqtMux374WUFA5RbxZLZAopE5Tlg6</t>
  </si>
  <si>
    <t>$2a$10$Fi/CryEsGqizrg9FhkJ9x.N6GtDb6F.C.cqSJtaS8qWalP/jMMb/W</t>
  </si>
  <si>
    <t>$2a$10$TFwIHAo00baPCAVGgUjFuOKJzWWz8D9jm5i7h7FcsjHsR5LzlXLlC</t>
  </si>
  <si>
    <t>$2a$10$Pf292gpThQApRfsS.tAYs.lEsCm39uPqAbKSX/ZWtGVE6qBZk5dQi</t>
  </si>
  <si>
    <t>$2a$10$uAreiRWwhm7Xjyz6l0jkfOZdkzB/8dxoZF/eKfyRK0VX.uVLUq.V2</t>
  </si>
  <si>
    <t>$2a$10$0DsgdCjnrzhK91aOqroWuubpgYOYKj5Qvbu7xYdzZK5rRbD8KqTTy</t>
  </si>
  <si>
    <t>$2a$10$4zEe2AvRsK/w1.MgUnkff.mbMlHapqQz7n2LKa7RUaS6hb0tqaPAe</t>
  </si>
  <si>
    <t>$2a$10$gODsiiK/KLvergYGtktaC.H17qY2hgSIEglwg5X1FMouxMShfwDB6</t>
  </si>
  <si>
    <t>$2a$10$ylCKORy0XVfax9HUFcYXWOnQ73VE4DWaNFPEbnumM34zvXju0JKTK</t>
  </si>
  <si>
    <t>$2a$10$PbvoLorLN3wbjMp2xbbYg.K.BbGGHr380eT0eJuC0UB.NDeXx2t7.</t>
  </si>
  <si>
    <t>$2a$10$PrAiQ3FQG17/yTvzewSOOOSwVLIqadNk/rlpo6Yqe2XAtNdpN/8ES</t>
  </si>
  <si>
    <t>$2a$10$zWyOWwfPFHXIZGUJiodBzOycdLDR4oQNVFxlkIJzATO1D6FT9auaO</t>
  </si>
  <si>
    <t>$2a$10$comGkZm8PHEwFIAvUtZGG.nV9W93k1uTXzNMjwZ9nJHc3LKQ.ad3y</t>
  </si>
  <si>
    <t>$2a$10$qK1eG6tRo35jKZc5gdzjYO1rkg7CYwO3JX82JScdJNGskffxrR/u6</t>
  </si>
  <si>
    <t>$2a$10$wtFqn8SUk.EttBt84jCcYOVv64X6XbuNEZJkABfY2XvBFqGzxTOHK</t>
  </si>
  <si>
    <t>$2a$10$IzkZtUGfihkjUTQurh/xHul/kflMIM4gFAvRGtT1FU1vRN0MPYRpa</t>
  </si>
  <si>
    <t>$2a$10$bgOYJQZJOk94aJVFsztDs.iAX7yUt2xvRU0fVdD3Kdxc4N82VUigW</t>
  </si>
  <si>
    <t>$2a$10$1aXpzaS3qmDHoUlMw6C/KO0bLwgGJ4T72D0Yw/4kL35b7TMpUR7vu</t>
  </si>
  <si>
    <t>$2a$10$ACRRQhwCQZ7X9IakiVcdteFz2E5oJlBBfKBGimjmr6zp08GhIhRJ6</t>
  </si>
  <si>
    <t>$2a$10$23szui.4LsLco3WvBilnj.C01hEPmvugQLcX.iNZ3I42WEAGxnFZ6</t>
  </si>
  <si>
    <t>$2a$10$7WZWMUNXtJv83mqyiWG5EOLLVDvY2LTs2Kw3nSH76EQXwY/XxxTCu</t>
  </si>
  <si>
    <t>$2a$10$aYqTiBcb9ixl1sf53NDI0Oe2m7j/aBI2bS9jTrf5RzDmoImb3iSbC</t>
  </si>
  <si>
    <t>$2a$10$yemJXroD0BX9GaISJR9iD.Hp/lHcQqfgNAHeDVp3Pp5KuNqoUCXHW</t>
  </si>
  <si>
    <t>$2a$10$if.w1NQ4RSBXFP2C4cMDleHpt/t2tkffyPTY9uNW1/1ORET3xJTTG</t>
  </si>
  <si>
    <t>$2a$10$kjO7BPFkjJ53xWXfbfU98OWnljGGErTBlDewZjt2d/KJ..qp/62Cy</t>
  </si>
  <si>
    <t>$2a$10$EtY3vJ8xnHQLTK8DvOw9WeAQ3nLCxxt5m1WBUQfTRuPMhCHD8LxQa</t>
  </si>
  <si>
    <t>$2a$10$JWajdOSGnXTXuFHthsT2vuZmnpi.pGVbPGLnopmm/4J6j.yah7rlu</t>
  </si>
  <si>
    <t>$2a$10$0DXjBOkbW0pCLdbJWAI9U.ewsrJuYrDSNeX./4vMHdjK9w3SLqYgq</t>
  </si>
  <si>
    <t>$2a$10$RJI/SXIZ1wbyJdPmlUd9eu6PDEr2m1vK/0BY4qUIcqxH19MQypP6e</t>
  </si>
  <si>
    <t>$2a$10$H1Oz0Vd0NOrOxIrwUoLzkeC11Q7b7I1ItJfQVSeyIlxYQc3LXLGQ6</t>
  </si>
  <si>
    <t>$2a$10$KLcWPD4AJ33ugGQp/1WEIeyqSapV1Y6f2fQO9PcPfDz8A/XT0.waq</t>
  </si>
  <si>
    <t>$2a$10$KhInHl4hHH5c.p4o1CRwj.DYQ4EKbiw/SlSaskMp8LHYHkKj3IuIW</t>
  </si>
  <si>
    <t>$2a$10$f1hZE0e/mWQ8rEGyOL9SNeucm1t5S8INOcHAH/VxiK.KtZJDbr6wu</t>
  </si>
  <si>
    <t>$2a$10$4ZIePLOn8hZwJriT7jPRC.x4mUpuoBuL6uCrLKttml19wCQAYe7O2</t>
  </si>
  <si>
    <t>$2a$10$1.0gxvaT3qEq60rFTuqYIelbHfWncs951ZELCmlqFyKnm2nLGcHxq</t>
  </si>
  <si>
    <t>$2a$10$2FryJMaocLyY45b1y1eKoOhOLJx3qN6tQ5pzKkAl2SoSDfIhE2qpK</t>
  </si>
  <si>
    <t>$2a$10$sRatIfUObKN.DEQh./poi./n6Ts3p/l.elyI2HQCD8sK1.op2CoD2</t>
  </si>
  <si>
    <t>$2a$10$Bzy.Vx0zvmXSr/KxE5rmMOgJAu5I0FuCQ6Cap53Lsk.LmeKu01bBu</t>
  </si>
  <si>
    <t>$2a$10$1/gdOL3qXCFNuY9RktslKulV1dszesAIwe4Fs5iYfBaFd5RPsIKSW</t>
  </si>
  <si>
    <t>$2a$10$ZzT0pq38xAgQmDRJ0FmtW.XlyRWyIc58BtLsfPxCzb099ZZ31pwxm</t>
  </si>
  <si>
    <t>$2a$10$OwHq5zbCXzfKJLr976p0Y.2.v9MVo3Y4HIJbwXVjTSpMfuqW1oboq</t>
  </si>
  <si>
    <t>$2a$10$.aGvxjzqWvI8ZEzUt1XIl.HDO0edX5IfIudAdXSrH4NpuPKMRm3gG</t>
  </si>
  <si>
    <t>$2a$10$JxoiOjrvrY7oaRJe144tbORqa7h0cg1U3OF3XYzY8aZrz8CBQh2Zq</t>
  </si>
  <si>
    <t>$2a$10$/blST1Ice1CJOSpzVE/.WuBBAOjvkqzGvKy5dHjzlD8M91bWW1WNm</t>
  </si>
  <si>
    <t>$2a$10$RD/Ym/FLUsT7lFRrwuabdu.ROKz7b/oH6GdhR.apDTGLA/JNYFQrS</t>
  </si>
  <si>
    <t>$2a$10$vs5Esg3dqOXjL.RdlTyicuo7K/4LkwCoq0L3hg7IGF7WlKaEa491K</t>
  </si>
  <si>
    <t>$2a$10$YwHhPg5dAqH6soFkD4YPX.GLMDX6RPTc5UqksWHIti/lIoYmvXGw2</t>
  </si>
  <si>
    <t>$2a$10$CD05Bj0sGOc5TI1uqO.3feCfDfrt2TM866oStpdtepr9AshilvRzq</t>
  </si>
  <si>
    <t>$2a$10$lGwwPDPtPaNTURMLc9AnvuoHSPihSbMDnM6J0fef0q8WgC1PiHGDq</t>
  </si>
  <si>
    <t>$2a$10$7TQJULduLqCGrYBCXoYM/.RoCarS.6x4SHqUMBOA/I7Qszu2Xk/3i</t>
  </si>
  <si>
    <t>$2a$10$.k0JmOKvNqRwTuQxQrvuA.KSiQ3.v2whgcG9xa1YiFb0nDQuMfxM2</t>
  </si>
  <si>
    <t>$2a$10$d9eBUWdMdnOlO6d4jP6qO.3BMPPT1Pt7ycU/nubUPfLks6mztzh02</t>
  </si>
  <si>
    <t>$2a$10$9p/lGfrH4k8KWnGgt7bthOjYZSY8vnRB.cgwaZcPpIdK3qN.Z.GQS</t>
  </si>
  <si>
    <t>$2a$10$cLZ3rgteTUWbUSg0Q9B9PO6oULhWblfLpemRvk4OeM0SE7ZCY/X5G</t>
  </si>
  <si>
    <t>$2a$10$8LMdWJBuzAxsQ91La/opq.WTMgU3Ax4BqJGXTSz9q1EdH5WXpMYLu</t>
  </si>
  <si>
    <t>$2a$10$IN/KXiP15RfhMnZS6HVRrOY5TNPGF837YwjPHFeS62hZCWrFpWY0a</t>
  </si>
  <si>
    <t>$2a$10$ji3ckqrcxVLfeWDfWK483.iRZyv4Ra9GBH/ft3PILqYmur.L7r7OO</t>
  </si>
  <si>
    <t>$2a$10$F1k40ez5Gmfh.HuI.0lW2uP6UfAcdAzvq02eWuJPH3fbfhhI88TNC</t>
  </si>
  <si>
    <t>$2a$10$n5d8jIwF5jPJp6qOOK5E3eBZ1YzNfWapz16yjiOS47BMKjBCvEgvG</t>
  </si>
  <si>
    <t>$2a$10$junMTNPPi0kqlCqkBZRJMuBM9Q1H1W2qSh65aVKC3pMkOvh/CSNYi</t>
  </si>
  <si>
    <t>$2a$10$3XHYbb1uR57G2HlQSVTv2euyPEnXZoAeJexJZSds/67qtoV8QRuyi</t>
  </si>
  <si>
    <t>$2a$10$WxGZYl6xCrx0fE/zSNBn0OvpqntFiYp.mgXjSR1LOXrxuPIMtX5DC</t>
  </si>
  <si>
    <t>$2a$10$CAkprTBXxnVW5zQAVSF9w.FujFHdsmdM5K4yCBn6fxzMDIgqsbBze</t>
  </si>
  <si>
    <t>$2a$10$rY/LZncrAWv/E3vqIA0Qce4.KRjmZ3prGBvjHoh8BMy8uU.JMiOyq</t>
  </si>
  <si>
    <t>$2a$10$6rVaI7w6KRoRIE7.Zl5sOe1SncSp9bnTfcn.uCvhzg0VOoDzUy/x.</t>
  </si>
  <si>
    <t>$2a$10$qsDTTsBdEeEM15vJF734G.k/rQz61pK85uFUBR6cGey4oCyNsQQqy</t>
  </si>
  <si>
    <t>$2a$10$N3jGIblPyu.zwTm33B7TwO/kzQ6PKP1UpaRIVFVkv4/g87qwlWuDy</t>
  </si>
  <si>
    <t>$2a$10$f4wGfCn4H/Az7j0UAGgpHu/YUAer7NHh7Rd9S1JrXqJY/pR8td43W</t>
  </si>
  <si>
    <t>$2a$10$3/Oq4gxAAS2BUYv6CLrt4O4hmTVZ.wxmJKAebKVtLUbYou7z8v426</t>
  </si>
  <si>
    <t>$2a$10$b5WireUlHjH1sljQI2M2OOkjWESdjoZ0xSaxWLHGbqC9fR5Bypmp.</t>
  </si>
  <si>
    <t>$2a$10$8NPU24qjjSMQ3AIF5se4Buv.kDfcY9mQJwUtEnmiYt.8j9EBe/kAO</t>
  </si>
  <si>
    <t>$2a$10$LopN/vSUM0Of7TwA.vsSNuWmwfaExUn7zPzCyF00LySKPkgi5Wtne</t>
  </si>
  <si>
    <t>$2a$10$AsGyWrzAda5MIocv.hkow.CXefcUux2HlR0C.AUifICsOu6Wa86s6</t>
  </si>
  <si>
    <t>$2a$10$WYp1K.bnp1i2/tz/yMOx/eXZCkAWPM5i6WEnMbRJgN1lGI7.dnn6e</t>
  </si>
  <si>
    <t>$2a$10$V36BqfX0i2dHSWc8uJsVJezTgG22XvykGDuqjacSjYw9KDndDbDZq</t>
  </si>
  <si>
    <t>$2a$10$ODnLFtBLXgnovpQXlKOnsuE4DfI4pHPuCENN8TvWt81XS2bNkI8aC</t>
  </si>
  <si>
    <t>$2a$10$phTeni0UrlQQ/UoKXqk45.RHk2R6N1gAVMffYdlZGKfgRK1BppSGe</t>
  </si>
  <si>
    <t>$2a$10$uRm7fx4AsdgZ3fo1hPRGO.QCKjpy.l.Iu788PQSgswOJm6WqEyCh.</t>
  </si>
  <si>
    <t>$2a$10$Qdr4RUTuMyv462eUorm1gOqmniFwFFsogMDY6ckjE9u1vdpXw5XHW</t>
  </si>
  <si>
    <t>$2a$10$GCzIIUC6.vNP5oiq9/UHtuo1BWqDR0glaZyc5G7QueAw.1wLD1qJ2</t>
  </si>
  <si>
    <t>$2a$10$cKDOZ1L40XxsIPZRSaBKKuqqqPlyJS2MYBmc67wW1m7BQFKGby/bK</t>
  </si>
  <si>
    <t>$2a$10$ihnjtjP1iwhllnkrx0TtXeQa.Gof1.Mu7unJBcNmSmAmcXvITmP/q</t>
  </si>
  <si>
    <t>$2a$10$L5kxgR1TUXROZ7mFBHgNIuSZqE.5hLPERu2I/5RnU85ZPMCkA2CMG</t>
  </si>
  <si>
    <t>$2a$10$XeHiaNTHzTeEBx96Qi8W8.m0zLonpGQo9K9sADJzUHRent1I1n.mu</t>
  </si>
  <si>
    <t>$2a$10$OafYdl2Z6ZaxnksCwM6RN.vYAz8Q1zhypYeFrmY4zDnjkkXWSZOUW</t>
  </si>
  <si>
    <t>$2a$10$0JUgB5VMwacAoxOpH/WuSeizI.UtIVJ/7If5N5UIrPh5eoudDDW9.</t>
  </si>
  <si>
    <t>$2a$10$IgfLGhsurxUk5R5ig2vRLOHLOjrzsG5HhAnj20kq13/4BvmTvswxG</t>
  </si>
  <si>
    <t>$2a$10$/YFPGVjp6wS175cU866ZeOEimU84ZMsyXJ2z7zAvhN1.5f67IME0W</t>
  </si>
  <si>
    <t>$2a$10$i6/8yhAtRG4IkgR0g86.hOeNVrw2dDUQy708IxH.A2OWsWkaBBWYe</t>
  </si>
  <si>
    <t>$2a$10$ZXx4ZlwZDziXHAqb3mHy0umncdW/xfSLK0XSHA0PzEj2hwxWOyGfC</t>
  </si>
  <si>
    <t>$2a$10$R5j.1hPSu8o4Yuih/twgRubWlBC0j2RyiTckWxuUMEfZ9KCVSEHD2</t>
  </si>
  <si>
    <t>$2a$10$zybd/xlPvZOUL0u4CVCOP..vRHrbCB5lWzSmlerQBcEa.Oq3a0uey</t>
  </si>
  <si>
    <t>$2a$10$avC5CD/v/eFQ474zv/K4V.ahNoqGnU.WZPGbddervzFNb5k2d1P.q</t>
  </si>
  <si>
    <t>$2a$10$g7F7kZTnzuSHbAnH62cHwu3/oWhuhllJ39TCtfg8A2iyyQNY..FJ2</t>
  </si>
  <si>
    <t>$2a$10$JVGtRSFWj4lJNcZOpC48LO/2JacEa0fe5cIXnSy7e61Ksm86/hZpq</t>
  </si>
  <si>
    <t>$2a$10$Fhc.yyizp4uB3PJmbkVWtO5HzkMDz3NC.LksVyYh9JIqbjAymtPJ.</t>
  </si>
  <si>
    <t>$2a$10$lWiW/S.QiMbcGTrauoMK6eIuBuLBiDaY7qVN9hO0.A.cjTj7opRCa</t>
  </si>
  <si>
    <t>$2a$10$wnr4iwS.C1GNWrvX67MqMONh/DVU9lSkhnSxrSrL7MlhOeMaAn6tW</t>
  </si>
  <si>
    <t>$2a$10$Fk2K00RrSt1S3uXsLvjhKems7Sdy.o9CceMd4s2PYF3ZPvKLVvMDy</t>
  </si>
  <si>
    <t>$2a$10$DOF.uLCEyU34xJ7f6bCGd.AcsSYR5GnpSA6avfUTenkkhghlR9o0.</t>
  </si>
  <si>
    <t>$2a$10$J6y.Rhf2V.aEqkhfqdkOeOsaD6TX3v7jKYGM2iqzAGOPrGi93fUVC</t>
  </si>
  <si>
    <t>$2a$10$Ca7Ov.8J15js9u7eWTZuWuZDizZaR6PZmZejapOYYusOjttQ56S72</t>
  </si>
  <si>
    <t>$2a$10$n6EFI5bqYOzoBohG8GREr.f9UDDjAcx8IcHTdksXr3WjKgLaInoBO</t>
  </si>
  <si>
    <t>$2a$10$kv/AlfCVL77Bbg9fMhOybOOeKLRKHKGxQKzzAaRwdYh8ZKwXi0lgW</t>
  </si>
  <si>
    <t>$2a$10$qYdwlCJfdRcldXh6BnY7OO.jQY8Eg1eBWo03pyTPl4fMSErqLBoCm</t>
  </si>
  <si>
    <t>$2a$10$DdWsHWHE1wyVY69tAigICOo5CjjrDLfsQNUDpERQQJyZwHQL7oxeK</t>
  </si>
  <si>
    <t>$2a$10$SX4ggNZhCwa.MBdgBXsNveUUDGDpdqnHesX3KL7haGH6w1E2N.zSW</t>
  </si>
  <si>
    <t>$2a$10$UbImr0toa8CcdpEF9pS16u1EK3qQHJsEalakQS3qBMZfoytob9tZW</t>
  </si>
  <si>
    <t>$2a$10$dtGl.ETVbcGlq/KKjplL6.XyX92N/udh2qsNc9eHoiRlrIo3iy3Pi</t>
  </si>
  <si>
    <t>$2a$10$IQdQk0Ge4ZMunMCXepfC8OhPNn4iOuNbh5L5NVZx8nJUsKel.YWwa</t>
  </si>
  <si>
    <t>$2a$10$6SS0GkDqw9397doUe2mzcO.Dqh5tYx1s90Sg1/2owvELqclorPpY6</t>
  </si>
  <si>
    <t>$2a$10$7j/K7UV.o0YmOvw9I/aj7u4cE5ivsFslYtlHf/aqhSCPaUdj/iBs2</t>
  </si>
  <si>
    <t>$2a$10$focR0/Za/EBZrRReiDrycOCNxrSzbOUmlSfQQ6f3fnhxLgM7M6vxu</t>
  </si>
  <si>
    <t>$2a$10$dXF5sCieZl8kghwjZ0z.G.ukOyXi5wwIJZqsVwWv4G9am3XZGNF.W</t>
  </si>
  <si>
    <t>$2a$10$H2Kp14gSrhqgBZYtw5SrO.ddZPd4Yq6EGvOJdYdCM0MK7TidRrFr.</t>
  </si>
  <si>
    <t>$2a$10$ppRQ3pgumLhJHuWNNYkR/elbkb.8UUajTqW/KuCjI7.0svwdWWpWS</t>
  </si>
  <si>
    <t>$2a$10$8TEfOZS/ig3M2SxLEKwQKucmu.sHhRUlz7ZzTdmwUOqtLa98s70dO</t>
  </si>
  <si>
    <t>$2a$10$q8IYG8nDFJ4tyy5P75lI1enBcrRyvSo.U3PPn8QoUPlleSryISBBC</t>
  </si>
  <si>
    <t>$2a$10$XnRu4Frk20dZBCU7zv7aCOnnP9LXUD/vlBANqmyuY.IT7f0rSQReK</t>
  </si>
  <si>
    <t>$2a$10$kHcAM.K/d/VVisHUy.7Nlua/EnTT0ZncO8AnQ801pU3cT5kP3KwZO</t>
  </si>
  <si>
    <t>$2a$10$yFgq7zNhtZ7ToAz0MK84jOuWMvZ5Zoqgz8JC4q16yQ5TQnhz03BXS</t>
  </si>
  <si>
    <t>$2a$10$t.59cTuwbi7kfuH8pq4GTe5zmBmznS6vXUo9ciSQi10uN/S5NqGoa</t>
  </si>
  <si>
    <t>$2a$10$n6FdSqUyxDuw.BGin1xOmutyHzLA9irUA9N5o8yOoR1b5eOoVQeca</t>
  </si>
  <si>
    <t>$2a$10$tXU4o776RQYiKBbEReFr3uAXv8Dg0eph7vOLCFrOk9pSQmSLgLDd.</t>
  </si>
  <si>
    <t>$2a$10$BBjFLK/Eyivcpy4PT1h6xubC5W6VsXRKyVpHvvtxXe5xsIMJKonoS</t>
  </si>
  <si>
    <t>$2a$10$OJmDkRKig/THV5VXo0Mc2eHUenVwRe3foJw4IYVmPysyGSOm701pq</t>
  </si>
  <si>
    <t>$2a$10$dDBgyfw5hmMiDxnOwnljEeuwZGUfMT6DiPRSkf6Np.9l4.B0NnoQW</t>
  </si>
  <si>
    <t>$2a$10$Jyar1bcyFn9rLSwdPePyReq7aQc6eHfkfZjqxc1.LtfsZJpdF5wA.</t>
  </si>
  <si>
    <t>$2a$10$tmQUgHRlvSA0zGjdj78H/um0RzfwUcvu1NgICTpp7W.7C2I.DIdWC</t>
  </si>
  <si>
    <t>$2a$10$Xrm8HRK5v.PM/bip3FUVh.i025HbJuNI72eQIWAmrc1W8KF354iPa</t>
  </si>
  <si>
    <t>$2a$10$U9Yff27CyFUKxt5wDwPPJ.4olKM/FyXXMMrSS5QGZpR04B9v34GBK</t>
  </si>
  <si>
    <t>$2a$10$Xtwf1h67T6SB2HamBYTp8.WACTF9hvPqb0uHW90oZh6c8KU7MEGF.</t>
  </si>
  <si>
    <t>$2a$10$2a2EzEvuLWMVnh40xaSm8eK34WU/fuQ9xxB5nMxnx9eeOXeT6Ny2O</t>
  </si>
  <si>
    <t>$2a$10$wWpkVay3IPJLhLPEf0gfyOiyztC.AD0oVb7HzI0pBYEUUwIzRP26a</t>
  </si>
  <si>
    <t>$2a$10$3l9vN2z7lYW5c19Q5895pO/kz.ZVcgIxQ8EWzbMOesV/1b3.M1906</t>
  </si>
  <si>
    <t>$2a$10$XP39lYMXbbK97uaXWxQg7OL3P/UqsycFOXKUY4Rfow2UR3qkucX66</t>
  </si>
  <si>
    <t>$2a$10$FkMLx4wFmEqDT5pibRL./uwSfXtVI9w7W4TEcFOgAdUn90OhCdrwq</t>
  </si>
  <si>
    <t>$2a$10$5QkvOPqtvFMbrgoUpMEEK.Nn1fWfSEcPRmFXQoH7xxoJRG9cB8tPm</t>
  </si>
  <si>
    <t>$2a$10$YFH60CdG7W66bbKMnaoUwugBYZlg7kYKqje2hkSj1UkfoFQGWjESS</t>
  </si>
  <si>
    <t>$2a$10$E8dV.0aigI/bUw9JqELgrehJgabOHKU/U80piYyQsaqqvFlaBwisy</t>
  </si>
  <si>
    <t>$2a$10$DleKIpjt77jBlgg4AxsT7e0XlMyBiFUCzvDdFm1sqJ47RsVDQT2qC</t>
  </si>
  <si>
    <t>$2a$10$ebDKf7.2WGJwFpC2payvdO2Grp90.HktaBKZZmNFFt1I4IxCqYsbS</t>
  </si>
  <si>
    <t>$2a$10$.3GOY2kQUlzlCzeeiGDjFeFQkISe3FfmqJoytaTZVNulZThW2m/Rq</t>
  </si>
  <si>
    <t>$2a$10$quT33BwPG3XXw6kW8daxruSwG6Nqpc/UE.4CSr1ZmZFOwXA8rlVRW</t>
  </si>
  <si>
    <t>$2a$10$XpRBsDzIfmJUBHlOwyDkl.52NH6bp8ce16caRJxP2R7l.uR.sZlUC</t>
  </si>
  <si>
    <t>$2a$10$RNXgLCHBleNBd6qkg2LRxu4eqi/XX9losyunnZ/NI4uZgr/LIxPEC</t>
  </si>
  <si>
    <t>$2a$10$VCyglHvgn/rZT2dFvmPE3O1SVTu2dVa.KqnPnZyPWHjBrkJVreTYC</t>
  </si>
  <si>
    <t>$2a$10$4e9qxU0GHltdU6IjHLMR2u5282YPyD9L754P6ssdhi0WFsU2rJdk2</t>
  </si>
  <si>
    <t>$2a$10$BRTdXLMN223.hV9mEG/T6OaSSIL1uf/RICJi/bHfO27rYC4wkEQG.</t>
  </si>
  <si>
    <t>$2a$10$XmKKAyD0toSqzGnqBSQT..RS826qf2rvedf8tcLwd5Bq9TRzCR3l.</t>
  </si>
  <si>
    <t>$2a$10$//wFrIFItBcBBLYQAOAv.ugXtO5pktQqjcUevccUdiClsaPtt4IDu</t>
  </si>
  <si>
    <t>$2a$10$A9HAUZRc5RhOkPhJQmPG3.YT6iRmTLKMaQFj3c5vTrE3gREwDmE1S</t>
  </si>
  <si>
    <t>$2a$10$giYNdzhy7NanlaSqWQRA4.MZ7rcjz/PgmWa9vkLaqu1y/uG3jvIiS</t>
  </si>
  <si>
    <t>$2a$10$aJ7ZSDOEDmpSLac.NaI6QudAj4zNnHQL1HCFEyCwwr13FnvC7cM7W</t>
  </si>
  <si>
    <t>$2a$10$NPYvTydZxfOxPCbTWGF32uhHLdpmuB8a3Zhl7l9Tju/oqDFqmZ9si</t>
  </si>
  <si>
    <t>$2a$10$9q9JMi5LObCjaktgQPE43OeJ7GvNeUcLVTgmuY.199ZSHjVIaE24C</t>
  </si>
  <si>
    <t>$2a$10$2kXOedmL2SpLlQCfHO7ql.tRxnyiJXBNnQInqStzqd.Wmhd7ibm.K</t>
  </si>
  <si>
    <t>$2a$10$8IoaWXH3vs5BIsOrsaV0h.Hjsvsv5MUzOwfmkLS3RA4GOGMnSFP0G</t>
  </si>
  <si>
    <t>$2a$10$rGWd7ZwyNoTGOJF9GBLQTeLqqcTFcdDROU9Ya29xa75b.12/FJnOS</t>
  </si>
  <si>
    <t>$2a$10$PE0W6GynWsEVKP79mi8ueewX60NnA7RjeS84BKvHqI/sKigLj9VIO</t>
  </si>
  <si>
    <t>$2a$10$VUMKBweqRTnL4PycLUY2V.ZqU5UAwZ.PBe8/ens1OeXUCHa8slLlu</t>
  </si>
  <si>
    <t>$2a$10$63Jfa/vmDae/93QZGc6sZuqUtQRMG.6et8aLwJxcJHYBLUgEKnRLy</t>
  </si>
  <si>
    <t>$2a$10$O9KmKsLG6jySm4JOF7g51uthbOZjkOj0mhgtC44aM3QbQrHpCNH7K</t>
  </si>
  <si>
    <t>$2a$10$dtEDIBzoRac7a5BVvrIZv.AN/xpaicatXOhH4KPY0MhQDSKINczy6</t>
  </si>
  <si>
    <t>$2a$10$kXymbhCsKV5uPW.wPh7N/O/ISrMarLzJwgpFAuWqHJjfLE.2X6FG2</t>
  </si>
  <si>
    <t>$2a$10$HIPr7x8YwGcxE2378A8lBu35BAzNZY0hLYiugAEUwsfkTUjannCN2</t>
  </si>
  <si>
    <t>$2a$10$IM0qe/Tmskg/24Hmninzh.Z9MordT73yvg2QjMYlXNeXoz5CwwZOy</t>
  </si>
  <si>
    <t>$2a$10$nduLEL4DhCkAF6T4WmsV5u1/2ajN7PTnFnI/ItUqCoyyF0gQhxNP.</t>
  </si>
  <si>
    <t>$2a$10$2fzerVSbKfifmsWIj/rIXulirwfbRLRF8CLwp90I0NMBsoR7yCKUW</t>
  </si>
  <si>
    <t>$2a$10$WFS7nwncOuShSi5AnZYYXO5MhURC3Fj4GEO6ZzzAQSQKR0aeWl5QG</t>
  </si>
  <si>
    <t>$2a$10$yhUpzX82jAYyR/FgYa91ueRN8UTygHZLOJ6wAxNKyQNPxB1gR959i</t>
  </si>
  <si>
    <t>$2a$10$g1arNf50n7/ho.HJVnsL1.AvIhj3RVnMXzFvxzgaHoj1KAje5cv92</t>
  </si>
  <si>
    <t>$2a$10$hwj4.7MLRGGpXbgjrsBgDe.NvIlEJe7Rz.HZyB8c9lgH2.fpR.9T2</t>
  </si>
  <si>
    <t>$2a$10$3QxZlJoVLMYyNg5.i4aVoet4Fn7QguROI3K69vlk6xiDOi20NSPWi</t>
  </si>
  <si>
    <t>$2a$10$GU7dbEU/yf49Axant2JJeOIgyGVGOPllnp4562/yAhz.bUhH2QOR.</t>
  </si>
  <si>
    <t>$2a$10$qb6zGhEIFKXIUZQzzxCkTOndoKTglUbc7b4ErFHGU2Rm.gXIUv04S</t>
  </si>
  <si>
    <t>$2a$10$ycfkuX45nxDwu1XoQf1cPuFi38JtJEK94fdK2aD0DhU7yaLCTAjGq</t>
  </si>
  <si>
    <t>$2a$10$CTUvqEmkMGXUatbOdVcqvewzjWoisJk9UoHrcbcoouHXR2wKyE.hC</t>
  </si>
  <si>
    <t>$2a$10$1g/RUY6a.8uK6l0BIsBWluxWBXz2mENwmVC68ekxsOwRY2CX3n/8m</t>
  </si>
  <si>
    <t>$2a$10$ZZHbe80TZpHKUSMYIMiLVet0HmEf52jpWYJEG93.4TX7xB73XmGvK</t>
  </si>
  <si>
    <t>$2a$10$2hMvUkg1YsWCmaJYRvRNqun2W2kA5jCDPeGAjNBctjvvh4osqsiNW</t>
  </si>
  <si>
    <t>$2a$10$qHfXMUHAPloTvPgJBx2jUuG1ILbH.WlqSoef1tOhEnlFc4CZ.jeHO</t>
  </si>
  <si>
    <t>$2a$10$60.ZVhvix5UjyfjPb/i.ce8wsK8aTAXvDi.GfywBH15crIlpFMmMu</t>
  </si>
  <si>
    <t>$2a$10$fM15KU7irLM7vu6Pqxu65u2nLpa0Z1htM9OeSHQtcOethZC39TCQ6</t>
  </si>
  <si>
    <t>$2a$10$A3N42rKmlZ2.2leg8SVs2ugOavS.D3j0M4OJr/dsIeCKzS1QeeKXK</t>
  </si>
  <si>
    <t>$2a$10$3Cgy2zN62Als2GeTW7eJiOMtu7QTqfwhtnN/oZzh4TpOfAx9P8tcu</t>
  </si>
  <si>
    <t>$2a$10$mywbtFr0EDwJ1fZIMuJvFeIHwIK23nolRO1XO3PvK5YtgD12SzmVW</t>
  </si>
  <si>
    <t>$2a$10$DuchHh8vHXSXbJAVQTP/n.0RjQgGtT8gkDIDkUSYjhDavJsX2dcXC</t>
  </si>
  <si>
    <t>$2a$10$1cWtRBCHg7vJOiPG9iLeluUdfsTuHFMMIgvTeDe3ycEeE01lZqmZa</t>
  </si>
  <si>
    <t>$2a$10$ksWfrwQSv4VWW/QhUubYC.HhYuzw5pAHY0gb7kzso3xHRyFyR3e5S</t>
  </si>
  <si>
    <t>$2a$10$4VpBs7975Iyd8GTs7iEe6.drO/w2jY1nUHLsGfxj4aO9yGLmqVQCG</t>
  </si>
  <si>
    <t>$2a$10$dyzra4EJdAEHrHC1cUKQLuKrzbaLwPJus9WczZ/RoN0zx38wRuCpW</t>
  </si>
  <si>
    <t>$2a$10$GRgofq3nsK1Id16n1f6/IuVB0cegYTTTnYO6vaUR/Bv/OlJUjGXIG</t>
  </si>
  <si>
    <t>$2a$10$vuc9jXOjWml5kxyMag4suuXnkdwKmQIPOXYdI493cXFqI8STyr9GK</t>
  </si>
  <si>
    <t>$2a$10$NtuA9Z/7rVHmVnsrES9nwuNd6gsnQ7cF51e22NI96VpNUM3cPxVnO</t>
  </si>
  <si>
    <t>$2a$10$iAVv3fgi1MuC16yv6jdRheDik8VIzjXh79aekZQ2l6yzzfI09nhD2</t>
  </si>
  <si>
    <t>$2a$10$mp5Nc/eXpVypKxmGZL7tge7ImO21TzxHBjMZ4/SGAcOLYmUUuGi7q</t>
  </si>
  <si>
    <t>$2a$10$bjSsCd5w/RrUkceMSSuAz.JXT77.PSP4v7iXxdi0dFEU2AfFN73oq</t>
  </si>
  <si>
    <t>$2a$10$pVqDM8nL9MDrKBZHlqMlse5MN52dUvD.UR/3IO47fe9ynEZDMXPEC</t>
  </si>
  <si>
    <t>$2a$10$eE.zqJrHDMLJTWG..uhZROsH7kNleEUoW/LtOXVu1Jsq54N0oJMzK</t>
  </si>
  <si>
    <t>$2a$10$LeT1l0KpnbIDlG3ULQuxR.hgMxpg8dP4x5geu4E2s5oRjMRPsC4a.</t>
  </si>
  <si>
    <t>$2a$10$PX6Fo.pfIwEpQdTiYyxL8.afni5tLLMWanW.MUXLMQPk58cQ731S6</t>
  </si>
  <si>
    <t>$2a$10$rc.Q7TVDmQ2lKUrAbW5f9OLgfzoHXs0nvrlc8HRF1LVsvbwgr6bEC</t>
  </si>
  <si>
    <t>$2a$10$OQYu6ljx.XLa9Xfo3MZfWeJke/Y6OGC/67bJEw4uVL2F39384GsaK</t>
  </si>
  <si>
    <t>$2a$10$TwhGTmC9g75AEiGR7w/ov.r7TNMo1KjZaKr6cGTrfAr1zUhBCkjG2</t>
  </si>
  <si>
    <t>$2a$10$zW74emPS5yKFhGtBxP9bcuiC5Uwp5KHT4u1MUbu5S9ZO9tHn7.qqq</t>
  </si>
  <si>
    <t>$2a$10$oU35ku5jb4xvzY0jBXyBtuCnSp79hediIOD2NNdrOvNCjuNaJDB1a</t>
  </si>
  <si>
    <t>$2a$10$HPry971aKFOfHxXifzLA/.oZEyVgQ61TT8sJG0uikLs1ZYcwwbuZW</t>
  </si>
  <si>
    <t>$2a$10$nqtFZE4qxUCvbcan7pbj1e4Yx8HzyA9v1V33erFZ22gYSzxuK/Nje</t>
  </si>
  <si>
    <t>$2a$10$KBTi9f8wKTuXj6WGAWIF8u90MmhuVDXdyzvjUaoTBQoUdoaFQ3k3i</t>
  </si>
  <si>
    <t>$2a$10$4h24LDVmsK5bZxPFrHeV1u5aXzhfHFy6lhX6SloUDg81wEC6nX1j.</t>
  </si>
  <si>
    <t>$2a$10$TeVCKpUK52vvkYVuBXZKVuMWOgTKfUc3TCyy/3vUasvUxWc0WA4W6</t>
  </si>
  <si>
    <t>$2a$10$TwmqLwvbkJ6bTXY69Bk3cuCiEJxZ1SFRp8Rb8z9j4DPamTwnYKgEq</t>
  </si>
  <si>
    <t>$2a$10$5/RVLz/w.ZCD90oVfjZgN.mvalEexKB12yISiR1pmc1IhPmZpzI6G</t>
  </si>
  <si>
    <t>$2a$10$yEPtJdH12SKKh.OMMVulLejqDqgBxLuJ.Mqw.gNWAFrGoO/twLPRW</t>
  </si>
  <si>
    <t>$2a$10$UHMv4l6dNF07s3iTfcYAE.E30oZySpiQPA7rh9Xv1tZ6kMuzSXW3a</t>
  </si>
  <si>
    <t>$2a$10$3/k7HZt.UCjvpEgp69sheOL0HsFvvFB8Kj7syNmwnI5VyirOwNNP.</t>
  </si>
  <si>
    <t>$2a$10$YGAxbAQB7Jkr6xDry2wzWO4WIBKOWmDJWKosOs.xZedCr79XSBB6.</t>
  </si>
  <si>
    <t>$2a$10$c2jtUhyOmnDm8yuYpZ4FJeGBEpDyavhKHotdkvT2tRdvc6T8yVbqu</t>
  </si>
  <si>
    <t>$2a$10$TrXnmD520xIwtdAzTsPFAujXCoUFEGOuonwyivl/2OfOd2ufc2S5y</t>
  </si>
  <si>
    <t>$2a$10$XZ1LIAYIonZ9e9AmXAl4AOJoTkfZjUdvtrq1ia7xaIsXU.IkL2HPO</t>
  </si>
  <si>
    <t>$2a$10$HQchAs0X8m4HbKbdiATzE.fGfMeuJ29gNVQ35ss1QIAJ.pPt3xei2</t>
  </si>
  <si>
    <t>$2a$10$rQkMPNMtqFdno2iCYFwoPenRnxqNg91lYKF2RR22U2nv3afv66Q1a</t>
  </si>
  <si>
    <t>$2a$10$AOn818FhZ6Z2ie/tRdg6eeby.3OXPaeYrTpOtbeG/Jj4iLjFTziqW</t>
  </si>
  <si>
    <t>$2a$10$WJ3LgNdlCdBcGaFqOV2kUuVZnJuOLtD3yc93A67nQisI9GflFFcru</t>
  </si>
  <si>
    <t>$2a$10$MW.eIkhazpixhrqxm0n5PuHYbnmI79GJJBmLWMPEcdGxfjO0aYDX.</t>
  </si>
  <si>
    <t>$2a$10$KLrZg5g1yl2IjNFDa.mD5ereXhwLwLp1VchDIzGfIOdSIftIKR6eK</t>
  </si>
  <si>
    <t>$2a$10$x0TXJ1fToklZTQHLXe5g6.VFJsKkSd7d5RNk7ywM2p7FH4nun9NBe</t>
  </si>
  <si>
    <t>$2a$10$gY2VxH7zaCGvNfj8KxbkyulORH4zqpqHfeRvzkg4evqKng5vKwiMW</t>
  </si>
  <si>
    <t>$2a$10$wKOcT/u8o0WOAx/9Ezb3kuY0CXItpf8qDYaEQY3bSBI3GzP1QtI8C</t>
  </si>
  <si>
    <t>$2a$10$KkPd1DY8NxTHvlM4vTvCHu62sYeX6UShd4pi.wf1Zwm1wOzpH30VG</t>
  </si>
  <si>
    <t>$2a$10$d.UbiJa0IH7MFBXTM9QtuuAYNPcHCId4m3lJplEtCEqMZr4WCk3MS</t>
  </si>
  <si>
    <t>$2a$10$Ra.RWhoLa4Ef/nf87SKqd.DoGn/rnOH26soleCDpF.xPyHQtxdi6a</t>
  </si>
  <si>
    <t>$2a$10$YUZiYkJhKkZFriClk2u5xO7NJIMArVvOO67kAS2vf9FGaXo.hNLSi</t>
  </si>
  <si>
    <t>$2a$10$/T/C1jtaCxCqzkCsc1BM5O..B55vY7Ebd168zMEMPiCZXhRthdinK</t>
  </si>
  <si>
    <t>$2a$10$CjKD2n9rZJAta67.6l7d5OzC9IBexbX9Gm7d3nT.8fpWmhDinww96</t>
  </si>
  <si>
    <t>$2a$10$/B7TMmSYCSCFxVJPIkegEuyHpVFvhGw4PhPkXTxumRLSys4PwVC9K</t>
  </si>
  <si>
    <t>$2a$10$pLPmzys00AHZ81KZNxKUZutJzHKJOmaqd/U/FyeE7IkxZukgYOvnS</t>
  </si>
  <si>
    <t>$2a$10$tBKDU6waHJEmOKeLFDtiquxW3QE3a7xJk.d55nY2A8BkjIjAJ3Ul.</t>
  </si>
  <si>
    <t>$2a$10$kw8x2cfoPmnvI7f3SPl0KuOx/T/Fe7CyISO5Yhai.djcURcy.1kTq</t>
  </si>
  <si>
    <t>$2a$10$.qmC5iBHGxWwfBeoF.twgugz23.J34mLpfei07ftwsabmgFF7Bklu</t>
  </si>
  <si>
    <t>$2a$10$ziAtA4m24ug.yT1pfIQOwuL2tnfmpFybTDNaNtNbzhEkSuU2t9OZO</t>
  </si>
  <si>
    <t>$2a$10$I1bONvHK1.ju4scfvYqdAuDG1D4BDZUz2S2SJGJnpjqh7QpRPxeIy</t>
  </si>
  <si>
    <t>$2a$10$Z1X8Z4h1gqupl.Svn2TPE.a9a9Lri3DRorPhPq2l/59JayTaxk8IO</t>
  </si>
  <si>
    <t>$2a$10$9nLNRBTjOkW53UK6Pq8cPu8Tz6sJbUwQyjiI8qcULaZpkoUcDLVUm</t>
  </si>
  <si>
    <t>$2a$10$nSUHogNGpKOeB1L4wftYsuGJUE0Gjq9RSmBvwPxifsLD3/UCcZt2a</t>
  </si>
  <si>
    <t>$2a$10$lOv07F0WGy4HXSkCq4tOvuAasgO70NKdrtD2ch6COcuZu5KLWcTre</t>
  </si>
  <si>
    <t>$2a$10$fPYTLX71Xf.fvSbty2Q6cOUE88zvRYzINp16DvMqJOzI/HrJxUuyW</t>
  </si>
  <si>
    <t>$2a$10$nOgXpy3QEe73xfUO6yLPLuALbqoaA2LaXp//9QFn0epNsTSS0cIwu</t>
  </si>
  <si>
    <t>$2a$10$M1Xk.CqdV/ppaW6iOayk/ebpaDg25sRhg.k8X14/4TzNF8IfBP6Eu</t>
  </si>
  <si>
    <t>$2a$10$61QiuOkGV.nmOL6wruSUMuDKjSQyptwbLCcMf7WgKCDHOIzcIX/l2</t>
  </si>
  <si>
    <t>$2a$10$uxQfJ1F6GwmZaYrfNp8FNe4VcIT5ZFoRUvJg0B1FJv.Aj8wc126Sm</t>
  </si>
  <si>
    <t>$2a$10$t26nN7bAYqOGrW1qLn69FOQnfZUnK.ti1WQg02qdGDdhL/3xzo2sK</t>
  </si>
  <si>
    <t>$2a$10$quHiWifNekU2upUve.20ruXgnARw0q2DvcZfmToNe0/6Oqo/tJZVu</t>
  </si>
  <si>
    <t>$2a$10$iOEElSzsM.ZlxYke.HxFfeGIUaScmSbdMclyz80iXeJXpjcxPLNJi</t>
  </si>
  <si>
    <t>$2a$10$mdKBDmazAqovDzDA0j6pQOn0XJ5gjGWy4b4E300ytjziiqj2yaY/W</t>
  </si>
  <si>
    <t>$2a$10$lzqKts3ve9UUf1qxi3/HUuGjr7Mq/fpiK4kFYejJR3aq4e/uUxdcy</t>
  </si>
  <si>
    <t>$2a$10$dP9P7jiIZX01e72/kmUcBepW3EVmiXRBEAmY2Yn6T2/w.l7YlSW/K</t>
  </si>
  <si>
    <t>$2a$10$YzF.V5na2yVeGvHC7Qpzx.GywEdJBu3I/S7ORmq4VOwigUtpSodZ.</t>
  </si>
  <si>
    <t>$2a$10$9vJNZWPfubs2mSQPxObKZeD0vxvpBAKzycYSqmsq6LkTViSntmDrq</t>
  </si>
  <si>
    <t>$2a$10$cdBH/7DN3RuO38zr6squqOGjahUBqkG2/eoKOIMj3NuYekILOO1.e</t>
  </si>
  <si>
    <t>$2a$10$6GGWCTQBL3ngGtW4rHlQt.CXBcBg.o3UEtyAy7msIIq71KSrFOI6e</t>
  </si>
  <si>
    <t>$2a$10$C85bXWmFmlTnIIjjPTd2lOdPRN6LmU5oFeCFaXQdnx4RKznS40VXu</t>
  </si>
  <si>
    <t>$2a$10$q2mBheLN0eg3LPIfjOZpMu/5e2Rz6I2lzedQtDb9iKhz3tWfy.24y</t>
  </si>
  <si>
    <t>$2a$10$iveUTOOghgEAZGFf9syM8uBIffeFrQcwD9/y/fnOh/kuxWkHizKVO</t>
  </si>
  <si>
    <t>$2a$10$Aogn1QuO5tW8i/L4fK2rc.o.VsLmVSgmGVd8/2uNZkQwXKSZOJc2K</t>
  </si>
  <si>
    <t>$2a$10$BPOyM0MMVV1PuegNawFa5eIZV48ANAHTrUh1Y2UR8Wz3fINaz8zRu</t>
  </si>
  <si>
    <t>$2a$10$f93.bRTFmx9hDfcTMhoZCu7.ghrN0ipovxKb1GBKpGLzLxcEj9ASK</t>
  </si>
  <si>
    <t>$2a$10$6m9XQAyVip6SlPBUQ.uIF.jYIGr6uK9pQw8oXX15S4dUaOTC2qn/S</t>
  </si>
  <si>
    <t>$2a$10$/WaOCdgNHSgj99T4pf5q4.FGmNFUsHwLcOwvotVLGD0.zZ6jNJ2DG</t>
  </si>
  <si>
    <t>$2a$10$.yQ/YiZA5Wj2LijabcEQFue4EPkwi9tnE0qw7Px1mYCCDgM5Pu6WK</t>
  </si>
  <si>
    <t>$2a$10$WpsWNVck2UDc2.pzpXDTVu7k7Cmz6D2WGI3LkhBMANKP6pa0Tan96</t>
  </si>
  <si>
    <t>$2a$10$bK3RlOcV0d0V3kcOGGX.wOIAn5Os.oLLCXJmrR8zrVotsR96N4dR.</t>
  </si>
  <si>
    <t>$2a$10$tRk18nshrXr7A56WCha4CuKwBbzwmzQrjpCkfGp99Ns6hYAZqsccu</t>
  </si>
  <si>
    <t>$2a$10$d262lQtIUguJ7bHxP7ZSZeYQ/miQZzgUVCyqz7rdEFglnCD/ZDYpK</t>
  </si>
  <si>
    <t>$2a$10$sANetEYTFh4SMtqVEh/g/OGnQ.Fio7K/sNcuMfdMeCUKssvUHhM3K</t>
  </si>
  <si>
    <t>$2a$10$cqZiTV14WY07NCNwaHlTlOabfRo.fAAPeDbLJKaCPMTI3c9ShwWYq</t>
  </si>
  <si>
    <t>$2a$10$yvBWghkIlmnU/mk4cngVW.4hy8DbeBUoz/OEV6COFMZeRAUrXDdey</t>
  </si>
  <si>
    <t>$2a$10$WxPeKASXqVIJFa8CH03IJOX3E.cRXyXVmamypUOQdvZolLWvKvZxy</t>
  </si>
  <si>
    <t>$2a$10$WqREPdIPYy0vIycPxnKgQe1ZdFyPBDhAGggH0ZHlQJx5gV2s7SzJq</t>
  </si>
  <si>
    <t>$2a$10$E.FyOfdhtspn0OwUQqCwzus09FgpCK4.J.m6fxIdoFX5coauWgtuC</t>
  </si>
  <si>
    <t>$2a$10$Pllh5sSnxFMH/C1b4crFjOUW9RLKf/D/vyCs3mA34WmNbnLvxCnRy</t>
  </si>
  <si>
    <t>$2a$10$EZ/KeBKjaTuanr0jJKkduOTx5JWBb8EBqq8a9fRHVf0a/a60lbBOa</t>
  </si>
  <si>
    <t>$2a$10$4q.ixKD4j3qbZXXVJsyAP.re0XHpSHr/02qKwrTPoeanh.PWwW5uO</t>
  </si>
  <si>
    <t>$2a$10$oD4rh1Go/OUYgnfjtsz/g.s64E8sJgBjaktnttlhANzYbVeHkvDcq</t>
  </si>
  <si>
    <t>$2a$10$Ey3C1THHuna.5nz2ws7Y4eUVfv1LpKKKh/OlrZ2ejh0Qp0pc6TUja</t>
  </si>
  <si>
    <t>$2a$10$5yLFcrq0DtxY6uAybtYjOuqyqRWXGjFc.OKEwKpFSStiQvvMrK8TK</t>
  </si>
  <si>
    <t>$2a$10$/UZtCGOr5R07UefaaEc9BOi3OBZwOx8Exhcpf0D2376MboC5ko5z.</t>
  </si>
  <si>
    <t>$2a$10$5tkllqB5AeNPKoDxJ6ZmI.KW9rPH2.JpbLtOjQDYPcw.M1/4rEpCy</t>
  </si>
  <si>
    <t>$2a$10$0CdwfeL7wSTsUFEGkE/DXuk03M/daCTY6Xdtj4dl159ecWaBvqy7e</t>
  </si>
  <si>
    <t>$2a$10$wgAoiQZCc6z0Qjz52r85Veg14M2ao4bmgOrr8f0oNOvri53mfpH2W</t>
  </si>
  <si>
    <t>$2a$10$NKQbCrzpB7F691m3iNivfuuPodGwR7li/6C/6QzRRN7bhkMMBl77.</t>
  </si>
  <si>
    <t>$2a$10$4DAuMna86H21uTRQ8D/7su2TTzSQ/vUvTMc3NATHEYwGS2RlFT9cK</t>
  </si>
  <si>
    <t>$2a$10$gT5XPm2v0OWmNu1hhy2jgeY.dSioDEyQzJ.p79dMPW.i8Ii/m6Yj2</t>
  </si>
  <si>
    <t>$2a$10$fu8zbn/yw4TqS090CpgOJ.FtKIlauUO5gjFk8EjcJNKWKNiolTWxi</t>
  </si>
  <si>
    <t>$2a$10$/5zAlafu6zGEUlEOARGfCOYlv4MZVKsrG7NlwPPrinM5TyYfvnWTm</t>
  </si>
  <si>
    <t>$2a$10$kfxOm4/WtQb7k1icUSm7rO5cG9s68y.gOAIPgDc1JDd/sgN9vsIFS</t>
  </si>
  <si>
    <t>$2a$10$RjEUP93OtrUwMf2UdcnScev2eZm1WdO4T0F085z45R2Xv7uE3HPgy</t>
  </si>
  <si>
    <t>match</t>
  </si>
  <si>
    <t>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</si>
</sst>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0" fillId="0" borderId="0" xfId="0" quotePrefix="1"/>
    <xf numFmtId="0" fontId="0" fillId="0" borderId="0" xfId="0" applyFill="1"/>
    <xf numFmtId="164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40560-157C-48DF-8DE5-185C8E764983}">
  <sheetPr codeName="Sheet1"/>
  <dimension ref="A1:D57"/>
  <sheetViews>
    <sheetView workbookViewId="0">
      <selection activeCell="A15" sqref="A15"/>
    </sheetView>
  </sheetViews>
  <sheetFormatPr defaultRowHeight="15" x14ac:dyDescent="0.25"/>
  <cols>
    <col min="1" max="1" width="44" bestFit="1" customWidth="1"/>
  </cols>
  <sheetData>
    <row r="1" spans="1:4" x14ac:dyDescent="0.25">
      <c r="A1" s="1" t="s">
        <v>0</v>
      </c>
    </row>
    <row r="2" spans="1:4" x14ac:dyDescent="0.25">
      <c r="A2" t="s">
        <v>2</v>
      </c>
      <c r="D2" t="s">
        <v>193</v>
      </c>
    </row>
    <row r="3" spans="1:4" x14ac:dyDescent="0.25">
      <c r="A3" t="s">
        <v>3</v>
      </c>
      <c r="D3" t="str">
        <f>"VALUES ('" &amp; A2 &amp; "'),"</f>
        <v>VALUES ('Anatomia Patológica'),</v>
      </c>
    </row>
    <row r="4" spans="1:4" x14ac:dyDescent="0.25">
      <c r="A4" t="s">
        <v>4</v>
      </c>
      <c r="D4" t="str">
        <f>"('" &amp; A3 &amp; "'),"</f>
        <v>('Anestesiologia'),</v>
      </c>
    </row>
    <row r="5" spans="1:4" x14ac:dyDescent="0.25">
      <c r="A5" t="s">
        <v>5</v>
      </c>
      <c r="D5" t="str">
        <f t="shared" ref="D5:D53" si="0">"('" &amp; A4 &amp; "'),"</f>
        <v>('Angiologia e Cirurgia Vascular'),</v>
      </c>
    </row>
    <row r="6" spans="1:4" x14ac:dyDescent="0.25">
      <c r="A6" t="s">
        <v>6</v>
      </c>
      <c r="D6" t="str">
        <f t="shared" si="0"/>
        <v>('Cardiologia'),</v>
      </c>
    </row>
    <row r="7" spans="1:4" x14ac:dyDescent="0.25">
      <c r="A7" t="s">
        <v>7</v>
      </c>
      <c r="D7" t="str">
        <f t="shared" si="0"/>
        <v>('Cardiologia Pediátrica'),</v>
      </c>
    </row>
    <row r="8" spans="1:4" x14ac:dyDescent="0.25">
      <c r="A8" t="s">
        <v>8</v>
      </c>
      <c r="D8" t="str">
        <f t="shared" si="0"/>
        <v>('Cirurgia Cardíaca'),</v>
      </c>
    </row>
    <row r="9" spans="1:4" x14ac:dyDescent="0.25">
      <c r="A9" t="s">
        <v>9</v>
      </c>
      <c r="D9" t="str">
        <f t="shared" si="0"/>
        <v>('Cirurgia Cardiotorácica'),</v>
      </c>
    </row>
    <row r="10" spans="1:4" x14ac:dyDescent="0.25">
      <c r="A10" t="s">
        <v>10</v>
      </c>
      <c r="D10" t="str">
        <f t="shared" si="0"/>
        <v>('Cirurgia Geral'),</v>
      </c>
    </row>
    <row r="11" spans="1:4" x14ac:dyDescent="0.25">
      <c r="A11" t="s">
        <v>11</v>
      </c>
      <c r="D11" t="str">
        <f t="shared" si="0"/>
        <v>('Cirurgia Maxilo-Facial'),</v>
      </c>
    </row>
    <row r="12" spans="1:4" x14ac:dyDescent="0.25">
      <c r="A12" t="s">
        <v>12</v>
      </c>
      <c r="D12" t="str">
        <f t="shared" si="0"/>
        <v>('Cirurgia Pediátrica'),</v>
      </c>
    </row>
    <row r="13" spans="1:4" x14ac:dyDescent="0.25">
      <c r="A13" t="s">
        <v>13</v>
      </c>
      <c r="D13" t="str">
        <f t="shared" si="0"/>
        <v>('Cirurgia Plástica Reco. e Est.'),</v>
      </c>
    </row>
    <row r="14" spans="1:4" x14ac:dyDescent="0.25">
      <c r="A14" t="s">
        <v>1</v>
      </c>
      <c r="D14" t="str">
        <f t="shared" si="0"/>
        <v>('Cirurgia Torácica'),</v>
      </c>
    </row>
    <row r="15" spans="1:4" x14ac:dyDescent="0.25">
      <c r="A15" t="s">
        <v>14</v>
      </c>
      <c r="D15" t="str">
        <f t="shared" si="0"/>
        <v>('Dermato-Venereologia'),</v>
      </c>
    </row>
    <row r="16" spans="1:4" x14ac:dyDescent="0.25">
      <c r="A16" t="s">
        <v>15</v>
      </c>
      <c r="D16" t="str">
        <f t="shared" si="0"/>
        <v>('Doenças Infecciosas'),</v>
      </c>
    </row>
    <row r="17" spans="1:4" x14ac:dyDescent="0.25">
      <c r="A17" t="s">
        <v>16</v>
      </c>
      <c r="D17" t="str">
        <f t="shared" si="0"/>
        <v>('Endocrinologia e Nutrição'),</v>
      </c>
    </row>
    <row r="18" spans="1:4" x14ac:dyDescent="0.25">
      <c r="A18" t="s">
        <v>17</v>
      </c>
      <c r="D18" t="str">
        <f t="shared" si="0"/>
        <v>('Estomatologia'),</v>
      </c>
    </row>
    <row r="19" spans="1:4" x14ac:dyDescent="0.25">
      <c r="A19" t="s">
        <v>18</v>
      </c>
      <c r="D19" t="str">
        <f t="shared" si="0"/>
        <v>('Farmacologia Clínica'),</v>
      </c>
    </row>
    <row r="20" spans="1:4" x14ac:dyDescent="0.25">
      <c r="A20" t="s">
        <v>19</v>
      </c>
      <c r="D20" t="str">
        <f t="shared" si="0"/>
        <v>('Gastrenterologia'),</v>
      </c>
    </row>
    <row r="21" spans="1:4" x14ac:dyDescent="0.25">
      <c r="A21" t="s">
        <v>20</v>
      </c>
      <c r="D21" t="str">
        <f t="shared" si="0"/>
        <v>('Genética Médica'),</v>
      </c>
    </row>
    <row r="22" spans="1:4" x14ac:dyDescent="0.25">
      <c r="A22" t="s">
        <v>21</v>
      </c>
      <c r="D22" t="str">
        <f t="shared" si="0"/>
        <v>('Ginecologia/Obstetrícia'),</v>
      </c>
    </row>
    <row r="23" spans="1:4" x14ac:dyDescent="0.25">
      <c r="A23" t="s">
        <v>22</v>
      </c>
      <c r="D23" t="str">
        <f t="shared" si="0"/>
        <v>('Hematologia Clínica'),</v>
      </c>
    </row>
    <row r="24" spans="1:4" x14ac:dyDescent="0.25">
      <c r="A24" t="s">
        <v>23</v>
      </c>
      <c r="D24" t="str">
        <f t="shared" si="0"/>
        <v>('Imunoalergologia'),</v>
      </c>
    </row>
    <row r="25" spans="1:4" x14ac:dyDescent="0.25">
      <c r="A25" t="s">
        <v>24</v>
      </c>
      <c r="D25" t="str">
        <f t="shared" si="0"/>
        <v>('Imunohemoterapia'),</v>
      </c>
    </row>
    <row r="26" spans="1:4" x14ac:dyDescent="0.25">
      <c r="A26" t="s">
        <v>25</v>
      </c>
      <c r="D26" t="str">
        <f t="shared" si="0"/>
        <v>('Medicina Desportiva'),</v>
      </c>
    </row>
    <row r="27" spans="1:4" x14ac:dyDescent="0.25">
      <c r="A27" t="s">
        <v>26</v>
      </c>
      <c r="D27" t="str">
        <f t="shared" si="0"/>
        <v>('Medicina do Trabalho'),</v>
      </c>
    </row>
    <row r="28" spans="1:4" x14ac:dyDescent="0.25">
      <c r="A28" t="s">
        <v>27</v>
      </c>
      <c r="D28" t="str">
        <f t="shared" si="0"/>
        <v>('Especialidade Medicina Física e de Reabilitação'),</v>
      </c>
    </row>
    <row r="29" spans="1:4" x14ac:dyDescent="0.25">
      <c r="A29" t="s">
        <v>28</v>
      </c>
      <c r="D29" t="str">
        <f t="shared" si="0"/>
        <v>('Medicina Geral e Familiar'),</v>
      </c>
    </row>
    <row r="30" spans="1:4" x14ac:dyDescent="0.25">
      <c r="A30" t="s">
        <v>29</v>
      </c>
      <c r="D30" t="str">
        <f t="shared" si="0"/>
        <v>('Medicina Intensiva'),</v>
      </c>
    </row>
    <row r="31" spans="1:4" x14ac:dyDescent="0.25">
      <c r="A31" t="s">
        <v>30</v>
      </c>
      <c r="D31" t="str">
        <f t="shared" si="0"/>
        <v>('Medicina Interna'),</v>
      </c>
    </row>
    <row r="32" spans="1:4" x14ac:dyDescent="0.25">
      <c r="A32" t="s">
        <v>31</v>
      </c>
      <c r="D32" t="str">
        <f t="shared" si="0"/>
        <v>('Medicina Legal'),</v>
      </c>
    </row>
    <row r="33" spans="1:4" x14ac:dyDescent="0.25">
      <c r="A33" t="s">
        <v>32</v>
      </c>
      <c r="D33" t="str">
        <f t="shared" si="0"/>
        <v>('Medicina Nuclear'),</v>
      </c>
    </row>
    <row r="34" spans="1:4" x14ac:dyDescent="0.25">
      <c r="A34" t="s">
        <v>33</v>
      </c>
      <c r="D34" t="str">
        <f t="shared" si="0"/>
        <v>('Medicina Tropical'),</v>
      </c>
    </row>
    <row r="35" spans="1:4" x14ac:dyDescent="0.25">
      <c r="A35" t="s">
        <v>34</v>
      </c>
      <c r="D35" t="str">
        <f t="shared" si="0"/>
        <v>('Nefrologia'),</v>
      </c>
    </row>
    <row r="36" spans="1:4" x14ac:dyDescent="0.25">
      <c r="A36" t="s">
        <v>35</v>
      </c>
      <c r="D36" t="str">
        <f t="shared" si="0"/>
        <v>('Neurocirurgia'),</v>
      </c>
    </row>
    <row r="37" spans="1:4" x14ac:dyDescent="0.25">
      <c r="A37" t="s">
        <v>36</v>
      </c>
      <c r="D37" t="str">
        <f t="shared" si="0"/>
        <v>('Neurologia'),</v>
      </c>
    </row>
    <row r="38" spans="1:4" x14ac:dyDescent="0.25">
      <c r="A38" t="s">
        <v>37</v>
      </c>
      <c r="D38" t="str">
        <f t="shared" si="0"/>
        <v>('Neurorradiologia'),</v>
      </c>
    </row>
    <row r="39" spans="1:4" x14ac:dyDescent="0.25">
      <c r="A39" t="s">
        <v>38</v>
      </c>
      <c r="D39" t="str">
        <f t="shared" si="0"/>
        <v>('Oftalmologia'),</v>
      </c>
    </row>
    <row r="40" spans="1:4" x14ac:dyDescent="0.25">
      <c r="A40" t="s">
        <v>39</v>
      </c>
      <c r="D40" t="str">
        <f t="shared" si="0"/>
        <v>('Oncologia Médica'),</v>
      </c>
    </row>
    <row r="41" spans="1:4" x14ac:dyDescent="0.25">
      <c r="A41" t="s">
        <v>40</v>
      </c>
      <c r="D41" t="str">
        <f t="shared" si="0"/>
        <v>('Ortopedia'),</v>
      </c>
    </row>
    <row r="42" spans="1:4" x14ac:dyDescent="0.25">
      <c r="A42" t="s">
        <v>41</v>
      </c>
      <c r="D42" t="str">
        <f t="shared" si="0"/>
        <v>('Otorrinolaringologia'),</v>
      </c>
    </row>
    <row r="43" spans="1:4" x14ac:dyDescent="0.25">
      <c r="A43" t="s">
        <v>42</v>
      </c>
      <c r="D43" t="str">
        <f t="shared" si="0"/>
        <v>('Patologia Clínica'),</v>
      </c>
    </row>
    <row r="44" spans="1:4" x14ac:dyDescent="0.25">
      <c r="A44" t="s">
        <v>43</v>
      </c>
      <c r="D44" t="str">
        <f t="shared" si="0"/>
        <v>('Pediatria'),</v>
      </c>
    </row>
    <row r="45" spans="1:4" x14ac:dyDescent="0.25">
      <c r="A45" t="s">
        <v>44</v>
      </c>
      <c r="D45" t="str">
        <f t="shared" si="0"/>
        <v>('Pneumologia'),</v>
      </c>
    </row>
    <row r="46" spans="1:4" x14ac:dyDescent="0.25">
      <c r="A46" t="s">
        <v>45</v>
      </c>
      <c r="D46" t="str">
        <f t="shared" si="0"/>
        <v>('Psiquiatria'),</v>
      </c>
    </row>
    <row r="47" spans="1:4" x14ac:dyDescent="0.25">
      <c r="A47" t="s">
        <v>46</v>
      </c>
      <c r="D47" t="str">
        <f t="shared" si="0"/>
        <v>('Psiquiatria da Infância e da Adolescência'),</v>
      </c>
    </row>
    <row r="48" spans="1:4" x14ac:dyDescent="0.25">
      <c r="A48" t="s">
        <v>47</v>
      </c>
      <c r="D48" t="str">
        <f t="shared" si="0"/>
        <v>('Radiologia'),</v>
      </c>
    </row>
    <row r="49" spans="1:4" x14ac:dyDescent="0.25">
      <c r="A49" t="s">
        <v>48</v>
      </c>
      <c r="D49" t="str">
        <f t="shared" si="0"/>
        <v>('Radioncologia'),</v>
      </c>
    </row>
    <row r="50" spans="1:4" x14ac:dyDescent="0.25">
      <c r="A50" t="s">
        <v>49</v>
      </c>
      <c r="D50" t="str">
        <f t="shared" si="0"/>
        <v>('Reumatologia'),</v>
      </c>
    </row>
    <row r="51" spans="1:4" x14ac:dyDescent="0.25">
      <c r="A51" t="s">
        <v>50</v>
      </c>
      <c r="D51" t="str">
        <f t="shared" si="0"/>
        <v>('Saúde Pública'),</v>
      </c>
    </row>
    <row r="52" spans="1:4" x14ac:dyDescent="0.25">
      <c r="D52" t="str">
        <f>"('" &amp; A51 &amp; "');"</f>
        <v>('Urologia');</v>
      </c>
    </row>
    <row r="53" spans="1:4" x14ac:dyDescent="0.25">
      <c r="D53" t="str">
        <f t="shared" si="0"/>
        <v>(''),</v>
      </c>
    </row>
    <row r="54" spans="1:4" x14ac:dyDescent="0.25">
      <c r="D54" t="str">
        <f t="shared" ref="D54:D57" si="1">"(" &amp; A53 &amp; "),"</f>
        <v>(),</v>
      </c>
    </row>
    <row r="55" spans="1:4" x14ac:dyDescent="0.25">
      <c r="D55" t="str">
        <f t="shared" si="1"/>
        <v>(),</v>
      </c>
    </row>
    <row r="56" spans="1:4" x14ac:dyDescent="0.25">
      <c r="D56" t="str">
        <f t="shared" si="1"/>
        <v>(),</v>
      </c>
    </row>
    <row r="57" spans="1:4" x14ac:dyDescent="0.25">
      <c r="D57" t="str">
        <f t="shared" si="1"/>
        <v>(),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282E3-7388-474F-A38C-72C0896C2505}">
  <sheetPr codeName="Sheet2"/>
  <dimension ref="A1:W200"/>
  <sheetViews>
    <sheetView topLeftCell="A31" workbookViewId="0">
      <selection activeCell="M50" sqref="M50"/>
    </sheetView>
  </sheetViews>
  <sheetFormatPr defaultRowHeight="15" x14ac:dyDescent="0.25"/>
  <cols>
    <col min="1" max="1" width="10" bestFit="1" customWidth="1"/>
    <col min="13" max="13" width="11.28515625" customWidth="1"/>
    <col min="14" max="16" width="10.7109375" customWidth="1"/>
    <col min="17" max="17" width="11.42578125" customWidth="1"/>
  </cols>
  <sheetData>
    <row r="1" spans="1:23" x14ac:dyDescent="0.25">
      <c r="A1" s="1" t="s">
        <v>51</v>
      </c>
      <c r="B1" s="1" t="s">
        <v>52</v>
      </c>
      <c r="E1" s="1" t="s">
        <v>89</v>
      </c>
      <c r="I1" t="s">
        <v>194</v>
      </c>
      <c r="J1" t="s">
        <v>195</v>
      </c>
      <c r="K1" t="s">
        <v>196</v>
      </c>
      <c r="L1" t="s">
        <v>197</v>
      </c>
    </row>
    <row r="2" spans="1:23" x14ac:dyDescent="0.25">
      <c r="A2" t="s">
        <v>53</v>
      </c>
      <c r="B2" t="s">
        <v>57</v>
      </c>
      <c r="E2" t="s">
        <v>93</v>
      </c>
      <c r="I2">
        <f ca="1">RANDBETWEEN(1,39)</f>
        <v>15</v>
      </c>
      <c r="J2">
        <f ca="1">RANDBETWEEN(1,39)</f>
        <v>19</v>
      </c>
      <c r="K2">
        <f ca="1">RANDBETWEEN(1,97)</f>
        <v>6</v>
      </c>
      <c r="L2">
        <f ca="1">RANDBETWEEN(1,97)</f>
        <v>94</v>
      </c>
      <c r="M2" s="3" t="str" cm="1">
        <f t="array" aca="1" ref="M2" ca="1">INDEX($A$2:$A$40,I2,1)</f>
        <v>Feminino</v>
      </c>
      <c r="N2" s="3" t="str" cm="1">
        <f t="array" aca="1" ref="N2" ca="1">INDEX($B$2:$B$40,I2,1)</f>
        <v>Inês</v>
      </c>
      <c r="O2" s="3" t="str" cm="1">
        <f t="array" aca="1" ref="O2" ca="1">INDEX($B$2:$B$40,J2,1)</f>
        <v>Leonor</v>
      </c>
      <c r="P2" s="3" t="str" cm="1">
        <f t="array" aca="1" ref="P2" ca="1">INDEX($E$2:$E$98,K2)</f>
        <v>Almeida</v>
      </c>
      <c r="Q2" s="3" t="str" cm="1">
        <f t="array" aca="1" ref="Q2" ca="1">INDEX($E$2:$E$98,L2)</f>
        <v>Paiva</v>
      </c>
      <c r="W2">
        <f ca="1">COUNTIF(M:M,"Masculino")</f>
        <v>100</v>
      </c>
    </row>
    <row r="3" spans="1:23" x14ac:dyDescent="0.25">
      <c r="A3" t="s">
        <v>66</v>
      </c>
      <c r="B3" t="s">
        <v>73</v>
      </c>
      <c r="E3" t="s">
        <v>108</v>
      </c>
      <c r="I3">
        <f t="shared" ref="I3:J66" ca="1" si="0">RANDBETWEEN(1,39)</f>
        <v>28</v>
      </c>
      <c r="J3">
        <f t="shared" ca="1" si="0"/>
        <v>16</v>
      </c>
      <c r="K3">
        <f t="shared" ref="K3:L66" ca="1" si="1">RANDBETWEEN(1,97)</f>
        <v>18</v>
      </c>
      <c r="L3">
        <f t="shared" ca="1" si="1"/>
        <v>28</v>
      </c>
      <c r="M3" s="6" t="str" cm="1">
        <f t="array" aca="1" ref="M3" ca="1">INDEX($A$2:$A$40,I3,1)</f>
        <v>Masculino</v>
      </c>
      <c r="N3" s="6" t="str" cm="1">
        <f t="array" aca="1" ref="N3" ca="1">INDEX($B$2:$B$40,I3,1)</f>
        <v>Miguel</v>
      </c>
      <c r="O3" s="6" t="str" cm="1">
        <f t="array" aca="1" ref="O3" ca="1">INDEX($B$2:$B$40,J3,1)</f>
        <v>Joana</v>
      </c>
      <c r="P3" s="6" t="str" cm="1">
        <f t="array" aca="1" ref="P3" ca="1">INDEX($E$2:$E$98,K3)</f>
        <v>Soares</v>
      </c>
      <c r="Q3" s="6" t="str" cm="1">
        <f t="array" aca="1" ref="Q3" ca="1">INDEX($E$2:$E$98,L3)</f>
        <v>Jesus</v>
      </c>
      <c r="S3" t="str">
        <f ca="1">M3</f>
        <v>Masculino</v>
      </c>
      <c r="T3" t="str">
        <f ca="1">N3</f>
        <v>Miguel</v>
      </c>
    </row>
    <row r="4" spans="1:23" x14ac:dyDescent="0.25">
      <c r="A4" t="s">
        <v>53</v>
      </c>
      <c r="B4" t="s">
        <v>81</v>
      </c>
      <c r="E4" t="s">
        <v>116</v>
      </c>
      <c r="I4">
        <f t="shared" ca="1" si="0"/>
        <v>39</v>
      </c>
      <c r="J4">
        <f t="shared" ca="1" si="0"/>
        <v>33</v>
      </c>
      <c r="K4">
        <f t="shared" ca="1" si="1"/>
        <v>52</v>
      </c>
      <c r="L4">
        <f t="shared" ca="1" si="1"/>
        <v>92</v>
      </c>
      <c r="M4" s="6" t="str" cm="1">
        <f t="array" aca="1" ref="M4" ca="1">INDEX($A$2:$A$40,I4,1)</f>
        <v>Feminino</v>
      </c>
      <c r="N4" s="6" t="str" cm="1">
        <f t="array" aca="1" ref="N4" ca="1">INDEX($B$2:$B$40,I4,1)</f>
        <v>Lara</v>
      </c>
      <c r="O4" s="6" t="str" cm="1">
        <f t="array" aca="1" ref="O4" ca="1">INDEX($B$2:$B$40,J4,1)</f>
        <v>Sara</v>
      </c>
      <c r="P4" s="6" t="str" cm="1">
        <f t="array" aca="1" ref="P4" ca="1">INDEX($E$2:$E$98,K4)</f>
        <v>Magalhães</v>
      </c>
      <c r="Q4" s="6" t="str" cm="1">
        <f t="array" aca="1" ref="Q4" ca="1">INDEX($E$2:$E$98,L4)</f>
        <v>Pacheco</v>
      </c>
      <c r="S4" t="str">
        <f t="shared" ref="S4:S67" ca="1" si="2">M4</f>
        <v>Feminino</v>
      </c>
      <c r="T4" t="str">
        <f t="shared" ref="T4:T13" ca="1" si="3">N4</f>
        <v>Lara</v>
      </c>
    </row>
    <row r="5" spans="1:23" x14ac:dyDescent="0.25">
      <c r="A5" t="s">
        <v>66</v>
      </c>
      <c r="B5" t="s">
        <v>70</v>
      </c>
      <c r="E5" t="s">
        <v>105</v>
      </c>
      <c r="I5">
        <f t="shared" ca="1" si="0"/>
        <v>4</v>
      </c>
      <c r="J5">
        <f t="shared" ca="1" si="0"/>
        <v>22</v>
      </c>
      <c r="K5">
        <f t="shared" ca="1" si="1"/>
        <v>36</v>
      </c>
      <c r="L5">
        <f t="shared" ca="1" si="1"/>
        <v>77</v>
      </c>
      <c r="M5" s="6" t="str" cm="1">
        <f t="array" aca="1" ref="M5" ca="1">INDEX($A$2:$A$40,I5,1)</f>
        <v>Feminino</v>
      </c>
      <c r="N5" s="6" t="str" cm="1">
        <f t="array" aca="1" ref="N5" ca="1">INDEX($B$2:$B$40,I5,1)</f>
        <v>Beatriz</v>
      </c>
      <c r="O5" s="6" t="str" cm="1">
        <f t="array" aca="1" ref="O5" ca="1">INDEX($B$2:$B$40,J5,1)</f>
        <v>Marco</v>
      </c>
      <c r="P5" s="6" t="str" cm="1">
        <f t="array" aca="1" ref="P5" ca="1">INDEX($E$2:$E$98,K5)</f>
        <v>Rodrigues</v>
      </c>
      <c r="Q5" s="6" t="str" cm="1">
        <f t="array" aca="1" ref="Q5" ca="1">INDEX($E$2:$E$98,L5)</f>
        <v>Pinho</v>
      </c>
      <c r="S5" t="str">
        <f t="shared" ca="1" si="2"/>
        <v>Feminino</v>
      </c>
      <c r="T5" t="str">
        <f t="shared" ca="1" si="3"/>
        <v>Beatriz</v>
      </c>
    </row>
    <row r="6" spans="1:23" x14ac:dyDescent="0.25">
      <c r="A6" t="s">
        <v>53</v>
      </c>
      <c r="B6" t="s">
        <v>79</v>
      </c>
      <c r="E6" t="s">
        <v>114</v>
      </c>
      <c r="I6">
        <f t="shared" ca="1" si="0"/>
        <v>36</v>
      </c>
      <c r="J6">
        <f t="shared" ca="1" si="0"/>
        <v>8</v>
      </c>
      <c r="K6">
        <f t="shared" ca="1" si="1"/>
        <v>57</v>
      </c>
      <c r="L6">
        <f t="shared" ca="1" si="1"/>
        <v>17</v>
      </c>
      <c r="M6" s="6" t="str" cm="1">
        <f t="array" aca="1" ref="M6" ca="1">INDEX($A$2:$A$40,I6,1)</f>
        <v>Masculino</v>
      </c>
      <c r="N6" s="6" t="str" cm="1">
        <f t="array" aca="1" ref="N6" ca="1">INDEX($B$2:$B$40,I6,1)</f>
        <v>Tomás</v>
      </c>
      <c r="O6" s="6" t="str" cm="1">
        <f t="array" aca="1" ref="O6" ca="1">INDEX($B$2:$B$40,J6,1)</f>
        <v>Daniela</v>
      </c>
      <c r="P6" s="6" t="str" cm="1">
        <f t="array" aca="1" ref="P6" ca="1">INDEX($E$2:$E$98,K6)</f>
        <v>Pinheiro</v>
      </c>
      <c r="Q6" s="6" t="str" cm="1">
        <f t="array" aca="1" ref="Q6" ca="1">INDEX($E$2:$E$98,L6)</f>
        <v>Ferreira</v>
      </c>
      <c r="S6" t="str">
        <f t="shared" ca="1" si="2"/>
        <v>Masculino</v>
      </c>
      <c r="T6" t="str">
        <f t="shared" ca="1" si="3"/>
        <v>Tomás</v>
      </c>
    </row>
    <row r="7" spans="1:23" x14ac:dyDescent="0.25">
      <c r="A7" t="s">
        <v>66</v>
      </c>
      <c r="B7" t="s">
        <v>71</v>
      </c>
      <c r="E7" t="s">
        <v>106</v>
      </c>
      <c r="I7">
        <f t="shared" ca="1" si="0"/>
        <v>31</v>
      </c>
      <c r="J7">
        <f t="shared" ca="1" si="0"/>
        <v>9</v>
      </c>
      <c r="K7">
        <f t="shared" ca="1" si="1"/>
        <v>26</v>
      </c>
      <c r="L7">
        <f t="shared" ca="1" si="1"/>
        <v>6</v>
      </c>
      <c r="M7" s="6" t="str" cm="1">
        <f t="array" aca="1" ref="M7" ca="1">INDEX($A$2:$A$40,I7,1)</f>
        <v>Masculino</v>
      </c>
      <c r="N7" s="6" t="str" cm="1">
        <f t="array" aca="1" ref="N7" ca="1">INDEX($B$2:$B$40,I7,1)</f>
        <v>Rodrigo</v>
      </c>
      <c r="O7" s="6" t="str" cm="1">
        <f t="array" aca="1" ref="O7" ca="1">INDEX($B$2:$B$40,J7,1)</f>
        <v>Diana</v>
      </c>
      <c r="P7" s="6" t="str" cm="1">
        <f t="array" aca="1" ref="P7" ca="1">INDEX($E$2:$E$98,K7)</f>
        <v>Costa</v>
      </c>
      <c r="Q7" s="6" t="str" cm="1">
        <f t="array" aca="1" ref="Q7" ca="1">INDEX($E$2:$E$98,L7)</f>
        <v>Almeida</v>
      </c>
      <c r="S7" t="str">
        <f t="shared" ca="1" si="2"/>
        <v>Masculino</v>
      </c>
      <c r="T7" t="str">
        <f t="shared" ca="1" si="3"/>
        <v>Rodrigo</v>
      </c>
    </row>
    <row r="8" spans="1:23" x14ac:dyDescent="0.25">
      <c r="A8" t="s">
        <v>66</v>
      </c>
      <c r="B8" t="s">
        <v>85</v>
      </c>
      <c r="E8" t="s">
        <v>122</v>
      </c>
      <c r="I8">
        <f t="shared" ca="1" si="0"/>
        <v>21</v>
      </c>
      <c r="J8">
        <f t="shared" ca="1" si="0"/>
        <v>22</v>
      </c>
      <c r="K8">
        <f t="shared" ca="1" si="1"/>
        <v>30</v>
      </c>
      <c r="L8">
        <f t="shared" ca="1" si="1"/>
        <v>90</v>
      </c>
      <c r="M8" s="6" t="str" cm="1">
        <f t="array" aca="1" ref="M8" ca="1">INDEX($A$2:$A$40,I8,1)</f>
        <v>Feminino</v>
      </c>
      <c r="N8" s="6" t="str" cm="1">
        <f t="array" aca="1" ref="N8" ca="1">INDEX($B$2:$B$40,I8,1)</f>
        <v>Lurdes</v>
      </c>
      <c r="O8" s="6" t="str" cm="1">
        <f t="array" aca="1" ref="O8" ca="1">INDEX($B$2:$B$40,J8,1)</f>
        <v>Marco</v>
      </c>
      <c r="P8" s="6" t="str" cm="1">
        <f t="array" aca="1" ref="P8" ca="1">INDEX($E$2:$E$98,K8)</f>
        <v>Monteiro</v>
      </c>
      <c r="Q8" s="6" t="str" cm="1">
        <f t="array" aca="1" ref="Q8" ca="1">INDEX($E$2:$E$98,L8)</f>
        <v>Branco</v>
      </c>
      <c r="S8" t="str">
        <f t="shared" ca="1" si="2"/>
        <v>Feminino</v>
      </c>
      <c r="T8" t="str">
        <f t="shared" ca="1" si="3"/>
        <v>Lurdes</v>
      </c>
    </row>
    <row r="9" spans="1:23" x14ac:dyDescent="0.25">
      <c r="A9" t="s">
        <v>66</v>
      </c>
      <c r="B9" t="s">
        <v>87</v>
      </c>
      <c r="E9" t="s">
        <v>125</v>
      </c>
      <c r="I9">
        <f t="shared" ca="1" si="0"/>
        <v>5</v>
      </c>
      <c r="J9">
        <f t="shared" ca="1" si="0"/>
        <v>17</v>
      </c>
      <c r="K9">
        <f t="shared" ca="1" si="1"/>
        <v>84</v>
      </c>
      <c r="L9">
        <f t="shared" ca="1" si="1"/>
        <v>2</v>
      </c>
      <c r="M9" s="6" t="str" cm="1">
        <f t="array" aca="1" ref="M9" ca="1">INDEX($A$2:$A$40,I9,1)</f>
        <v>Masculino</v>
      </c>
      <c r="N9" s="6" t="str" cm="1">
        <f t="array" aca="1" ref="N9" ca="1">INDEX($B$2:$B$40,I9,1)</f>
        <v>Bruno</v>
      </c>
      <c r="O9" s="6" t="str" cm="1">
        <f t="array" aca="1" ref="O9" ca="1">INDEX($B$2:$B$40,J9,1)</f>
        <v>João</v>
      </c>
      <c r="P9" s="6" t="str" cm="1">
        <f t="array" aca="1" ref="P9" ca="1">INDEX($E$2:$E$98,K9)</f>
        <v>Domingues</v>
      </c>
      <c r="Q9" s="6" t="str" cm="1">
        <f t="array" aca="1" ref="Q9" ca="1">INDEX($E$2:$E$98,L9)</f>
        <v>Pinto</v>
      </c>
      <c r="S9" t="str">
        <f t="shared" ca="1" si="2"/>
        <v>Masculino</v>
      </c>
      <c r="T9" t="str">
        <f t="shared" ca="1" si="3"/>
        <v>Bruno</v>
      </c>
    </row>
    <row r="10" spans="1:23" x14ac:dyDescent="0.25">
      <c r="A10" t="s">
        <v>66</v>
      </c>
      <c r="B10" t="s">
        <v>88</v>
      </c>
      <c r="E10" t="s">
        <v>126</v>
      </c>
      <c r="I10">
        <f t="shared" ca="1" si="0"/>
        <v>35</v>
      </c>
      <c r="J10">
        <f t="shared" ca="1" si="0"/>
        <v>17</v>
      </c>
      <c r="K10">
        <f t="shared" ca="1" si="1"/>
        <v>22</v>
      </c>
      <c r="L10">
        <f t="shared" ca="1" si="1"/>
        <v>75</v>
      </c>
      <c r="M10" s="6" t="str" cm="1">
        <f t="array" aca="1" ref="M10" ca="1">INDEX($A$2:$A$40,I10,1)</f>
        <v>Masculino</v>
      </c>
      <c r="N10" s="6" t="str" cm="1">
        <f t="array" aca="1" ref="N10" ca="1">INDEX($B$2:$B$40,I10,1)</f>
        <v>Tiago</v>
      </c>
      <c r="O10" s="6" t="str" cm="1">
        <f t="array" aca="1" ref="O10" ca="1">INDEX($B$2:$B$40,J10,1)</f>
        <v>João</v>
      </c>
      <c r="P10" s="6" t="str" cm="1">
        <f t="array" aca="1" ref="P10" ca="1">INDEX($E$2:$E$98,K10)</f>
        <v>Gonçalves</v>
      </c>
      <c r="Q10" s="6" t="str" cm="1">
        <f t="array" aca="1" ref="Q10" ca="1">INDEX($E$2:$E$98,L10)</f>
        <v>Melo</v>
      </c>
      <c r="S10" t="str">
        <f t="shared" ca="1" si="2"/>
        <v>Masculino</v>
      </c>
      <c r="T10" t="str">
        <f t="shared" ca="1" si="3"/>
        <v>Tiago</v>
      </c>
    </row>
    <row r="11" spans="1:23" x14ac:dyDescent="0.25">
      <c r="A11" t="s">
        <v>53</v>
      </c>
      <c r="B11" t="s">
        <v>77</v>
      </c>
      <c r="E11" t="s">
        <v>112</v>
      </c>
      <c r="I11">
        <f t="shared" ca="1" si="0"/>
        <v>33</v>
      </c>
      <c r="J11">
        <f t="shared" ca="1" si="0"/>
        <v>7</v>
      </c>
      <c r="K11">
        <f t="shared" ca="1" si="1"/>
        <v>48</v>
      </c>
      <c r="L11">
        <f t="shared" ca="1" si="1"/>
        <v>27</v>
      </c>
      <c r="M11" s="6" t="str" cm="1">
        <f t="array" aca="1" ref="M11" ca="1">INDEX($A$2:$A$40,I11,1)</f>
        <v>Feminino</v>
      </c>
      <c r="N11" s="6" t="str" cm="1">
        <f t="array" aca="1" ref="N11" ca="1">INDEX($B$2:$B$40,I11,1)</f>
        <v>Sara</v>
      </c>
      <c r="O11" s="6" t="str" cm="1">
        <f t="array" aca="1" ref="O11" ca="1">INDEX($B$2:$B$40,J11,1)</f>
        <v>Catarina</v>
      </c>
      <c r="P11" s="6" t="str" cm="1">
        <f t="array" aca="1" ref="P11" ca="1">INDEX($E$2:$E$98,K11)</f>
        <v>Castro</v>
      </c>
      <c r="Q11" s="6" t="str" cm="1">
        <f t="array" aca="1" ref="Q11" ca="1">INDEX($E$2:$E$98,L11)</f>
        <v>Marques</v>
      </c>
      <c r="S11" t="str">
        <f t="shared" ca="1" si="2"/>
        <v>Feminino</v>
      </c>
      <c r="T11" t="str">
        <f t="shared" ca="1" si="3"/>
        <v>Sara</v>
      </c>
    </row>
    <row r="12" spans="1:23" x14ac:dyDescent="0.25">
      <c r="A12" t="s">
        <v>53</v>
      </c>
      <c r="B12" t="s">
        <v>61</v>
      </c>
      <c r="E12" t="s">
        <v>97</v>
      </c>
      <c r="I12">
        <f t="shared" ca="1" si="0"/>
        <v>35</v>
      </c>
      <c r="J12">
        <f t="shared" ca="1" si="0"/>
        <v>9</v>
      </c>
      <c r="K12">
        <f t="shared" ca="1" si="1"/>
        <v>17</v>
      </c>
      <c r="L12">
        <f t="shared" ca="1" si="1"/>
        <v>43</v>
      </c>
      <c r="M12" s="6" t="str" cm="1">
        <f t="array" aca="1" ref="M12" ca="1">INDEX($A$2:$A$40,I12,1)</f>
        <v>Masculino</v>
      </c>
      <c r="N12" s="6" t="str" cm="1">
        <f t="array" aca="1" ref="N12" ca="1">INDEX($B$2:$B$40,I12,1)</f>
        <v>Tiago</v>
      </c>
      <c r="O12" s="6" t="str" cm="1">
        <f t="array" aca="1" ref="O12" ca="1">INDEX($B$2:$B$40,J12,1)</f>
        <v>Diana</v>
      </c>
      <c r="P12" s="6" t="str" cm="1">
        <f t="array" aca="1" ref="P12" ca="1">INDEX($E$2:$E$98,K12)</f>
        <v>Ferreira</v>
      </c>
      <c r="Q12" s="6" t="str" cm="1">
        <f t="array" aca="1" ref="Q12" ca="1">INDEX($E$2:$E$98,L12)</f>
        <v>Machado</v>
      </c>
      <c r="S12" t="str">
        <f t="shared" ca="1" si="2"/>
        <v>Masculino</v>
      </c>
      <c r="T12" t="str">
        <f t="shared" ca="1" si="3"/>
        <v>Tiago</v>
      </c>
    </row>
    <row r="13" spans="1:23" x14ac:dyDescent="0.25">
      <c r="A13" t="s">
        <v>66</v>
      </c>
      <c r="B13" t="s">
        <v>75</v>
      </c>
      <c r="E13" t="s">
        <v>110</v>
      </c>
      <c r="I13">
        <f t="shared" ca="1" si="0"/>
        <v>3</v>
      </c>
      <c r="J13">
        <f t="shared" ca="1" si="0"/>
        <v>14</v>
      </c>
      <c r="K13">
        <f t="shared" ca="1" si="1"/>
        <v>39</v>
      </c>
      <c r="L13">
        <f t="shared" ca="1" si="1"/>
        <v>38</v>
      </c>
      <c r="M13" s="6" t="str" cm="1">
        <f t="array" aca="1" ref="M13" ca="1">INDEX($A$2:$A$40,I13,1)</f>
        <v>Masculino</v>
      </c>
      <c r="N13" s="6" t="str" cm="1">
        <f t="array" aca="1" ref="N13" ca="1">INDEX($B$2:$B$40,I13,1)</f>
        <v>André</v>
      </c>
      <c r="O13" s="6" t="str" cm="1">
        <f t="array" aca="1" ref="O13" ca="1">INDEX($B$2:$B$40,J13,1)</f>
        <v>Gabriel</v>
      </c>
      <c r="P13" s="6" t="str" cm="1">
        <f t="array" aca="1" ref="P13" ca="1">INDEX($E$2:$E$98,K13)</f>
        <v>Simões</v>
      </c>
      <c r="Q13" s="6" t="str" cm="1">
        <f t="array" aca="1" ref="Q13" ca="1">INDEX($E$2:$E$98,L13)</f>
        <v>Reis</v>
      </c>
      <c r="S13" t="str">
        <f t="shared" ca="1" si="2"/>
        <v>Masculino</v>
      </c>
      <c r="T13" t="str">
        <f t="shared" ca="1" si="3"/>
        <v>André</v>
      </c>
    </row>
    <row r="14" spans="1:23" x14ac:dyDescent="0.25">
      <c r="A14" t="s">
        <v>53</v>
      </c>
      <c r="B14" t="s">
        <v>55</v>
      </c>
      <c r="E14" t="s">
        <v>91</v>
      </c>
      <c r="I14">
        <f t="shared" ca="1" si="0"/>
        <v>18</v>
      </c>
      <c r="J14">
        <f t="shared" ca="1" si="0"/>
        <v>25</v>
      </c>
      <c r="K14">
        <f t="shared" ca="1" si="1"/>
        <v>25</v>
      </c>
      <c r="L14">
        <f t="shared" ca="1" si="1"/>
        <v>92</v>
      </c>
      <c r="M14" s="6" t="str" cm="1">
        <f t="array" aca="1" ref="M14" ca="1">INDEX($A$2:$A$40,I14,1)</f>
        <v>Masculino</v>
      </c>
      <c r="N14" s="6" t="str" cm="1">
        <f t="array" aca="1" ref="N14" ca="1">INDEX($B$2:$B$40,I14,1)</f>
        <v>José</v>
      </c>
      <c r="O14" s="6" t="str" cm="1">
        <f t="array" aca="1" ref="O14" ca="1">INDEX($B$2:$B$40,J14,1)</f>
        <v>Mariana</v>
      </c>
      <c r="P14" s="6" t="str" cm="1">
        <f t="array" aca="1" ref="P14" ca="1">INDEX($E$2:$E$98,K14)</f>
        <v>Cruz</v>
      </c>
      <c r="Q14" s="6" t="str" cm="1">
        <f t="array" aca="1" ref="Q14" ca="1">INDEX($E$2:$E$98,L14)</f>
        <v>Pacheco</v>
      </c>
      <c r="S14" t="str">
        <f t="shared" ca="1" si="2"/>
        <v>Masculino</v>
      </c>
      <c r="T14" t="str">
        <f ca="1">N14 &amp; " " &amp;Q14</f>
        <v>José Pacheco</v>
      </c>
    </row>
    <row r="15" spans="1:23" x14ac:dyDescent="0.25">
      <c r="A15" t="s">
        <v>53</v>
      </c>
      <c r="B15" t="s">
        <v>63</v>
      </c>
      <c r="E15" t="s">
        <v>99</v>
      </c>
      <c r="I15">
        <f t="shared" ca="1" si="0"/>
        <v>9</v>
      </c>
      <c r="J15">
        <f t="shared" ca="1" si="0"/>
        <v>12</v>
      </c>
      <c r="K15">
        <f t="shared" ca="1" si="1"/>
        <v>62</v>
      </c>
      <c r="L15">
        <f t="shared" ca="1" si="1"/>
        <v>97</v>
      </c>
      <c r="M15" s="6" t="str" cm="1">
        <f t="array" aca="1" ref="M15" ca="1">INDEX($A$2:$A$40,I15,1)</f>
        <v>Feminino</v>
      </c>
      <c r="N15" s="6" t="str" cm="1">
        <f t="array" aca="1" ref="N15" ca="1">INDEX($B$2:$B$40,I15,1)</f>
        <v>Diana</v>
      </c>
      <c r="O15" s="6" t="str" cm="1">
        <f t="array" aca="1" ref="O15" ca="1">INDEX($B$2:$B$40,J15,1)</f>
        <v>Francisca</v>
      </c>
      <c r="P15" s="6" t="str" cm="1">
        <f t="array" aca="1" ref="P15" ca="1">INDEX($E$2:$E$98,K15)</f>
        <v>Nogueira</v>
      </c>
      <c r="Q15" s="6" t="str" cm="1">
        <f t="array" aca="1" ref="Q15" ca="1">INDEX($E$2:$E$98,L15)</f>
        <v>Torres</v>
      </c>
      <c r="S15" t="str">
        <f t="shared" ca="1" si="2"/>
        <v>Feminino</v>
      </c>
      <c r="T15" t="str">
        <f t="shared" ref="T15:T34" ca="1" si="4">N15 &amp; " " &amp;Q15</f>
        <v>Diana Torres</v>
      </c>
    </row>
    <row r="16" spans="1:23" x14ac:dyDescent="0.25">
      <c r="A16" t="s">
        <v>66</v>
      </c>
      <c r="B16" t="s">
        <v>76</v>
      </c>
      <c r="E16" t="s">
        <v>111</v>
      </c>
      <c r="I16">
        <f t="shared" ca="1" si="0"/>
        <v>23</v>
      </c>
      <c r="J16">
        <f t="shared" ca="1" si="0"/>
        <v>16</v>
      </c>
      <c r="K16">
        <f t="shared" ca="1" si="1"/>
        <v>42</v>
      </c>
      <c r="L16">
        <f t="shared" ca="1" si="1"/>
        <v>48</v>
      </c>
      <c r="M16" s="6" t="str" cm="1">
        <f t="array" aca="1" ref="M16" ca="1">INDEX($A$2:$A$40,I16,1)</f>
        <v>Feminino</v>
      </c>
      <c r="N16" s="6" t="str" cm="1">
        <f t="array" aca="1" ref="N16" ca="1">INDEX($B$2:$B$40,I16,1)</f>
        <v>Maria</v>
      </c>
      <c r="O16" s="6" t="str" cm="1">
        <f t="array" aca="1" ref="O16" ca="1">INDEX($B$2:$B$40,J16,1)</f>
        <v>Joana</v>
      </c>
      <c r="P16" s="6" t="str" cm="1">
        <f t="array" aca="1" ref="P16" ca="1">INDEX($E$2:$E$98,K16)</f>
        <v>Fonseca</v>
      </c>
      <c r="Q16" s="6" t="str" cm="1">
        <f t="array" aca="1" ref="Q16" ca="1">INDEX($E$2:$E$98,L16)</f>
        <v>Castro</v>
      </c>
      <c r="S16" t="str">
        <f t="shared" ca="1" si="2"/>
        <v>Feminino</v>
      </c>
      <c r="T16" t="str">
        <f t="shared" ca="1" si="4"/>
        <v>Maria Castro</v>
      </c>
    </row>
    <row r="17" spans="1:20" x14ac:dyDescent="0.25">
      <c r="A17" t="s">
        <v>66</v>
      </c>
      <c r="B17" t="s">
        <v>84</v>
      </c>
      <c r="E17" t="s">
        <v>121</v>
      </c>
      <c r="I17">
        <f t="shared" ca="1" si="0"/>
        <v>36</v>
      </c>
      <c r="J17">
        <f t="shared" ca="1" si="0"/>
        <v>37</v>
      </c>
      <c r="K17">
        <f t="shared" ca="1" si="1"/>
        <v>11</v>
      </c>
      <c r="L17">
        <f t="shared" ca="1" si="1"/>
        <v>84</v>
      </c>
      <c r="M17" s="6" t="str" cm="1">
        <f t="array" aca="1" ref="M17" ca="1">INDEX($A$2:$A$40,I17,1)</f>
        <v>Masculino</v>
      </c>
      <c r="N17" s="6" t="str" cm="1">
        <f t="array" aca="1" ref="N17" ca="1">INDEX($B$2:$B$40,I17,1)</f>
        <v>Tomás</v>
      </c>
      <c r="O17" s="6" t="str" cm="1">
        <f t="array" aca="1" ref="O17" ca="1">INDEX($B$2:$B$40,J17,1)</f>
        <v>Vera</v>
      </c>
      <c r="P17" s="6" t="str" cm="1">
        <f t="array" aca="1" ref="P17" ca="1">INDEX($E$2:$E$98,K17)</f>
        <v>Martins</v>
      </c>
      <c r="Q17" s="6" t="str" cm="1">
        <f t="array" aca="1" ref="Q17" ca="1">INDEX($E$2:$E$98,L17)</f>
        <v>Domingues</v>
      </c>
      <c r="S17" t="str">
        <f t="shared" ca="1" si="2"/>
        <v>Masculino</v>
      </c>
      <c r="T17" t="str">
        <f t="shared" ca="1" si="4"/>
        <v>Tomás Domingues</v>
      </c>
    </row>
    <row r="18" spans="1:20" x14ac:dyDescent="0.25">
      <c r="A18" t="s">
        <v>53</v>
      </c>
      <c r="B18" t="s">
        <v>56</v>
      </c>
      <c r="E18" t="s">
        <v>92</v>
      </c>
      <c r="I18">
        <f t="shared" ca="1" si="0"/>
        <v>23</v>
      </c>
      <c r="J18">
        <f t="shared" ca="1" si="0"/>
        <v>19</v>
      </c>
      <c r="K18">
        <f t="shared" ca="1" si="1"/>
        <v>47</v>
      </c>
      <c r="L18">
        <f t="shared" ca="1" si="1"/>
        <v>16</v>
      </c>
      <c r="M18" s="6" t="str" cm="1">
        <f t="array" aca="1" ref="M18" ca="1">INDEX($A$2:$A$40,I18,1)</f>
        <v>Feminino</v>
      </c>
      <c r="N18" s="6" t="str" cm="1">
        <f t="array" aca="1" ref="N18" ca="1">INDEX($B$2:$B$40,I18,1)</f>
        <v>Maria</v>
      </c>
      <c r="O18" s="6" t="str" cm="1">
        <f t="array" aca="1" ref="O18" ca="1">INDEX($B$2:$B$40,J18,1)</f>
        <v>Leonor</v>
      </c>
      <c r="P18" s="6" t="str" cm="1">
        <f t="array" aca="1" ref="P18" ca="1">INDEX($E$2:$E$98,K18)</f>
        <v>Lourenço</v>
      </c>
      <c r="Q18" s="6" t="str" cm="1">
        <f t="array" aca="1" ref="Q18" ca="1">INDEX($E$2:$E$98,L18)</f>
        <v>Neves</v>
      </c>
      <c r="S18" t="str">
        <f t="shared" ca="1" si="2"/>
        <v>Feminino</v>
      </c>
      <c r="T18" t="str">
        <f t="shared" ca="1" si="4"/>
        <v>Maria Neves</v>
      </c>
    </row>
    <row r="19" spans="1:20" x14ac:dyDescent="0.25">
      <c r="A19" t="s">
        <v>53</v>
      </c>
      <c r="B19" t="s">
        <v>80</v>
      </c>
      <c r="E19" t="s">
        <v>115</v>
      </c>
      <c r="I19">
        <f t="shared" ca="1" si="0"/>
        <v>2</v>
      </c>
      <c r="J19">
        <f t="shared" ca="1" si="0"/>
        <v>24</v>
      </c>
      <c r="K19">
        <f t="shared" ca="1" si="1"/>
        <v>85</v>
      </c>
      <c r="L19">
        <f t="shared" ca="1" si="1"/>
        <v>55</v>
      </c>
      <c r="M19" s="6" t="str" cm="1">
        <f t="array" aca="1" ref="M19" ca="1">INDEX($A$2:$A$40,I19,1)</f>
        <v>Feminino</v>
      </c>
      <c r="N19" s="6" t="str" cm="1">
        <f t="array" aca="1" ref="N19" ca="1">INDEX($B$2:$B$40,I19,1)</f>
        <v>Ana</v>
      </c>
      <c r="O19" s="6" t="str" cm="1">
        <f t="array" aca="1" ref="O19" ca="1">INDEX($B$2:$B$40,J19,1)</f>
        <v>Laura</v>
      </c>
      <c r="P19" s="6" t="str" cm="1">
        <f t="array" aca="1" ref="P19" ca="1">INDEX($E$2:$E$98,K19)</f>
        <v>Garcia</v>
      </c>
      <c r="Q19" s="6" t="str" cm="1">
        <f t="array" aca="1" ref="Q19" ca="1">INDEX($E$2:$E$98,L19)</f>
        <v>Guerreiro</v>
      </c>
      <c r="S19" t="str">
        <f t="shared" ca="1" si="2"/>
        <v>Feminino</v>
      </c>
      <c r="T19" t="str">
        <f t="shared" ca="1" si="4"/>
        <v>Ana Guerreiro</v>
      </c>
    </row>
    <row r="20" spans="1:20" x14ac:dyDescent="0.25">
      <c r="A20" t="s">
        <v>66</v>
      </c>
      <c r="B20" t="s">
        <v>68</v>
      </c>
      <c r="E20" t="s">
        <v>103</v>
      </c>
      <c r="I20">
        <f t="shared" ca="1" si="0"/>
        <v>7</v>
      </c>
      <c r="J20">
        <f t="shared" ca="1" si="0"/>
        <v>29</v>
      </c>
      <c r="K20">
        <f t="shared" ca="1" si="1"/>
        <v>28</v>
      </c>
      <c r="L20">
        <f t="shared" ca="1" si="1"/>
        <v>29</v>
      </c>
      <c r="M20" s="6" t="str" cm="1">
        <f t="array" aca="1" ref="M20" ca="1">INDEX($A$2:$A$40,I20,1)</f>
        <v>Feminino</v>
      </c>
      <c r="N20" s="6" t="str" cm="1">
        <f t="array" aca="1" ref="N20" ca="1">INDEX($B$2:$B$40,I20,1)</f>
        <v>Catarina</v>
      </c>
      <c r="O20" s="6" t="str" cm="1">
        <f t="array" aca="1" ref="O20" ca="1">INDEX($B$2:$B$40,J20,1)</f>
        <v>Pedro</v>
      </c>
      <c r="P20" s="6" t="str" cm="1">
        <f t="array" aca="1" ref="P20" ca="1">INDEX($E$2:$E$98,K20)</f>
        <v>Jesus</v>
      </c>
      <c r="Q20" s="6" t="str" cm="1">
        <f t="array" aca="1" ref="Q20" ca="1">INDEX($E$2:$E$98,L20)</f>
        <v>Fernandes</v>
      </c>
      <c r="S20" t="str">
        <f t="shared" ca="1" si="2"/>
        <v>Feminino</v>
      </c>
      <c r="T20" t="str">
        <f t="shared" ca="1" si="4"/>
        <v>Catarina Fernandes</v>
      </c>
    </row>
    <row r="21" spans="1:20" x14ac:dyDescent="0.25">
      <c r="A21" t="s">
        <v>53</v>
      </c>
      <c r="B21" t="s">
        <v>83</v>
      </c>
      <c r="E21" t="s">
        <v>118</v>
      </c>
      <c r="I21">
        <f t="shared" ca="1" si="0"/>
        <v>12</v>
      </c>
      <c r="J21">
        <f t="shared" ca="1" si="0"/>
        <v>30</v>
      </c>
      <c r="K21">
        <f t="shared" ca="1" si="1"/>
        <v>78</v>
      </c>
      <c r="L21">
        <f t="shared" ca="1" si="1"/>
        <v>85</v>
      </c>
      <c r="M21" s="6" t="str" cm="1">
        <f t="array" aca="1" ref="M21" ca="1">INDEX($A$2:$A$40,I21,1)</f>
        <v>Feminino</v>
      </c>
      <c r="N21" s="6" t="str" cm="1">
        <f t="array" aca="1" ref="N21" ca="1">INDEX($B$2:$B$40,I21,1)</f>
        <v>Francisca</v>
      </c>
      <c r="O21" s="6" t="str" cm="1">
        <f t="array" aca="1" ref="O21" ca="1">INDEX($B$2:$B$40,J21,1)</f>
        <v>Ricardo</v>
      </c>
      <c r="P21" s="6" t="str" cm="1">
        <f t="array" aca="1" ref="P21" ca="1">INDEX($E$2:$E$98,K21)</f>
        <v>Vicente</v>
      </c>
      <c r="Q21" s="6" t="str" cm="1">
        <f t="array" aca="1" ref="Q21" ca="1">INDEX($E$2:$E$98,L21)</f>
        <v>Garcia</v>
      </c>
      <c r="S21" t="str">
        <f t="shared" ca="1" si="2"/>
        <v>Feminino</v>
      </c>
      <c r="T21" t="str">
        <f t="shared" ca="1" si="4"/>
        <v>Francisca Garcia</v>
      </c>
    </row>
    <row r="22" spans="1:20" x14ac:dyDescent="0.25">
      <c r="A22" t="s">
        <v>66</v>
      </c>
      <c r="B22" t="s">
        <v>192</v>
      </c>
      <c r="E22" t="s">
        <v>120</v>
      </c>
      <c r="I22">
        <f t="shared" ca="1" si="0"/>
        <v>25</v>
      </c>
      <c r="J22">
        <f t="shared" ca="1" si="0"/>
        <v>25</v>
      </c>
      <c r="K22">
        <f t="shared" ca="1" si="1"/>
        <v>50</v>
      </c>
      <c r="L22">
        <f t="shared" ca="1" si="1"/>
        <v>74</v>
      </c>
      <c r="M22" s="6" t="str" cm="1">
        <f t="array" aca="1" ref="M22" ca="1">INDEX($A$2:$A$40,I22,1)</f>
        <v>Feminino</v>
      </c>
      <c r="N22" s="6" t="str" cm="1">
        <f t="array" aca="1" ref="N22" ca="1">INDEX($B$2:$B$40,I22,1)</f>
        <v>Mariana</v>
      </c>
      <c r="O22" s="6" t="str" cm="1">
        <f t="array" aca="1" ref="O22" ca="1">INDEX($B$2:$B$40,J22,1)</f>
        <v>Mariana</v>
      </c>
      <c r="P22" s="6" t="str" cm="1">
        <f t="array" aca="1" ref="P22" ca="1">INDEX($E$2:$E$98,K22)</f>
        <v>Azevedo</v>
      </c>
      <c r="Q22" s="6" t="str" cm="1">
        <f t="array" aca="1" ref="Q22" ca="1">INDEX($E$2:$E$98,L22)</f>
        <v>Borges</v>
      </c>
      <c r="S22" t="str">
        <f t="shared" ca="1" si="2"/>
        <v>Feminino</v>
      </c>
      <c r="T22" t="str">
        <f t="shared" ca="1" si="4"/>
        <v>Mariana Borges</v>
      </c>
    </row>
    <row r="23" spans="1:20" x14ac:dyDescent="0.25">
      <c r="A23" t="s">
        <v>53</v>
      </c>
      <c r="B23" t="s">
        <v>65</v>
      </c>
      <c r="E23" t="s">
        <v>101</v>
      </c>
      <c r="I23">
        <f t="shared" ca="1" si="0"/>
        <v>17</v>
      </c>
      <c r="J23">
        <f t="shared" ca="1" si="0"/>
        <v>21</v>
      </c>
      <c r="K23">
        <f t="shared" ca="1" si="1"/>
        <v>97</v>
      </c>
      <c r="L23">
        <f t="shared" ca="1" si="1"/>
        <v>33</v>
      </c>
      <c r="M23" s="6" t="str" cm="1">
        <f t="array" aca="1" ref="M23" ca="1">INDEX($A$2:$A$40,I23,1)</f>
        <v>Masculino</v>
      </c>
      <c r="N23" s="6" t="str" cm="1">
        <f t="array" aca="1" ref="N23" ca="1">INDEX($B$2:$B$40,I23,1)</f>
        <v>João</v>
      </c>
      <c r="O23" s="6" t="str" cm="1">
        <f t="array" aca="1" ref="O23" ca="1">INDEX($B$2:$B$40,J23,1)</f>
        <v>Lurdes</v>
      </c>
      <c r="P23" s="6" t="str" cm="1">
        <f t="array" aca="1" ref="P23" ca="1">INDEX($E$2:$E$98,K23)</f>
        <v>Torres</v>
      </c>
      <c r="Q23" s="6" t="str" cm="1">
        <f t="array" aca="1" ref="Q23" ca="1">INDEX($E$2:$E$98,L23)</f>
        <v>Cunha</v>
      </c>
      <c r="S23" t="str">
        <f t="shared" ca="1" si="2"/>
        <v>Masculino</v>
      </c>
      <c r="T23" t="str">
        <f t="shared" ca="1" si="4"/>
        <v>João Cunha</v>
      </c>
    </row>
    <row r="24" spans="1:20" x14ac:dyDescent="0.25">
      <c r="A24" t="s">
        <v>66</v>
      </c>
      <c r="B24" t="s">
        <v>67</v>
      </c>
      <c r="E24" t="s">
        <v>102</v>
      </c>
      <c r="I24">
        <f t="shared" ca="1" si="0"/>
        <v>1</v>
      </c>
      <c r="J24">
        <f t="shared" ca="1" si="0"/>
        <v>38</v>
      </c>
      <c r="K24">
        <f t="shared" ca="1" si="1"/>
        <v>49</v>
      </c>
      <c r="L24">
        <f t="shared" ca="1" si="1"/>
        <v>92</v>
      </c>
      <c r="M24" s="6" t="str" cm="1">
        <f t="array" aca="1" ref="M24" ca="1">INDEX($A$2:$A$40,I24,1)</f>
        <v>Masculino</v>
      </c>
      <c r="N24" s="6" t="str" cm="1">
        <f t="array" aca="1" ref="N24" ca="1">INDEX($B$2:$B$40,I24,1)</f>
        <v>Afonso</v>
      </c>
      <c r="O24" s="6" t="str" cm="1">
        <f t="array" aca="1" ref="O24" ca="1">INDEX($B$2:$B$40,J24,1)</f>
        <v>Joaquim</v>
      </c>
      <c r="P24" s="6" t="str" cm="1">
        <f t="array" aca="1" ref="P24" ca="1">INDEX($E$2:$E$98,K24)</f>
        <v>Figueiredo</v>
      </c>
      <c r="Q24" s="6" t="str" cm="1">
        <f t="array" aca="1" ref="Q24" ca="1">INDEX($E$2:$E$98,L24)</f>
        <v>Pacheco</v>
      </c>
      <c r="S24" t="str">
        <f t="shared" ca="1" si="2"/>
        <v>Masculino</v>
      </c>
      <c r="T24" t="str">
        <f t="shared" ca="1" si="4"/>
        <v>Afonso Pacheco</v>
      </c>
    </row>
    <row r="25" spans="1:20" x14ac:dyDescent="0.25">
      <c r="A25" t="s">
        <v>66</v>
      </c>
      <c r="B25" t="s">
        <v>3740</v>
      </c>
      <c r="E25" t="s">
        <v>107</v>
      </c>
      <c r="I25">
        <f t="shared" ca="1" si="0"/>
        <v>4</v>
      </c>
      <c r="J25">
        <f t="shared" ca="1" si="0"/>
        <v>27</v>
      </c>
      <c r="K25">
        <f t="shared" ca="1" si="1"/>
        <v>94</v>
      </c>
      <c r="L25">
        <f t="shared" ca="1" si="1"/>
        <v>84</v>
      </c>
      <c r="M25" s="6" t="str" cm="1">
        <f t="array" aca="1" ref="M25" ca="1">INDEX($A$2:$A$40,I25,1)</f>
        <v>Feminino</v>
      </c>
      <c r="N25" s="6" t="str" cm="1">
        <f t="array" aca="1" ref="N25" ca="1">INDEX($B$2:$B$40,I25,1)</f>
        <v>Beatriz</v>
      </c>
      <c r="O25" s="6" t="str" cm="1">
        <f t="array" aca="1" ref="O25" ca="1">INDEX($B$2:$B$40,J25,1)</f>
        <v>Matilde</v>
      </c>
      <c r="P25" s="6" t="str" cm="1">
        <f t="array" aca="1" ref="P25" ca="1">INDEX($E$2:$E$98,K25)</f>
        <v>Paiva</v>
      </c>
      <c r="Q25" s="6" t="str" cm="1">
        <f t="array" aca="1" ref="Q25" ca="1">INDEX($E$2:$E$98,L25)</f>
        <v>Domingues</v>
      </c>
      <c r="S25" t="str">
        <f t="shared" ca="1" si="2"/>
        <v>Feminino</v>
      </c>
      <c r="T25" t="str">
        <f t="shared" ca="1" si="4"/>
        <v>Beatriz Domingues</v>
      </c>
    </row>
    <row r="26" spans="1:20" x14ac:dyDescent="0.25">
      <c r="A26" t="s">
        <v>66</v>
      </c>
      <c r="B26" t="s">
        <v>72</v>
      </c>
      <c r="E26" t="s">
        <v>123</v>
      </c>
      <c r="I26">
        <f t="shared" ca="1" si="0"/>
        <v>10</v>
      </c>
      <c r="J26">
        <f t="shared" ca="1" si="0"/>
        <v>27</v>
      </c>
      <c r="K26">
        <f t="shared" ca="1" si="1"/>
        <v>28</v>
      </c>
      <c r="L26">
        <f t="shared" ca="1" si="1"/>
        <v>97</v>
      </c>
      <c r="M26" s="6" t="str" cm="1">
        <f t="array" aca="1" ref="M26" ca="1">INDEX($A$2:$A$40,I26,1)</f>
        <v>Masculino</v>
      </c>
      <c r="N26" s="6" t="str" cm="1">
        <f t="array" aca="1" ref="N26" ca="1">INDEX($B$2:$B$40,I26,1)</f>
        <v>Diogo</v>
      </c>
      <c r="O26" s="6" t="str" cm="1">
        <f t="array" aca="1" ref="O26" ca="1">INDEX($B$2:$B$40,J26,1)</f>
        <v>Matilde</v>
      </c>
      <c r="P26" s="6" t="str" cm="1">
        <f t="array" aca="1" ref="P26" ca="1">INDEX($E$2:$E$98,K26)</f>
        <v>Jesus</v>
      </c>
      <c r="Q26" s="6" t="str" cm="1">
        <f t="array" aca="1" ref="Q26" ca="1">INDEX($E$2:$E$98,L26)</f>
        <v>Torres</v>
      </c>
      <c r="S26" t="str">
        <f t="shared" ca="1" si="2"/>
        <v>Masculino</v>
      </c>
      <c r="T26" t="str">
        <f t="shared" ca="1" si="4"/>
        <v>Diogo Torres</v>
      </c>
    </row>
    <row r="27" spans="1:20" x14ac:dyDescent="0.25">
      <c r="A27" t="s">
        <v>53</v>
      </c>
      <c r="B27" t="s">
        <v>59</v>
      </c>
      <c r="E27" t="s">
        <v>95</v>
      </c>
      <c r="I27">
        <f t="shared" ca="1" si="0"/>
        <v>37</v>
      </c>
      <c r="J27">
        <f t="shared" ca="1" si="0"/>
        <v>7</v>
      </c>
      <c r="K27">
        <f t="shared" ca="1" si="1"/>
        <v>61</v>
      </c>
      <c r="L27">
        <f t="shared" ca="1" si="1"/>
        <v>71</v>
      </c>
      <c r="M27" s="6" t="str" cm="1">
        <f t="array" aca="1" ref="M27" ca="1">INDEX($A$2:$A$40,I27,1)</f>
        <v>Feminino</v>
      </c>
      <c r="N27" s="6" t="str" cm="1">
        <f t="array" aca="1" ref="N27" ca="1">INDEX($B$2:$B$40,I27,1)</f>
        <v>Vera</v>
      </c>
      <c r="O27" s="6" t="str" cm="1">
        <f t="array" aca="1" ref="O27" ca="1">INDEX($B$2:$B$40,J27,1)</f>
        <v>Catarina</v>
      </c>
      <c r="P27" s="6" t="str" cm="1">
        <f t="array" aca="1" ref="P27" ca="1">INDEX($E$2:$E$98,K27)</f>
        <v>Morais</v>
      </c>
      <c r="Q27" s="6" t="str" cm="1">
        <f t="array" aca="1" ref="Q27" ca="1">INDEX($E$2:$E$98,L27)</f>
        <v>Nascimento</v>
      </c>
      <c r="S27" t="str">
        <f t="shared" ca="1" si="2"/>
        <v>Feminino</v>
      </c>
      <c r="T27" t="str">
        <f t="shared" ca="1" si="4"/>
        <v>Vera Nascimento</v>
      </c>
    </row>
    <row r="28" spans="1:20" x14ac:dyDescent="0.25">
      <c r="A28" t="s">
        <v>66</v>
      </c>
      <c r="B28" t="s">
        <v>69</v>
      </c>
      <c r="E28" t="s">
        <v>104</v>
      </c>
      <c r="I28">
        <f t="shared" ca="1" si="0"/>
        <v>24</v>
      </c>
      <c r="J28">
        <f t="shared" ca="1" si="0"/>
        <v>9</v>
      </c>
      <c r="K28">
        <f t="shared" ca="1" si="1"/>
        <v>24</v>
      </c>
      <c r="L28">
        <f t="shared" ca="1" si="1"/>
        <v>72</v>
      </c>
      <c r="M28" s="6" t="str" cm="1">
        <f t="array" aca="1" ref="M28" ca="1">INDEX($A$2:$A$40,I28,1)</f>
        <v>Feminino</v>
      </c>
      <c r="N28" s="6" t="str" cm="1">
        <f t="array" aca="1" ref="N28" ca="1">INDEX($B$2:$B$40,I28,1)</f>
        <v>Laura</v>
      </c>
      <c r="O28" s="6" t="str" cm="1">
        <f t="array" aca="1" ref="O28" ca="1">INDEX($B$2:$B$40,J28,1)</f>
        <v>Diana</v>
      </c>
      <c r="P28" s="6" t="str" cm="1">
        <f t="array" aca="1" ref="P28" ca="1">INDEX($E$2:$E$98,K28)</f>
        <v>Ribeiro</v>
      </c>
      <c r="Q28" s="6" t="str" cm="1">
        <f t="array" aca="1" ref="Q28" ca="1">INDEX($E$2:$E$98,L28)</f>
        <v>Leite</v>
      </c>
      <c r="S28" t="str">
        <f t="shared" ca="1" si="2"/>
        <v>Feminino</v>
      </c>
      <c r="T28" t="str">
        <f t="shared" ca="1" si="4"/>
        <v>Laura Leite</v>
      </c>
    </row>
    <row r="29" spans="1:20" x14ac:dyDescent="0.25">
      <c r="A29" t="s">
        <v>53</v>
      </c>
      <c r="B29" t="s">
        <v>62</v>
      </c>
      <c r="E29" t="s">
        <v>98</v>
      </c>
      <c r="I29">
        <f t="shared" ca="1" si="0"/>
        <v>12</v>
      </c>
      <c r="J29">
        <f t="shared" ca="1" si="0"/>
        <v>18</v>
      </c>
      <c r="K29">
        <f t="shared" ca="1" si="1"/>
        <v>48</v>
      </c>
      <c r="L29">
        <f t="shared" ca="1" si="1"/>
        <v>31</v>
      </c>
      <c r="M29" s="6" t="str" cm="1">
        <f t="array" aca="1" ref="M29" ca="1">INDEX($A$2:$A$40,I29,1)</f>
        <v>Feminino</v>
      </c>
      <c r="N29" s="6" t="str" cm="1">
        <f t="array" aca="1" ref="N29" ca="1">INDEX($B$2:$B$40,I29,1)</f>
        <v>Francisca</v>
      </c>
      <c r="O29" s="6" t="str" cm="1">
        <f t="array" aca="1" ref="O29" ca="1">INDEX($B$2:$B$40,J29,1)</f>
        <v>José</v>
      </c>
      <c r="P29" s="6" t="str" cm="1">
        <f t="array" aca="1" ref="P29" ca="1">INDEX($E$2:$E$98,K29)</f>
        <v>Castro</v>
      </c>
      <c r="Q29" s="6" t="str" cm="1">
        <f t="array" aca="1" ref="Q29" ca="1">INDEX($E$2:$E$98,L29)</f>
        <v>Oliveira</v>
      </c>
      <c r="S29" t="str">
        <f t="shared" ca="1" si="2"/>
        <v>Feminino</v>
      </c>
      <c r="T29" t="str">
        <f t="shared" ca="1" si="4"/>
        <v>Francisca Oliveira</v>
      </c>
    </row>
    <row r="30" spans="1:20" x14ac:dyDescent="0.25">
      <c r="A30" t="s">
        <v>53</v>
      </c>
      <c r="B30" t="s">
        <v>64</v>
      </c>
      <c r="E30" t="s">
        <v>100</v>
      </c>
      <c r="I30">
        <f t="shared" ca="1" si="0"/>
        <v>34</v>
      </c>
      <c r="J30">
        <f t="shared" ca="1" si="0"/>
        <v>35</v>
      </c>
      <c r="K30">
        <f t="shared" ca="1" si="1"/>
        <v>38</v>
      </c>
      <c r="L30">
        <f t="shared" ca="1" si="1"/>
        <v>60</v>
      </c>
      <c r="M30" s="6" t="str" cm="1">
        <f t="array" aca="1" ref="M30" ca="1">INDEX($A$2:$A$40,I30,1)</f>
        <v>Feminino</v>
      </c>
      <c r="N30" s="6" t="str" cm="1">
        <f t="array" aca="1" ref="N30" ca="1">INDEX($B$2:$B$40,I30,1)</f>
        <v>Sofia</v>
      </c>
      <c r="O30" s="6" t="str" cm="1">
        <f t="array" aca="1" ref="O30" ca="1">INDEX($B$2:$B$40,J30,1)</f>
        <v>Tiago</v>
      </c>
      <c r="P30" s="6" t="str" cm="1">
        <f t="array" aca="1" ref="P30" ca="1">INDEX($E$2:$E$98,K30)</f>
        <v>Reis</v>
      </c>
      <c r="Q30" s="6" t="str" cm="1">
        <f t="array" aca="1" ref="Q30" ca="1">INDEX($E$2:$E$98,L30)</f>
        <v>Barros</v>
      </c>
      <c r="S30" t="str">
        <f t="shared" ca="1" si="2"/>
        <v>Feminino</v>
      </c>
      <c r="T30" t="str">
        <f t="shared" ca="1" si="4"/>
        <v>Sofia Barros</v>
      </c>
    </row>
    <row r="31" spans="1:20" x14ac:dyDescent="0.25">
      <c r="A31" t="s">
        <v>53</v>
      </c>
      <c r="B31" t="s">
        <v>82</v>
      </c>
      <c r="E31" t="s">
        <v>117</v>
      </c>
      <c r="I31">
        <f t="shared" ca="1" si="0"/>
        <v>21</v>
      </c>
      <c r="J31">
        <f t="shared" ca="1" si="0"/>
        <v>17</v>
      </c>
      <c r="K31">
        <f t="shared" ca="1" si="1"/>
        <v>40</v>
      </c>
      <c r="L31">
        <f t="shared" ca="1" si="1"/>
        <v>29</v>
      </c>
      <c r="M31" s="6" t="str" cm="1">
        <f t="array" aca="1" ref="M31" ca="1">INDEX($A$2:$A$40,I31,1)</f>
        <v>Feminino</v>
      </c>
      <c r="N31" s="6" t="str" cm="1">
        <f t="array" aca="1" ref="N31" ca="1">INDEX($B$2:$B$40,I31,1)</f>
        <v>Lurdes</v>
      </c>
      <c r="O31" s="6" t="str" cm="1">
        <f t="array" aca="1" ref="O31" ca="1">INDEX($B$2:$B$40,J31,1)</f>
        <v>João</v>
      </c>
      <c r="P31" s="6" t="str" cm="1">
        <f t="array" aca="1" ref="P31" ca="1">INDEX($E$2:$E$98,K31)</f>
        <v>Antunes</v>
      </c>
      <c r="Q31" s="6" t="str" cm="1">
        <f t="array" aca="1" ref="Q31" ca="1">INDEX($E$2:$E$98,L31)</f>
        <v>Fernandes</v>
      </c>
      <c r="S31" t="str">
        <f t="shared" ca="1" si="2"/>
        <v>Feminino</v>
      </c>
      <c r="T31" t="str">
        <f t="shared" ca="1" si="4"/>
        <v>Lurdes Fernandes</v>
      </c>
    </row>
    <row r="32" spans="1:20" x14ac:dyDescent="0.25">
      <c r="A32" t="s">
        <v>53</v>
      </c>
      <c r="B32" t="s">
        <v>58</v>
      </c>
      <c r="E32" t="s">
        <v>94</v>
      </c>
      <c r="I32">
        <f t="shared" ca="1" si="0"/>
        <v>5</v>
      </c>
      <c r="J32">
        <f t="shared" ca="1" si="0"/>
        <v>34</v>
      </c>
      <c r="K32">
        <f t="shared" ca="1" si="1"/>
        <v>23</v>
      </c>
      <c r="L32">
        <f t="shared" ca="1" si="1"/>
        <v>59</v>
      </c>
      <c r="M32" s="6" t="str" cm="1">
        <f t="array" aca="1" ref="M32" ca="1">INDEX($A$2:$A$40,I32,1)</f>
        <v>Masculino</v>
      </c>
      <c r="N32" s="6" t="str" cm="1">
        <f t="array" aca="1" ref="N32" ca="1">INDEX($B$2:$B$40,I32,1)</f>
        <v>Bruno</v>
      </c>
      <c r="O32" s="6" t="str" cm="1">
        <f t="array" aca="1" ref="O32" ca="1">INDEX($B$2:$B$40,J32,1)</f>
        <v>Sofia</v>
      </c>
      <c r="P32" s="6" t="str" cm="1">
        <f t="array" aca="1" ref="P32" ca="1">INDEX($E$2:$E$98,K32)</f>
        <v>Gomes</v>
      </c>
      <c r="Q32" s="6" t="str" cm="1">
        <f t="array" aca="1" ref="Q32" ca="1">INDEX($E$2:$E$98,L32)</f>
        <v>Miranda</v>
      </c>
      <c r="S32" t="str">
        <f t="shared" ca="1" si="2"/>
        <v>Masculino</v>
      </c>
      <c r="T32" t="str">
        <f t="shared" ca="1" si="4"/>
        <v>Bruno Miranda</v>
      </c>
    </row>
    <row r="33" spans="1:20" x14ac:dyDescent="0.25">
      <c r="A33" t="s">
        <v>53</v>
      </c>
      <c r="B33" t="s">
        <v>54</v>
      </c>
      <c r="E33" t="s">
        <v>90</v>
      </c>
      <c r="I33">
        <f t="shared" ca="1" si="0"/>
        <v>35</v>
      </c>
      <c r="J33">
        <f t="shared" ca="1" si="0"/>
        <v>21</v>
      </c>
      <c r="K33">
        <f t="shared" ca="1" si="1"/>
        <v>58</v>
      </c>
      <c r="L33">
        <f t="shared" ca="1" si="1"/>
        <v>15</v>
      </c>
      <c r="M33" s="6" t="str" cm="1">
        <f t="array" aca="1" ref="M33" ca="1">INDEX($A$2:$A$40,I33,1)</f>
        <v>Masculino</v>
      </c>
      <c r="N33" s="6" t="str" cm="1">
        <f t="array" aca="1" ref="N33" ca="1">INDEX($B$2:$B$40,I33,1)</f>
        <v>Tiago</v>
      </c>
      <c r="O33" s="6" t="str" cm="1">
        <f t="array" aca="1" ref="O33" ca="1">INDEX($B$2:$B$40,J33,1)</f>
        <v>Lurdes</v>
      </c>
      <c r="P33" s="6" t="str" cm="1">
        <f t="array" aca="1" ref="P33" ca="1">INDEX($E$2:$E$98,K33)</f>
        <v>Faria</v>
      </c>
      <c r="Q33" s="6" t="str" cm="1">
        <f t="array" aca="1" ref="Q33" ca="1">INDEX($E$2:$E$98,L33)</f>
        <v>Moreira</v>
      </c>
      <c r="S33" t="str">
        <f t="shared" ca="1" si="2"/>
        <v>Masculino</v>
      </c>
      <c r="T33" t="str">
        <f t="shared" ca="1" si="4"/>
        <v>Tiago Moreira</v>
      </c>
    </row>
    <row r="34" spans="1:20" x14ac:dyDescent="0.25">
      <c r="A34" t="s">
        <v>66</v>
      </c>
      <c r="B34" t="s">
        <v>86</v>
      </c>
      <c r="E34" t="s">
        <v>124</v>
      </c>
      <c r="I34">
        <f t="shared" ca="1" si="0"/>
        <v>33</v>
      </c>
      <c r="J34">
        <f t="shared" ca="1" si="0"/>
        <v>32</v>
      </c>
      <c r="K34">
        <f t="shared" ca="1" si="1"/>
        <v>9</v>
      </c>
      <c r="L34">
        <f t="shared" ca="1" si="1"/>
        <v>20</v>
      </c>
      <c r="M34" s="6" t="str" cm="1">
        <f t="array" aca="1" ref="M34" ca="1">INDEX($A$2:$A$40,I34,1)</f>
        <v>Feminino</v>
      </c>
      <c r="N34" s="6" t="str" cm="1">
        <f t="array" aca="1" ref="N34" ca="1">INDEX($B$2:$B$40,I34,1)</f>
        <v>Sara</v>
      </c>
      <c r="O34" s="6" t="str" cm="1">
        <f t="array" aca="1" ref="O34" ca="1">INDEX($B$2:$B$40,J34,1)</f>
        <v>Santiago</v>
      </c>
      <c r="P34" s="6" t="str" cm="1">
        <f t="array" aca="1" ref="P34" ca="1">INDEX($E$2:$E$98,K34)</f>
        <v>Ramos</v>
      </c>
      <c r="Q34" s="6" t="str" cm="1">
        <f t="array" aca="1" ref="Q34" ca="1">INDEX($E$2:$E$98,L34)</f>
        <v>Cardoso</v>
      </c>
      <c r="S34" t="str">
        <f t="shared" ca="1" si="2"/>
        <v>Feminino</v>
      </c>
      <c r="T34" t="str">
        <f t="shared" ca="1" si="4"/>
        <v>Sara Cardoso</v>
      </c>
    </row>
    <row r="35" spans="1:20" x14ac:dyDescent="0.25">
      <c r="A35" t="s">
        <v>66</v>
      </c>
      <c r="B35" t="s">
        <v>74</v>
      </c>
      <c r="E35" t="s">
        <v>109</v>
      </c>
      <c r="I35">
        <f t="shared" ca="1" si="0"/>
        <v>2</v>
      </c>
      <c r="J35">
        <f t="shared" ca="1" si="0"/>
        <v>34</v>
      </c>
      <c r="K35">
        <f t="shared" ca="1" si="1"/>
        <v>73</v>
      </c>
      <c r="L35">
        <f t="shared" ca="1" si="1"/>
        <v>42</v>
      </c>
      <c r="M35" s="6" t="str" cm="1">
        <f t="array" aca="1" ref="M35" ca="1">INDEX($A$2:$A$40,I35,1)</f>
        <v>Feminino</v>
      </c>
      <c r="N35" s="6" t="str" cm="1">
        <f t="array" aca="1" ref="N35" ca="1">INDEX($B$2:$B$40,I35,1)</f>
        <v>Ana</v>
      </c>
      <c r="O35" s="6" t="str" cm="1">
        <f t="array" aca="1" ref="O35" ca="1">INDEX($B$2:$B$40,J35,1)</f>
        <v>Sofia</v>
      </c>
      <c r="P35" s="6" t="str" cm="1">
        <f t="array" aca="1" ref="P35" ca="1">INDEX($E$2:$E$98,K35)</f>
        <v>Abreu</v>
      </c>
      <c r="Q35" s="6" t="str" cm="1">
        <f t="array" aca="1" ref="Q35" ca="1">INDEX($E$2:$E$98,L35)</f>
        <v>Fonseca</v>
      </c>
      <c r="S35" t="str">
        <f t="shared" ca="1" si="2"/>
        <v>Feminino</v>
      </c>
      <c r="T35" t="str">
        <f ca="1">N35 &amp; " " &amp; P35 &amp; " " &amp; Q35</f>
        <v>Ana Abreu Fonseca</v>
      </c>
    </row>
    <row r="36" spans="1:20" x14ac:dyDescent="0.25">
      <c r="A36" t="s">
        <v>53</v>
      </c>
      <c r="B36" t="s">
        <v>78</v>
      </c>
      <c r="E36" t="s">
        <v>113</v>
      </c>
      <c r="I36">
        <f t="shared" ca="1" si="0"/>
        <v>8</v>
      </c>
      <c r="J36">
        <f t="shared" ca="1" si="0"/>
        <v>7</v>
      </c>
      <c r="K36">
        <f t="shared" ca="1" si="1"/>
        <v>97</v>
      </c>
      <c r="L36">
        <f t="shared" ca="1" si="1"/>
        <v>95</v>
      </c>
      <c r="M36" s="6" t="str" cm="1">
        <f t="array" aca="1" ref="M36" ca="1">INDEX($A$2:$A$40,I36,1)</f>
        <v>Feminino</v>
      </c>
      <c r="N36" s="6" t="str" cm="1">
        <f t="array" aca="1" ref="N36" ca="1">INDEX($B$2:$B$40,I36,1)</f>
        <v>Daniela</v>
      </c>
      <c r="O36" s="6" t="str" cm="1">
        <f t="array" aca="1" ref="O36" ca="1">INDEX($B$2:$B$40,J36,1)</f>
        <v>Catarina</v>
      </c>
      <c r="P36" s="6" t="str" cm="1">
        <f t="array" aca="1" ref="P36" ca="1">INDEX($E$2:$E$98,K36)</f>
        <v>Torres</v>
      </c>
      <c r="Q36" s="6" t="str" cm="1">
        <f t="array" aca="1" ref="Q36" ca="1">INDEX($E$2:$E$98,L36)</f>
        <v>Matias</v>
      </c>
      <c r="S36" t="str">
        <f t="shared" ca="1" si="2"/>
        <v>Feminino</v>
      </c>
      <c r="T36" t="str">
        <f t="shared" ref="T36:T51" ca="1" si="5">N36 &amp; " " &amp; P36 &amp; " " &amp; Q36</f>
        <v>Daniela Torres Matias</v>
      </c>
    </row>
    <row r="37" spans="1:20" x14ac:dyDescent="0.25">
      <c r="A37" t="s">
        <v>53</v>
      </c>
      <c r="B37" t="s">
        <v>60</v>
      </c>
      <c r="E37" t="s">
        <v>96</v>
      </c>
      <c r="I37">
        <f t="shared" ca="1" si="0"/>
        <v>29</v>
      </c>
      <c r="J37">
        <f t="shared" ca="1" si="0"/>
        <v>1</v>
      </c>
      <c r="K37">
        <f t="shared" ca="1" si="1"/>
        <v>60</v>
      </c>
      <c r="L37">
        <f t="shared" ca="1" si="1"/>
        <v>84</v>
      </c>
      <c r="M37" s="6" t="str" cm="1">
        <f t="array" aca="1" ref="M37" ca="1">INDEX($A$2:$A$40,I37,1)</f>
        <v>Masculino</v>
      </c>
      <c r="N37" s="6" t="str" cm="1">
        <f t="array" aca="1" ref="N37" ca="1">INDEX($B$2:$B$40,I37,1)</f>
        <v>Pedro</v>
      </c>
      <c r="O37" s="6" t="str" cm="1">
        <f t="array" aca="1" ref="O37" ca="1">INDEX($B$2:$B$40,J37,1)</f>
        <v>Afonso</v>
      </c>
      <c r="P37" s="6" t="str" cm="1">
        <f t="array" aca="1" ref="P37" ca="1">INDEX($E$2:$E$98,K37)</f>
        <v>Barros</v>
      </c>
      <c r="Q37" s="6" t="str" cm="1">
        <f t="array" aca="1" ref="Q37" ca="1">INDEX($E$2:$E$98,L37)</f>
        <v>Domingues</v>
      </c>
      <c r="S37" t="str">
        <f t="shared" ca="1" si="2"/>
        <v>Masculino</v>
      </c>
      <c r="T37" t="str">
        <f t="shared" ca="1" si="5"/>
        <v>Pedro Barros Domingues</v>
      </c>
    </row>
    <row r="38" spans="1:20" x14ac:dyDescent="0.25">
      <c r="A38" t="s">
        <v>66</v>
      </c>
      <c r="B38" t="s">
        <v>191</v>
      </c>
      <c r="E38" t="s">
        <v>119</v>
      </c>
      <c r="I38">
        <f t="shared" ca="1" si="0"/>
        <v>31</v>
      </c>
      <c r="J38">
        <f t="shared" ca="1" si="0"/>
        <v>28</v>
      </c>
      <c r="K38">
        <f t="shared" ca="1" si="1"/>
        <v>22</v>
      </c>
      <c r="L38">
        <f t="shared" ca="1" si="1"/>
        <v>26</v>
      </c>
      <c r="M38" s="6" t="str" cm="1">
        <f t="array" aca="1" ref="M38" ca="1">INDEX($A$2:$A$40,I38,1)</f>
        <v>Masculino</v>
      </c>
      <c r="N38" s="6" t="str" cm="1">
        <f t="array" aca="1" ref="N38" ca="1">INDEX($B$2:$B$40,I38,1)</f>
        <v>Rodrigo</v>
      </c>
      <c r="O38" s="6" t="str" cm="1">
        <f t="array" aca="1" ref="O38" ca="1">INDEX($B$2:$B$40,J38,1)</f>
        <v>Miguel</v>
      </c>
      <c r="P38" s="6" t="str" cm="1">
        <f t="array" aca="1" ref="P38" ca="1">INDEX($E$2:$E$98,K38)</f>
        <v>Gonçalves</v>
      </c>
      <c r="Q38" s="6" t="str" cm="1">
        <f t="array" aca="1" ref="Q38" ca="1">INDEX($E$2:$E$98,L38)</f>
        <v>Costa</v>
      </c>
      <c r="S38" t="str">
        <f t="shared" ca="1" si="2"/>
        <v>Masculino</v>
      </c>
      <c r="T38" t="str">
        <f t="shared" ca="1" si="5"/>
        <v>Rodrigo Gonçalves Costa</v>
      </c>
    </row>
    <row r="39" spans="1:20" x14ac:dyDescent="0.25">
      <c r="A39" t="s">
        <v>53</v>
      </c>
      <c r="B39" t="s">
        <v>3739</v>
      </c>
      <c r="E39" t="s">
        <v>127</v>
      </c>
      <c r="I39">
        <f t="shared" ca="1" si="0"/>
        <v>11</v>
      </c>
      <c r="J39">
        <f t="shared" ca="1" si="0"/>
        <v>34</v>
      </c>
      <c r="K39">
        <f t="shared" ca="1" si="1"/>
        <v>22</v>
      </c>
      <c r="L39">
        <f t="shared" ca="1" si="1"/>
        <v>94</v>
      </c>
      <c r="M39" s="6" t="str" cm="1">
        <f t="array" aca="1" ref="M39" ca="1">INDEX($A$2:$A$40,I39,1)</f>
        <v>Masculino</v>
      </c>
      <c r="N39" s="6" t="str" cm="1">
        <f t="array" aca="1" ref="N39" ca="1">INDEX($B$2:$B$40,I39,1)</f>
        <v>Duarte</v>
      </c>
      <c r="O39" s="6" t="str" cm="1">
        <f t="array" aca="1" ref="O39" ca="1">INDEX($B$2:$B$40,J39,1)</f>
        <v>Sofia</v>
      </c>
      <c r="P39" s="6" t="str" cm="1">
        <f t="array" aca="1" ref="P39" ca="1">INDEX($E$2:$E$98,K39)</f>
        <v>Gonçalves</v>
      </c>
      <c r="Q39" s="6" t="str" cm="1">
        <f t="array" aca="1" ref="Q39" ca="1">INDEX($E$2:$E$98,L39)</f>
        <v>Paiva</v>
      </c>
      <c r="S39" t="str">
        <f t="shared" ca="1" si="2"/>
        <v>Masculino</v>
      </c>
      <c r="T39" t="str">
        <f t="shared" ca="1" si="5"/>
        <v>Duarte Gonçalves Paiva</v>
      </c>
    </row>
    <row r="40" spans="1:20" x14ac:dyDescent="0.25">
      <c r="A40" t="s">
        <v>66</v>
      </c>
      <c r="B40" t="s">
        <v>3741</v>
      </c>
      <c r="E40" t="s">
        <v>128</v>
      </c>
      <c r="I40">
        <f t="shared" ca="1" si="0"/>
        <v>6</v>
      </c>
      <c r="J40">
        <f t="shared" ca="1" si="0"/>
        <v>14</v>
      </c>
      <c r="K40">
        <f t="shared" ca="1" si="1"/>
        <v>58</v>
      </c>
      <c r="L40">
        <f t="shared" ca="1" si="1"/>
        <v>87</v>
      </c>
      <c r="M40" s="6" t="str" cm="1">
        <f t="array" aca="1" ref="M40" ca="1">INDEX($A$2:$A$40,I40,1)</f>
        <v>Feminino</v>
      </c>
      <c r="N40" s="6" t="str" cm="1">
        <f t="array" aca="1" ref="N40" ca="1">INDEX($B$2:$B$40,I40,1)</f>
        <v>Carolina</v>
      </c>
      <c r="O40" s="6" t="str" cm="1">
        <f t="array" aca="1" ref="O40" ca="1">INDEX($B$2:$B$40,J40,1)</f>
        <v>Gabriel</v>
      </c>
      <c r="P40" s="6" t="str" cm="1">
        <f t="array" aca="1" ref="P40" ca="1">INDEX($E$2:$E$98,K40)</f>
        <v>Faria</v>
      </c>
      <c r="Q40" s="6" t="str" cm="1">
        <f t="array" aca="1" ref="Q40" ca="1">INDEX($E$2:$E$98,L40)</f>
        <v>Loureiro</v>
      </c>
      <c r="S40" t="str">
        <f t="shared" ca="1" si="2"/>
        <v>Feminino</v>
      </c>
      <c r="T40" t="str">
        <f t="shared" ca="1" si="5"/>
        <v>Carolina Faria Loureiro</v>
      </c>
    </row>
    <row r="41" spans="1:20" x14ac:dyDescent="0.25">
      <c r="E41" t="s">
        <v>129</v>
      </c>
      <c r="I41">
        <f t="shared" ca="1" si="0"/>
        <v>26</v>
      </c>
      <c r="J41">
        <f t="shared" ca="1" si="0"/>
        <v>14</v>
      </c>
      <c r="K41">
        <f t="shared" ca="1" si="1"/>
        <v>39</v>
      </c>
      <c r="L41">
        <f t="shared" ca="1" si="1"/>
        <v>90</v>
      </c>
      <c r="M41" s="6" t="str" cm="1">
        <f t="array" aca="1" ref="M41" ca="1">INDEX($A$2:$A$40,I41,1)</f>
        <v>Masculino</v>
      </c>
      <c r="N41" s="6" t="str" cm="1">
        <f t="array" aca="1" ref="N41" ca="1">INDEX($B$2:$B$40,I41,1)</f>
        <v>Martim</v>
      </c>
      <c r="O41" s="6" t="str" cm="1">
        <f t="array" aca="1" ref="O41" ca="1">INDEX($B$2:$B$40,J41,1)</f>
        <v>Gabriel</v>
      </c>
      <c r="P41" s="6" t="str" cm="1">
        <f t="array" aca="1" ref="P41" ca="1">INDEX($E$2:$E$98,K41)</f>
        <v>Simões</v>
      </c>
      <c r="Q41" s="6" t="str" cm="1">
        <f t="array" aca="1" ref="Q41" ca="1">INDEX($E$2:$E$98,L41)</f>
        <v>Branco</v>
      </c>
      <c r="S41" t="str">
        <f t="shared" ca="1" si="2"/>
        <v>Masculino</v>
      </c>
      <c r="T41" t="str">
        <f t="shared" ca="1" si="5"/>
        <v>Martim Simões Branco</v>
      </c>
    </row>
    <row r="42" spans="1:20" x14ac:dyDescent="0.25">
      <c r="E42" t="s">
        <v>130</v>
      </c>
      <c r="I42">
        <f t="shared" ca="1" si="0"/>
        <v>10</v>
      </c>
      <c r="J42">
        <f t="shared" ca="1" si="0"/>
        <v>4</v>
      </c>
      <c r="K42">
        <f t="shared" ca="1" si="1"/>
        <v>35</v>
      </c>
      <c r="L42">
        <f t="shared" ca="1" si="1"/>
        <v>37</v>
      </c>
      <c r="M42" s="6" t="str" cm="1">
        <f t="array" aca="1" ref="M42" ca="1">INDEX($A$2:$A$40,I42,1)</f>
        <v>Masculino</v>
      </c>
      <c r="N42" s="6" t="str" cm="1">
        <f t="array" aca="1" ref="N42" ca="1">INDEX($B$2:$B$40,I42,1)</f>
        <v>Diogo</v>
      </c>
      <c r="O42" s="6" t="str" cm="1">
        <f t="array" aca="1" ref="O42" ca="1">INDEX($B$2:$B$40,J42,1)</f>
        <v>Beatriz</v>
      </c>
      <c r="P42" s="6" t="str" cm="1">
        <f t="array" aca="1" ref="P42" ca="1">INDEX($E$2:$E$98,K42)</f>
        <v>Mendes</v>
      </c>
      <c r="Q42" s="6" t="str" cm="1">
        <f t="array" aca="1" ref="Q42" ca="1">INDEX($E$2:$E$98,L42)</f>
        <v>Rocha</v>
      </c>
      <c r="S42" t="str">
        <f t="shared" ca="1" si="2"/>
        <v>Masculino</v>
      </c>
      <c r="T42" t="str">
        <f t="shared" ca="1" si="5"/>
        <v>Diogo Mendes Rocha</v>
      </c>
    </row>
    <row r="43" spans="1:20" x14ac:dyDescent="0.25">
      <c r="E43" t="s">
        <v>131</v>
      </c>
      <c r="I43">
        <f t="shared" ca="1" si="0"/>
        <v>26</v>
      </c>
      <c r="J43">
        <f t="shared" ca="1" si="0"/>
        <v>35</v>
      </c>
      <c r="K43">
        <f t="shared" ca="1" si="1"/>
        <v>91</v>
      </c>
      <c r="L43">
        <f t="shared" ca="1" si="1"/>
        <v>14</v>
      </c>
      <c r="M43" s="6" t="str" cm="1">
        <f t="array" aca="1" ref="M43" ca="1">INDEX($A$2:$A$40,I43,1)</f>
        <v>Masculino</v>
      </c>
      <c r="N43" s="6" t="str" cm="1">
        <f t="array" aca="1" ref="N43" ca="1">INDEX($B$2:$B$40,I43,1)</f>
        <v>Martim</v>
      </c>
      <c r="O43" s="6" t="str" cm="1">
        <f t="array" aca="1" ref="O43" ca="1">INDEX($B$2:$B$40,J43,1)</f>
        <v>Tiago</v>
      </c>
      <c r="P43" s="6" t="str" cm="1">
        <f t="array" aca="1" ref="P43" ca="1">INDEX($E$2:$E$98,K43)</f>
        <v>Leal</v>
      </c>
      <c r="Q43" s="6" t="str" cm="1">
        <f t="array" aca="1" ref="Q43" ca="1">INDEX($E$2:$E$98,L43)</f>
        <v>Sousa</v>
      </c>
      <c r="S43" t="str">
        <f t="shared" ca="1" si="2"/>
        <v>Masculino</v>
      </c>
      <c r="T43" t="str">
        <f t="shared" ca="1" si="5"/>
        <v>Martim Leal Sousa</v>
      </c>
    </row>
    <row r="44" spans="1:20" x14ac:dyDescent="0.25">
      <c r="E44" t="s">
        <v>132</v>
      </c>
      <c r="I44">
        <f t="shared" ca="1" si="0"/>
        <v>12</v>
      </c>
      <c r="J44">
        <f t="shared" ca="1" si="0"/>
        <v>14</v>
      </c>
      <c r="K44">
        <f t="shared" ca="1" si="1"/>
        <v>92</v>
      </c>
      <c r="L44">
        <f t="shared" ca="1" si="1"/>
        <v>74</v>
      </c>
      <c r="M44" s="6" t="str" cm="1">
        <f t="array" aca="1" ref="M44" ca="1">INDEX($A$2:$A$40,I44,1)</f>
        <v>Feminino</v>
      </c>
      <c r="N44" s="6" t="str" cm="1">
        <f t="array" aca="1" ref="N44" ca="1">INDEX($B$2:$B$40,I44,1)</f>
        <v>Francisca</v>
      </c>
      <c r="O44" s="6" t="str" cm="1">
        <f t="array" aca="1" ref="O44" ca="1">INDEX($B$2:$B$40,J44,1)</f>
        <v>Gabriel</v>
      </c>
      <c r="P44" s="6" t="str" cm="1">
        <f t="array" aca="1" ref="P44" ca="1">INDEX($E$2:$E$98,K44)</f>
        <v>Pacheco</v>
      </c>
      <c r="Q44" s="6" t="str" cm="1">
        <f t="array" aca="1" ref="Q44" ca="1">INDEX($E$2:$E$98,L44)</f>
        <v>Borges</v>
      </c>
      <c r="S44" t="str">
        <f t="shared" ca="1" si="2"/>
        <v>Feminino</v>
      </c>
      <c r="T44" t="str">
        <f t="shared" ca="1" si="5"/>
        <v>Francisca Pacheco Borges</v>
      </c>
    </row>
    <row r="45" spans="1:20" x14ac:dyDescent="0.25">
      <c r="E45" t="s">
        <v>133</v>
      </c>
      <c r="I45">
        <f t="shared" ca="1" si="0"/>
        <v>10</v>
      </c>
      <c r="J45">
        <f t="shared" ca="1" si="0"/>
        <v>5</v>
      </c>
      <c r="K45">
        <f t="shared" ca="1" si="1"/>
        <v>11</v>
      </c>
      <c r="L45">
        <f t="shared" ca="1" si="1"/>
        <v>79</v>
      </c>
      <c r="M45" s="6" t="str" cm="1">
        <f t="array" aca="1" ref="M45" ca="1">INDEX($A$2:$A$40,I45,1)</f>
        <v>Masculino</v>
      </c>
      <c r="N45" s="6" t="str" cm="1">
        <f t="array" aca="1" ref="N45" ca="1">INDEX($B$2:$B$40,I45,1)</f>
        <v>Diogo</v>
      </c>
      <c r="O45" s="6" t="str" cm="1">
        <f t="array" aca="1" ref="O45" ca="1">INDEX($B$2:$B$40,J45,1)</f>
        <v>Bruno</v>
      </c>
      <c r="P45" s="6" t="str" cm="1">
        <f t="array" aca="1" ref="P45" ca="1">INDEX($E$2:$E$98,K45)</f>
        <v>Martins</v>
      </c>
      <c r="Q45" s="6" t="str" cm="1">
        <f t="array" aca="1" ref="Q45" ca="1">INDEX($E$2:$E$98,L45)</f>
        <v>Gaspar</v>
      </c>
      <c r="S45" t="str">
        <f t="shared" ca="1" si="2"/>
        <v>Masculino</v>
      </c>
      <c r="T45" t="str">
        <f t="shared" ca="1" si="5"/>
        <v>Diogo Martins Gaspar</v>
      </c>
    </row>
    <row r="46" spans="1:20" x14ac:dyDescent="0.25">
      <c r="E46" t="s">
        <v>134</v>
      </c>
      <c r="I46">
        <f t="shared" ca="1" si="0"/>
        <v>36</v>
      </c>
      <c r="J46">
        <f t="shared" ca="1" si="0"/>
        <v>16</v>
      </c>
      <c r="K46">
        <f t="shared" ca="1" si="1"/>
        <v>53</v>
      </c>
      <c r="L46">
        <f t="shared" ca="1" si="1"/>
        <v>85</v>
      </c>
      <c r="M46" s="6" t="str" cm="1">
        <f t="array" aca="1" ref="M46" ca="1">INDEX($A$2:$A$40,I46,1)</f>
        <v>Masculino</v>
      </c>
      <c r="N46" s="6" t="str" cm="1">
        <f t="array" aca="1" ref="N46" ca="1">INDEX($B$2:$B$40,I46,1)</f>
        <v>Tomás</v>
      </c>
      <c r="O46" s="6" t="str" cm="1">
        <f t="array" aca="1" ref="O46" ca="1">INDEX($B$2:$B$40,J46,1)</f>
        <v>Joana</v>
      </c>
      <c r="P46" s="6" t="str" cm="1">
        <f t="array" aca="1" ref="P46" ca="1">INDEX($E$2:$E$98,K46)</f>
        <v>Henriques</v>
      </c>
      <c r="Q46" s="6" t="str" cm="1">
        <f t="array" aca="1" ref="Q46" ca="1">INDEX($E$2:$E$98,L46)</f>
        <v>Garcia</v>
      </c>
      <c r="S46" t="str">
        <f t="shared" ca="1" si="2"/>
        <v>Masculino</v>
      </c>
      <c r="T46" t="str">
        <f t="shared" ca="1" si="5"/>
        <v>Tomás Henriques Garcia</v>
      </c>
    </row>
    <row r="47" spans="1:20" x14ac:dyDescent="0.25">
      <c r="E47" t="s">
        <v>135</v>
      </c>
      <c r="I47">
        <f t="shared" ca="1" si="0"/>
        <v>13</v>
      </c>
      <c r="J47">
        <f t="shared" ca="1" si="0"/>
        <v>23</v>
      </c>
      <c r="K47">
        <f t="shared" ca="1" si="1"/>
        <v>8</v>
      </c>
      <c r="L47">
        <f t="shared" ca="1" si="1"/>
        <v>12</v>
      </c>
      <c r="M47" s="6" t="str" cm="1">
        <f t="array" aca="1" ref="M47" ca="1">INDEX($A$2:$A$40,I47,1)</f>
        <v>Masculino</v>
      </c>
      <c r="N47" s="6" t="str" cm="1">
        <f t="array" aca="1" ref="N47" ca="1">INDEX($B$2:$B$40,I47,1)</f>
        <v>Francisco</v>
      </c>
      <c r="O47" s="6" t="str" cm="1">
        <f t="array" aca="1" ref="O47" ca="1">INDEX($B$2:$B$40,J47,1)</f>
        <v>Maria</v>
      </c>
      <c r="P47" s="6" t="str" cm="1">
        <f t="array" aca="1" ref="P47" ca="1">INDEX($E$2:$E$98,K47)</f>
        <v>Pires</v>
      </c>
      <c r="Q47" s="6" t="str" cm="1">
        <f t="array" aca="1" ref="Q47" ca="1">INDEX($E$2:$E$98,L47)</f>
        <v>Teixeira</v>
      </c>
      <c r="S47" t="str">
        <f t="shared" ca="1" si="2"/>
        <v>Masculino</v>
      </c>
      <c r="T47" t="str">
        <f t="shared" ca="1" si="5"/>
        <v>Francisco Pires Teixeira</v>
      </c>
    </row>
    <row r="48" spans="1:20" x14ac:dyDescent="0.25">
      <c r="E48" t="s">
        <v>136</v>
      </c>
      <c r="I48">
        <f t="shared" ca="1" si="0"/>
        <v>30</v>
      </c>
      <c r="J48">
        <f t="shared" ca="1" si="0"/>
        <v>31</v>
      </c>
      <c r="K48">
        <f t="shared" ca="1" si="1"/>
        <v>94</v>
      </c>
      <c r="L48">
        <f t="shared" ca="1" si="1"/>
        <v>19</v>
      </c>
      <c r="M48" s="6" t="str" cm="1">
        <f t="array" aca="1" ref="M48" ca="1">INDEX($A$2:$A$40,I48,1)</f>
        <v>Masculino</v>
      </c>
      <c r="N48" s="6" t="str" cm="1">
        <f t="array" aca="1" ref="N48" ca="1">INDEX($B$2:$B$40,I48,1)</f>
        <v>Ricardo</v>
      </c>
      <c r="O48" s="6" t="str" cm="1">
        <f t="array" aca="1" ref="O48" ca="1">INDEX($B$2:$B$40,J48,1)</f>
        <v>Rodrigo</v>
      </c>
      <c r="P48" s="6" t="str" cm="1">
        <f t="array" aca="1" ref="P48" ca="1">INDEX($E$2:$E$98,K48)</f>
        <v>Paiva</v>
      </c>
      <c r="Q48" s="6" t="str" cm="1">
        <f t="array" aca="1" ref="Q48" ca="1">INDEX($E$2:$E$98,L48)</f>
        <v>Lopes</v>
      </c>
      <c r="S48" t="str">
        <f t="shared" ca="1" si="2"/>
        <v>Masculino</v>
      </c>
      <c r="T48" t="str">
        <f t="shared" ca="1" si="5"/>
        <v>Ricardo Paiva Lopes</v>
      </c>
    </row>
    <row r="49" spans="5:20" x14ac:dyDescent="0.25">
      <c r="E49" t="s">
        <v>137</v>
      </c>
      <c r="I49">
        <f t="shared" ca="1" si="0"/>
        <v>1</v>
      </c>
      <c r="J49">
        <f t="shared" ca="1" si="0"/>
        <v>36</v>
      </c>
      <c r="K49">
        <f t="shared" ca="1" si="1"/>
        <v>84</v>
      </c>
      <c r="L49">
        <f t="shared" ca="1" si="1"/>
        <v>48</v>
      </c>
      <c r="M49" s="6" t="str" cm="1">
        <f t="array" aca="1" ref="M49" ca="1">INDEX($A$2:$A$40,I49,1)</f>
        <v>Masculino</v>
      </c>
      <c r="N49" s="6" t="str" cm="1">
        <f t="array" aca="1" ref="N49" ca="1">INDEX($B$2:$B$40,I49,1)</f>
        <v>Afonso</v>
      </c>
      <c r="O49" s="6" t="str" cm="1">
        <f t="array" aca="1" ref="O49" ca="1">INDEX($B$2:$B$40,J49,1)</f>
        <v>Tomás</v>
      </c>
      <c r="P49" s="6" t="str" cm="1">
        <f t="array" aca="1" ref="P49" ca="1">INDEX($E$2:$E$98,K49)</f>
        <v>Domingues</v>
      </c>
      <c r="Q49" s="6" t="str" cm="1">
        <f t="array" aca="1" ref="Q49" ca="1">INDEX($E$2:$E$98,L49)</f>
        <v>Castro</v>
      </c>
      <c r="S49" t="str">
        <f t="shared" ca="1" si="2"/>
        <v>Masculino</v>
      </c>
      <c r="T49" t="str">
        <f t="shared" ca="1" si="5"/>
        <v>Afonso Domingues Castro</v>
      </c>
    </row>
    <row r="50" spans="5:20" x14ac:dyDescent="0.25">
      <c r="E50" t="s">
        <v>138</v>
      </c>
      <c r="I50">
        <f t="shared" ca="1" si="0"/>
        <v>35</v>
      </c>
      <c r="J50">
        <f t="shared" ca="1" si="0"/>
        <v>5</v>
      </c>
      <c r="K50">
        <f t="shared" ca="1" si="1"/>
        <v>94</v>
      </c>
      <c r="L50">
        <f t="shared" ca="1" si="1"/>
        <v>55</v>
      </c>
      <c r="M50" s="6" t="str" cm="1">
        <f t="array" aca="1" ref="M50" ca="1">INDEX($A$2:$A$40,I50,1)</f>
        <v>Masculino</v>
      </c>
      <c r="N50" s="6" t="str" cm="1">
        <f t="array" aca="1" ref="N50" ca="1">INDEX($B$2:$B$40,I50,1)</f>
        <v>Tiago</v>
      </c>
      <c r="O50" s="6" t="str" cm="1">
        <f t="array" aca="1" ref="O50" ca="1">INDEX($B$2:$B$40,J50,1)</f>
        <v>Bruno</v>
      </c>
      <c r="P50" s="6" t="str" cm="1">
        <f t="array" aca="1" ref="P50" ca="1">INDEX($E$2:$E$98,K50)</f>
        <v>Paiva</v>
      </c>
      <c r="Q50" s="6" t="str" cm="1">
        <f t="array" aca="1" ref="Q50" ca="1">INDEX($E$2:$E$98,L50)</f>
        <v>Guerreiro</v>
      </c>
      <c r="S50" t="str">
        <f t="shared" ca="1" si="2"/>
        <v>Masculino</v>
      </c>
      <c r="T50" t="str">
        <f t="shared" ca="1" si="5"/>
        <v>Tiago Paiva Guerreiro</v>
      </c>
    </row>
    <row r="51" spans="5:20" x14ac:dyDescent="0.25">
      <c r="E51" t="s">
        <v>139</v>
      </c>
      <c r="I51">
        <f t="shared" ca="1" si="0"/>
        <v>26</v>
      </c>
      <c r="J51">
        <f t="shared" ca="1" si="0"/>
        <v>4</v>
      </c>
      <c r="K51">
        <f t="shared" ca="1" si="1"/>
        <v>73</v>
      </c>
      <c r="L51">
        <f t="shared" ca="1" si="1"/>
        <v>37</v>
      </c>
      <c r="M51" s="6" t="str" cm="1">
        <f t="array" aca="1" ref="M51" ca="1">INDEX($A$2:$A$40,I51,1)</f>
        <v>Masculino</v>
      </c>
      <c r="N51" s="6" t="str" cm="1">
        <f t="array" aca="1" ref="N51" ca="1">INDEX($B$2:$B$40,I51,1)</f>
        <v>Martim</v>
      </c>
      <c r="O51" s="6" t="str" cm="1">
        <f t="array" aca="1" ref="O51" ca="1">INDEX($B$2:$B$40,J51,1)</f>
        <v>Beatriz</v>
      </c>
      <c r="P51" s="6" t="str" cm="1">
        <f t="array" aca="1" ref="P51" ca="1">INDEX($E$2:$E$98,K51)</f>
        <v>Abreu</v>
      </c>
      <c r="Q51" s="6" t="str" cm="1">
        <f t="array" aca="1" ref="Q51" ca="1">INDEX($E$2:$E$98,L51)</f>
        <v>Rocha</v>
      </c>
      <c r="S51" t="str">
        <f t="shared" ca="1" si="2"/>
        <v>Masculino</v>
      </c>
      <c r="T51" t="str">
        <f t="shared" ca="1" si="5"/>
        <v>Martim Abreu Rocha</v>
      </c>
    </row>
    <row r="52" spans="5:20" x14ac:dyDescent="0.25">
      <c r="E52" t="s">
        <v>140</v>
      </c>
      <c r="I52">
        <f t="shared" ca="1" si="0"/>
        <v>27</v>
      </c>
      <c r="J52">
        <f t="shared" ca="1" si="0"/>
        <v>36</v>
      </c>
      <c r="K52">
        <f t="shared" ca="1" si="1"/>
        <v>40</v>
      </c>
      <c r="L52">
        <f t="shared" ca="1" si="1"/>
        <v>31</v>
      </c>
      <c r="M52" s="6" t="str" cm="1">
        <f t="array" aca="1" ref="M52" ca="1">INDEX($A$2:$A$40,I52,1)</f>
        <v>Feminino</v>
      </c>
      <c r="N52" s="6" t="str" cm="1">
        <f t="array" aca="1" ref="N52" ca="1">INDEX($B$2:$B$40,I52,1)</f>
        <v>Matilde</v>
      </c>
      <c r="O52" s="6" t="str" cm="1">
        <f t="array" aca="1" ref="O52" ca="1">INDEX($B$2:$B$40,J52,1)</f>
        <v>Tomás</v>
      </c>
      <c r="P52" s="6" t="str" cm="1">
        <f t="array" aca="1" ref="P52" ca="1">INDEX($E$2:$E$98,K52)</f>
        <v>Antunes</v>
      </c>
      <c r="Q52" s="6" t="str" cm="1">
        <f t="array" aca="1" ref="Q52" ca="1">INDEX($E$2:$E$98,L52)</f>
        <v>Oliveira</v>
      </c>
      <c r="S52" t="str">
        <f t="shared" ca="1" si="2"/>
        <v>Feminino</v>
      </c>
      <c r="T52" t="str">
        <f ca="1">N52 &amp; " " &amp; O52 &amp; " " &amp; P52  &amp; " " &amp; Q52</f>
        <v>Matilde Tomás Antunes Oliveira</v>
      </c>
    </row>
    <row r="53" spans="5:20" x14ac:dyDescent="0.25">
      <c r="E53" t="s">
        <v>141</v>
      </c>
      <c r="I53">
        <f t="shared" ca="1" si="0"/>
        <v>11</v>
      </c>
      <c r="J53">
        <f t="shared" ca="1" si="0"/>
        <v>29</v>
      </c>
      <c r="K53">
        <f t="shared" ca="1" si="1"/>
        <v>47</v>
      </c>
      <c r="L53">
        <f t="shared" ca="1" si="1"/>
        <v>43</v>
      </c>
      <c r="M53" s="6" t="str" cm="1">
        <f t="array" aca="1" ref="M53" ca="1">INDEX($A$2:$A$40,I53,1)</f>
        <v>Masculino</v>
      </c>
      <c r="N53" s="6" t="str" cm="1">
        <f t="array" aca="1" ref="N53" ca="1">INDEX($B$2:$B$40,I53,1)</f>
        <v>Duarte</v>
      </c>
      <c r="O53" s="6" t="str" cm="1">
        <f t="array" aca="1" ref="O53" ca="1">INDEX($B$2:$B$40,J53,1)</f>
        <v>Pedro</v>
      </c>
      <c r="P53" s="6" t="str" cm="1">
        <f t="array" aca="1" ref="P53" ca="1">INDEX($E$2:$E$98,K53)</f>
        <v>Lourenço</v>
      </c>
      <c r="Q53" s="6" t="str" cm="1">
        <f t="array" aca="1" ref="Q53" ca="1">INDEX($E$2:$E$98,L53)</f>
        <v>Machado</v>
      </c>
      <c r="S53" t="str">
        <f t="shared" ca="1" si="2"/>
        <v>Masculino</v>
      </c>
      <c r="T53" t="str">
        <f t="shared" ref="T53:T116" ca="1" si="6">N53 &amp; " " &amp; O53 &amp; " " &amp; P53  &amp; " " &amp; Q53</f>
        <v>Duarte Pedro Lourenço Machado</v>
      </c>
    </row>
    <row r="54" spans="5:20" x14ac:dyDescent="0.25">
      <c r="E54" t="s">
        <v>142</v>
      </c>
      <c r="I54">
        <f t="shared" ca="1" si="0"/>
        <v>28</v>
      </c>
      <c r="J54">
        <f t="shared" ca="1" si="0"/>
        <v>20</v>
      </c>
      <c r="K54">
        <f t="shared" ca="1" si="1"/>
        <v>84</v>
      </c>
      <c r="L54">
        <f t="shared" ca="1" si="1"/>
        <v>7</v>
      </c>
      <c r="M54" s="6" t="str" cm="1">
        <f t="array" aca="1" ref="M54" ca="1">INDEX($A$2:$A$40,I54,1)</f>
        <v>Masculino</v>
      </c>
      <c r="N54" s="6" t="str" cm="1">
        <f t="array" aca="1" ref="N54" ca="1">INDEX($B$2:$B$40,I54,1)</f>
        <v>Miguel</v>
      </c>
      <c r="O54" s="6" t="str" cm="1">
        <f t="array" aca="1" ref="O54" ca="1">INDEX($B$2:$B$40,J54,1)</f>
        <v>Luís</v>
      </c>
      <c r="P54" s="6" t="str" cm="1">
        <f t="array" aca="1" ref="P54" ca="1">INDEX($E$2:$E$98,K54)</f>
        <v>Domingues</v>
      </c>
      <c r="Q54" s="6" t="str" cm="1">
        <f t="array" aca="1" ref="Q54" ca="1">INDEX($E$2:$E$98,L54)</f>
        <v>Coelho</v>
      </c>
      <c r="S54" t="str">
        <f t="shared" ca="1" si="2"/>
        <v>Masculino</v>
      </c>
      <c r="T54" t="str">
        <f t="shared" ca="1" si="6"/>
        <v>Miguel Luís Domingues Coelho</v>
      </c>
    </row>
    <row r="55" spans="5:20" x14ac:dyDescent="0.25">
      <c r="E55" t="s">
        <v>143</v>
      </c>
      <c r="I55">
        <f t="shared" ca="1" si="0"/>
        <v>30</v>
      </c>
      <c r="J55">
        <f t="shared" ca="1" si="0"/>
        <v>9</v>
      </c>
      <c r="K55">
        <f t="shared" ca="1" si="1"/>
        <v>17</v>
      </c>
      <c r="L55">
        <f t="shared" ca="1" si="1"/>
        <v>16</v>
      </c>
      <c r="M55" s="6" t="str" cm="1">
        <f t="array" aca="1" ref="M55" ca="1">INDEX($A$2:$A$40,I55,1)</f>
        <v>Masculino</v>
      </c>
      <c r="N55" s="6" t="str" cm="1">
        <f t="array" aca="1" ref="N55" ca="1">INDEX($B$2:$B$40,I55,1)</f>
        <v>Ricardo</v>
      </c>
      <c r="O55" s="6" t="str" cm="1">
        <f t="array" aca="1" ref="O55" ca="1">INDEX($B$2:$B$40,J55,1)</f>
        <v>Diana</v>
      </c>
      <c r="P55" s="6" t="str" cm="1">
        <f t="array" aca="1" ref="P55" ca="1">INDEX($E$2:$E$98,K55)</f>
        <v>Ferreira</v>
      </c>
      <c r="Q55" s="6" t="str" cm="1">
        <f t="array" aca="1" ref="Q55" ca="1">INDEX($E$2:$E$98,L55)</f>
        <v>Neves</v>
      </c>
      <c r="S55" t="str">
        <f t="shared" ca="1" si="2"/>
        <v>Masculino</v>
      </c>
      <c r="T55" t="str">
        <f t="shared" ca="1" si="6"/>
        <v>Ricardo Diana Ferreira Neves</v>
      </c>
    </row>
    <row r="56" spans="5:20" x14ac:dyDescent="0.25">
      <c r="E56" t="s">
        <v>144</v>
      </c>
      <c r="I56">
        <f t="shared" ca="1" si="0"/>
        <v>5</v>
      </c>
      <c r="J56">
        <f t="shared" ca="1" si="0"/>
        <v>14</v>
      </c>
      <c r="K56">
        <f t="shared" ca="1" si="1"/>
        <v>65</v>
      </c>
      <c r="L56">
        <f t="shared" ca="1" si="1"/>
        <v>69</v>
      </c>
      <c r="M56" s="6" t="str" cm="1">
        <f t="array" aca="1" ref="M56" ca="1">INDEX($A$2:$A$40,I56,1)</f>
        <v>Masculino</v>
      </c>
      <c r="N56" s="6" t="str" cm="1">
        <f t="array" aca="1" ref="N56" ca="1">INDEX($B$2:$B$40,I56,1)</f>
        <v>Bruno</v>
      </c>
      <c r="O56" s="6" t="str" cm="1">
        <f t="array" aca="1" ref="O56" ca="1">INDEX($B$2:$B$40,J56,1)</f>
        <v>Gabriel</v>
      </c>
      <c r="P56" s="6" t="str" cm="1">
        <f t="array" aca="1" ref="P56" ca="1">INDEX($E$2:$E$98,K56)</f>
        <v>Baptista</v>
      </c>
      <c r="Q56" s="6" t="str" cm="1">
        <f t="array" aca="1" ref="Q56" ca="1">INDEX($E$2:$E$98,L56)</f>
        <v>Brito</v>
      </c>
      <c r="S56" t="str">
        <f t="shared" ca="1" si="2"/>
        <v>Masculino</v>
      </c>
      <c r="T56" t="str">
        <f t="shared" ca="1" si="6"/>
        <v>Bruno Gabriel Baptista Brito</v>
      </c>
    </row>
    <row r="57" spans="5:20" x14ac:dyDescent="0.25">
      <c r="E57" t="s">
        <v>145</v>
      </c>
      <c r="I57">
        <f t="shared" ca="1" si="0"/>
        <v>20</v>
      </c>
      <c r="J57">
        <f t="shared" ca="1" si="0"/>
        <v>29</v>
      </c>
      <c r="K57">
        <f t="shared" ca="1" si="1"/>
        <v>91</v>
      </c>
      <c r="L57">
        <f t="shared" ca="1" si="1"/>
        <v>69</v>
      </c>
      <c r="M57" s="6" t="str" cm="1">
        <f t="array" aca="1" ref="M57" ca="1">INDEX($A$2:$A$40,I57,1)</f>
        <v>Masculino</v>
      </c>
      <c r="N57" s="6" t="str" cm="1">
        <f t="array" aca="1" ref="N57" ca="1">INDEX($B$2:$B$40,I57,1)</f>
        <v>Luís</v>
      </c>
      <c r="O57" s="6" t="str" cm="1">
        <f t="array" aca="1" ref="O57" ca="1">INDEX($B$2:$B$40,J57,1)</f>
        <v>Pedro</v>
      </c>
      <c r="P57" s="6" t="str" cm="1">
        <f t="array" aca="1" ref="P57" ca="1">INDEX($E$2:$E$98,K57)</f>
        <v>Leal</v>
      </c>
      <c r="Q57" s="6" t="str" cm="1">
        <f t="array" aca="1" ref="Q57" ca="1">INDEX($E$2:$E$98,L57)</f>
        <v>Brito</v>
      </c>
      <c r="S57" t="str">
        <f t="shared" ca="1" si="2"/>
        <v>Masculino</v>
      </c>
      <c r="T57" t="str">
        <f t="shared" ca="1" si="6"/>
        <v>Luís Pedro Leal Brito</v>
      </c>
    </row>
    <row r="58" spans="5:20" x14ac:dyDescent="0.25">
      <c r="E58" t="s">
        <v>146</v>
      </c>
      <c r="I58">
        <f t="shared" ca="1" si="0"/>
        <v>31</v>
      </c>
      <c r="J58">
        <f t="shared" ca="1" si="0"/>
        <v>22</v>
      </c>
      <c r="K58">
        <f t="shared" ca="1" si="1"/>
        <v>4</v>
      </c>
      <c r="L58">
        <f t="shared" ca="1" si="1"/>
        <v>89</v>
      </c>
      <c r="M58" s="6" t="str" cm="1">
        <f t="array" aca="1" ref="M58" ca="1">INDEX($A$2:$A$40,I58,1)</f>
        <v>Masculino</v>
      </c>
      <c r="N58" s="6" t="str" cm="1">
        <f t="array" aca="1" ref="N58" ca="1">INDEX($B$2:$B$40,I58,1)</f>
        <v>Rodrigo</v>
      </c>
      <c r="O58" s="6" t="str" cm="1">
        <f t="array" aca="1" ref="O58" ca="1">INDEX($B$2:$B$40,J58,1)</f>
        <v>Marco</v>
      </c>
      <c r="P58" s="6" t="str" cm="1">
        <f t="array" aca="1" ref="P58" ca="1">INDEX($E$2:$E$98,K58)</f>
        <v>Alves</v>
      </c>
      <c r="Q58" s="6" t="str" cm="1">
        <f t="array" aca="1" ref="Q58" ca="1">INDEX($E$2:$E$98,L58)</f>
        <v>Amaral</v>
      </c>
      <c r="S58" t="str">
        <f t="shared" ca="1" si="2"/>
        <v>Masculino</v>
      </c>
      <c r="T58" t="str">
        <f t="shared" ca="1" si="6"/>
        <v>Rodrigo Marco Alves Amaral</v>
      </c>
    </row>
    <row r="59" spans="5:20" x14ac:dyDescent="0.25">
      <c r="E59" t="s">
        <v>147</v>
      </c>
      <c r="I59">
        <f t="shared" ca="1" si="0"/>
        <v>30</v>
      </c>
      <c r="J59">
        <f t="shared" ca="1" si="0"/>
        <v>18</v>
      </c>
      <c r="K59">
        <f t="shared" ca="1" si="1"/>
        <v>28</v>
      </c>
      <c r="L59">
        <f t="shared" ca="1" si="1"/>
        <v>30</v>
      </c>
      <c r="M59" s="6" t="str" cm="1">
        <f t="array" aca="1" ref="M59" ca="1">INDEX($A$2:$A$40,I59,1)</f>
        <v>Masculino</v>
      </c>
      <c r="N59" s="6" t="str" cm="1">
        <f t="array" aca="1" ref="N59" ca="1">INDEX($B$2:$B$40,I59,1)</f>
        <v>Ricardo</v>
      </c>
      <c r="O59" s="6" t="str" cm="1">
        <f t="array" aca="1" ref="O59" ca="1">INDEX($B$2:$B$40,J59,1)</f>
        <v>José</v>
      </c>
      <c r="P59" s="6" t="str" cm="1">
        <f t="array" aca="1" ref="P59" ca="1">INDEX($E$2:$E$98,K59)</f>
        <v>Jesus</v>
      </c>
      <c r="Q59" s="6" t="str" cm="1">
        <f t="array" aca="1" ref="Q59" ca="1">INDEX($E$2:$E$98,L59)</f>
        <v>Monteiro</v>
      </c>
      <c r="S59" t="str">
        <f t="shared" ca="1" si="2"/>
        <v>Masculino</v>
      </c>
      <c r="T59" t="str">
        <f t="shared" ca="1" si="6"/>
        <v>Ricardo José Jesus Monteiro</v>
      </c>
    </row>
    <row r="60" spans="5:20" x14ac:dyDescent="0.25">
      <c r="E60" t="s">
        <v>148</v>
      </c>
      <c r="I60">
        <f t="shared" ca="1" si="0"/>
        <v>19</v>
      </c>
      <c r="J60">
        <f t="shared" ca="1" si="0"/>
        <v>9</v>
      </c>
      <c r="K60">
        <f t="shared" ca="1" si="1"/>
        <v>13</v>
      </c>
      <c r="L60">
        <f t="shared" ca="1" si="1"/>
        <v>70</v>
      </c>
      <c r="M60" s="6" t="str" cm="1">
        <f t="array" aca="1" ref="M60" ca="1">INDEX($A$2:$A$40,I60,1)</f>
        <v>Feminino</v>
      </c>
      <c r="N60" s="6" t="str" cm="1">
        <f t="array" aca="1" ref="N60" ca="1">INDEX($B$2:$B$40,I60,1)</f>
        <v>Leonor</v>
      </c>
      <c r="O60" s="6" t="str" cm="1">
        <f t="array" aca="1" ref="O60" ca="1">INDEX($B$2:$B$40,J60,1)</f>
        <v>Diana</v>
      </c>
      <c r="P60" s="6" t="str" cm="1">
        <f t="array" aca="1" ref="P60" ca="1">INDEX($E$2:$E$98,K60)</f>
        <v>Santos</v>
      </c>
      <c r="Q60" s="6" t="str" cm="1">
        <f t="array" aca="1" ref="Q60" ca="1">INDEX($E$2:$E$98,L60)</f>
        <v>Sá</v>
      </c>
      <c r="S60" t="str">
        <f t="shared" ca="1" si="2"/>
        <v>Feminino</v>
      </c>
      <c r="T60" t="str">
        <f t="shared" ca="1" si="6"/>
        <v>Leonor Diana Santos Sá</v>
      </c>
    </row>
    <row r="61" spans="5:20" x14ac:dyDescent="0.25">
      <c r="E61" t="s">
        <v>149</v>
      </c>
      <c r="I61">
        <f t="shared" ca="1" si="0"/>
        <v>33</v>
      </c>
      <c r="J61">
        <f t="shared" ca="1" si="0"/>
        <v>30</v>
      </c>
      <c r="K61">
        <f t="shared" ca="1" si="1"/>
        <v>95</v>
      </c>
      <c r="L61">
        <f t="shared" ca="1" si="1"/>
        <v>42</v>
      </c>
      <c r="M61" s="6" t="str" cm="1">
        <f t="array" aca="1" ref="M61" ca="1">INDEX($A$2:$A$40,I61,1)</f>
        <v>Feminino</v>
      </c>
      <c r="N61" s="6" t="str" cm="1">
        <f t="array" aca="1" ref="N61" ca="1">INDEX($B$2:$B$40,I61,1)</f>
        <v>Sara</v>
      </c>
      <c r="O61" s="6" t="str" cm="1">
        <f t="array" aca="1" ref="O61" ca="1">INDEX($B$2:$B$40,J61,1)</f>
        <v>Ricardo</v>
      </c>
      <c r="P61" s="6" t="str" cm="1">
        <f t="array" aca="1" ref="P61" ca="1">INDEX($E$2:$E$98,K61)</f>
        <v>Matias</v>
      </c>
      <c r="Q61" s="6" t="str" cm="1">
        <f t="array" aca="1" ref="Q61" ca="1">INDEX($E$2:$E$98,L61)</f>
        <v>Fonseca</v>
      </c>
      <c r="S61" t="str">
        <f t="shared" ca="1" si="2"/>
        <v>Feminino</v>
      </c>
      <c r="T61" t="str">
        <f t="shared" ca="1" si="6"/>
        <v>Sara Ricardo Matias Fonseca</v>
      </c>
    </row>
    <row r="62" spans="5:20" x14ac:dyDescent="0.25">
      <c r="E62" t="s">
        <v>150</v>
      </c>
      <c r="I62">
        <f t="shared" ca="1" si="0"/>
        <v>38</v>
      </c>
      <c r="J62">
        <f t="shared" ca="1" si="0"/>
        <v>11</v>
      </c>
      <c r="K62">
        <f t="shared" ca="1" si="1"/>
        <v>78</v>
      </c>
      <c r="L62">
        <f t="shared" ca="1" si="1"/>
        <v>58</v>
      </c>
      <c r="M62" s="6" t="str" cm="1">
        <f t="array" aca="1" ref="M62" ca="1">INDEX($A$2:$A$40,I62,1)</f>
        <v>Masculino</v>
      </c>
      <c r="N62" s="6" t="str" cm="1">
        <f t="array" aca="1" ref="N62" ca="1">INDEX($B$2:$B$40,I62,1)</f>
        <v>Joaquim</v>
      </c>
      <c r="O62" s="6" t="str" cm="1">
        <f t="array" aca="1" ref="O62" ca="1">INDEX($B$2:$B$40,J62,1)</f>
        <v>Duarte</v>
      </c>
      <c r="P62" s="6" t="str" cm="1">
        <f t="array" aca="1" ref="P62" ca="1">INDEX($E$2:$E$98,K62)</f>
        <v>Vicente</v>
      </c>
      <c r="Q62" s="6" t="str" cm="1">
        <f t="array" aca="1" ref="Q62" ca="1">INDEX($E$2:$E$98,L62)</f>
        <v>Faria</v>
      </c>
      <c r="S62" t="str">
        <f t="shared" ca="1" si="2"/>
        <v>Masculino</v>
      </c>
      <c r="T62" t="str">
        <f t="shared" ca="1" si="6"/>
        <v>Joaquim Duarte Vicente Faria</v>
      </c>
    </row>
    <row r="63" spans="5:20" x14ac:dyDescent="0.25">
      <c r="E63" t="s">
        <v>151</v>
      </c>
      <c r="I63">
        <f t="shared" ca="1" si="0"/>
        <v>19</v>
      </c>
      <c r="J63">
        <f t="shared" ca="1" si="0"/>
        <v>16</v>
      </c>
      <c r="K63">
        <f t="shared" ca="1" si="1"/>
        <v>53</v>
      </c>
      <c r="L63">
        <f t="shared" ca="1" si="1"/>
        <v>88</v>
      </c>
      <c r="M63" s="6" t="str" cm="1">
        <f t="array" aca="1" ref="M63" ca="1">INDEX($A$2:$A$40,I63,1)</f>
        <v>Feminino</v>
      </c>
      <c r="N63" s="6" t="str" cm="1">
        <f t="array" aca="1" ref="N63" ca="1">INDEX($B$2:$B$40,I63,1)</f>
        <v>Leonor</v>
      </c>
      <c r="O63" s="6" t="str" cm="1">
        <f t="array" aca="1" ref="O63" ca="1">INDEX($B$2:$B$40,J63,1)</f>
        <v>Joana</v>
      </c>
      <c r="P63" s="6" t="str" cm="1">
        <f t="array" aca="1" ref="P63" ca="1">INDEX($E$2:$E$98,K63)</f>
        <v>Henriques</v>
      </c>
      <c r="Q63" s="6" t="str" cm="1">
        <f t="array" aca="1" ref="Q63" ca="1">INDEX($E$2:$E$98,L63)</f>
        <v>Neto</v>
      </c>
      <c r="S63" t="str">
        <f t="shared" ca="1" si="2"/>
        <v>Feminino</v>
      </c>
      <c r="T63" t="str">
        <f t="shared" ca="1" si="6"/>
        <v>Leonor Joana Henriques Neto</v>
      </c>
    </row>
    <row r="64" spans="5:20" x14ac:dyDescent="0.25">
      <c r="E64" t="s">
        <v>152</v>
      </c>
      <c r="I64">
        <f t="shared" ca="1" si="0"/>
        <v>38</v>
      </c>
      <c r="J64">
        <f t="shared" ca="1" si="0"/>
        <v>1</v>
      </c>
      <c r="K64">
        <f t="shared" ca="1" si="1"/>
        <v>40</v>
      </c>
      <c r="L64">
        <f t="shared" ca="1" si="1"/>
        <v>82</v>
      </c>
      <c r="M64" s="6" t="str" cm="1">
        <f t="array" aca="1" ref="M64" ca="1">INDEX($A$2:$A$40,I64,1)</f>
        <v>Masculino</v>
      </c>
      <c r="N64" s="6" t="str" cm="1">
        <f t="array" aca="1" ref="N64" ca="1">INDEX($B$2:$B$40,I64,1)</f>
        <v>Joaquim</v>
      </c>
      <c r="O64" s="6" t="str" cm="1">
        <f t="array" aca="1" ref="O64" ca="1">INDEX($B$2:$B$40,J64,1)</f>
        <v>Afonso</v>
      </c>
      <c r="P64" s="6" t="str" cm="1">
        <f t="array" aca="1" ref="P64" ca="1">INDEX($E$2:$E$98,K64)</f>
        <v>Antunes</v>
      </c>
      <c r="Q64" s="6" t="str" cm="1">
        <f t="array" aca="1" ref="Q64" ca="1">INDEX($E$2:$E$98,L64)</f>
        <v>Moura</v>
      </c>
      <c r="S64" t="str">
        <f t="shared" ca="1" si="2"/>
        <v>Masculino</v>
      </c>
      <c r="T64" t="str">
        <f t="shared" ca="1" si="6"/>
        <v>Joaquim Afonso Antunes Moura</v>
      </c>
    </row>
    <row r="65" spans="5:20" x14ac:dyDescent="0.25">
      <c r="E65" t="s">
        <v>153</v>
      </c>
      <c r="I65">
        <f t="shared" ca="1" si="0"/>
        <v>16</v>
      </c>
      <c r="J65">
        <f t="shared" ca="1" si="0"/>
        <v>6</v>
      </c>
      <c r="K65">
        <f t="shared" ca="1" si="1"/>
        <v>73</v>
      </c>
      <c r="L65">
        <f t="shared" ca="1" si="1"/>
        <v>57</v>
      </c>
      <c r="M65" s="6" t="str" cm="1">
        <f t="array" aca="1" ref="M65" ca="1">INDEX($A$2:$A$40,I65,1)</f>
        <v>Feminino</v>
      </c>
      <c r="N65" s="6" t="str" cm="1">
        <f t="array" aca="1" ref="N65" ca="1">INDEX($B$2:$B$40,I65,1)</f>
        <v>Joana</v>
      </c>
      <c r="O65" s="6" t="str" cm="1">
        <f t="array" aca="1" ref="O65" ca="1">INDEX($B$2:$B$40,J65,1)</f>
        <v>Carolina</v>
      </c>
      <c r="P65" s="6" t="str" cm="1">
        <f t="array" aca="1" ref="P65" ca="1">INDEX($E$2:$E$98,K65)</f>
        <v>Abreu</v>
      </c>
      <c r="Q65" s="6" t="str" cm="1">
        <f t="array" aca="1" ref="Q65" ca="1">INDEX($E$2:$E$98,L65)</f>
        <v>Pinheiro</v>
      </c>
      <c r="S65" t="str">
        <f t="shared" ca="1" si="2"/>
        <v>Feminino</v>
      </c>
      <c r="T65" t="str">
        <f t="shared" ca="1" si="6"/>
        <v>Joana Carolina Abreu Pinheiro</v>
      </c>
    </row>
    <row r="66" spans="5:20" x14ac:dyDescent="0.25">
      <c r="E66" t="s">
        <v>154</v>
      </c>
      <c r="I66">
        <f t="shared" ca="1" si="0"/>
        <v>9</v>
      </c>
      <c r="J66">
        <f t="shared" ca="1" si="0"/>
        <v>36</v>
      </c>
      <c r="K66">
        <f t="shared" ca="1" si="1"/>
        <v>2</v>
      </c>
      <c r="L66">
        <f t="shared" ca="1" si="1"/>
        <v>66</v>
      </c>
      <c r="M66" s="6" t="str" cm="1">
        <f t="array" aca="1" ref="M66" ca="1">INDEX($A$2:$A$40,I66,1)</f>
        <v>Feminino</v>
      </c>
      <c r="N66" s="6" t="str" cm="1">
        <f t="array" aca="1" ref="N66" ca="1">INDEX($B$2:$B$40,I66,1)</f>
        <v>Diana</v>
      </c>
      <c r="O66" s="6" t="str" cm="1">
        <f t="array" aca="1" ref="O66" ca="1">INDEX($B$2:$B$40,J66,1)</f>
        <v>Tomás</v>
      </c>
      <c r="P66" s="6" t="str" cm="1">
        <f t="array" aca="1" ref="P66" ca="1">INDEX($E$2:$E$98,K66)</f>
        <v>Pinto</v>
      </c>
      <c r="Q66" s="6" t="str" cm="1">
        <f t="array" aca="1" ref="Q66" ca="1">INDEX($E$2:$E$98,L66)</f>
        <v>Campos</v>
      </c>
      <c r="S66" t="str">
        <f t="shared" ca="1" si="2"/>
        <v>Feminino</v>
      </c>
      <c r="T66" t="str">
        <f t="shared" ca="1" si="6"/>
        <v>Diana Tomás Pinto Campos</v>
      </c>
    </row>
    <row r="67" spans="5:20" x14ac:dyDescent="0.25">
      <c r="E67" t="s">
        <v>155</v>
      </c>
      <c r="I67">
        <f t="shared" ref="I67:J130" ca="1" si="7">RANDBETWEEN(1,39)</f>
        <v>8</v>
      </c>
      <c r="J67">
        <f t="shared" ca="1" si="7"/>
        <v>26</v>
      </c>
      <c r="K67">
        <f t="shared" ref="K67:L130" ca="1" si="8">RANDBETWEEN(1,97)</f>
        <v>94</v>
      </c>
      <c r="L67">
        <f t="shared" ca="1" si="8"/>
        <v>46</v>
      </c>
      <c r="M67" s="6" t="str" cm="1">
        <f t="array" aca="1" ref="M67" ca="1">INDEX($A$2:$A$40,I67,1)</f>
        <v>Feminino</v>
      </c>
      <c r="N67" s="6" t="str" cm="1">
        <f t="array" aca="1" ref="N67" ca="1">INDEX($B$2:$B$40,I67,1)</f>
        <v>Daniela</v>
      </c>
      <c r="O67" s="6" t="str" cm="1">
        <f t="array" aca="1" ref="O67" ca="1">INDEX($B$2:$B$40,J67,1)</f>
        <v>Martim</v>
      </c>
      <c r="P67" s="6" t="str" cm="1">
        <f t="array" aca="1" ref="P67" ca="1">INDEX($E$2:$E$98,K67)</f>
        <v>Paiva</v>
      </c>
      <c r="Q67" s="6" t="str" cm="1">
        <f t="array" aca="1" ref="Q67" ca="1">INDEX($E$2:$E$98,L67)</f>
        <v>Tavares</v>
      </c>
      <c r="S67" t="str">
        <f t="shared" ca="1" si="2"/>
        <v>Feminino</v>
      </c>
      <c r="T67" t="str">
        <f t="shared" ca="1" si="6"/>
        <v>Daniela Martim Paiva Tavares</v>
      </c>
    </row>
    <row r="68" spans="5:20" x14ac:dyDescent="0.25">
      <c r="E68" t="s">
        <v>156</v>
      </c>
      <c r="I68">
        <f t="shared" ca="1" si="7"/>
        <v>10</v>
      </c>
      <c r="J68">
        <f t="shared" ca="1" si="7"/>
        <v>22</v>
      </c>
      <c r="K68">
        <f t="shared" ca="1" si="8"/>
        <v>86</v>
      </c>
      <c r="L68">
        <f t="shared" ca="1" si="8"/>
        <v>86</v>
      </c>
      <c r="M68" s="6" t="str" cm="1">
        <f t="array" aca="1" ref="M68" ca="1">INDEX($A$2:$A$40,I68,1)</f>
        <v>Masculino</v>
      </c>
      <c r="N68" s="6" t="str" cm="1">
        <f t="array" aca="1" ref="N68" ca="1">INDEX($B$2:$B$40,I68,1)</f>
        <v>Diogo</v>
      </c>
      <c r="O68" s="6" t="str" cm="1">
        <f t="array" aca="1" ref="O68" ca="1">INDEX($B$2:$B$40,J68,1)</f>
        <v>Marco</v>
      </c>
      <c r="P68" s="6" t="str" cm="1">
        <f t="array" aca="1" ref="P68" ca="1">INDEX($E$2:$E$98,K68)</f>
        <v>Carneiro</v>
      </c>
      <c r="Q68" s="6" t="str" cm="1">
        <f t="array" aca="1" ref="Q68" ca="1">INDEX($E$2:$E$98,L68)</f>
        <v>Carneiro</v>
      </c>
      <c r="S68" t="str">
        <f t="shared" ref="S68:S131" ca="1" si="9">M68</f>
        <v>Masculino</v>
      </c>
      <c r="T68" t="str">
        <f t="shared" ca="1" si="6"/>
        <v>Diogo Marco Carneiro Carneiro</v>
      </c>
    </row>
    <row r="69" spans="5:20" x14ac:dyDescent="0.25">
      <c r="E69" t="s">
        <v>157</v>
      </c>
      <c r="I69">
        <f t="shared" ca="1" si="7"/>
        <v>22</v>
      </c>
      <c r="J69">
        <f t="shared" ca="1" si="7"/>
        <v>18</v>
      </c>
      <c r="K69">
        <f t="shared" ca="1" si="8"/>
        <v>69</v>
      </c>
      <c r="L69">
        <f t="shared" ca="1" si="8"/>
        <v>76</v>
      </c>
      <c r="M69" s="6" t="str" cm="1">
        <f t="array" aca="1" ref="M69" ca="1">INDEX($A$2:$A$40,I69,1)</f>
        <v>Masculino</v>
      </c>
      <c r="N69" s="6" t="str" cm="1">
        <f t="array" aca="1" ref="N69" ca="1">INDEX($B$2:$B$40,I69,1)</f>
        <v>Marco</v>
      </c>
      <c r="O69" s="6" t="str" cm="1">
        <f t="array" aca="1" ref="O69" ca="1">INDEX($B$2:$B$40,J69,1)</f>
        <v>José</v>
      </c>
      <c r="P69" s="6" t="str" cm="1">
        <f t="array" aca="1" ref="P69" ca="1">INDEX($E$2:$E$98,K69)</f>
        <v>Brito</v>
      </c>
      <c r="Q69" s="6" t="str" cm="1">
        <f t="array" aca="1" ref="Q69" ca="1">INDEX($E$2:$E$98,L69)</f>
        <v>Vaz</v>
      </c>
      <c r="S69" t="str">
        <f t="shared" ca="1" si="9"/>
        <v>Masculino</v>
      </c>
      <c r="T69" t="str">
        <f t="shared" ca="1" si="6"/>
        <v>Marco José Brito Vaz</v>
      </c>
    </row>
    <row r="70" spans="5:20" x14ac:dyDescent="0.25">
      <c r="E70" t="s">
        <v>158</v>
      </c>
      <c r="I70">
        <f t="shared" ca="1" si="7"/>
        <v>32</v>
      </c>
      <c r="J70">
        <f t="shared" ca="1" si="7"/>
        <v>11</v>
      </c>
      <c r="K70">
        <f t="shared" ca="1" si="8"/>
        <v>86</v>
      </c>
      <c r="L70">
        <f t="shared" ca="1" si="8"/>
        <v>41</v>
      </c>
      <c r="M70" s="6" t="str" cm="1">
        <f t="array" aca="1" ref="M70" ca="1">INDEX($A$2:$A$40,I70,1)</f>
        <v>Masculino</v>
      </c>
      <c r="N70" s="6" t="str" cm="1">
        <f t="array" aca="1" ref="N70" ca="1">INDEX($B$2:$B$40,I70,1)</f>
        <v>Santiago</v>
      </c>
      <c r="O70" s="6" t="str" cm="1">
        <f t="array" aca="1" ref="O70" ca="1">INDEX($B$2:$B$40,J70,1)</f>
        <v>Duarte</v>
      </c>
      <c r="P70" s="6" t="str" cm="1">
        <f t="array" aca="1" ref="P70" ca="1">INDEX($E$2:$E$98,K70)</f>
        <v>Carneiro</v>
      </c>
      <c r="Q70" s="6" t="str" cm="1">
        <f t="array" aca="1" ref="Q70" ca="1">INDEX($E$2:$E$98,L70)</f>
        <v>Matos</v>
      </c>
      <c r="S70" t="str">
        <f t="shared" ca="1" si="9"/>
        <v>Masculino</v>
      </c>
      <c r="T70" t="str">
        <f t="shared" ca="1" si="6"/>
        <v>Santiago Duarte Carneiro Matos</v>
      </c>
    </row>
    <row r="71" spans="5:20" x14ac:dyDescent="0.25">
      <c r="E71" t="s">
        <v>159</v>
      </c>
      <c r="I71">
        <f t="shared" ca="1" si="7"/>
        <v>25</v>
      </c>
      <c r="J71">
        <f t="shared" ca="1" si="7"/>
        <v>9</v>
      </c>
      <c r="K71">
        <f t="shared" ca="1" si="8"/>
        <v>8</v>
      </c>
      <c r="L71">
        <f t="shared" ca="1" si="8"/>
        <v>50</v>
      </c>
      <c r="M71" s="6" t="str" cm="1">
        <f t="array" aca="1" ref="M71" ca="1">INDEX($A$2:$A$40,I71,1)</f>
        <v>Feminino</v>
      </c>
      <c r="N71" s="6" t="str" cm="1">
        <f t="array" aca="1" ref="N71" ca="1">INDEX($B$2:$B$40,I71,1)</f>
        <v>Mariana</v>
      </c>
      <c r="O71" s="6" t="str" cm="1">
        <f t="array" aca="1" ref="O71" ca="1">INDEX($B$2:$B$40,J71,1)</f>
        <v>Diana</v>
      </c>
      <c r="P71" s="6" t="str" cm="1">
        <f t="array" aca="1" ref="P71" ca="1">INDEX($E$2:$E$98,K71)</f>
        <v>Pires</v>
      </c>
      <c r="Q71" s="6" t="str" cm="1">
        <f t="array" aca="1" ref="Q71" ca="1">INDEX($E$2:$E$98,L71)</f>
        <v>Azevedo</v>
      </c>
      <c r="S71" t="str">
        <f t="shared" ca="1" si="9"/>
        <v>Feminino</v>
      </c>
      <c r="T71" t="str">
        <f t="shared" ca="1" si="6"/>
        <v>Mariana Diana Pires Azevedo</v>
      </c>
    </row>
    <row r="72" spans="5:20" x14ac:dyDescent="0.25">
      <c r="E72" t="s">
        <v>160</v>
      </c>
      <c r="I72">
        <f t="shared" ca="1" si="7"/>
        <v>16</v>
      </c>
      <c r="J72">
        <f t="shared" ca="1" si="7"/>
        <v>7</v>
      </c>
      <c r="K72">
        <f t="shared" ca="1" si="8"/>
        <v>4</v>
      </c>
      <c r="L72">
        <f t="shared" ca="1" si="8"/>
        <v>38</v>
      </c>
      <c r="M72" s="6" t="str" cm="1">
        <f t="array" aca="1" ref="M72" ca="1">INDEX($A$2:$A$40,I72,1)</f>
        <v>Feminino</v>
      </c>
      <c r="N72" s="6" t="str" cm="1">
        <f t="array" aca="1" ref="N72" ca="1">INDEX($B$2:$B$40,I72,1)</f>
        <v>Joana</v>
      </c>
      <c r="O72" s="6" t="str" cm="1">
        <f t="array" aca="1" ref="O72" ca="1">INDEX($B$2:$B$40,J72,1)</f>
        <v>Catarina</v>
      </c>
      <c r="P72" s="6" t="str" cm="1">
        <f t="array" aca="1" ref="P72" ca="1">INDEX($E$2:$E$98,K72)</f>
        <v>Alves</v>
      </c>
      <c r="Q72" s="6" t="str" cm="1">
        <f t="array" aca="1" ref="Q72" ca="1">INDEX($E$2:$E$98,L72)</f>
        <v>Reis</v>
      </c>
      <c r="S72" t="str">
        <f t="shared" ca="1" si="9"/>
        <v>Feminino</v>
      </c>
      <c r="T72" t="str">
        <f t="shared" ca="1" si="6"/>
        <v>Joana Catarina Alves Reis</v>
      </c>
    </row>
    <row r="73" spans="5:20" x14ac:dyDescent="0.25">
      <c r="E73" t="s">
        <v>161</v>
      </c>
      <c r="I73">
        <f t="shared" ca="1" si="7"/>
        <v>26</v>
      </c>
      <c r="J73">
        <f t="shared" ca="1" si="7"/>
        <v>18</v>
      </c>
      <c r="K73">
        <f t="shared" ca="1" si="8"/>
        <v>48</v>
      </c>
      <c r="L73">
        <f t="shared" ca="1" si="8"/>
        <v>32</v>
      </c>
      <c r="M73" s="6" t="str" cm="1">
        <f t="array" aca="1" ref="M73" ca="1">INDEX($A$2:$A$40,I73,1)</f>
        <v>Masculino</v>
      </c>
      <c r="N73" s="6" t="str" cm="1">
        <f t="array" aca="1" ref="N73" ca="1">INDEX($B$2:$B$40,I73,1)</f>
        <v>Martim</v>
      </c>
      <c r="O73" s="6" t="str" cm="1">
        <f t="array" aca="1" ref="O73" ca="1">INDEX($B$2:$B$40,J73,1)</f>
        <v>José</v>
      </c>
      <c r="P73" s="6" t="str" cm="1">
        <f t="array" aca="1" ref="P73" ca="1">INDEX($E$2:$E$98,K73)</f>
        <v>Castro</v>
      </c>
      <c r="Q73" s="6" t="str" cm="1">
        <f t="array" aca="1" ref="Q73" ca="1">INDEX($E$2:$E$98,L73)</f>
        <v>Silva</v>
      </c>
      <c r="S73" t="str">
        <f t="shared" ca="1" si="9"/>
        <v>Masculino</v>
      </c>
      <c r="T73" t="str">
        <f t="shared" ca="1" si="6"/>
        <v>Martim José Castro Silva</v>
      </c>
    </row>
    <row r="74" spans="5:20" x14ac:dyDescent="0.25">
      <c r="E74" t="s">
        <v>162</v>
      </c>
      <c r="I74">
        <f t="shared" ca="1" si="7"/>
        <v>37</v>
      </c>
      <c r="J74">
        <f t="shared" ca="1" si="7"/>
        <v>23</v>
      </c>
      <c r="K74">
        <f t="shared" ca="1" si="8"/>
        <v>73</v>
      </c>
      <c r="L74">
        <f t="shared" ca="1" si="8"/>
        <v>75</v>
      </c>
      <c r="M74" s="6" t="str" cm="1">
        <f t="array" aca="1" ref="M74" ca="1">INDEX($A$2:$A$40,I74,1)</f>
        <v>Feminino</v>
      </c>
      <c r="N74" s="6" t="str" cm="1">
        <f t="array" aca="1" ref="N74" ca="1">INDEX($B$2:$B$40,I74,1)</f>
        <v>Vera</v>
      </c>
      <c r="O74" s="6" t="str" cm="1">
        <f t="array" aca="1" ref="O74" ca="1">INDEX($B$2:$B$40,J74,1)</f>
        <v>Maria</v>
      </c>
      <c r="P74" s="6" t="str" cm="1">
        <f t="array" aca="1" ref="P74" ca="1">INDEX($E$2:$E$98,K74)</f>
        <v>Abreu</v>
      </c>
      <c r="Q74" s="6" t="str" cm="1">
        <f t="array" aca="1" ref="Q74" ca="1">INDEX($E$2:$E$98,L74)</f>
        <v>Melo</v>
      </c>
      <c r="S74" t="str">
        <f t="shared" ca="1" si="9"/>
        <v>Feminino</v>
      </c>
      <c r="T74" t="str">
        <f t="shared" ca="1" si="6"/>
        <v>Vera Maria Abreu Melo</v>
      </c>
    </row>
    <row r="75" spans="5:20" x14ac:dyDescent="0.25">
      <c r="E75" t="s">
        <v>163</v>
      </c>
      <c r="I75">
        <f t="shared" ca="1" si="7"/>
        <v>37</v>
      </c>
      <c r="J75">
        <f t="shared" ca="1" si="7"/>
        <v>21</v>
      </c>
      <c r="K75">
        <f t="shared" ca="1" si="8"/>
        <v>43</v>
      </c>
      <c r="L75">
        <f t="shared" ca="1" si="8"/>
        <v>11</v>
      </c>
      <c r="M75" s="6" t="str" cm="1">
        <f t="array" aca="1" ref="M75" ca="1">INDEX($A$2:$A$40,I75,1)</f>
        <v>Feminino</v>
      </c>
      <c r="N75" s="6" t="str" cm="1">
        <f t="array" aca="1" ref="N75" ca="1">INDEX($B$2:$B$40,I75,1)</f>
        <v>Vera</v>
      </c>
      <c r="O75" s="6" t="str" cm="1">
        <f t="array" aca="1" ref="O75" ca="1">INDEX($B$2:$B$40,J75,1)</f>
        <v>Lurdes</v>
      </c>
      <c r="P75" s="6" t="str" cm="1">
        <f t="array" aca="1" ref="P75" ca="1">INDEX($E$2:$E$98,K75)</f>
        <v>Machado</v>
      </c>
      <c r="Q75" s="6" t="str" cm="1">
        <f t="array" aca="1" ref="Q75" ca="1">INDEX($E$2:$E$98,L75)</f>
        <v>Martins</v>
      </c>
      <c r="S75" t="str">
        <f t="shared" ca="1" si="9"/>
        <v>Feminino</v>
      </c>
      <c r="T75" t="str">
        <f t="shared" ca="1" si="6"/>
        <v>Vera Lurdes Machado Martins</v>
      </c>
    </row>
    <row r="76" spans="5:20" x14ac:dyDescent="0.25">
      <c r="E76" t="s">
        <v>164</v>
      </c>
      <c r="I76">
        <f t="shared" ca="1" si="7"/>
        <v>25</v>
      </c>
      <c r="J76">
        <f t="shared" ca="1" si="7"/>
        <v>34</v>
      </c>
      <c r="K76">
        <f t="shared" ca="1" si="8"/>
        <v>30</v>
      </c>
      <c r="L76">
        <f t="shared" ca="1" si="8"/>
        <v>79</v>
      </c>
      <c r="M76" s="6" t="str" cm="1">
        <f t="array" aca="1" ref="M76" ca="1">INDEX($A$2:$A$40,I76,1)</f>
        <v>Feminino</v>
      </c>
      <c r="N76" s="6" t="str" cm="1">
        <f t="array" aca="1" ref="N76" ca="1">INDEX($B$2:$B$40,I76,1)</f>
        <v>Mariana</v>
      </c>
      <c r="O76" s="6" t="str" cm="1">
        <f t="array" aca="1" ref="O76" ca="1">INDEX($B$2:$B$40,J76,1)</f>
        <v>Sofia</v>
      </c>
      <c r="P76" s="6" t="str" cm="1">
        <f t="array" aca="1" ref="P76" ca="1">INDEX($E$2:$E$98,K76)</f>
        <v>Monteiro</v>
      </c>
      <c r="Q76" s="6" t="str" cm="1">
        <f t="array" aca="1" ref="Q76" ca="1">INDEX($E$2:$E$98,L76)</f>
        <v>Gaspar</v>
      </c>
      <c r="S76" t="str">
        <f t="shared" ca="1" si="9"/>
        <v>Feminino</v>
      </c>
      <c r="T76" t="str">
        <f t="shared" ca="1" si="6"/>
        <v>Mariana Sofia Monteiro Gaspar</v>
      </c>
    </row>
    <row r="77" spans="5:20" x14ac:dyDescent="0.25">
      <c r="E77" t="s">
        <v>165</v>
      </c>
      <c r="I77">
        <f t="shared" ca="1" si="7"/>
        <v>20</v>
      </c>
      <c r="J77">
        <f t="shared" ca="1" si="7"/>
        <v>2</v>
      </c>
      <c r="K77">
        <f t="shared" ca="1" si="8"/>
        <v>69</v>
      </c>
      <c r="L77">
        <f t="shared" ca="1" si="8"/>
        <v>41</v>
      </c>
      <c r="M77" s="6" t="str" cm="1">
        <f t="array" aca="1" ref="M77" ca="1">INDEX($A$2:$A$40,I77,1)</f>
        <v>Masculino</v>
      </c>
      <c r="N77" s="6" t="str" cm="1">
        <f t="array" aca="1" ref="N77" ca="1">INDEX($B$2:$B$40,I77,1)</f>
        <v>Luís</v>
      </c>
      <c r="O77" s="6" t="str" cm="1">
        <f t="array" aca="1" ref="O77" ca="1">INDEX($B$2:$B$40,J77,1)</f>
        <v>Ana</v>
      </c>
      <c r="P77" s="6" t="str" cm="1">
        <f t="array" aca="1" ref="P77" ca="1">INDEX($E$2:$E$98,K77)</f>
        <v>Brito</v>
      </c>
      <c r="Q77" s="6" t="str" cm="1">
        <f t="array" aca="1" ref="Q77" ca="1">INDEX($E$2:$E$98,L77)</f>
        <v>Matos</v>
      </c>
      <c r="S77" t="str">
        <f t="shared" ca="1" si="9"/>
        <v>Masculino</v>
      </c>
      <c r="T77" t="str">
        <f t="shared" ca="1" si="6"/>
        <v>Luís Ana Brito Matos</v>
      </c>
    </row>
    <row r="78" spans="5:20" x14ac:dyDescent="0.25">
      <c r="E78" t="s">
        <v>166</v>
      </c>
      <c r="I78">
        <f t="shared" ca="1" si="7"/>
        <v>33</v>
      </c>
      <c r="J78">
        <f t="shared" ca="1" si="7"/>
        <v>36</v>
      </c>
      <c r="K78">
        <f t="shared" ca="1" si="8"/>
        <v>44</v>
      </c>
      <c r="L78">
        <f t="shared" ca="1" si="8"/>
        <v>45</v>
      </c>
      <c r="M78" s="6" t="str" cm="1">
        <f t="array" aca="1" ref="M78" ca="1">INDEX($A$2:$A$40,I78,1)</f>
        <v>Feminino</v>
      </c>
      <c r="N78" s="6" t="str" cm="1">
        <f t="array" aca="1" ref="N78" ca="1">INDEX($B$2:$B$40,I78,1)</f>
        <v>Sara</v>
      </c>
      <c r="O78" s="6" t="str" cm="1">
        <f t="array" aca="1" ref="O78" ca="1">INDEX($B$2:$B$40,J78,1)</f>
        <v>Tomás</v>
      </c>
      <c r="P78" s="6" t="str" cm="1">
        <f t="array" aca="1" ref="P78" ca="1">INDEX($E$2:$E$98,K78)</f>
        <v>Araújo</v>
      </c>
      <c r="Q78" s="6" t="str" cm="1">
        <f t="array" aca="1" ref="Q78" ca="1">INDEX($E$2:$E$98,L78)</f>
        <v>Barbosa</v>
      </c>
      <c r="S78" t="str">
        <f t="shared" ca="1" si="9"/>
        <v>Feminino</v>
      </c>
      <c r="T78" t="str">
        <f t="shared" ca="1" si="6"/>
        <v>Sara Tomás Araújo Barbosa</v>
      </c>
    </row>
    <row r="79" spans="5:20" x14ac:dyDescent="0.25">
      <c r="E79" t="s">
        <v>167</v>
      </c>
      <c r="I79">
        <f t="shared" ca="1" si="7"/>
        <v>21</v>
      </c>
      <c r="J79">
        <f t="shared" ca="1" si="7"/>
        <v>4</v>
      </c>
      <c r="K79">
        <f t="shared" ca="1" si="8"/>
        <v>34</v>
      </c>
      <c r="L79">
        <f t="shared" ca="1" si="8"/>
        <v>68</v>
      </c>
      <c r="M79" s="6" t="str" cm="1">
        <f t="array" aca="1" ref="M79" ca="1">INDEX($A$2:$A$40,I79,1)</f>
        <v>Feminino</v>
      </c>
      <c r="N79" s="6" t="str" cm="1">
        <f t="array" aca="1" ref="N79" ca="1">INDEX($B$2:$B$40,I79,1)</f>
        <v>Lurdes</v>
      </c>
      <c r="O79" s="6" t="str" cm="1">
        <f t="array" aca="1" ref="O79" ca="1">INDEX($B$2:$B$40,J79,1)</f>
        <v>Beatriz</v>
      </c>
      <c r="P79" s="6" t="str" cm="1">
        <f t="array" aca="1" ref="P79" ca="1">INDEX($E$2:$E$98,K79)</f>
        <v>Carvalho</v>
      </c>
      <c r="Q79" s="6" t="str" cm="1">
        <f t="array" aca="1" ref="Q79" ca="1">INDEX($E$2:$E$98,L79)</f>
        <v>Andrade</v>
      </c>
      <c r="S79" t="str">
        <f t="shared" ca="1" si="9"/>
        <v>Feminino</v>
      </c>
      <c r="T79" t="str">
        <f t="shared" ca="1" si="6"/>
        <v>Lurdes Beatriz Carvalho Andrade</v>
      </c>
    </row>
    <row r="80" spans="5:20" x14ac:dyDescent="0.25">
      <c r="E80" t="s">
        <v>168</v>
      </c>
      <c r="I80">
        <f t="shared" ca="1" si="7"/>
        <v>1</v>
      </c>
      <c r="J80">
        <f t="shared" ca="1" si="7"/>
        <v>7</v>
      </c>
      <c r="K80">
        <f t="shared" ca="1" si="8"/>
        <v>71</v>
      </c>
      <c r="L80">
        <f t="shared" ca="1" si="8"/>
        <v>74</v>
      </c>
      <c r="M80" s="6" t="str" cm="1">
        <f t="array" aca="1" ref="M80" ca="1">INDEX($A$2:$A$40,I80,1)</f>
        <v>Masculino</v>
      </c>
      <c r="N80" s="6" t="str" cm="1">
        <f t="array" aca="1" ref="N80" ca="1">INDEX($B$2:$B$40,I80,1)</f>
        <v>Afonso</v>
      </c>
      <c r="O80" s="6" t="str" cm="1">
        <f t="array" aca="1" ref="O80" ca="1">INDEX($B$2:$B$40,J80,1)</f>
        <v>Catarina</v>
      </c>
      <c r="P80" s="6" t="str" cm="1">
        <f t="array" aca="1" ref="P80" ca="1">INDEX($E$2:$E$98,K80)</f>
        <v>Nascimento</v>
      </c>
      <c r="Q80" s="6" t="str" cm="1">
        <f t="array" aca="1" ref="Q80" ca="1">INDEX($E$2:$E$98,L80)</f>
        <v>Borges</v>
      </c>
      <c r="S80" t="str">
        <f t="shared" ca="1" si="9"/>
        <v>Masculino</v>
      </c>
      <c r="T80" t="str">
        <f t="shared" ca="1" si="6"/>
        <v>Afonso Catarina Nascimento Borges</v>
      </c>
    </row>
    <row r="81" spans="5:20" x14ac:dyDescent="0.25">
      <c r="E81" t="s">
        <v>169</v>
      </c>
      <c r="I81">
        <f t="shared" ca="1" si="7"/>
        <v>5</v>
      </c>
      <c r="J81">
        <f t="shared" ca="1" si="7"/>
        <v>7</v>
      </c>
      <c r="K81">
        <f t="shared" ca="1" si="8"/>
        <v>72</v>
      </c>
      <c r="L81">
        <f t="shared" ca="1" si="8"/>
        <v>12</v>
      </c>
      <c r="M81" s="6" t="str" cm="1">
        <f t="array" aca="1" ref="M81" ca="1">INDEX($A$2:$A$40,I81,1)</f>
        <v>Masculino</v>
      </c>
      <c r="N81" s="6" t="str" cm="1">
        <f t="array" aca="1" ref="N81" ca="1">INDEX($B$2:$B$40,I81,1)</f>
        <v>Bruno</v>
      </c>
      <c r="O81" s="6" t="str" cm="1">
        <f t="array" aca="1" ref="O81" ca="1">INDEX($B$2:$B$40,J81,1)</f>
        <v>Catarina</v>
      </c>
      <c r="P81" s="6" t="str" cm="1">
        <f t="array" aca="1" ref="P81" ca="1">INDEX($E$2:$E$98,K81)</f>
        <v>Leite</v>
      </c>
      <c r="Q81" s="6" t="str" cm="1">
        <f t="array" aca="1" ref="Q81" ca="1">INDEX($E$2:$E$98,L81)</f>
        <v>Teixeira</v>
      </c>
      <c r="S81" t="str">
        <f t="shared" ca="1" si="9"/>
        <v>Masculino</v>
      </c>
      <c r="T81" t="str">
        <f t="shared" ca="1" si="6"/>
        <v>Bruno Catarina Leite Teixeira</v>
      </c>
    </row>
    <row r="82" spans="5:20" x14ac:dyDescent="0.25">
      <c r="E82" t="s">
        <v>170</v>
      </c>
      <c r="I82">
        <f t="shared" ca="1" si="7"/>
        <v>9</v>
      </c>
      <c r="J82">
        <f t="shared" ca="1" si="7"/>
        <v>10</v>
      </c>
      <c r="K82">
        <f t="shared" ca="1" si="8"/>
        <v>39</v>
      </c>
      <c r="L82">
        <f t="shared" ca="1" si="8"/>
        <v>54</v>
      </c>
      <c r="M82" s="6" t="str" cm="1">
        <f t="array" aca="1" ref="M82" ca="1">INDEX($A$2:$A$40,I82,1)</f>
        <v>Feminino</v>
      </c>
      <c r="N82" s="6" t="str" cm="1">
        <f t="array" aca="1" ref="N82" ca="1">INDEX($B$2:$B$40,I82,1)</f>
        <v>Diana</v>
      </c>
      <c r="O82" s="6" t="str" cm="1">
        <f t="array" aca="1" ref="O82" ca="1">INDEX($B$2:$B$40,J82,1)</f>
        <v>Diogo</v>
      </c>
      <c r="P82" s="6" t="str" cm="1">
        <f t="array" aca="1" ref="P82" ca="1">INDEX($E$2:$E$98,K82)</f>
        <v>Simões</v>
      </c>
      <c r="Q82" s="6" t="str" cm="1">
        <f t="array" aca="1" ref="Q82" ca="1">INDEX($E$2:$E$98,L82)</f>
        <v>Lima</v>
      </c>
      <c r="S82" t="str">
        <f t="shared" ca="1" si="9"/>
        <v>Feminino</v>
      </c>
      <c r="T82" t="str">
        <f t="shared" ca="1" si="6"/>
        <v>Diana Diogo Simões Lima</v>
      </c>
    </row>
    <row r="83" spans="5:20" x14ac:dyDescent="0.25">
      <c r="E83" t="s">
        <v>171</v>
      </c>
      <c r="I83">
        <f t="shared" ca="1" si="7"/>
        <v>11</v>
      </c>
      <c r="J83">
        <f t="shared" ca="1" si="7"/>
        <v>8</v>
      </c>
      <c r="K83">
        <f t="shared" ca="1" si="8"/>
        <v>53</v>
      </c>
      <c r="L83">
        <f t="shared" ca="1" si="8"/>
        <v>6</v>
      </c>
      <c r="M83" s="6" t="str" cm="1">
        <f t="array" aca="1" ref="M83" ca="1">INDEX($A$2:$A$40,I83,1)</f>
        <v>Masculino</v>
      </c>
      <c r="N83" s="6" t="str" cm="1">
        <f t="array" aca="1" ref="N83" ca="1">INDEX($B$2:$B$40,I83,1)</f>
        <v>Duarte</v>
      </c>
      <c r="O83" s="6" t="str" cm="1">
        <f t="array" aca="1" ref="O83" ca="1">INDEX($B$2:$B$40,J83,1)</f>
        <v>Daniela</v>
      </c>
      <c r="P83" s="6" t="str" cm="1">
        <f t="array" aca="1" ref="P83" ca="1">INDEX($E$2:$E$98,K83)</f>
        <v>Henriques</v>
      </c>
      <c r="Q83" s="6" t="str" cm="1">
        <f t="array" aca="1" ref="Q83" ca="1">INDEX($E$2:$E$98,L83)</f>
        <v>Almeida</v>
      </c>
      <c r="S83" t="str">
        <f t="shared" ca="1" si="9"/>
        <v>Masculino</v>
      </c>
      <c r="T83" t="str">
        <f t="shared" ca="1" si="6"/>
        <v>Duarte Daniela Henriques Almeida</v>
      </c>
    </row>
    <row r="84" spans="5:20" x14ac:dyDescent="0.25">
      <c r="E84" t="s">
        <v>172</v>
      </c>
      <c r="I84">
        <f t="shared" ca="1" si="7"/>
        <v>20</v>
      </c>
      <c r="J84">
        <f t="shared" ca="1" si="7"/>
        <v>25</v>
      </c>
      <c r="K84">
        <f t="shared" ca="1" si="8"/>
        <v>26</v>
      </c>
      <c r="L84">
        <f t="shared" ca="1" si="8"/>
        <v>72</v>
      </c>
      <c r="M84" s="6" t="str" cm="1">
        <f t="array" aca="1" ref="M84" ca="1">INDEX($A$2:$A$40,I84,1)</f>
        <v>Masculino</v>
      </c>
      <c r="N84" s="6" t="str" cm="1">
        <f t="array" aca="1" ref="N84" ca="1">INDEX($B$2:$B$40,I84,1)</f>
        <v>Luís</v>
      </c>
      <c r="O84" s="6" t="str" cm="1">
        <f t="array" aca="1" ref="O84" ca="1">INDEX($B$2:$B$40,J84,1)</f>
        <v>Mariana</v>
      </c>
      <c r="P84" s="6" t="str" cm="1">
        <f t="array" aca="1" ref="P84" ca="1">INDEX($E$2:$E$98,K84)</f>
        <v>Costa</v>
      </c>
      <c r="Q84" s="6" t="str" cm="1">
        <f t="array" aca="1" ref="Q84" ca="1">INDEX($E$2:$E$98,L84)</f>
        <v>Leite</v>
      </c>
      <c r="S84" t="str">
        <f t="shared" ca="1" si="9"/>
        <v>Masculino</v>
      </c>
      <c r="T84" t="str">
        <f t="shared" ca="1" si="6"/>
        <v>Luís Mariana Costa Leite</v>
      </c>
    </row>
    <row r="85" spans="5:20" x14ac:dyDescent="0.25">
      <c r="E85" t="s">
        <v>173</v>
      </c>
      <c r="I85">
        <f t="shared" ca="1" si="7"/>
        <v>20</v>
      </c>
      <c r="J85">
        <f t="shared" ca="1" si="7"/>
        <v>7</v>
      </c>
      <c r="K85">
        <f t="shared" ca="1" si="8"/>
        <v>50</v>
      </c>
      <c r="L85">
        <f t="shared" ca="1" si="8"/>
        <v>33</v>
      </c>
      <c r="M85" s="6" t="str" cm="1">
        <f t="array" aca="1" ref="M85" ca="1">INDEX($A$2:$A$40,I85,1)</f>
        <v>Masculino</v>
      </c>
      <c r="N85" s="6" t="str" cm="1">
        <f t="array" aca="1" ref="N85" ca="1">INDEX($B$2:$B$40,I85,1)</f>
        <v>Luís</v>
      </c>
      <c r="O85" s="6" t="str" cm="1">
        <f t="array" aca="1" ref="O85" ca="1">INDEX($B$2:$B$40,J85,1)</f>
        <v>Catarina</v>
      </c>
      <c r="P85" s="6" t="str" cm="1">
        <f t="array" aca="1" ref="P85" ca="1">INDEX($E$2:$E$98,K85)</f>
        <v>Azevedo</v>
      </c>
      <c r="Q85" s="6" t="str" cm="1">
        <f t="array" aca="1" ref="Q85" ca="1">INDEX($E$2:$E$98,L85)</f>
        <v>Cunha</v>
      </c>
      <c r="S85" t="str">
        <f t="shared" ca="1" si="9"/>
        <v>Masculino</v>
      </c>
      <c r="T85" t="str">
        <f t="shared" ca="1" si="6"/>
        <v>Luís Catarina Azevedo Cunha</v>
      </c>
    </row>
    <row r="86" spans="5:20" x14ac:dyDescent="0.25">
      <c r="E86" t="s">
        <v>174</v>
      </c>
      <c r="I86">
        <f t="shared" ca="1" si="7"/>
        <v>6</v>
      </c>
      <c r="J86">
        <f t="shared" ca="1" si="7"/>
        <v>19</v>
      </c>
      <c r="K86">
        <f t="shared" ca="1" si="8"/>
        <v>35</v>
      </c>
      <c r="L86">
        <f t="shared" ca="1" si="8"/>
        <v>45</v>
      </c>
      <c r="M86" s="6" t="str" cm="1">
        <f t="array" aca="1" ref="M86" ca="1">INDEX($A$2:$A$40,I86,1)</f>
        <v>Feminino</v>
      </c>
      <c r="N86" s="6" t="str" cm="1">
        <f t="array" aca="1" ref="N86" ca="1">INDEX($B$2:$B$40,I86,1)</f>
        <v>Carolina</v>
      </c>
      <c r="O86" s="6" t="str" cm="1">
        <f t="array" aca="1" ref="O86" ca="1">INDEX($B$2:$B$40,J86,1)</f>
        <v>Leonor</v>
      </c>
      <c r="P86" s="6" t="str" cm="1">
        <f t="array" aca="1" ref="P86" ca="1">INDEX($E$2:$E$98,K86)</f>
        <v>Mendes</v>
      </c>
      <c r="Q86" s="6" t="str" cm="1">
        <f t="array" aca="1" ref="Q86" ca="1">INDEX($E$2:$E$98,L86)</f>
        <v>Barbosa</v>
      </c>
      <c r="S86" t="str">
        <f t="shared" ca="1" si="9"/>
        <v>Feminino</v>
      </c>
      <c r="T86" t="str">
        <f t="shared" ca="1" si="6"/>
        <v>Carolina Leonor Mendes Barbosa</v>
      </c>
    </row>
    <row r="87" spans="5:20" x14ac:dyDescent="0.25">
      <c r="E87" t="s">
        <v>175</v>
      </c>
      <c r="I87">
        <f t="shared" ca="1" si="7"/>
        <v>28</v>
      </c>
      <c r="J87">
        <f t="shared" ca="1" si="7"/>
        <v>24</v>
      </c>
      <c r="K87">
        <f t="shared" ca="1" si="8"/>
        <v>43</v>
      </c>
      <c r="L87">
        <f t="shared" ca="1" si="8"/>
        <v>81</v>
      </c>
      <c r="M87" s="6" t="str" cm="1">
        <f t="array" aca="1" ref="M87" ca="1">INDEX($A$2:$A$40,I87,1)</f>
        <v>Masculino</v>
      </c>
      <c r="N87" s="6" t="str" cm="1">
        <f t="array" aca="1" ref="N87" ca="1">INDEX($B$2:$B$40,I87,1)</f>
        <v>Miguel</v>
      </c>
      <c r="O87" s="6" t="str" cm="1">
        <f t="array" aca="1" ref="O87" ca="1">INDEX($B$2:$B$40,J87,1)</f>
        <v>Laura</v>
      </c>
      <c r="P87" s="6" t="str" cm="1">
        <f t="array" aca="1" ref="P87" ca="1">INDEX($E$2:$E$98,K87)</f>
        <v>Machado</v>
      </c>
      <c r="Q87" s="6" t="str" cm="1">
        <f t="array" aca="1" ref="Q87" ca="1">INDEX($E$2:$E$98,L87)</f>
        <v>Maia</v>
      </c>
      <c r="S87" t="str">
        <f t="shared" ca="1" si="9"/>
        <v>Masculino</v>
      </c>
      <c r="T87" t="str">
        <f t="shared" ca="1" si="6"/>
        <v>Miguel Laura Machado Maia</v>
      </c>
    </row>
    <row r="88" spans="5:20" x14ac:dyDescent="0.25">
      <c r="E88" t="s">
        <v>176</v>
      </c>
      <c r="I88">
        <f t="shared" ca="1" si="7"/>
        <v>23</v>
      </c>
      <c r="J88">
        <f t="shared" ca="1" si="7"/>
        <v>17</v>
      </c>
      <c r="K88">
        <f t="shared" ca="1" si="8"/>
        <v>11</v>
      </c>
      <c r="L88">
        <f t="shared" ca="1" si="8"/>
        <v>67</v>
      </c>
      <c r="M88" s="6" t="str" cm="1">
        <f t="array" aca="1" ref="M88" ca="1">INDEX($A$2:$A$40,I88,1)</f>
        <v>Feminino</v>
      </c>
      <c r="N88" s="6" t="str" cm="1">
        <f t="array" aca="1" ref="N88" ca="1">INDEX($B$2:$B$40,I88,1)</f>
        <v>Maria</v>
      </c>
      <c r="O88" s="6" t="str" cm="1">
        <f t="array" aca="1" ref="O88" ca="1">INDEX($B$2:$B$40,J88,1)</f>
        <v>João</v>
      </c>
      <c r="P88" s="6" t="str" cm="1">
        <f t="array" aca="1" ref="P88" ca="1">INDEX($E$2:$E$98,K88)</f>
        <v>Martins</v>
      </c>
      <c r="Q88" s="6" t="str" cm="1">
        <f t="array" aca="1" ref="Q88" ca="1">INDEX($E$2:$E$98,L88)</f>
        <v>Mota</v>
      </c>
      <c r="S88" t="str">
        <f t="shared" ca="1" si="9"/>
        <v>Feminino</v>
      </c>
      <c r="T88" t="str">
        <f t="shared" ca="1" si="6"/>
        <v>Maria João Martins Mota</v>
      </c>
    </row>
    <row r="89" spans="5:20" x14ac:dyDescent="0.25">
      <c r="E89" t="s">
        <v>177</v>
      </c>
      <c r="I89">
        <f t="shared" ca="1" si="7"/>
        <v>36</v>
      </c>
      <c r="J89">
        <f t="shared" ca="1" si="7"/>
        <v>34</v>
      </c>
      <c r="K89">
        <f t="shared" ca="1" si="8"/>
        <v>19</v>
      </c>
      <c r="L89">
        <f t="shared" ca="1" si="8"/>
        <v>40</v>
      </c>
      <c r="M89" s="6" t="str" cm="1">
        <f t="array" aca="1" ref="M89" ca="1">INDEX($A$2:$A$40,I89,1)</f>
        <v>Masculino</v>
      </c>
      <c r="N89" s="6" t="str" cm="1">
        <f t="array" aca="1" ref="N89" ca="1">INDEX($B$2:$B$40,I89,1)</f>
        <v>Tomás</v>
      </c>
      <c r="O89" s="6" t="str" cm="1">
        <f t="array" aca="1" ref="O89" ca="1">INDEX($B$2:$B$40,J89,1)</f>
        <v>Sofia</v>
      </c>
      <c r="P89" s="6" t="str" cm="1">
        <f t="array" aca="1" ref="P89" ca="1">INDEX($E$2:$E$98,K89)</f>
        <v>Lopes</v>
      </c>
      <c r="Q89" s="6" t="str" cm="1">
        <f t="array" aca="1" ref="Q89" ca="1">INDEX($E$2:$E$98,L89)</f>
        <v>Antunes</v>
      </c>
      <c r="S89" t="str">
        <f t="shared" ca="1" si="9"/>
        <v>Masculino</v>
      </c>
      <c r="T89" t="str">
        <f t="shared" ca="1" si="6"/>
        <v>Tomás Sofia Lopes Antunes</v>
      </c>
    </row>
    <row r="90" spans="5:20" x14ac:dyDescent="0.25">
      <c r="E90" t="s">
        <v>178</v>
      </c>
      <c r="I90">
        <f t="shared" ca="1" si="7"/>
        <v>20</v>
      </c>
      <c r="J90">
        <f t="shared" ca="1" si="7"/>
        <v>7</v>
      </c>
      <c r="K90">
        <f t="shared" ca="1" si="8"/>
        <v>32</v>
      </c>
      <c r="L90">
        <f t="shared" ca="1" si="8"/>
        <v>89</v>
      </c>
      <c r="M90" s="6" t="str" cm="1">
        <f t="array" aca="1" ref="M90" ca="1">INDEX($A$2:$A$40,I90,1)</f>
        <v>Masculino</v>
      </c>
      <c r="N90" s="6" t="str" cm="1">
        <f t="array" aca="1" ref="N90" ca="1">INDEX($B$2:$B$40,I90,1)</f>
        <v>Luís</v>
      </c>
      <c r="O90" s="6" t="str" cm="1">
        <f t="array" aca="1" ref="O90" ca="1">INDEX($B$2:$B$40,J90,1)</f>
        <v>Catarina</v>
      </c>
      <c r="P90" s="6" t="str" cm="1">
        <f t="array" aca="1" ref="P90" ca="1">INDEX($E$2:$E$98,K90)</f>
        <v>Silva</v>
      </c>
      <c r="Q90" s="6" t="str" cm="1">
        <f t="array" aca="1" ref="Q90" ca="1">INDEX($E$2:$E$98,L90)</f>
        <v>Amaral</v>
      </c>
      <c r="S90" t="str">
        <f t="shared" ca="1" si="9"/>
        <v>Masculino</v>
      </c>
      <c r="T90" t="str">
        <f t="shared" ca="1" si="6"/>
        <v>Luís Catarina Silva Amaral</v>
      </c>
    </row>
    <row r="91" spans="5:20" x14ac:dyDescent="0.25">
      <c r="E91" t="s">
        <v>179</v>
      </c>
      <c r="I91">
        <f t="shared" ca="1" si="7"/>
        <v>25</v>
      </c>
      <c r="J91">
        <f t="shared" ca="1" si="7"/>
        <v>39</v>
      </c>
      <c r="K91">
        <f t="shared" ca="1" si="8"/>
        <v>45</v>
      </c>
      <c r="L91">
        <f t="shared" ca="1" si="8"/>
        <v>46</v>
      </c>
      <c r="M91" s="6" t="str" cm="1">
        <f t="array" aca="1" ref="M91" ca="1">INDEX($A$2:$A$40,I91,1)</f>
        <v>Feminino</v>
      </c>
      <c r="N91" s="6" t="str" cm="1">
        <f t="array" aca="1" ref="N91" ca="1">INDEX($B$2:$B$40,I91,1)</f>
        <v>Mariana</v>
      </c>
      <c r="O91" s="6" t="str" cm="1">
        <f t="array" aca="1" ref="O91" ca="1">INDEX($B$2:$B$40,J91,1)</f>
        <v>Lara</v>
      </c>
      <c r="P91" s="6" t="str" cm="1">
        <f t="array" aca="1" ref="P91" ca="1">INDEX($E$2:$E$98,K91)</f>
        <v>Barbosa</v>
      </c>
      <c r="Q91" s="6" t="str" cm="1">
        <f t="array" aca="1" ref="Q91" ca="1">INDEX($E$2:$E$98,L91)</f>
        <v>Tavares</v>
      </c>
      <c r="S91" t="str">
        <f t="shared" ca="1" si="9"/>
        <v>Feminino</v>
      </c>
      <c r="T91" t="str">
        <f t="shared" ca="1" si="6"/>
        <v>Mariana Lara Barbosa Tavares</v>
      </c>
    </row>
    <row r="92" spans="5:20" x14ac:dyDescent="0.25">
      <c r="E92" t="s">
        <v>180</v>
      </c>
      <c r="I92">
        <f t="shared" ca="1" si="7"/>
        <v>34</v>
      </c>
      <c r="J92">
        <f t="shared" ca="1" si="7"/>
        <v>7</v>
      </c>
      <c r="K92">
        <f t="shared" ca="1" si="8"/>
        <v>3</v>
      </c>
      <c r="L92">
        <f t="shared" ca="1" si="8"/>
        <v>84</v>
      </c>
      <c r="M92" s="6" t="str" cm="1">
        <f t="array" aca="1" ref="M92" ca="1">INDEX($A$2:$A$40,I92,1)</f>
        <v>Feminino</v>
      </c>
      <c r="N92" s="6" t="str" cm="1">
        <f t="array" aca="1" ref="N92" ca="1">INDEX($B$2:$B$40,I92,1)</f>
        <v>Sofia</v>
      </c>
      <c r="O92" s="6" t="str" cm="1">
        <f t="array" aca="1" ref="O92" ca="1">INDEX($B$2:$B$40,J92,1)</f>
        <v>Catarina</v>
      </c>
      <c r="P92" s="6" t="str" cm="1">
        <f t="array" aca="1" ref="P92" ca="1">INDEX($E$2:$E$98,K92)</f>
        <v>Vieira</v>
      </c>
      <c r="Q92" s="6" t="str" cm="1">
        <f t="array" aca="1" ref="Q92" ca="1">INDEX($E$2:$E$98,L92)</f>
        <v>Domingues</v>
      </c>
      <c r="S92" t="str">
        <f t="shared" ca="1" si="9"/>
        <v>Feminino</v>
      </c>
      <c r="T92" t="str">
        <f t="shared" ca="1" si="6"/>
        <v>Sofia Catarina Vieira Domingues</v>
      </c>
    </row>
    <row r="93" spans="5:20" x14ac:dyDescent="0.25">
      <c r="E93" t="s">
        <v>181</v>
      </c>
      <c r="I93">
        <f t="shared" ca="1" si="7"/>
        <v>6</v>
      </c>
      <c r="J93">
        <f t="shared" ca="1" si="7"/>
        <v>31</v>
      </c>
      <c r="K93">
        <f t="shared" ca="1" si="8"/>
        <v>79</v>
      </c>
      <c r="L93">
        <f t="shared" ca="1" si="8"/>
        <v>73</v>
      </c>
      <c r="M93" s="6" t="str" cm="1">
        <f t="array" aca="1" ref="M93" ca="1">INDEX($A$2:$A$40,I93,1)</f>
        <v>Feminino</v>
      </c>
      <c r="N93" s="6" t="str" cm="1">
        <f t="array" aca="1" ref="N93" ca="1">INDEX($B$2:$B$40,I93,1)</f>
        <v>Carolina</v>
      </c>
      <c r="O93" s="6" t="str" cm="1">
        <f t="array" aca="1" ref="O93" ca="1">INDEX($B$2:$B$40,J93,1)</f>
        <v>Rodrigo</v>
      </c>
      <c r="P93" s="6" t="str" cm="1">
        <f t="array" aca="1" ref="P93" ca="1">INDEX($E$2:$E$98,K93)</f>
        <v>Gaspar</v>
      </c>
      <c r="Q93" s="6" t="str" cm="1">
        <f t="array" aca="1" ref="Q93" ca="1">INDEX($E$2:$E$98,L93)</f>
        <v>Abreu</v>
      </c>
      <c r="S93" t="str">
        <f t="shared" ca="1" si="9"/>
        <v>Feminino</v>
      </c>
      <c r="T93" t="str">
        <f t="shared" ca="1" si="6"/>
        <v>Carolina Rodrigo Gaspar Abreu</v>
      </c>
    </row>
    <row r="94" spans="5:20" x14ac:dyDescent="0.25">
      <c r="E94" t="s">
        <v>182</v>
      </c>
      <c r="I94">
        <f t="shared" ca="1" si="7"/>
        <v>8</v>
      </c>
      <c r="J94">
        <f t="shared" ca="1" si="7"/>
        <v>27</v>
      </c>
      <c r="K94">
        <f t="shared" ca="1" si="8"/>
        <v>40</v>
      </c>
      <c r="L94">
        <f t="shared" ca="1" si="8"/>
        <v>6</v>
      </c>
      <c r="M94" s="6" t="str" cm="1">
        <f t="array" aca="1" ref="M94" ca="1">INDEX($A$2:$A$40,I94,1)</f>
        <v>Feminino</v>
      </c>
      <c r="N94" s="6" t="str" cm="1">
        <f t="array" aca="1" ref="N94" ca="1">INDEX($B$2:$B$40,I94,1)</f>
        <v>Daniela</v>
      </c>
      <c r="O94" s="6" t="str" cm="1">
        <f t="array" aca="1" ref="O94" ca="1">INDEX($B$2:$B$40,J94,1)</f>
        <v>Matilde</v>
      </c>
      <c r="P94" s="6" t="str" cm="1">
        <f t="array" aca="1" ref="P94" ca="1">INDEX($E$2:$E$98,K94)</f>
        <v>Antunes</v>
      </c>
      <c r="Q94" s="6" t="str" cm="1">
        <f t="array" aca="1" ref="Q94" ca="1">INDEX($E$2:$E$98,L94)</f>
        <v>Almeida</v>
      </c>
      <c r="S94" t="str">
        <f t="shared" ca="1" si="9"/>
        <v>Feminino</v>
      </c>
      <c r="T94" t="str">
        <f t="shared" ca="1" si="6"/>
        <v>Daniela Matilde Antunes Almeida</v>
      </c>
    </row>
    <row r="95" spans="5:20" x14ac:dyDescent="0.25">
      <c r="E95" t="s">
        <v>183</v>
      </c>
      <c r="I95">
        <f t="shared" ca="1" si="7"/>
        <v>9</v>
      </c>
      <c r="J95">
        <f t="shared" ca="1" si="7"/>
        <v>22</v>
      </c>
      <c r="K95">
        <f t="shared" ca="1" si="8"/>
        <v>72</v>
      </c>
      <c r="L95">
        <f t="shared" ca="1" si="8"/>
        <v>28</v>
      </c>
      <c r="M95" s="6" t="str" cm="1">
        <f t="array" aca="1" ref="M95" ca="1">INDEX($A$2:$A$40,I95,1)</f>
        <v>Feminino</v>
      </c>
      <c r="N95" s="6" t="str" cm="1">
        <f t="array" aca="1" ref="N95" ca="1">INDEX($B$2:$B$40,I95,1)</f>
        <v>Diana</v>
      </c>
      <c r="O95" s="6" t="str" cm="1">
        <f t="array" aca="1" ref="O95" ca="1">INDEX($B$2:$B$40,J95,1)</f>
        <v>Marco</v>
      </c>
      <c r="P95" s="6" t="str" cm="1">
        <f t="array" aca="1" ref="P95" ca="1">INDEX($E$2:$E$98,K95)</f>
        <v>Leite</v>
      </c>
      <c r="Q95" s="6" t="str" cm="1">
        <f t="array" aca="1" ref="Q95" ca="1">INDEX($E$2:$E$98,L95)</f>
        <v>Jesus</v>
      </c>
      <c r="S95" t="str">
        <f t="shared" ca="1" si="9"/>
        <v>Feminino</v>
      </c>
      <c r="T95" t="str">
        <f t="shared" ca="1" si="6"/>
        <v>Diana Marco Leite Jesus</v>
      </c>
    </row>
    <row r="96" spans="5:20" x14ac:dyDescent="0.25">
      <c r="E96" t="s">
        <v>184</v>
      </c>
      <c r="I96">
        <f t="shared" ca="1" si="7"/>
        <v>28</v>
      </c>
      <c r="J96">
        <f t="shared" ca="1" si="7"/>
        <v>21</v>
      </c>
      <c r="K96">
        <f t="shared" ca="1" si="8"/>
        <v>24</v>
      </c>
      <c r="L96">
        <f t="shared" ca="1" si="8"/>
        <v>38</v>
      </c>
      <c r="M96" s="6" t="str" cm="1">
        <f t="array" aca="1" ref="M96" ca="1">INDEX($A$2:$A$40,I96,1)</f>
        <v>Masculino</v>
      </c>
      <c r="N96" s="6" t="str" cm="1">
        <f t="array" aca="1" ref="N96" ca="1">INDEX($B$2:$B$40,I96,1)</f>
        <v>Miguel</v>
      </c>
      <c r="O96" s="6" t="str" cm="1">
        <f t="array" aca="1" ref="O96" ca="1">INDEX($B$2:$B$40,J96,1)</f>
        <v>Lurdes</v>
      </c>
      <c r="P96" s="6" t="str" cm="1">
        <f t="array" aca="1" ref="P96" ca="1">INDEX($E$2:$E$98,K96)</f>
        <v>Ribeiro</v>
      </c>
      <c r="Q96" s="6" t="str" cm="1">
        <f t="array" aca="1" ref="Q96" ca="1">INDEX($E$2:$E$98,L96)</f>
        <v>Reis</v>
      </c>
      <c r="S96" t="str">
        <f t="shared" ca="1" si="9"/>
        <v>Masculino</v>
      </c>
      <c r="T96" t="str">
        <f t="shared" ca="1" si="6"/>
        <v>Miguel Lurdes Ribeiro Reis</v>
      </c>
    </row>
    <row r="97" spans="5:20" x14ac:dyDescent="0.25">
      <c r="E97" t="s">
        <v>185</v>
      </c>
      <c r="I97">
        <f t="shared" ca="1" si="7"/>
        <v>1</v>
      </c>
      <c r="J97">
        <f t="shared" ca="1" si="7"/>
        <v>3</v>
      </c>
      <c r="K97">
        <f t="shared" ca="1" si="8"/>
        <v>88</v>
      </c>
      <c r="L97">
        <f t="shared" ca="1" si="8"/>
        <v>38</v>
      </c>
      <c r="M97" s="6" t="str" cm="1">
        <f t="array" aca="1" ref="M97" ca="1">INDEX($A$2:$A$40,I97,1)</f>
        <v>Masculino</v>
      </c>
      <c r="N97" s="6" t="str" cm="1">
        <f t="array" aca="1" ref="N97" ca="1">INDEX($B$2:$B$40,I97,1)</f>
        <v>Afonso</v>
      </c>
      <c r="O97" s="6" t="str" cm="1">
        <f t="array" aca="1" ref="O97" ca="1">INDEX($B$2:$B$40,J97,1)</f>
        <v>André</v>
      </c>
      <c r="P97" s="6" t="str" cm="1">
        <f t="array" aca="1" ref="P97" ca="1">INDEX($E$2:$E$98,K97)</f>
        <v>Neto</v>
      </c>
      <c r="Q97" s="6" t="str" cm="1">
        <f t="array" aca="1" ref="Q97" ca="1">INDEX($E$2:$E$98,L97)</f>
        <v>Reis</v>
      </c>
      <c r="S97" t="str">
        <f t="shared" ca="1" si="9"/>
        <v>Masculino</v>
      </c>
      <c r="T97" t="str">
        <f t="shared" ca="1" si="6"/>
        <v>Afonso André Neto Reis</v>
      </c>
    </row>
    <row r="98" spans="5:20" x14ac:dyDescent="0.25">
      <c r="E98" t="s">
        <v>186</v>
      </c>
      <c r="I98">
        <f t="shared" ca="1" si="7"/>
        <v>9</v>
      </c>
      <c r="J98">
        <f t="shared" ca="1" si="7"/>
        <v>18</v>
      </c>
      <c r="K98">
        <f t="shared" ca="1" si="8"/>
        <v>81</v>
      </c>
      <c r="L98">
        <f t="shared" ca="1" si="8"/>
        <v>77</v>
      </c>
      <c r="M98" s="6" t="str" cm="1">
        <f t="array" aca="1" ref="M98" ca="1">INDEX($A$2:$A$40,I98,1)</f>
        <v>Feminino</v>
      </c>
      <c r="N98" s="6" t="str" cm="1">
        <f t="array" aca="1" ref="N98" ca="1">INDEX($B$2:$B$40,I98,1)</f>
        <v>Diana</v>
      </c>
      <c r="O98" s="6" t="str" cm="1">
        <f t="array" aca="1" ref="O98" ca="1">INDEX($B$2:$B$40,J98,1)</f>
        <v>José</v>
      </c>
      <c r="P98" s="6" t="str" cm="1">
        <f t="array" aca="1" ref="P98" ca="1">INDEX($E$2:$E$98,K98)</f>
        <v>Maia</v>
      </c>
      <c r="Q98" s="6" t="str" cm="1">
        <f t="array" aca="1" ref="Q98" ca="1">INDEX($E$2:$E$98,L98)</f>
        <v>Pinho</v>
      </c>
      <c r="S98" t="str">
        <f t="shared" ca="1" si="9"/>
        <v>Feminino</v>
      </c>
      <c r="T98" t="str">
        <f t="shared" ca="1" si="6"/>
        <v>Diana José Maia Pinho</v>
      </c>
    </row>
    <row r="99" spans="5:20" x14ac:dyDescent="0.25">
      <c r="I99">
        <f t="shared" ca="1" si="7"/>
        <v>29</v>
      </c>
      <c r="J99">
        <f t="shared" ca="1" si="7"/>
        <v>21</v>
      </c>
      <c r="K99">
        <f t="shared" ca="1" si="8"/>
        <v>30</v>
      </c>
      <c r="L99">
        <f t="shared" ca="1" si="8"/>
        <v>66</v>
      </c>
      <c r="M99" s="6" t="str" cm="1">
        <f t="array" aca="1" ref="M99" ca="1">INDEX($A$2:$A$40,I99,1)</f>
        <v>Masculino</v>
      </c>
      <c r="N99" s="6" t="str" cm="1">
        <f t="array" aca="1" ref="N99" ca="1">INDEX($B$2:$B$40,I99,1)</f>
        <v>Pedro</v>
      </c>
      <c r="O99" s="6" t="str" cm="1">
        <f t="array" aca="1" ref="O99" ca="1">INDEX($B$2:$B$40,J99,1)</f>
        <v>Lurdes</v>
      </c>
      <c r="P99" s="6" t="str" cm="1">
        <f t="array" aca="1" ref="P99" ca="1">INDEX($E$2:$E$98,K99)</f>
        <v>Monteiro</v>
      </c>
      <c r="Q99" s="6" t="str" cm="1">
        <f t="array" aca="1" ref="Q99" ca="1">INDEX($E$2:$E$98,L99)</f>
        <v>Campos</v>
      </c>
      <c r="S99" t="str">
        <f t="shared" ca="1" si="9"/>
        <v>Masculino</v>
      </c>
      <c r="T99" t="str">
        <f t="shared" ca="1" si="6"/>
        <v>Pedro Lurdes Monteiro Campos</v>
      </c>
    </row>
    <row r="100" spans="5:20" x14ac:dyDescent="0.25">
      <c r="I100">
        <f t="shared" ca="1" si="7"/>
        <v>29</v>
      </c>
      <c r="J100">
        <f t="shared" ca="1" si="7"/>
        <v>18</v>
      </c>
      <c r="K100">
        <f t="shared" ca="1" si="8"/>
        <v>5</v>
      </c>
      <c r="L100">
        <f t="shared" ca="1" si="8"/>
        <v>89</v>
      </c>
      <c r="M100" s="6" t="str" cm="1">
        <f t="array" aca="1" ref="M100" ca="1">INDEX($A$2:$A$40,I100,1)</f>
        <v>Masculino</v>
      </c>
      <c r="N100" s="6" t="str" cm="1">
        <f t="array" aca="1" ref="N100" ca="1">INDEX($B$2:$B$40,I100,1)</f>
        <v>Pedro</v>
      </c>
      <c r="O100" s="6" t="str" cm="1">
        <f t="array" aca="1" ref="O100" ca="1">INDEX($B$2:$B$40,J100,1)</f>
        <v>José</v>
      </c>
      <c r="P100" s="6" t="str" cm="1">
        <f t="array" aca="1" ref="P100" ca="1">INDEX($E$2:$E$98,K100)</f>
        <v>Nunes</v>
      </c>
      <c r="Q100" s="6" t="str" cm="1">
        <f t="array" aca="1" ref="Q100" ca="1">INDEX($E$2:$E$98,L100)</f>
        <v>Amaral</v>
      </c>
      <c r="S100" t="str">
        <f t="shared" ca="1" si="9"/>
        <v>Masculino</v>
      </c>
      <c r="T100" t="str">
        <f t="shared" ca="1" si="6"/>
        <v>Pedro José Nunes Amaral</v>
      </c>
    </row>
    <row r="101" spans="5:20" x14ac:dyDescent="0.25">
      <c r="I101">
        <f t="shared" ca="1" si="7"/>
        <v>1</v>
      </c>
      <c r="J101">
        <f t="shared" ca="1" si="7"/>
        <v>34</v>
      </c>
      <c r="K101">
        <f t="shared" ca="1" si="8"/>
        <v>17</v>
      </c>
      <c r="L101">
        <f t="shared" ca="1" si="8"/>
        <v>18</v>
      </c>
      <c r="M101" s="6" t="str" cm="1">
        <f t="array" aca="1" ref="M101" ca="1">INDEX($A$2:$A$40,I101,1)</f>
        <v>Masculino</v>
      </c>
      <c r="N101" s="6" t="str" cm="1">
        <f t="array" aca="1" ref="N101" ca="1">INDEX($B$2:$B$40,I101,1)</f>
        <v>Afonso</v>
      </c>
      <c r="O101" s="6" t="str" cm="1">
        <f t="array" aca="1" ref="O101" ca="1">INDEX($B$2:$B$40,J101,1)</f>
        <v>Sofia</v>
      </c>
      <c r="P101" s="6" t="str" cm="1">
        <f t="array" aca="1" ref="P101" ca="1">INDEX($E$2:$E$98,K101)</f>
        <v>Ferreira</v>
      </c>
      <c r="Q101" s="6" t="str" cm="1">
        <f t="array" aca="1" ref="Q101" ca="1">INDEX($E$2:$E$98,L101)</f>
        <v>Soares</v>
      </c>
      <c r="S101" t="str">
        <f t="shared" ca="1" si="9"/>
        <v>Masculino</v>
      </c>
      <c r="T101" t="str">
        <f t="shared" ca="1" si="6"/>
        <v>Afonso Sofia Ferreira Soares</v>
      </c>
    </row>
    <row r="102" spans="5:20" x14ac:dyDescent="0.25">
      <c r="I102">
        <f t="shared" ca="1" si="7"/>
        <v>37</v>
      </c>
      <c r="J102">
        <f t="shared" ca="1" si="7"/>
        <v>14</v>
      </c>
      <c r="K102">
        <f t="shared" ca="1" si="8"/>
        <v>11</v>
      </c>
      <c r="L102">
        <f t="shared" ca="1" si="8"/>
        <v>18</v>
      </c>
      <c r="M102" s="6" t="str" cm="1">
        <f t="array" aca="1" ref="M102" ca="1">INDEX($A$2:$A$40,I102,1)</f>
        <v>Feminino</v>
      </c>
      <c r="N102" s="6" t="str" cm="1">
        <f t="array" aca="1" ref="N102" ca="1">INDEX($B$2:$B$40,I102,1)</f>
        <v>Vera</v>
      </c>
      <c r="O102" s="6" t="str" cm="1">
        <f t="array" aca="1" ref="O102" ca="1">INDEX($B$2:$B$40,J102,1)</f>
        <v>Gabriel</v>
      </c>
      <c r="P102" s="6" t="str" cm="1">
        <f t="array" aca="1" ref="P102" ca="1">INDEX($E$2:$E$98,K102)</f>
        <v>Martins</v>
      </c>
      <c r="Q102" s="6" t="str" cm="1">
        <f t="array" aca="1" ref="Q102" ca="1">INDEX($E$2:$E$98,L102)</f>
        <v>Soares</v>
      </c>
      <c r="S102" t="str">
        <f t="shared" ca="1" si="9"/>
        <v>Feminino</v>
      </c>
      <c r="T102" t="str">
        <f t="shared" ca="1" si="6"/>
        <v>Vera Gabriel Martins Soares</v>
      </c>
    </row>
    <row r="103" spans="5:20" x14ac:dyDescent="0.25">
      <c r="I103">
        <f t="shared" ca="1" si="7"/>
        <v>33</v>
      </c>
      <c r="J103">
        <f t="shared" ca="1" si="7"/>
        <v>10</v>
      </c>
      <c r="K103">
        <f t="shared" ca="1" si="8"/>
        <v>33</v>
      </c>
      <c r="L103">
        <f t="shared" ca="1" si="8"/>
        <v>83</v>
      </c>
      <c r="M103" s="6" t="str" cm="1">
        <f t="array" aca="1" ref="M103" ca="1">INDEX($A$2:$A$40,I103,1)</f>
        <v>Feminino</v>
      </c>
      <c r="N103" s="6" t="str" cm="1">
        <f t="array" aca="1" ref="N103" ca="1">INDEX($B$2:$B$40,I103,1)</f>
        <v>Sara</v>
      </c>
      <c r="O103" s="6" t="str" cm="1">
        <f t="array" aca="1" ref="O103" ca="1">INDEX($B$2:$B$40,J103,1)</f>
        <v>Diogo</v>
      </c>
      <c r="P103" s="6" t="str" cm="1">
        <f t="array" aca="1" ref="P103" ca="1">INDEX($E$2:$E$98,K103)</f>
        <v>Cunha</v>
      </c>
      <c r="Q103" s="6" t="str" cm="1">
        <f t="array" aca="1" ref="Q103" ca="1">INDEX($E$2:$E$98,L103)</f>
        <v>Valente</v>
      </c>
      <c r="S103" t="str">
        <f t="shared" ca="1" si="9"/>
        <v>Feminino</v>
      </c>
      <c r="T103" t="str">
        <f t="shared" ca="1" si="6"/>
        <v>Sara Diogo Cunha Valente</v>
      </c>
    </row>
    <row r="104" spans="5:20" x14ac:dyDescent="0.25">
      <c r="I104">
        <f t="shared" ca="1" si="7"/>
        <v>5</v>
      </c>
      <c r="J104">
        <f t="shared" ca="1" si="7"/>
        <v>33</v>
      </c>
      <c r="K104">
        <f t="shared" ca="1" si="8"/>
        <v>40</v>
      </c>
      <c r="L104">
        <f t="shared" ca="1" si="8"/>
        <v>45</v>
      </c>
      <c r="M104" s="6" t="str" cm="1">
        <f t="array" aca="1" ref="M104" ca="1">INDEX($A$2:$A$40,I104,1)</f>
        <v>Masculino</v>
      </c>
      <c r="N104" s="6" t="str" cm="1">
        <f t="array" aca="1" ref="N104" ca="1">INDEX($B$2:$B$40,I104,1)</f>
        <v>Bruno</v>
      </c>
      <c r="O104" s="6" t="str" cm="1">
        <f t="array" aca="1" ref="O104" ca="1">INDEX($B$2:$B$40,J104,1)</f>
        <v>Sara</v>
      </c>
      <c r="P104" s="6" t="str" cm="1">
        <f t="array" aca="1" ref="P104" ca="1">INDEX($E$2:$E$98,K104)</f>
        <v>Antunes</v>
      </c>
      <c r="Q104" s="6" t="str" cm="1">
        <f t="array" aca="1" ref="Q104" ca="1">INDEX($E$2:$E$98,L104)</f>
        <v>Barbosa</v>
      </c>
      <c r="S104" t="str">
        <f t="shared" ca="1" si="9"/>
        <v>Masculino</v>
      </c>
      <c r="T104" t="str">
        <f t="shared" ca="1" si="6"/>
        <v>Bruno Sara Antunes Barbosa</v>
      </c>
    </row>
    <row r="105" spans="5:20" x14ac:dyDescent="0.25">
      <c r="I105">
        <f t="shared" ca="1" si="7"/>
        <v>17</v>
      </c>
      <c r="J105">
        <f t="shared" ca="1" si="7"/>
        <v>32</v>
      </c>
      <c r="K105">
        <f t="shared" ca="1" si="8"/>
        <v>38</v>
      </c>
      <c r="L105">
        <f t="shared" ca="1" si="8"/>
        <v>18</v>
      </c>
      <c r="M105" s="6" t="str" cm="1">
        <f t="array" aca="1" ref="M105" ca="1">INDEX($A$2:$A$40,I105,1)</f>
        <v>Masculino</v>
      </c>
      <c r="N105" s="6" t="str" cm="1">
        <f t="array" aca="1" ref="N105" ca="1">INDEX($B$2:$B$40,I105,1)</f>
        <v>João</v>
      </c>
      <c r="O105" s="6" t="str" cm="1">
        <f t="array" aca="1" ref="O105" ca="1">INDEX($B$2:$B$40,J105,1)</f>
        <v>Santiago</v>
      </c>
      <c r="P105" s="6" t="str" cm="1">
        <f t="array" aca="1" ref="P105" ca="1">INDEX($E$2:$E$98,K105)</f>
        <v>Reis</v>
      </c>
      <c r="Q105" s="6" t="str" cm="1">
        <f t="array" aca="1" ref="Q105" ca="1">INDEX($E$2:$E$98,L105)</f>
        <v>Soares</v>
      </c>
      <c r="S105" t="str">
        <f t="shared" ca="1" si="9"/>
        <v>Masculino</v>
      </c>
      <c r="T105" t="str">
        <f t="shared" ca="1" si="6"/>
        <v>João Santiago Reis Soares</v>
      </c>
    </row>
    <row r="106" spans="5:20" x14ac:dyDescent="0.25">
      <c r="I106">
        <f t="shared" ca="1" si="7"/>
        <v>11</v>
      </c>
      <c r="J106">
        <f t="shared" ca="1" si="7"/>
        <v>28</v>
      </c>
      <c r="K106">
        <f t="shared" ca="1" si="8"/>
        <v>42</v>
      </c>
      <c r="L106">
        <f t="shared" ca="1" si="8"/>
        <v>91</v>
      </c>
      <c r="M106" s="6" t="str" cm="1">
        <f t="array" aca="1" ref="M106" ca="1">INDEX($A$2:$A$40,I106,1)</f>
        <v>Masculino</v>
      </c>
      <c r="N106" s="6" t="str" cm="1">
        <f t="array" aca="1" ref="N106" ca="1">INDEX($B$2:$B$40,I106,1)</f>
        <v>Duarte</v>
      </c>
      <c r="O106" s="6" t="str" cm="1">
        <f t="array" aca="1" ref="O106" ca="1">INDEX($B$2:$B$40,J106,1)</f>
        <v>Miguel</v>
      </c>
      <c r="P106" s="6" t="str" cm="1">
        <f t="array" aca="1" ref="P106" ca="1">INDEX($E$2:$E$98,K106)</f>
        <v>Fonseca</v>
      </c>
      <c r="Q106" s="6" t="str" cm="1">
        <f t="array" aca="1" ref="Q106" ca="1">INDEX($E$2:$E$98,L106)</f>
        <v>Leal</v>
      </c>
      <c r="S106" t="str">
        <f t="shared" ca="1" si="9"/>
        <v>Masculino</v>
      </c>
      <c r="T106" t="str">
        <f t="shared" ca="1" si="6"/>
        <v>Duarte Miguel Fonseca Leal</v>
      </c>
    </row>
    <row r="107" spans="5:20" x14ac:dyDescent="0.25">
      <c r="I107">
        <f t="shared" ca="1" si="7"/>
        <v>27</v>
      </c>
      <c r="J107">
        <f t="shared" ca="1" si="7"/>
        <v>3</v>
      </c>
      <c r="K107">
        <f t="shared" ca="1" si="8"/>
        <v>7</v>
      </c>
      <c r="L107">
        <f t="shared" ca="1" si="8"/>
        <v>60</v>
      </c>
      <c r="M107" s="6" t="str" cm="1">
        <f t="array" aca="1" ref="M107" ca="1">INDEX($A$2:$A$40,I107,1)</f>
        <v>Feminino</v>
      </c>
      <c r="N107" s="6" t="str" cm="1">
        <f t="array" aca="1" ref="N107" ca="1">INDEX($B$2:$B$40,I107,1)</f>
        <v>Matilde</v>
      </c>
      <c r="O107" s="6" t="str" cm="1">
        <f t="array" aca="1" ref="O107" ca="1">INDEX($B$2:$B$40,J107,1)</f>
        <v>André</v>
      </c>
      <c r="P107" s="6" t="str" cm="1">
        <f t="array" aca="1" ref="P107" ca="1">INDEX($E$2:$E$98,K107)</f>
        <v>Coelho</v>
      </c>
      <c r="Q107" s="6" t="str" cm="1">
        <f t="array" aca="1" ref="Q107" ca="1">INDEX($E$2:$E$98,L107)</f>
        <v>Barros</v>
      </c>
      <c r="S107" t="str">
        <f t="shared" ca="1" si="9"/>
        <v>Feminino</v>
      </c>
      <c r="T107" t="str">
        <f t="shared" ca="1" si="6"/>
        <v>Matilde André Coelho Barros</v>
      </c>
    </row>
    <row r="108" spans="5:20" x14ac:dyDescent="0.25">
      <c r="I108">
        <f t="shared" ca="1" si="7"/>
        <v>12</v>
      </c>
      <c r="J108">
        <f t="shared" ca="1" si="7"/>
        <v>29</v>
      </c>
      <c r="K108">
        <f t="shared" ca="1" si="8"/>
        <v>74</v>
      </c>
      <c r="L108">
        <f t="shared" ca="1" si="8"/>
        <v>88</v>
      </c>
      <c r="M108" s="6" t="str" cm="1">
        <f t="array" aca="1" ref="M108" ca="1">INDEX($A$2:$A$40,I108,1)</f>
        <v>Feminino</v>
      </c>
      <c r="N108" s="6" t="str" cm="1">
        <f t="array" aca="1" ref="N108" ca="1">INDEX($B$2:$B$40,I108,1)</f>
        <v>Francisca</v>
      </c>
      <c r="O108" s="6" t="str" cm="1">
        <f t="array" aca="1" ref="O108" ca="1">INDEX($B$2:$B$40,J108,1)</f>
        <v>Pedro</v>
      </c>
      <c r="P108" s="6" t="str" cm="1">
        <f t="array" aca="1" ref="P108" ca="1">INDEX($E$2:$E$98,K108)</f>
        <v>Borges</v>
      </c>
      <c r="Q108" s="6" t="str" cm="1">
        <f t="array" aca="1" ref="Q108" ca="1">INDEX($E$2:$E$98,L108)</f>
        <v>Neto</v>
      </c>
      <c r="S108" t="str">
        <f t="shared" ca="1" si="9"/>
        <v>Feminino</v>
      </c>
      <c r="T108" t="str">
        <f t="shared" ca="1" si="6"/>
        <v>Francisca Pedro Borges Neto</v>
      </c>
    </row>
    <row r="109" spans="5:20" x14ac:dyDescent="0.25">
      <c r="I109">
        <f t="shared" ca="1" si="7"/>
        <v>2</v>
      </c>
      <c r="J109">
        <f t="shared" ca="1" si="7"/>
        <v>20</v>
      </c>
      <c r="K109">
        <f t="shared" ca="1" si="8"/>
        <v>70</v>
      </c>
      <c r="L109">
        <f t="shared" ca="1" si="8"/>
        <v>84</v>
      </c>
      <c r="M109" s="6" t="str" cm="1">
        <f t="array" aca="1" ref="M109" ca="1">INDEX($A$2:$A$40,I109,1)</f>
        <v>Feminino</v>
      </c>
      <c r="N109" s="6" t="str" cm="1">
        <f t="array" aca="1" ref="N109" ca="1">INDEX($B$2:$B$40,I109,1)</f>
        <v>Ana</v>
      </c>
      <c r="O109" s="6" t="str" cm="1">
        <f t="array" aca="1" ref="O109" ca="1">INDEX($B$2:$B$40,J109,1)</f>
        <v>Luís</v>
      </c>
      <c r="P109" s="6" t="str" cm="1">
        <f t="array" aca="1" ref="P109" ca="1">INDEX($E$2:$E$98,K109)</f>
        <v>Sá</v>
      </c>
      <c r="Q109" s="6" t="str" cm="1">
        <f t="array" aca="1" ref="Q109" ca="1">INDEX($E$2:$E$98,L109)</f>
        <v>Domingues</v>
      </c>
      <c r="S109" t="str">
        <f t="shared" ca="1" si="9"/>
        <v>Feminino</v>
      </c>
      <c r="T109" t="str">
        <f t="shared" ca="1" si="6"/>
        <v>Ana Luís Sá Domingues</v>
      </c>
    </row>
    <row r="110" spans="5:20" x14ac:dyDescent="0.25">
      <c r="I110">
        <f t="shared" ca="1" si="7"/>
        <v>22</v>
      </c>
      <c r="J110">
        <f t="shared" ca="1" si="7"/>
        <v>16</v>
      </c>
      <c r="K110">
        <f t="shared" ca="1" si="8"/>
        <v>41</v>
      </c>
      <c r="L110">
        <f t="shared" ca="1" si="8"/>
        <v>39</v>
      </c>
      <c r="M110" s="6" t="str" cm="1">
        <f t="array" aca="1" ref="M110" ca="1">INDEX($A$2:$A$40,I110,1)</f>
        <v>Masculino</v>
      </c>
      <c r="N110" s="6" t="str" cm="1">
        <f t="array" aca="1" ref="N110" ca="1">INDEX($B$2:$B$40,I110,1)</f>
        <v>Marco</v>
      </c>
      <c r="O110" s="6" t="str" cm="1">
        <f t="array" aca="1" ref="O110" ca="1">INDEX($B$2:$B$40,J110,1)</f>
        <v>Joana</v>
      </c>
      <c r="P110" s="6" t="str" cm="1">
        <f t="array" aca="1" ref="P110" ca="1">INDEX($E$2:$E$98,K110)</f>
        <v>Matos</v>
      </c>
      <c r="Q110" s="6" t="str" cm="1">
        <f t="array" aca="1" ref="Q110" ca="1">INDEX($E$2:$E$98,L110)</f>
        <v>Simões</v>
      </c>
      <c r="S110" t="str">
        <f t="shared" ca="1" si="9"/>
        <v>Masculino</v>
      </c>
      <c r="T110" t="str">
        <f t="shared" ca="1" si="6"/>
        <v>Marco Joana Matos Simões</v>
      </c>
    </row>
    <row r="111" spans="5:20" x14ac:dyDescent="0.25">
      <c r="I111">
        <f t="shared" ca="1" si="7"/>
        <v>38</v>
      </c>
      <c r="J111">
        <f t="shared" ca="1" si="7"/>
        <v>29</v>
      </c>
      <c r="K111">
        <f t="shared" ca="1" si="8"/>
        <v>36</v>
      </c>
      <c r="L111">
        <f t="shared" ca="1" si="8"/>
        <v>88</v>
      </c>
      <c r="M111" s="6" t="str" cm="1">
        <f t="array" aca="1" ref="M111" ca="1">INDEX($A$2:$A$40,I111,1)</f>
        <v>Masculino</v>
      </c>
      <c r="N111" s="6" t="str" cm="1">
        <f t="array" aca="1" ref="N111" ca="1">INDEX($B$2:$B$40,I111,1)</f>
        <v>Joaquim</v>
      </c>
      <c r="O111" s="6" t="str" cm="1">
        <f t="array" aca="1" ref="O111" ca="1">INDEX($B$2:$B$40,J111,1)</f>
        <v>Pedro</v>
      </c>
      <c r="P111" s="6" t="str" cm="1">
        <f t="array" aca="1" ref="P111" ca="1">INDEX($E$2:$E$98,K111)</f>
        <v>Rodrigues</v>
      </c>
      <c r="Q111" s="6" t="str" cm="1">
        <f t="array" aca="1" ref="Q111" ca="1">INDEX($E$2:$E$98,L111)</f>
        <v>Neto</v>
      </c>
      <c r="S111" t="str">
        <f t="shared" ca="1" si="9"/>
        <v>Masculino</v>
      </c>
      <c r="T111" t="str">
        <f t="shared" ca="1" si="6"/>
        <v>Joaquim Pedro Rodrigues Neto</v>
      </c>
    </row>
    <row r="112" spans="5:20" x14ac:dyDescent="0.25">
      <c r="I112">
        <f t="shared" ca="1" si="7"/>
        <v>33</v>
      </c>
      <c r="J112">
        <f t="shared" ca="1" si="7"/>
        <v>5</v>
      </c>
      <c r="K112">
        <f t="shared" ca="1" si="8"/>
        <v>4</v>
      </c>
      <c r="L112">
        <f t="shared" ca="1" si="8"/>
        <v>5</v>
      </c>
      <c r="M112" s="6" t="str" cm="1">
        <f t="array" aca="1" ref="M112" ca="1">INDEX($A$2:$A$40,I112,1)</f>
        <v>Feminino</v>
      </c>
      <c r="N112" s="6" t="str" cm="1">
        <f t="array" aca="1" ref="N112" ca="1">INDEX($B$2:$B$40,I112,1)</f>
        <v>Sara</v>
      </c>
      <c r="O112" s="6" t="str" cm="1">
        <f t="array" aca="1" ref="O112" ca="1">INDEX($B$2:$B$40,J112,1)</f>
        <v>Bruno</v>
      </c>
      <c r="P112" s="6" t="str" cm="1">
        <f t="array" aca="1" ref="P112" ca="1">INDEX($E$2:$E$98,K112)</f>
        <v>Alves</v>
      </c>
      <c r="Q112" s="6" t="str" cm="1">
        <f t="array" aca="1" ref="Q112" ca="1">INDEX($E$2:$E$98,L112)</f>
        <v>Nunes</v>
      </c>
      <c r="S112" t="str">
        <f t="shared" ca="1" si="9"/>
        <v>Feminino</v>
      </c>
      <c r="T112" t="str">
        <f t="shared" ca="1" si="6"/>
        <v>Sara Bruno Alves Nunes</v>
      </c>
    </row>
    <row r="113" spans="9:20" x14ac:dyDescent="0.25">
      <c r="I113">
        <f t="shared" ca="1" si="7"/>
        <v>13</v>
      </c>
      <c r="J113">
        <f t="shared" ca="1" si="7"/>
        <v>11</v>
      </c>
      <c r="K113">
        <f t="shared" ca="1" si="8"/>
        <v>91</v>
      </c>
      <c r="L113">
        <f t="shared" ca="1" si="8"/>
        <v>52</v>
      </c>
      <c r="M113" s="6" t="str" cm="1">
        <f t="array" aca="1" ref="M113" ca="1">INDEX($A$2:$A$40,I113,1)</f>
        <v>Masculino</v>
      </c>
      <c r="N113" s="6" t="str" cm="1">
        <f t="array" aca="1" ref="N113" ca="1">INDEX($B$2:$B$40,I113,1)</f>
        <v>Francisco</v>
      </c>
      <c r="O113" s="6" t="str" cm="1">
        <f t="array" aca="1" ref="O113" ca="1">INDEX($B$2:$B$40,J113,1)</f>
        <v>Duarte</v>
      </c>
      <c r="P113" s="6" t="str" cm="1">
        <f t="array" aca="1" ref="P113" ca="1">INDEX($E$2:$E$98,K113)</f>
        <v>Leal</v>
      </c>
      <c r="Q113" s="6" t="str" cm="1">
        <f t="array" aca="1" ref="Q113" ca="1">INDEX($E$2:$E$98,L113)</f>
        <v>Magalhães</v>
      </c>
      <c r="S113" t="str">
        <f t="shared" ca="1" si="9"/>
        <v>Masculino</v>
      </c>
      <c r="T113" t="str">
        <f t="shared" ca="1" si="6"/>
        <v>Francisco Duarte Leal Magalhães</v>
      </c>
    </row>
    <row r="114" spans="9:20" x14ac:dyDescent="0.25">
      <c r="I114">
        <f t="shared" ca="1" si="7"/>
        <v>36</v>
      </c>
      <c r="J114">
        <f t="shared" ca="1" si="7"/>
        <v>25</v>
      </c>
      <c r="K114">
        <f t="shared" ca="1" si="8"/>
        <v>25</v>
      </c>
      <c r="L114">
        <f t="shared" ca="1" si="8"/>
        <v>4</v>
      </c>
      <c r="M114" s="6" t="str" cm="1">
        <f t="array" aca="1" ref="M114" ca="1">INDEX($A$2:$A$40,I114,1)</f>
        <v>Masculino</v>
      </c>
      <c r="N114" s="6" t="str" cm="1">
        <f t="array" aca="1" ref="N114" ca="1">INDEX($B$2:$B$40,I114,1)</f>
        <v>Tomás</v>
      </c>
      <c r="O114" s="6" t="str" cm="1">
        <f t="array" aca="1" ref="O114" ca="1">INDEX($B$2:$B$40,J114,1)</f>
        <v>Mariana</v>
      </c>
      <c r="P114" s="6" t="str" cm="1">
        <f t="array" aca="1" ref="P114" ca="1">INDEX($E$2:$E$98,K114)</f>
        <v>Cruz</v>
      </c>
      <c r="Q114" s="6" t="str" cm="1">
        <f t="array" aca="1" ref="Q114" ca="1">INDEX($E$2:$E$98,L114)</f>
        <v>Alves</v>
      </c>
      <c r="S114" t="str">
        <f t="shared" ca="1" si="9"/>
        <v>Masculino</v>
      </c>
      <c r="T114" t="str">
        <f t="shared" ca="1" si="6"/>
        <v>Tomás Mariana Cruz Alves</v>
      </c>
    </row>
    <row r="115" spans="9:20" x14ac:dyDescent="0.25">
      <c r="I115">
        <f t="shared" ca="1" si="7"/>
        <v>32</v>
      </c>
      <c r="J115">
        <f t="shared" ca="1" si="7"/>
        <v>13</v>
      </c>
      <c r="K115">
        <f t="shared" ca="1" si="8"/>
        <v>68</v>
      </c>
      <c r="L115">
        <f t="shared" ca="1" si="8"/>
        <v>89</v>
      </c>
      <c r="M115" s="6" t="str" cm="1">
        <f t="array" aca="1" ref="M115" ca="1">INDEX($A$2:$A$40,I115,1)</f>
        <v>Masculino</v>
      </c>
      <c r="N115" s="6" t="str" cm="1">
        <f t="array" aca="1" ref="N115" ca="1">INDEX($B$2:$B$40,I115,1)</f>
        <v>Santiago</v>
      </c>
      <c r="O115" s="6" t="str" cm="1">
        <f t="array" aca="1" ref="O115" ca="1">INDEX($B$2:$B$40,J115,1)</f>
        <v>Francisco</v>
      </c>
      <c r="P115" s="6" t="str" cm="1">
        <f t="array" aca="1" ref="P115" ca="1">INDEX($E$2:$E$98,K115)</f>
        <v>Andrade</v>
      </c>
      <c r="Q115" s="6" t="str" cm="1">
        <f t="array" aca="1" ref="Q115" ca="1">INDEX($E$2:$E$98,L115)</f>
        <v>Amaral</v>
      </c>
      <c r="S115" t="str">
        <f t="shared" ca="1" si="9"/>
        <v>Masculino</v>
      </c>
      <c r="T115" t="str">
        <f t="shared" ca="1" si="6"/>
        <v>Santiago Francisco Andrade Amaral</v>
      </c>
    </row>
    <row r="116" spans="9:20" x14ac:dyDescent="0.25">
      <c r="I116">
        <f t="shared" ca="1" si="7"/>
        <v>36</v>
      </c>
      <c r="J116">
        <f t="shared" ca="1" si="7"/>
        <v>25</v>
      </c>
      <c r="K116">
        <f t="shared" ca="1" si="8"/>
        <v>85</v>
      </c>
      <c r="L116">
        <f t="shared" ca="1" si="8"/>
        <v>25</v>
      </c>
      <c r="M116" s="6" t="str" cm="1">
        <f t="array" aca="1" ref="M116" ca="1">INDEX($A$2:$A$40,I116,1)</f>
        <v>Masculino</v>
      </c>
      <c r="N116" s="6" t="str" cm="1">
        <f t="array" aca="1" ref="N116" ca="1">INDEX($B$2:$B$40,I116,1)</f>
        <v>Tomás</v>
      </c>
      <c r="O116" s="6" t="str" cm="1">
        <f t="array" aca="1" ref="O116" ca="1">INDEX($B$2:$B$40,J116,1)</f>
        <v>Mariana</v>
      </c>
      <c r="P116" s="6" t="str" cm="1">
        <f t="array" aca="1" ref="P116" ca="1">INDEX($E$2:$E$98,K116)</f>
        <v>Garcia</v>
      </c>
      <c r="Q116" s="6" t="str" cm="1">
        <f t="array" aca="1" ref="Q116" ca="1">INDEX($E$2:$E$98,L116)</f>
        <v>Cruz</v>
      </c>
      <c r="S116" t="str">
        <f t="shared" ca="1" si="9"/>
        <v>Masculino</v>
      </c>
      <c r="T116" t="str">
        <f t="shared" ca="1" si="6"/>
        <v>Tomás Mariana Garcia Cruz</v>
      </c>
    </row>
    <row r="117" spans="9:20" x14ac:dyDescent="0.25">
      <c r="I117">
        <f t="shared" ca="1" si="7"/>
        <v>16</v>
      </c>
      <c r="J117">
        <f t="shared" ca="1" si="7"/>
        <v>15</v>
      </c>
      <c r="K117">
        <f t="shared" ca="1" si="8"/>
        <v>70</v>
      </c>
      <c r="L117">
        <f t="shared" ca="1" si="8"/>
        <v>8</v>
      </c>
      <c r="M117" s="6" t="str" cm="1">
        <f t="array" aca="1" ref="M117" ca="1">INDEX($A$2:$A$40,I117,1)</f>
        <v>Feminino</v>
      </c>
      <c r="N117" s="6" t="str" cm="1">
        <f t="array" aca="1" ref="N117" ca="1">INDEX($B$2:$B$40,I117,1)</f>
        <v>Joana</v>
      </c>
      <c r="O117" s="6" t="str" cm="1">
        <f t="array" aca="1" ref="O117" ca="1">INDEX($B$2:$B$40,J117,1)</f>
        <v>Inês</v>
      </c>
      <c r="P117" s="6" t="str" cm="1">
        <f t="array" aca="1" ref="P117" ca="1">INDEX($E$2:$E$98,K117)</f>
        <v>Sá</v>
      </c>
      <c r="Q117" s="6" t="str" cm="1">
        <f t="array" aca="1" ref="Q117" ca="1">INDEX($E$2:$E$98,L117)</f>
        <v>Pires</v>
      </c>
      <c r="S117" t="str">
        <f t="shared" ca="1" si="9"/>
        <v>Feminino</v>
      </c>
      <c r="T117" t="str">
        <f t="shared" ref="T117:T180" ca="1" si="10">N117 &amp; " " &amp; O117 &amp; " " &amp; P117  &amp; " " &amp; Q117</f>
        <v>Joana Inês Sá Pires</v>
      </c>
    </row>
    <row r="118" spans="9:20" x14ac:dyDescent="0.25">
      <c r="I118">
        <f t="shared" ca="1" si="7"/>
        <v>16</v>
      </c>
      <c r="J118">
        <f t="shared" ca="1" si="7"/>
        <v>3</v>
      </c>
      <c r="K118">
        <f t="shared" ca="1" si="8"/>
        <v>53</v>
      </c>
      <c r="L118">
        <f t="shared" ca="1" si="8"/>
        <v>33</v>
      </c>
      <c r="M118" s="6" t="str" cm="1">
        <f t="array" aca="1" ref="M118" ca="1">INDEX($A$2:$A$40,I118,1)</f>
        <v>Feminino</v>
      </c>
      <c r="N118" s="6" t="str" cm="1">
        <f t="array" aca="1" ref="N118" ca="1">INDEX($B$2:$B$40,I118,1)</f>
        <v>Joana</v>
      </c>
      <c r="O118" s="6" t="str" cm="1">
        <f t="array" aca="1" ref="O118" ca="1">INDEX($B$2:$B$40,J118,1)</f>
        <v>André</v>
      </c>
      <c r="P118" s="6" t="str" cm="1">
        <f t="array" aca="1" ref="P118" ca="1">INDEX($E$2:$E$98,K118)</f>
        <v>Henriques</v>
      </c>
      <c r="Q118" s="6" t="str" cm="1">
        <f t="array" aca="1" ref="Q118" ca="1">INDEX($E$2:$E$98,L118)</f>
        <v>Cunha</v>
      </c>
      <c r="S118" t="str">
        <f t="shared" ca="1" si="9"/>
        <v>Feminino</v>
      </c>
      <c r="T118" t="str">
        <f t="shared" ca="1" si="10"/>
        <v>Joana André Henriques Cunha</v>
      </c>
    </row>
    <row r="119" spans="9:20" x14ac:dyDescent="0.25">
      <c r="I119">
        <f t="shared" ca="1" si="7"/>
        <v>19</v>
      </c>
      <c r="J119">
        <f t="shared" ca="1" si="7"/>
        <v>39</v>
      </c>
      <c r="K119">
        <f t="shared" ca="1" si="8"/>
        <v>65</v>
      </c>
      <c r="L119">
        <f t="shared" ca="1" si="8"/>
        <v>73</v>
      </c>
      <c r="M119" s="6" t="str" cm="1">
        <f t="array" aca="1" ref="M119" ca="1">INDEX($A$2:$A$40,I119,1)</f>
        <v>Feminino</v>
      </c>
      <c r="N119" s="6" t="str" cm="1">
        <f t="array" aca="1" ref="N119" ca="1">INDEX($B$2:$B$40,I119,1)</f>
        <v>Leonor</v>
      </c>
      <c r="O119" s="6" t="str" cm="1">
        <f t="array" aca="1" ref="O119" ca="1">INDEX($B$2:$B$40,J119,1)</f>
        <v>Lara</v>
      </c>
      <c r="P119" s="6" t="str" cm="1">
        <f t="array" aca="1" ref="P119" ca="1">INDEX($E$2:$E$98,K119)</f>
        <v>Baptista</v>
      </c>
      <c r="Q119" s="6" t="str" cm="1">
        <f t="array" aca="1" ref="Q119" ca="1">INDEX($E$2:$E$98,L119)</f>
        <v>Abreu</v>
      </c>
      <c r="S119" t="str">
        <f t="shared" ca="1" si="9"/>
        <v>Feminino</v>
      </c>
      <c r="T119" t="str">
        <f t="shared" ca="1" si="10"/>
        <v>Leonor Lara Baptista Abreu</v>
      </c>
    </row>
    <row r="120" spans="9:20" x14ac:dyDescent="0.25">
      <c r="I120">
        <f t="shared" ca="1" si="7"/>
        <v>26</v>
      </c>
      <c r="J120">
        <f t="shared" ca="1" si="7"/>
        <v>26</v>
      </c>
      <c r="K120">
        <f t="shared" ca="1" si="8"/>
        <v>62</v>
      </c>
      <c r="L120">
        <f t="shared" ca="1" si="8"/>
        <v>82</v>
      </c>
      <c r="M120" s="6" t="str" cm="1">
        <f t="array" aca="1" ref="M120" ca="1">INDEX($A$2:$A$40,I120,1)</f>
        <v>Masculino</v>
      </c>
      <c r="N120" s="6" t="str" cm="1">
        <f t="array" aca="1" ref="N120" ca="1">INDEX($B$2:$B$40,I120,1)</f>
        <v>Martim</v>
      </c>
      <c r="O120" s="6" t="str" cm="1">
        <f t="array" aca="1" ref="O120" ca="1">INDEX($B$2:$B$40,J120,1)</f>
        <v>Martim</v>
      </c>
      <c r="P120" s="6" t="str" cm="1">
        <f t="array" aca="1" ref="P120" ca="1">INDEX($E$2:$E$98,K120)</f>
        <v>Nogueira</v>
      </c>
      <c r="Q120" s="6" t="str" cm="1">
        <f t="array" aca="1" ref="Q120" ca="1">INDEX($E$2:$E$98,L120)</f>
        <v>Moura</v>
      </c>
      <c r="S120" t="str">
        <f t="shared" ca="1" si="9"/>
        <v>Masculino</v>
      </c>
      <c r="T120" t="str">
        <f t="shared" ca="1" si="10"/>
        <v>Martim Martim Nogueira Moura</v>
      </c>
    </row>
    <row r="121" spans="9:20" x14ac:dyDescent="0.25">
      <c r="I121">
        <f t="shared" ca="1" si="7"/>
        <v>25</v>
      </c>
      <c r="J121">
        <f t="shared" ca="1" si="7"/>
        <v>10</v>
      </c>
      <c r="K121">
        <f t="shared" ca="1" si="8"/>
        <v>26</v>
      </c>
      <c r="L121">
        <f t="shared" ca="1" si="8"/>
        <v>65</v>
      </c>
      <c r="M121" s="6" t="str" cm="1">
        <f t="array" aca="1" ref="M121" ca="1">INDEX($A$2:$A$40,I121,1)</f>
        <v>Feminino</v>
      </c>
      <c r="N121" s="6" t="str" cm="1">
        <f t="array" aca="1" ref="N121" ca="1">INDEX($B$2:$B$40,I121,1)</f>
        <v>Mariana</v>
      </c>
      <c r="O121" s="6" t="str" cm="1">
        <f t="array" aca="1" ref="O121" ca="1">INDEX($B$2:$B$40,J121,1)</f>
        <v>Diogo</v>
      </c>
      <c r="P121" s="6" t="str" cm="1">
        <f t="array" aca="1" ref="P121" ca="1">INDEX($E$2:$E$98,K121)</f>
        <v>Costa</v>
      </c>
      <c r="Q121" s="6" t="str" cm="1">
        <f t="array" aca="1" ref="Q121" ca="1">INDEX($E$2:$E$98,L121)</f>
        <v>Baptista</v>
      </c>
      <c r="S121" t="str">
        <f t="shared" ca="1" si="9"/>
        <v>Feminino</v>
      </c>
      <c r="T121" t="str">
        <f t="shared" ca="1" si="10"/>
        <v>Mariana Diogo Costa Baptista</v>
      </c>
    </row>
    <row r="122" spans="9:20" x14ac:dyDescent="0.25">
      <c r="I122">
        <f t="shared" ca="1" si="7"/>
        <v>38</v>
      </c>
      <c r="J122">
        <f t="shared" ca="1" si="7"/>
        <v>25</v>
      </c>
      <c r="K122">
        <f t="shared" ca="1" si="8"/>
        <v>41</v>
      </c>
      <c r="L122">
        <f t="shared" ca="1" si="8"/>
        <v>3</v>
      </c>
      <c r="M122" s="6" t="str" cm="1">
        <f t="array" aca="1" ref="M122" ca="1">INDEX($A$2:$A$40,I122,1)</f>
        <v>Masculino</v>
      </c>
      <c r="N122" s="6" t="str" cm="1">
        <f t="array" aca="1" ref="N122" ca="1">INDEX($B$2:$B$40,I122,1)</f>
        <v>Joaquim</v>
      </c>
      <c r="O122" s="6" t="str" cm="1">
        <f t="array" aca="1" ref="O122" ca="1">INDEX($B$2:$B$40,J122,1)</f>
        <v>Mariana</v>
      </c>
      <c r="P122" s="6" t="str" cm="1">
        <f t="array" aca="1" ref="P122" ca="1">INDEX($E$2:$E$98,K122)</f>
        <v>Matos</v>
      </c>
      <c r="Q122" s="6" t="str" cm="1">
        <f t="array" aca="1" ref="Q122" ca="1">INDEX($E$2:$E$98,L122)</f>
        <v>Vieira</v>
      </c>
      <c r="S122" t="str">
        <f t="shared" ca="1" si="9"/>
        <v>Masculino</v>
      </c>
      <c r="T122" t="str">
        <f t="shared" ca="1" si="10"/>
        <v>Joaquim Mariana Matos Vieira</v>
      </c>
    </row>
    <row r="123" spans="9:20" x14ac:dyDescent="0.25">
      <c r="I123">
        <f t="shared" ca="1" si="7"/>
        <v>36</v>
      </c>
      <c r="J123">
        <f t="shared" ca="1" si="7"/>
        <v>15</v>
      </c>
      <c r="K123">
        <f t="shared" ca="1" si="8"/>
        <v>87</v>
      </c>
      <c r="L123">
        <f t="shared" ca="1" si="8"/>
        <v>29</v>
      </c>
      <c r="M123" s="6" t="str" cm="1">
        <f t="array" aca="1" ref="M123" ca="1">INDEX($A$2:$A$40,I123,1)</f>
        <v>Masculino</v>
      </c>
      <c r="N123" s="6" t="str" cm="1">
        <f t="array" aca="1" ref="N123" ca="1">INDEX($B$2:$B$40,I123,1)</f>
        <v>Tomás</v>
      </c>
      <c r="O123" s="6" t="str" cm="1">
        <f t="array" aca="1" ref="O123" ca="1">INDEX($B$2:$B$40,J123,1)</f>
        <v>Inês</v>
      </c>
      <c r="P123" s="6" t="str" cm="1">
        <f t="array" aca="1" ref="P123" ca="1">INDEX($E$2:$E$98,K123)</f>
        <v>Loureiro</v>
      </c>
      <c r="Q123" s="6" t="str" cm="1">
        <f t="array" aca="1" ref="Q123" ca="1">INDEX($E$2:$E$98,L123)</f>
        <v>Fernandes</v>
      </c>
      <c r="S123" t="str">
        <f t="shared" ca="1" si="9"/>
        <v>Masculino</v>
      </c>
      <c r="T123" t="str">
        <f t="shared" ca="1" si="10"/>
        <v>Tomás Inês Loureiro Fernandes</v>
      </c>
    </row>
    <row r="124" spans="9:20" x14ac:dyDescent="0.25">
      <c r="I124">
        <f t="shared" ca="1" si="7"/>
        <v>1</v>
      </c>
      <c r="J124">
        <f t="shared" ca="1" si="7"/>
        <v>15</v>
      </c>
      <c r="K124">
        <f t="shared" ca="1" si="8"/>
        <v>47</v>
      </c>
      <c r="L124">
        <f t="shared" ca="1" si="8"/>
        <v>28</v>
      </c>
      <c r="M124" s="6" t="str" cm="1">
        <f t="array" aca="1" ref="M124" ca="1">INDEX($A$2:$A$40,I124,1)</f>
        <v>Masculino</v>
      </c>
      <c r="N124" s="6" t="str" cm="1">
        <f t="array" aca="1" ref="N124" ca="1">INDEX($B$2:$B$40,I124,1)</f>
        <v>Afonso</v>
      </c>
      <c r="O124" s="6" t="str" cm="1">
        <f t="array" aca="1" ref="O124" ca="1">INDEX($B$2:$B$40,J124,1)</f>
        <v>Inês</v>
      </c>
      <c r="P124" s="6" t="str" cm="1">
        <f t="array" aca="1" ref="P124" ca="1">INDEX($E$2:$E$98,K124)</f>
        <v>Lourenço</v>
      </c>
      <c r="Q124" s="6" t="str" cm="1">
        <f t="array" aca="1" ref="Q124" ca="1">INDEX($E$2:$E$98,L124)</f>
        <v>Jesus</v>
      </c>
      <c r="S124" t="str">
        <f t="shared" ca="1" si="9"/>
        <v>Masculino</v>
      </c>
      <c r="T124" t="str">
        <f t="shared" ca="1" si="10"/>
        <v>Afonso Inês Lourenço Jesus</v>
      </c>
    </row>
    <row r="125" spans="9:20" x14ac:dyDescent="0.25">
      <c r="I125">
        <f t="shared" ca="1" si="7"/>
        <v>34</v>
      </c>
      <c r="J125">
        <f t="shared" ca="1" si="7"/>
        <v>24</v>
      </c>
      <c r="K125">
        <f t="shared" ca="1" si="8"/>
        <v>54</v>
      </c>
      <c r="L125">
        <f t="shared" ca="1" si="8"/>
        <v>60</v>
      </c>
      <c r="M125" s="6" t="str" cm="1">
        <f t="array" aca="1" ref="M125" ca="1">INDEX($A$2:$A$40,I125,1)</f>
        <v>Feminino</v>
      </c>
      <c r="N125" s="6" t="str" cm="1">
        <f t="array" aca="1" ref="N125" ca="1">INDEX($B$2:$B$40,I125,1)</f>
        <v>Sofia</v>
      </c>
      <c r="O125" s="6" t="str" cm="1">
        <f t="array" aca="1" ref="O125" ca="1">INDEX($B$2:$B$40,J125,1)</f>
        <v>Laura</v>
      </c>
      <c r="P125" s="6" t="str" cm="1">
        <f t="array" aca="1" ref="P125" ca="1">INDEX($E$2:$E$98,K125)</f>
        <v>Lima</v>
      </c>
      <c r="Q125" s="6" t="str" cm="1">
        <f t="array" aca="1" ref="Q125" ca="1">INDEX($E$2:$E$98,L125)</f>
        <v>Barros</v>
      </c>
      <c r="S125" t="str">
        <f t="shared" ca="1" si="9"/>
        <v>Feminino</v>
      </c>
      <c r="T125" t="str">
        <f t="shared" ca="1" si="10"/>
        <v>Sofia Laura Lima Barros</v>
      </c>
    </row>
    <row r="126" spans="9:20" x14ac:dyDescent="0.25">
      <c r="I126">
        <f t="shared" ca="1" si="7"/>
        <v>12</v>
      </c>
      <c r="J126">
        <f t="shared" ca="1" si="7"/>
        <v>24</v>
      </c>
      <c r="K126">
        <f t="shared" ca="1" si="8"/>
        <v>31</v>
      </c>
      <c r="L126">
        <f t="shared" ca="1" si="8"/>
        <v>70</v>
      </c>
      <c r="M126" s="6" t="str" cm="1">
        <f t="array" aca="1" ref="M126" ca="1">INDEX($A$2:$A$40,I126,1)</f>
        <v>Feminino</v>
      </c>
      <c r="N126" s="6" t="str" cm="1">
        <f t="array" aca="1" ref="N126" ca="1">INDEX($B$2:$B$40,I126,1)</f>
        <v>Francisca</v>
      </c>
      <c r="O126" s="6" t="str" cm="1">
        <f t="array" aca="1" ref="O126" ca="1">INDEX($B$2:$B$40,J126,1)</f>
        <v>Laura</v>
      </c>
      <c r="P126" s="6" t="str" cm="1">
        <f t="array" aca="1" ref="P126" ca="1">INDEX($E$2:$E$98,K126)</f>
        <v>Oliveira</v>
      </c>
      <c r="Q126" s="6" t="str" cm="1">
        <f t="array" aca="1" ref="Q126" ca="1">INDEX($E$2:$E$98,L126)</f>
        <v>Sá</v>
      </c>
      <c r="S126" t="str">
        <f t="shared" ca="1" si="9"/>
        <v>Feminino</v>
      </c>
      <c r="T126" t="str">
        <f t="shared" ca="1" si="10"/>
        <v>Francisca Laura Oliveira Sá</v>
      </c>
    </row>
    <row r="127" spans="9:20" x14ac:dyDescent="0.25">
      <c r="I127">
        <f t="shared" ca="1" si="7"/>
        <v>32</v>
      </c>
      <c r="J127">
        <f t="shared" ca="1" si="7"/>
        <v>39</v>
      </c>
      <c r="K127">
        <f t="shared" ca="1" si="8"/>
        <v>11</v>
      </c>
      <c r="L127">
        <f t="shared" ca="1" si="8"/>
        <v>81</v>
      </c>
      <c r="M127" s="6" t="str" cm="1">
        <f t="array" aca="1" ref="M127" ca="1">INDEX($A$2:$A$40,I127,1)</f>
        <v>Masculino</v>
      </c>
      <c r="N127" s="6" t="str" cm="1">
        <f t="array" aca="1" ref="N127" ca="1">INDEX($B$2:$B$40,I127,1)</f>
        <v>Santiago</v>
      </c>
      <c r="O127" s="6" t="str" cm="1">
        <f t="array" aca="1" ref="O127" ca="1">INDEX($B$2:$B$40,J127,1)</f>
        <v>Lara</v>
      </c>
      <c r="P127" s="6" t="str" cm="1">
        <f t="array" aca="1" ref="P127" ca="1">INDEX($E$2:$E$98,K127)</f>
        <v>Martins</v>
      </c>
      <c r="Q127" s="6" t="str" cm="1">
        <f t="array" aca="1" ref="Q127" ca="1">INDEX($E$2:$E$98,L127)</f>
        <v>Maia</v>
      </c>
      <c r="S127" t="str">
        <f t="shared" ca="1" si="9"/>
        <v>Masculino</v>
      </c>
      <c r="T127" t="str">
        <f t="shared" ca="1" si="10"/>
        <v>Santiago Lara Martins Maia</v>
      </c>
    </row>
    <row r="128" spans="9:20" x14ac:dyDescent="0.25">
      <c r="I128">
        <f t="shared" ca="1" si="7"/>
        <v>18</v>
      </c>
      <c r="J128">
        <f t="shared" ca="1" si="7"/>
        <v>3</v>
      </c>
      <c r="K128">
        <f t="shared" ca="1" si="8"/>
        <v>27</v>
      </c>
      <c r="L128">
        <f t="shared" ca="1" si="8"/>
        <v>6</v>
      </c>
      <c r="M128" s="6" t="str" cm="1">
        <f t="array" aca="1" ref="M128" ca="1">INDEX($A$2:$A$40,I128,1)</f>
        <v>Masculino</v>
      </c>
      <c r="N128" s="6" t="str" cm="1">
        <f t="array" aca="1" ref="N128" ca="1">INDEX($B$2:$B$40,I128,1)</f>
        <v>José</v>
      </c>
      <c r="O128" s="6" t="str" cm="1">
        <f t="array" aca="1" ref="O128" ca="1">INDEX($B$2:$B$40,J128,1)</f>
        <v>André</v>
      </c>
      <c r="P128" s="6" t="str" cm="1">
        <f t="array" aca="1" ref="P128" ca="1">INDEX($E$2:$E$98,K128)</f>
        <v>Marques</v>
      </c>
      <c r="Q128" s="6" t="str" cm="1">
        <f t="array" aca="1" ref="Q128" ca="1">INDEX($E$2:$E$98,L128)</f>
        <v>Almeida</v>
      </c>
      <c r="S128" t="str">
        <f t="shared" ca="1" si="9"/>
        <v>Masculino</v>
      </c>
      <c r="T128" t="str">
        <f t="shared" ca="1" si="10"/>
        <v>José André Marques Almeida</v>
      </c>
    </row>
    <row r="129" spans="9:20" x14ac:dyDescent="0.25">
      <c r="I129">
        <f t="shared" ca="1" si="7"/>
        <v>9</v>
      </c>
      <c r="J129">
        <f t="shared" ca="1" si="7"/>
        <v>13</v>
      </c>
      <c r="K129">
        <f t="shared" ca="1" si="8"/>
        <v>56</v>
      </c>
      <c r="L129">
        <f t="shared" ca="1" si="8"/>
        <v>44</v>
      </c>
      <c r="M129" s="6" t="str" cm="1">
        <f t="array" aca="1" ref="M129" ca="1">INDEX($A$2:$A$40,I129,1)</f>
        <v>Feminino</v>
      </c>
      <c r="N129" s="6" t="str" cm="1">
        <f t="array" aca="1" ref="N129" ca="1">INDEX($B$2:$B$40,I129,1)</f>
        <v>Diana</v>
      </c>
      <c r="O129" s="6" t="str" cm="1">
        <f t="array" aca="1" ref="O129" ca="1">INDEX($B$2:$B$40,J129,1)</f>
        <v>Francisco</v>
      </c>
      <c r="P129" s="6" t="str" cm="1">
        <f t="array" aca="1" ref="P129" ca="1">INDEX($E$2:$E$98,K129)</f>
        <v>Batista</v>
      </c>
      <c r="Q129" s="6" t="str" cm="1">
        <f t="array" aca="1" ref="Q129" ca="1">INDEX($E$2:$E$98,L129)</f>
        <v>Araújo</v>
      </c>
      <c r="S129" t="str">
        <f t="shared" ca="1" si="9"/>
        <v>Feminino</v>
      </c>
      <c r="T129" t="str">
        <f t="shared" ca="1" si="10"/>
        <v>Diana Francisco Batista Araújo</v>
      </c>
    </row>
    <row r="130" spans="9:20" x14ac:dyDescent="0.25">
      <c r="I130">
        <f t="shared" ca="1" si="7"/>
        <v>5</v>
      </c>
      <c r="J130">
        <f t="shared" ca="1" si="7"/>
        <v>38</v>
      </c>
      <c r="K130">
        <f t="shared" ca="1" si="8"/>
        <v>14</v>
      </c>
      <c r="L130">
        <f t="shared" ca="1" si="8"/>
        <v>7</v>
      </c>
      <c r="M130" s="6" t="str" cm="1">
        <f t="array" aca="1" ref="M130" ca="1">INDEX($A$2:$A$40,I130,1)</f>
        <v>Masculino</v>
      </c>
      <c r="N130" s="6" t="str" cm="1">
        <f t="array" aca="1" ref="N130" ca="1">INDEX($B$2:$B$40,I130,1)</f>
        <v>Bruno</v>
      </c>
      <c r="O130" s="6" t="str" cm="1">
        <f t="array" aca="1" ref="O130" ca="1">INDEX($B$2:$B$40,J130,1)</f>
        <v>Joaquim</v>
      </c>
      <c r="P130" s="6" t="str" cm="1">
        <f t="array" aca="1" ref="P130" ca="1">INDEX($E$2:$E$98,K130)</f>
        <v>Sousa</v>
      </c>
      <c r="Q130" s="6" t="str" cm="1">
        <f t="array" aca="1" ref="Q130" ca="1">INDEX($E$2:$E$98,L130)</f>
        <v>Coelho</v>
      </c>
      <c r="S130" t="str">
        <f t="shared" ca="1" si="9"/>
        <v>Masculino</v>
      </c>
      <c r="T130" t="str">
        <f t="shared" ca="1" si="10"/>
        <v>Bruno Joaquim Sousa Coelho</v>
      </c>
    </row>
    <row r="131" spans="9:20" x14ac:dyDescent="0.25">
      <c r="I131">
        <f t="shared" ref="I131:J194" ca="1" si="11">RANDBETWEEN(1,39)</f>
        <v>31</v>
      </c>
      <c r="J131">
        <f t="shared" ca="1" si="11"/>
        <v>28</v>
      </c>
      <c r="K131">
        <f t="shared" ref="K131:L194" ca="1" si="12">RANDBETWEEN(1,97)</f>
        <v>46</v>
      </c>
      <c r="L131">
        <f t="shared" ca="1" si="12"/>
        <v>97</v>
      </c>
      <c r="M131" s="6" t="str" cm="1">
        <f t="array" aca="1" ref="M131" ca="1">INDEX($A$2:$A$40,I131,1)</f>
        <v>Masculino</v>
      </c>
      <c r="N131" s="6" t="str" cm="1">
        <f t="array" aca="1" ref="N131" ca="1">INDEX($B$2:$B$40,I131,1)</f>
        <v>Rodrigo</v>
      </c>
      <c r="O131" s="6" t="str" cm="1">
        <f t="array" aca="1" ref="O131" ca="1">INDEX($B$2:$B$40,J131,1)</f>
        <v>Miguel</v>
      </c>
      <c r="P131" s="6" t="str" cm="1">
        <f t="array" aca="1" ref="P131" ca="1">INDEX($E$2:$E$98,K131)</f>
        <v>Tavares</v>
      </c>
      <c r="Q131" s="6" t="str" cm="1">
        <f t="array" aca="1" ref="Q131" ca="1">INDEX($E$2:$E$98,L131)</f>
        <v>Torres</v>
      </c>
      <c r="S131" t="str">
        <f t="shared" ca="1" si="9"/>
        <v>Masculino</v>
      </c>
      <c r="T131" t="str">
        <f t="shared" ca="1" si="10"/>
        <v>Rodrigo Miguel Tavares Torres</v>
      </c>
    </row>
    <row r="132" spans="9:20" x14ac:dyDescent="0.25">
      <c r="I132">
        <f t="shared" ca="1" si="11"/>
        <v>26</v>
      </c>
      <c r="J132">
        <f t="shared" ca="1" si="11"/>
        <v>12</v>
      </c>
      <c r="K132">
        <f t="shared" ca="1" si="12"/>
        <v>73</v>
      </c>
      <c r="L132">
        <f t="shared" ca="1" si="12"/>
        <v>4</v>
      </c>
      <c r="M132" s="6" t="str" cm="1">
        <f t="array" aca="1" ref="M132" ca="1">INDEX($A$2:$A$40,I132,1)</f>
        <v>Masculino</v>
      </c>
      <c r="N132" s="6" t="str" cm="1">
        <f t="array" aca="1" ref="N132" ca="1">INDEX($B$2:$B$40,I132,1)</f>
        <v>Martim</v>
      </c>
      <c r="O132" s="6" t="str" cm="1">
        <f t="array" aca="1" ref="O132" ca="1">INDEX($B$2:$B$40,J132,1)</f>
        <v>Francisca</v>
      </c>
      <c r="P132" s="6" t="str" cm="1">
        <f t="array" aca="1" ref="P132" ca="1">INDEX($E$2:$E$98,K132)</f>
        <v>Abreu</v>
      </c>
      <c r="Q132" s="6" t="str" cm="1">
        <f t="array" aca="1" ref="Q132" ca="1">INDEX($E$2:$E$98,L132)</f>
        <v>Alves</v>
      </c>
      <c r="S132" t="str">
        <f t="shared" ref="S132:S195" ca="1" si="13">M132</f>
        <v>Masculino</v>
      </c>
      <c r="T132" t="str">
        <f t="shared" ca="1" si="10"/>
        <v>Martim Francisca Abreu Alves</v>
      </c>
    </row>
    <row r="133" spans="9:20" x14ac:dyDescent="0.25">
      <c r="I133">
        <f t="shared" ca="1" si="11"/>
        <v>25</v>
      </c>
      <c r="J133">
        <f t="shared" ca="1" si="11"/>
        <v>16</v>
      </c>
      <c r="K133">
        <f t="shared" ca="1" si="12"/>
        <v>96</v>
      </c>
      <c r="L133">
        <f t="shared" ca="1" si="12"/>
        <v>7</v>
      </c>
      <c r="M133" s="6" t="str" cm="1">
        <f t="array" aca="1" ref="M133" ca="1">INDEX($A$2:$A$40,I133,1)</f>
        <v>Feminino</v>
      </c>
      <c r="N133" s="6" t="str" cm="1">
        <f t="array" aca="1" ref="N133" ca="1">INDEX($B$2:$B$40,I133,1)</f>
        <v>Mariana</v>
      </c>
      <c r="O133" s="6" t="str" cm="1">
        <f t="array" aca="1" ref="O133" ca="1">INDEX($B$2:$B$40,J133,1)</f>
        <v>Joana</v>
      </c>
      <c r="P133" s="6" t="str" cm="1">
        <f t="array" aca="1" ref="P133" ca="1">INDEX($E$2:$E$98,K133)</f>
        <v>Amorim</v>
      </c>
      <c r="Q133" s="6" t="str" cm="1">
        <f t="array" aca="1" ref="Q133" ca="1">INDEX($E$2:$E$98,L133)</f>
        <v>Coelho</v>
      </c>
      <c r="S133" t="str">
        <f t="shared" ca="1" si="13"/>
        <v>Feminino</v>
      </c>
      <c r="T133" t="str">
        <f t="shared" ca="1" si="10"/>
        <v>Mariana Joana Amorim Coelho</v>
      </c>
    </row>
    <row r="134" spans="9:20" x14ac:dyDescent="0.25">
      <c r="I134">
        <f t="shared" ca="1" si="11"/>
        <v>23</v>
      </c>
      <c r="J134">
        <f t="shared" ca="1" si="11"/>
        <v>3</v>
      </c>
      <c r="K134">
        <f t="shared" ca="1" si="12"/>
        <v>82</v>
      </c>
      <c r="L134">
        <f t="shared" ca="1" si="12"/>
        <v>19</v>
      </c>
      <c r="M134" s="6" t="str" cm="1">
        <f t="array" aca="1" ref="M134" ca="1">INDEX($A$2:$A$40,I134,1)</f>
        <v>Feminino</v>
      </c>
      <c r="N134" s="6" t="str" cm="1">
        <f t="array" aca="1" ref="N134" ca="1">INDEX($B$2:$B$40,I134,1)</f>
        <v>Maria</v>
      </c>
      <c r="O134" s="6" t="str" cm="1">
        <f t="array" aca="1" ref="O134" ca="1">INDEX($B$2:$B$40,J134,1)</f>
        <v>André</v>
      </c>
      <c r="P134" s="6" t="str" cm="1">
        <f t="array" aca="1" ref="P134" ca="1">INDEX($E$2:$E$98,K134)</f>
        <v>Moura</v>
      </c>
      <c r="Q134" s="6" t="str" cm="1">
        <f t="array" aca="1" ref="Q134" ca="1">INDEX($E$2:$E$98,L134)</f>
        <v>Lopes</v>
      </c>
      <c r="S134" t="str">
        <f t="shared" ca="1" si="13"/>
        <v>Feminino</v>
      </c>
      <c r="T134" t="str">
        <f t="shared" ca="1" si="10"/>
        <v>Maria André Moura Lopes</v>
      </c>
    </row>
    <row r="135" spans="9:20" x14ac:dyDescent="0.25">
      <c r="I135">
        <f t="shared" ca="1" si="11"/>
        <v>39</v>
      </c>
      <c r="J135">
        <f t="shared" ca="1" si="11"/>
        <v>26</v>
      </c>
      <c r="K135">
        <f t="shared" ca="1" si="12"/>
        <v>17</v>
      </c>
      <c r="L135">
        <f t="shared" ca="1" si="12"/>
        <v>24</v>
      </c>
      <c r="M135" s="6" t="str" cm="1">
        <f t="array" aca="1" ref="M135" ca="1">INDEX($A$2:$A$40,I135,1)</f>
        <v>Feminino</v>
      </c>
      <c r="N135" s="6" t="str" cm="1">
        <f t="array" aca="1" ref="N135" ca="1">INDEX($B$2:$B$40,I135,1)</f>
        <v>Lara</v>
      </c>
      <c r="O135" s="6" t="str" cm="1">
        <f t="array" aca="1" ref="O135" ca="1">INDEX($B$2:$B$40,J135,1)</f>
        <v>Martim</v>
      </c>
      <c r="P135" s="6" t="str" cm="1">
        <f t="array" aca="1" ref="P135" ca="1">INDEX($E$2:$E$98,K135)</f>
        <v>Ferreira</v>
      </c>
      <c r="Q135" s="6" t="str" cm="1">
        <f t="array" aca="1" ref="Q135" ca="1">INDEX($E$2:$E$98,L135)</f>
        <v>Ribeiro</v>
      </c>
      <c r="S135" t="str">
        <f t="shared" ca="1" si="13"/>
        <v>Feminino</v>
      </c>
      <c r="T135" t="str">
        <f t="shared" ca="1" si="10"/>
        <v>Lara Martim Ferreira Ribeiro</v>
      </c>
    </row>
    <row r="136" spans="9:20" x14ac:dyDescent="0.25">
      <c r="I136">
        <f t="shared" ca="1" si="11"/>
        <v>16</v>
      </c>
      <c r="J136">
        <f t="shared" ca="1" si="11"/>
        <v>9</v>
      </c>
      <c r="K136">
        <f t="shared" ca="1" si="12"/>
        <v>73</v>
      </c>
      <c r="L136">
        <f t="shared" ca="1" si="12"/>
        <v>45</v>
      </c>
      <c r="M136" s="6" t="str" cm="1">
        <f t="array" aca="1" ref="M136" ca="1">INDEX($A$2:$A$40,I136,1)</f>
        <v>Feminino</v>
      </c>
      <c r="N136" s="6" t="str" cm="1">
        <f t="array" aca="1" ref="N136" ca="1">INDEX($B$2:$B$40,I136,1)</f>
        <v>Joana</v>
      </c>
      <c r="O136" s="6" t="str" cm="1">
        <f t="array" aca="1" ref="O136" ca="1">INDEX($B$2:$B$40,J136,1)</f>
        <v>Diana</v>
      </c>
      <c r="P136" s="6" t="str" cm="1">
        <f t="array" aca="1" ref="P136" ca="1">INDEX($E$2:$E$98,K136)</f>
        <v>Abreu</v>
      </c>
      <c r="Q136" s="6" t="str" cm="1">
        <f t="array" aca="1" ref="Q136" ca="1">INDEX($E$2:$E$98,L136)</f>
        <v>Barbosa</v>
      </c>
      <c r="S136" t="str">
        <f t="shared" ca="1" si="13"/>
        <v>Feminino</v>
      </c>
      <c r="T136" t="str">
        <f t="shared" ca="1" si="10"/>
        <v>Joana Diana Abreu Barbosa</v>
      </c>
    </row>
    <row r="137" spans="9:20" x14ac:dyDescent="0.25">
      <c r="I137">
        <f t="shared" ca="1" si="11"/>
        <v>18</v>
      </c>
      <c r="J137">
        <f t="shared" ca="1" si="11"/>
        <v>26</v>
      </c>
      <c r="K137">
        <f t="shared" ca="1" si="12"/>
        <v>85</v>
      </c>
      <c r="L137">
        <f t="shared" ca="1" si="12"/>
        <v>64</v>
      </c>
      <c r="M137" s="6" t="str" cm="1">
        <f t="array" aca="1" ref="M137" ca="1">INDEX($A$2:$A$40,I137,1)</f>
        <v>Masculino</v>
      </c>
      <c r="N137" s="6" t="str" cm="1">
        <f t="array" aca="1" ref="N137" ca="1">INDEX($B$2:$B$40,I137,1)</f>
        <v>José</v>
      </c>
      <c r="O137" s="6" t="str" cm="1">
        <f t="array" aca="1" ref="O137" ca="1">INDEX($B$2:$B$40,J137,1)</f>
        <v>Martim</v>
      </c>
      <c r="P137" s="6" t="str" cm="1">
        <f t="array" aca="1" ref="P137" ca="1">INDEX($E$2:$E$98,K137)</f>
        <v>Garcia</v>
      </c>
      <c r="Q137" s="6" t="str" cm="1">
        <f t="array" aca="1" ref="Q137" ca="1">INDEX($E$2:$E$98,L137)</f>
        <v>Anjos</v>
      </c>
      <c r="S137" t="str">
        <f t="shared" ca="1" si="13"/>
        <v>Masculino</v>
      </c>
      <c r="T137" t="str">
        <f t="shared" ca="1" si="10"/>
        <v>José Martim Garcia Anjos</v>
      </c>
    </row>
    <row r="138" spans="9:20" x14ac:dyDescent="0.25">
      <c r="I138">
        <f t="shared" ca="1" si="11"/>
        <v>33</v>
      </c>
      <c r="J138">
        <f t="shared" ca="1" si="11"/>
        <v>2</v>
      </c>
      <c r="K138">
        <f t="shared" ca="1" si="12"/>
        <v>61</v>
      </c>
      <c r="L138">
        <f t="shared" ca="1" si="12"/>
        <v>84</v>
      </c>
      <c r="M138" s="6" t="str" cm="1">
        <f t="array" aca="1" ref="M138" ca="1">INDEX($A$2:$A$40,I138,1)</f>
        <v>Feminino</v>
      </c>
      <c r="N138" s="6" t="str" cm="1">
        <f t="array" aca="1" ref="N138" ca="1">INDEX($B$2:$B$40,I138,1)</f>
        <v>Sara</v>
      </c>
      <c r="O138" s="6" t="str" cm="1">
        <f t="array" aca="1" ref="O138" ca="1">INDEX($B$2:$B$40,J138,1)</f>
        <v>Ana</v>
      </c>
      <c r="P138" s="6" t="str" cm="1">
        <f t="array" aca="1" ref="P138" ca="1">INDEX($E$2:$E$98,K138)</f>
        <v>Morais</v>
      </c>
      <c r="Q138" s="6" t="str" cm="1">
        <f t="array" aca="1" ref="Q138" ca="1">INDEX($E$2:$E$98,L138)</f>
        <v>Domingues</v>
      </c>
      <c r="S138" t="str">
        <f t="shared" ca="1" si="13"/>
        <v>Feminino</v>
      </c>
      <c r="T138" t="str">
        <f t="shared" ca="1" si="10"/>
        <v>Sara Ana Morais Domingues</v>
      </c>
    </row>
    <row r="139" spans="9:20" x14ac:dyDescent="0.25">
      <c r="I139">
        <f t="shared" ca="1" si="11"/>
        <v>5</v>
      </c>
      <c r="J139">
        <f t="shared" ca="1" si="11"/>
        <v>29</v>
      </c>
      <c r="K139">
        <f t="shared" ca="1" si="12"/>
        <v>91</v>
      </c>
      <c r="L139">
        <f t="shared" ca="1" si="12"/>
        <v>42</v>
      </c>
      <c r="M139" s="6" t="str" cm="1">
        <f t="array" aca="1" ref="M139" ca="1">INDEX($A$2:$A$40,I139,1)</f>
        <v>Masculino</v>
      </c>
      <c r="N139" s="6" t="str" cm="1">
        <f t="array" aca="1" ref="N139" ca="1">INDEX($B$2:$B$40,I139,1)</f>
        <v>Bruno</v>
      </c>
      <c r="O139" s="6" t="str" cm="1">
        <f t="array" aca="1" ref="O139" ca="1">INDEX($B$2:$B$40,J139,1)</f>
        <v>Pedro</v>
      </c>
      <c r="P139" s="6" t="str" cm="1">
        <f t="array" aca="1" ref="P139" ca="1">INDEX($E$2:$E$98,K139)</f>
        <v>Leal</v>
      </c>
      <c r="Q139" s="6" t="str" cm="1">
        <f t="array" aca="1" ref="Q139" ca="1">INDEX($E$2:$E$98,L139)</f>
        <v>Fonseca</v>
      </c>
      <c r="S139" t="str">
        <f t="shared" ca="1" si="13"/>
        <v>Masculino</v>
      </c>
      <c r="T139" t="str">
        <f t="shared" ca="1" si="10"/>
        <v>Bruno Pedro Leal Fonseca</v>
      </c>
    </row>
    <row r="140" spans="9:20" x14ac:dyDescent="0.25">
      <c r="I140">
        <f t="shared" ca="1" si="11"/>
        <v>28</v>
      </c>
      <c r="J140">
        <f t="shared" ca="1" si="11"/>
        <v>20</v>
      </c>
      <c r="K140">
        <f t="shared" ca="1" si="12"/>
        <v>14</v>
      </c>
      <c r="L140">
        <f t="shared" ca="1" si="12"/>
        <v>35</v>
      </c>
      <c r="M140" s="6" t="str" cm="1">
        <f t="array" aca="1" ref="M140" ca="1">INDEX($A$2:$A$40,I140,1)</f>
        <v>Masculino</v>
      </c>
      <c r="N140" s="6" t="str" cm="1">
        <f t="array" aca="1" ref="N140" ca="1">INDEX($B$2:$B$40,I140,1)</f>
        <v>Miguel</v>
      </c>
      <c r="O140" s="6" t="str" cm="1">
        <f t="array" aca="1" ref="O140" ca="1">INDEX($B$2:$B$40,J140,1)</f>
        <v>Luís</v>
      </c>
      <c r="P140" s="6" t="str" cm="1">
        <f t="array" aca="1" ref="P140" ca="1">INDEX($E$2:$E$98,K140)</f>
        <v>Sousa</v>
      </c>
      <c r="Q140" s="6" t="str" cm="1">
        <f t="array" aca="1" ref="Q140" ca="1">INDEX($E$2:$E$98,L140)</f>
        <v>Mendes</v>
      </c>
      <c r="S140" t="str">
        <f t="shared" ca="1" si="13"/>
        <v>Masculino</v>
      </c>
      <c r="T140" t="str">
        <f t="shared" ca="1" si="10"/>
        <v>Miguel Luís Sousa Mendes</v>
      </c>
    </row>
    <row r="141" spans="9:20" x14ac:dyDescent="0.25">
      <c r="I141">
        <f t="shared" ca="1" si="11"/>
        <v>36</v>
      </c>
      <c r="J141">
        <f t="shared" ca="1" si="11"/>
        <v>9</v>
      </c>
      <c r="K141">
        <f t="shared" ca="1" si="12"/>
        <v>9</v>
      </c>
      <c r="L141">
        <f t="shared" ca="1" si="12"/>
        <v>58</v>
      </c>
      <c r="M141" s="6" t="str" cm="1">
        <f t="array" aca="1" ref="M141" ca="1">INDEX($A$2:$A$40,I141,1)</f>
        <v>Masculino</v>
      </c>
      <c r="N141" s="6" t="str" cm="1">
        <f t="array" aca="1" ref="N141" ca="1">INDEX($B$2:$B$40,I141,1)</f>
        <v>Tomás</v>
      </c>
      <c r="O141" s="6" t="str" cm="1">
        <f t="array" aca="1" ref="O141" ca="1">INDEX($B$2:$B$40,J141,1)</f>
        <v>Diana</v>
      </c>
      <c r="P141" s="6" t="str" cm="1">
        <f t="array" aca="1" ref="P141" ca="1">INDEX($E$2:$E$98,K141)</f>
        <v>Ramos</v>
      </c>
      <c r="Q141" s="6" t="str" cm="1">
        <f t="array" aca="1" ref="Q141" ca="1">INDEX($E$2:$E$98,L141)</f>
        <v>Faria</v>
      </c>
      <c r="S141" t="str">
        <f t="shared" ca="1" si="13"/>
        <v>Masculino</v>
      </c>
      <c r="T141" t="str">
        <f t="shared" ca="1" si="10"/>
        <v>Tomás Diana Ramos Faria</v>
      </c>
    </row>
    <row r="142" spans="9:20" x14ac:dyDescent="0.25">
      <c r="I142">
        <f t="shared" ca="1" si="11"/>
        <v>33</v>
      </c>
      <c r="J142">
        <f t="shared" ca="1" si="11"/>
        <v>3</v>
      </c>
      <c r="K142">
        <f t="shared" ca="1" si="12"/>
        <v>66</v>
      </c>
      <c r="L142">
        <f t="shared" ca="1" si="12"/>
        <v>25</v>
      </c>
      <c r="M142" s="6" t="str" cm="1">
        <f t="array" aca="1" ref="M142" ca="1">INDEX($A$2:$A$40,I142,1)</f>
        <v>Feminino</v>
      </c>
      <c r="N142" s="6" t="str" cm="1">
        <f t="array" aca="1" ref="N142" ca="1">INDEX($B$2:$B$40,I142,1)</f>
        <v>Sara</v>
      </c>
      <c r="O142" s="6" t="str" cm="1">
        <f t="array" aca="1" ref="O142" ca="1">INDEX($B$2:$B$40,J142,1)</f>
        <v>André</v>
      </c>
      <c r="P142" s="6" t="str" cm="1">
        <f t="array" aca="1" ref="P142" ca="1">INDEX($E$2:$E$98,K142)</f>
        <v>Campos</v>
      </c>
      <c r="Q142" s="6" t="str" cm="1">
        <f t="array" aca="1" ref="Q142" ca="1">INDEX($E$2:$E$98,L142)</f>
        <v>Cruz</v>
      </c>
      <c r="S142" t="str">
        <f t="shared" ca="1" si="13"/>
        <v>Feminino</v>
      </c>
      <c r="T142" t="str">
        <f t="shared" ca="1" si="10"/>
        <v>Sara André Campos Cruz</v>
      </c>
    </row>
    <row r="143" spans="9:20" x14ac:dyDescent="0.25">
      <c r="I143">
        <f t="shared" ca="1" si="11"/>
        <v>25</v>
      </c>
      <c r="J143">
        <f t="shared" ca="1" si="11"/>
        <v>26</v>
      </c>
      <c r="K143">
        <f t="shared" ca="1" si="12"/>
        <v>39</v>
      </c>
      <c r="L143">
        <f t="shared" ca="1" si="12"/>
        <v>57</v>
      </c>
      <c r="M143" s="6" t="str" cm="1">
        <f t="array" aca="1" ref="M143" ca="1">INDEX($A$2:$A$40,I143,1)</f>
        <v>Feminino</v>
      </c>
      <c r="N143" s="6" t="str" cm="1">
        <f t="array" aca="1" ref="N143" ca="1">INDEX($B$2:$B$40,I143,1)</f>
        <v>Mariana</v>
      </c>
      <c r="O143" s="6" t="str" cm="1">
        <f t="array" aca="1" ref="O143" ca="1">INDEX($B$2:$B$40,J143,1)</f>
        <v>Martim</v>
      </c>
      <c r="P143" s="6" t="str" cm="1">
        <f t="array" aca="1" ref="P143" ca="1">INDEX($E$2:$E$98,K143)</f>
        <v>Simões</v>
      </c>
      <c r="Q143" s="6" t="str" cm="1">
        <f t="array" aca="1" ref="Q143" ca="1">INDEX($E$2:$E$98,L143)</f>
        <v>Pinheiro</v>
      </c>
      <c r="S143" t="str">
        <f t="shared" ca="1" si="13"/>
        <v>Feminino</v>
      </c>
      <c r="T143" t="str">
        <f t="shared" ca="1" si="10"/>
        <v>Mariana Martim Simões Pinheiro</v>
      </c>
    </row>
    <row r="144" spans="9:20" x14ac:dyDescent="0.25">
      <c r="I144">
        <f t="shared" ca="1" si="11"/>
        <v>16</v>
      </c>
      <c r="J144">
        <f t="shared" ca="1" si="11"/>
        <v>9</v>
      </c>
      <c r="K144">
        <f t="shared" ca="1" si="12"/>
        <v>61</v>
      </c>
      <c r="L144">
        <f t="shared" ca="1" si="12"/>
        <v>76</v>
      </c>
      <c r="M144" s="6" t="str" cm="1">
        <f t="array" aca="1" ref="M144" ca="1">INDEX($A$2:$A$40,I144,1)</f>
        <v>Feminino</v>
      </c>
      <c r="N144" s="6" t="str" cm="1">
        <f t="array" aca="1" ref="N144" ca="1">INDEX($B$2:$B$40,I144,1)</f>
        <v>Joana</v>
      </c>
      <c r="O144" s="6" t="str" cm="1">
        <f t="array" aca="1" ref="O144" ca="1">INDEX($B$2:$B$40,J144,1)</f>
        <v>Diana</v>
      </c>
      <c r="P144" s="6" t="str" cm="1">
        <f t="array" aca="1" ref="P144" ca="1">INDEX($E$2:$E$98,K144)</f>
        <v>Morais</v>
      </c>
      <c r="Q144" s="6" t="str" cm="1">
        <f t="array" aca="1" ref="Q144" ca="1">INDEX($E$2:$E$98,L144)</f>
        <v>Vaz</v>
      </c>
      <c r="S144" t="str">
        <f t="shared" ca="1" si="13"/>
        <v>Feminino</v>
      </c>
      <c r="T144" t="str">
        <f t="shared" ca="1" si="10"/>
        <v>Joana Diana Morais Vaz</v>
      </c>
    </row>
    <row r="145" spans="9:20" x14ac:dyDescent="0.25">
      <c r="I145">
        <f t="shared" ca="1" si="11"/>
        <v>24</v>
      </c>
      <c r="J145">
        <f t="shared" ca="1" si="11"/>
        <v>23</v>
      </c>
      <c r="K145">
        <f t="shared" ca="1" si="12"/>
        <v>55</v>
      </c>
      <c r="L145">
        <f t="shared" ca="1" si="12"/>
        <v>11</v>
      </c>
      <c r="M145" s="6" t="str" cm="1">
        <f t="array" aca="1" ref="M145" ca="1">INDEX($A$2:$A$40,I145,1)</f>
        <v>Feminino</v>
      </c>
      <c r="N145" s="6" t="str" cm="1">
        <f t="array" aca="1" ref="N145" ca="1">INDEX($B$2:$B$40,I145,1)</f>
        <v>Laura</v>
      </c>
      <c r="O145" s="6" t="str" cm="1">
        <f t="array" aca="1" ref="O145" ca="1">INDEX($B$2:$B$40,J145,1)</f>
        <v>Maria</v>
      </c>
      <c r="P145" s="6" t="str" cm="1">
        <f t="array" aca="1" ref="P145" ca="1">INDEX($E$2:$E$98,K145)</f>
        <v>Guerreiro</v>
      </c>
      <c r="Q145" s="6" t="str" cm="1">
        <f t="array" aca="1" ref="Q145" ca="1">INDEX($E$2:$E$98,L145)</f>
        <v>Martins</v>
      </c>
      <c r="S145" t="str">
        <f t="shared" ca="1" si="13"/>
        <v>Feminino</v>
      </c>
      <c r="T145" t="str">
        <f t="shared" ca="1" si="10"/>
        <v>Laura Maria Guerreiro Martins</v>
      </c>
    </row>
    <row r="146" spans="9:20" x14ac:dyDescent="0.25">
      <c r="I146">
        <f t="shared" ca="1" si="11"/>
        <v>19</v>
      </c>
      <c r="J146">
        <f t="shared" ca="1" si="11"/>
        <v>28</v>
      </c>
      <c r="K146">
        <f t="shared" ca="1" si="12"/>
        <v>92</v>
      </c>
      <c r="L146">
        <f t="shared" ca="1" si="12"/>
        <v>31</v>
      </c>
      <c r="M146" s="6" t="str" cm="1">
        <f t="array" aca="1" ref="M146" ca="1">INDEX($A$2:$A$40,I146,1)</f>
        <v>Feminino</v>
      </c>
      <c r="N146" s="6" t="str" cm="1">
        <f t="array" aca="1" ref="N146" ca="1">INDEX($B$2:$B$40,I146,1)</f>
        <v>Leonor</v>
      </c>
      <c r="O146" s="6" t="str" cm="1">
        <f t="array" aca="1" ref="O146" ca="1">INDEX($B$2:$B$40,J146,1)</f>
        <v>Miguel</v>
      </c>
      <c r="P146" s="6" t="str" cm="1">
        <f t="array" aca="1" ref="P146" ca="1">INDEX($E$2:$E$98,K146)</f>
        <v>Pacheco</v>
      </c>
      <c r="Q146" s="6" t="str" cm="1">
        <f t="array" aca="1" ref="Q146" ca="1">INDEX($E$2:$E$98,L146)</f>
        <v>Oliveira</v>
      </c>
      <c r="S146" t="str">
        <f t="shared" ca="1" si="13"/>
        <v>Feminino</v>
      </c>
      <c r="T146" t="str">
        <f t="shared" ca="1" si="10"/>
        <v>Leonor Miguel Pacheco Oliveira</v>
      </c>
    </row>
    <row r="147" spans="9:20" x14ac:dyDescent="0.25">
      <c r="I147">
        <f t="shared" ca="1" si="11"/>
        <v>20</v>
      </c>
      <c r="J147">
        <f t="shared" ca="1" si="11"/>
        <v>2</v>
      </c>
      <c r="K147">
        <f t="shared" ca="1" si="12"/>
        <v>40</v>
      </c>
      <c r="L147">
        <f t="shared" ca="1" si="12"/>
        <v>61</v>
      </c>
      <c r="M147" s="6" t="str" cm="1">
        <f t="array" aca="1" ref="M147" ca="1">INDEX($A$2:$A$40,I147,1)</f>
        <v>Masculino</v>
      </c>
      <c r="N147" s="6" t="str" cm="1">
        <f t="array" aca="1" ref="N147" ca="1">INDEX($B$2:$B$40,I147,1)</f>
        <v>Luís</v>
      </c>
      <c r="O147" s="6" t="str" cm="1">
        <f t="array" aca="1" ref="O147" ca="1">INDEX($B$2:$B$40,J147,1)</f>
        <v>Ana</v>
      </c>
      <c r="P147" s="6" t="str" cm="1">
        <f t="array" aca="1" ref="P147" ca="1">INDEX($E$2:$E$98,K147)</f>
        <v>Antunes</v>
      </c>
      <c r="Q147" s="6" t="str" cm="1">
        <f t="array" aca="1" ref="Q147" ca="1">INDEX($E$2:$E$98,L147)</f>
        <v>Morais</v>
      </c>
      <c r="S147" t="str">
        <f t="shared" ca="1" si="13"/>
        <v>Masculino</v>
      </c>
      <c r="T147" t="str">
        <f t="shared" ca="1" si="10"/>
        <v>Luís Ana Antunes Morais</v>
      </c>
    </row>
    <row r="148" spans="9:20" x14ac:dyDescent="0.25">
      <c r="I148">
        <f t="shared" ca="1" si="11"/>
        <v>23</v>
      </c>
      <c r="J148">
        <f t="shared" ca="1" si="11"/>
        <v>13</v>
      </c>
      <c r="K148">
        <f t="shared" ca="1" si="12"/>
        <v>97</v>
      </c>
      <c r="L148">
        <f t="shared" ca="1" si="12"/>
        <v>53</v>
      </c>
      <c r="M148" s="6" t="str" cm="1">
        <f t="array" aca="1" ref="M148" ca="1">INDEX($A$2:$A$40,I148,1)</f>
        <v>Feminino</v>
      </c>
      <c r="N148" s="6" t="str" cm="1">
        <f t="array" aca="1" ref="N148" ca="1">INDEX($B$2:$B$40,I148,1)</f>
        <v>Maria</v>
      </c>
      <c r="O148" s="6" t="str" cm="1">
        <f t="array" aca="1" ref="O148" ca="1">INDEX($B$2:$B$40,J148,1)</f>
        <v>Francisco</v>
      </c>
      <c r="P148" s="6" t="str" cm="1">
        <f t="array" aca="1" ref="P148" ca="1">INDEX($E$2:$E$98,K148)</f>
        <v>Torres</v>
      </c>
      <c r="Q148" s="6" t="str" cm="1">
        <f t="array" aca="1" ref="Q148" ca="1">INDEX($E$2:$E$98,L148)</f>
        <v>Henriques</v>
      </c>
      <c r="S148" t="str">
        <f t="shared" ca="1" si="13"/>
        <v>Feminino</v>
      </c>
      <c r="T148" t="str">
        <f t="shared" ca="1" si="10"/>
        <v>Maria Francisco Torres Henriques</v>
      </c>
    </row>
    <row r="149" spans="9:20" x14ac:dyDescent="0.25">
      <c r="I149">
        <f t="shared" ca="1" si="11"/>
        <v>22</v>
      </c>
      <c r="J149">
        <f t="shared" ca="1" si="11"/>
        <v>7</v>
      </c>
      <c r="K149">
        <f t="shared" ca="1" si="12"/>
        <v>45</v>
      </c>
      <c r="L149">
        <f t="shared" ca="1" si="12"/>
        <v>59</v>
      </c>
      <c r="M149" s="6" t="str" cm="1">
        <f t="array" aca="1" ref="M149" ca="1">INDEX($A$2:$A$40,I149,1)</f>
        <v>Masculino</v>
      </c>
      <c r="N149" s="6" t="str" cm="1">
        <f t="array" aca="1" ref="N149" ca="1">INDEX($B$2:$B$40,I149,1)</f>
        <v>Marco</v>
      </c>
      <c r="O149" s="6" t="str" cm="1">
        <f t="array" aca="1" ref="O149" ca="1">INDEX($B$2:$B$40,J149,1)</f>
        <v>Catarina</v>
      </c>
      <c r="P149" s="6" t="str" cm="1">
        <f t="array" aca="1" ref="P149" ca="1">INDEX($E$2:$E$98,K149)</f>
        <v>Barbosa</v>
      </c>
      <c r="Q149" s="6" t="str" cm="1">
        <f t="array" aca="1" ref="Q149" ca="1">INDEX($E$2:$E$98,L149)</f>
        <v>Miranda</v>
      </c>
      <c r="S149" t="str">
        <f t="shared" ca="1" si="13"/>
        <v>Masculino</v>
      </c>
      <c r="T149" t="str">
        <f t="shared" ca="1" si="10"/>
        <v>Marco Catarina Barbosa Miranda</v>
      </c>
    </row>
    <row r="150" spans="9:20" x14ac:dyDescent="0.25">
      <c r="I150">
        <f t="shared" ca="1" si="11"/>
        <v>24</v>
      </c>
      <c r="J150">
        <f t="shared" ca="1" si="11"/>
        <v>1</v>
      </c>
      <c r="K150">
        <f t="shared" ca="1" si="12"/>
        <v>1</v>
      </c>
      <c r="L150">
        <f t="shared" ca="1" si="12"/>
        <v>95</v>
      </c>
      <c r="M150" s="6" t="str" cm="1">
        <f t="array" aca="1" ref="M150" ca="1">INDEX($A$2:$A$40,I150,1)</f>
        <v>Feminino</v>
      </c>
      <c r="N150" s="6" t="str" cm="1">
        <f t="array" aca="1" ref="N150" ca="1">INDEX($B$2:$B$40,I150,1)</f>
        <v>Laura</v>
      </c>
      <c r="O150" s="6" t="str" cm="1">
        <f t="array" aca="1" ref="O150" ca="1">INDEX($B$2:$B$40,J150,1)</f>
        <v>Afonso</v>
      </c>
      <c r="P150" s="6" t="str" cm="1">
        <f t="array" aca="1" ref="P150" ca="1">INDEX($E$2:$E$98,K150)</f>
        <v>Pereira</v>
      </c>
      <c r="Q150" s="6" t="str" cm="1">
        <f t="array" aca="1" ref="Q150" ca="1">INDEX($E$2:$E$98,L150)</f>
        <v>Matias</v>
      </c>
      <c r="S150" t="str">
        <f t="shared" ca="1" si="13"/>
        <v>Feminino</v>
      </c>
      <c r="T150" t="str">
        <f t="shared" ca="1" si="10"/>
        <v>Laura Afonso Pereira Matias</v>
      </c>
    </row>
    <row r="151" spans="9:20" x14ac:dyDescent="0.25">
      <c r="I151">
        <f t="shared" ca="1" si="11"/>
        <v>29</v>
      </c>
      <c r="J151">
        <f t="shared" ca="1" si="11"/>
        <v>22</v>
      </c>
      <c r="K151">
        <f t="shared" ca="1" si="12"/>
        <v>75</v>
      </c>
      <c r="L151">
        <f t="shared" ca="1" si="12"/>
        <v>33</v>
      </c>
      <c r="M151" s="6" t="str" cm="1">
        <f t="array" aca="1" ref="M151" ca="1">INDEX($A$2:$A$40,I151,1)</f>
        <v>Masculino</v>
      </c>
      <c r="N151" s="6" t="str" cm="1">
        <f t="array" aca="1" ref="N151" ca="1">INDEX($B$2:$B$40,I151,1)</f>
        <v>Pedro</v>
      </c>
      <c r="O151" s="6" t="str" cm="1">
        <f t="array" aca="1" ref="O151" ca="1">INDEX($B$2:$B$40,J151,1)</f>
        <v>Marco</v>
      </c>
      <c r="P151" s="6" t="str" cm="1">
        <f t="array" aca="1" ref="P151" ca="1">INDEX($E$2:$E$98,K151)</f>
        <v>Melo</v>
      </c>
      <c r="Q151" s="6" t="str" cm="1">
        <f t="array" aca="1" ref="Q151" ca="1">INDEX($E$2:$E$98,L151)</f>
        <v>Cunha</v>
      </c>
      <c r="S151" t="str">
        <f t="shared" ca="1" si="13"/>
        <v>Masculino</v>
      </c>
      <c r="T151" t="str">
        <f t="shared" ca="1" si="10"/>
        <v>Pedro Marco Melo Cunha</v>
      </c>
    </row>
    <row r="152" spans="9:20" x14ac:dyDescent="0.25">
      <c r="I152">
        <f t="shared" ca="1" si="11"/>
        <v>27</v>
      </c>
      <c r="J152">
        <f t="shared" ca="1" si="11"/>
        <v>21</v>
      </c>
      <c r="K152">
        <f t="shared" ca="1" si="12"/>
        <v>23</v>
      </c>
      <c r="L152">
        <f t="shared" ca="1" si="12"/>
        <v>14</v>
      </c>
      <c r="M152" s="6" t="str" cm="1">
        <f t="array" aca="1" ref="M152" ca="1">INDEX($A$2:$A$40,I152,1)</f>
        <v>Feminino</v>
      </c>
      <c r="N152" s="6" t="str" cm="1">
        <f t="array" aca="1" ref="N152" ca="1">INDEX($B$2:$B$40,I152,1)</f>
        <v>Matilde</v>
      </c>
      <c r="O152" s="6" t="str" cm="1">
        <f t="array" aca="1" ref="O152" ca="1">INDEX($B$2:$B$40,J152,1)</f>
        <v>Lurdes</v>
      </c>
      <c r="P152" s="6" t="str" cm="1">
        <f t="array" aca="1" ref="P152" ca="1">INDEX($E$2:$E$98,K152)</f>
        <v>Gomes</v>
      </c>
      <c r="Q152" s="6" t="str" cm="1">
        <f t="array" aca="1" ref="Q152" ca="1">INDEX($E$2:$E$98,L152)</f>
        <v>Sousa</v>
      </c>
      <c r="S152" t="str">
        <f t="shared" ca="1" si="13"/>
        <v>Feminino</v>
      </c>
      <c r="T152" t="str">
        <f t="shared" ca="1" si="10"/>
        <v>Matilde Lurdes Gomes Sousa</v>
      </c>
    </row>
    <row r="153" spans="9:20" x14ac:dyDescent="0.25">
      <c r="I153">
        <f t="shared" ca="1" si="11"/>
        <v>7</v>
      </c>
      <c r="J153">
        <f t="shared" ca="1" si="11"/>
        <v>21</v>
      </c>
      <c r="K153">
        <f t="shared" ca="1" si="12"/>
        <v>72</v>
      </c>
      <c r="L153">
        <f t="shared" ca="1" si="12"/>
        <v>76</v>
      </c>
      <c r="M153" s="6" t="str" cm="1">
        <f t="array" aca="1" ref="M153" ca="1">INDEX($A$2:$A$40,I153,1)</f>
        <v>Feminino</v>
      </c>
      <c r="N153" s="6" t="str" cm="1">
        <f t="array" aca="1" ref="N153" ca="1">INDEX($B$2:$B$40,I153,1)</f>
        <v>Catarina</v>
      </c>
      <c r="O153" s="6" t="str" cm="1">
        <f t="array" aca="1" ref="O153" ca="1">INDEX($B$2:$B$40,J153,1)</f>
        <v>Lurdes</v>
      </c>
      <c r="P153" s="6" t="str" cm="1">
        <f t="array" aca="1" ref="P153" ca="1">INDEX($E$2:$E$98,K153)</f>
        <v>Leite</v>
      </c>
      <c r="Q153" s="6" t="str" cm="1">
        <f t="array" aca="1" ref="Q153" ca="1">INDEX($E$2:$E$98,L153)</f>
        <v>Vaz</v>
      </c>
      <c r="S153" t="str">
        <f t="shared" ca="1" si="13"/>
        <v>Feminino</v>
      </c>
      <c r="T153" t="str">
        <f t="shared" ca="1" si="10"/>
        <v>Catarina Lurdes Leite Vaz</v>
      </c>
    </row>
    <row r="154" spans="9:20" x14ac:dyDescent="0.25">
      <c r="I154">
        <f t="shared" ca="1" si="11"/>
        <v>16</v>
      </c>
      <c r="J154">
        <f t="shared" ca="1" si="11"/>
        <v>27</v>
      </c>
      <c r="K154">
        <f t="shared" ca="1" si="12"/>
        <v>32</v>
      </c>
      <c r="L154">
        <f t="shared" ca="1" si="12"/>
        <v>19</v>
      </c>
      <c r="M154" s="6" t="str" cm="1">
        <f t="array" aca="1" ref="M154" ca="1">INDEX($A$2:$A$40,I154,1)</f>
        <v>Feminino</v>
      </c>
      <c r="N154" s="6" t="str" cm="1">
        <f t="array" aca="1" ref="N154" ca="1">INDEX($B$2:$B$40,I154,1)</f>
        <v>Joana</v>
      </c>
      <c r="O154" s="6" t="str" cm="1">
        <f t="array" aca="1" ref="O154" ca="1">INDEX($B$2:$B$40,J154,1)</f>
        <v>Matilde</v>
      </c>
      <c r="P154" s="6" t="str" cm="1">
        <f t="array" aca="1" ref="P154" ca="1">INDEX($E$2:$E$98,K154)</f>
        <v>Silva</v>
      </c>
      <c r="Q154" s="6" t="str" cm="1">
        <f t="array" aca="1" ref="Q154" ca="1">INDEX($E$2:$E$98,L154)</f>
        <v>Lopes</v>
      </c>
      <c r="S154" t="str">
        <f t="shared" ca="1" si="13"/>
        <v>Feminino</v>
      </c>
      <c r="T154" t="str">
        <f t="shared" ca="1" si="10"/>
        <v>Joana Matilde Silva Lopes</v>
      </c>
    </row>
    <row r="155" spans="9:20" x14ac:dyDescent="0.25">
      <c r="I155">
        <f t="shared" ca="1" si="11"/>
        <v>21</v>
      </c>
      <c r="J155">
        <f t="shared" ca="1" si="11"/>
        <v>24</v>
      </c>
      <c r="K155">
        <f t="shared" ca="1" si="12"/>
        <v>39</v>
      </c>
      <c r="L155">
        <f t="shared" ca="1" si="12"/>
        <v>39</v>
      </c>
      <c r="M155" s="6" t="str" cm="1">
        <f t="array" aca="1" ref="M155" ca="1">INDEX($A$2:$A$40,I155,1)</f>
        <v>Feminino</v>
      </c>
      <c r="N155" s="6" t="str" cm="1">
        <f t="array" aca="1" ref="N155" ca="1">INDEX($B$2:$B$40,I155,1)</f>
        <v>Lurdes</v>
      </c>
      <c r="O155" s="6" t="str" cm="1">
        <f t="array" aca="1" ref="O155" ca="1">INDEX($B$2:$B$40,J155,1)</f>
        <v>Laura</v>
      </c>
      <c r="P155" s="6" t="str" cm="1">
        <f t="array" aca="1" ref="P155" ca="1">INDEX($E$2:$E$98,K155)</f>
        <v>Simões</v>
      </c>
      <c r="Q155" s="6" t="str" cm="1">
        <f t="array" aca="1" ref="Q155" ca="1">INDEX($E$2:$E$98,L155)</f>
        <v>Simões</v>
      </c>
      <c r="S155" t="str">
        <f t="shared" ca="1" si="13"/>
        <v>Feminino</v>
      </c>
      <c r="T155" t="str">
        <f t="shared" ca="1" si="10"/>
        <v>Lurdes Laura Simões Simões</v>
      </c>
    </row>
    <row r="156" spans="9:20" x14ac:dyDescent="0.25">
      <c r="I156">
        <f t="shared" ca="1" si="11"/>
        <v>19</v>
      </c>
      <c r="J156">
        <f t="shared" ca="1" si="11"/>
        <v>22</v>
      </c>
      <c r="K156">
        <f t="shared" ca="1" si="12"/>
        <v>41</v>
      </c>
      <c r="L156">
        <f t="shared" ca="1" si="12"/>
        <v>12</v>
      </c>
      <c r="M156" s="6" t="str" cm="1">
        <f t="array" aca="1" ref="M156" ca="1">INDEX($A$2:$A$40,I156,1)</f>
        <v>Feminino</v>
      </c>
      <c r="N156" s="6" t="str" cm="1">
        <f t="array" aca="1" ref="N156" ca="1">INDEX($B$2:$B$40,I156,1)</f>
        <v>Leonor</v>
      </c>
      <c r="O156" s="6" t="str" cm="1">
        <f t="array" aca="1" ref="O156" ca="1">INDEX($B$2:$B$40,J156,1)</f>
        <v>Marco</v>
      </c>
      <c r="P156" s="6" t="str" cm="1">
        <f t="array" aca="1" ref="P156" ca="1">INDEX($E$2:$E$98,K156)</f>
        <v>Matos</v>
      </c>
      <c r="Q156" s="6" t="str" cm="1">
        <f t="array" aca="1" ref="Q156" ca="1">INDEX($E$2:$E$98,L156)</f>
        <v>Teixeira</v>
      </c>
      <c r="S156" t="str">
        <f t="shared" ca="1" si="13"/>
        <v>Feminino</v>
      </c>
      <c r="T156" t="str">
        <f t="shared" ca="1" si="10"/>
        <v>Leonor Marco Matos Teixeira</v>
      </c>
    </row>
    <row r="157" spans="9:20" x14ac:dyDescent="0.25">
      <c r="I157">
        <f t="shared" ca="1" si="11"/>
        <v>35</v>
      </c>
      <c r="J157">
        <f t="shared" ca="1" si="11"/>
        <v>16</v>
      </c>
      <c r="K157">
        <f t="shared" ca="1" si="12"/>
        <v>33</v>
      </c>
      <c r="L157">
        <f t="shared" ca="1" si="12"/>
        <v>45</v>
      </c>
      <c r="M157" s="6" t="str" cm="1">
        <f t="array" aca="1" ref="M157" ca="1">INDEX($A$2:$A$40,I157,1)</f>
        <v>Masculino</v>
      </c>
      <c r="N157" s="6" t="str" cm="1">
        <f t="array" aca="1" ref="N157" ca="1">INDEX($B$2:$B$40,I157,1)</f>
        <v>Tiago</v>
      </c>
      <c r="O157" s="6" t="str" cm="1">
        <f t="array" aca="1" ref="O157" ca="1">INDEX($B$2:$B$40,J157,1)</f>
        <v>Joana</v>
      </c>
      <c r="P157" s="6" t="str" cm="1">
        <f t="array" aca="1" ref="P157" ca="1">INDEX($E$2:$E$98,K157)</f>
        <v>Cunha</v>
      </c>
      <c r="Q157" s="6" t="str" cm="1">
        <f t="array" aca="1" ref="Q157" ca="1">INDEX($E$2:$E$98,L157)</f>
        <v>Barbosa</v>
      </c>
      <c r="S157" t="str">
        <f t="shared" ca="1" si="13"/>
        <v>Masculino</v>
      </c>
      <c r="T157" t="str">
        <f t="shared" ca="1" si="10"/>
        <v>Tiago Joana Cunha Barbosa</v>
      </c>
    </row>
    <row r="158" spans="9:20" x14ac:dyDescent="0.25">
      <c r="I158">
        <f t="shared" ca="1" si="11"/>
        <v>6</v>
      </c>
      <c r="J158">
        <f t="shared" ca="1" si="11"/>
        <v>20</v>
      </c>
      <c r="K158">
        <f t="shared" ca="1" si="12"/>
        <v>12</v>
      </c>
      <c r="L158">
        <f t="shared" ca="1" si="12"/>
        <v>51</v>
      </c>
      <c r="M158" s="6" t="str" cm="1">
        <f t="array" aca="1" ref="M158" ca="1">INDEX($A$2:$A$40,I158,1)</f>
        <v>Feminino</v>
      </c>
      <c r="N158" s="6" t="str" cm="1">
        <f t="array" aca="1" ref="N158" ca="1">INDEX($B$2:$B$40,I158,1)</f>
        <v>Carolina</v>
      </c>
      <c r="O158" s="6" t="str" cm="1">
        <f t="array" aca="1" ref="O158" ca="1">INDEX($B$2:$B$40,J158,1)</f>
        <v>Luís</v>
      </c>
      <c r="P158" s="6" t="str" cm="1">
        <f t="array" aca="1" ref="P158" ca="1">INDEX($E$2:$E$98,K158)</f>
        <v>Teixeira</v>
      </c>
      <c r="Q158" s="6" t="str" cm="1">
        <f t="array" aca="1" ref="Q158" ca="1">INDEX($E$2:$E$98,L158)</f>
        <v>Freitas</v>
      </c>
      <c r="S158" t="str">
        <f t="shared" ca="1" si="13"/>
        <v>Feminino</v>
      </c>
      <c r="T158" t="str">
        <f t="shared" ca="1" si="10"/>
        <v>Carolina Luís Teixeira Freitas</v>
      </c>
    </row>
    <row r="159" spans="9:20" x14ac:dyDescent="0.25">
      <c r="I159">
        <f t="shared" ca="1" si="11"/>
        <v>38</v>
      </c>
      <c r="J159">
        <f t="shared" ca="1" si="11"/>
        <v>14</v>
      </c>
      <c r="K159">
        <f t="shared" ca="1" si="12"/>
        <v>3</v>
      </c>
      <c r="L159">
        <f t="shared" ca="1" si="12"/>
        <v>52</v>
      </c>
      <c r="M159" s="6" t="str" cm="1">
        <f t="array" aca="1" ref="M159" ca="1">INDEX($A$2:$A$40,I159,1)</f>
        <v>Masculino</v>
      </c>
      <c r="N159" s="6" t="str" cm="1">
        <f t="array" aca="1" ref="N159" ca="1">INDEX($B$2:$B$40,I159,1)</f>
        <v>Joaquim</v>
      </c>
      <c r="O159" s="6" t="str" cm="1">
        <f t="array" aca="1" ref="O159" ca="1">INDEX($B$2:$B$40,J159,1)</f>
        <v>Gabriel</v>
      </c>
      <c r="P159" s="6" t="str" cm="1">
        <f t="array" aca="1" ref="P159" ca="1">INDEX($E$2:$E$98,K159)</f>
        <v>Vieira</v>
      </c>
      <c r="Q159" s="6" t="str" cm="1">
        <f t="array" aca="1" ref="Q159" ca="1">INDEX($E$2:$E$98,L159)</f>
        <v>Magalhães</v>
      </c>
      <c r="S159" t="str">
        <f t="shared" ca="1" si="13"/>
        <v>Masculino</v>
      </c>
      <c r="T159" t="str">
        <f t="shared" ca="1" si="10"/>
        <v>Joaquim Gabriel Vieira Magalhães</v>
      </c>
    </row>
    <row r="160" spans="9:20" x14ac:dyDescent="0.25">
      <c r="I160">
        <f t="shared" ca="1" si="11"/>
        <v>36</v>
      </c>
      <c r="J160">
        <f t="shared" ca="1" si="11"/>
        <v>11</v>
      </c>
      <c r="K160">
        <f t="shared" ca="1" si="12"/>
        <v>49</v>
      </c>
      <c r="L160">
        <f t="shared" ca="1" si="12"/>
        <v>13</v>
      </c>
      <c r="M160" s="6" t="str" cm="1">
        <f t="array" aca="1" ref="M160" ca="1">INDEX($A$2:$A$40,I160,1)</f>
        <v>Masculino</v>
      </c>
      <c r="N160" s="6" t="str" cm="1">
        <f t="array" aca="1" ref="N160" ca="1">INDEX($B$2:$B$40,I160,1)</f>
        <v>Tomás</v>
      </c>
      <c r="O160" s="6" t="str" cm="1">
        <f t="array" aca="1" ref="O160" ca="1">INDEX($B$2:$B$40,J160,1)</f>
        <v>Duarte</v>
      </c>
      <c r="P160" s="6" t="str" cm="1">
        <f t="array" aca="1" ref="P160" ca="1">INDEX($E$2:$E$98,K160)</f>
        <v>Figueiredo</v>
      </c>
      <c r="Q160" s="6" t="str" cm="1">
        <f t="array" aca="1" ref="Q160" ca="1">INDEX($E$2:$E$98,L160)</f>
        <v>Santos</v>
      </c>
      <c r="S160" t="str">
        <f t="shared" ca="1" si="13"/>
        <v>Masculino</v>
      </c>
      <c r="T160" t="str">
        <f t="shared" ca="1" si="10"/>
        <v>Tomás Duarte Figueiredo Santos</v>
      </c>
    </row>
    <row r="161" spans="9:20" x14ac:dyDescent="0.25">
      <c r="I161">
        <f t="shared" ca="1" si="11"/>
        <v>32</v>
      </c>
      <c r="J161">
        <f t="shared" ca="1" si="11"/>
        <v>11</v>
      </c>
      <c r="K161">
        <f t="shared" ca="1" si="12"/>
        <v>43</v>
      </c>
      <c r="L161">
        <f t="shared" ca="1" si="12"/>
        <v>93</v>
      </c>
      <c r="M161" s="6" t="str" cm="1">
        <f t="array" aca="1" ref="M161" ca="1">INDEX($A$2:$A$40,I161,1)</f>
        <v>Masculino</v>
      </c>
      <c r="N161" s="6" t="str" cm="1">
        <f t="array" aca="1" ref="N161" ca="1">INDEX($B$2:$B$40,I161,1)</f>
        <v>Santiago</v>
      </c>
      <c r="O161" s="6" t="str" cm="1">
        <f t="array" aca="1" ref="O161" ca="1">INDEX($B$2:$B$40,J161,1)</f>
        <v>Duarte</v>
      </c>
      <c r="P161" s="6" t="str" cm="1">
        <f t="array" aca="1" ref="P161" ca="1">INDEX($E$2:$E$98,K161)</f>
        <v>Machado</v>
      </c>
      <c r="Q161" s="6" t="str" cm="1">
        <f t="array" aca="1" ref="Q161" ca="1">INDEX($E$2:$E$98,L161)</f>
        <v>Macedo</v>
      </c>
      <c r="S161" t="str">
        <f t="shared" ca="1" si="13"/>
        <v>Masculino</v>
      </c>
      <c r="T161" t="str">
        <f t="shared" ca="1" si="10"/>
        <v>Santiago Duarte Machado Macedo</v>
      </c>
    </row>
    <row r="162" spans="9:20" x14ac:dyDescent="0.25">
      <c r="I162">
        <f t="shared" ca="1" si="11"/>
        <v>32</v>
      </c>
      <c r="J162">
        <f t="shared" ca="1" si="11"/>
        <v>8</v>
      </c>
      <c r="K162">
        <f t="shared" ca="1" si="12"/>
        <v>15</v>
      </c>
      <c r="L162">
        <f t="shared" ca="1" si="12"/>
        <v>31</v>
      </c>
      <c r="M162" s="6" t="str" cm="1">
        <f t="array" aca="1" ref="M162" ca="1">INDEX($A$2:$A$40,I162,1)</f>
        <v>Masculino</v>
      </c>
      <c r="N162" s="6" t="str" cm="1">
        <f t="array" aca="1" ref="N162" ca="1">INDEX($B$2:$B$40,I162,1)</f>
        <v>Santiago</v>
      </c>
      <c r="O162" s="6" t="str" cm="1">
        <f t="array" aca="1" ref="O162" ca="1">INDEX($B$2:$B$40,J162,1)</f>
        <v>Daniela</v>
      </c>
      <c r="P162" s="6" t="str" cm="1">
        <f t="array" aca="1" ref="P162" ca="1">INDEX($E$2:$E$98,K162)</f>
        <v>Moreira</v>
      </c>
      <c r="Q162" s="6" t="str" cm="1">
        <f t="array" aca="1" ref="Q162" ca="1">INDEX($E$2:$E$98,L162)</f>
        <v>Oliveira</v>
      </c>
      <c r="S162" t="str">
        <f t="shared" ca="1" si="13"/>
        <v>Masculino</v>
      </c>
      <c r="T162" t="str">
        <f t="shared" ca="1" si="10"/>
        <v>Santiago Daniela Moreira Oliveira</v>
      </c>
    </row>
    <row r="163" spans="9:20" x14ac:dyDescent="0.25">
      <c r="I163">
        <f t="shared" ca="1" si="11"/>
        <v>35</v>
      </c>
      <c r="J163">
        <f t="shared" ca="1" si="11"/>
        <v>21</v>
      </c>
      <c r="K163">
        <f t="shared" ca="1" si="12"/>
        <v>23</v>
      </c>
      <c r="L163">
        <f t="shared" ca="1" si="12"/>
        <v>74</v>
      </c>
      <c r="M163" s="6" t="str" cm="1">
        <f t="array" aca="1" ref="M163" ca="1">INDEX($A$2:$A$40,I163,1)</f>
        <v>Masculino</v>
      </c>
      <c r="N163" s="6" t="str" cm="1">
        <f t="array" aca="1" ref="N163" ca="1">INDEX($B$2:$B$40,I163,1)</f>
        <v>Tiago</v>
      </c>
      <c r="O163" s="6" t="str" cm="1">
        <f t="array" aca="1" ref="O163" ca="1">INDEX($B$2:$B$40,J163,1)</f>
        <v>Lurdes</v>
      </c>
      <c r="P163" s="6" t="str" cm="1">
        <f t="array" aca="1" ref="P163" ca="1">INDEX($E$2:$E$98,K163)</f>
        <v>Gomes</v>
      </c>
      <c r="Q163" s="6" t="str" cm="1">
        <f t="array" aca="1" ref="Q163" ca="1">INDEX($E$2:$E$98,L163)</f>
        <v>Borges</v>
      </c>
      <c r="S163" t="str">
        <f t="shared" ca="1" si="13"/>
        <v>Masculino</v>
      </c>
      <c r="T163" t="str">
        <f t="shared" ca="1" si="10"/>
        <v>Tiago Lurdes Gomes Borges</v>
      </c>
    </row>
    <row r="164" spans="9:20" x14ac:dyDescent="0.25">
      <c r="I164">
        <f t="shared" ca="1" si="11"/>
        <v>13</v>
      </c>
      <c r="J164">
        <f t="shared" ca="1" si="11"/>
        <v>7</v>
      </c>
      <c r="K164">
        <f t="shared" ca="1" si="12"/>
        <v>35</v>
      </c>
      <c r="L164">
        <f t="shared" ca="1" si="12"/>
        <v>3</v>
      </c>
      <c r="M164" s="6" t="str" cm="1">
        <f t="array" aca="1" ref="M164" ca="1">INDEX($A$2:$A$40,I164,1)</f>
        <v>Masculino</v>
      </c>
      <c r="N164" s="6" t="str" cm="1">
        <f t="array" aca="1" ref="N164" ca="1">INDEX($B$2:$B$40,I164,1)</f>
        <v>Francisco</v>
      </c>
      <c r="O164" s="6" t="str" cm="1">
        <f t="array" aca="1" ref="O164" ca="1">INDEX($B$2:$B$40,J164,1)</f>
        <v>Catarina</v>
      </c>
      <c r="P164" s="6" t="str" cm="1">
        <f t="array" aca="1" ref="P164" ca="1">INDEX($E$2:$E$98,K164)</f>
        <v>Mendes</v>
      </c>
      <c r="Q164" s="6" t="str" cm="1">
        <f t="array" aca="1" ref="Q164" ca="1">INDEX($E$2:$E$98,L164)</f>
        <v>Vieira</v>
      </c>
      <c r="S164" t="str">
        <f t="shared" ca="1" si="13"/>
        <v>Masculino</v>
      </c>
      <c r="T164" t="str">
        <f t="shared" ca="1" si="10"/>
        <v>Francisco Catarina Mendes Vieira</v>
      </c>
    </row>
    <row r="165" spans="9:20" x14ac:dyDescent="0.25">
      <c r="I165">
        <f t="shared" ca="1" si="11"/>
        <v>34</v>
      </c>
      <c r="J165">
        <f t="shared" ca="1" si="11"/>
        <v>26</v>
      </c>
      <c r="K165">
        <f t="shared" ca="1" si="12"/>
        <v>84</v>
      </c>
      <c r="L165">
        <f t="shared" ca="1" si="12"/>
        <v>75</v>
      </c>
      <c r="M165" s="6" t="str" cm="1">
        <f t="array" aca="1" ref="M165" ca="1">INDEX($A$2:$A$40,I165,1)</f>
        <v>Feminino</v>
      </c>
      <c r="N165" s="6" t="str" cm="1">
        <f t="array" aca="1" ref="N165" ca="1">INDEX($B$2:$B$40,I165,1)</f>
        <v>Sofia</v>
      </c>
      <c r="O165" s="6" t="str" cm="1">
        <f t="array" aca="1" ref="O165" ca="1">INDEX($B$2:$B$40,J165,1)</f>
        <v>Martim</v>
      </c>
      <c r="P165" s="6" t="str" cm="1">
        <f t="array" aca="1" ref="P165" ca="1">INDEX($E$2:$E$98,K165)</f>
        <v>Domingues</v>
      </c>
      <c r="Q165" s="6" t="str" cm="1">
        <f t="array" aca="1" ref="Q165" ca="1">INDEX($E$2:$E$98,L165)</f>
        <v>Melo</v>
      </c>
      <c r="S165" t="str">
        <f t="shared" ca="1" si="13"/>
        <v>Feminino</v>
      </c>
      <c r="T165" t="str">
        <f t="shared" ca="1" si="10"/>
        <v>Sofia Martim Domingues Melo</v>
      </c>
    </row>
    <row r="166" spans="9:20" x14ac:dyDescent="0.25">
      <c r="I166">
        <f t="shared" ca="1" si="11"/>
        <v>22</v>
      </c>
      <c r="J166">
        <f t="shared" ca="1" si="11"/>
        <v>25</v>
      </c>
      <c r="K166">
        <f t="shared" ca="1" si="12"/>
        <v>8</v>
      </c>
      <c r="L166">
        <f t="shared" ca="1" si="12"/>
        <v>37</v>
      </c>
      <c r="M166" s="6" t="str" cm="1">
        <f t="array" aca="1" ref="M166" ca="1">INDEX($A$2:$A$40,I166,1)</f>
        <v>Masculino</v>
      </c>
      <c r="N166" s="6" t="str" cm="1">
        <f t="array" aca="1" ref="N166" ca="1">INDEX($B$2:$B$40,I166,1)</f>
        <v>Marco</v>
      </c>
      <c r="O166" s="6" t="str" cm="1">
        <f t="array" aca="1" ref="O166" ca="1">INDEX($B$2:$B$40,J166,1)</f>
        <v>Mariana</v>
      </c>
      <c r="P166" s="6" t="str" cm="1">
        <f t="array" aca="1" ref="P166" ca="1">INDEX($E$2:$E$98,K166)</f>
        <v>Pires</v>
      </c>
      <c r="Q166" s="6" t="str" cm="1">
        <f t="array" aca="1" ref="Q166" ca="1">INDEX($E$2:$E$98,L166)</f>
        <v>Rocha</v>
      </c>
      <c r="S166" t="str">
        <f t="shared" ca="1" si="13"/>
        <v>Masculino</v>
      </c>
      <c r="T166" t="str">
        <f t="shared" ca="1" si="10"/>
        <v>Marco Mariana Pires Rocha</v>
      </c>
    </row>
    <row r="167" spans="9:20" x14ac:dyDescent="0.25">
      <c r="I167">
        <f t="shared" ca="1" si="11"/>
        <v>11</v>
      </c>
      <c r="J167">
        <f t="shared" ca="1" si="11"/>
        <v>20</v>
      </c>
      <c r="K167">
        <f t="shared" ca="1" si="12"/>
        <v>7</v>
      </c>
      <c r="L167">
        <f t="shared" ca="1" si="12"/>
        <v>22</v>
      </c>
      <c r="M167" s="6" t="str" cm="1">
        <f t="array" aca="1" ref="M167" ca="1">INDEX($A$2:$A$40,I167,1)</f>
        <v>Masculino</v>
      </c>
      <c r="N167" s="6" t="str" cm="1">
        <f t="array" aca="1" ref="N167" ca="1">INDEX($B$2:$B$40,I167,1)</f>
        <v>Duarte</v>
      </c>
      <c r="O167" s="6" t="str" cm="1">
        <f t="array" aca="1" ref="O167" ca="1">INDEX($B$2:$B$40,J167,1)</f>
        <v>Luís</v>
      </c>
      <c r="P167" s="6" t="str" cm="1">
        <f t="array" aca="1" ref="P167" ca="1">INDEX($E$2:$E$98,K167)</f>
        <v>Coelho</v>
      </c>
      <c r="Q167" s="6" t="str" cm="1">
        <f t="array" aca="1" ref="Q167" ca="1">INDEX($E$2:$E$98,L167)</f>
        <v>Gonçalves</v>
      </c>
      <c r="S167" t="str">
        <f t="shared" ca="1" si="13"/>
        <v>Masculino</v>
      </c>
      <c r="T167" t="str">
        <f t="shared" ca="1" si="10"/>
        <v>Duarte Luís Coelho Gonçalves</v>
      </c>
    </row>
    <row r="168" spans="9:20" x14ac:dyDescent="0.25">
      <c r="I168">
        <f t="shared" ca="1" si="11"/>
        <v>23</v>
      </c>
      <c r="J168">
        <f t="shared" ca="1" si="11"/>
        <v>18</v>
      </c>
      <c r="K168">
        <f t="shared" ca="1" si="12"/>
        <v>22</v>
      </c>
      <c r="L168">
        <f t="shared" ca="1" si="12"/>
        <v>9</v>
      </c>
      <c r="M168" s="6" t="str" cm="1">
        <f t="array" aca="1" ref="M168" ca="1">INDEX($A$2:$A$40,I168,1)</f>
        <v>Feminino</v>
      </c>
      <c r="N168" s="6" t="str" cm="1">
        <f t="array" aca="1" ref="N168" ca="1">INDEX($B$2:$B$40,I168,1)</f>
        <v>Maria</v>
      </c>
      <c r="O168" s="6" t="str" cm="1">
        <f t="array" aca="1" ref="O168" ca="1">INDEX($B$2:$B$40,J168,1)</f>
        <v>José</v>
      </c>
      <c r="P168" s="6" t="str" cm="1">
        <f t="array" aca="1" ref="P168" ca="1">INDEX($E$2:$E$98,K168)</f>
        <v>Gonçalves</v>
      </c>
      <c r="Q168" s="6" t="str" cm="1">
        <f t="array" aca="1" ref="Q168" ca="1">INDEX($E$2:$E$98,L168)</f>
        <v>Ramos</v>
      </c>
      <c r="S168" t="str">
        <f t="shared" ca="1" si="13"/>
        <v>Feminino</v>
      </c>
      <c r="T168" t="str">
        <f t="shared" ca="1" si="10"/>
        <v>Maria José Gonçalves Ramos</v>
      </c>
    </row>
    <row r="169" spans="9:20" x14ac:dyDescent="0.25">
      <c r="I169">
        <f t="shared" ca="1" si="11"/>
        <v>3</v>
      </c>
      <c r="J169">
        <f t="shared" ca="1" si="11"/>
        <v>2</v>
      </c>
      <c r="K169">
        <f t="shared" ca="1" si="12"/>
        <v>45</v>
      </c>
      <c r="L169">
        <f t="shared" ca="1" si="12"/>
        <v>7</v>
      </c>
      <c r="M169" s="6" t="str" cm="1">
        <f t="array" aca="1" ref="M169" ca="1">INDEX($A$2:$A$40,I169,1)</f>
        <v>Masculino</v>
      </c>
      <c r="N169" s="6" t="str" cm="1">
        <f t="array" aca="1" ref="N169" ca="1">INDEX($B$2:$B$40,I169,1)</f>
        <v>André</v>
      </c>
      <c r="O169" s="6" t="str" cm="1">
        <f t="array" aca="1" ref="O169" ca="1">INDEX($B$2:$B$40,J169,1)</f>
        <v>Ana</v>
      </c>
      <c r="P169" s="6" t="str" cm="1">
        <f t="array" aca="1" ref="P169" ca="1">INDEX($E$2:$E$98,K169)</f>
        <v>Barbosa</v>
      </c>
      <c r="Q169" s="6" t="str" cm="1">
        <f t="array" aca="1" ref="Q169" ca="1">INDEX($E$2:$E$98,L169)</f>
        <v>Coelho</v>
      </c>
      <c r="S169" t="str">
        <f t="shared" ca="1" si="13"/>
        <v>Masculino</v>
      </c>
      <c r="T169" t="str">
        <f t="shared" ca="1" si="10"/>
        <v>André Ana Barbosa Coelho</v>
      </c>
    </row>
    <row r="170" spans="9:20" x14ac:dyDescent="0.25">
      <c r="I170">
        <f t="shared" ca="1" si="11"/>
        <v>24</v>
      </c>
      <c r="J170">
        <f t="shared" ca="1" si="11"/>
        <v>1</v>
      </c>
      <c r="K170">
        <f t="shared" ca="1" si="12"/>
        <v>90</v>
      </c>
      <c r="L170">
        <f t="shared" ca="1" si="12"/>
        <v>2</v>
      </c>
      <c r="M170" s="6" t="str" cm="1">
        <f t="array" aca="1" ref="M170" ca="1">INDEX($A$2:$A$40,I170,1)</f>
        <v>Feminino</v>
      </c>
      <c r="N170" s="6" t="str" cm="1">
        <f t="array" aca="1" ref="N170" ca="1">INDEX($B$2:$B$40,I170,1)</f>
        <v>Laura</v>
      </c>
      <c r="O170" s="6" t="str" cm="1">
        <f t="array" aca="1" ref="O170" ca="1">INDEX($B$2:$B$40,J170,1)</f>
        <v>Afonso</v>
      </c>
      <c r="P170" s="6" t="str" cm="1">
        <f t="array" aca="1" ref="P170" ca="1">INDEX($E$2:$E$98,K170)</f>
        <v>Branco</v>
      </c>
      <c r="Q170" s="6" t="str" cm="1">
        <f t="array" aca="1" ref="Q170" ca="1">INDEX($E$2:$E$98,L170)</f>
        <v>Pinto</v>
      </c>
      <c r="S170" t="str">
        <f t="shared" ca="1" si="13"/>
        <v>Feminino</v>
      </c>
      <c r="T170" t="str">
        <f t="shared" ca="1" si="10"/>
        <v>Laura Afonso Branco Pinto</v>
      </c>
    </row>
    <row r="171" spans="9:20" x14ac:dyDescent="0.25">
      <c r="I171">
        <f t="shared" ca="1" si="11"/>
        <v>4</v>
      </c>
      <c r="J171">
        <f t="shared" ca="1" si="11"/>
        <v>14</v>
      </c>
      <c r="K171">
        <f t="shared" ca="1" si="12"/>
        <v>80</v>
      </c>
      <c r="L171">
        <f t="shared" ca="1" si="12"/>
        <v>78</v>
      </c>
      <c r="M171" s="6" t="str" cm="1">
        <f t="array" aca="1" ref="M171" ca="1">INDEX($A$2:$A$40,I171,1)</f>
        <v>Feminino</v>
      </c>
      <c r="N171" s="6" t="str" cm="1">
        <f t="array" aca="1" ref="N171" ca="1">INDEX($B$2:$B$40,I171,1)</f>
        <v>Beatriz</v>
      </c>
      <c r="O171" s="6" t="str" cm="1">
        <f t="array" aca="1" ref="O171" ca="1">INDEX($B$2:$B$40,J171,1)</f>
        <v>Gabriel</v>
      </c>
      <c r="P171" s="6" t="str" cm="1">
        <f t="array" aca="1" ref="P171" ca="1">INDEX($E$2:$E$98,K171)</f>
        <v>Assunção</v>
      </c>
      <c r="Q171" s="6" t="str" cm="1">
        <f t="array" aca="1" ref="Q171" ca="1">INDEX($E$2:$E$98,L171)</f>
        <v>Vicente</v>
      </c>
      <c r="S171" t="str">
        <f t="shared" ca="1" si="13"/>
        <v>Feminino</v>
      </c>
      <c r="T171" t="str">
        <f t="shared" ca="1" si="10"/>
        <v>Beatriz Gabriel Assunção Vicente</v>
      </c>
    </row>
    <row r="172" spans="9:20" x14ac:dyDescent="0.25">
      <c r="I172">
        <f t="shared" ca="1" si="11"/>
        <v>26</v>
      </c>
      <c r="J172">
        <f t="shared" ca="1" si="11"/>
        <v>6</v>
      </c>
      <c r="K172">
        <f t="shared" ca="1" si="12"/>
        <v>44</v>
      </c>
      <c r="L172">
        <f t="shared" ca="1" si="12"/>
        <v>17</v>
      </c>
      <c r="M172" s="6" t="str" cm="1">
        <f t="array" aca="1" ref="M172" ca="1">INDEX($A$2:$A$40,I172,1)</f>
        <v>Masculino</v>
      </c>
      <c r="N172" s="6" t="str" cm="1">
        <f t="array" aca="1" ref="N172" ca="1">INDEX($B$2:$B$40,I172,1)</f>
        <v>Martim</v>
      </c>
      <c r="O172" s="6" t="str" cm="1">
        <f t="array" aca="1" ref="O172" ca="1">INDEX($B$2:$B$40,J172,1)</f>
        <v>Carolina</v>
      </c>
      <c r="P172" s="6" t="str" cm="1">
        <f t="array" aca="1" ref="P172" ca="1">INDEX($E$2:$E$98,K172)</f>
        <v>Araújo</v>
      </c>
      <c r="Q172" s="6" t="str" cm="1">
        <f t="array" aca="1" ref="Q172" ca="1">INDEX($E$2:$E$98,L172)</f>
        <v>Ferreira</v>
      </c>
      <c r="S172" t="str">
        <f t="shared" ca="1" si="13"/>
        <v>Masculino</v>
      </c>
      <c r="T172" t="str">
        <f t="shared" ca="1" si="10"/>
        <v>Martim Carolina Araújo Ferreira</v>
      </c>
    </row>
    <row r="173" spans="9:20" x14ac:dyDescent="0.25">
      <c r="I173">
        <f t="shared" ca="1" si="11"/>
        <v>7</v>
      </c>
      <c r="J173">
        <f t="shared" ca="1" si="11"/>
        <v>27</v>
      </c>
      <c r="K173">
        <f t="shared" ca="1" si="12"/>
        <v>5</v>
      </c>
      <c r="L173">
        <f t="shared" ca="1" si="12"/>
        <v>83</v>
      </c>
      <c r="M173" s="6" t="str" cm="1">
        <f t="array" aca="1" ref="M173" ca="1">INDEX($A$2:$A$40,I173,1)</f>
        <v>Feminino</v>
      </c>
      <c r="N173" s="6" t="str" cm="1">
        <f t="array" aca="1" ref="N173" ca="1">INDEX($B$2:$B$40,I173,1)</f>
        <v>Catarina</v>
      </c>
      <c r="O173" s="6" t="str" cm="1">
        <f t="array" aca="1" ref="O173" ca="1">INDEX($B$2:$B$40,J173,1)</f>
        <v>Matilde</v>
      </c>
      <c r="P173" s="6" t="str" cm="1">
        <f t="array" aca="1" ref="P173" ca="1">INDEX($E$2:$E$98,K173)</f>
        <v>Nunes</v>
      </c>
      <c r="Q173" s="6" t="str" cm="1">
        <f t="array" aca="1" ref="Q173" ca="1">INDEX($E$2:$E$98,L173)</f>
        <v>Valente</v>
      </c>
      <c r="S173" t="str">
        <f t="shared" ca="1" si="13"/>
        <v>Feminino</v>
      </c>
      <c r="T173" t="str">
        <f t="shared" ca="1" si="10"/>
        <v>Catarina Matilde Nunes Valente</v>
      </c>
    </row>
    <row r="174" spans="9:20" x14ac:dyDescent="0.25">
      <c r="I174">
        <f t="shared" ca="1" si="11"/>
        <v>34</v>
      </c>
      <c r="J174">
        <f t="shared" ca="1" si="11"/>
        <v>35</v>
      </c>
      <c r="K174">
        <f t="shared" ca="1" si="12"/>
        <v>50</v>
      </c>
      <c r="L174">
        <f t="shared" ca="1" si="12"/>
        <v>95</v>
      </c>
      <c r="M174" s="6" t="str" cm="1">
        <f t="array" aca="1" ref="M174" ca="1">INDEX($A$2:$A$40,I174,1)</f>
        <v>Feminino</v>
      </c>
      <c r="N174" s="6" t="str" cm="1">
        <f t="array" aca="1" ref="N174" ca="1">INDEX($B$2:$B$40,I174,1)</f>
        <v>Sofia</v>
      </c>
      <c r="O174" s="6" t="str" cm="1">
        <f t="array" aca="1" ref="O174" ca="1">INDEX($B$2:$B$40,J174,1)</f>
        <v>Tiago</v>
      </c>
      <c r="P174" s="6" t="str" cm="1">
        <f t="array" aca="1" ref="P174" ca="1">INDEX($E$2:$E$98,K174)</f>
        <v>Azevedo</v>
      </c>
      <c r="Q174" s="6" t="str" cm="1">
        <f t="array" aca="1" ref="Q174" ca="1">INDEX($E$2:$E$98,L174)</f>
        <v>Matias</v>
      </c>
      <c r="S174" t="str">
        <f t="shared" ca="1" si="13"/>
        <v>Feminino</v>
      </c>
      <c r="T174" t="str">
        <f t="shared" ca="1" si="10"/>
        <v>Sofia Tiago Azevedo Matias</v>
      </c>
    </row>
    <row r="175" spans="9:20" x14ac:dyDescent="0.25">
      <c r="I175">
        <f t="shared" ca="1" si="11"/>
        <v>10</v>
      </c>
      <c r="J175">
        <f t="shared" ca="1" si="11"/>
        <v>1</v>
      </c>
      <c r="K175">
        <f t="shared" ca="1" si="12"/>
        <v>44</v>
      </c>
      <c r="L175">
        <f t="shared" ca="1" si="12"/>
        <v>85</v>
      </c>
      <c r="M175" s="6" t="str" cm="1">
        <f t="array" aca="1" ref="M175" ca="1">INDEX($A$2:$A$40,I175,1)</f>
        <v>Masculino</v>
      </c>
      <c r="N175" s="6" t="str" cm="1">
        <f t="array" aca="1" ref="N175" ca="1">INDEX($B$2:$B$40,I175,1)</f>
        <v>Diogo</v>
      </c>
      <c r="O175" s="6" t="str" cm="1">
        <f t="array" aca="1" ref="O175" ca="1">INDEX($B$2:$B$40,J175,1)</f>
        <v>Afonso</v>
      </c>
      <c r="P175" s="6" t="str" cm="1">
        <f t="array" aca="1" ref="P175" ca="1">INDEX($E$2:$E$98,K175)</f>
        <v>Araújo</v>
      </c>
      <c r="Q175" s="6" t="str" cm="1">
        <f t="array" aca="1" ref="Q175" ca="1">INDEX($E$2:$E$98,L175)</f>
        <v>Garcia</v>
      </c>
      <c r="S175" t="str">
        <f t="shared" ca="1" si="13"/>
        <v>Masculino</v>
      </c>
      <c r="T175" t="str">
        <f t="shared" ca="1" si="10"/>
        <v>Diogo Afonso Araújo Garcia</v>
      </c>
    </row>
    <row r="176" spans="9:20" x14ac:dyDescent="0.25">
      <c r="I176">
        <f t="shared" ca="1" si="11"/>
        <v>1</v>
      </c>
      <c r="J176">
        <f t="shared" ca="1" si="11"/>
        <v>5</v>
      </c>
      <c r="K176">
        <f t="shared" ca="1" si="12"/>
        <v>76</v>
      </c>
      <c r="L176">
        <f t="shared" ca="1" si="12"/>
        <v>4</v>
      </c>
      <c r="M176" s="6" t="str" cm="1">
        <f t="array" aca="1" ref="M176" ca="1">INDEX($A$2:$A$40,I176,1)</f>
        <v>Masculino</v>
      </c>
      <c r="N176" s="6" t="str" cm="1">
        <f t="array" aca="1" ref="N176" ca="1">INDEX($B$2:$B$40,I176,1)</f>
        <v>Afonso</v>
      </c>
      <c r="O176" s="6" t="str" cm="1">
        <f t="array" aca="1" ref="O176" ca="1">INDEX($B$2:$B$40,J176,1)</f>
        <v>Bruno</v>
      </c>
      <c r="P176" s="6" t="str" cm="1">
        <f t="array" aca="1" ref="P176" ca="1">INDEX($E$2:$E$98,K176)</f>
        <v>Vaz</v>
      </c>
      <c r="Q176" s="6" t="str" cm="1">
        <f t="array" aca="1" ref="Q176" ca="1">INDEX($E$2:$E$98,L176)</f>
        <v>Alves</v>
      </c>
      <c r="S176" t="str">
        <f t="shared" ca="1" si="13"/>
        <v>Masculino</v>
      </c>
      <c r="T176" t="str">
        <f t="shared" ca="1" si="10"/>
        <v>Afonso Bruno Vaz Alves</v>
      </c>
    </row>
    <row r="177" spans="9:20" x14ac:dyDescent="0.25">
      <c r="I177">
        <f t="shared" ca="1" si="11"/>
        <v>10</v>
      </c>
      <c r="J177">
        <f t="shared" ca="1" si="11"/>
        <v>7</v>
      </c>
      <c r="K177">
        <f t="shared" ca="1" si="12"/>
        <v>30</v>
      </c>
      <c r="L177">
        <f t="shared" ca="1" si="12"/>
        <v>55</v>
      </c>
      <c r="M177" s="6" t="str" cm="1">
        <f t="array" aca="1" ref="M177" ca="1">INDEX($A$2:$A$40,I177,1)</f>
        <v>Masculino</v>
      </c>
      <c r="N177" s="6" t="str" cm="1">
        <f t="array" aca="1" ref="N177" ca="1">INDEX($B$2:$B$40,I177,1)</f>
        <v>Diogo</v>
      </c>
      <c r="O177" s="6" t="str" cm="1">
        <f t="array" aca="1" ref="O177" ca="1">INDEX($B$2:$B$40,J177,1)</f>
        <v>Catarina</v>
      </c>
      <c r="P177" s="6" t="str" cm="1">
        <f t="array" aca="1" ref="P177" ca="1">INDEX($E$2:$E$98,K177)</f>
        <v>Monteiro</v>
      </c>
      <c r="Q177" s="6" t="str" cm="1">
        <f t="array" aca="1" ref="Q177" ca="1">INDEX($E$2:$E$98,L177)</f>
        <v>Guerreiro</v>
      </c>
      <c r="S177" t="str">
        <f t="shared" ca="1" si="13"/>
        <v>Masculino</v>
      </c>
      <c r="T177" t="str">
        <f t="shared" ca="1" si="10"/>
        <v>Diogo Catarina Monteiro Guerreiro</v>
      </c>
    </row>
    <row r="178" spans="9:20" x14ac:dyDescent="0.25">
      <c r="I178">
        <f t="shared" ca="1" si="11"/>
        <v>4</v>
      </c>
      <c r="J178">
        <f t="shared" ca="1" si="11"/>
        <v>27</v>
      </c>
      <c r="K178">
        <f t="shared" ca="1" si="12"/>
        <v>6</v>
      </c>
      <c r="L178">
        <f t="shared" ca="1" si="12"/>
        <v>15</v>
      </c>
      <c r="M178" s="6" t="str" cm="1">
        <f t="array" aca="1" ref="M178" ca="1">INDEX($A$2:$A$40,I178,1)</f>
        <v>Feminino</v>
      </c>
      <c r="N178" s="6" t="str" cm="1">
        <f t="array" aca="1" ref="N178" ca="1">INDEX($B$2:$B$40,I178,1)</f>
        <v>Beatriz</v>
      </c>
      <c r="O178" s="6" t="str" cm="1">
        <f t="array" aca="1" ref="O178" ca="1">INDEX($B$2:$B$40,J178,1)</f>
        <v>Matilde</v>
      </c>
      <c r="P178" s="6" t="str" cm="1">
        <f t="array" aca="1" ref="P178" ca="1">INDEX($E$2:$E$98,K178)</f>
        <v>Almeida</v>
      </c>
      <c r="Q178" s="6" t="str" cm="1">
        <f t="array" aca="1" ref="Q178" ca="1">INDEX($E$2:$E$98,L178)</f>
        <v>Moreira</v>
      </c>
      <c r="S178" t="str">
        <f t="shared" ca="1" si="13"/>
        <v>Feminino</v>
      </c>
      <c r="T178" t="str">
        <f t="shared" ca="1" si="10"/>
        <v>Beatriz Matilde Almeida Moreira</v>
      </c>
    </row>
    <row r="179" spans="9:20" x14ac:dyDescent="0.25">
      <c r="I179">
        <f t="shared" ca="1" si="11"/>
        <v>13</v>
      </c>
      <c r="J179">
        <f t="shared" ca="1" si="11"/>
        <v>31</v>
      </c>
      <c r="K179">
        <f t="shared" ca="1" si="12"/>
        <v>9</v>
      </c>
      <c r="L179">
        <f t="shared" ca="1" si="12"/>
        <v>35</v>
      </c>
      <c r="M179" s="6" t="str" cm="1">
        <f t="array" aca="1" ref="M179" ca="1">INDEX($A$2:$A$40,I179,1)</f>
        <v>Masculino</v>
      </c>
      <c r="N179" s="6" t="str" cm="1">
        <f t="array" aca="1" ref="N179" ca="1">INDEX($B$2:$B$40,I179,1)</f>
        <v>Francisco</v>
      </c>
      <c r="O179" s="6" t="str" cm="1">
        <f t="array" aca="1" ref="O179" ca="1">INDEX($B$2:$B$40,J179,1)</f>
        <v>Rodrigo</v>
      </c>
      <c r="P179" s="6" t="str" cm="1">
        <f t="array" aca="1" ref="P179" ca="1">INDEX($E$2:$E$98,K179)</f>
        <v>Ramos</v>
      </c>
      <c r="Q179" s="6" t="str" cm="1">
        <f t="array" aca="1" ref="Q179" ca="1">INDEX($E$2:$E$98,L179)</f>
        <v>Mendes</v>
      </c>
      <c r="S179" t="str">
        <f t="shared" ca="1" si="13"/>
        <v>Masculino</v>
      </c>
      <c r="T179" t="str">
        <f t="shared" ca="1" si="10"/>
        <v>Francisco Rodrigo Ramos Mendes</v>
      </c>
    </row>
    <row r="180" spans="9:20" x14ac:dyDescent="0.25">
      <c r="I180">
        <f t="shared" ca="1" si="11"/>
        <v>4</v>
      </c>
      <c r="J180">
        <f t="shared" ca="1" si="11"/>
        <v>8</v>
      </c>
      <c r="K180">
        <f t="shared" ca="1" si="12"/>
        <v>23</v>
      </c>
      <c r="L180">
        <f t="shared" ca="1" si="12"/>
        <v>1</v>
      </c>
      <c r="M180" s="6" t="str" cm="1">
        <f t="array" aca="1" ref="M180" ca="1">INDEX($A$2:$A$40,I180,1)</f>
        <v>Feminino</v>
      </c>
      <c r="N180" s="6" t="str" cm="1">
        <f t="array" aca="1" ref="N180" ca="1">INDEX($B$2:$B$40,I180,1)</f>
        <v>Beatriz</v>
      </c>
      <c r="O180" s="6" t="str" cm="1">
        <f t="array" aca="1" ref="O180" ca="1">INDEX($B$2:$B$40,J180,1)</f>
        <v>Daniela</v>
      </c>
      <c r="P180" s="6" t="str" cm="1">
        <f t="array" aca="1" ref="P180" ca="1">INDEX($E$2:$E$98,K180)</f>
        <v>Gomes</v>
      </c>
      <c r="Q180" s="6" t="str" cm="1">
        <f t="array" aca="1" ref="Q180" ca="1">INDEX($E$2:$E$98,L180)</f>
        <v>Pereira</v>
      </c>
      <c r="S180" t="str">
        <f t="shared" ca="1" si="13"/>
        <v>Feminino</v>
      </c>
      <c r="T180" t="str">
        <f t="shared" ca="1" si="10"/>
        <v>Beatriz Daniela Gomes Pereira</v>
      </c>
    </row>
    <row r="181" spans="9:20" x14ac:dyDescent="0.25">
      <c r="I181">
        <f t="shared" ca="1" si="11"/>
        <v>6</v>
      </c>
      <c r="J181">
        <f t="shared" ca="1" si="11"/>
        <v>6</v>
      </c>
      <c r="K181">
        <f t="shared" ca="1" si="12"/>
        <v>87</v>
      </c>
      <c r="L181">
        <f t="shared" ca="1" si="12"/>
        <v>53</v>
      </c>
      <c r="M181" s="6" t="str" cm="1">
        <f t="array" aca="1" ref="M181" ca="1">INDEX($A$2:$A$40,I181,1)</f>
        <v>Feminino</v>
      </c>
      <c r="N181" s="6" t="str" cm="1">
        <f t="array" aca="1" ref="N181" ca="1">INDEX($B$2:$B$40,I181,1)</f>
        <v>Carolina</v>
      </c>
      <c r="O181" s="6" t="str" cm="1">
        <f t="array" aca="1" ref="O181" ca="1">INDEX($B$2:$B$40,J181,1)</f>
        <v>Carolina</v>
      </c>
      <c r="P181" s="6" t="str" cm="1">
        <f t="array" aca="1" ref="P181" ca="1">INDEX($E$2:$E$98,K181)</f>
        <v>Loureiro</v>
      </c>
      <c r="Q181" s="6" t="str" cm="1">
        <f t="array" aca="1" ref="Q181" ca="1">INDEX($E$2:$E$98,L181)</f>
        <v>Henriques</v>
      </c>
      <c r="S181" t="str">
        <f t="shared" ca="1" si="13"/>
        <v>Feminino</v>
      </c>
      <c r="T181" t="str">
        <f t="shared" ref="T181:T200" ca="1" si="14">N181 &amp; " " &amp; O181 &amp; " " &amp; P181  &amp; " " &amp; Q181</f>
        <v>Carolina Carolina Loureiro Henriques</v>
      </c>
    </row>
    <row r="182" spans="9:20" x14ac:dyDescent="0.25">
      <c r="I182">
        <f t="shared" ca="1" si="11"/>
        <v>5</v>
      </c>
      <c r="J182">
        <f t="shared" ca="1" si="11"/>
        <v>9</v>
      </c>
      <c r="K182">
        <f t="shared" ca="1" si="12"/>
        <v>87</v>
      </c>
      <c r="L182">
        <f t="shared" ca="1" si="12"/>
        <v>79</v>
      </c>
      <c r="M182" s="6" t="str" cm="1">
        <f t="array" aca="1" ref="M182" ca="1">INDEX($A$2:$A$40,I182,1)</f>
        <v>Masculino</v>
      </c>
      <c r="N182" s="6" t="str" cm="1">
        <f t="array" aca="1" ref="N182" ca="1">INDEX($B$2:$B$40,I182,1)</f>
        <v>Bruno</v>
      </c>
      <c r="O182" s="6" t="str" cm="1">
        <f t="array" aca="1" ref="O182" ca="1">INDEX($B$2:$B$40,J182,1)</f>
        <v>Diana</v>
      </c>
      <c r="P182" s="6" t="str" cm="1">
        <f t="array" aca="1" ref="P182" ca="1">INDEX($E$2:$E$98,K182)</f>
        <v>Loureiro</v>
      </c>
      <c r="Q182" s="6" t="str" cm="1">
        <f t="array" aca="1" ref="Q182" ca="1">INDEX($E$2:$E$98,L182)</f>
        <v>Gaspar</v>
      </c>
      <c r="S182" t="str">
        <f t="shared" ca="1" si="13"/>
        <v>Masculino</v>
      </c>
      <c r="T182" t="str">
        <f t="shared" ca="1" si="14"/>
        <v>Bruno Diana Loureiro Gaspar</v>
      </c>
    </row>
    <row r="183" spans="9:20" x14ac:dyDescent="0.25">
      <c r="I183">
        <f t="shared" ca="1" si="11"/>
        <v>27</v>
      </c>
      <c r="J183">
        <f t="shared" ca="1" si="11"/>
        <v>5</v>
      </c>
      <c r="K183">
        <f t="shared" ca="1" si="12"/>
        <v>64</v>
      </c>
      <c r="L183">
        <f t="shared" ca="1" si="12"/>
        <v>88</v>
      </c>
      <c r="M183" s="6" t="str" cm="1">
        <f t="array" aca="1" ref="M183" ca="1">INDEX($A$2:$A$40,I183,1)</f>
        <v>Feminino</v>
      </c>
      <c r="N183" s="6" t="str" cm="1">
        <f t="array" aca="1" ref="N183" ca="1">INDEX($B$2:$B$40,I183,1)</f>
        <v>Matilde</v>
      </c>
      <c r="O183" s="6" t="str" cm="1">
        <f t="array" aca="1" ref="O183" ca="1">INDEX($B$2:$B$40,J183,1)</f>
        <v>Bruno</v>
      </c>
      <c r="P183" s="6" t="str" cm="1">
        <f t="array" aca="1" ref="P183" ca="1">INDEX($E$2:$E$98,K183)</f>
        <v>Anjos</v>
      </c>
      <c r="Q183" s="6" t="str" cm="1">
        <f t="array" aca="1" ref="Q183" ca="1">INDEX($E$2:$E$98,L183)</f>
        <v>Neto</v>
      </c>
      <c r="S183" t="str">
        <f t="shared" ca="1" si="13"/>
        <v>Feminino</v>
      </c>
      <c r="T183" t="str">
        <f t="shared" ca="1" si="14"/>
        <v>Matilde Bruno Anjos Neto</v>
      </c>
    </row>
    <row r="184" spans="9:20" x14ac:dyDescent="0.25">
      <c r="I184">
        <f t="shared" ca="1" si="11"/>
        <v>7</v>
      </c>
      <c r="J184">
        <f t="shared" ca="1" si="11"/>
        <v>31</v>
      </c>
      <c r="K184">
        <f t="shared" ca="1" si="12"/>
        <v>1</v>
      </c>
      <c r="L184">
        <f t="shared" ca="1" si="12"/>
        <v>50</v>
      </c>
      <c r="M184" s="6" t="str" cm="1">
        <f t="array" aca="1" ref="M184" ca="1">INDEX($A$2:$A$40,I184,1)</f>
        <v>Feminino</v>
      </c>
      <c r="N184" s="6" t="str" cm="1">
        <f t="array" aca="1" ref="N184" ca="1">INDEX($B$2:$B$40,I184,1)</f>
        <v>Catarina</v>
      </c>
      <c r="O184" s="6" t="str" cm="1">
        <f t="array" aca="1" ref="O184" ca="1">INDEX($B$2:$B$40,J184,1)</f>
        <v>Rodrigo</v>
      </c>
      <c r="P184" s="6" t="str" cm="1">
        <f t="array" aca="1" ref="P184" ca="1">INDEX($E$2:$E$98,K184)</f>
        <v>Pereira</v>
      </c>
      <c r="Q184" s="6" t="str" cm="1">
        <f t="array" aca="1" ref="Q184" ca="1">INDEX($E$2:$E$98,L184)</f>
        <v>Azevedo</v>
      </c>
      <c r="S184" t="str">
        <f t="shared" ca="1" si="13"/>
        <v>Feminino</v>
      </c>
      <c r="T184" t="str">
        <f t="shared" ca="1" si="14"/>
        <v>Catarina Rodrigo Pereira Azevedo</v>
      </c>
    </row>
    <row r="185" spans="9:20" x14ac:dyDescent="0.25">
      <c r="I185">
        <f t="shared" ca="1" si="11"/>
        <v>3</v>
      </c>
      <c r="J185">
        <f t="shared" ca="1" si="11"/>
        <v>22</v>
      </c>
      <c r="K185">
        <f t="shared" ca="1" si="12"/>
        <v>46</v>
      </c>
      <c r="L185">
        <f t="shared" ca="1" si="12"/>
        <v>56</v>
      </c>
      <c r="M185" s="6" t="str" cm="1">
        <f t="array" aca="1" ref="M185" ca="1">INDEX($A$2:$A$40,I185,1)</f>
        <v>Masculino</v>
      </c>
      <c r="N185" s="6" t="str" cm="1">
        <f t="array" aca="1" ref="N185" ca="1">INDEX($B$2:$B$40,I185,1)</f>
        <v>André</v>
      </c>
      <c r="O185" s="6" t="str" cm="1">
        <f t="array" aca="1" ref="O185" ca="1">INDEX($B$2:$B$40,J185,1)</f>
        <v>Marco</v>
      </c>
      <c r="P185" s="6" t="str" cm="1">
        <f t="array" aca="1" ref="P185" ca="1">INDEX($E$2:$E$98,K185)</f>
        <v>Tavares</v>
      </c>
      <c r="Q185" s="6" t="str" cm="1">
        <f t="array" aca="1" ref="Q185" ca="1">INDEX($E$2:$E$98,L185)</f>
        <v>Batista</v>
      </c>
      <c r="S185" t="str">
        <f t="shared" ca="1" si="13"/>
        <v>Masculino</v>
      </c>
      <c r="T185" t="str">
        <f t="shared" ca="1" si="14"/>
        <v>André Marco Tavares Batista</v>
      </c>
    </row>
    <row r="186" spans="9:20" x14ac:dyDescent="0.25">
      <c r="I186">
        <f t="shared" ca="1" si="11"/>
        <v>37</v>
      </c>
      <c r="J186">
        <f t="shared" ca="1" si="11"/>
        <v>36</v>
      </c>
      <c r="K186">
        <f t="shared" ca="1" si="12"/>
        <v>22</v>
      </c>
      <c r="L186">
        <f t="shared" ca="1" si="12"/>
        <v>58</v>
      </c>
      <c r="M186" s="6" t="str" cm="1">
        <f t="array" aca="1" ref="M186" ca="1">INDEX($A$2:$A$40,I186,1)</f>
        <v>Feminino</v>
      </c>
      <c r="N186" s="6" t="str" cm="1">
        <f t="array" aca="1" ref="N186" ca="1">INDEX($B$2:$B$40,I186,1)</f>
        <v>Vera</v>
      </c>
      <c r="O186" s="6" t="str" cm="1">
        <f t="array" aca="1" ref="O186" ca="1">INDEX($B$2:$B$40,J186,1)</f>
        <v>Tomás</v>
      </c>
      <c r="P186" s="6" t="str" cm="1">
        <f t="array" aca="1" ref="P186" ca="1">INDEX($E$2:$E$98,K186)</f>
        <v>Gonçalves</v>
      </c>
      <c r="Q186" s="6" t="str" cm="1">
        <f t="array" aca="1" ref="Q186" ca="1">INDEX($E$2:$E$98,L186)</f>
        <v>Faria</v>
      </c>
      <c r="S186" t="str">
        <f t="shared" ca="1" si="13"/>
        <v>Feminino</v>
      </c>
      <c r="T186" t="str">
        <f t="shared" ca="1" si="14"/>
        <v>Vera Tomás Gonçalves Faria</v>
      </c>
    </row>
    <row r="187" spans="9:20" x14ac:dyDescent="0.25">
      <c r="I187">
        <f t="shared" ca="1" si="11"/>
        <v>36</v>
      </c>
      <c r="J187">
        <f t="shared" ca="1" si="11"/>
        <v>30</v>
      </c>
      <c r="K187">
        <f t="shared" ca="1" si="12"/>
        <v>10</v>
      </c>
      <c r="L187">
        <f t="shared" ca="1" si="12"/>
        <v>55</v>
      </c>
      <c r="M187" s="6" t="str" cm="1">
        <f t="array" aca="1" ref="M187" ca="1">INDEX($A$2:$A$40,I187,1)</f>
        <v>Masculino</v>
      </c>
      <c r="N187" s="6" t="str" cm="1">
        <f t="array" aca="1" ref="N187" ca="1">INDEX($B$2:$B$40,I187,1)</f>
        <v>Tomás</v>
      </c>
      <c r="O187" s="6" t="str" cm="1">
        <f t="array" aca="1" ref="O187" ca="1">INDEX($B$2:$B$40,J187,1)</f>
        <v>Ricardo</v>
      </c>
      <c r="P187" s="6" t="str" cm="1">
        <f t="array" aca="1" ref="P187" ca="1">INDEX($E$2:$E$98,K187)</f>
        <v>Correia</v>
      </c>
      <c r="Q187" s="6" t="str" cm="1">
        <f t="array" aca="1" ref="Q187" ca="1">INDEX($E$2:$E$98,L187)</f>
        <v>Guerreiro</v>
      </c>
      <c r="S187" t="str">
        <f t="shared" ca="1" si="13"/>
        <v>Masculino</v>
      </c>
      <c r="T187" t="str">
        <f t="shared" ca="1" si="14"/>
        <v>Tomás Ricardo Correia Guerreiro</v>
      </c>
    </row>
    <row r="188" spans="9:20" x14ac:dyDescent="0.25">
      <c r="I188">
        <f t="shared" ca="1" si="11"/>
        <v>15</v>
      </c>
      <c r="J188">
        <f t="shared" ca="1" si="11"/>
        <v>34</v>
      </c>
      <c r="K188">
        <f t="shared" ca="1" si="12"/>
        <v>45</v>
      </c>
      <c r="L188">
        <f t="shared" ca="1" si="12"/>
        <v>95</v>
      </c>
      <c r="M188" s="6" t="str" cm="1">
        <f t="array" aca="1" ref="M188" ca="1">INDEX($A$2:$A$40,I188,1)</f>
        <v>Feminino</v>
      </c>
      <c r="N188" s="6" t="str" cm="1">
        <f t="array" aca="1" ref="N188" ca="1">INDEX($B$2:$B$40,I188,1)</f>
        <v>Inês</v>
      </c>
      <c r="O188" s="6" t="str" cm="1">
        <f t="array" aca="1" ref="O188" ca="1">INDEX($B$2:$B$40,J188,1)</f>
        <v>Sofia</v>
      </c>
      <c r="P188" s="6" t="str" cm="1">
        <f t="array" aca="1" ref="P188" ca="1">INDEX($E$2:$E$98,K188)</f>
        <v>Barbosa</v>
      </c>
      <c r="Q188" s="6" t="str" cm="1">
        <f t="array" aca="1" ref="Q188" ca="1">INDEX($E$2:$E$98,L188)</f>
        <v>Matias</v>
      </c>
      <c r="S188" t="str">
        <f t="shared" ca="1" si="13"/>
        <v>Feminino</v>
      </c>
      <c r="T188" t="str">
        <f t="shared" ca="1" si="14"/>
        <v>Inês Sofia Barbosa Matias</v>
      </c>
    </row>
    <row r="189" spans="9:20" x14ac:dyDescent="0.25">
      <c r="I189">
        <f t="shared" ca="1" si="11"/>
        <v>39</v>
      </c>
      <c r="J189">
        <f t="shared" ca="1" si="11"/>
        <v>12</v>
      </c>
      <c r="K189">
        <f t="shared" ca="1" si="12"/>
        <v>15</v>
      </c>
      <c r="L189">
        <f t="shared" ca="1" si="12"/>
        <v>80</v>
      </c>
      <c r="M189" s="6" t="str" cm="1">
        <f t="array" aca="1" ref="M189" ca="1">INDEX($A$2:$A$40,I189,1)</f>
        <v>Feminino</v>
      </c>
      <c r="N189" s="6" t="str" cm="1">
        <f t="array" aca="1" ref="N189" ca="1">INDEX($B$2:$B$40,I189,1)</f>
        <v>Lara</v>
      </c>
      <c r="O189" s="6" t="str" cm="1">
        <f t="array" aca="1" ref="O189" ca="1">INDEX($B$2:$B$40,J189,1)</f>
        <v>Francisca</v>
      </c>
      <c r="P189" s="6" t="str" cm="1">
        <f t="array" aca="1" ref="P189" ca="1">INDEX($E$2:$E$98,K189)</f>
        <v>Moreira</v>
      </c>
      <c r="Q189" s="6" t="str" cm="1">
        <f t="array" aca="1" ref="Q189" ca="1">INDEX($E$2:$E$98,L189)</f>
        <v>Assunção</v>
      </c>
      <c r="S189" t="str">
        <f t="shared" ca="1" si="13"/>
        <v>Feminino</v>
      </c>
      <c r="T189" t="str">
        <f t="shared" ca="1" si="14"/>
        <v>Lara Francisca Moreira Assunção</v>
      </c>
    </row>
    <row r="190" spans="9:20" x14ac:dyDescent="0.25">
      <c r="I190">
        <f t="shared" ca="1" si="11"/>
        <v>11</v>
      </c>
      <c r="J190">
        <f t="shared" ca="1" si="11"/>
        <v>2</v>
      </c>
      <c r="K190">
        <f t="shared" ca="1" si="12"/>
        <v>92</v>
      </c>
      <c r="L190">
        <f t="shared" ca="1" si="12"/>
        <v>60</v>
      </c>
      <c r="M190" s="6" t="str" cm="1">
        <f t="array" aca="1" ref="M190" ca="1">INDEX($A$2:$A$40,I190,1)</f>
        <v>Masculino</v>
      </c>
      <c r="N190" s="6" t="str" cm="1">
        <f t="array" aca="1" ref="N190" ca="1">INDEX($B$2:$B$40,I190,1)</f>
        <v>Duarte</v>
      </c>
      <c r="O190" s="6" t="str" cm="1">
        <f t="array" aca="1" ref="O190" ca="1">INDEX($B$2:$B$40,J190,1)</f>
        <v>Ana</v>
      </c>
      <c r="P190" s="6" t="str" cm="1">
        <f t="array" aca="1" ref="P190" ca="1">INDEX($E$2:$E$98,K190)</f>
        <v>Pacheco</v>
      </c>
      <c r="Q190" s="6" t="str" cm="1">
        <f t="array" aca="1" ref="Q190" ca="1">INDEX($E$2:$E$98,L190)</f>
        <v>Barros</v>
      </c>
      <c r="S190" t="str">
        <f t="shared" ca="1" si="13"/>
        <v>Masculino</v>
      </c>
      <c r="T190" t="str">
        <f t="shared" ca="1" si="14"/>
        <v>Duarte Ana Pacheco Barros</v>
      </c>
    </row>
    <row r="191" spans="9:20" x14ac:dyDescent="0.25">
      <c r="I191">
        <f t="shared" ca="1" si="11"/>
        <v>8</v>
      </c>
      <c r="J191">
        <f t="shared" ca="1" si="11"/>
        <v>33</v>
      </c>
      <c r="K191">
        <f t="shared" ca="1" si="12"/>
        <v>9</v>
      </c>
      <c r="L191">
        <f t="shared" ca="1" si="12"/>
        <v>97</v>
      </c>
      <c r="M191" s="6" t="str" cm="1">
        <f t="array" aca="1" ref="M191" ca="1">INDEX($A$2:$A$40,I191,1)</f>
        <v>Feminino</v>
      </c>
      <c r="N191" s="6" t="str" cm="1">
        <f t="array" aca="1" ref="N191" ca="1">INDEX($B$2:$B$40,I191,1)</f>
        <v>Daniela</v>
      </c>
      <c r="O191" s="6" t="str" cm="1">
        <f t="array" aca="1" ref="O191" ca="1">INDEX($B$2:$B$40,J191,1)</f>
        <v>Sara</v>
      </c>
      <c r="P191" s="6" t="str" cm="1">
        <f t="array" aca="1" ref="P191" ca="1">INDEX($E$2:$E$98,K191)</f>
        <v>Ramos</v>
      </c>
      <c r="Q191" s="6" t="str" cm="1">
        <f t="array" aca="1" ref="Q191" ca="1">INDEX($E$2:$E$98,L191)</f>
        <v>Torres</v>
      </c>
      <c r="S191" t="str">
        <f t="shared" ca="1" si="13"/>
        <v>Feminino</v>
      </c>
      <c r="T191" t="str">
        <f t="shared" ca="1" si="14"/>
        <v>Daniela Sara Ramos Torres</v>
      </c>
    </row>
    <row r="192" spans="9:20" x14ac:dyDescent="0.25">
      <c r="I192">
        <f t="shared" ca="1" si="11"/>
        <v>2</v>
      </c>
      <c r="J192">
        <f t="shared" ca="1" si="11"/>
        <v>32</v>
      </c>
      <c r="K192">
        <f t="shared" ca="1" si="12"/>
        <v>58</v>
      </c>
      <c r="L192">
        <f t="shared" ca="1" si="12"/>
        <v>33</v>
      </c>
      <c r="M192" s="6" t="str" cm="1">
        <f t="array" aca="1" ref="M192" ca="1">INDEX($A$2:$A$40,I192,1)</f>
        <v>Feminino</v>
      </c>
      <c r="N192" s="6" t="str" cm="1">
        <f t="array" aca="1" ref="N192" ca="1">INDEX($B$2:$B$40,I192,1)</f>
        <v>Ana</v>
      </c>
      <c r="O192" s="6" t="str" cm="1">
        <f t="array" aca="1" ref="O192" ca="1">INDEX($B$2:$B$40,J192,1)</f>
        <v>Santiago</v>
      </c>
      <c r="P192" s="6" t="str" cm="1">
        <f t="array" aca="1" ref="P192" ca="1">INDEX($E$2:$E$98,K192)</f>
        <v>Faria</v>
      </c>
      <c r="Q192" s="6" t="str" cm="1">
        <f t="array" aca="1" ref="Q192" ca="1">INDEX($E$2:$E$98,L192)</f>
        <v>Cunha</v>
      </c>
      <c r="S192" t="str">
        <f t="shared" ca="1" si="13"/>
        <v>Feminino</v>
      </c>
      <c r="T192" t="str">
        <f t="shared" ca="1" si="14"/>
        <v>Ana Santiago Faria Cunha</v>
      </c>
    </row>
    <row r="193" spans="9:20" x14ac:dyDescent="0.25">
      <c r="I193">
        <f t="shared" ca="1" si="11"/>
        <v>3</v>
      </c>
      <c r="J193">
        <f t="shared" ca="1" si="11"/>
        <v>28</v>
      </c>
      <c r="K193">
        <f t="shared" ca="1" si="12"/>
        <v>55</v>
      </c>
      <c r="L193">
        <f t="shared" ca="1" si="12"/>
        <v>16</v>
      </c>
      <c r="M193" s="6" t="str" cm="1">
        <f t="array" aca="1" ref="M193" ca="1">INDEX($A$2:$A$40,I193,1)</f>
        <v>Masculino</v>
      </c>
      <c r="N193" s="6" t="str" cm="1">
        <f t="array" aca="1" ref="N193" ca="1">INDEX($B$2:$B$40,I193,1)</f>
        <v>André</v>
      </c>
      <c r="O193" s="6" t="str" cm="1">
        <f t="array" aca="1" ref="O193" ca="1">INDEX($B$2:$B$40,J193,1)</f>
        <v>Miguel</v>
      </c>
      <c r="P193" s="6" t="str" cm="1">
        <f t="array" aca="1" ref="P193" ca="1">INDEX($E$2:$E$98,K193)</f>
        <v>Guerreiro</v>
      </c>
      <c r="Q193" s="6" t="str" cm="1">
        <f t="array" aca="1" ref="Q193" ca="1">INDEX($E$2:$E$98,L193)</f>
        <v>Neves</v>
      </c>
      <c r="S193" t="str">
        <f t="shared" ca="1" si="13"/>
        <v>Masculino</v>
      </c>
      <c r="T193" t="str">
        <f t="shared" ca="1" si="14"/>
        <v>André Miguel Guerreiro Neves</v>
      </c>
    </row>
    <row r="194" spans="9:20" x14ac:dyDescent="0.25">
      <c r="I194">
        <f t="shared" ca="1" si="11"/>
        <v>7</v>
      </c>
      <c r="J194">
        <f t="shared" ca="1" si="11"/>
        <v>18</v>
      </c>
      <c r="K194">
        <f t="shared" ca="1" si="12"/>
        <v>3</v>
      </c>
      <c r="L194">
        <f t="shared" ca="1" si="12"/>
        <v>54</v>
      </c>
      <c r="M194" s="6" t="str" cm="1">
        <f t="array" aca="1" ref="M194" ca="1">INDEX($A$2:$A$40,I194,1)</f>
        <v>Feminino</v>
      </c>
      <c r="N194" s="6" t="str" cm="1">
        <f t="array" aca="1" ref="N194" ca="1">INDEX($B$2:$B$40,I194,1)</f>
        <v>Catarina</v>
      </c>
      <c r="O194" s="6" t="str" cm="1">
        <f t="array" aca="1" ref="O194" ca="1">INDEX($B$2:$B$40,J194,1)</f>
        <v>José</v>
      </c>
      <c r="P194" s="6" t="str" cm="1">
        <f t="array" aca="1" ref="P194" ca="1">INDEX($E$2:$E$98,K194)</f>
        <v>Vieira</v>
      </c>
      <c r="Q194" s="6" t="str" cm="1">
        <f t="array" aca="1" ref="Q194" ca="1">INDEX($E$2:$E$98,L194)</f>
        <v>Lima</v>
      </c>
      <c r="S194" t="str">
        <f t="shared" ca="1" si="13"/>
        <v>Feminino</v>
      </c>
      <c r="T194" t="str">
        <f t="shared" ca="1" si="14"/>
        <v>Catarina José Vieira Lima</v>
      </c>
    </row>
    <row r="195" spans="9:20" x14ac:dyDescent="0.25">
      <c r="I195">
        <f t="shared" ref="I195:J200" ca="1" si="15">RANDBETWEEN(1,39)</f>
        <v>7</v>
      </c>
      <c r="J195">
        <f t="shared" ca="1" si="15"/>
        <v>33</v>
      </c>
      <c r="K195">
        <f t="shared" ref="K195:L200" ca="1" si="16">RANDBETWEEN(1,97)</f>
        <v>22</v>
      </c>
      <c r="L195">
        <f t="shared" ca="1" si="16"/>
        <v>60</v>
      </c>
      <c r="M195" s="6" t="str" cm="1">
        <f t="array" aca="1" ref="M195" ca="1">INDEX($A$2:$A$40,I195,1)</f>
        <v>Feminino</v>
      </c>
      <c r="N195" s="6" t="str" cm="1">
        <f t="array" aca="1" ref="N195" ca="1">INDEX($B$2:$B$40,I195,1)</f>
        <v>Catarina</v>
      </c>
      <c r="O195" s="6" t="str" cm="1">
        <f t="array" aca="1" ref="O195" ca="1">INDEX($B$2:$B$40,J195,1)</f>
        <v>Sara</v>
      </c>
      <c r="P195" s="6" t="str" cm="1">
        <f t="array" aca="1" ref="P195" ca="1">INDEX($E$2:$E$98,K195)</f>
        <v>Gonçalves</v>
      </c>
      <c r="Q195" s="6" t="str" cm="1">
        <f t="array" aca="1" ref="Q195" ca="1">INDEX($E$2:$E$98,L195)</f>
        <v>Barros</v>
      </c>
      <c r="S195" t="str">
        <f t="shared" ca="1" si="13"/>
        <v>Feminino</v>
      </c>
      <c r="T195" t="str">
        <f t="shared" ca="1" si="14"/>
        <v>Catarina Sara Gonçalves Barros</v>
      </c>
    </row>
    <row r="196" spans="9:20" x14ac:dyDescent="0.25">
      <c r="I196">
        <f t="shared" ca="1" si="15"/>
        <v>33</v>
      </c>
      <c r="J196">
        <f t="shared" ca="1" si="15"/>
        <v>26</v>
      </c>
      <c r="K196">
        <f t="shared" ca="1" si="16"/>
        <v>21</v>
      </c>
      <c r="L196">
        <f t="shared" ca="1" si="16"/>
        <v>5</v>
      </c>
      <c r="M196" s="6" t="str" cm="1">
        <f t="array" aca="1" ref="M196" ca="1">INDEX($A$2:$A$40,I196,1)</f>
        <v>Feminino</v>
      </c>
      <c r="N196" s="6" t="str" cm="1">
        <f t="array" aca="1" ref="N196" ca="1">INDEX($B$2:$B$40,I196,1)</f>
        <v>Sara</v>
      </c>
      <c r="O196" s="6" t="str" cm="1">
        <f t="array" aca="1" ref="O196" ca="1">INDEX($B$2:$B$40,J196,1)</f>
        <v>Martim</v>
      </c>
      <c r="P196" s="6" t="str" cm="1">
        <f t="array" aca="1" ref="P196" ca="1">INDEX($E$2:$E$98,K196)</f>
        <v>Raposo</v>
      </c>
      <c r="Q196" s="6" t="str" cm="1">
        <f t="array" aca="1" ref="Q196" ca="1">INDEX($E$2:$E$98,L196)</f>
        <v>Nunes</v>
      </c>
      <c r="S196" t="str">
        <f t="shared" ref="S196:S200" ca="1" si="17">M196</f>
        <v>Feminino</v>
      </c>
      <c r="T196" t="str">
        <f t="shared" ca="1" si="14"/>
        <v>Sara Martim Raposo Nunes</v>
      </c>
    </row>
    <row r="197" spans="9:20" x14ac:dyDescent="0.25">
      <c r="I197">
        <f t="shared" ca="1" si="15"/>
        <v>18</v>
      </c>
      <c r="J197">
        <f t="shared" ca="1" si="15"/>
        <v>32</v>
      </c>
      <c r="K197">
        <f t="shared" ca="1" si="16"/>
        <v>20</v>
      </c>
      <c r="L197">
        <f t="shared" ca="1" si="16"/>
        <v>13</v>
      </c>
      <c r="M197" s="6" t="str" cm="1">
        <f t="array" aca="1" ref="M197" ca="1">INDEX($A$2:$A$40,I197,1)</f>
        <v>Masculino</v>
      </c>
      <c r="N197" s="6" t="str" cm="1">
        <f t="array" aca="1" ref="N197" ca="1">INDEX($B$2:$B$40,I197,1)</f>
        <v>José</v>
      </c>
      <c r="O197" s="6" t="str" cm="1">
        <f t="array" aca="1" ref="O197" ca="1">INDEX($B$2:$B$40,J197,1)</f>
        <v>Santiago</v>
      </c>
      <c r="P197" s="6" t="str" cm="1">
        <f t="array" aca="1" ref="P197" ca="1">INDEX($E$2:$E$98,K197)</f>
        <v>Cardoso</v>
      </c>
      <c r="Q197" s="6" t="str" cm="1">
        <f t="array" aca="1" ref="Q197" ca="1">INDEX($E$2:$E$98,L197)</f>
        <v>Santos</v>
      </c>
      <c r="S197" t="str">
        <f t="shared" ca="1" si="17"/>
        <v>Masculino</v>
      </c>
      <c r="T197" t="str">
        <f t="shared" ca="1" si="14"/>
        <v>José Santiago Cardoso Santos</v>
      </c>
    </row>
    <row r="198" spans="9:20" x14ac:dyDescent="0.25">
      <c r="I198">
        <f t="shared" ca="1" si="15"/>
        <v>21</v>
      </c>
      <c r="J198">
        <f t="shared" ca="1" si="15"/>
        <v>4</v>
      </c>
      <c r="K198">
        <f t="shared" ca="1" si="16"/>
        <v>43</v>
      </c>
      <c r="L198">
        <f t="shared" ca="1" si="16"/>
        <v>59</v>
      </c>
      <c r="M198" s="6" t="str" cm="1">
        <f t="array" aca="1" ref="M198" ca="1">INDEX($A$2:$A$40,I198,1)</f>
        <v>Feminino</v>
      </c>
      <c r="N198" s="6" t="str" cm="1">
        <f t="array" aca="1" ref="N198" ca="1">INDEX($B$2:$B$40,I198,1)</f>
        <v>Lurdes</v>
      </c>
      <c r="O198" s="6" t="str" cm="1">
        <f t="array" aca="1" ref="O198" ca="1">INDEX($B$2:$B$40,J198,1)</f>
        <v>Beatriz</v>
      </c>
      <c r="P198" s="6" t="str" cm="1">
        <f t="array" aca="1" ref="P198" ca="1">INDEX($E$2:$E$98,K198)</f>
        <v>Machado</v>
      </c>
      <c r="Q198" s="6" t="str" cm="1">
        <f t="array" aca="1" ref="Q198" ca="1">INDEX($E$2:$E$98,L198)</f>
        <v>Miranda</v>
      </c>
      <c r="S198" t="str">
        <f t="shared" ca="1" si="17"/>
        <v>Feminino</v>
      </c>
      <c r="T198" t="str">
        <f t="shared" ca="1" si="14"/>
        <v>Lurdes Beatriz Machado Miranda</v>
      </c>
    </row>
    <row r="199" spans="9:20" x14ac:dyDescent="0.25">
      <c r="I199">
        <f t="shared" ca="1" si="15"/>
        <v>24</v>
      </c>
      <c r="J199">
        <f t="shared" ca="1" si="15"/>
        <v>8</v>
      </c>
      <c r="K199">
        <f t="shared" ca="1" si="16"/>
        <v>21</v>
      </c>
      <c r="L199">
        <f t="shared" ca="1" si="16"/>
        <v>31</v>
      </c>
      <c r="M199" s="6" t="str" cm="1">
        <f t="array" aca="1" ref="M199" ca="1">INDEX($A$2:$A$40,I199,1)</f>
        <v>Feminino</v>
      </c>
      <c r="N199" s="6" t="str" cm="1">
        <f t="array" aca="1" ref="N199" ca="1">INDEX($B$2:$B$40,I199,1)</f>
        <v>Laura</v>
      </c>
      <c r="O199" s="6" t="str" cm="1">
        <f t="array" aca="1" ref="O199" ca="1">INDEX($B$2:$B$40,J199,1)</f>
        <v>Daniela</v>
      </c>
      <c r="P199" s="6" t="str" cm="1">
        <f t="array" aca="1" ref="P199" ca="1">INDEX($E$2:$E$98,K199)</f>
        <v>Raposo</v>
      </c>
      <c r="Q199" s="6" t="str" cm="1">
        <f t="array" aca="1" ref="Q199" ca="1">INDEX($E$2:$E$98,L199)</f>
        <v>Oliveira</v>
      </c>
      <c r="S199" t="str">
        <f t="shared" ca="1" si="17"/>
        <v>Feminino</v>
      </c>
      <c r="T199" t="str">
        <f t="shared" ca="1" si="14"/>
        <v>Laura Daniela Raposo Oliveira</v>
      </c>
    </row>
    <row r="200" spans="9:20" x14ac:dyDescent="0.25">
      <c r="I200">
        <f t="shared" ca="1" si="15"/>
        <v>16</v>
      </c>
      <c r="J200">
        <f t="shared" ca="1" si="15"/>
        <v>7</v>
      </c>
      <c r="K200">
        <f t="shared" ca="1" si="16"/>
        <v>31</v>
      </c>
      <c r="L200">
        <f t="shared" ca="1" si="16"/>
        <v>89</v>
      </c>
      <c r="M200" s="6" t="str" cm="1">
        <f t="array" aca="1" ref="M200" ca="1">INDEX($A$2:$A$40,I200,1)</f>
        <v>Feminino</v>
      </c>
      <c r="N200" s="6" t="str" cm="1">
        <f t="array" aca="1" ref="N200" ca="1">INDEX($B$2:$B$40,I200,1)</f>
        <v>Joana</v>
      </c>
      <c r="O200" s="6" t="str" cm="1">
        <f t="array" aca="1" ref="O200" ca="1">INDEX($B$2:$B$40,J200,1)</f>
        <v>Catarina</v>
      </c>
      <c r="P200" s="6" t="str" cm="1">
        <f t="array" aca="1" ref="P200" ca="1">INDEX($E$2:$E$98,K200)</f>
        <v>Oliveira</v>
      </c>
      <c r="Q200" s="6" t="str" cm="1">
        <f t="array" aca="1" ref="Q200" ca="1">INDEX($E$2:$E$98,L200)</f>
        <v>Amaral</v>
      </c>
      <c r="S200" t="str">
        <f t="shared" ca="1" si="17"/>
        <v>Feminino</v>
      </c>
      <c r="T200" t="str">
        <f t="shared" ca="1" si="14"/>
        <v>Joana Catarina Oliveira Amaral</v>
      </c>
    </row>
  </sheetData>
  <autoFilter ref="A1:E1" xr:uid="{911E14F0-84F4-46B0-BF8E-B9809B885262}">
    <sortState xmlns:xlrd2="http://schemas.microsoft.com/office/spreadsheetml/2017/richdata2" ref="A2:E38">
      <sortCondition ref="B1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0453A-C301-4C96-BDDF-41980CD8B98C}">
  <sheetPr codeName="Sheet5"/>
  <dimension ref="A1:F104"/>
  <sheetViews>
    <sheetView topLeftCell="A13" workbookViewId="0">
      <selection activeCell="B33" sqref="B33:B39"/>
    </sheetView>
  </sheetViews>
  <sheetFormatPr defaultRowHeight="15" x14ac:dyDescent="0.25"/>
  <sheetData>
    <row r="1" spans="1:6" x14ac:dyDescent="0.25">
      <c r="A1" t="s">
        <v>198</v>
      </c>
      <c r="B1" t="s">
        <v>199</v>
      </c>
      <c r="F1" s="1" t="s">
        <v>258</v>
      </c>
    </row>
    <row r="2" spans="1:6" x14ac:dyDescent="0.25">
      <c r="A2">
        <v>2800</v>
      </c>
      <c r="B2" t="s">
        <v>209</v>
      </c>
      <c r="F2" t="s">
        <v>259</v>
      </c>
    </row>
    <row r="3" spans="1:6" x14ac:dyDescent="0.25">
      <c r="A3">
        <v>2810</v>
      </c>
      <c r="B3" t="s">
        <v>209</v>
      </c>
      <c r="F3" t="s">
        <v>226</v>
      </c>
    </row>
    <row r="4" spans="1:6" x14ac:dyDescent="0.25">
      <c r="A4">
        <v>2805</v>
      </c>
      <c r="B4" t="s">
        <v>209</v>
      </c>
      <c r="F4" t="s">
        <v>260</v>
      </c>
    </row>
    <row r="5" spans="1:6" x14ac:dyDescent="0.25">
      <c r="A5">
        <v>2809</v>
      </c>
      <c r="B5" t="s">
        <v>209</v>
      </c>
      <c r="F5" t="s">
        <v>227</v>
      </c>
    </row>
    <row r="6" spans="1:6" x14ac:dyDescent="0.25">
      <c r="A6">
        <v>2814</v>
      </c>
      <c r="B6" t="s">
        <v>209</v>
      </c>
      <c r="F6" t="s">
        <v>261</v>
      </c>
    </row>
    <row r="7" spans="1:6" x14ac:dyDescent="0.25">
      <c r="A7">
        <v>2804</v>
      </c>
      <c r="B7" t="s">
        <v>209</v>
      </c>
      <c r="F7" t="s">
        <v>228</v>
      </c>
    </row>
    <row r="8" spans="1:6" x14ac:dyDescent="0.25">
      <c r="A8">
        <v>2720</v>
      </c>
      <c r="B8" t="s">
        <v>210</v>
      </c>
      <c r="F8" t="s">
        <v>229</v>
      </c>
    </row>
    <row r="9" spans="1:6" x14ac:dyDescent="0.25">
      <c r="A9">
        <v>2650</v>
      </c>
      <c r="B9" t="s">
        <v>210</v>
      </c>
      <c r="F9" t="s">
        <v>230</v>
      </c>
    </row>
    <row r="10" spans="1:6" x14ac:dyDescent="0.25">
      <c r="A10">
        <v>2700</v>
      </c>
      <c r="B10" t="s">
        <v>210</v>
      </c>
      <c r="F10" t="s">
        <v>262</v>
      </c>
    </row>
    <row r="11" spans="1:6" x14ac:dyDescent="0.25">
      <c r="A11">
        <v>2614</v>
      </c>
      <c r="B11" t="s">
        <v>210</v>
      </c>
      <c r="F11" t="s">
        <v>231</v>
      </c>
    </row>
    <row r="12" spans="1:6" x14ac:dyDescent="0.25">
      <c r="A12">
        <v>2610</v>
      </c>
      <c r="B12" t="s">
        <v>210</v>
      </c>
      <c r="F12" t="s">
        <v>232</v>
      </c>
    </row>
    <row r="13" spans="1:6" x14ac:dyDescent="0.25">
      <c r="A13">
        <v>2724</v>
      </c>
      <c r="B13" t="s">
        <v>210</v>
      </c>
      <c r="F13" t="s">
        <v>233</v>
      </c>
    </row>
    <row r="14" spans="1:6" x14ac:dyDescent="0.25">
      <c r="A14">
        <v>2654</v>
      </c>
      <c r="B14" t="s">
        <v>210</v>
      </c>
      <c r="F14" t="s">
        <v>234</v>
      </c>
    </row>
    <row r="15" spans="1:6" x14ac:dyDescent="0.25">
      <c r="A15">
        <v>2704</v>
      </c>
      <c r="B15" t="s">
        <v>210</v>
      </c>
      <c r="F15" t="s">
        <v>235</v>
      </c>
    </row>
    <row r="16" spans="1:6" x14ac:dyDescent="0.25">
      <c r="A16">
        <v>2830</v>
      </c>
      <c r="B16" t="s">
        <v>216</v>
      </c>
      <c r="F16" t="s">
        <v>236</v>
      </c>
    </row>
    <row r="17" spans="1:6" x14ac:dyDescent="0.25">
      <c r="A17">
        <v>2834</v>
      </c>
      <c r="B17" t="s">
        <v>216</v>
      </c>
      <c r="F17" t="s">
        <v>237</v>
      </c>
    </row>
    <row r="18" spans="1:6" x14ac:dyDescent="0.25">
      <c r="A18">
        <v>2825</v>
      </c>
      <c r="B18" t="s">
        <v>217</v>
      </c>
      <c r="F18" t="s">
        <v>238</v>
      </c>
    </row>
    <row r="19" spans="1:6" x14ac:dyDescent="0.25">
      <c r="A19">
        <v>2829</v>
      </c>
      <c r="B19" t="s">
        <v>217</v>
      </c>
      <c r="F19" t="s">
        <v>239</v>
      </c>
    </row>
    <row r="20" spans="1:6" x14ac:dyDescent="0.25">
      <c r="A20">
        <v>2775</v>
      </c>
      <c r="B20" t="s">
        <v>218</v>
      </c>
      <c r="F20" t="s">
        <v>240</v>
      </c>
    </row>
    <row r="21" spans="1:6" x14ac:dyDescent="0.25">
      <c r="A21">
        <v>2779</v>
      </c>
      <c r="B21" t="s">
        <v>218</v>
      </c>
      <c r="F21" t="s">
        <v>241</v>
      </c>
    </row>
    <row r="22" spans="1:6" x14ac:dyDescent="0.25">
      <c r="A22">
        <v>2790</v>
      </c>
      <c r="B22" t="s">
        <v>219</v>
      </c>
      <c r="F22" t="s">
        <v>242</v>
      </c>
    </row>
    <row r="23" spans="1:6" x14ac:dyDescent="0.25">
      <c r="A23">
        <v>2794</v>
      </c>
      <c r="B23" t="s">
        <v>219</v>
      </c>
      <c r="F23" t="s">
        <v>243</v>
      </c>
    </row>
    <row r="24" spans="1:6" x14ac:dyDescent="0.25">
      <c r="A24">
        <v>2750</v>
      </c>
      <c r="B24" t="s">
        <v>220</v>
      </c>
      <c r="F24" t="s">
        <v>244</v>
      </c>
    </row>
    <row r="25" spans="1:6" x14ac:dyDescent="0.25">
      <c r="A25">
        <v>2754</v>
      </c>
      <c r="B25" t="s">
        <v>220</v>
      </c>
      <c r="F25" t="s">
        <v>245</v>
      </c>
    </row>
    <row r="26" spans="1:6" x14ac:dyDescent="0.25">
      <c r="A26">
        <v>3000</v>
      </c>
      <c r="B26" t="s">
        <v>200</v>
      </c>
      <c r="F26" t="s">
        <v>263</v>
      </c>
    </row>
    <row r="27" spans="1:6" x14ac:dyDescent="0.25">
      <c r="A27">
        <v>2825</v>
      </c>
      <c r="B27" t="s">
        <v>221</v>
      </c>
      <c r="F27" t="s">
        <v>246</v>
      </c>
    </row>
    <row r="28" spans="1:6" x14ac:dyDescent="0.25">
      <c r="A28">
        <v>2829</v>
      </c>
      <c r="B28" t="s">
        <v>221</v>
      </c>
      <c r="F28" t="s">
        <v>247</v>
      </c>
    </row>
    <row r="29" spans="1:6" x14ac:dyDescent="0.25">
      <c r="A29">
        <v>2330</v>
      </c>
      <c r="B29" t="s">
        <v>222</v>
      </c>
      <c r="F29" t="s">
        <v>248</v>
      </c>
    </row>
    <row r="30" spans="1:6" x14ac:dyDescent="0.25">
      <c r="A30">
        <v>2334</v>
      </c>
      <c r="B30" t="s">
        <v>222</v>
      </c>
      <c r="F30" t="s">
        <v>249</v>
      </c>
    </row>
    <row r="31" spans="1:6" x14ac:dyDescent="0.25">
      <c r="A31">
        <v>2655</v>
      </c>
      <c r="B31" t="s">
        <v>223</v>
      </c>
      <c r="F31" t="s">
        <v>250</v>
      </c>
    </row>
    <row r="32" spans="1:6" x14ac:dyDescent="0.25">
      <c r="A32">
        <v>2659</v>
      </c>
      <c r="B32" t="s">
        <v>223</v>
      </c>
      <c r="F32" t="s">
        <v>251</v>
      </c>
    </row>
    <row r="33" spans="1:6" x14ac:dyDescent="0.25">
      <c r="A33">
        <v>2420</v>
      </c>
      <c r="B33" t="s">
        <v>201</v>
      </c>
      <c r="F33" t="s">
        <v>252</v>
      </c>
    </row>
    <row r="34" spans="1:6" x14ac:dyDescent="0.25">
      <c r="A34">
        <v>2410</v>
      </c>
      <c r="B34" t="s">
        <v>201</v>
      </c>
      <c r="F34" t="s">
        <v>253</v>
      </c>
    </row>
    <row r="35" spans="1:6" x14ac:dyDescent="0.25">
      <c r="A35">
        <v>2415</v>
      </c>
      <c r="B35" t="s">
        <v>201</v>
      </c>
      <c r="F35" t="s">
        <v>254</v>
      </c>
    </row>
    <row r="36" spans="1:6" x14ac:dyDescent="0.25">
      <c r="A36">
        <v>2414</v>
      </c>
      <c r="B36" t="s">
        <v>201</v>
      </c>
      <c r="F36" t="s">
        <v>255</v>
      </c>
    </row>
    <row r="37" spans="1:6" x14ac:dyDescent="0.25">
      <c r="A37">
        <v>2419</v>
      </c>
      <c r="B37" t="s">
        <v>201</v>
      </c>
      <c r="F37" t="s">
        <v>256</v>
      </c>
    </row>
    <row r="38" spans="1:6" x14ac:dyDescent="0.25">
      <c r="A38">
        <v>2423</v>
      </c>
      <c r="B38" t="s">
        <v>201</v>
      </c>
      <c r="F38" t="s">
        <v>257</v>
      </c>
    </row>
    <row r="39" spans="1:6" x14ac:dyDescent="0.25">
      <c r="A39">
        <v>2424</v>
      </c>
      <c r="B39" t="s">
        <v>201</v>
      </c>
    </row>
    <row r="40" spans="1:6" x14ac:dyDescent="0.25">
      <c r="A40">
        <v>1700</v>
      </c>
      <c r="B40" t="s">
        <v>211</v>
      </c>
    </row>
    <row r="41" spans="1:6" x14ac:dyDescent="0.25">
      <c r="A41">
        <v>1950</v>
      </c>
      <c r="B41" t="s">
        <v>211</v>
      </c>
    </row>
    <row r="42" spans="1:6" x14ac:dyDescent="0.25">
      <c r="A42">
        <v>1900</v>
      </c>
      <c r="B42" t="s">
        <v>211</v>
      </c>
    </row>
    <row r="43" spans="1:6" x14ac:dyDescent="0.25">
      <c r="A43">
        <v>1500</v>
      </c>
      <c r="B43" t="s">
        <v>211</v>
      </c>
    </row>
    <row r="44" spans="1:6" x14ac:dyDescent="0.25">
      <c r="A44">
        <v>1150</v>
      </c>
      <c r="B44" t="s">
        <v>211</v>
      </c>
    </row>
    <row r="45" spans="1:6" x14ac:dyDescent="0.25">
      <c r="A45">
        <v>1949</v>
      </c>
      <c r="B45" t="s">
        <v>211</v>
      </c>
    </row>
    <row r="46" spans="1:6" x14ac:dyDescent="0.25">
      <c r="A46">
        <v>1100</v>
      </c>
      <c r="B46" t="s">
        <v>211</v>
      </c>
    </row>
    <row r="47" spans="1:6" x14ac:dyDescent="0.25">
      <c r="A47">
        <v>1170</v>
      </c>
      <c r="B47" t="s">
        <v>211</v>
      </c>
    </row>
    <row r="48" spans="1:6" x14ac:dyDescent="0.25">
      <c r="A48">
        <v>1200</v>
      </c>
      <c r="B48" t="s">
        <v>211</v>
      </c>
    </row>
    <row r="49" spans="1:2" x14ac:dyDescent="0.25">
      <c r="A49">
        <v>1750</v>
      </c>
      <c r="B49" t="s">
        <v>211</v>
      </c>
    </row>
    <row r="50" spans="1:2" x14ac:dyDescent="0.25">
      <c r="A50">
        <v>1250</v>
      </c>
      <c r="B50" t="s">
        <v>211</v>
      </c>
    </row>
    <row r="51" spans="1:2" x14ac:dyDescent="0.25">
      <c r="A51">
        <v>1070</v>
      </c>
      <c r="B51" t="s">
        <v>211</v>
      </c>
    </row>
    <row r="52" spans="1:2" x14ac:dyDescent="0.25">
      <c r="A52">
        <v>1269</v>
      </c>
      <c r="B52" t="s">
        <v>211</v>
      </c>
    </row>
    <row r="53" spans="1:2" x14ac:dyDescent="0.25">
      <c r="A53">
        <v>1099</v>
      </c>
      <c r="B53" t="s">
        <v>211</v>
      </c>
    </row>
    <row r="54" spans="1:2" x14ac:dyDescent="0.25">
      <c r="A54">
        <v>1350</v>
      </c>
      <c r="B54" t="s">
        <v>211</v>
      </c>
    </row>
    <row r="55" spans="1:2" x14ac:dyDescent="0.25">
      <c r="A55">
        <v>1399</v>
      </c>
      <c r="B55" t="s">
        <v>211</v>
      </c>
    </row>
    <row r="56" spans="1:2" x14ac:dyDescent="0.25">
      <c r="A56">
        <v>1800</v>
      </c>
      <c r="B56" t="s">
        <v>211</v>
      </c>
    </row>
    <row r="57" spans="1:2" x14ac:dyDescent="0.25">
      <c r="A57">
        <v>1400</v>
      </c>
      <c r="B57" t="s">
        <v>211</v>
      </c>
    </row>
    <row r="58" spans="1:2" x14ac:dyDescent="0.25">
      <c r="A58">
        <v>1300</v>
      </c>
      <c r="B58" t="s">
        <v>211</v>
      </c>
    </row>
    <row r="59" spans="1:2" x14ac:dyDescent="0.25">
      <c r="A59">
        <v>1149</v>
      </c>
      <c r="B59" t="s">
        <v>211</v>
      </c>
    </row>
    <row r="60" spans="1:2" x14ac:dyDescent="0.25">
      <c r="A60">
        <v>1600</v>
      </c>
      <c r="B60" t="s">
        <v>211</v>
      </c>
    </row>
    <row r="61" spans="1:2" x14ac:dyDescent="0.25">
      <c r="A61">
        <v>1749</v>
      </c>
      <c r="B61" t="s">
        <v>211</v>
      </c>
    </row>
    <row r="62" spans="1:2" x14ac:dyDescent="0.25">
      <c r="A62">
        <v>1000</v>
      </c>
      <c r="B62" t="s">
        <v>211</v>
      </c>
    </row>
    <row r="63" spans="1:2" x14ac:dyDescent="0.25">
      <c r="A63">
        <v>1249</v>
      </c>
      <c r="B63" t="s">
        <v>211</v>
      </c>
    </row>
    <row r="64" spans="1:2" x14ac:dyDescent="0.25">
      <c r="A64">
        <v>1849</v>
      </c>
      <c r="B64" t="s">
        <v>211</v>
      </c>
    </row>
    <row r="65" spans="1:2" x14ac:dyDescent="0.25">
      <c r="A65">
        <v>1199</v>
      </c>
      <c r="B65" t="s">
        <v>211</v>
      </c>
    </row>
    <row r="66" spans="1:2" x14ac:dyDescent="0.25">
      <c r="A66">
        <v>1050</v>
      </c>
      <c r="B66" t="s">
        <v>211</v>
      </c>
    </row>
    <row r="67" spans="1:2" x14ac:dyDescent="0.25">
      <c r="A67">
        <v>1069</v>
      </c>
      <c r="B67" t="s">
        <v>211</v>
      </c>
    </row>
    <row r="68" spans="1:2" x14ac:dyDescent="0.25">
      <c r="A68">
        <v>1649</v>
      </c>
      <c r="B68" t="s">
        <v>211</v>
      </c>
    </row>
    <row r="69" spans="1:2" x14ac:dyDescent="0.25">
      <c r="A69">
        <v>1549</v>
      </c>
      <c r="B69" t="s">
        <v>211</v>
      </c>
    </row>
    <row r="70" spans="1:2" x14ac:dyDescent="0.25">
      <c r="A70">
        <v>1169</v>
      </c>
      <c r="B70" t="s">
        <v>211</v>
      </c>
    </row>
    <row r="71" spans="1:2" x14ac:dyDescent="0.25">
      <c r="A71">
        <v>1349</v>
      </c>
      <c r="B71" t="s">
        <v>211</v>
      </c>
    </row>
    <row r="72" spans="1:2" x14ac:dyDescent="0.25">
      <c r="A72">
        <v>1959</v>
      </c>
      <c r="B72" t="s">
        <v>211</v>
      </c>
    </row>
    <row r="73" spans="1:2" x14ac:dyDescent="0.25">
      <c r="A73">
        <v>1449</v>
      </c>
      <c r="B73" t="s">
        <v>211</v>
      </c>
    </row>
    <row r="74" spans="1:2" x14ac:dyDescent="0.25">
      <c r="A74">
        <v>1769</v>
      </c>
      <c r="B74" t="s">
        <v>211</v>
      </c>
    </row>
    <row r="75" spans="1:2" x14ac:dyDescent="0.25">
      <c r="A75">
        <v>1990</v>
      </c>
      <c r="B75" t="s">
        <v>211</v>
      </c>
    </row>
    <row r="76" spans="1:2" x14ac:dyDescent="0.25">
      <c r="A76">
        <v>1049</v>
      </c>
      <c r="B76" t="s">
        <v>211</v>
      </c>
    </row>
    <row r="77" spans="1:2" x14ac:dyDescent="0.25">
      <c r="A77">
        <v>1748</v>
      </c>
      <c r="B77" t="s">
        <v>211</v>
      </c>
    </row>
    <row r="78" spans="1:2" x14ac:dyDescent="0.25">
      <c r="A78">
        <v>1998</v>
      </c>
      <c r="B78" t="s">
        <v>211</v>
      </c>
    </row>
    <row r="79" spans="1:2" x14ac:dyDescent="0.25">
      <c r="A79">
        <v>1999</v>
      </c>
      <c r="B79" t="s">
        <v>211</v>
      </c>
    </row>
    <row r="80" spans="1:2" x14ac:dyDescent="0.25">
      <c r="A80">
        <v>1098</v>
      </c>
      <c r="B80" t="s">
        <v>211</v>
      </c>
    </row>
    <row r="81" spans="1:2" x14ac:dyDescent="0.25">
      <c r="A81">
        <v>1068</v>
      </c>
      <c r="B81" t="s">
        <v>211</v>
      </c>
    </row>
    <row r="82" spans="1:2" x14ac:dyDescent="0.25">
      <c r="A82">
        <v>1067</v>
      </c>
      <c r="B82" t="s">
        <v>211</v>
      </c>
    </row>
    <row r="83" spans="1:2" x14ac:dyDescent="0.25">
      <c r="A83">
        <v>2670</v>
      </c>
      <c r="B83" t="s">
        <v>212</v>
      </c>
    </row>
    <row r="84" spans="1:2" x14ac:dyDescent="0.25">
      <c r="A84">
        <v>2674</v>
      </c>
      <c r="B84" t="s">
        <v>212</v>
      </c>
    </row>
    <row r="85" spans="1:2" x14ac:dyDescent="0.25">
      <c r="A85">
        <v>2640</v>
      </c>
      <c r="B85" t="s">
        <v>213</v>
      </c>
    </row>
    <row r="86" spans="1:2" x14ac:dyDescent="0.25">
      <c r="A86">
        <v>2644</v>
      </c>
      <c r="B86" t="s">
        <v>213</v>
      </c>
    </row>
    <row r="87" spans="1:2" x14ac:dyDescent="0.25">
      <c r="A87">
        <v>2870</v>
      </c>
      <c r="B87" t="s">
        <v>214</v>
      </c>
    </row>
    <row r="88" spans="1:2" x14ac:dyDescent="0.25">
      <c r="A88">
        <v>2780</v>
      </c>
      <c r="B88" t="s">
        <v>215</v>
      </c>
    </row>
    <row r="89" spans="1:2" x14ac:dyDescent="0.25">
      <c r="A89">
        <v>2784</v>
      </c>
      <c r="B89" t="s">
        <v>215</v>
      </c>
    </row>
    <row r="90" spans="1:2" x14ac:dyDescent="0.25">
      <c r="A90">
        <v>2745</v>
      </c>
      <c r="B90" t="s">
        <v>207</v>
      </c>
    </row>
    <row r="91" spans="1:2" x14ac:dyDescent="0.25">
      <c r="A91">
        <v>2749</v>
      </c>
      <c r="B91" t="s">
        <v>207</v>
      </c>
    </row>
    <row r="92" spans="1:2" x14ac:dyDescent="0.25">
      <c r="A92">
        <v>2005</v>
      </c>
      <c r="B92" t="s">
        <v>205</v>
      </c>
    </row>
    <row r="93" spans="1:2" x14ac:dyDescent="0.25">
      <c r="A93">
        <v>2000</v>
      </c>
      <c r="B93" t="s">
        <v>205</v>
      </c>
    </row>
    <row r="94" spans="1:2" x14ac:dyDescent="0.25">
      <c r="A94">
        <v>2004</v>
      </c>
      <c r="B94" t="s">
        <v>205</v>
      </c>
    </row>
    <row r="95" spans="1:2" x14ac:dyDescent="0.25">
      <c r="A95">
        <v>2009</v>
      </c>
      <c r="B95" t="s">
        <v>205</v>
      </c>
    </row>
    <row r="96" spans="1:2" x14ac:dyDescent="0.25">
      <c r="A96">
        <v>2900</v>
      </c>
      <c r="B96" t="s">
        <v>208</v>
      </c>
    </row>
    <row r="97" spans="1:2" x14ac:dyDescent="0.25">
      <c r="A97">
        <v>2910</v>
      </c>
      <c r="B97" t="s">
        <v>208</v>
      </c>
    </row>
    <row r="98" spans="1:2" x14ac:dyDescent="0.25">
      <c r="A98">
        <v>2914</v>
      </c>
      <c r="B98" t="s">
        <v>208</v>
      </c>
    </row>
    <row r="99" spans="1:2" x14ac:dyDescent="0.25">
      <c r="A99">
        <v>2904</v>
      </c>
      <c r="B99" t="s">
        <v>208</v>
      </c>
    </row>
    <row r="100" spans="1:2" x14ac:dyDescent="0.25">
      <c r="A100">
        <v>2710</v>
      </c>
      <c r="B100" t="s">
        <v>206</v>
      </c>
    </row>
    <row r="101" spans="1:2" x14ac:dyDescent="0.25">
      <c r="A101">
        <v>2714</v>
      </c>
      <c r="B101" t="s">
        <v>206</v>
      </c>
    </row>
    <row r="102" spans="1:2" x14ac:dyDescent="0.25">
      <c r="A102">
        <v>2300</v>
      </c>
      <c r="B102" t="s">
        <v>202</v>
      </c>
    </row>
    <row r="103" spans="1:2" x14ac:dyDescent="0.25">
      <c r="A103">
        <v>2350</v>
      </c>
      <c r="B103" t="s">
        <v>203</v>
      </c>
    </row>
    <row r="104" spans="1:2" x14ac:dyDescent="0.25">
      <c r="A104">
        <v>2560</v>
      </c>
      <c r="B104" t="s">
        <v>204</v>
      </c>
    </row>
  </sheetData>
  <autoFilter ref="A1:B104" xr:uid="{2C4E8A10-8066-412D-A086-679C9D5BE477}">
    <sortState xmlns:xlrd2="http://schemas.microsoft.com/office/spreadsheetml/2017/richdata2" ref="A2:B104">
      <sortCondition ref="B1:B104"/>
    </sortState>
  </autoFilter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71A3D-CC24-48E3-AC10-E14EE927B956}">
  <sheetPr codeName="Sheet4"/>
  <dimension ref="A1:AF233"/>
  <sheetViews>
    <sheetView workbookViewId="0">
      <selection activeCell="U1" sqref="U1"/>
    </sheetView>
  </sheetViews>
  <sheetFormatPr defaultRowHeight="15" x14ac:dyDescent="0.25"/>
  <cols>
    <col min="2" max="2" width="11.85546875" bestFit="1" customWidth="1"/>
    <col min="3" max="3" width="15.42578125" customWidth="1"/>
    <col min="4" max="4" width="36.28515625" bestFit="1" customWidth="1"/>
    <col min="5" max="5" width="11.7109375" customWidth="1"/>
    <col min="6" max="6" width="10.7109375" bestFit="1" customWidth="1"/>
    <col min="7" max="7" width="32" bestFit="1" customWidth="1"/>
    <col min="11" max="11" width="11.28515625" customWidth="1"/>
    <col min="12" max="12" width="20.5703125" bestFit="1" customWidth="1"/>
    <col min="13" max="13" width="18.140625" bestFit="1" customWidth="1"/>
    <col min="14" max="14" width="10" bestFit="1" customWidth="1"/>
    <col min="15" max="15" width="15.7109375" customWidth="1"/>
    <col min="16" max="16" width="10" bestFit="1" customWidth="1"/>
    <col min="17" max="17" width="25.140625" bestFit="1" customWidth="1"/>
    <col min="18" max="18" width="15.42578125" bestFit="1" customWidth="1"/>
  </cols>
  <sheetData>
    <row r="1" spans="1:32" x14ac:dyDescent="0.2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t="s">
        <v>187</v>
      </c>
      <c r="G1" t="s">
        <v>277</v>
      </c>
      <c r="H1" t="s">
        <v>2025</v>
      </c>
      <c r="I1" t="s">
        <v>334</v>
      </c>
      <c r="J1" t="s">
        <v>278</v>
      </c>
      <c r="K1" t="s">
        <v>279</v>
      </c>
      <c r="L1" t="s">
        <v>337</v>
      </c>
      <c r="M1" t="s">
        <v>335</v>
      </c>
      <c r="N1" t="s">
        <v>280</v>
      </c>
      <c r="O1" t="s">
        <v>336</v>
      </c>
      <c r="P1" t="s">
        <v>266</v>
      </c>
      <c r="Q1" t="s">
        <v>282</v>
      </c>
      <c r="R1" t="s">
        <v>283</v>
      </c>
      <c r="T1" s="4" t="s">
        <v>224</v>
      </c>
      <c r="V1" t="s">
        <v>264</v>
      </c>
      <c r="W1" t="s">
        <v>270</v>
      </c>
      <c r="X1" t="s">
        <v>271</v>
      </c>
      <c r="Y1" t="s">
        <v>188</v>
      </c>
      <c r="Z1" t="s">
        <v>190</v>
      </c>
      <c r="AA1" t="s">
        <v>189</v>
      </c>
    </row>
    <row r="2" spans="1:32" x14ac:dyDescent="0.25">
      <c r="A2">
        <v>1</v>
      </c>
      <c r="B2" t="str" cm="1">
        <f t="array" aca="1" ref="B2" ca="1">replaceChar(LOWER(LEFT(D2,3)&amp;RIGHT(I2,3))&amp;LEFT(H2,4))</f>
        <v>migbal2910</v>
      </c>
      <c r="C2" t="str">
        <f ca="1">"psw" &amp; B2</f>
        <v>pswmigbal2910</v>
      </c>
      <c r="D2" t="str">
        <f ca="1">Nomes!T3</f>
        <v>Miguel</v>
      </c>
      <c r="E2" t="str">
        <f ca="1">Nomes!S3</f>
        <v>Masculino</v>
      </c>
      <c r="F2" s="2">
        <f ca="1">DATE(Y2,Z2,AA2)</f>
        <v>19718</v>
      </c>
      <c r="G2" t="str" cm="1">
        <f t="array" aca="1" ref="G2" ca="1">INDEX(rua_cod!$F:$F,RANDBETWEEN(2,COUNTA(rua_cod!F:F)))</f>
        <v>Estrada da Circunvalação de Lisboa</v>
      </c>
      <c r="H2" t="str" cm="1">
        <f t="array" aca="1" ref="H2" ca="1">INDEX(rua_cod!$A:$A,Users!V2) &amp; "-" &amp; TEXT(RANDBETWEEN(0,999),"000")</f>
        <v>2910-906</v>
      </c>
      <c r="I2" t="str" cm="1">
        <f t="array" aca="1" ref="I2" ca="1">INDEX(rua_cod!$B:$B,Users!V2)</f>
        <v>Setúbal</v>
      </c>
      <c r="J2" t="s">
        <v>3727</v>
      </c>
      <c r="K2" t="s">
        <v>225</v>
      </c>
      <c r="L2" t="s">
        <v>265</v>
      </c>
      <c r="M2" t="str">
        <f ca="1">TEXT(RANDBETWEEN(10000000,99999999),"00000000")</f>
        <v>37984551</v>
      </c>
      <c r="N2" t="str">
        <f ca="1">TEXT(RANDBETWEEN(100000000,999999999),"000000000")</f>
        <v>600561092</v>
      </c>
      <c r="O2" t="str">
        <f ca="1">TEXT(RANDBETWEEN(100000000,999999999),"000000000")</f>
        <v>919072948</v>
      </c>
      <c r="P2" t="str" cm="1">
        <f t="array" aca="1" ref="P2" ca="1">9 &amp; INDEX($AF$3:$AF$6,W2)&amp; TEXT(RANDBETWEEN(0,9999999),"0000000")</f>
        <v>966636169</v>
      </c>
      <c r="Q2" t="str" cm="1">
        <f t="array" aca="1" ref="Q2" ca="1">LOWER(B2) &amp; INDEX($AF$9:$AF$11,X2)</f>
        <v>migbal2910@sapo.pt</v>
      </c>
      <c r="R2" t="str">
        <f ca="1">B2 &amp; ".jpg"</f>
        <v>migbal2910.jpg</v>
      </c>
      <c r="T2" s="4"/>
      <c r="V2">
        <f ca="1">RANDBETWEEN(2,COUNTA(rua_cod!A:A))</f>
        <v>97</v>
      </c>
      <c r="W2">
        <f ca="1">RANDBETWEEN(1,4)</f>
        <v>4</v>
      </c>
      <c r="X2">
        <f ca="1">RANDBETWEEN(1,3)</f>
        <v>3</v>
      </c>
      <c r="Y2">
        <f ca="1">INT(NORMINV(RAND(),1976,22))</f>
        <v>1953</v>
      </c>
      <c r="Z2">
        <f ca="1">RANDBETWEEN(1,12)</f>
        <v>12</v>
      </c>
      <c r="AA2">
        <f ca="1">RANDBETWEEN(1,31)</f>
        <v>25</v>
      </c>
      <c r="AB2">
        <f ca="1">2020-Y2</f>
        <v>67</v>
      </c>
      <c r="AF2" t="s">
        <v>266</v>
      </c>
    </row>
    <row r="3" spans="1:32" x14ac:dyDescent="0.25">
      <c r="A3">
        <v>2</v>
      </c>
      <c r="B3" t="str" cm="1">
        <f t="array" aca="1" ref="B3" ca="1">replaceChar(LOWER(LEFT(D3,3)&amp;RIGHT(I3,3))&amp;LEFT(H3,4))</f>
        <v>larrem2009</v>
      </c>
      <c r="C3" t="str">
        <f t="shared" ref="C3:C66" ca="1" si="0">"psw" &amp; B3</f>
        <v>pswlarrem2009</v>
      </c>
      <c r="D3" t="str">
        <f ca="1">Nomes!T4</f>
        <v>Lara</v>
      </c>
      <c r="E3" t="str">
        <f ca="1">Nomes!S4</f>
        <v>Feminino</v>
      </c>
      <c r="F3" s="2">
        <v>23831</v>
      </c>
      <c r="G3" t="str" cm="1">
        <f t="array" aca="1" ref="G3" ca="1">INDEX(rua_cod!$F:$F,RANDBETWEEN(2,COUNTA(rua_cod!F:F)))</f>
        <v>Rua do Carmo</v>
      </c>
      <c r="H3" t="str" cm="1">
        <f t="array" aca="1" ref="H3" ca="1">INDEX(rua_cod!$A:$A,Users!V3) &amp; "-" &amp; TEXT(RANDBETWEEN(0,999),"000")</f>
        <v>2009-949</v>
      </c>
      <c r="I3" t="str" cm="1">
        <f t="array" aca="1" ref="I3" ca="1">INDEX(rua_cod!$B:$B,Users!V3)</f>
        <v>Santarém</v>
      </c>
      <c r="J3" t="s">
        <v>3727</v>
      </c>
      <c r="K3" t="s">
        <v>225</v>
      </c>
      <c r="L3" t="s">
        <v>265</v>
      </c>
      <c r="M3" t="str">
        <f t="shared" ref="M3:M66" ca="1" si="1">TEXT(RANDBETWEEN(10000000,99999999),"00000000")</f>
        <v>87223500</v>
      </c>
      <c r="N3" t="str">
        <f t="shared" ref="N3:O66" ca="1" si="2">TEXT(RANDBETWEEN(100000000,999999999),"000000000")</f>
        <v>198826661</v>
      </c>
      <c r="O3" t="str">
        <f t="shared" ca="1" si="2"/>
        <v>985718027</v>
      </c>
      <c r="P3" t="str" cm="1">
        <f t="array" aca="1" ref="P3" ca="1">9 &amp; INDEX($AF$3:$AF$6,W3)&amp; TEXT(RANDBETWEEN(0,9999999),"0000000")</f>
        <v>932544685</v>
      </c>
      <c r="Q3" t="str" cm="1">
        <f t="array" aca="1" ref="Q3" ca="1">LOWER(B3) &amp; INDEX($AF$9:$AF$11,X3)</f>
        <v>larrem2009@sapo.pt</v>
      </c>
      <c r="R3" t="str">
        <f t="shared" ref="R3:R66" ca="1" si="3">B3 &amp; ".jpg"</f>
        <v>larrem2009.jpg</v>
      </c>
      <c r="T3" s="4"/>
      <c r="V3">
        <f ca="1">RANDBETWEEN(2,COUNTA(rua_cod!A:A))</f>
        <v>95</v>
      </c>
      <c r="W3">
        <f t="shared" ref="W3:W66" ca="1" si="4">RANDBETWEEN(1,4)</f>
        <v>3</v>
      </c>
      <c r="X3">
        <f t="shared" ref="X3:X66" ca="1" si="5">RANDBETWEEN(1,3)</f>
        <v>3</v>
      </c>
      <c r="Y3">
        <f t="shared" ref="Y3:Y66" ca="1" si="6">INT(NORMINV(RAND(),1976,22))</f>
        <v>1973</v>
      </c>
      <c r="Z3">
        <f t="shared" ref="Z3:Z66" ca="1" si="7">RANDBETWEEN(1,12)</f>
        <v>3</v>
      </c>
      <c r="AA3">
        <f t="shared" ref="AA3:AA66" ca="1" si="8">RANDBETWEEN(1,31)</f>
        <v>28</v>
      </c>
      <c r="AB3">
        <f t="shared" ref="AB3:AB66" ca="1" si="9">2020-Y3</f>
        <v>47</v>
      </c>
      <c r="AF3">
        <v>1</v>
      </c>
    </row>
    <row r="4" spans="1:32" x14ac:dyDescent="0.25">
      <c r="A4">
        <v>3</v>
      </c>
      <c r="B4" t="str" cm="1">
        <f t="array" aca="1" ref="B4" ca="1">replaceChar(LOWER(LEFT(D4,3)&amp;RIGHT(I4,3))&amp;LEFT(H4,4))</f>
        <v>beaboa1500</v>
      </c>
      <c r="C4" t="str">
        <f t="shared" ca="1" si="0"/>
        <v>pswbeaboa1500</v>
      </c>
      <c r="D4" t="str">
        <f ca="1">Nomes!T5</f>
        <v>Beatriz</v>
      </c>
      <c r="E4" t="str">
        <f ca="1">Nomes!S5</f>
        <v>Feminino</v>
      </c>
      <c r="F4" s="2">
        <v>26848</v>
      </c>
      <c r="G4" t="str" cm="1">
        <f t="array" aca="1" ref="G4" ca="1">INDEX(rua_cod!$F:$F,RANDBETWEEN(2,COUNTA(rua_cod!F:F)))</f>
        <v>Rua da Oliveira ao Carmo</v>
      </c>
      <c r="H4" t="str" cm="1">
        <f t="array" aca="1" ref="H4" ca="1">INDEX(rua_cod!$A:$A,Users!V4) &amp; "-" &amp; TEXT(RANDBETWEEN(0,999),"000")</f>
        <v>1500-835</v>
      </c>
      <c r="I4" t="str" cm="1">
        <f t="array" aca="1" ref="I4" ca="1">INDEX(rua_cod!$B:$B,Users!V4)</f>
        <v>Lisboa</v>
      </c>
      <c r="J4" t="s">
        <v>3727</v>
      </c>
      <c r="K4" t="s">
        <v>225</v>
      </c>
      <c r="L4" t="s">
        <v>265</v>
      </c>
      <c r="M4" t="str">
        <f t="shared" ca="1" si="1"/>
        <v>60080726</v>
      </c>
      <c r="N4" t="str">
        <f t="shared" ca="1" si="2"/>
        <v>993306883</v>
      </c>
      <c r="O4" t="str">
        <f t="shared" ca="1" si="2"/>
        <v>773710870</v>
      </c>
      <c r="P4" t="str" cm="1">
        <f t="array" aca="1" ref="P4" ca="1">9 &amp; INDEX($AF$3:$AF$6,W4)&amp; TEXT(RANDBETWEEN(0,9999999),"0000000")</f>
        <v>930130101</v>
      </c>
      <c r="Q4" t="str" cm="1">
        <f t="array" aca="1" ref="Q4" ca="1">LOWER(B4) &amp; INDEX($AF$9:$AF$11,X4)</f>
        <v>beaboa1500@sapo.pt</v>
      </c>
      <c r="R4" t="str">
        <f t="shared" ca="1" si="3"/>
        <v>beaboa1500.jpg</v>
      </c>
      <c r="T4" s="4"/>
      <c r="V4">
        <f ca="1">RANDBETWEEN(2,COUNTA(rua_cod!A:A))</f>
        <v>43</v>
      </c>
      <c r="W4">
        <f t="shared" ca="1" si="4"/>
        <v>3</v>
      </c>
      <c r="X4">
        <f t="shared" ca="1" si="5"/>
        <v>3</v>
      </c>
      <c r="Y4">
        <f t="shared" ca="1" si="6"/>
        <v>1985</v>
      </c>
      <c r="Z4">
        <f t="shared" ca="1" si="7"/>
        <v>8</v>
      </c>
      <c r="AA4">
        <f t="shared" ca="1" si="8"/>
        <v>31</v>
      </c>
      <c r="AB4">
        <f t="shared" ca="1" si="9"/>
        <v>35</v>
      </c>
      <c r="AF4">
        <v>2</v>
      </c>
    </row>
    <row r="5" spans="1:32" x14ac:dyDescent="0.25">
      <c r="A5">
        <v>4</v>
      </c>
      <c r="B5" t="str" cm="1">
        <f t="array" aca="1" ref="B5" ca="1">replaceChar(LOWER(LEFT(D5,3)&amp;RIGHT(I5,3))&amp;LEFT(H5,4))</f>
        <v>tomboa1849</v>
      </c>
      <c r="C5" t="str">
        <f t="shared" ca="1" si="0"/>
        <v>pswtomboa1849</v>
      </c>
      <c r="D5" t="str">
        <f ca="1">Nomes!T6</f>
        <v>Tomás</v>
      </c>
      <c r="E5" t="str">
        <f ca="1">Nomes!S6</f>
        <v>Masculino</v>
      </c>
      <c r="F5" s="2">
        <v>34485</v>
      </c>
      <c r="G5" t="str" cm="1">
        <f t="array" aca="1" ref="G5" ca="1">INDEX(rua_cod!$F:$F,RANDBETWEEN(2,COUNTA(rua_cod!F:F)))</f>
        <v>Estrada das Laranjeiras</v>
      </c>
      <c r="H5" t="str" cm="1">
        <f t="array" aca="1" ref="H5" ca="1">INDEX(rua_cod!$A:$A,Users!V5) &amp; "-" &amp; TEXT(RANDBETWEEN(0,999),"000")</f>
        <v>1849-611</v>
      </c>
      <c r="I5" t="str" cm="1">
        <f t="array" aca="1" ref="I5" ca="1">INDEX(rua_cod!$B:$B,Users!V5)</f>
        <v>Lisboa</v>
      </c>
      <c r="J5" t="s">
        <v>3727</v>
      </c>
      <c r="K5" t="s">
        <v>225</v>
      </c>
      <c r="L5" t="s">
        <v>265</v>
      </c>
      <c r="M5" t="str">
        <f t="shared" ca="1" si="1"/>
        <v>64938783</v>
      </c>
      <c r="N5" t="str">
        <f t="shared" ca="1" si="2"/>
        <v>117598332</v>
      </c>
      <c r="O5" t="str">
        <f t="shared" ca="1" si="2"/>
        <v>339675557</v>
      </c>
      <c r="P5" t="str" cm="1">
        <f t="array" aca="1" ref="P5" ca="1">9 &amp; INDEX($AF$3:$AF$6,W5)&amp; TEXT(RANDBETWEEN(0,9999999),"0000000")</f>
        <v>922565573</v>
      </c>
      <c r="Q5" t="str" cm="1">
        <f t="array" aca="1" ref="Q5" ca="1">LOWER(B5) &amp; INDEX($AF$9:$AF$11,X5)</f>
        <v>tomboa1849@sapo.pt</v>
      </c>
      <c r="R5" t="str">
        <f t="shared" ca="1" si="3"/>
        <v>tomboa1849.jpg</v>
      </c>
      <c r="T5" s="4"/>
      <c r="V5">
        <f ca="1">RANDBETWEEN(2,COUNTA(rua_cod!A:A))</f>
        <v>64</v>
      </c>
      <c r="W5">
        <f t="shared" ca="1" si="4"/>
        <v>2</v>
      </c>
      <c r="X5">
        <f t="shared" ca="1" si="5"/>
        <v>3</v>
      </c>
      <c r="Y5">
        <f t="shared" ca="1" si="6"/>
        <v>1963</v>
      </c>
      <c r="Z5">
        <f t="shared" ca="1" si="7"/>
        <v>2</v>
      </c>
      <c r="AA5">
        <f t="shared" ca="1" si="8"/>
        <v>18</v>
      </c>
      <c r="AB5">
        <f t="shared" ca="1" si="9"/>
        <v>57</v>
      </c>
      <c r="AF5">
        <v>3</v>
      </c>
    </row>
    <row r="6" spans="1:32" x14ac:dyDescent="0.25">
      <c r="A6">
        <v>5</v>
      </c>
      <c r="B6" t="str" cm="1">
        <f t="array" aca="1" ref="B6" ca="1">replaceChar(LOWER(LEFT(D6,3)&amp;RIGHT(I6,3))&amp;LEFT(H6,4))</f>
        <v>rodbal2910</v>
      </c>
      <c r="C6" t="str">
        <f t="shared" ca="1" si="0"/>
        <v>pswrodbal2910</v>
      </c>
      <c r="D6" t="str">
        <f ca="1">Nomes!T7</f>
        <v>Rodrigo</v>
      </c>
      <c r="E6" t="str">
        <f ca="1">Nomes!S7</f>
        <v>Masculino</v>
      </c>
      <c r="F6" s="2">
        <v>25317</v>
      </c>
      <c r="G6" t="str" cm="1">
        <f t="array" aca="1" ref="G6" ca="1">INDEX(rua_cod!$F:$F,RANDBETWEEN(2,COUNTA(rua_cod!F:F)))</f>
        <v>Rua Garrett</v>
      </c>
      <c r="H6" t="str" cm="1">
        <f t="array" aca="1" ref="H6" ca="1">INDEX(rua_cod!$A:$A,Users!V6) &amp; "-" &amp; TEXT(RANDBETWEEN(0,999),"000")</f>
        <v>2910-112</v>
      </c>
      <c r="I6" t="str" cm="1">
        <f t="array" aca="1" ref="I6" ca="1">INDEX(rua_cod!$B:$B,Users!V6)</f>
        <v>Setúbal</v>
      </c>
      <c r="J6" t="s">
        <v>3727</v>
      </c>
      <c r="K6" t="s">
        <v>225</v>
      </c>
      <c r="L6" t="s">
        <v>265</v>
      </c>
      <c r="M6" t="str">
        <f t="shared" ca="1" si="1"/>
        <v>22336968</v>
      </c>
      <c r="N6" t="str">
        <f t="shared" ca="1" si="2"/>
        <v>329027433</v>
      </c>
      <c r="O6" t="str">
        <f t="shared" ca="1" si="2"/>
        <v>635833070</v>
      </c>
      <c r="P6" t="str" cm="1">
        <f t="array" aca="1" ref="P6" ca="1">9 &amp; INDEX($AF$3:$AF$6,W6)&amp; TEXT(RANDBETWEEN(0,9999999),"0000000")</f>
        <v>931578156</v>
      </c>
      <c r="Q6" t="str" cm="1">
        <f t="array" aca="1" ref="Q6" ca="1">LOWER(B6) &amp; INDEX($AF$9:$AF$11,X6)</f>
        <v>rodbal2910@outlook.com</v>
      </c>
      <c r="R6" t="str">
        <f t="shared" ca="1" si="3"/>
        <v>rodbal2910.jpg</v>
      </c>
      <c r="T6" s="4"/>
      <c r="V6">
        <f ca="1">RANDBETWEEN(2,COUNTA(rua_cod!A:A))</f>
        <v>97</v>
      </c>
      <c r="W6">
        <f t="shared" ca="1" si="4"/>
        <v>3</v>
      </c>
      <c r="X6">
        <f t="shared" ca="1" si="5"/>
        <v>1</v>
      </c>
      <c r="Y6">
        <f t="shared" ca="1" si="6"/>
        <v>2005</v>
      </c>
      <c r="Z6">
        <f t="shared" ca="1" si="7"/>
        <v>3</v>
      </c>
      <c r="AA6">
        <f t="shared" ca="1" si="8"/>
        <v>28</v>
      </c>
      <c r="AB6">
        <f t="shared" ca="1" si="9"/>
        <v>15</v>
      </c>
      <c r="AF6">
        <v>6</v>
      </c>
    </row>
    <row r="7" spans="1:32" x14ac:dyDescent="0.25">
      <c r="A7">
        <v>6</v>
      </c>
      <c r="B7" t="str" cm="1">
        <f t="array" aca="1" ref="B7" ca="1">replaceChar(LOWER(LEFT(D7,3)&amp;RIGHT(I7,3))&amp;LEFT(H7,4))</f>
        <v>lurrem2005</v>
      </c>
      <c r="C7" t="str">
        <f t="shared" ca="1" si="0"/>
        <v>pswlurrem2005</v>
      </c>
      <c r="D7" t="str">
        <f ca="1">Nomes!T8</f>
        <v>Lurdes</v>
      </c>
      <c r="E7" t="str">
        <f ca="1">Nomes!S8</f>
        <v>Feminino</v>
      </c>
      <c r="F7" s="2">
        <v>25448</v>
      </c>
      <c r="G7" t="str" cm="1">
        <f t="array" aca="1" ref="G7" ca="1">INDEX(rua_cod!$F:$F,RANDBETWEEN(2,COUNTA(rua_cod!F:F)))</f>
        <v>Rua Garrett</v>
      </c>
      <c r="H7" t="str" cm="1">
        <f t="array" aca="1" ref="H7" ca="1">INDEX(rua_cod!$A:$A,Users!V7) &amp; "-" &amp; TEXT(RANDBETWEEN(0,999),"000")</f>
        <v>2005-871</v>
      </c>
      <c r="I7" t="str" cm="1">
        <f t="array" aca="1" ref="I7" ca="1">INDEX(rua_cod!$B:$B,Users!V7)</f>
        <v>Santarém</v>
      </c>
      <c r="J7" t="s">
        <v>3727</v>
      </c>
      <c r="K7" t="s">
        <v>225</v>
      </c>
      <c r="L7" t="s">
        <v>265</v>
      </c>
      <c r="M7" t="str">
        <f t="shared" ca="1" si="1"/>
        <v>54245202</v>
      </c>
      <c r="N7" t="str">
        <f t="shared" ca="1" si="2"/>
        <v>127152649</v>
      </c>
      <c r="O7" t="str">
        <f t="shared" ca="1" si="2"/>
        <v>804100751</v>
      </c>
      <c r="P7" t="str" cm="1">
        <f t="array" aca="1" ref="P7" ca="1">9 &amp; INDEX($AF$3:$AF$6,W7)&amp; TEXT(RANDBETWEEN(0,9999999),"0000000")</f>
        <v>935845892</v>
      </c>
      <c r="Q7" t="str" cm="1">
        <f t="array" aca="1" ref="Q7" ca="1">LOWER(B7) &amp; INDEX($AF$9:$AF$11,X7)</f>
        <v>lurrem2005@sapo.pt</v>
      </c>
      <c r="R7" t="str">
        <f t="shared" ca="1" si="3"/>
        <v>lurrem2005.jpg</v>
      </c>
      <c r="T7" s="4"/>
      <c r="V7">
        <f ca="1">RANDBETWEEN(2,COUNTA(rua_cod!A:A))</f>
        <v>92</v>
      </c>
      <c r="W7">
        <f t="shared" ca="1" si="4"/>
        <v>3</v>
      </c>
      <c r="X7">
        <f t="shared" ca="1" si="5"/>
        <v>3</v>
      </c>
      <c r="Y7">
        <f t="shared" ca="1" si="6"/>
        <v>1941</v>
      </c>
      <c r="Z7">
        <f t="shared" ca="1" si="7"/>
        <v>12</v>
      </c>
      <c r="AA7">
        <f t="shared" ca="1" si="8"/>
        <v>14</v>
      </c>
      <c r="AB7">
        <f t="shared" ca="1" si="9"/>
        <v>79</v>
      </c>
    </row>
    <row r="8" spans="1:32" x14ac:dyDescent="0.25">
      <c r="A8">
        <v>7</v>
      </c>
      <c r="B8" t="str" cm="1">
        <f t="array" aca="1" ref="B8" ca="1">replaceChar(LOWER(LEFT(D8,3)&amp;RIGHT(I8,3))&amp;LEFT(H8,4))</f>
        <v>bruboa1070</v>
      </c>
      <c r="C8" t="str">
        <f t="shared" ca="1" si="0"/>
        <v>pswbruboa1070</v>
      </c>
      <c r="D8" t="str">
        <f ca="1">Nomes!T9</f>
        <v>Bruno</v>
      </c>
      <c r="E8" t="str">
        <f ca="1">Nomes!S9</f>
        <v>Masculino</v>
      </c>
      <c r="F8" s="2">
        <v>26214</v>
      </c>
      <c r="G8" t="str" cm="1">
        <f t="array" aca="1" ref="G8" ca="1">INDEX(rua_cod!$F:$F,RANDBETWEEN(2,COUNTA(rua_cod!F:F)))</f>
        <v>Rua Garrett</v>
      </c>
      <c r="H8" t="str" cm="1">
        <f t="array" aca="1" ref="H8" ca="1">INDEX(rua_cod!$A:$A,Users!V8) &amp; "-" &amp; TEXT(RANDBETWEEN(0,999),"000")</f>
        <v>1070-451</v>
      </c>
      <c r="I8" t="str" cm="1">
        <f t="array" aca="1" ref="I8" ca="1">INDEX(rua_cod!$B:$B,Users!V8)</f>
        <v>Lisboa</v>
      </c>
      <c r="J8" t="s">
        <v>3727</v>
      </c>
      <c r="K8" t="s">
        <v>225</v>
      </c>
      <c r="L8" t="s">
        <v>265</v>
      </c>
      <c r="M8" t="str">
        <f t="shared" ca="1" si="1"/>
        <v>68823029</v>
      </c>
      <c r="N8" t="str">
        <f t="shared" ca="1" si="2"/>
        <v>224096222</v>
      </c>
      <c r="O8" t="str">
        <f t="shared" ca="1" si="2"/>
        <v>166447335</v>
      </c>
      <c r="P8" t="str" cm="1">
        <f t="array" aca="1" ref="P8" ca="1">9 &amp; INDEX($AF$3:$AF$6,W8)&amp; TEXT(RANDBETWEEN(0,9999999),"0000000")</f>
        <v>912958954</v>
      </c>
      <c r="Q8" t="str" cm="1">
        <f t="array" aca="1" ref="Q8" ca="1">LOWER(B8) &amp; INDEX($AF$9:$AF$11,X8)</f>
        <v>bruboa1070@sapo.pt</v>
      </c>
      <c r="R8" t="str">
        <f t="shared" ca="1" si="3"/>
        <v>bruboa1070.jpg</v>
      </c>
      <c r="T8" s="4"/>
      <c r="V8">
        <f ca="1">RANDBETWEEN(2,COUNTA(rua_cod!A:A))</f>
        <v>51</v>
      </c>
      <c r="W8">
        <f t="shared" ca="1" si="4"/>
        <v>1</v>
      </c>
      <c r="X8">
        <f t="shared" ca="1" si="5"/>
        <v>3</v>
      </c>
      <c r="Y8">
        <f t="shared" ca="1" si="6"/>
        <v>1958</v>
      </c>
      <c r="Z8">
        <f t="shared" ca="1" si="7"/>
        <v>5</v>
      </c>
      <c r="AA8">
        <f t="shared" ca="1" si="8"/>
        <v>12</v>
      </c>
      <c r="AB8">
        <f t="shared" ca="1" si="9"/>
        <v>62</v>
      </c>
    </row>
    <row r="9" spans="1:32" x14ac:dyDescent="0.25">
      <c r="A9">
        <v>8</v>
      </c>
      <c r="B9" t="str" cm="1">
        <f t="array" aca="1" ref="B9" ca="1">replaceChar(LOWER(LEFT(D9,3)&amp;RIGHT(I9,3))&amp;LEFT(H9,4))</f>
        <v>tiaras2560</v>
      </c>
      <c r="C9" t="str">
        <f t="shared" ca="1" si="0"/>
        <v>pswtiaras2560</v>
      </c>
      <c r="D9" t="str">
        <f ca="1">Nomes!T10</f>
        <v>Tiago</v>
      </c>
      <c r="E9" t="str">
        <f ca="1">Nomes!S10</f>
        <v>Masculino</v>
      </c>
      <c r="F9" s="2">
        <v>41662</v>
      </c>
      <c r="G9" t="str" cm="1">
        <f t="array" aca="1" ref="G9" ca="1">INDEX(rua_cod!$F:$F,RANDBETWEEN(2,COUNTA(rua_cod!F:F)))</f>
        <v>Rua do Guarda-Mor</v>
      </c>
      <c r="H9" t="str" cm="1">
        <f t="array" aca="1" ref="H9" ca="1">INDEX(rua_cod!$A:$A,Users!V9) &amp; "-" &amp; TEXT(RANDBETWEEN(0,999),"000")</f>
        <v>2560-514</v>
      </c>
      <c r="I9" t="str" cm="1">
        <f t="array" aca="1" ref="I9" ca="1">INDEX(rua_cod!$B:$B,Users!V9)</f>
        <v>Torres Vedras</v>
      </c>
      <c r="J9" t="s">
        <v>3727</v>
      </c>
      <c r="K9" t="s">
        <v>225</v>
      </c>
      <c r="L9" t="s">
        <v>265</v>
      </c>
      <c r="M9" t="str">
        <f t="shared" ca="1" si="1"/>
        <v>32063501</v>
      </c>
      <c r="N9" t="str">
        <f t="shared" ca="1" si="2"/>
        <v>961268948</v>
      </c>
      <c r="O9" t="str">
        <f t="shared" ca="1" si="2"/>
        <v>148965810</v>
      </c>
      <c r="P9" t="str" cm="1">
        <f t="array" aca="1" ref="P9" ca="1">9 &amp; INDEX($AF$3:$AF$6,W9)&amp; TEXT(RANDBETWEEN(0,9999999),"0000000")</f>
        <v>920101754</v>
      </c>
      <c r="Q9" t="str" cm="1">
        <f t="array" aca="1" ref="Q9" ca="1">LOWER(B9) &amp; INDEX($AF$9:$AF$11,X9)</f>
        <v>tiaras2560@sapo.pt</v>
      </c>
      <c r="R9" t="str">
        <f t="shared" ca="1" si="3"/>
        <v>tiaras2560.jpg</v>
      </c>
      <c r="T9" s="4"/>
      <c r="V9">
        <f ca="1">RANDBETWEEN(2,COUNTA(rua_cod!A:A))</f>
        <v>104</v>
      </c>
      <c r="W9">
        <f t="shared" ca="1" si="4"/>
        <v>2</v>
      </c>
      <c r="X9">
        <f t="shared" ca="1" si="5"/>
        <v>3</v>
      </c>
      <c r="Y9">
        <f t="shared" ca="1" si="6"/>
        <v>1981</v>
      </c>
      <c r="Z9">
        <f t="shared" ca="1" si="7"/>
        <v>4</v>
      </c>
      <c r="AA9">
        <f t="shared" ca="1" si="8"/>
        <v>27</v>
      </c>
      <c r="AB9">
        <f t="shared" ca="1" si="9"/>
        <v>39</v>
      </c>
      <c r="AF9" s="5" t="s">
        <v>267</v>
      </c>
    </row>
    <row r="10" spans="1:32" x14ac:dyDescent="0.25">
      <c r="A10">
        <v>9</v>
      </c>
      <c r="B10" t="str" cm="1">
        <f t="array" aca="1" ref="B10" ca="1">replaceChar(LOWER(LEFT(D10,3)&amp;RIGHT(I10,3))&amp;LEFT(H10,4))</f>
        <v>sarboa1549</v>
      </c>
      <c r="C10" t="str">
        <f t="shared" ca="1" si="0"/>
        <v>pswsarboa1549</v>
      </c>
      <c r="D10" t="str">
        <f ca="1">Nomes!T11</f>
        <v>Sara</v>
      </c>
      <c r="E10" t="str">
        <f ca="1">Nomes!S11</f>
        <v>Feminino</v>
      </c>
      <c r="F10" s="2">
        <v>28055</v>
      </c>
      <c r="G10" t="str" cm="1">
        <f t="array" aca="1" ref="G10" ca="1">INDEX(rua_cod!$F:$F,RANDBETWEEN(2,COUNTA(rua_cod!F:F)))</f>
        <v>Rua Augusta</v>
      </c>
      <c r="H10" t="str" cm="1">
        <f t="array" aca="1" ref="H10" ca="1">INDEX(rua_cod!$A:$A,Users!V10) &amp; "-" &amp; TEXT(RANDBETWEEN(0,999),"000")</f>
        <v>1549-701</v>
      </c>
      <c r="I10" t="str" cm="1">
        <f t="array" aca="1" ref="I10" ca="1">INDEX(rua_cod!$B:$B,Users!V10)</f>
        <v>Lisboa</v>
      </c>
      <c r="J10" t="s">
        <v>3727</v>
      </c>
      <c r="K10" t="s">
        <v>225</v>
      </c>
      <c r="L10" t="s">
        <v>265</v>
      </c>
      <c r="M10" t="str">
        <f t="shared" ca="1" si="1"/>
        <v>59534476</v>
      </c>
      <c r="N10" t="str">
        <f t="shared" ca="1" si="2"/>
        <v>112152669</v>
      </c>
      <c r="O10" t="str">
        <f t="shared" ca="1" si="2"/>
        <v>956449992</v>
      </c>
      <c r="P10" t="str" cm="1">
        <f t="array" aca="1" ref="P10" ca="1">9 &amp; INDEX($AF$3:$AF$6,W10)&amp; TEXT(RANDBETWEEN(0,9999999),"0000000")</f>
        <v>937474680</v>
      </c>
      <c r="Q10" t="str" cm="1">
        <f t="array" aca="1" ref="Q10" ca="1">LOWER(B10) &amp; INDEX($AF$9:$AF$11,X10)</f>
        <v>sarboa1549@gmail.com</v>
      </c>
      <c r="R10" t="str">
        <f t="shared" ca="1" si="3"/>
        <v>sarboa1549.jpg</v>
      </c>
      <c r="T10" s="4"/>
      <c r="V10">
        <f ca="1">RANDBETWEEN(2,COUNTA(rua_cod!A:A))</f>
        <v>69</v>
      </c>
      <c r="W10">
        <f t="shared" ca="1" si="4"/>
        <v>3</v>
      </c>
      <c r="X10">
        <f t="shared" ca="1" si="5"/>
        <v>2</v>
      </c>
      <c r="Y10">
        <f t="shared" ca="1" si="6"/>
        <v>2006</v>
      </c>
      <c r="Z10">
        <f t="shared" ca="1" si="7"/>
        <v>3</v>
      </c>
      <c r="AA10">
        <f t="shared" ca="1" si="8"/>
        <v>23</v>
      </c>
      <c r="AB10">
        <f t="shared" ca="1" si="9"/>
        <v>14</v>
      </c>
      <c r="AF10" s="5" t="s">
        <v>268</v>
      </c>
    </row>
    <row r="11" spans="1:32" x14ac:dyDescent="0.25">
      <c r="A11">
        <v>10</v>
      </c>
      <c r="B11" t="str" cm="1">
        <f t="array" aca="1" ref="B11" ca="1">replaceChar(LOWER(LEFT(D11,3)&amp;RIGHT(I11,3))&amp;LEFT(H11,4))</f>
        <v>tianto2334</v>
      </c>
      <c r="C11" t="str">
        <f t="shared" ca="1" si="0"/>
        <v>pswtianto2334</v>
      </c>
      <c r="D11" t="str">
        <f ca="1">Nomes!T12</f>
        <v>Tiago</v>
      </c>
      <c r="E11" t="str">
        <f ca="1">Nomes!S12</f>
        <v>Masculino</v>
      </c>
      <c r="F11" s="2">
        <v>30531</v>
      </c>
      <c r="G11" t="str" cm="1">
        <f t="array" aca="1" ref="G11" ca="1">INDEX(rua_cod!$F:$F,RANDBETWEEN(2,COUNTA(rua_cod!F:F)))</f>
        <v>Rua Garrett</v>
      </c>
      <c r="H11" t="str" cm="1">
        <f t="array" aca="1" ref="H11" ca="1">INDEX(rua_cod!$A:$A,Users!V11) &amp; "-" &amp; TEXT(RANDBETWEEN(0,999),"000")</f>
        <v>2334-062</v>
      </c>
      <c r="I11" t="str" cm="1">
        <f t="array" aca="1" ref="I11" ca="1">INDEX(rua_cod!$B:$B,Users!V11)</f>
        <v>Entroncamento</v>
      </c>
      <c r="J11" t="s">
        <v>3727</v>
      </c>
      <c r="K11" t="s">
        <v>225</v>
      </c>
      <c r="L11" t="s">
        <v>265</v>
      </c>
      <c r="M11" t="str">
        <f t="shared" ca="1" si="1"/>
        <v>80202311</v>
      </c>
      <c r="N11" t="str">
        <f t="shared" ca="1" si="2"/>
        <v>572975590</v>
      </c>
      <c r="O11" t="str">
        <f t="shared" ca="1" si="2"/>
        <v>267661307</v>
      </c>
      <c r="P11" t="str" cm="1">
        <f t="array" aca="1" ref="P11" ca="1">9 &amp; INDEX($AF$3:$AF$6,W11)&amp; TEXT(RANDBETWEEN(0,9999999),"0000000")</f>
        <v>969310427</v>
      </c>
      <c r="Q11" t="str" cm="1">
        <f t="array" aca="1" ref="Q11" ca="1">LOWER(B11) &amp; INDEX($AF$9:$AF$11,X11)</f>
        <v>tianto2334@sapo.pt</v>
      </c>
      <c r="R11" t="str">
        <f t="shared" ca="1" si="3"/>
        <v>tianto2334.jpg</v>
      </c>
      <c r="T11" s="4"/>
      <c r="V11">
        <f ca="1">RANDBETWEEN(2,COUNTA(rua_cod!A:A))</f>
        <v>30</v>
      </c>
      <c r="W11">
        <f t="shared" ca="1" si="4"/>
        <v>4</v>
      </c>
      <c r="X11">
        <f t="shared" ca="1" si="5"/>
        <v>3</v>
      </c>
      <c r="Y11">
        <f t="shared" ca="1" si="6"/>
        <v>1986</v>
      </c>
      <c r="Z11">
        <f t="shared" ca="1" si="7"/>
        <v>4</v>
      </c>
      <c r="AA11">
        <f t="shared" ca="1" si="8"/>
        <v>5</v>
      </c>
      <c r="AB11">
        <f t="shared" ca="1" si="9"/>
        <v>34</v>
      </c>
      <c r="AF11" s="5" t="s">
        <v>269</v>
      </c>
    </row>
    <row r="12" spans="1:32" x14ac:dyDescent="0.25">
      <c r="A12">
        <v>11</v>
      </c>
      <c r="B12" t="str" cm="1">
        <f t="array" aca="1" ref="B12" ca="1">replaceChar(LOWER(LEFT(D12,3)&amp;RIGHT(I12,3))&amp;LEFT(H12,4))</f>
        <v>andboa1959</v>
      </c>
      <c r="C12" t="str">
        <f t="shared" ca="1" si="0"/>
        <v>pswandboa1959</v>
      </c>
      <c r="D12" t="str">
        <f ca="1">Nomes!T13</f>
        <v>André</v>
      </c>
      <c r="E12" t="str">
        <f ca="1">Nomes!S13</f>
        <v>Masculino</v>
      </c>
      <c r="F12" s="2">
        <v>10192</v>
      </c>
      <c r="G12" t="str" cm="1">
        <f t="array" aca="1" ref="G12" ca="1">INDEX(rua_cod!$F:$F,RANDBETWEEN(2,COUNTA(rua_cod!F:F)))</f>
        <v>Rua dos Heróis de Quionga</v>
      </c>
      <c r="H12" t="str" cm="1">
        <f t="array" aca="1" ref="H12" ca="1">INDEX(rua_cod!$A:$A,Users!V12) &amp; "-" &amp; TEXT(RANDBETWEEN(0,999),"000")</f>
        <v>1959-886</v>
      </c>
      <c r="I12" t="str" cm="1">
        <f t="array" aca="1" ref="I12" ca="1">INDEX(rua_cod!$B:$B,Users!V12)</f>
        <v>Lisboa</v>
      </c>
      <c r="J12" t="s">
        <v>3727</v>
      </c>
      <c r="K12" t="s">
        <v>225</v>
      </c>
      <c r="L12" t="s">
        <v>265</v>
      </c>
      <c r="M12" t="str">
        <f t="shared" ca="1" si="1"/>
        <v>28616963</v>
      </c>
      <c r="N12" t="str">
        <f t="shared" ca="1" si="2"/>
        <v>835856467</v>
      </c>
      <c r="O12" t="str">
        <f t="shared" ca="1" si="2"/>
        <v>899997019</v>
      </c>
      <c r="P12" t="str" cm="1">
        <f t="array" aca="1" ref="P12" ca="1">9 &amp; INDEX($AF$3:$AF$6,W12)&amp; TEXT(RANDBETWEEN(0,9999999),"0000000")</f>
        <v>914801137</v>
      </c>
      <c r="Q12" t="str" cm="1">
        <f t="array" aca="1" ref="Q12" ca="1">LOWER(B12) &amp; INDEX($AF$9:$AF$11,X12)</f>
        <v>andboa1959@sapo.pt</v>
      </c>
      <c r="R12" t="str">
        <f t="shared" ca="1" si="3"/>
        <v>andboa1959.jpg</v>
      </c>
      <c r="T12" s="4"/>
      <c r="V12">
        <f ca="1">RANDBETWEEN(2,COUNTA(rua_cod!A:A))</f>
        <v>72</v>
      </c>
      <c r="W12">
        <f t="shared" ca="1" si="4"/>
        <v>1</v>
      </c>
      <c r="X12">
        <f t="shared" ca="1" si="5"/>
        <v>3</v>
      </c>
      <c r="Y12">
        <f t="shared" ca="1" si="6"/>
        <v>2003</v>
      </c>
      <c r="Z12">
        <f t="shared" ca="1" si="7"/>
        <v>1</v>
      </c>
      <c r="AA12">
        <f t="shared" ca="1" si="8"/>
        <v>7</v>
      </c>
      <c r="AB12">
        <f t="shared" ca="1" si="9"/>
        <v>17</v>
      </c>
    </row>
    <row r="13" spans="1:32" x14ac:dyDescent="0.25">
      <c r="A13">
        <v>12</v>
      </c>
      <c r="B13" t="str" cm="1">
        <f t="array" aca="1" ref="B13" ca="1">replaceChar(LOWER(LEFT(D13,3)&amp;RIGHT(I13,3))&amp;LEFT(H13,4))</f>
        <v>jostra2714</v>
      </c>
      <c r="C13" t="str">
        <f t="shared" ca="1" si="0"/>
        <v>pswjostra2714</v>
      </c>
      <c r="D13" t="str">
        <f ca="1">Nomes!T14</f>
        <v>José Pacheco</v>
      </c>
      <c r="E13" t="str">
        <f ca="1">Nomes!S14</f>
        <v>Masculino</v>
      </c>
      <c r="F13" s="2">
        <v>11987</v>
      </c>
      <c r="G13" t="str" cm="1">
        <f t="array" aca="1" ref="G13" ca="1">INDEX(rua_cod!$F:$F,RANDBETWEEN(2,COUNTA(rua_cod!F:F)))</f>
        <v>Rua Roberto Duarte Silva</v>
      </c>
      <c r="H13" t="str" cm="1">
        <f t="array" aca="1" ref="H13" ca="1">INDEX(rua_cod!$A:$A,Users!V13) &amp; "-" &amp; TEXT(RANDBETWEEN(0,999),"000")</f>
        <v>2714-213</v>
      </c>
      <c r="I13" t="str" cm="1">
        <f t="array" aca="1" ref="I13" ca="1">INDEX(rua_cod!$B:$B,Users!V13)</f>
        <v>Sintra</v>
      </c>
      <c r="J13" t="s">
        <v>3727</v>
      </c>
      <c r="K13" t="s">
        <v>225</v>
      </c>
      <c r="L13" t="s">
        <v>265</v>
      </c>
      <c r="M13" t="str">
        <f t="shared" ca="1" si="1"/>
        <v>81394429</v>
      </c>
      <c r="N13" t="str">
        <f t="shared" ca="1" si="2"/>
        <v>250852629</v>
      </c>
      <c r="O13" t="str">
        <f t="shared" ca="1" si="2"/>
        <v>999242947</v>
      </c>
      <c r="P13" t="str" cm="1">
        <f t="array" aca="1" ref="P13" ca="1">9 &amp; INDEX($AF$3:$AF$6,W13)&amp; TEXT(RANDBETWEEN(0,9999999),"0000000")</f>
        <v>919531384</v>
      </c>
      <c r="Q13" t="str" cm="1">
        <f t="array" aca="1" ref="Q13" ca="1">LOWER(B13) &amp; INDEX($AF$9:$AF$11,X13)</f>
        <v>jostra2714@outlook.com</v>
      </c>
      <c r="R13" t="str">
        <f t="shared" ca="1" si="3"/>
        <v>jostra2714.jpg</v>
      </c>
      <c r="T13" s="4"/>
      <c r="V13">
        <f ca="1">RANDBETWEEN(2,COUNTA(rua_cod!A:A))</f>
        <v>101</v>
      </c>
      <c r="W13">
        <f t="shared" ca="1" si="4"/>
        <v>1</v>
      </c>
      <c r="X13">
        <f t="shared" ca="1" si="5"/>
        <v>1</v>
      </c>
      <c r="Y13">
        <f t="shared" ca="1" si="6"/>
        <v>1990</v>
      </c>
      <c r="Z13">
        <f t="shared" ca="1" si="7"/>
        <v>8</v>
      </c>
      <c r="AA13">
        <f t="shared" ca="1" si="8"/>
        <v>15</v>
      </c>
      <c r="AB13">
        <f t="shared" ca="1" si="9"/>
        <v>30</v>
      </c>
    </row>
    <row r="14" spans="1:32" x14ac:dyDescent="0.25">
      <c r="A14">
        <v>13</v>
      </c>
      <c r="B14" t="str" cm="1">
        <f t="array" aca="1" ref="B14" ca="1">replaceChar(LOWER(LEFT(D14,3)&amp;RIGHT(I14,3))&amp;LEFT(H14,4))</f>
        <v>diaboa1500</v>
      </c>
      <c r="C14" t="str">
        <f t="shared" ca="1" si="0"/>
        <v>pswdiaboa1500</v>
      </c>
      <c r="D14" t="str">
        <f ca="1">Nomes!T15</f>
        <v>Diana Torres</v>
      </c>
      <c r="E14" t="str">
        <f ca="1">Nomes!S15</f>
        <v>Feminino</v>
      </c>
      <c r="F14" s="2">
        <v>28287</v>
      </c>
      <c r="G14" t="str" cm="1">
        <f t="array" aca="1" ref="G14" ca="1">INDEX(rua_cod!$F:$F,RANDBETWEEN(2,COUNTA(rua_cod!F:F)))</f>
        <v>Avenida Ressano Garcia</v>
      </c>
      <c r="H14" t="str" cm="1">
        <f t="array" aca="1" ref="H14" ca="1">INDEX(rua_cod!$A:$A,Users!V14) &amp; "-" &amp; TEXT(RANDBETWEEN(0,999),"000")</f>
        <v>1500-027</v>
      </c>
      <c r="I14" t="str" cm="1">
        <f t="array" aca="1" ref="I14" ca="1">INDEX(rua_cod!$B:$B,Users!V14)</f>
        <v>Lisboa</v>
      </c>
      <c r="J14" t="s">
        <v>3727</v>
      </c>
      <c r="K14" t="s">
        <v>225</v>
      </c>
      <c r="L14" t="s">
        <v>265</v>
      </c>
      <c r="M14" t="str">
        <f t="shared" ca="1" si="1"/>
        <v>27958291</v>
      </c>
      <c r="N14" t="str">
        <f t="shared" ca="1" si="2"/>
        <v>632202872</v>
      </c>
      <c r="O14" t="str">
        <f t="shared" ca="1" si="2"/>
        <v>181510844</v>
      </c>
      <c r="P14" t="str" cm="1">
        <f t="array" aca="1" ref="P14" ca="1">9 &amp; INDEX($AF$3:$AF$6,W14)&amp; TEXT(RANDBETWEEN(0,9999999),"0000000")</f>
        <v>966886211</v>
      </c>
      <c r="Q14" t="str" cm="1">
        <f t="array" aca="1" ref="Q14" ca="1">LOWER(B14) &amp; INDEX($AF$9:$AF$11,X14)</f>
        <v>diaboa1500@sapo.pt</v>
      </c>
      <c r="R14" t="str">
        <f t="shared" ca="1" si="3"/>
        <v>diaboa1500.jpg</v>
      </c>
      <c r="T14" s="4"/>
      <c r="V14">
        <f ca="1">RANDBETWEEN(2,COUNTA(rua_cod!A:A))</f>
        <v>43</v>
      </c>
      <c r="W14">
        <f t="shared" ca="1" si="4"/>
        <v>4</v>
      </c>
      <c r="X14">
        <f t="shared" ca="1" si="5"/>
        <v>3</v>
      </c>
      <c r="Y14">
        <f t="shared" ca="1" si="6"/>
        <v>1997</v>
      </c>
      <c r="Z14">
        <f t="shared" ca="1" si="7"/>
        <v>3</v>
      </c>
      <c r="AA14">
        <f t="shared" ca="1" si="8"/>
        <v>7</v>
      </c>
      <c r="AB14">
        <f t="shared" ca="1" si="9"/>
        <v>23</v>
      </c>
    </row>
    <row r="15" spans="1:32" x14ac:dyDescent="0.25">
      <c r="A15">
        <v>14</v>
      </c>
      <c r="B15" t="str" cm="1">
        <f t="array" aca="1" ref="B15" ca="1">replaceChar(LOWER(LEFT(D15,3)&amp;RIGHT(I15,3))&amp;LEFT(H15,4))</f>
        <v>marora2650</v>
      </c>
      <c r="C15" t="str">
        <f t="shared" ca="1" si="0"/>
        <v>pswmarora2650</v>
      </c>
      <c r="D15" t="str">
        <f ca="1">Nomes!T16</f>
        <v>Maria Castro</v>
      </c>
      <c r="E15" t="str">
        <f ca="1">Nomes!S16</f>
        <v>Feminino</v>
      </c>
      <c r="F15" s="2">
        <v>26925</v>
      </c>
      <c r="G15" t="str" cm="1">
        <f t="array" aca="1" ref="G15" ca="1">INDEX(rua_cod!$F:$F,RANDBETWEEN(2,COUNTA(rua_cod!F:F)))</f>
        <v>Rua Cidade de Bolama</v>
      </c>
      <c r="H15" t="str" cm="1">
        <f t="array" aca="1" ref="H15" ca="1">INDEX(rua_cod!$A:$A,Users!V15) &amp; "-" &amp; TEXT(RANDBETWEEN(0,999),"000")</f>
        <v>2650-232</v>
      </c>
      <c r="I15" t="str" cm="1">
        <f t="array" aca="1" ref="I15" ca="1">INDEX(rua_cod!$B:$B,Users!V15)</f>
        <v>Amadora</v>
      </c>
      <c r="J15" t="s">
        <v>3727</v>
      </c>
      <c r="K15" t="s">
        <v>225</v>
      </c>
      <c r="L15" t="s">
        <v>265</v>
      </c>
      <c r="M15" t="str">
        <f t="shared" ca="1" si="1"/>
        <v>23407448</v>
      </c>
      <c r="N15" t="str">
        <f t="shared" ca="1" si="2"/>
        <v>447947043</v>
      </c>
      <c r="O15" t="str">
        <f t="shared" ca="1" si="2"/>
        <v>590932222</v>
      </c>
      <c r="P15" t="str" cm="1">
        <f t="array" aca="1" ref="P15" ca="1">9 &amp; INDEX($AF$3:$AF$6,W15)&amp; TEXT(RANDBETWEEN(0,9999999),"0000000")</f>
        <v>914679258</v>
      </c>
      <c r="Q15" t="str" cm="1">
        <f t="array" aca="1" ref="Q15" ca="1">LOWER(B15) &amp; INDEX($AF$9:$AF$11,X15)</f>
        <v>marora2650@sapo.pt</v>
      </c>
      <c r="R15" t="str">
        <f t="shared" ca="1" si="3"/>
        <v>marora2650.jpg</v>
      </c>
      <c r="T15" s="4"/>
      <c r="V15">
        <f ca="1">RANDBETWEEN(2,COUNTA(rua_cod!A:A))</f>
        <v>9</v>
      </c>
      <c r="W15">
        <f t="shared" ca="1" si="4"/>
        <v>1</v>
      </c>
      <c r="X15">
        <f t="shared" ca="1" si="5"/>
        <v>3</v>
      </c>
      <c r="Y15">
        <f t="shared" ca="1" si="6"/>
        <v>1920</v>
      </c>
      <c r="Z15">
        <f t="shared" ca="1" si="7"/>
        <v>12</v>
      </c>
      <c r="AA15">
        <f t="shared" ca="1" si="8"/>
        <v>29</v>
      </c>
      <c r="AB15">
        <f t="shared" ca="1" si="9"/>
        <v>100</v>
      </c>
    </row>
    <row r="16" spans="1:32" x14ac:dyDescent="0.25">
      <c r="A16">
        <v>15</v>
      </c>
      <c r="B16" t="str" cm="1">
        <f t="array" aca="1" ref="B16" ca="1">replaceChar(LOWER(LEFT(D16,3)&amp;RIGHT(I16,3))&amp;LEFT(H16,4))</f>
        <v>tomlos2775</v>
      </c>
      <c r="C16" t="str">
        <f t="shared" ca="1" si="0"/>
        <v>pswtomlos2775</v>
      </c>
      <c r="D16" t="str">
        <f ca="1">Nomes!T17</f>
        <v>Tomás Domingues</v>
      </c>
      <c r="E16" t="str">
        <f ca="1">Nomes!S17</f>
        <v>Masculino</v>
      </c>
      <c r="F16" s="2">
        <v>21109</v>
      </c>
      <c r="G16" t="str" cm="1">
        <f t="array" aca="1" ref="G16" ca="1">INDEX(rua_cod!$F:$F,RANDBETWEEN(2,COUNTA(rua_cod!F:F)))</f>
        <v>Rua Roberto Duarte Silva</v>
      </c>
      <c r="H16" t="str" cm="1">
        <f t="array" aca="1" ref="H16" ca="1">INDEX(rua_cod!$A:$A,Users!V16) &amp; "-" &amp; TEXT(RANDBETWEEN(0,999),"000")</f>
        <v>2775-746</v>
      </c>
      <c r="I16" t="str" cm="1">
        <f t="array" aca="1" ref="I16" ca="1">INDEX(rua_cod!$B:$B,Users!V16)</f>
        <v>Carcavelos</v>
      </c>
      <c r="J16" t="s">
        <v>3727</v>
      </c>
      <c r="K16" t="s">
        <v>225</v>
      </c>
      <c r="L16" t="s">
        <v>265</v>
      </c>
      <c r="M16" t="str">
        <f t="shared" ca="1" si="1"/>
        <v>91281058</v>
      </c>
      <c r="N16" t="str">
        <f t="shared" ca="1" si="2"/>
        <v>954221757</v>
      </c>
      <c r="O16" t="str">
        <f t="shared" ca="1" si="2"/>
        <v>467138759</v>
      </c>
      <c r="P16" t="str" cm="1">
        <f t="array" aca="1" ref="P16" ca="1">9 &amp; INDEX($AF$3:$AF$6,W16)&amp; TEXT(RANDBETWEEN(0,9999999),"0000000")</f>
        <v>933325300</v>
      </c>
      <c r="Q16" t="str" cm="1">
        <f t="array" aca="1" ref="Q16" ca="1">LOWER(B16) &amp; INDEX($AF$9:$AF$11,X16)</f>
        <v>tomlos2775@outlook.com</v>
      </c>
      <c r="R16" t="str">
        <f t="shared" ca="1" si="3"/>
        <v>tomlos2775.jpg</v>
      </c>
      <c r="T16" s="4"/>
      <c r="V16">
        <f ca="1">RANDBETWEEN(2,COUNTA(rua_cod!A:A))</f>
        <v>20</v>
      </c>
      <c r="W16">
        <f t="shared" ca="1" si="4"/>
        <v>3</v>
      </c>
      <c r="X16">
        <f t="shared" ca="1" si="5"/>
        <v>1</v>
      </c>
      <c r="Y16">
        <f t="shared" ca="1" si="6"/>
        <v>1970</v>
      </c>
      <c r="Z16">
        <f t="shared" ca="1" si="7"/>
        <v>4</v>
      </c>
      <c r="AA16">
        <f t="shared" ca="1" si="8"/>
        <v>28</v>
      </c>
      <c r="AB16">
        <f t="shared" ca="1" si="9"/>
        <v>50</v>
      </c>
    </row>
    <row r="17" spans="1:28" x14ac:dyDescent="0.25">
      <c r="A17">
        <v>16</v>
      </c>
      <c r="B17" t="str" cm="1">
        <f t="array" aca="1" ref="B17" ca="1">replaceChar(LOWER(LEFT(D17,3)&amp;RIGHT(I17,3))&amp;LEFT(H17,4))</f>
        <v>marres2670</v>
      </c>
      <c r="C17" t="str">
        <f t="shared" ca="1" si="0"/>
        <v>pswmarres2670</v>
      </c>
      <c r="D17" t="str">
        <f ca="1">Nomes!T18</f>
        <v>Maria Neves</v>
      </c>
      <c r="E17" t="str">
        <f ca="1">Nomes!S18</f>
        <v>Feminino</v>
      </c>
      <c r="F17" s="2">
        <v>31299</v>
      </c>
      <c r="G17" t="str" cm="1">
        <f t="array" aca="1" ref="G17" ca="1">INDEX(rua_cod!$F:$F,RANDBETWEEN(2,COUNTA(rua_cod!F:F)))</f>
        <v>Rua Nova do Almada</v>
      </c>
      <c r="H17" t="str" cm="1">
        <f t="array" aca="1" ref="H17" ca="1">INDEX(rua_cod!$A:$A,Users!V17) &amp; "-" &amp; TEXT(RANDBETWEEN(0,999),"000")</f>
        <v>2670-931</v>
      </c>
      <c r="I17" t="str" cm="1">
        <f t="array" aca="1" ref="I17" ca="1">INDEX(rua_cod!$B:$B,Users!V17)</f>
        <v>Loures</v>
      </c>
      <c r="J17" t="s">
        <v>3727</v>
      </c>
      <c r="K17" t="s">
        <v>225</v>
      </c>
      <c r="L17" t="s">
        <v>265</v>
      </c>
      <c r="M17" t="str">
        <f t="shared" ca="1" si="1"/>
        <v>86577089</v>
      </c>
      <c r="N17" t="str">
        <f t="shared" ca="1" si="2"/>
        <v>416111116</v>
      </c>
      <c r="O17" t="str">
        <f t="shared" ca="1" si="2"/>
        <v>269363484</v>
      </c>
      <c r="P17" t="str" cm="1">
        <f t="array" aca="1" ref="P17" ca="1">9 &amp; INDEX($AF$3:$AF$6,W17)&amp; TEXT(RANDBETWEEN(0,9999999),"0000000")</f>
        <v>911621117</v>
      </c>
      <c r="Q17" t="str" cm="1">
        <f t="array" aca="1" ref="Q17" ca="1">LOWER(B17) &amp; INDEX($AF$9:$AF$11,X17)</f>
        <v>marres2670@outlook.com</v>
      </c>
      <c r="R17" t="str">
        <f t="shared" ca="1" si="3"/>
        <v>marres2670.jpg</v>
      </c>
      <c r="T17" s="4"/>
      <c r="V17">
        <f ca="1">RANDBETWEEN(2,COUNTA(rua_cod!A:A))</f>
        <v>83</v>
      </c>
      <c r="W17">
        <f t="shared" ca="1" si="4"/>
        <v>1</v>
      </c>
      <c r="X17">
        <f t="shared" ca="1" si="5"/>
        <v>1</v>
      </c>
      <c r="Y17">
        <f t="shared" ca="1" si="6"/>
        <v>1963</v>
      </c>
      <c r="Z17">
        <f t="shared" ca="1" si="7"/>
        <v>11</v>
      </c>
      <c r="AA17">
        <f t="shared" ca="1" si="8"/>
        <v>1</v>
      </c>
      <c r="AB17">
        <f t="shared" ca="1" si="9"/>
        <v>57</v>
      </c>
    </row>
    <row r="18" spans="1:28" x14ac:dyDescent="0.25">
      <c r="A18">
        <v>17</v>
      </c>
      <c r="B18" t="str" cm="1">
        <f t="array" aca="1" ref="B18" ca="1">replaceChar(LOWER(LEFT(D18,3)&amp;RIGHT(I18,3))&amp;LEFT(H18,4))</f>
        <v>anaras2560</v>
      </c>
      <c r="C18" t="str">
        <f t="shared" ca="1" si="0"/>
        <v>pswanaras2560</v>
      </c>
      <c r="D18" t="str">
        <f ca="1">Nomes!T19</f>
        <v>Ana Guerreiro</v>
      </c>
      <c r="E18" t="str">
        <f ca="1">Nomes!S19</f>
        <v>Feminino</v>
      </c>
      <c r="F18" s="2">
        <v>22764</v>
      </c>
      <c r="G18" t="str" cm="1">
        <f t="array" aca="1" ref="G18" ca="1">INDEX(rua_cod!$F:$F,RANDBETWEEN(2,COUNTA(rua_cod!F:F)))</f>
        <v>Rua Ferreira Lapa</v>
      </c>
      <c r="H18" t="str" cm="1">
        <f t="array" aca="1" ref="H18" ca="1">INDEX(rua_cod!$A:$A,Users!V18) &amp; "-" &amp; TEXT(RANDBETWEEN(0,999),"000")</f>
        <v>2560-196</v>
      </c>
      <c r="I18" t="str" cm="1">
        <f t="array" aca="1" ref="I18" ca="1">INDEX(rua_cod!$B:$B,Users!V18)</f>
        <v>Torres Vedras</v>
      </c>
      <c r="J18" t="s">
        <v>3727</v>
      </c>
      <c r="K18" t="s">
        <v>225</v>
      </c>
      <c r="L18" t="s">
        <v>265</v>
      </c>
      <c r="M18" t="str">
        <f t="shared" ca="1" si="1"/>
        <v>59068585</v>
      </c>
      <c r="N18" t="str">
        <f t="shared" ca="1" si="2"/>
        <v>286331100</v>
      </c>
      <c r="O18" t="str">
        <f t="shared" ca="1" si="2"/>
        <v>315899979</v>
      </c>
      <c r="P18" t="str" cm="1">
        <f t="array" aca="1" ref="P18" ca="1">9 &amp; INDEX($AF$3:$AF$6,W18)&amp; TEXT(RANDBETWEEN(0,9999999),"0000000")</f>
        <v>964672618</v>
      </c>
      <c r="Q18" t="str" cm="1">
        <f t="array" aca="1" ref="Q18" ca="1">LOWER(B18) &amp; INDEX($AF$9:$AF$11,X18)</f>
        <v>anaras2560@sapo.pt</v>
      </c>
      <c r="R18" t="str">
        <f t="shared" ca="1" si="3"/>
        <v>anaras2560.jpg</v>
      </c>
      <c r="T18" s="4"/>
      <c r="V18">
        <f ca="1">RANDBETWEEN(2,COUNTA(rua_cod!A:A))</f>
        <v>104</v>
      </c>
      <c r="W18">
        <f t="shared" ca="1" si="4"/>
        <v>4</v>
      </c>
      <c r="X18">
        <f t="shared" ca="1" si="5"/>
        <v>3</v>
      </c>
      <c r="Y18">
        <f t="shared" ca="1" si="6"/>
        <v>1974</v>
      </c>
      <c r="Z18">
        <f t="shared" ca="1" si="7"/>
        <v>9</v>
      </c>
      <c r="AA18">
        <f t="shared" ca="1" si="8"/>
        <v>19</v>
      </c>
      <c r="AB18">
        <f t="shared" ca="1" si="9"/>
        <v>46</v>
      </c>
    </row>
    <row r="19" spans="1:28" x14ac:dyDescent="0.25">
      <c r="A19">
        <v>18</v>
      </c>
      <c r="B19" t="str" cm="1">
        <f t="array" aca="1" ref="B19" ca="1">replaceChar(LOWER(LEFT(D19,3)&amp;RIGHT(I19,3))&amp;LEFT(H19,4))</f>
        <v>catboa1800</v>
      </c>
      <c r="C19" t="str">
        <f t="shared" ca="1" si="0"/>
        <v>pswcatboa1800</v>
      </c>
      <c r="D19" t="str">
        <f ca="1">Nomes!T20</f>
        <v>Catarina Fernandes</v>
      </c>
      <c r="E19" t="str">
        <f ca="1">Nomes!S20</f>
        <v>Feminino</v>
      </c>
      <c r="F19" s="2">
        <v>23791</v>
      </c>
      <c r="G19" t="str" cm="1">
        <f t="array" aca="1" ref="G19" ca="1">INDEX(rua_cod!$F:$F,RANDBETWEEN(2,COUNTA(rua_cod!F:F)))</f>
        <v>Rua Júlio César Machado</v>
      </c>
      <c r="H19" t="str" cm="1">
        <f t="array" aca="1" ref="H19" ca="1">INDEX(rua_cod!$A:$A,Users!V19) &amp; "-" &amp; TEXT(RANDBETWEEN(0,999),"000")</f>
        <v>1800-578</v>
      </c>
      <c r="I19" t="str" cm="1">
        <f t="array" aca="1" ref="I19" ca="1">INDEX(rua_cod!$B:$B,Users!V19)</f>
        <v>Lisboa</v>
      </c>
      <c r="J19" t="s">
        <v>3727</v>
      </c>
      <c r="K19" t="s">
        <v>225</v>
      </c>
      <c r="L19" t="s">
        <v>265</v>
      </c>
      <c r="M19" t="str">
        <f t="shared" ca="1" si="1"/>
        <v>50511177</v>
      </c>
      <c r="N19" t="str">
        <f t="shared" ca="1" si="2"/>
        <v>933486969</v>
      </c>
      <c r="O19" t="str">
        <f t="shared" ca="1" si="2"/>
        <v>996704826</v>
      </c>
      <c r="P19" t="str" cm="1">
        <f t="array" aca="1" ref="P19" ca="1">9 &amp; INDEX($AF$3:$AF$6,W19)&amp; TEXT(RANDBETWEEN(0,9999999),"0000000")</f>
        <v>910958943</v>
      </c>
      <c r="Q19" t="str" cm="1">
        <f t="array" aca="1" ref="Q19" ca="1">LOWER(B19) &amp; INDEX($AF$9:$AF$11,X19)</f>
        <v>catboa1800@sapo.pt</v>
      </c>
      <c r="R19" t="str">
        <f t="shared" ca="1" si="3"/>
        <v>catboa1800.jpg</v>
      </c>
      <c r="T19" s="4"/>
      <c r="V19">
        <f ca="1">RANDBETWEEN(2,COUNTA(rua_cod!A:A))</f>
        <v>56</v>
      </c>
      <c r="W19">
        <f t="shared" ca="1" si="4"/>
        <v>1</v>
      </c>
      <c r="X19">
        <f t="shared" ca="1" si="5"/>
        <v>3</v>
      </c>
      <c r="Y19">
        <f t="shared" ca="1" si="6"/>
        <v>1984</v>
      </c>
      <c r="Z19">
        <f t="shared" ca="1" si="7"/>
        <v>10</v>
      </c>
      <c r="AA19">
        <f t="shared" ca="1" si="8"/>
        <v>9</v>
      </c>
      <c r="AB19">
        <f t="shared" ca="1" si="9"/>
        <v>36</v>
      </c>
    </row>
    <row r="20" spans="1:28" x14ac:dyDescent="0.25">
      <c r="A20">
        <v>19</v>
      </c>
      <c r="B20" t="str" cm="1">
        <f t="array" aca="1" ref="B20" ca="1">replaceChar(LOWER(LEFT(D20,3)&amp;RIGHT(I20,3))&amp;LEFT(H20,4))</f>
        <v>frarem2000</v>
      </c>
      <c r="C20" t="str">
        <f t="shared" ca="1" si="0"/>
        <v>pswfrarem2000</v>
      </c>
      <c r="D20" t="str">
        <f ca="1">Nomes!T21</f>
        <v>Francisca Garcia</v>
      </c>
      <c r="E20" t="str">
        <f ca="1">Nomes!S21</f>
        <v>Feminino</v>
      </c>
      <c r="F20" s="2">
        <v>10827</v>
      </c>
      <c r="G20" t="str" cm="1">
        <f t="array" aca="1" ref="G20" ca="1">INDEX(rua_cod!$F:$F,RANDBETWEEN(2,COUNTA(rua_cod!F:F)))</f>
        <v>Calçada do Poço dos Mouros</v>
      </c>
      <c r="H20" t="str" cm="1">
        <f t="array" aca="1" ref="H20" ca="1">INDEX(rua_cod!$A:$A,Users!V20) &amp; "-" &amp; TEXT(RANDBETWEEN(0,999),"000")</f>
        <v>2000-681</v>
      </c>
      <c r="I20" t="str" cm="1">
        <f t="array" aca="1" ref="I20" ca="1">INDEX(rua_cod!$B:$B,Users!V20)</f>
        <v>Santarém</v>
      </c>
      <c r="J20" t="s">
        <v>3727</v>
      </c>
      <c r="K20" t="s">
        <v>225</v>
      </c>
      <c r="L20" t="s">
        <v>265</v>
      </c>
      <c r="M20" t="str">
        <f t="shared" ca="1" si="1"/>
        <v>61451956</v>
      </c>
      <c r="N20" t="str">
        <f t="shared" ca="1" si="2"/>
        <v>679106022</v>
      </c>
      <c r="O20" t="str">
        <f t="shared" ca="1" si="2"/>
        <v>662262257</v>
      </c>
      <c r="P20" t="str" cm="1">
        <f t="array" aca="1" ref="P20" ca="1">9 &amp; INDEX($AF$3:$AF$6,W20)&amp; TEXT(RANDBETWEEN(0,9999999),"0000000")</f>
        <v>936955194</v>
      </c>
      <c r="Q20" t="str" cm="1">
        <f t="array" aca="1" ref="Q20" ca="1">LOWER(B20) &amp; INDEX($AF$9:$AF$11,X20)</f>
        <v>frarem2000@gmail.com</v>
      </c>
      <c r="R20" t="str">
        <f t="shared" ca="1" si="3"/>
        <v>frarem2000.jpg</v>
      </c>
      <c r="T20" s="4"/>
      <c r="V20">
        <f ca="1">RANDBETWEEN(2,COUNTA(rua_cod!A:A))</f>
        <v>93</v>
      </c>
      <c r="W20">
        <f t="shared" ca="1" si="4"/>
        <v>3</v>
      </c>
      <c r="X20">
        <f t="shared" ca="1" si="5"/>
        <v>2</v>
      </c>
      <c r="Y20">
        <f t="shared" ca="1" si="6"/>
        <v>1980</v>
      </c>
      <c r="Z20">
        <f t="shared" ca="1" si="7"/>
        <v>1</v>
      </c>
      <c r="AA20">
        <f t="shared" ca="1" si="8"/>
        <v>14</v>
      </c>
      <c r="AB20">
        <f t="shared" ca="1" si="9"/>
        <v>40</v>
      </c>
    </row>
    <row r="21" spans="1:28" x14ac:dyDescent="0.25">
      <c r="A21">
        <v>20</v>
      </c>
      <c r="B21" t="str" cm="1">
        <f t="array" aca="1" ref="B21" ca="1">replaceChar(LOWER(LEFT(D21,3)&amp;RIGHT(I21,3))&amp;LEFT(H21,4))</f>
        <v>marboa1099</v>
      </c>
      <c r="C21" t="str">
        <f t="shared" ca="1" si="0"/>
        <v>pswmarboa1099</v>
      </c>
      <c r="D21" t="str">
        <f ca="1">Nomes!T22</f>
        <v>Mariana Borges</v>
      </c>
      <c r="E21" t="str">
        <f ca="1">Nomes!S22</f>
        <v>Feminino</v>
      </c>
      <c r="F21" s="2">
        <v>29267</v>
      </c>
      <c r="G21" t="str" cm="1">
        <f t="array" aca="1" ref="G21" ca="1">INDEX(rua_cod!$F:$F,RANDBETWEEN(2,COUNTA(rua_cod!F:F)))</f>
        <v>Rua do Sacramento à Lapa</v>
      </c>
      <c r="H21" t="str" cm="1">
        <f t="array" aca="1" ref="H21" ca="1">INDEX(rua_cod!$A:$A,Users!V21) &amp; "-" &amp; TEXT(RANDBETWEEN(0,999),"000")</f>
        <v>1099-580</v>
      </c>
      <c r="I21" t="str" cm="1">
        <f t="array" aca="1" ref="I21" ca="1">INDEX(rua_cod!$B:$B,Users!V21)</f>
        <v>Lisboa</v>
      </c>
      <c r="J21" t="s">
        <v>3727</v>
      </c>
      <c r="K21" t="s">
        <v>225</v>
      </c>
      <c r="L21" t="s">
        <v>265</v>
      </c>
      <c r="M21" t="str">
        <f t="shared" ca="1" si="1"/>
        <v>99388812</v>
      </c>
      <c r="N21" t="str">
        <f t="shared" ca="1" si="2"/>
        <v>158861399</v>
      </c>
      <c r="O21" t="str">
        <f t="shared" ca="1" si="2"/>
        <v>555437135</v>
      </c>
      <c r="P21" t="str" cm="1">
        <f t="array" aca="1" ref="P21" ca="1">9 &amp; INDEX($AF$3:$AF$6,W21)&amp; TEXT(RANDBETWEEN(0,9999999),"0000000")</f>
        <v>939323716</v>
      </c>
      <c r="Q21" t="str" cm="1">
        <f t="array" aca="1" ref="Q21" ca="1">LOWER(B21) &amp; INDEX($AF$9:$AF$11,X21)</f>
        <v>marboa1099@outlook.com</v>
      </c>
      <c r="R21" t="str">
        <f t="shared" ca="1" si="3"/>
        <v>marboa1099.jpg</v>
      </c>
      <c r="T21" s="4"/>
      <c r="V21">
        <f ca="1">RANDBETWEEN(2,COUNTA(rua_cod!A:A))</f>
        <v>53</v>
      </c>
      <c r="W21">
        <f t="shared" ca="1" si="4"/>
        <v>3</v>
      </c>
      <c r="X21">
        <f t="shared" ca="1" si="5"/>
        <v>1</v>
      </c>
      <c r="Y21">
        <f t="shared" ca="1" si="6"/>
        <v>1965</v>
      </c>
      <c r="Z21">
        <f t="shared" ca="1" si="7"/>
        <v>5</v>
      </c>
      <c r="AA21">
        <f t="shared" ca="1" si="8"/>
        <v>14</v>
      </c>
      <c r="AB21">
        <f t="shared" ca="1" si="9"/>
        <v>55</v>
      </c>
    </row>
    <row r="22" spans="1:28" x14ac:dyDescent="0.25">
      <c r="A22">
        <v>21</v>
      </c>
      <c r="B22" t="str" cm="1">
        <f t="array" aca="1" ref="B22" ca="1">replaceChar(LOWER(LEFT(D22,3)&amp;RIGHT(I22,3))&amp;LEFT(H22,4))</f>
        <v>joaboa1249</v>
      </c>
      <c r="C22" t="str">
        <f t="shared" ca="1" si="0"/>
        <v>pswjoaboa1249</v>
      </c>
      <c r="D22" t="str">
        <f ca="1">Nomes!T23</f>
        <v>João Cunha</v>
      </c>
      <c r="E22" t="str">
        <f ca="1">Nomes!S23</f>
        <v>Masculino</v>
      </c>
      <c r="F22" s="2">
        <v>12111</v>
      </c>
      <c r="G22" t="str" cm="1">
        <f t="array" aca="1" ref="G22" ca="1">INDEX(rua_cod!$F:$F,RANDBETWEEN(2,COUNTA(rua_cod!F:F)))</f>
        <v>Estrada da Circunvalação de Lisboa</v>
      </c>
      <c r="H22" t="str" cm="1">
        <f t="array" aca="1" ref="H22" ca="1">INDEX(rua_cod!$A:$A,Users!V22) &amp; "-" &amp; TEXT(RANDBETWEEN(0,999),"000")</f>
        <v>1249-844</v>
      </c>
      <c r="I22" t="str" cm="1">
        <f t="array" aca="1" ref="I22" ca="1">INDEX(rua_cod!$B:$B,Users!V22)</f>
        <v>Lisboa</v>
      </c>
      <c r="J22" t="s">
        <v>3727</v>
      </c>
      <c r="K22" t="s">
        <v>225</v>
      </c>
      <c r="L22" t="s">
        <v>265</v>
      </c>
      <c r="M22" t="str">
        <f t="shared" ca="1" si="1"/>
        <v>75093516</v>
      </c>
      <c r="N22" t="str">
        <f t="shared" ca="1" si="2"/>
        <v>942095759</v>
      </c>
      <c r="O22" t="str">
        <f t="shared" ca="1" si="2"/>
        <v>635529843</v>
      </c>
      <c r="P22" t="str" cm="1">
        <f t="array" aca="1" ref="P22" ca="1">9 &amp; INDEX($AF$3:$AF$6,W22)&amp; TEXT(RANDBETWEEN(0,9999999),"0000000")</f>
        <v>966199752</v>
      </c>
      <c r="Q22" t="str" cm="1">
        <f t="array" aca="1" ref="Q22" ca="1">LOWER(B22) &amp; INDEX($AF$9:$AF$11,X22)</f>
        <v>joaboa1249@sapo.pt</v>
      </c>
      <c r="R22" t="str">
        <f t="shared" ca="1" si="3"/>
        <v>joaboa1249.jpg</v>
      </c>
      <c r="T22" s="4"/>
      <c r="V22">
        <f ca="1">RANDBETWEEN(2,COUNTA(rua_cod!A:A))</f>
        <v>63</v>
      </c>
      <c r="W22">
        <f t="shared" ca="1" si="4"/>
        <v>4</v>
      </c>
      <c r="X22">
        <f t="shared" ca="1" si="5"/>
        <v>3</v>
      </c>
      <c r="Y22">
        <f t="shared" ca="1" si="6"/>
        <v>1980</v>
      </c>
      <c r="Z22">
        <f t="shared" ca="1" si="7"/>
        <v>11</v>
      </c>
      <c r="AA22">
        <f t="shared" ca="1" si="8"/>
        <v>6</v>
      </c>
      <c r="AB22">
        <f t="shared" ca="1" si="9"/>
        <v>40</v>
      </c>
    </row>
    <row r="23" spans="1:28" x14ac:dyDescent="0.25">
      <c r="A23">
        <v>22</v>
      </c>
      <c r="B23" t="str" cm="1">
        <f t="array" aca="1" ref="B23" ca="1">replaceChar(LOWER(LEFT(D23,3)&amp;RIGHT(I23,3))&amp;LEFT(H23,4))</f>
        <v>afoboa1098</v>
      </c>
      <c r="C23" t="str">
        <f t="shared" ca="1" si="0"/>
        <v>pswafoboa1098</v>
      </c>
      <c r="D23" t="str">
        <f ca="1">Nomes!T24</f>
        <v>Afonso Pacheco</v>
      </c>
      <c r="E23" t="str">
        <f ca="1">Nomes!S24</f>
        <v>Masculino</v>
      </c>
      <c r="F23" s="2">
        <v>22513</v>
      </c>
      <c r="G23" t="str" cm="1">
        <f t="array" aca="1" ref="G23" ca="1">INDEX(rua_cod!$F:$F,RANDBETWEEN(2,COUNTA(rua_cod!F:F)))</f>
        <v>Rua do Arsenal</v>
      </c>
      <c r="H23" t="str" cm="1">
        <f t="array" aca="1" ref="H23" ca="1">INDEX(rua_cod!$A:$A,Users!V23) &amp; "-" &amp; TEXT(RANDBETWEEN(0,999),"000")</f>
        <v>1098-891</v>
      </c>
      <c r="I23" t="str" cm="1">
        <f t="array" aca="1" ref="I23" ca="1">INDEX(rua_cod!$B:$B,Users!V23)</f>
        <v>Lisboa</v>
      </c>
      <c r="J23" t="s">
        <v>3727</v>
      </c>
      <c r="K23" t="s">
        <v>225</v>
      </c>
      <c r="L23" t="s">
        <v>265</v>
      </c>
      <c r="M23" t="str">
        <f t="shared" ca="1" si="1"/>
        <v>41309879</v>
      </c>
      <c r="N23" t="str">
        <f t="shared" ca="1" si="2"/>
        <v>308577089</v>
      </c>
      <c r="O23" t="str">
        <f t="shared" ca="1" si="2"/>
        <v>403468977</v>
      </c>
      <c r="P23" t="str" cm="1">
        <f t="array" aca="1" ref="P23" ca="1">9 &amp; INDEX($AF$3:$AF$6,W23)&amp; TEXT(RANDBETWEEN(0,9999999),"0000000")</f>
        <v>968803313</v>
      </c>
      <c r="Q23" t="str" cm="1">
        <f t="array" aca="1" ref="Q23" ca="1">LOWER(B23) &amp; INDEX($AF$9:$AF$11,X23)</f>
        <v>afoboa1098@outlook.com</v>
      </c>
      <c r="R23" t="str">
        <f t="shared" ca="1" si="3"/>
        <v>afoboa1098.jpg</v>
      </c>
      <c r="T23" s="4"/>
      <c r="V23">
        <f ca="1">RANDBETWEEN(2,COUNTA(rua_cod!A:A))</f>
        <v>80</v>
      </c>
      <c r="W23">
        <f t="shared" ca="1" si="4"/>
        <v>4</v>
      </c>
      <c r="X23">
        <f t="shared" ca="1" si="5"/>
        <v>1</v>
      </c>
      <c r="Y23">
        <f t="shared" ca="1" si="6"/>
        <v>1972</v>
      </c>
      <c r="Z23">
        <f t="shared" ca="1" si="7"/>
        <v>9</v>
      </c>
      <c r="AA23">
        <f t="shared" ca="1" si="8"/>
        <v>1</v>
      </c>
      <c r="AB23">
        <f t="shared" ca="1" si="9"/>
        <v>48</v>
      </c>
    </row>
    <row r="24" spans="1:28" x14ac:dyDescent="0.25">
      <c r="A24">
        <v>23</v>
      </c>
      <c r="B24" t="str" cm="1">
        <f t="array" aca="1" ref="B24" ca="1">replaceChar(LOWER(LEFT(D24,3)&amp;RIGHT(I24,3))&amp;LEFT(H24,4))</f>
        <v>beaora2720</v>
      </c>
      <c r="C24" t="str">
        <f t="shared" ca="1" si="0"/>
        <v>pswbeaora2720</v>
      </c>
      <c r="D24" t="str">
        <f ca="1">Nomes!T25</f>
        <v>Beatriz Domingues</v>
      </c>
      <c r="E24" t="str">
        <f ca="1">Nomes!S25</f>
        <v>Feminino</v>
      </c>
      <c r="F24" s="2">
        <v>22253</v>
      </c>
      <c r="G24" t="str" cm="1">
        <f t="array" aca="1" ref="G24" ca="1">INDEX(rua_cod!$F:$F,RANDBETWEEN(2,COUNTA(rua_cod!F:F)))</f>
        <v>Rua do Carmo</v>
      </c>
      <c r="H24" t="str" cm="1">
        <f t="array" aca="1" ref="H24" ca="1">INDEX(rua_cod!$A:$A,Users!V24) &amp; "-" &amp; TEXT(RANDBETWEEN(0,999),"000")</f>
        <v>2720-776</v>
      </c>
      <c r="I24" t="str" cm="1">
        <f t="array" aca="1" ref="I24" ca="1">INDEX(rua_cod!$B:$B,Users!V24)</f>
        <v>Amadora</v>
      </c>
      <c r="J24" t="s">
        <v>3727</v>
      </c>
      <c r="K24" t="s">
        <v>225</v>
      </c>
      <c r="L24" t="s">
        <v>265</v>
      </c>
      <c r="M24" t="str">
        <f t="shared" ca="1" si="1"/>
        <v>42199841</v>
      </c>
      <c r="N24" t="str">
        <f t="shared" ca="1" si="2"/>
        <v>176798832</v>
      </c>
      <c r="O24" t="str">
        <f t="shared" ca="1" si="2"/>
        <v>421943338</v>
      </c>
      <c r="P24" t="str" cm="1">
        <f t="array" aca="1" ref="P24" ca="1">9 &amp; INDEX($AF$3:$AF$6,W24)&amp; TEXT(RANDBETWEEN(0,9999999),"0000000")</f>
        <v>927014459</v>
      </c>
      <c r="Q24" t="str" cm="1">
        <f t="array" aca="1" ref="Q24" ca="1">LOWER(B24) &amp; INDEX($AF$9:$AF$11,X24)</f>
        <v>beaora2720@outlook.com</v>
      </c>
      <c r="R24" t="str">
        <f t="shared" ca="1" si="3"/>
        <v>beaora2720.jpg</v>
      </c>
      <c r="T24" s="4"/>
      <c r="V24">
        <f ca="1">RANDBETWEEN(2,COUNTA(rua_cod!A:A))</f>
        <v>8</v>
      </c>
      <c r="W24">
        <f t="shared" ca="1" si="4"/>
        <v>2</v>
      </c>
      <c r="X24">
        <f t="shared" ca="1" si="5"/>
        <v>1</v>
      </c>
      <c r="Y24">
        <f t="shared" ca="1" si="6"/>
        <v>1985</v>
      </c>
      <c r="Z24">
        <f t="shared" ca="1" si="7"/>
        <v>11</v>
      </c>
      <c r="AA24">
        <f t="shared" ca="1" si="8"/>
        <v>28</v>
      </c>
      <c r="AB24">
        <f t="shared" ca="1" si="9"/>
        <v>35</v>
      </c>
    </row>
    <row r="25" spans="1:28" x14ac:dyDescent="0.25">
      <c r="A25">
        <v>24</v>
      </c>
      <c r="B25" t="str" cm="1">
        <f t="array" aca="1" ref="B25" ca="1">replaceChar(LOWER(LEFT(D25,3)&amp;RIGHT(I25,3))&amp;LEFT(H25,4))</f>
        <v>dioboa1500</v>
      </c>
      <c r="C25" t="str">
        <f t="shared" ca="1" si="0"/>
        <v>pswdioboa1500</v>
      </c>
      <c r="D25" t="str">
        <f ca="1">Nomes!T26</f>
        <v>Diogo Torres</v>
      </c>
      <c r="E25" t="str">
        <f ca="1">Nomes!S26</f>
        <v>Masculino</v>
      </c>
      <c r="F25" s="2">
        <v>14100</v>
      </c>
      <c r="G25" t="str" cm="1">
        <f t="array" aca="1" ref="G25" ca="1">INDEX(rua_cod!$F:$F,RANDBETWEEN(2,COUNTA(rua_cod!F:F)))</f>
        <v>Rua Nova do Almada</v>
      </c>
      <c r="H25" t="str" cm="1">
        <f t="array" aca="1" ref="H25" ca="1">INDEX(rua_cod!$A:$A,Users!V25) &amp; "-" &amp; TEXT(RANDBETWEEN(0,999),"000")</f>
        <v>1500-418</v>
      </c>
      <c r="I25" t="str" cm="1">
        <f t="array" aca="1" ref="I25" ca="1">INDEX(rua_cod!$B:$B,Users!V25)</f>
        <v>Lisboa</v>
      </c>
      <c r="J25" t="s">
        <v>3727</v>
      </c>
      <c r="K25" t="s">
        <v>225</v>
      </c>
      <c r="L25" t="s">
        <v>265</v>
      </c>
      <c r="M25" t="str">
        <f t="shared" ca="1" si="1"/>
        <v>22931388</v>
      </c>
      <c r="N25" t="str">
        <f t="shared" ca="1" si="2"/>
        <v>683916385</v>
      </c>
      <c r="O25" t="str">
        <f t="shared" ca="1" si="2"/>
        <v>680351373</v>
      </c>
      <c r="P25" t="str" cm="1">
        <f t="array" aca="1" ref="P25" ca="1">9 &amp; INDEX($AF$3:$AF$6,W25)&amp; TEXT(RANDBETWEEN(0,9999999),"0000000")</f>
        <v>918202369</v>
      </c>
      <c r="Q25" t="str" cm="1">
        <f t="array" aca="1" ref="Q25" ca="1">LOWER(B25) &amp; INDEX($AF$9:$AF$11,X25)</f>
        <v>dioboa1500@outlook.com</v>
      </c>
      <c r="R25" t="str">
        <f t="shared" ca="1" si="3"/>
        <v>dioboa1500.jpg</v>
      </c>
      <c r="T25" s="4"/>
      <c r="V25">
        <f ca="1">RANDBETWEEN(2,COUNTA(rua_cod!A:A))</f>
        <v>43</v>
      </c>
      <c r="W25">
        <f t="shared" ca="1" si="4"/>
        <v>1</v>
      </c>
      <c r="X25">
        <f t="shared" ca="1" si="5"/>
        <v>1</v>
      </c>
      <c r="Y25">
        <f t="shared" ca="1" si="6"/>
        <v>1973</v>
      </c>
      <c r="Z25">
        <f t="shared" ca="1" si="7"/>
        <v>7</v>
      </c>
      <c r="AA25">
        <f t="shared" ca="1" si="8"/>
        <v>22</v>
      </c>
      <c r="AB25">
        <f t="shared" ca="1" si="9"/>
        <v>47</v>
      </c>
    </row>
    <row r="26" spans="1:28" x14ac:dyDescent="0.25">
      <c r="A26">
        <v>25</v>
      </c>
      <c r="B26" t="str" cm="1">
        <f t="array" aca="1" ref="B26" ca="1">replaceChar(LOWER(LEFT(D26,3)&amp;RIGHT(I26,3))&amp;LEFT(H26,4))</f>
        <v>vertra2714</v>
      </c>
      <c r="C26" t="str">
        <f t="shared" ca="1" si="0"/>
        <v>pswvertra2714</v>
      </c>
      <c r="D26" t="str">
        <f ca="1">Nomes!T27</f>
        <v>Vera Nascimento</v>
      </c>
      <c r="E26" t="str">
        <f ca="1">Nomes!S27</f>
        <v>Feminino</v>
      </c>
      <c r="F26" s="2">
        <v>14176</v>
      </c>
      <c r="G26" t="str" cm="1">
        <f t="array" aca="1" ref="G26" ca="1">INDEX(rua_cod!$F:$F,RANDBETWEEN(2,COUNTA(rua_cod!F:F)))</f>
        <v>Rua da Prata</v>
      </c>
      <c r="H26" t="str" cm="1">
        <f t="array" aca="1" ref="H26" ca="1">INDEX(rua_cod!$A:$A,Users!V26) &amp; "-" &amp; TEXT(RANDBETWEEN(0,999),"000")</f>
        <v>2714-148</v>
      </c>
      <c r="I26" t="str" cm="1">
        <f t="array" aca="1" ref="I26" ca="1">INDEX(rua_cod!$B:$B,Users!V26)</f>
        <v>Sintra</v>
      </c>
      <c r="J26" t="s">
        <v>3727</v>
      </c>
      <c r="K26" t="s">
        <v>225</v>
      </c>
      <c r="L26" t="s">
        <v>265</v>
      </c>
      <c r="M26" t="str">
        <f t="shared" ca="1" si="1"/>
        <v>94725253</v>
      </c>
      <c r="N26" t="str">
        <f t="shared" ca="1" si="2"/>
        <v>583316281</v>
      </c>
      <c r="O26" t="str">
        <f t="shared" ca="1" si="2"/>
        <v>162259387</v>
      </c>
      <c r="P26" t="str" cm="1">
        <f t="array" aca="1" ref="P26" ca="1">9 &amp; INDEX($AF$3:$AF$6,W26)&amp; TEXT(RANDBETWEEN(0,9999999),"0000000")</f>
        <v>967543644</v>
      </c>
      <c r="Q26" t="str" cm="1">
        <f t="array" aca="1" ref="Q26" ca="1">LOWER(B26) &amp; INDEX($AF$9:$AF$11,X26)</f>
        <v>vertra2714@outlook.com</v>
      </c>
      <c r="R26" t="str">
        <f t="shared" ca="1" si="3"/>
        <v>vertra2714.jpg</v>
      </c>
      <c r="T26" s="4"/>
      <c r="V26">
        <f ca="1">RANDBETWEEN(2,COUNTA(rua_cod!A:A))</f>
        <v>101</v>
      </c>
      <c r="W26">
        <f t="shared" ca="1" si="4"/>
        <v>4</v>
      </c>
      <c r="X26">
        <f t="shared" ca="1" si="5"/>
        <v>1</v>
      </c>
      <c r="Y26">
        <f t="shared" ca="1" si="6"/>
        <v>1977</v>
      </c>
      <c r="Z26">
        <f t="shared" ca="1" si="7"/>
        <v>3</v>
      </c>
      <c r="AA26">
        <f t="shared" ca="1" si="8"/>
        <v>8</v>
      </c>
      <c r="AB26">
        <f t="shared" ca="1" si="9"/>
        <v>43</v>
      </c>
    </row>
    <row r="27" spans="1:28" x14ac:dyDescent="0.25">
      <c r="A27">
        <v>26</v>
      </c>
      <c r="B27" t="str" cm="1">
        <f t="array" aca="1" ref="B27" ca="1">replaceChar(LOWER(LEFT(D27,3)&amp;RIGHT(I27,3))&amp;LEFT(H27,4))</f>
        <v>lauora2700</v>
      </c>
      <c r="C27" t="str">
        <f t="shared" ca="1" si="0"/>
        <v>pswlauora2700</v>
      </c>
      <c r="D27" t="str">
        <f ca="1">Nomes!T28</f>
        <v>Laura Leite</v>
      </c>
      <c r="E27" t="str">
        <f ca="1">Nomes!S28</f>
        <v>Feminino</v>
      </c>
      <c r="F27" s="2">
        <v>15060</v>
      </c>
      <c r="G27" t="str" cm="1">
        <f t="array" aca="1" ref="G27" ca="1">INDEX(rua_cod!$F:$F,RANDBETWEEN(2,COUNTA(rua_cod!F:F)))</f>
        <v>Rua da Prata</v>
      </c>
      <c r="H27" t="str" cm="1">
        <f t="array" aca="1" ref="H27" ca="1">INDEX(rua_cod!$A:$A,Users!V27) &amp; "-" &amp; TEXT(RANDBETWEEN(0,999),"000")</f>
        <v>2700-438</v>
      </c>
      <c r="I27" t="str" cm="1">
        <f t="array" aca="1" ref="I27" ca="1">INDEX(rua_cod!$B:$B,Users!V27)</f>
        <v>Amadora</v>
      </c>
      <c r="J27" t="s">
        <v>3727</v>
      </c>
      <c r="K27" t="s">
        <v>225</v>
      </c>
      <c r="L27" t="s">
        <v>265</v>
      </c>
      <c r="M27" t="str">
        <f t="shared" ca="1" si="1"/>
        <v>29631209</v>
      </c>
      <c r="N27" t="str">
        <f t="shared" ca="1" si="2"/>
        <v>592775942</v>
      </c>
      <c r="O27" t="str">
        <f t="shared" ca="1" si="2"/>
        <v>133111471</v>
      </c>
      <c r="P27" t="str" cm="1">
        <f t="array" aca="1" ref="P27" ca="1">9 &amp; INDEX($AF$3:$AF$6,W27)&amp; TEXT(RANDBETWEEN(0,9999999),"0000000")</f>
        <v>967495635</v>
      </c>
      <c r="Q27" t="str" cm="1">
        <f t="array" aca="1" ref="Q27" ca="1">LOWER(B27) &amp; INDEX($AF$9:$AF$11,X27)</f>
        <v>lauora2700@gmail.com</v>
      </c>
      <c r="R27" t="str">
        <f t="shared" ca="1" si="3"/>
        <v>lauora2700.jpg</v>
      </c>
      <c r="T27" s="4"/>
      <c r="V27">
        <f ca="1">RANDBETWEEN(2,COUNTA(rua_cod!A:A))</f>
        <v>10</v>
      </c>
      <c r="W27">
        <f t="shared" ca="1" si="4"/>
        <v>4</v>
      </c>
      <c r="X27">
        <f t="shared" ca="1" si="5"/>
        <v>2</v>
      </c>
      <c r="Y27">
        <f t="shared" ca="1" si="6"/>
        <v>1933</v>
      </c>
      <c r="Z27">
        <f t="shared" ca="1" si="7"/>
        <v>6</v>
      </c>
      <c r="AA27">
        <f t="shared" ca="1" si="8"/>
        <v>11</v>
      </c>
      <c r="AB27">
        <f t="shared" ca="1" si="9"/>
        <v>87</v>
      </c>
    </row>
    <row r="28" spans="1:28" x14ac:dyDescent="0.25">
      <c r="A28">
        <v>27</v>
      </c>
      <c r="B28" t="str" cm="1">
        <f t="array" aca="1" ref="B28" ca="1">replaceChar(LOWER(LEFT(D28,3)&amp;RIGHT(I28,3))&amp;LEFT(H28,4))</f>
        <v>fralos2775</v>
      </c>
      <c r="C28" t="str">
        <f t="shared" ca="1" si="0"/>
        <v>pswfralos2775</v>
      </c>
      <c r="D28" t="str">
        <f ca="1">Nomes!T29</f>
        <v>Francisca Oliveira</v>
      </c>
      <c r="E28" t="str">
        <f ca="1">Nomes!S29</f>
        <v>Feminino</v>
      </c>
      <c r="F28" s="2">
        <v>32317</v>
      </c>
      <c r="G28" t="str" cm="1">
        <f t="array" aca="1" ref="G28" ca="1">INDEX(rua_cod!$F:$F,RANDBETWEEN(2,COUNTA(rua_cod!F:F)))</f>
        <v>Rua da Prata</v>
      </c>
      <c r="H28" t="str" cm="1">
        <f t="array" aca="1" ref="H28" ca="1">INDEX(rua_cod!$A:$A,Users!V28) &amp; "-" &amp; TEXT(RANDBETWEEN(0,999),"000")</f>
        <v>2775-810</v>
      </c>
      <c r="I28" t="str" cm="1">
        <f t="array" aca="1" ref="I28" ca="1">INDEX(rua_cod!$B:$B,Users!V28)</f>
        <v>Carcavelos</v>
      </c>
      <c r="J28" t="s">
        <v>3727</v>
      </c>
      <c r="K28" t="s">
        <v>225</v>
      </c>
      <c r="L28" t="s">
        <v>265</v>
      </c>
      <c r="M28" t="str">
        <f t="shared" ca="1" si="1"/>
        <v>91026914</v>
      </c>
      <c r="N28" t="str">
        <f t="shared" ca="1" si="2"/>
        <v>856488594</v>
      </c>
      <c r="O28" t="str">
        <f t="shared" ca="1" si="2"/>
        <v>161488959</v>
      </c>
      <c r="P28" t="str" cm="1">
        <f t="array" aca="1" ref="P28" ca="1">9 &amp; INDEX($AF$3:$AF$6,W28)&amp; TEXT(RANDBETWEEN(0,9999999),"0000000")</f>
        <v>926351571</v>
      </c>
      <c r="Q28" t="str" cm="1">
        <f t="array" aca="1" ref="Q28" ca="1">LOWER(B28) &amp; INDEX($AF$9:$AF$11,X28)</f>
        <v>fralos2775@gmail.com</v>
      </c>
      <c r="R28" t="str">
        <f t="shared" ca="1" si="3"/>
        <v>fralos2775.jpg</v>
      </c>
      <c r="T28" s="4"/>
      <c r="V28">
        <f ca="1">RANDBETWEEN(2,COUNTA(rua_cod!A:A))</f>
        <v>20</v>
      </c>
      <c r="W28">
        <f t="shared" ca="1" si="4"/>
        <v>2</v>
      </c>
      <c r="X28">
        <f t="shared" ca="1" si="5"/>
        <v>2</v>
      </c>
      <c r="Y28">
        <f t="shared" ca="1" si="6"/>
        <v>1975</v>
      </c>
      <c r="Z28">
        <f t="shared" ca="1" si="7"/>
        <v>4</v>
      </c>
      <c r="AA28">
        <f t="shared" ca="1" si="8"/>
        <v>16</v>
      </c>
      <c r="AB28">
        <f t="shared" ca="1" si="9"/>
        <v>45</v>
      </c>
    </row>
    <row r="29" spans="1:28" x14ac:dyDescent="0.25">
      <c r="A29">
        <v>28</v>
      </c>
      <c r="B29" t="str" cm="1">
        <f t="array" aca="1" ref="B29" ca="1">replaceChar(LOWER(LEFT(D29,3)&amp;RIGHT(I29,3))&amp;LEFT(H29,4))</f>
        <v>sofboa1169</v>
      </c>
      <c r="C29" t="str">
        <f t="shared" ca="1" si="0"/>
        <v>pswsofboa1169</v>
      </c>
      <c r="D29" t="str">
        <f ca="1">Nomes!T30</f>
        <v>Sofia Barros</v>
      </c>
      <c r="E29" t="str">
        <f ca="1">Nomes!S30</f>
        <v>Feminino</v>
      </c>
      <c r="F29" s="2">
        <v>31298</v>
      </c>
      <c r="G29" t="str" cm="1">
        <f t="array" aca="1" ref="G29" ca="1">INDEX(rua_cod!$F:$F,RANDBETWEEN(2,COUNTA(rua_cod!F:F)))</f>
        <v>Rua dos Heróis de Quionga</v>
      </c>
      <c r="H29" t="str" cm="1">
        <f t="array" aca="1" ref="H29" ca="1">INDEX(rua_cod!$A:$A,Users!V29) &amp; "-" &amp; TEXT(RANDBETWEEN(0,999),"000")</f>
        <v>1169-745</v>
      </c>
      <c r="I29" t="str" cm="1">
        <f t="array" aca="1" ref="I29" ca="1">INDEX(rua_cod!$B:$B,Users!V29)</f>
        <v>Lisboa</v>
      </c>
      <c r="J29" t="s">
        <v>3727</v>
      </c>
      <c r="K29" t="s">
        <v>225</v>
      </c>
      <c r="L29" t="s">
        <v>265</v>
      </c>
      <c r="M29" t="str">
        <f t="shared" ca="1" si="1"/>
        <v>39112577</v>
      </c>
      <c r="N29" t="str">
        <f t="shared" ca="1" si="2"/>
        <v>204113328</v>
      </c>
      <c r="O29" t="str">
        <f t="shared" ca="1" si="2"/>
        <v>502763637</v>
      </c>
      <c r="P29" t="str" cm="1">
        <f t="array" aca="1" ref="P29" ca="1">9 &amp; INDEX($AF$3:$AF$6,W29)&amp; TEXT(RANDBETWEEN(0,9999999),"0000000")</f>
        <v>931836259</v>
      </c>
      <c r="Q29" t="str" cm="1">
        <f t="array" aca="1" ref="Q29" ca="1">LOWER(B29) &amp; INDEX($AF$9:$AF$11,X29)</f>
        <v>sofboa1169@sapo.pt</v>
      </c>
      <c r="R29" t="str">
        <f t="shared" ca="1" si="3"/>
        <v>sofboa1169.jpg</v>
      </c>
      <c r="T29" s="4"/>
      <c r="V29">
        <f ca="1">RANDBETWEEN(2,COUNTA(rua_cod!A:A))</f>
        <v>70</v>
      </c>
      <c r="W29">
        <f t="shared" ca="1" si="4"/>
        <v>3</v>
      </c>
      <c r="X29">
        <f t="shared" ca="1" si="5"/>
        <v>3</v>
      </c>
      <c r="Y29">
        <f t="shared" ca="1" si="6"/>
        <v>1985</v>
      </c>
      <c r="Z29">
        <f t="shared" ca="1" si="7"/>
        <v>6</v>
      </c>
      <c r="AA29">
        <f t="shared" ca="1" si="8"/>
        <v>22</v>
      </c>
      <c r="AB29">
        <f t="shared" ca="1" si="9"/>
        <v>35</v>
      </c>
    </row>
    <row r="30" spans="1:28" x14ac:dyDescent="0.25">
      <c r="A30">
        <v>29</v>
      </c>
      <c r="B30" t="str" cm="1">
        <f t="array" aca="1" ref="B30" ca="1">replaceChar(LOWER(LEFT(D30,3)&amp;RIGHT(I30,3))&amp;LEFT(H30,4))</f>
        <v>lurboa1998</v>
      </c>
      <c r="C30" t="str">
        <f t="shared" ca="1" si="0"/>
        <v>pswlurboa1998</v>
      </c>
      <c r="D30" t="str">
        <f ca="1">Nomes!T31</f>
        <v>Lurdes Fernandes</v>
      </c>
      <c r="E30" t="str">
        <f ca="1">Nomes!S31</f>
        <v>Feminino</v>
      </c>
      <c r="F30" s="2">
        <v>20622</v>
      </c>
      <c r="G30" t="str" cm="1">
        <f t="array" aca="1" ref="G30" ca="1">INDEX(rua_cod!$F:$F,RANDBETWEEN(2,COUNTA(rua_cod!F:F)))</f>
        <v>Rua do Instituto Bacteriológico</v>
      </c>
      <c r="H30" t="str" cm="1">
        <f t="array" aca="1" ref="H30" ca="1">INDEX(rua_cod!$A:$A,Users!V30) &amp; "-" &amp; TEXT(RANDBETWEEN(0,999),"000")</f>
        <v>1998-188</v>
      </c>
      <c r="I30" t="str" cm="1">
        <f t="array" aca="1" ref="I30" ca="1">INDEX(rua_cod!$B:$B,Users!V30)</f>
        <v>Lisboa</v>
      </c>
      <c r="J30" t="s">
        <v>3727</v>
      </c>
      <c r="K30" t="s">
        <v>225</v>
      </c>
      <c r="L30" t="s">
        <v>265</v>
      </c>
      <c r="M30" t="str">
        <f t="shared" ca="1" si="1"/>
        <v>16496445</v>
      </c>
      <c r="N30" t="str">
        <f t="shared" ca="1" si="2"/>
        <v>614879084</v>
      </c>
      <c r="O30" t="str">
        <f t="shared" ca="1" si="2"/>
        <v>288125966</v>
      </c>
      <c r="P30" t="str" cm="1">
        <f t="array" aca="1" ref="P30" ca="1">9 &amp; INDEX($AF$3:$AF$6,W30)&amp; TEXT(RANDBETWEEN(0,9999999),"0000000")</f>
        <v>931736694</v>
      </c>
      <c r="Q30" t="str" cm="1">
        <f t="array" aca="1" ref="Q30" ca="1">LOWER(B30) &amp; INDEX($AF$9:$AF$11,X30)</f>
        <v>lurboa1998@gmail.com</v>
      </c>
      <c r="R30" t="str">
        <f t="shared" ca="1" si="3"/>
        <v>lurboa1998.jpg</v>
      </c>
      <c r="T30" s="4"/>
      <c r="V30">
        <f ca="1">RANDBETWEEN(2,COUNTA(rua_cod!A:A))</f>
        <v>78</v>
      </c>
      <c r="W30">
        <f t="shared" ca="1" si="4"/>
        <v>3</v>
      </c>
      <c r="X30">
        <f t="shared" ca="1" si="5"/>
        <v>2</v>
      </c>
      <c r="Y30">
        <f t="shared" ca="1" si="6"/>
        <v>1992</v>
      </c>
      <c r="Z30">
        <f t="shared" ca="1" si="7"/>
        <v>5</v>
      </c>
      <c r="AA30">
        <f t="shared" ca="1" si="8"/>
        <v>12</v>
      </c>
      <c r="AB30">
        <f t="shared" ca="1" si="9"/>
        <v>28</v>
      </c>
    </row>
    <row r="31" spans="1:28" x14ac:dyDescent="0.25">
      <c r="A31">
        <v>30</v>
      </c>
      <c r="B31" t="str" cm="1">
        <f t="array" aca="1" ref="B31" ca="1">replaceChar(LOWER(LEFT(D31,3)&amp;RIGHT(I31,3))&amp;LEFT(H31,4))</f>
        <v>brurem2000</v>
      </c>
      <c r="C31" t="str">
        <f t="shared" ca="1" si="0"/>
        <v>pswbrurem2000</v>
      </c>
      <c r="D31" t="str">
        <f ca="1">Nomes!T32</f>
        <v>Bruno Miranda</v>
      </c>
      <c r="E31" t="str">
        <f ca="1">Nomes!S32</f>
        <v>Masculino</v>
      </c>
      <c r="F31" s="2">
        <v>15242</v>
      </c>
      <c r="G31" t="str" cm="1">
        <f t="array" aca="1" ref="G31" ca="1">INDEX(rua_cod!$F:$F,RANDBETWEEN(2,COUNTA(rua_cod!F:F)))</f>
        <v>Rua do Arsenal</v>
      </c>
      <c r="H31" t="str" cm="1">
        <f t="array" aca="1" ref="H31" ca="1">INDEX(rua_cod!$A:$A,Users!V31) &amp; "-" &amp; TEXT(RANDBETWEEN(0,999),"000")</f>
        <v>2000-850</v>
      </c>
      <c r="I31" t="str" cm="1">
        <f t="array" aca="1" ref="I31" ca="1">INDEX(rua_cod!$B:$B,Users!V31)</f>
        <v>Santarém</v>
      </c>
      <c r="J31" t="s">
        <v>3727</v>
      </c>
      <c r="K31" t="s">
        <v>225</v>
      </c>
      <c r="L31" t="s">
        <v>265</v>
      </c>
      <c r="M31" t="str">
        <f t="shared" ca="1" si="1"/>
        <v>38272555</v>
      </c>
      <c r="N31" t="str">
        <f t="shared" ca="1" si="2"/>
        <v>879767963</v>
      </c>
      <c r="O31" t="str">
        <f t="shared" ca="1" si="2"/>
        <v>973115659</v>
      </c>
      <c r="P31" t="str" cm="1">
        <f t="array" aca="1" ref="P31" ca="1">9 &amp; INDEX($AF$3:$AF$6,W31)&amp; TEXT(RANDBETWEEN(0,9999999),"0000000")</f>
        <v>932418893</v>
      </c>
      <c r="Q31" t="str" cm="1">
        <f t="array" aca="1" ref="Q31" ca="1">LOWER(B31) &amp; INDEX($AF$9:$AF$11,X31)</f>
        <v>brurem2000@gmail.com</v>
      </c>
      <c r="R31" t="str">
        <f t="shared" ca="1" si="3"/>
        <v>brurem2000.jpg</v>
      </c>
      <c r="T31" s="4"/>
      <c r="V31">
        <f ca="1">RANDBETWEEN(2,COUNTA(rua_cod!A:A))</f>
        <v>93</v>
      </c>
      <c r="W31">
        <f t="shared" ca="1" si="4"/>
        <v>3</v>
      </c>
      <c r="X31">
        <f t="shared" ca="1" si="5"/>
        <v>2</v>
      </c>
      <c r="Y31">
        <f t="shared" ca="1" si="6"/>
        <v>1981</v>
      </c>
      <c r="Z31">
        <f t="shared" ca="1" si="7"/>
        <v>1</v>
      </c>
      <c r="AA31">
        <f t="shared" ca="1" si="8"/>
        <v>9</v>
      </c>
      <c r="AB31">
        <f t="shared" ca="1" si="9"/>
        <v>39</v>
      </c>
    </row>
    <row r="32" spans="1:28" x14ac:dyDescent="0.25">
      <c r="A32">
        <v>31</v>
      </c>
      <c r="B32" t="str" cm="1">
        <f t="array" aca="1" ref="B32" ca="1">replaceChar(LOWER(LEFT(D32,3)&amp;RIGHT(I32,3))&amp;LEFT(H32,4))</f>
        <v>tiaada2814</v>
      </c>
      <c r="C32" t="str">
        <f t="shared" ca="1" si="0"/>
        <v>pswtiaada2814</v>
      </c>
      <c r="D32" t="str">
        <f ca="1">Nomes!T33</f>
        <v>Tiago Moreira</v>
      </c>
      <c r="E32" t="str">
        <f ca="1">Nomes!S33</f>
        <v>Masculino</v>
      </c>
      <c r="F32" s="2">
        <v>38538</v>
      </c>
      <c r="G32" t="str" cm="1">
        <f t="array" aca="1" ref="G32" ca="1">INDEX(rua_cod!$F:$F,RANDBETWEEN(2,COUNTA(rua_cod!F:F)))</f>
        <v>Rua dos Bacalhoeiros</v>
      </c>
      <c r="H32" t="str" cm="1">
        <f t="array" aca="1" ref="H32" ca="1">INDEX(rua_cod!$A:$A,Users!V32) &amp; "-" &amp; TEXT(RANDBETWEEN(0,999),"000")</f>
        <v>2814-513</v>
      </c>
      <c r="I32" t="str" cm="1">
        <f t="array" aca="1" ref="I32" ca="1">INDEX(rua_cod!$B:$B,Users!V32)</f>
        <v>Almada</v>
      </c>
      <c r="J32" t="s">
        <v>3727</v>
      </c>
      <c r="K32" t="s">
        <v>225</v>
      </c>
      <c r="L32" t="s">
        <v>265</v>
      </c>
      <c r="M32" t="str">
        <f t="shared" ca="1" si="1"/>
        <v>44460629</v>
      </c>
      <c r="N32" t="str">
        <f t="shared" ca="1" si="2"/>
        <v>661172208</v>
      </c>
      <c r="O32" t="str">
        <f t="shared" ca="1" si="2"/>
        <v>341230912</v>
      </c>
      <c r="P32" t="str" cm="1">
        <f t="array" aca="1" ref="P32" ca="1">9 &amp; INDEX($AF$3:$AF$6,W32)&amp; TEXT(RANDBETWEEN(0,9999999),"0000000")</f>
        <v>921801543</v>
      </c>
      <c r="Q32" t="str" cm="1">
        <f t="array" aca="1" ref="Q32" ca="1">LOWER(B32) &amp; INDEX($AF$9:$AF$11,X32)</f>
        <v>tiaada2814@outlook.com</v>
      </c>
      <c r="R32" t="str">
        <f t="shared" ca="1" si="3"/>
        <v>tiaada2814.jpg</v>
      </c>
      <c r="T32" s="4"/>
      <c r="V32">
        <f ca="1">RANDBETWEEN(2,COUNTA(rua_cod!A:A))</f>
        <v>6</v>
      </c>
      <c r="W32">
        <f t="shared" ca="1" si="4"/>
        <v>2</v>
      </c>
      <c r="X32">
        <f t="shared" ca="1" si="5"/>
        <v>1</v>
      </c>
      <c r="Y32">
        <f t="shared" ca="1" si="6"/>
        <v>1964</v>
      </c>
      <c r="Z32">
        <f t="shared" ca="1" si="7"/>
        <v>12</v>
      </c>
      <c r="AA32">
        <f t="shared" ca="1" si="8"/>
        <v>4</v>
      </c>
      <c r="AB32">
        <f t="shared" ca="1" si="9"/>
        <v>56</v>
      </c>
    </row>
    <row r="33" spans="1:28" x14ac:dyDescent="0.25">
      <c r="A33">
        <v>32</v>
      </c>
      <c r="B33" t="str" cm="1">
        <f t="array" aca="1" ref="B33" ca="1">replaceChar(LOWER(LEFT(D33,3)&amp;RIGHT(I33,3))&amp;LEFT(H33,4))</f>
        <v>sarboa1849</v>
      </c>
      <c r="C33" t="str">
        <f t="shared" ca="1" si="0"/>
        <v>pswsarboa1849</v>
      </c>
      <c r="D33" t="str">
        <f ca="1">Nomes!T34</f>
        <v>Sara Cardoso</v>
      </c>
      <c r="E33" t="str">
        <f ca="1">Nomes!S34</f>
        <v>Feminino</v>
      </c>
      <c r="F33" s="2">
        <v>22147</v>
      </c>
      <c r="G33" t="str" cm="1">
        <f t="array" aca="1" ref="G33" ca="1">INDEX(rua_cod!$F:$F,RANDBETWEEN(2,COUNTA(rua_cod!F:F)))</f>
        <v>Rua do Sol a Santana</v>
      </c>
      <c r="H33" t="str" cm="1">
        <f t="array" aca="1" ref="H33" ca="1">INDEX(rua_cod!$A:$A,Users!V33) &amp; "-" &amp; TEXT(RANDBETWEEN(0,999),"000")</f>
        <v>1849-873</v>
      </c>
      <c r="I33" t="str" cm="1">
        <f t="array" aca="1" ref="I33" ca="1">INDEX(rua_cod!$B:$B,Users!V33)</f>
        <v>Lisboa</v>
      </c>
      <c r="J33" t="s">
        <v>3727</v>
      </c>
      <c r="K33" t="s">
        <v>225</v>
      </c>
      <c r="L33" t="s">
        <v>265</v>
      </c>
      <c r="M33" t="str">
        <f t="shared" ca="1" si="1"/>
        <v>47563867</v>
      </c>
      <c r="N33" t="str">
        <f t="shared" ca="1" si="2"/>
        <v>499323055</v>
      </c>
      <c r="O33" t="str">
        <f t="shared" ca="1" si="2"/>
        <v>890603645</v>
      </c>
      <c r="P33" t="str" cm="1">
        <f t="array" aca="1" ref="P33" ca="1">9 &amp; INDEX($AF$3:$AF$6,W33)&amp; TEXT(RANDBETWEEN(0,9999999),"0000000")</f>
        <v>923518344</v>
      </c>
      <c r="Q33" t="str" cm="1">
        <f t="array" aca="1" ref="Q33" ca="1">LOWER(B33) &amp; INDEX($AF$9:$AF$11,X33)</f>
        <v>sarboa1849@gmail.com</v>
      </c>
      <c r="R33" t="str">
        <f t="shared" ca="1" si="3"/>
        <v>sarboa1849.jpg</v>
      </c>
      <c r="T33" s="4"/>
      <c r="V33">
        <f ca="1">RANDBETWEEN(2,COUNTA(rua_cod!A:A))</f>
        <v>64</v>
      </c>
      <c r="W33">
        <f t="shared" ca="1" si="4"/>
        <v>2</v>
      </c>
      <c r="X33">
        <f t="shared" ca="1" si="5"/>
        <v>2</v>
      </c>
      <c r="Y33">
        <f t="shared" ca="1" si="6"/>
        <v>1996</v>
      </c>
      <c r="Z33">
        <f t="shared" ca="1" si="7"/>
        <v>5</v>
      </c>
      <c r="AA33">
        <f t="shared" ca="1" si="8"/>
        <v>5</v>
      </c>
      <c r="AB33">
        <f t="shared" ca="1" si="9"/>
        <v>24</v>
      </c>
    </row>
    <row r="34" spans="1:28" x14ac:dyDescent="0.25">
      <c r="A34">
        <v>33</v>
      </c>
      <c r="B34" t="str" cm="1">
        <f t="array" aca="1" ref="B34" ca="1">replaceChar(LOWER(LEFT(D34,3)&amp;RIGHT(I34,3))&amp;LEFT(H34,4))</f>
        <v>anaora2724</v>
      </c>
      <c r="C34" t="str">
        <f t="shared" ca="1" si="0"/>
        <v>pswanaora2724</v>
      </c>
      <c r="D34" t="str">
        <f ca="1">Nomes!T35</f>
        <v>Ana Abreu Fonseca</v>
      </c>
      <c r="E34" t="str">
        <f ca="1">Nomes!S35</f>
        <v>Feminino</v>
      </c>
      <c r="F34" s="2">
        <v>26345</v>
      </c>
      <c r="G34" t="str" cm="1">
        <f t="array" aca="1" ref="G34" ca="1">INDEX(rua_cod!$F:$F,RANDBETWEEN(2,COUNTA(rua_cod!F:F)))</f>
        <v>Calçada Marquês de Abrantes</v>
      </c>
      <c r="H34" t="str" cm="1">
        <f t="array" aca="1" ref="H34" ca="1">INDEX(rua_cod!$A:$A,Users!V34) &amp; "-" &amp; TEXT(RANDBETWEEN(0,999),"000")</f>
        <v>2724-237</v>
      </c>
      <c r="I34" t="str" cm="1">
        <f t="array" aca="1" ref="I34" ca="1">INDEX(rua_cod!$B:$B,Users!V34)</f>
        <v>Amadora</v>
      </c>
      <c r="J34" t="s">
        <v>3727</v>
      </c>
      <c r="K34" t="s">
        <v>225</v>
      </c>
      <c r="L34" t="s">
        <v>265</v>
      </c>
      <c r="M34" t="str">
        <f t="shared" ca="1" si="1"/>
        <v>43777519</v>
      </c>
      <c r="N34" t="str">
        <f t="shared" ca="1" si="2"/>
        <v>627810005</v>
      </c>
      <c r="O34" t="str">
        <f t="shared" ca="1" si="2"/>
        <v>220388114</v>
      </c>
      <c r="P34" t="str" cm="1">
        <f t="array" aca="1" ref="P34" ca="1">9 &amp; INDEX($AF$3:$AF$6,W34)&amp; TEXT(RANDBETWEEN(0,9999999),"0000000")</f>
        <v>929170449</v>
      </c>
      <c r="Q34" t="str" cm="1">
        <f t="array" aca="1" ref="Q34" ca="1">LOWER(B34) &amp; INDEX($AF$9:$AF$11,X34)</f>
        <v>anaora2724@sapo.pt</v>
      </c>
      <c r="R34" t="str">
        <f t="shared" ca="1" si="3"/>
        <v>anaora2724.jpg</v>
      </c>
      <c r="T34" s="4"/>
      <c r="V34">
        <f ca="1">RANDBETWEEN(2,COUNTA(rua_cod!A:A))</f>
        <v>13</v>
      </c>
      <c r="W34">
        <f t="shared" ca="1" si="4"/>
        <v>2</v>
      </c>
      <c r="X34">
        <f t="shared" ca="1" si="5"/>
        <v>3</v>
      </c>
      <c r="Y34">
        <f t="shared" ca="1" si="6"/>
        <v>1952</v>
      </c>
      <c r="Z34">
        <f t="shared" ca="1" si="7"/>
        <v>2</v>
      </c>
      <c r="AA34">
        <f t="shared" ca="1" si="8"/>
        <v>22</v>
      </c>
      <c r="AB34">
        <f t="shared" ca="1" si="9"/>
        <v>68</v>
      </c>
    </row>
    <row r="35" spans="1:28" x14ac:dyDescent="0.25">
      <c r="A35">
        <v>34</v>
      </c>
      <c r="B35" t="str" cm="1">
        <f t="array" aca="1" ref="B35" ca="1">replaceChar(LOWER(LEFT(D35,3)&amp;RIGHT(I35,3))&amp;LEFT(H35,4))</f>
        <v>danmar2300</v>
      </c>
      <c r="C35" t="str">
        <f t="shared" ca="1" si="0"/>
        <v>pswdanmar2300</v>
      </c>
      <c r="D35" t="str">
        <f ca="1">Nomes!T36</f>
        <v>Daniela Torres Matias</v>
      </c>
      <c r="E35" t="str">
        <f ca="1">Nomes!S36</f>
        <v>Feminino</v>
      </c>
      <c r="F35" s="2">
        <v>24701</v>
      </c>
      <c r="G35" t="str" cm="1">
        <f t="array" aca="1" ref="G35" ca="1">INDEX(rua_cod!$F:$F,RANDBETWEEN(2,COUNTA(rua_cod!F:F)))</f>
        <v>Estrada Militar</v>
      </c>
      <c r="H35" t="str" cm="1">
        <f t="array" aca="1" ref="H35" ca="1">INDEX(rua_cod!$A:$A,Users!V35) &amp; "-" &amp; TEXT(RANDBETWEEN(0,999),"000")</f>
        <v>2300-725</v>
      </c>
      <c r="I35" t="str" cm="1">
        <f t="array" aca="1" ref="I35" ca="1">INDEX(rua_cod!$B:$B,Users!V35)</f>
        <v>Tomar</v>
      </c>
      <c r="J35" t="s">
        <v>3727</v>
      </c>
      <c r="K35" t="s">
        <v>225</v>
      </c>
      <c r="L35" t="s">
        <v>265</v>
      </c>
      <c r="M35" t="str">
        <f t="shared" ca="1" si="1"/>
        <v>84075822</v>
      </c>
      <c r="N35" t="str">
        <f t="shared" ca="1" si="2"/>
        <v>935792803</v>
      </c>
      <c r="O35" t="str">
        <f t="shared" ca="1" si="2"/>
        <v>640460828</v>
      </c>
      <c r="P35" t="str" cm="1">
        <f t="array" aca="1" ref="P35" ca="1">9 &amp; INDEX($AF$3:$AF$6,W35)&amp; TEXT(RANDBETWEEN(0,9999999),"0000000")</f>
        <v>938426348</v>
      </c>
      <c r="Q35" t="str" cm="1">
        <f t="array" aca="1" ref="Q35" ca="1">LOWER(B35) &amp; INDEX($AF$9:$AF$11,X35)</f>
        <v>danmar2300@sapo.pt</v>
      </c>
      <c r="R35" t="str">
        <f t="shared" ca="1" si="3"/>
        <v>danmar2300.jpg</v>
      </c>
      <c r="T35" s="4"/>
      <c r="V35">
        <f ca="1">RANDBETWEEN(2,COUNTA(rua_cod!A:A))</f>
        <v>102</v>
      </c>
      <c r="W35">
        <f t="shared" ca="1" si="4"/>
        <v>3</v>
      </c>
      <c r="X35">
        <f t="shared" ca="1" si="5"/>
        <v>3</v>
      </c>
      <c r="Y35">
        <f t="shared" ca="1" si="6"/>
        <v>2030</v>
      </c>
      <c r="Z35">
        <f t="shared" ca="1" si="7"/>
        <v>10</v>
      </c>
      <c r="AA35">
        <f t="shared" ca="1" si="8"/>
        <v>4</v>
      </c>
      <c r="AB35">
        <f t="shared" ca="1" si="9"/>
        <v>-10</v>
      </c>
    </row>
    <row r="36" spans="1:28" x14ac:dyDescent="0.25">
      <c r="A36">
        <v>35</v>
      </c>
      <c r="B36" t="str" cm="1">
        <f t="array" aca="1" ref="B36" ca="1">replaceChar(LOWER(LEFT(D36,3)&amp;RIGHT(I36,3))&amp;LEFT(H36,4))</f>
        <v>pedada2805</v>
      </c>
      <c r="C36" t="str">
        <f t="shared" ca="1" si="0"/>
        <v>pswpedada2805</v>
      </c>
      <c r="D36" t="str">
        <f ca="1">Nomes!T37</f>
        <v>Pedro Barros Domingues</v>
      </c>
      <c r="E36" t="str">
        <f ca="1">Nomes!S37</f>
        <v>Masculino</v>
      </c>
      <c r="F36" s="2">
        <v>36840</v>
      </c>
      <c r="G36" t="str" cm="1">
        <f t="array" aca="1" ref="G36" ca="1">INDEX(rua_cod!$F:$F,RANDBETWEEN(2,COUNTA(rua_cod!F:F)))</f>
        <v>Rua Garrett</v>
      </c>
      <c r="H36" t="str" cm="1">
        <f t="array" aca="1" ref="H36" ca="1">INDEX(rua_cod!$A:$A,Users!V36) &amp; "-" &amp; TEXT(RANDBETWEEN(0,999),"000")</f>
        <v>2805-550</v>
      </c>
      <c r="I36" t="str" cm="1">
        <f t="array" aca="1" ref="I36" ca="1">INDEX(rua_cod!$B:$B,Users!V36)</f>
        <v>Almada</v>
      </c>
      <c r="J36" t="s">
        <v>3727</v>
      </c>
      <c r="K36" t="s">
        <v>225</v>
      </c>
      <c r="L36" t="s">
        <v>265</v>
      </c>
      <c r="M36" t="str">
        <f t="shared" ca="1" si="1"/>
        <v>86190528</v>
      </c>
      <c r="N36" t="str">
        <f t="shared" ca="1" si="2"/>
        <v>511486649</v>
      </c>
      <c r="O36" t="str">
        <f t="shared" ca="1" si="2"/>
        <v>793241550</v>
      </c>
      <c r="P36" t="str" cm="1">
        <f t="array" aca="1" ref="P36" ca="1">9 &amp; INDEX($AF$3:$AF$6,W36)&amp; TEXT(RANDBETWEEN(0,9999999),"0000000")</f>
        <v>930604157</v>
      </c>
      <c r="Q36" t="str" cm="1">
        <f t="array" aca="1" ref="Q36" ca="1">LOWER(B36) &amp; INDEX($AF$9:$AF$11,X36)</f>
        <v>pedada2805@gmail.com</v>
      </c>
      <c r="R36" t="str">
        <f t="shared" ca="1" si="3"/>
        <v>pedada2805.jpg</v>
      </c>
      <c r="T36" s="4"/>
      <c r="V36">
        <f ca="1">RANDBETWEEN(2,COUNTA(rua_cod!A:A))</f>
        <v>4</v>
      </c>
      <c r="W36">
        <f t="shared" ca="1" si="4"/>
        <v>3</v>
      </c>
      <c r="X36">
        <f t="shared" ca="1" si="5"/>
        <v>2</v>
      </c>
      <c r="Y36">
        <f t="shared" ca="1" si="6"/>
        <v>2020</v>
      </c>
      <c r="Z36">
        <f t="shared" ca="1" si="7"/>
        <v>9</v>
      </c>
      <c r="AA36">
        <f t="shared" ca="1" si="8"/>
        <v>2</v>
      </c>
      <c r="AB36">
        <f t="shared" ca="1" si="9"/>
        <v>0</v>
      </c>
    </row>
    <row r="37" spans="1:28" x14ac:dyDescent="0.25">
      <c r="A37">
        <v>36</v>
      </c>
      <c r="B37" t="str" cm="1">
        <f t="array" aca="1" ref="B37" ca="1">replaceChar(LOWER(LEFT(D37,3)&amp;RIGHT(I37,3))&amp;LEFT(H37,4))</f>
        <v>rodfra2640</v>
      </c>
      <c r="C37" t="str">
        <f t="shared" ca="1" si="0"/>
        <v>pswrodfra2640</v>
      </c>
      <c r="D37" t="str">
        <f ca="1">Nomes!T38</f>
        <v>Rodrigo Gonçalves Costa</v>
      </c>
      <c r="E37" t="str">
        <f ca="1">Nomes!S38</f>
        <v>Masculino</v>
      </c>
      <c r="F37" s="2">
        <v>40951</v>
      </c>
      <c r="G37" t="str" cm="1">
        <f t="array" aca="1" ref="G37" ca="1">INDEX(rua_cod!$F:$F,RANDBETWEEN(2,COUNTA(rua_cod!F:F)))</f>
        <v>Calçada de Carriche</v>
      </c>
      <c r="H37" t="str" cm="1">
        <f t="array" aca="1" ref="H37" ca="1">INDEX(rua_cod!$A:$A,Users!V37) &amp; "-" &amp; TEXT(RANDBETWEEN(0,999),"000")</f>
        <v>2640-018</v>
      </c>
      <c r="I37" t="str" cm="1">
        <f t="array" aca="1" ref="I37" ca="1">INDEX(rua_cod!$B:$B,Users!V37)</f>
        <v>Mafra</v>
      </c>
      <c r="J37" t="s">
        <v>3727</v>
      </c>
      <c r="K37" t="s">
        <v>225</v>
      </c>
      <c r="L37" t="s">
        <v>265</v>
      </c>
      <c r="M37" t="str">
        <f t="shared" ca="1" si="1"/>
        <v>43005255</v>
      </c>
      <c r="N37" t="str">
        <f t="shared" ca="1" si="2"/>
        <v>314374310</v>
      </c>
      <c r="O37" t="str">
        <f t="shared" ca="1" si="2"/>
        <v>864552902</v>
      </c>
      <c r="P37" t="str" cm="1">
        <f t="array" aca="1" ref="P37" ca="1">9 &amp; INDEX($AF$3:$AF$6,W37)&amp; TEXT(RANDBETWEEN(0,9999999),"0000000")</f>
        <v>936299447</v>
      </c>
      <c r="Q37" t="str" cm="1">
        <f t="array" aca="1" ref="Q37" ca="1">LOWER(B37) &amp; INDEX($AF$9:$AF$11,X37)</f>
        <v>rodfra2640@gmail.com</v>
      </c>
      <c r="R37" t="str">
        <f t="shared" ca="1" si="3"/>
        <v>rodfra2640.jpg</v>
      </c>
      <c r="T37" s="4"/>
      <c r="V37">
        <f ca="1">RANDBETWEEN(2,COUNTA(rua_cod!A:A))</f>
        <v>85</v>
      </c>
      <c r="W37">
        <f t="shared" ca="1" si="4"/>
        <v>3</v>
      </c>
      <c r="X37">
        <f t="shared" ca="1" si="5"/>
        <v>2</v>
      </c>
      <c r="Y37">
        <f t="shared" ca="1" si="6"/>
        <v>2002</v>
      </c>
      <c r="Z37">
        <f t="shared" ca="1" si="7"/>
        <v>1</v>
      </c>
      <c r="AA37">
        <f t="shared" ca="1" si="8"/>
        <v>24</v>
      </c>
      <c r="AB37">
        <f t="shared" ca="1" si="9"/>
        <v>18</v>
      </c>
    </row>
    <row r="38" spans="1:28" x14ac:dyDescent="0.25">
      <c r="A38">
        <v>37</v>
      </c>
      <c r="B38" t="str" cm="1">
        <f t="array" aca="1" ref="B38" ca="1">replaceChar(LOWER(LEFT(D38,3)&amp;RIGHT(I38,3))&amp;LEFT(H38,4))</f>
        <v>duaboa1749</v>
      </c>
      <c r="C38" t="str">
        <f t="shared" ca="1" si="0"/>
        <v>pswduaboa1749</v>
      </c>
      <c r="D38" t="str">
        <f ca="1">Nomes!T39</f>
        <v>Duarte Gonçalves Paiva</v>
      </c>
      <c r="E38" t="str">
        <f ca="1">Nomes!S39</f>
        <v>Masculino</v>
      </c>
      <c r="F38" s="2">
        <v>43838</v>
      </c>
      <c r="G38" t="str" cm="1">
        <f t="array" aca="1" ref="G38" ca="1">INDEX(rua_cod!$F:$F,RANDBETWEEN(2,COUNTA(rua_cod!F:F)))</f>
        <v>Rua do Instituto Bacteriológico</v>
      </c>
      <c r="H38" t="str" cm="1">
        <f t="array" aca="1" ref="H38" ca="1">INDEX(rua_cod!$A:$A,Users!V38) &amp; "-" &amp; TEXT(RANDBETWEEN(0,999),"000")</f>
        <v>1749-123</v>
      </c>
      <c r="I38" t="str" cm="1">
        <f t="array" aca="1" ref="I38" ca="1">INDEX(rua_cod!$B:$B,Users!V38)</f>
        <v>Lisboa</v>
      </c>
      <c r="J38" t="s">
        <v>3727</v>
      </c>
      <c r="K38" t="s">
        <v>225</v>
      </c>
      <c r="L38" t="s">
        <v>265</v>
      </c>
      <c r="M38" t="str">
        <f t="shared" ca="1" si="1"/>
        <v>37498346</v>
      </c>
      <c r="N38" t="str">
        <f t="shared" ca="1" si="2"/>
        <v>167062284</v>
      </c>
      <c r="O38" t="str">
        <f t="shared" ca="1" si="2"/>
        <v>628106497</v>
      </c>
      <c r="P38" t="str" cm="1">
        <f t="array" aca="1" ref="P38" ca="1">9 &amp; INDEX($AF$3:$AF$6,W38)&amp; TEXT(RANDBETWEEN(0,9999999),"0000000")</f>
        <v>926974525</v>
      </c>
      <c r="Q38" t="str" cm="1">
        <f t="array" aca="1" ref="Q38" ca="1">LOWER(B38) &amp; INDEX($AF$9:$AF$11,X38)</f>
        <v>duaboa1749@outlook.com</v>
      </c>
      <c r="R38" t="str">
        <f t="shared" ca="1" si="3"/>
        <v>duaboa1749.jpg</v>
      </c>
      <c r="T38" s="4"/>
      <c r="V38">
        <f ca="1">RANDBETWEEN(2,COUNTA(rua_cod!A:A))</f>
        <v>61</v>
      </c>
      <c r="W38">
        <f t="shared" ca="1" si="4"/>
        <v>2</v>
      </c>
      <c r="X38">
        <f t="shared" ca="1" si="5"/>
        <v>1</v>
      </c>
      <c r="Y38">
        <f t="shared" ca="1" si="6"/>
        <v>1959</v>
      </c>
      <c r="Z38">
        <f t="shared" ca="1" si="7"/>
        <v>11</v>
      </c>
      <c r="AA38">
        <f t="shared" ca="1" si="8"/>
        <v>12</v>
      </c>
      <c r="AB38">
        <f t="shared" ca="1" si="9"/>
        <v>61</v>
      </c>
    </row>
    <row r="39" spans="1:28" x14ac:dyDescent="0.25">
      <c r="A39">
        <v>38</v>
      </c>
      <c r="B39" t="str" cm="1">
        <f t="array" aca="1" ref="B39" ca="1">replaceChar(LOWER(LEFT(D39,3)&amp;RIGHT(I39,3))&amp;LEFT(H39,4))</f>
        <v>carboa1700</v>
      </c>
      <c r="C39" t="str">
        <f t="shared" ca="1" si="0"/>
        <v>pswcarboa1700</v>
      </c>
      <c r="D39" t="str">
        <f ca="1">Nomes!T40</f>
        <v>Carolina Faria Loureiro</v>
      </c>
      <c r="E39" t="str">
        <f ca="1">Nomes!S40</f>
        <v>Feminino</v>
      </c>
      <c r="F39" s="2">
        <v>13937</v>
      </c>
      <c r="G39" t="str" cm="1">
        <f t="array" aca="1" ref="G39" ca="1">INDEX(rua_cod!$F:$F,RANDBETWEEN(2,COUNTA(rua_cod!F:F)))</f>
        <v>Rua do Salitre</v>
      </c>
      <c r="H39" t="str" cm="1">
        <f t="array" aca="1" ref="H39" ca="1">INDEX(rua_cod!$A:$A,Users!V39) &amp; "-" &amp; TEXT(RANDBETWEEN(0,999),"000")</f>
        <v>1700-078</v>
      </c>
      <c r="I39" t="str" cm="1">
        <f t="array" aca="1" ref="I39" ca="1">INDEX(rua_cod!$B:$B,Users!V39)</f>
        <v>Lisboa</v>
      </c>
      <c r="J39" t="s">
        <v>3727</v>
      </c>
      <c r="K39" t="s">
        <v>225</v>
      </c>
      <c r="L39" t="s">
        <v>265</v>
      </c>
      <c r="M39" t="str">
        <f t="shared" ca="1" si="1"/>
        <v>42298062</v>
      </c>
      <c r="N39" t="str">
        <f t="shared" ca="1" si="2"/>
        <v>500351534</v>
      </c>
      <c r="O39" t="str">
        <f t="shared" ca="1" si="2"/>
        <v>914192393</v>
      </c>
      <c r="P39" t="str" cm="1">
        <f t="array" aca="1" ref="P39" ca="1">9 &amp; INDEX($AF$3:$AF$6,W39)&amp; TEXT(RANDBETWEEN(0,9999999),"0000000")</f>
        <v>931894493</v>
      </c>
      <c r="Q39" t="str" cm="1">
        <f t="array" aca="1" ref="Q39" ca="1">LOWER(B39) &amp; INDEX($AF$9:$AF$11,X39)</f>
        <v>carboa1700@outlook.com</v>
      </c>
      <c r="R39" t="str">
        <f t="shared" ca="1" si="3"/>
        <v>carboa1700.jpg</v>
      </c>
      <c r="T39" s="4"/>
      <c r="V39">
        <f ca="1">RANDBETWEEN(2,COUNTA(rua_cod!A:A))</f>
        <v>40</v>
      </c>
      <c r="W39">
        <f t="shared" ca="1" si="4"/>
        <v>3</v>
      </c>
      <c r="X39">
        <f t="shared" ca="1" si="5"/>
        <v>1</v>
      </c>
      <c r="Y39">
        <f t="shared" ca="1" si="6"/>
        <v>1951</v>
      </c>
      <c r="Z39">
        <f t="shared" ca="1" si="7"/>
        <v>5</v>
      </c>
      <c r="AA39">
        <f t="shared" ca="1" si="8"/>
        <v>24</v>
      </c>
      <c r="AB39">
        <f t="shared" ca="1" si="9"/>
        <v>69</v>
      </c>
    </row>
    <row r="40" spans="1:28" x14ac:dyDescent="0.25">
      <c r="A40">
        <v>39</v>
      </c>
      <c r="B40" t="str" cm="1">
        <f t="array" aca="1" ref="B40" ca="1">replaceChar(LOWER(LEFT(D40,3)&amp;RIGHT(I40,3))&amp;LEFT(H40,4))</f>
        <v>marada2809</v>
      </c>
      <c r="C40" t="str">
        <f t="shared" ca="1" si="0"/>
        <v>pswmarada2809</v>
      </c>
      <c r="D40" t="str">
        <f ca="1">Nomes!T41</f>
        <v>Martim Simões Branco</v>
      </c>
      <c r="E40" t="str">
        <f ca="1">Nomes!S41</f>
        <v>Masculino</v>
      </c>
      <c r="F40" s="2">
        <v>32387</v>
      </c>
      <c r="G40" t="str" cm="1">
        <f t="array" aca="1" ref="G40" ca="1">INDEX(rua_cod!$F:$F,RANDBETWEEN(2,COUNTA(rua_cod!F:F)))</f>
        <v>Rua do Instituto Bacteriológico</v>
      </c>
      <c r="H40" t="str" cm="1">
        <f t="array" aca="1" ref="H40" ca="1">INDEX(rua_cod!$A:$A,Users!V40) &amp; "-" &amp; TEXT(RANDBETWEEN(0,999),"000")</f>
        <v>2809-407</v>
      </c>
      <c r="I40" t="str" cm="1">
        <f t="array" aca="1" ref="I40" ca="1">INDEX(rua_cod!$B:$B,Users!V40)</f>
        <v>Almada</v>
      </c>
      <c r="J40" t="s">
        <v>3727</v>
      </c>
      <c r="K40" t="s">
        <v>225</v>
      </c>
      <c r="L40" t="s">
        <v>265</v>
      </c>
      <c r="M40" t="str">
        <f t="shared" ca="1" si="1"/>
        <v>19223247</v>
      </c>
      <c r="N40" t="str">
        <f t="shared" ca="1" si="2"/>
        <v>352432894</v>
      </c>
      <c r="O40" t="str">
        <f t="shared" ca="1" si="2"/>
        <v>954521870</v>
      </c>
      <c r="P40" t="str" cm="1">
        <f t="array" aca="1" ref="P40" ca="1">9 &amp; INDEX($AF$3:$AF$6,W40)&amp; TEXT(RANDBETWEEN(0,9999999),"0000000")</f>
        <v>932704389</v>
      </c>
      <c r="Q40" t="str" cm="1">
        <f t="array" aca="1" ref="Q40" ca="1">LOWER(B40) &amp; INDEX($AF$9:$AF$11,X40)</f>
        <v>marada2809@gmail.com</v>
      </c>
      <c r="R40" t="str">
        <f t="shared" ca="1" si="3"/>
        <v>marada2809.jpg</v>
      </c>
      <c r="T40" s="4"/>
      <c r="V40">
        <f ca="1">RANDBETWEEN(2,COUNTA(rua_cod!A:A))</f>
        <v>5</v>
      </c>
      <c r="W40">
        <f t="shared" ca="1" si="4"/>
        <v>3</v>
      </c>
      <c r="X40">
        <f t="shared" ca="1" si="5"/>
        <v>2</v>
      </c>
      <c r="Y40">
        <f t="shared" ca="1" si="6"/>
        <v>1982</v>
      </c>
      <c r="Z40">
        <f t="shared" ca="1" si="7"/>
        <v>10</v>
      </c>
      <c r="AA40">
        <f t="shared" ca="1" si="8"/>
        <v>29</v>
      </c>
      <c r="AB40">
        <f t="shared" ca="1" si="9"/>
        <v>38</v>
      </c>
    </row>
    <row r="41" spans="1:28" x14ac:dyDescent="0.25">
      <c r="A41">
        <v>40</v>
      </c>
      <c r="B41" t="str" cm="1">
        <f t="array" aca="1" ref="B41" ca="1">replaceChar(LOWER(LEFT(D41,3)&amp;RIGHT(I41,3))&amp;LEFT(H41,4))</f>
        <v>dioada2814</v>
      </c>
      <c r="C41" t="str">
        <f t="shared" ca="1" si="0"/>
        <v>pswdioada2814</v>
      </c>
      <c r="D41" t="str">
        <f ca="1">Nomes!T42</f>
        <v>Diogo Mendes Rocha</v>
      </c>
      <c r="E41" t="str">
        <f ca="1">Nomes!S42</f>
        <v>Masculino</v>
      </c>
      <c r="F41" s="2">
        <v>10615</v>
      </c>
      <c r="G41" t="str" cm="1">
        <f t="array" aca="1" ref="G41" ca="1">INDEX(rua_cod!$F:$F,RANDBETWEEN(2,COUNTA(rua_cod!F:F)))</f>
        <v>Rua do Carmo</v>
      </c>
      <c r="H41" t="str" cm="1">
        <f t="array" aca="1" ref="H41" ca="1">INDEX(rua_cod!$A:$A,Users!V41) &amp; "-" &amp; TEXT(RANDBETWEEN(0,999),"000")</f>
        <v>2814-432</v>
      </c>
      <c r="I41" t="str" cm="1">
        <f t="array" aca="1" ref="I41" ca="1">INDEX(rua_cod!$B:$B,Users!V41)</f>
        <v>Almada</v>
      </c>
      <c r="J41" t="s">
        <v>3727</v>
      </c>
      <c r="K41" t="s">
        <v>225</v>
      </c>
      <c r="L41" t="s">
        <v>265</v>
      </c>
      <c r="M41" t="str">
        <f t="shared" ca="1" si="1"/>
        <v>70291667</v>
      </c>
      <c r="N41" t="str">
        <f t="shared" ca="1" si="2"/>
        <v>471110669</v>
      </c>
      <c r="O41" t="str">
        <f t="shared" ca="1" si="2"/>
        <v>304465083</v>
      </c>
      <c r="P41" t="str" cm="1">
        <f t="array" aca="1" ref="P41" ca="1">9 &amp; INDEX($AF$3:$AF$6,W41)&amp; TEXT(RANDBETWEEN(0,9999999),"0000000")</f>
        <v>962089321</v>
      </c>
      <c r="Q41" t="str" cm="1">
        <f t="array" aca="1" ref="Q41" ca="1">LOWER(B41) &amp; INDEX($AF$9:$AF$11,X41)</f>
        <v>dioada2814@gmail.com</v>
      </c>
      <c r="R41" t="str">
        <f t="shared" ca="1" si="3"/>
        <v>dioada2814.jpg</v>
      </c>
      <c r="T41" s="4"/>
      <c r="V41">
        <f ca="1">RANDBETWEEN(2,COUNTA(rua_cod!A:A))</f>
        <v>6</v>
      </c>
      <c r="W41">
        <f t="shared" ca="1" si="4"/>
        <v>4</v>
      </c>
      <c r="X41">
        <f t="shared" ca="1" si="5"/>
        <v>2</v>
      </c>
      <c r="Y41">
        <f t="shared" ca="1" si="6"/>
        <v>1956</v>
      </c>
      <c r="Z41">
        <f t="shared" ca="1" si="7"/>
        <v>3</v>
      </c>
      <c r="AA41">
        <f t="shared" ca="1" si="8"/>
        <v>3</v>
      </c>
      <c r="AB41">
        <f t="shared" ca="1" si="9"/>
        <v>64</v>
      </c>
    </row>
    <row r="42" spans="1:28" x14ac:dyDescent="0.25">
      <c r="A42">
        <v>41</v>
      </c>
      <c r="B42" t="str" cm="1">
        <f t="array" aca="1" ref="B42" ca="1">replaceChar(LOWER(LEFT(D42,3)&amp;RIGHT(I42,3))&amp;LEFT(H42,4))</f>
        <v>marboa1950</v>
      </c>
      <c r="C42" t="str">
        <f t="shared" ca="1" si="0"/>
        <v>pswmarboa1950</v>
      </c>
      <c r="D42" t="str">
        <f ca="1">Nomes!T43</f>
        <v>Martim Leal Sousa</v>
      </c>
      <c r="E42" t="str">
        <f ca="1">Nomes!S43</f>
        <v>Masculino</v>
      </c>
      <c r="F42" s="2">
        <v>28753</v>
      </c>
      <c r="G42" t="str" cm="1">
        <f t="array" aca="1" ref="G42" ca="1">INDEX(rua_cod!$F:$F,RANDBETWEEN(2,COUNTA(rua_cod!F:F)))</f>
        <v>Rua Augusta</v>
      </c>
      <c r="H42" t="str" cm="1">
        <f t="array" aca="1" ref="H42" ca="1">INDEX(rua_cod!$A:$A,Users!V42) &amp; "-" &amp; TEXT(RANDBETWEEN(0,999),"000")</f>
        <v>1950-573</v>
      </c>
      <c r="I42" t="str" cm="1">
        <f t="array" aca="1" ref="I42" ca="1">INDEX(rua_cod!$B:$B,Users!V42)</f>
        <v>Lisboa</v>
      </c>
      <c r="J42" t="s">
        <v>3727</v>
      </c>
      <c r="K42" t="s">
        <v>225</v>
      </c>
      <c r="L42" t="s">
        <v>265</v>
      </c>
      <c r="M42" t="str">
        <f t="shared" ca="1" si="1"/>
        <v>84830741</v>
      </c>
      <c r="N42" t="str">
        <f t="shared" ca="1" si="2"/>
        <v>819540944</v>
      </c>
      <c r="O42" t="str">
        <f t="shared" ca="1" si="2"/>
        <v>818694993</v>
      </c>
      <c r="P42" t="str" cm="1">
        <f t="array" aca="1" ref="P42" ca="1">9 &amp; INDEX($AF$3:$AF$6,W42)&amp; TEXT(RANDBETWEEN(0,9999999),"0000000")</f>
        <v>931557708</v>
      </c>
      <c r="Q42" t="str" cm="1">
        <f t="array" aca="1" ref="Q42" ca="1">LOWER(B42) &amp; INDEX($AF$9:$AF$11,X42)</f>
        <v>marboa1950@gmail.com</v>
      </c>
      <c r="R42" t="str">
        <f t="shared" ca="1" si="3"/>
        <v>marboa1950.jpg</v>
      </c>
      <c r="T42" s="4"/>
      <c r="V42">
        <f ca="1">RANDBETWEEN(2,COUNTA(rua_cod!A:A))</f>
        <v>41</v>
      </c>
      <c r="W42">
        <f t="shared" ca="1" si="4"/>
        <v>3</v>
      </c>
      <c r="X42">
        <f t="shared" ca="1" si="5"/>
        <v>2</v>
      </c>
      <c r="Y42">
        <f t="shared" ca="1" si="6"/>
        <v>1976</v>
      </c>
      <c r="Z42">
        <f t="shared" ca="1" si="7"/>
        <v>9</v>
      </c>
      <c r="AA42">
        <f t="shared" ca="1" si="8"/>
        <v>9</v>
      </c>
      <c r="AB42">
        <f t="shared" ca="1" si="9"/>
        <v>44</v>
      </c>
    </row>
    <row r="43" spans="1:28" x14ac:dyDescent="0.25">
      <c r="A43">
        <v>42</v>
      </c>
      <c r="B43" t="str" cm="1">
        <f t="array" aca="1" ref="B43" ca="1">replaceChar(LOWER(LEFT(D43,3)&amp;RIGHT(I43,3))&amp;LEFT(H43,4))</f>
        <v>fraboa1300</v>
      </c>
      <c r="C43" t="str">
        <f t="shared" ca="1" si="0"/>
        <v>pswfraboa1300</v>
      </c>
      <c r="D43" t="str">
        <f ca="1">Nomes!T44</f>
        <v>Francisca Pacheco Borges</v>
      </c>
      <c r="E43" t="str">
        <f ca="1">Nomes!S44</f>
        <v>Feminino</v>
      </c>
      <c r="F43" s="2">
        <v>20196</v>
      </c>
      <c r="G43" t="str" cm="1">
        <f t="array" aca="1" ref="G43" ca="1">INDEX(rua_cod!$F:$F,RANDBETWEEN(2,COUNTA(rua_cod!F:F)))</f>
        <v>Travessa de São João da Praça</v>
      </c>
      <c r="H43" t="str" cm="1">
        <f t="array" aca="1" ref="H43" ca="1">INDEX(rua_cod!$A:$A,Users!V43) &amp; "-" &amp; TEXT(RANDBETWEEN(0,999),"000")</f>
        <v>1300-152</v>
      </c>
      <c r="I43" t="str" cm="1">
        <f t="array" aca="1" ref="I43" ca="1">INDEX(rua_cod!$B:$B,Users!V43)</f>
        <v>Lisboa</v>
      </c>
      <c r="J43" t="s">
        <v>3727</v>
      </c>
      <c r="K43" t="s">
        <v>225</v>
      </c>
      <c r="L43" t="s">
        <v>265</v>
      </c>
      <c r="M43" t="str">
        <f t="shared" ca="1" si="1"/>
        <v>27320626</v>
      </c>
      <c r="N43" t="str">
        <f t="shared" ca="1" si="2"/>
        <v>497150447</v>
      </c>
      <c r="O43" t="str">
        <f t="shared" ca="1" si="2"/>
        <v>197862963</v>
      </c>
      <c r="P43" t="str" cm="1">
        <f t="array" aca="1" ref="P43" ca="1">9 &amp; INDEX($AF$3:$AF$6,W43)&amp; TEXT(RANDBETWEEN(0,9999999),"0000000")</f>
        <v>926437076</v>
      </c>
      <c r="Q43" t="str" cm="1">
        <f t="array" aca="1" ref="Q43" ca="1">LOWER(B43) &amp; INDEX($AF$9:$AF$11,X43)</f>
        <v>fraboa1300@outlook.com</v>
      </c>
      <c r="R43" t="str">
        <f t="shared" ca="1" si="3"/>
        <v>fraboa1300.jpg</v>
      </c>
      <c r="T43" s="4"/>
      <c r="V43">
        <f ca="1">RANDBETWEEN(2,COUNTA(rua_cod!A:A))</f>
        <v>58</v>
      </c>
      <c r="W43">
        <f t="shared" ca="1" si="4"/>
        <v>2</v>
      </c>
      <c r="X43">
        <f t="shared" ca="1" si="5"/>
        <v>1</v>
      </c>
      <c r="Y43">
        <f t="shared" ca="1" si="6"/>
        <v>1988</v>
      </c>
      <c r="Z43">
        <f t="shared" ca="1" si="7"/>
        <v>9</v>
      </c>
      <c r="AA43">
        <f t="shared" ca="1" si="8"/>
        <v>19</v>
      </c>
      <c r="AB43">
        <f t="shared" ca="1" si="9"/>
        <v>32</v>
      </c>
    </row>
    <row r="44" spans="1:28" x14ac:dyDescent="0.25">
      <c r="A44">
        <v>43</v>
      </c>
      <c r="B44" t="str" cm="1">
        <f t="array" aca="1" ref="B44" ca="1">replaceChar(LOWER(LEFT(D44,3)&amp;RIGHT(I44,3))&amp;LEFT(H44,4))</f>
        <v>diorem2004</v>
      </c>
      <c r="C44" t="str">
        <f t="shared" ca="1" si="0"/>
        <v>pswdiorem2004</v>
      </c>
      <c r="D44" t="str">
        <f ca="1">Nomes!T45</f>
        <v>Diogo Martins Gaspar</v>
      </c>
      <c r="E44" t="str">
        <f ca="1">Nomes!S45</f>
        <v>Masculino</v>
      </c>
      <c r="F44" s="2">
        <v>28461</v>
      </c>
      <c r="G44" t="str" cm="1">
        <f t="array" aca="1" ref="G44" ca="1">INDEX(rua_cod!$F:$F,RANDBETWEEN(2,COUNTA(rua_cod!F:F)))</f>
        <v>Rua Augusta</v>
      </c>
      <c r="H44" t="str" cm="1">
        <f t="array" aca="1" ref="H44" ca="1">INDEX(rua_cod!$A:$A,Users!V44) &amp; "-" &amp; TEXT(RANDBETWEEN(0,999),"000")</f>
        <v>2004-774</v>
      </c>
      <c r="I44" t="str" cm="1">
        <f t="array" aca="1" ref="I44" ca="1">INDEX(rua_cod!$B:$B,Users!V44)</f>
        <v>Santarém</v>
      </c>
      <c r="J44" t="s">
        <v>3727</v>
      </c>
      <c r="K44" t="s">
        <v>225</v>
      </c>
      <c r="L44" t="s">
        <v>265</v>
      </c>
      <c r="M44" t="str">
        <f t="shared" ca="1" si="1"/>
        <v>39408839</v>
      </c>
      <c r="N44" t="str">
        <f t="shared" ca="1" si="2"/>
        <v>343034942</v>
      </c>
      <c r="O44" t="str">
        <f t="shared" ca="1" si="2"/>
        <v>775119994</v>
      </c>
      <c r="P44" t="str" cm="1">
        <f t="array" aca="1" ref="P44" ca="1">9 &amp; INDEX($AF$3:$AF$6,W44)&amp; TEXT(RANDBETWEEN(0,9999999),"0000000")</f>
        <v>934342492</v>
      </c>
      <c r="Q44" t="str" cm="1">
        <f t="array" aca="1" ref="Q44" ca="1">LOWER(B44) &amp; INDEX($AF$9:$AF$11,X44)</f>
        <v>diorem2004@sapo.pt</v>
      </c>
      <c r="R44" t="str">
        <f t="shared" ca="1" si="3"/>
        <v>diorem2004.jpg</v>
      </c>
      <c r="T44" s="4"/>
      <c r="V44">
        <f ca="1">RANDBETWEEN(2,COUNTA(rua_cod!A:A))</f>
        <v>94</v>
      </c>
      <c r="W44">
        <f t="shared" ca="1" si="4"/>
        <v>3</v>
      </c>
      <c r="X44">
        <f t="shared" ca="1" si="5"/>
        <v>3</v>
      </c>
      <c r="Y44">
        <f t="shared" ca="1" si="6"/>
        <v>1982</v>
      </c>
      <c r="Z44">
        <f t="shared" ca="1" si="7"/>
        <v>4</v>
      </c>
      <c r="AA44">
        <f t="shared" ca="1" si="8"/>
        <v>15</v>
      </c>
      <c r="AB44">
        <f t="shared" ca="1" si="9"/>
        <v>38</v>
      </c>
    </row>
    <row r="45" spans="1:28" x14ac:dyDescent="0.25">
      <c r="A45">
        <v>44</v>
      </c>
      <c r="B45" t="str" cm="1">
        <f t="array" aca="1" ref="B45" ca="1">replaceChar(LOWER(LEFT(D45,3)&amp;RIGHT(I45,3))&amp;LEFT(H45,4))</f>
        <v>tomboa1170</v>
      </c>
      <c r="C45" t="str">
        <f t="shared" ca="1" si="0"/>
        <v>pswtomboa1170</v>
      </c>
      <c r="D45" t="str">
        <f ca="1">Nomes!T46</f>
        <v>Tomás Henriques Garcia</v>
      </c>
      <c r="E45" t="str">
        <f ca="1">Nomes!S46</f>
        <v>Masculino</v>
      </c>
      <c r="F45" s="2">
        <v>36293</v>
      </c>
      <c r="G45" t="str" cm="1">
        <f t="array" aca="1" ref="G45" ca="1">INDEX(rua_cod!$F:$F,RANDBETWEEN(2,COUNTA(rua_cod!F:F)))</f>
        <v>Rua do Comércio</v>
      </c>
      <c r="H45" t="str" cm="1">
        <f t="array" aca="1" ref="H45" ca="1">INDEX(rua_cod!$A:$A,Users!V45) &amp; "-" &amp; TEXT(RANDBETWEEN(0,999),"000")</f>
        <v>1170-362</v>
      </c>
      <c r="I45" t="str" cm="1">
        <f t="array" aca="1" ref="I45" ca="1">INDEX(rua_cod!$B:$B,Users!V45)</f>
        <v>Lisboa</v>
      </c>
      <c r="J45" t="s">
        <v>3727</v>
      </c>
      <c r="K45" t="s">
        <v>225</v>
      </c>
      <c r="L45" t="s">
        <v>265</v>
      </c>
      <c r="M45" t="str">
        <f t="shared" ca="1" si="1"/>
        <v>86315459</v>
      </c>
      <c r="N45" t="str">
        <f t="shared" ca="1" si="2"/>
        <v>304285685</v>
      </c>
      <c r="O45" t="str">
        <f t="shared" ca="1" si="2"/>
        <v>234036644</v>
      </c>
      <c r="P45" t="str" cm="1">
        <f t="array" aca="1" ref="P45" ca="1">9 &amp; INDEX($AF$3:$AF$6,W45)&amp; TEXT(RANDBETWEEN(0,9999999),"0000000")</f>
        <v>938616593</v>
      </c>
      <c r="Q45" t="str" cm="1">
        <f t="array" aca="1" ref="Q45" ca="1">LOWER(B45) &amp; INDEX($AF$9:$AF$11,X45)</f>
        <v>tomboa1170@outlook.com</v>
      </c>
      <c r="R45" t="str">
        <f t="shared" ca="1" si="3"/>
        <v>tomboa1170.jpg</v>
      </c>
      <c r="T45" s="4"/>
      <c r="V45">
        <f ca="1">RANDBETWEEN(2,COUNTA(rua_cod!A:A))</f>
        <v>47</v>
      </c>
      <c r="W45">
        <f t="shared" ca="1" si="4"/>
        <v>3</v>
      </c>
      <c r="X45">
        <f t="shared" ca="1" si="5"/>
        <v>1</v>
      </c>
      <c r="Y45">
        <f t="shared" ca="1" si="6"/>
        <v>2004</v>
      </c>
      <c r="Z45">
        <f t="shared" ca="1" si="7"/>
        <v>10</v>
      </c>
      <c r="AA45">
        <f t="shared" ca="1" si="8"/>
        <v>5</v>
      </c>
      <c r="AB45">
        <f t="shared" ca="1" si="9"/>
        <v>16</v>
      </c>
    </row>
    <row r="46" spans="1:28" x14ac:dyDescent="0.25">
      <c r="A46">
        <v>45</v>
      </c>
      <c r="B46" t="str" cm="1">
        <f t="array" aca="1" ref="B46" ca="1">replaceChar(LOWER(LEFT(D46,3)&amp;RIGHT(I46,3))&amp;LEFT(H46,4))</f>
        <v>fraria2420</v>
      </c>
      <c r="C46" t="str">
        <f t="shared" ca="1" si="0"/>
        <v>pswfraria2420</v>
      </c>
      <c r="D46" t="str">
        <f ca="1">Nomes!T47</f>
        <v>Francisco Pires Teixeira</v>
      </c>
      <c r="E46" t="str">
        <f ca="1">Nomes!S47</f>
        <v>Masculino</v>
      </c>
      <c r="F46" s="2">
        <v>14532</v>
      </c>
      <c r="G46" t="str" cm="1">
        <f t="array" aca="1" ref="G46" ca="1">INDEX(rua_cod!$F:$F,RANDBETWEEN(2,COUNTA(rua_cod!F:F)))</f>
        <v>Rua dos Fanqueiros</v>
      </c>
      <c r="H46" t="str" cm="1">
        <f t="array" aca="1" ref="H46" ca="1">INDEX(rua_cod!$A:$A,Users!V46) &amp; "-" &amp; TEXT(RANDBETWEEN(0,999),"000")</f>
        <v>2420-533</v>
      </c>
      <c r="I46" t="str" cm="1">
        <f t="array" aca="1" ref="I46" ca="1">INDEX(rua_cod!$B:$B,Users!V46)</f>
        <v>Leiria</v>
      </c>
      <c r="J46" t="s">
        <v>3727</v>
      </c>
      <c r="K46" t="s">
        <v>225</v>
      </c>
      <c r="L46" t="s">
        <v>265</v>
      </c>
      <c r="M46" t="str">
        <f t="shared" ca="1" si="1"/>
        <v>68605589</v>
      </c>
      <c r="N46" t="str">
        <f t="shared" ca="1" si="2"/>
        <v>845535730</v>
      </c>
      <c r="O46" t="str">
        <f t="shared" ca="1" si="2"/>
        <v>112736070</v>
      </c>
      <c r="P46" t="str" cm="1">
        <f t="array" aca="1" ref="P46" ca="1">9 &amp; INDEX($AF$3:$AF$6,W46)&amp; TEXT(RANDBETWEEN(0,9999999),"0000000")</f>
        <v>937783389</v>
      </c>
      <c r="Q46" t="str" cm="1">
        <f t="array" aca="1" ref="Q46" ca="1">LOWER(B46) &amp; INDEX($AF$9:$AF$11,X46)</f>
        <v>fraria2420@gmail.com</v>
      </c>
      <c r="R46" t="str">
        <f t="shared" ca="1" si="3"/>
        <v>fraria2420.jpg</v>
      </c>
      <c r="T46" s="4"/>
      <c r="V46">
        <f ca="1">RANDBETWEEN(2,COUNTA(rua_cod!A:A))</f>
        <v>33</v>
      </c>
      <c r="W46">
        <f t="shared" ca="1" si="4"/>
        <v>3</v>
      </c>
      <c r="X46">
        <f t="shared" ca="1" si="5"/>
        <v>2</v>
      </c>
      <c r="Y46">
        <f t="shared" ca="1" si="6"/>
        <v>1995</v>
      </c>
      <c r="Z46">
        <f t="shared" ca="1" si="7"/>
        <v>5</v>
      </c>
      <c r="AA46">
        <f t="shared" ca="1" si="8"/>
        <v>24</v>
      </c>
      <c r="AB46">
        <f t="shared" ca="1" si="9"/>
        <v>25</v>
      </c>
    </row>
    <row r="47" spans="1:28" x14ac:dyDescent="0.25">
      <c r="A47">
        <v>46</v>
      </c>
      <c r="B47" t="str" cm="1">
        <f t="array" aca="1" ref="B47" ca="1">replaceChar(LOWER(LEFT(D47,3)&amp;RIGHT(I47,3))&amp;LEFT(H47,4))</f>
        <v>ricras2784</v>
      </c>
      <c r="C47" t="str">
        <f t="shared" ca="1" si="0"/>
        <v>pswricras2784</v>
      </c>
      <c r="D47" t="str">
        <f ca="1">Nomes!T48</f>
        <v>Ricardo Paiva Lopes</v>
      </c>
      <c r="E47" t="str">
        <f ca="1">Nomes!S48</f>
        <v>Masculino</v>
      </c>
      <c r="F47" s="2">
        <v>41931</v>
      </c>
      <c r="G47" t="str" cm="1">
        <f t="array" aca="1" ref="G47" ca="1">INDEX(rua_cod!$F:$F,RANDBETWEEN(2,COUNTA(rua_cod!F:F)))</f>
        <v>Rua do Comércio</v>
      </c>
      <c r="H47" t="str" cm="1">
        <f t="array" aca="1" ref="H47" ca="1">INDEX(rua_cod!$A:$A,Users!V47) &amp; "-" &amp; TEXT(RANDBETWEEN(0,999),"000")</f>
        <v>2784-678</v>
      </c>
      <c r="I47" t="str" cm="1">
        <f t="array" aca="1" ref="I47" ca="1">INDEX(rua_cod!$B:$B,Users!V47)</f>
        <v>Oeiras</v>
      </c>
      <c r="J47" t="s">
        <v>3727</v>
      </c>
      <c r="K47" t="s">
        <v>225</v>
      </c>
      <c r="L47" t="s">
        <v>265</v>
      </c>
      <c r="M47" t="str">
        <f t="shared" ca="1" si="1"/>
        <v>93094903</v>
      </c>
      <c r="N47" t="str">
        <f t="shared" ca="1" si="2"/>
        <v>716523644</v>
      </c>
      <c r="O47" t="str">
        <f t="shared" ca="1" si="2"/>
        <v>594730703</v>
      </c>
      <c r="P47" t="str" cm="1">
        <f t="array" aca="1" ref="P47" ca="1">9 &amp; INDEX($AF$3:$AF$6,W47)&amp; TEXT(RANDBETWEEN(0,9999999),"0000000")</f>
        <v>918146686</v>
      </c>
      <c r="Q47" t="str" cm="1">
        <f t="array" aca="1" ref="Q47" ca="1">LOWER(B47) &amp; INDEX($AF$9:$AF$11,X47)</f>
        <v>ricras2784@sapo.pt</v>
      </c>
      <c r="R47" t="str">
        <f t="shared" ca="1" si="3"/>
        <v>ricras2784.jpg</v>
      </c>
      <c r="T47" s="4"/>
      <c r="V47">
        <f ca="1">RANDBETWEEN(2,COUNTA(rua_cod!A:A))</f>
        <v>89</v>
      </c>
      <c r="W47">
        <f t="shared" ca="1" si="4"/>
        <v>1</v>
      </c>
      <c r="X47">
        <f t="shared" ca="1" si="5"/>
        <v>3</v>
      </c>
      <c r="Y47">
        <f t="shared" ca="1" si="6"/>
        <v>1960</v>
      </c>
      <c r="Z47">
        <f t="shared" ca="1" si="7"/>
        <v>3</v>
      </c>
      <c r="AA47">
        <f t="shared" ca="1" si="8"/>
        <v>24</v>
      </c>
      <c r="AB47">
        <f t="shared" ca="1" si="9"/>
        <v>60</v>
      </c>
    </row>
    <row r="48" spans="1:28" x14ac:dyDescent="0.25">
      <c r="A48">
        <v>47</v>
      </c>
      <c r="B48" t="str" cm="1">
        <f t="array" aca="1" ref="B48" ca="1">replaceChar(LOWER(LEFT(D48,3)&amp;RIGHT(I48,3))&amp;LEFT(H48,4))</f>
        <v>afoboa1300</v>
      </c>
      <c r="C48" t="str">
        <f t="shared" ca="1" si="0"/>
        <v>pswafoboa1300</v>
      </c>
      <c r="D48" t="str">
        <f ca="1">Nomes!T49</f>
        <v>Afonso Domingues Castro</v>
      </c>
      <c r="E48" t="str">
        <f ca="1">Nomes!S49</f>
        <v>Masculino</v>
      </c>
      <c r="F48" s="2">
        <v>42843</v>
      </c>
      <c r="G48" t="str" cm="1">
        <f t="array" aca="1" ref="G48" ca="1">INDEX(rua_cod!$F:$F,RANDBETWEEN(2,COUNTA(rua_cod!F:F)))</f>
        <v>Rua da Alfândega</v>
      </c>
      <c r="H48" t="str" cm="1">
        <f t="array" aca="1" ref="H48" ca="1">INDEX(rua_cod!$A:$A,Users!V48) &amp; "-" &amp; TEXT(RANDBETWEEN(0,999),"000")</f>
        <v>1300-537</v>
      </c>
      <c r="I48" t="str" cm="1">
        <f t="array" aca="1" ref="I48" ca="1">INDEX(rua_cod!$B:$B,Users!V48)</f>
        <v>Lisboa</v>
      </c>
      <c r="J48" t="s">
        <v>3727</v>
      </c>
      <c r="K48" t="s">
        <v>225</v>
      </c>
      <c r="L48" t="s">
        <v>265</v>
      </c>
      <c r="M48" t="str">
        <f t="shared" ca="1" si="1"/>
        <v>51208177</v>
      </c>
      <c r="N48" t="str">
        <f t="shared" ca="1" si="2"/>
        <v>222408031</v>
      </c>
      <c r="O48" t="str">
        <f t="shared" ca="1" si="2"/>
        <v>662903210</v>
      </c>
      <c r="P48" t="str" cm="1">
        <f t="array" aca="1" ref="P48" ca="1">9 &amp; INDEX($AF$3:$AF$6,W48)&amp; TEXT(RANDBETWEEN(0,9999999),"0000000")</f>
        <v>933280002</v>
      </c>
      <c r="Q48" t="str" cm="1">
        <f t="array" aca="1" ref="Q48" ca="1">LOWER(B48) &amp; INDEX($AF$9:$AF$11,X48)</f>
        <v>afoboa1300@outlook.com</v>
      </c>
      <c r="R48" t="str">
        <f t="shared" ca="1" si="3"/>
        <v>afoboa1300.jpg</v>
      </c>
      <c r="T48" s="4"/>
      <c r="V48">
        <f ca="1">RANDBETWEEN(2,COUNTA(rua_cod!A:A))</f>
        <v>58</v>
      </c>
      <c r="W48">
        <f t="shared" ca="1" si="4"/>
        <v>3</v>
      </c>
      <c r="X48">
        <f t="shared" ca="1" si="5"/>
        <v>1</v>
      </c>
      <c r="Y48">
        <f t="shared" ca="1" si="6"/>
        <v>1992</v>
      </c>
      <c r="Z48">
        <f t="shared" ca="1" si="7"/>
        <v>1</v>
      </c>
      <c r="AA48">
        <f t="shared" ca="1" si="8"/>
        <v>4</v>
      </c>
      <c r="AB48">
        <f t="shared" ca="1" si="9"/>
        <v>28</v>
      </c>
    </row>
    <row r="49" spans="1:28" x14ac:dyDescent="0.25">
      <c r="A49">
        <v>48</v>
      </c>
      <c r="B49" t="str" cm="1">
        <f t="array" aca="1" ref="B49" ca="1">replaceChar(LOWER(LEFT(D49,3)&amp;RIGHT(I49,3))&amp;LEFT(H49,4))</f>
        <v>tiaora2724</v>
      </c>
      <c r="C49" t="str">
        <f t="shared" ca="1" si="0"/>
        <v>pswtiaora2724</v>
      </c>
      <c r="D49" t="str">
        <f ca="1">Nomes!T50</f>
        <v>Tiago Paiva Guerreiro</v>
      </c>
      <c r="E49" t="str">
        <f ca="1">Nomes!S50</f>
        <v>Masculino</v>
      </c>
      <c r="F49" s="2">
        <v>25752</v>
      </c>
      <c r="G49" t="str" cm="1">
        <f t="array" aca="1" ref="G49" ca="1">INDEX(rua_cod!$F:$F,RANDBETWEEN(2,COUNTA(rua_cod!F:F)))</f>
        <v>Rua do Instituto Bacteriológico</v>
      </c>
      <c r="H49" t="str" cm="1">
        <f t="array" aca="1" ref="H49" ca="1">INDEX(rua_cod!$A:$A,Users!V49) &amp; "-" &amp; TEXT(RANDBETWEEN(0,999),"000")</f>
        <v>2724-203</v>
      </c>
      <c r="I49" t="str" cm="1">
        <f t="array" aca="1" ref="I49" ca="1">INDEX(rua_cod!$B:$B,Users!V49)</f>
        <v>Amadora</v>
      </c>
      <c r="J49" t="s">
        <v>3727</v>
      </c>
      <c r="K49" t="s">
        <v>225</v>
      </c>
      <c r="L49" t="s">
        <v>265</v>
      </c>
      <c r="M49" t="str">
        <f t="shared" ca="1" si="1"/>
        <v>37692883</v>
      </c>
      <c r="N49" t="str">
        <f t="shared" ca="1" si="2"/>
        <v>601987415</v>
      </c>
      <c r="O49" t="str">
        <f t="shared" ca="1" si="2"/>
        <v>536813978</v>
      </c>
      <c r="P49" t="str" cm="1">
        <f t="array" aca="1" ref="P49" ca="1">9 &amp; INDEX($AF$3:$AF$6,W49)&amp; TEXT(RANDBETWEEN(0,9999999),"0000000")</f>
        <v>968393088</v>
      </c>
      <c r="Q49" t="str" cm="1">
        <f t="array" aca="1" ref="Q49" ca="1">LOWER(B49) &amp; INDEX($AF$9:$AF$11,X49)</f>
        <v>tiaora2724@outlook.com</v>
      </c>
      <c r="R49" t="str">
        <f t="shared" ca="1" si="3"/>
        <v>tiaora2724.jpg</v>
      </c>
      <c r="T49" s="4"/>
      <c r="V49">
        <f ca="1">RANDBETWEEN(2,COUNTA(rua_cod!A:A))</f>
        <v>13</v>
      </c>
      <c r="W49">
        <f t="shared" ca="1" si="4"/>
        <v>4</v>
      </c>
      <c r="X49">
        <f t="shared" ca="1" si="5"/>
        <v>1</v>
      </c>
      <c r="Y49">
        <f t="shared" ca="1" si="6"/>
        <v>1961</v>
      </c>
      <c r="Z49">
        <f t="shared" ca="1" si="7"/>
        <v>4</v>
      </c>
      <c r="AA49">
        <f t="shared" ca="1" si="8"/>
        <v>5</v>
      </c>
      <c r="AB49">
        <f t="shared" ca="1" si="9"/>
        <v>59</v>
      </c>
    </row>
    <row r="50" spans="1:28" x14ac:dyDescent="0.25">
      <c r="A50">
        <v>49</v>
      </c>
      <c r="B50" t="str" cm="1">
        <f t="array" aca="1" ref="B50" ca="1">replaceChar(LOWER(LEFT(D50,3)&amp;RIGHT(I50,3))&amp;LEFT(H50,4))</f>
        <v>marnto2334</v>
      </c>
      <c r="C50" t="str">
        <f t="shared" ca="1" si="0"/>
        <v>pswmarnto2334</v>
      </c>
      <c r="D50" t="str">
        <f ca="1">Nomes!T51</f>
        <v>Martim Abreu Rocha</v>
      </c>
      <c r="E50" t="str">
        <f ca="1">Nomes!S51</f>
        <v>Masculino</v>
      </c>
      <c r="F50" s="2">
        <v>23798</v>
      </c>
      <c r="G50" t="str" cm="1">
        <f t="array" aca="1" ref="G50" ca="1">INDEX(rua_cod!$F:$F,RANDBETWEEN(2,COUNTA(rua_cod!F:F)))</f>
        <v>Rua Nova do Almada</v>
      </c>
      <c r="H50" t="str" cm="1">
        <f t="array" aca="1" ref="H50" ca="1">INDEX(rua_cod!$A:$A,Users!V50) &amp; "-" &amp; TEXT(RANDBETWEEN(0,999),"000")</f>
        <v>2334-475</v>
      </c>
      <c r="I50" t="str" cm="1">
        <f t="array" aca="1" ref="I50" ca="1">INDEX(rua_cod!$B:$B,Users!V50)</f>
        <v>Entroncamento</v>
      </c>
      <c r="J50" t="s">
        <v>3727</v>
      </c>
      <c r="K50" t="s">
        <v>225</v>
      </c>
      <c r="L50" t="s">
        <v>265</v>
      </c>
      <c r="M50" t="str">
        <f t="shared" ca="1" si="1"/>
        <v>16207680</v>
      </c>
      <c r="N50" t="str">
        <f t="shared" ca="1" si="2"/>
        <v>561810656</v>
      </c>
      <c r="O50" t="str">
        <f t="shared" ca="1" si="2"/>
        <v>979230011</v>
      </c>
      <c r="P50" t="str" cm="1">
        <f t="array" aca="1" ref="P50" ca="1">9 &amp; INDEX($AF$3:$AF$6,W50)&amp; TEXT(RANDBETWEEN(0,9999999),"0000000")</f>
        <v>924646823</v>
      </c>
      <c r="Q50" t="str" cm="1">
        <f t="array" aca="1" ref="Q50" ca="1">LOWER(B50) &amp; INDEX($AF$9:$AF$11,X50)</f>
        <v>marnto2334@gmail.com</v>
      </c>
      <c r="R50" t="str">
        <f t="shared" ca="1" si="3"/>
        <v>marnto2334.jpg</v>
      </c>
      <c r="T50" s="4"/>
      <c r="V50">
        <f ca="1">RANDBETWEEN(2,COUNTA(rua_cod!A:A))</f>
        <v>30</v>
      </c>
      <c r="W50">
        <f t="shared" ca="1" si="4"/>
        <v>2</v>
      </c>
      <c r="X50">
        <f t="shared" ca="1" si="5"/>
        <v>2</v>
      </c>
      <c r="Y50">
        <f t="shared" ca="1" si="6"/>
        <v>1950</v>
      </c>
      <c r="Z50">
        <f t="shared" ca="1" si="7"/>
        <v>4</v>
      </c>
      <c r="AA50">
        <f t="shared" ca="1" si="8"/>
        <v>21</v>
      </c>
      <c r="AB50">
        <f t="shared" ca="1" si="9"/>
        <v>70</v>
      </c>
    </row>
    <row r="51" spans="1:28" x14ac:dyDescent="0.25">
      <c r="A51">
        <v>50</v>
      </c>
      <c r="B51" t="str" cm="1">
        <f t="array" aca="1" ref="B51" ca="1">replaceChar(LOWER(LEFT(D51,3)&amp;RIGHT(I51,3))&amp;LEFT(H51,4))</f>
        <v>matfra2644</v>
      </c>
      <c r="C51" t="str">
        <f t="shared" ca="1" si="0"/>
        <v>pswmatfra2644</v>
      </c>
      <c r="D51" t="str">
        <f ca="1">Nomes!T52</f>
        <v>Matilde Tomás Antunes Oliveira</v>
      </c>
      <c r="E51" t="str">
        <f ca="1">Nomes!S52</f>
        <v>Feminino</v>
      </c>
      <c r="F51" s="2">
        <v>10175</v>
      </c>
      <c r="G51" t="str" cm="1">
        <f t="array" aca="1" ref="G51" ca="1">INDEX(rua_cod!$F:$F,RANDBETWEEN(2,COUNTA(rua_cod!F:F)))</f>
        <v>Rua dos Fanqueiros</v>
      </c>
      <c r="H51" t="str" cm="1">
        <f t="array" aca="1" ref="H51" ca="1">INDEX(rua_cod!$A:$A,Users!V51) &amp; "-" &amp; TEXT(RANDBETWEEN(0,999),"000")</f>
        <v>2644-695</v>
      </c>
      <c r="I51" t="str" cm="1">
        <f t="array" aca="1" ref="I51" ca="1">INDEX(rua_cod!$B:$B,Users!V51)</f>
        <v>Mafra</v>
      </c>
      <c r="J51" t="s">
        <v>3727</v>
      </c>
      <c r="K51" t="s">
        <v>225</v>
      </c>
      <c r="L51" t="s">
        <v>265</v>
      </c>
      <c r="M51" t="str">
        <f t="shared" ca="1" si="1"/>
        <v>82719297</v>
      </c>
      <c r="N51" t="str">
        <f t="shared" ca="1" si="2"/>
        <v>434794559</v>
      </c>
      <c r="O51" t="str">
        <f t="shared" ca="1" si="2"/>
        <v>738069305</v>
      </c>
      <c r="P51" t="str" cm="1">
        <f t="array" aca="1" ref="P51" ca="1">9 &amp; INDEX($AF$3:$AF$6,W51)&amp; TEXT(RANDBETWEEN(0,9999999),"0000000")</f>
        <v>929506572</v>
      </c>
      <c r="Q51" t="str" cm="1">
        <f t="array" aca="1" ref="Q51" ca="1">LOWER(B51) &amp; INDEX($AF$9:$AF$11,X51)</f>
        <v>matfra2644@gmail.com</v>
      </c>
      <c r="R51" t="str">
        <f t="shared" ca="1" si="3"/>
        <v>matfra2644.jpg</v>
      </c>
      <c r="T51" s="4"/>
      <c r="V51">
        <f ca="1">RANDBETWEEN(2,COUNTA(rua_cod!A:A))</f>
        <v>86</v>
      </c>
      <c r="W51">
        <f t="shared" ca="1" si="4"/>
        <v>2</v>
      </c>
      <c r="X51">
        <f t="shared" ca="1" si="5"/>
        <v>2</v>
      </c>
      <c r="Y51">
        <f t="shared" ca="1" si="6"/>
        <v>1950</v>
      </c>
      <c r="Z51">
        <f t="shared" ca="1" si="7"/>
        <v>2</v>
      </c>
      <c r="AA51">
        <f t="shared" ca="1" si="8"/>
        <v>27</v>
      </c>
      <c r="AB51">
        <f t="shared" ca="1" si="9"/>
        <v>70</v>
      </c>
    </row>
    <row r="52" spans="1:28" x14ac:dyDescent="0.25">
      <c r="A52">
        <v>51</v>
      </c>
      <c r="B52" t="str" cm="1">
        <f t="array" aca="1" ref="B52" ca="1">replaceChar(LOWER(LEFT(D52,3)&amp;RIGHT(I52,3))&amp;LEFT(H52,4))</f>
        <v>duarem2000</v>
      </c>
      <c r="C52" t="str">
        <f t="shared" ca="1" si="0"/>
        <v>pswduarem2000</v>
      </c>
      <c r="D52" t="str">
        <f ca="1">Nomes!T53</f>
        <v>Duarte Pedro Lourenço Machado</v>
      </c>
      <c r="E52" t="str">
        <f ca="1">Nomes!S53</f>
        <v>Masculino</v>
      </c>
      <c r="F52" s="2">
        <v>16409</v>
      </c>
      <c r="G52" t="str" cm="1">
        <f t="array" aca="1" ref="G52" ca="1">INDEX(rua_cod!$F:$F,RANDBETWEEN(2,COUNTA(rua_cod!F:F)))</f>
        <v>Calçada de Carriche</v>
      </c>
      <c r="H52" t="str" cm="1">
        <f t="array" aca="1" ref="H52" ca="1">INDEX(rua_cod!$A:$A,Users!V52) &amp; "-" &amp; TEXT(RANDBETWEEN(0,999),"000")</f>
        <v>2000-241</v>
      </c>
      <c r="I52" t="str" cm="1">
        <f t="array" aca="1" ref="I52" ca="1">INDEX(rua_cod!$B:$B,Users!V52)</f>
        <v>Santarém</v>
      </c>
      <c r="J52" t="s">
        <v>3727</v>
      </c>
      <c r="K52" t="s">
        <v>225</v>
      </c>
      <c r="L52" t="s">
        <v>265</v>
      </c>
      <c r="M52" t="str">
        <f t="shared" ca="1" si="1"/>
        <v>37492421</v>
      </c>
      <c r="N52" t="str">
        <f t="shared" ca="1" si="2"/>
        <v>604457996</v>
      </c>
      <c r="O52" t="str">
        <f t="shared" ca="1" si="2"/>
        <v>384871870</v>
      </c>
      <c r="P52" t="str" cm="1">
        <f t="array" aca="1" ref="P52" ca="1">9 &amp; INDEX($AF$3:$AF$6,W52)&amp; TEXT(RANDBETWEEN(0,9999999),"0000000")</f>
        <v>964543741</v>
      </c>
      <c r="Q52" t="str" cm="1">
        <f t="array" aca="1" ref="Q52" ca="1">LOWER(B52) &amp; INDEX($AF$9:$AF$11,X52)</f>
        <v>duarem2000@gmail.com</v>
      </c>
      <c r="R52" t="str">
        <f t="shared" ca="1" si="3"/>
        <v>duarem2000.jpg</v>
      </c>
      <c r="T52" s="4"/>
      <c r="V52">
        <f ca="1">RANDBETWEEN(2,COUNTA(rua_cod!A:A))</f>
        <v>93</v>
      </c>
      <c r="W52">
        <f t="shared" ca="1" si="4"/>
        <v>4</v>
      </c>
      <c r="X52">
        <f t="shared" ca="1" si="5"/>
        <v>2</v>
      </c>
      <c r="Y52">
        <f t="shared" ca="1" si="6"/>
        <v>1964</v>
      </c>
      <c r="Z52">
        <f t="shared" ca="1" si="7"/>
        <v>12</v>
      </c>
      <c r="AA52">
        <f t="shared" ca="1" si="8"/>
        <v>6</v>
      </c>
      <c r="AB52">
        <f t="shared" ca="1" si="9"/>
        <v>56</v>
      </c>
    </row>
    <row r="53" spans="1:28" x14ac:dyDescent="0.25">
      <c r="A53">
        <v>52</v>
      </c>
      <c r="B53" t="str" cm="1">
        <f t="array" aca="1" ref="B53" ca="1">replaceChar(LOWER(LEFT(D53,3)&amp;RIGHT(I53,3))&amp;LEFT(H53,4))</f>
        <v>migide2790</v>
      </c>
      <c r="C53" t="str">
        <f t="shared" ca="1" si="0"/>
        <v>pswmigide2790</v>
      </c>
      <c r="D53" t="str">
        <f ca="1">Nomes!T54</f>
        <v>Miguel Luís Domingues Coelho</v>
      </c>
      <c r="E53" t="str">
        <f ca="1">Nomes!S54</f>
        <v>Masculino</v>
      </c>
      <c r="F53" s="2">
        <v>44012</v>
      </c>
      <c r="G53" t="str" cm="1">
        <f t="array" aca="1" ref="G53" ca="1">INDEX(rua_cod!$F:$F,RANDBETWEEN(2,COUNTA(rua_cod!F:F)))</f>
        <v>Rua de São Bento</v>
      </c>
      <c r="H53" t="str" cm="1">
        <f t="array" aca="1" ref="H53" ca="1">INDEX(rua_cod!$A:$A,Users!V53) &amp; "-" &amp; TEXT(RANDBETWEEN(0,999),"000")</f>
        <v>2790-046</v>
      </c>
      <c r="I53" t="str" cm="1">
        <f t="array" aca="1" ref="I53" ca="1">INDEX(rua_cod!$B:$B,Users!V53)</f>
        <v>Carnaxide</v>
      </c>
      <c r="J53" t="s">
        <v>3727</v>
      </c>
      <c r="K53" t="s">
        <v>225</v>
      </c>
      <c r="L53" t="s">
        <v>265</v>
      </c>
      <c r="M53" t="str">
        <f t="shared" ca="1" si="1"/>
        <v>82636097</v>
      </c>
      <c r="N53" t="str">
        <f t="shared" ca="1" si="2"/>
        <v>895074719</v>
      </c>
      <c r="O53" t="str">
        <f t="shared" ca="1" si="2"/>
        <v>753020307</v>
      </c>
      <c r="P53" t="str" cm="1">
        <f t="array" aca="1" ref="P53" ca="1">9 &amp; INDEX($AF$3:$AF$6,W53)&amp; TEXT(RANDBETWEEN(0,9999999),"0000000")</f>
        <v>915775178</v>
      </c>
      <c r="Q53" t="str" cm="1">
        <f t="array" aca="1" ref="Q53" ca="1">LOWER(B53) &amp; INDEX($AF$9:$AF$11,X53)</f>
        <v>migide2790@sapo.pt</v>
      </c>
      <c r="R53" t="str">
        <f t="shared" ca="1" si="3"/>
        <v>migide2790.jpg</v>
      </c>
      <c r="T53" s="4"/>
      <c r="V53">
        <f ca="1">RANDBETWEEN(2,COUNTA(rua_cod!A:A))</f>
        <v>22</v>
      </c>
      <c r="W53">
        <f t="shared" ca="1" si="4"/>
        <v>1</v>
      </c>
      <c r="X53">
        <f t="shared" ca="1" si="5"/>
        <v>3</v>
      </c>
      <c r="Y53">
        <f t="shared" ca="1" si="6"/>
        <v>1990</v>
      </c>
      <c r="Z53">
        <f t="shared" ca="1" si="7"/>
        <v>11</v>
      </c>
      <c r="AA53">
        <f t="shared" ca="1" si="8"/>
        <v>21</v>
      </c>
      <c r="AB53">
        <f t="shared" ca="1" si="9"/>
        <v>30</v>
      </c>
    </row>
    <row r="54" spans="1:28" x14ac:dyDescent="0.25">
      <c r="A54">
        <v>53</v>
      </c>
      <c r="B54" t="str" cm="1">
        <f t="array" aca="1" ref="B54" ca="1">replaceChar(LOWER(LEFT(D54,3)&amp;RIGHT(I54,3))&amp;LEFT(H54,4))</f>
        <v>ricboa1748</v>
      </c>
      <c r="C54" t="str">
        <f t="shared" ca="1" si="0"/>
        <v>pswricboa1748</v>
      </c>
      <c r="D54" t="str">
        <f ca="1">Nomes!T55</f>
        <v>Ricardo Diana Ferreira Neves</v>
      </c>
      <c r="E54" t="str">
        <f ca="1">Nomes!S55</f>
        <v>Masculino</v>
      </c>
      <c r="F54" s="2">
        <v>21337</v>
      </c>
      <c r="G54" t="str" cm="1">
        <f t="array" aca="1" ref="G54" ca="1">INDEX(rua_cod!$F:$F,RANDBETWEEN(2,COUNTA(rua_cod!F:F)))</f>
        <v>Rua Augusta</v>
      </c>
      <c r="H54" t="str" cm="1">
        <f t="array" aca="1" ref="H54" ca="1">INDEX(rua_cod!$A:$A,Users!V54) &amp; "-" &amp; TEXT(RANDBETWEEN(0,999),"000")</f>
        <v>1748-195</v>
      </c>
      <c r="I54" t="str" cm="1">
        <f t="array" aca="1" ref="I54" ca="1">INDEX(rua_cod!$B:$B,Users!V54)</f>
        <v>Lisboa</v>
      </c>
      <c r="J54" t="s">
        <v>3727</v>
      </c>
      <c r="K54" t="s">
        <v>225</v>
      </c>
      <c r="L54" t="s">
        <v>265</v>
      </c>
      <c r="M54" t="str">
        <f t="shared" ca="1" si="1"/>
        <v>51674293</v>
      </c>
      <c r="N54" t="str">
        <f t="shared" ca="1" si="2"/>
        <v>663132365</v>
      </c>
      <c r="O54" t="str">
        <f t="shared" ca="1" si="2"/>
        <v>424503257</v>
      </c>
      <c r="P54" t="str" cm="1">
        <f t="array" aca="1" ref="P54" ca="1">9 &amp; INDEX($AF$3:$AF$6,W54)&amp; TEXT(RANDBETWEEN(0,9999999),"0000000")</f>
        <v>925165348</v>
      </c>
      <c r="Q54" t="str" cm="1">
        <f t="array" aca="1" ref="Q54" ca="1">LOWER(B54) &amp; INDEX($AF$9:$AF$11,X54)</f>
        <v>ricboa1748@outlook.com</v>
      </c>
      <c r="R54" t="str">
        <f t="shared" ca="1" si="3"/>
        <v>ricboa1748.jpg</v>
      </c>
      <c r="T54" s="4"/>
      <c r="V54">
        <f ca="1">RANDBETWEEN(2,COUNTA(rua_cod!A:A))</f>
        <v>77</v>
      </c>
      <c r="W54">
        <f t="shared" ca="1" si="4"/>
        <v>2</v>
      </c>
      <c r="X54">
        <f t="shared" ca="1" si="5"/>
        <v>1</v>
      </c>
      <c r="Y54">
        <f t="shared" ca="1" si="6"/>
        <v>1959</v>
      </c>
      <c r="Z54">
        <f t="shared" ca="1" si="7"/>
        <v>3</v>
      </c>
      <c r="AA54">
        <f t="shared" ca="1" si="8"/>
        <v>21</v>
      </c>
      <c r="AB54">
        <f t="shared" ca="1" si="9"/>
        <v>61</v>
      </c>
    </row>
    <row r="55" spans="1:28" x14ac:dyDescent="0.25">
      <c r="A55">
        <v>54</v>
      </c>
      <c r="B55" t="str" cm="1">
        <f t="array" aca="1" ref="B55" ca="1">replaceChar(LOWER(LEFT(D55,3)&amp;RIGHT(I55,3))&amp;LEFT(H55,4))</f>
        <v>bruboa1199</v>
      </c>
      <c r="C55" t="str">
        <f t="shared" ca="1" si="0"/>
        <v>pswbruboa1199</v>
      </c>
      <c r="D55" t="str">
        <f ca="1">Nomes!T56</f>
        <v>Bruno Gabriel Baptista Brito</v>
      </c>
      <c r="E55" t="str">
        <f ca="1">Nomes!S56</f>
        <v>Masculino</v>
      </c>
      <c r="F55" s="2">
        <v>35631</v>
      </c>
      <c r="G55" t="str" cm="1">
        <f t="array" aca="1" ref="G55" ca="1">INDEX(rua_cod!$F:$F,RANDBETWEEN(2,COUNTA(rua_cod!F:F)))</f>
        <v>Rua do Salitre</v>
      </c>
      <c r="H55" t="str" cm="1">
        <f t="array" aca="1" ref="H55" ca="1">INDEX(rua_cod!$A:$A,Users!V55) &amp; "-" &amp; TEXT(RANDBETWEEN(0,999),"000")</f>
        <v>1199-364</v>
      </c>
      <c r="I55" t="str" cm="1">
        <f t="array" aca="1" ref="I55" ca="1">INDEX(rua_cod!$B:$B,Users!V55)</f>
        <v>Lisboa</v>
      </c>
      <c r="J55" t="s">
        <v>3727</v>
      </c>
      <c r="K55" t="s">
        <v>225</v>
      </c>
      <c r="L55" t="s">
        <v>265</v>
      </c>
      <c r="M55" t="str">
        <f t="shared" ca="1" si="1"/>
        <v>31340738</v>
      </c>
      <c r="N55" t="str">
        <f t="shared" ca="1" si="2"/>
        <v>643723168</v>
      </c>
      <c r="O55" t="str">
        <f t="shared" ca="1" si="2"/>
        <v>429400403</v>
      </c>
      <c r="P55" t="str" cm="1">
        <f t="array" aca="1" ref="P55" ca="1">9 &amp; INDEX($AF$3:$AF$6,W55)&amp; TEXT(RANDBETWEEN(0,9999999),"0000000")</f>
        <v>967202399</v>
      </c>
      <c r="Q55" t="str" cm="1">
        <f t="array" aca="1" ref="Q55" ca="1">LOWER(B55) &amp; INDEX($AF$9:$AF$11,X55)</f>
        <v>bruboa1199@gmail.com</v>
      </c>
      <c r="R55" t="str">
        <f t="shared" ca="1" si="3"/>
        <v>bruboa1199.jpg</v>
      </c>
      <c r="T55" s="4"/>
      <c r="V55">
        <f ca="1">RANDBETWEEN(2,COUNTA(rua_cod!A:A))</f>
        <v>65</v>
      </c>
      <c r="W55">
        <f t="shared" ca="1" si="4"/>
        <v>4</v>
      </c>
      <c r="X55">
        <f t="shared" ca="1" si="5"/>
        <v>2</v>
      </c>
      <c r="Y55">
        <f t="shared" ca="1" si="6"/>
        <v>1966</v>
      </c>
      <c r="Z55">
        <f t="shared" ca="1" si="7"/>
        <v>8</v>
      </c>
      <c r="AA55">
        <f t="shared" ca="1" si="8"/>
        <v>2</v>
      </c>
      <c r="AB55">
        <f t="shared" ca="1" si="9"/>
        <v>54</v>
      </c>
    </row>
    <row r="56" spans="1:28" x14ac:dyDescent="0.25">
      <c r="A56">
        <v>55</v>
      </c>
      <c r="B56" t="str" cm="1">
        <f t="array" aca="1" ref="B56" ca="1">replaceChar(LOWER(LEFT(D56,3)&amp;RIGHT(I56,3))&amp;LEFT(H56,4))</f>
        <v>luiboa1849</v>
      </c>
      <c r="C56" t="str">
        <f t="shared" ca="1" si="0"/>
        <v>pswluiboa1849</v>
      </c>
      <c r="D56" t="str">
        <f ca="1">Nomes!T57</f>
        <v>Luís Pedro Leal Brito</v>
      </c>
      <c r="E56" t="str">
        <f ca="1">Nomes!S57</f>
        <v>Masculino</v>
      </c>
      <c r="F56" s="2">
        <v>14541</v>
      </c>
      <c r="G56" t="str" cm="1">
        <f t="array" aca="1" ref="G56" ca="1">INDEX(rua_cod!$F:$F,RANDBETWEEN(2,COUNTA(rua_cod!F:F)))</f>
        <v>Calçada do Moinho de Vento</v>
      </c>
      <c r="H56" t="str" cm="1">
        <f t="array" aca="1" ref="H56" ca="1">INDEX(rua_cod!$A:$A,Users!V56) &amp; "-" &amp; TEXT(RANDBETWEEN(0,999),"000")</f>
        <v>1849-884</v>
      </c>
      <c r="I56" t="str" cm="1">
        <f t="array" aca="1" ref="I56" ca="1">INDEX(rua_cod!$B:$B,Users!V56)</f>
        <v>Lisboa</v>
      </c>
      <c r="J56" t="s">
        <v>3727</v>
      </c>
      <c r="K56" t="s">
        <v>225</v>
      </c>
      <c r="L56" t="s">
        <v>265</v>
      </c>
      <c r="M56" t="str">
        <f t="shared" ca="1" si="1"/>
        <v>40717245</v>
      </c>
      <c r="N56" t="str">
        <f t="shared" ca="1" si="2"/>
        <v>253842443</v>
      </c>
      <c r="O56" t="str">
        <f t="shared" ca="1" si="2"/>
        <v>452670266</v>
      </c>
      <c r="P56" t="str" cm="1">
        <f t="array" aca="1" ref="P56" ca="1">9 &amp; INDEX($AF$3:$AF$6,W56)&amp; TEXT(RANDBETWEEN(0,9999999),"0000000")</f>
        <v>923734435</v>
      </c>
      <c r="Q56" t="str" cm="1">
        <f t="array" aca="1" ref="Q56" ca="1">LOWER(B56) &amp; INDEX($AF$9:$AF$11,X56)</f>
        <v>luiboa1849@outlook.com</v>
      </c>
      <c r="R56" t="str">
        <f t="shared" ca="1" si="3"/>
        <v>luiboa1849.jpg</v>
      </c>
      <c r="T56" s="4"/>
      <c r="V56">
        <f ca="1">RANDBETWEEN(2,COUNTA(rua_cod!A:A))</f>
        <v>64</v>
      </c>
      <c r="W56">
        <f t="shared" ca="1" si="4"/>
        <v>2</v>
      </c>
      <c r="X56">
        <f t="shared" ca="1" si="5"/>
        <v>1</v>
      </c>
      <c r="Y56">
        <f t="shared" ca="1" si="6"/>
        <v>1973</v>
      </c>
      <c r="Z56">
        <f t="shared" ca="1" si="7"/>
        <v>12</v>
      </c>
      <c r="AA56">
        <f t="shared" ca="1" si="8"/>
        <v>9</v>
      </c>
      <c r="AB56">
        <f t="shared" ca="1" si="9"/>
        <v>47</v>
      </c>
    </row>
    <row r="57" spans="1:28" x14ac:dyDescent="0.25">
      <c r="A57">
        <v>56</v>
      </c>
      <c r="B57" t="str" cm="1">
        <f t="array" aca="1" ref="B57" ca="1">replaceChar(LOWER(LEFT(D57,3)&amp;RIGHT(I57,3))&amp;LEFT(H57,4))</f>
        <v>rodrem2000</v>
      </c>
      <c r="C57" t="str">
        <f t="shared" ca="1" si="0"/>
        <v>pswrodrem2000</v>
      </c>
      <c r="D57" t="str">
        <f ca="1">Nomes!T58</f>
        <v>Rodrigo Marco Alves Amaral</v>
      </c>
      <c r="E57" t="str">
        <f ca="1">Nomes!S58</f>
        <v>Masculino</v>
      </c>
      <c r="F57" s="2">
        <v>10289</v>
      </c>
      <c r="G57" t="str" cm="1">
        <f t="array" aca="1" ref="G57" ca="1">INDEX(rua_cod!$F:$F,RANDBETWEEN(2,COUNTA(rua_cod!F:F)))</f>
        <v>Rua Júlio César Machado</v>
      </c>
      <c r="H57" t="str" cm="1">
        <f t="array" aca="1" ref="H57" ca="1">INDEX(rua_cod!$A:$A,Users!V57) &amp; "-" &amp; TEXT(RANDBETWEEN(0,999),"000")</f>
        <v>2000-602</v>
      </c>
      <c r="I57" t="str" cm="1">
        <f t="array" aca="1" ref="I57" ca="1">INDEX(rua_cod!$B:$B,Users!V57)</f>
        <v>Santarém</v>
      </c>
      <c r="J57" t="s">
        <v>3727</v>
      </c>
      <c r="K57" t="s">
        <v>225</v>
      </c>
      <c r="L57" t="s">
        <v>265</v>
      </c>
      <c r="M57" t="str">
        <f t="shared" ca="1" si="1"/>
        <v>13263450</v>
      </c>
      <c r="N57" t="str">
        <f t="shared" ca="1" si="2"/>
        <v>599406358</v>
      </c>
      <c r="O57" t="str">
        <f t="shared" ca="1" si="2"/>
        <v>272060421</v>
      </c>
      <c r="P57" t="str" cm="1">
        <f t="array" aca="1" ref="P57" ca="1">9 &amp; INDEX($AF$3:$AF$6,W57)&amp; TEXT(RANDBETWEEN(0,9999999),"0000000")</f>
        <v>926428313</v>
      </c>
      <c r="Q57" t="str" cm="1">
        <f t="array" aca="1" ref="Q57" ca="1">LOWER(B57) &amp; INDEX($AF$9:$AF$11,X57)</f>
        <v>rodrem2000@gmail.com</v>
      </c>
      <c r="R57" t="str">
        <f t="shared" ca="1" si="3"/>
        <v>rodrem2000.jpg</v>
      </c>
      <c r="T57" s="4"/>
      <c r="V57">
        <f ca="1">RANDBETWEEN(2,COUNTA(rua_cod!A:A))</f>
        <v>93</v>
      </c>
      <c r="W57">
        <f t="shared" ca="1" si="4"/>
        <v>2</v>
      </c>
      <c r="X57">
        <f t="shared" ca="1" si="5"/>
        <v>2</v>
      </c>
      <c r="Y57">
        <f t="shared" ca="1" si="6"/>
        <v>1957</v>
      </c>
      <c r="Z57">
        <f t="shared" ca="1" si="7"/>
        <v>7</v>
      </c>
      <c r="AA57">
        <f t="shared" ca="1" si="8"/>
        <v>28</v>
      </c>
      <c r="AB57">
        <f t="shared" ca="1" si="9"/>
        <v>63</v>
      </c>
    </row>
    <row r="58" spans="1:28" x14ac:dyDescent="0.25">
      <c r="A58">
        <v>57</v>
      </c>
      <c r="B58" t="str" cm="1">
        <f t="array" aca="1" ref="B58" ca="1">replaceChar(LOWER(LEFT(D58,3)&amp;RIGHT(I58,3))&amp;LEFT(H58,4))</f>
        <v>ricluz2745</v>
      </c>
      <c r="C58" t="str">
        <f t="shared" ca="1" si="0"/>
        <v>pswricluz2745</v>
      </c>
      <c r="D58" t="str">
        <f ca="1">Nomes!T59</f>
        <v>Ricardo José Jesus Monteiro</v>
      </c>
      <c r="E58" t="str">
        <f ca="1">Nomes!S59</f>
        <v>Masculino</v>
      </c>
      <c r="F58" s="2">
        <v>30780</v>
      </c>
      <c r="G58" t="str" cm="1">
        <f t="array" aca="1" ref="G58" ca="1">INDEX(rua_cod!$F:$F,RANDBETWEEN(2,COUNTA(rua_cod!F:F)))</f>
        <v>Rua da Betesga</v>
      </c>
      <c r="H58" t="str" cm="1">
        <f t="array" aca="1" ref="H58" ca="1">INDEX(rua_cod!$A:$A,Users!V58) &amp; "-" &amp; TEXT(RANDBETWEEN(0,999),"000")</f>
        <v>2745-240</v>
      </c>
      <c r="I58" t="str" cm="1">
        <f t="array" aca="1" ref="I58" ca="1">INDEX(rua_cod!$B:$B,Users!V58)</f>
        <v>Queluz</v>
      </c>
      <c r="J58" t="s">
        <v>3727</v>
      </c>
      <c r="K58" t="s">
        <v>225</v>
      </c>
      <c r="L58" t="s">
        <v>265</v>
      </c>
      <c r="M58" t="str">
        <f t="shared" ca="1" si="1"/>
        <v>74244520</v>
      </c>
      <c r="N58" t="str">
        <f t="shared" ca="1" si="2"/>
        <v>405096145</v>
      </c>
      <c r="O58" t="str">
        <f t="shared" ca="1" si="2"/>
        <v>476554093</v>
      </c>
      <c r="P58" t="str" cm="1">
        <f t="array" aca="1" ref="P58" ca="1">9 &amp; INDEX($AF$3:$AF$6,W58)&amp; TEXT(RANDBETWEEN(0,9999999),"0000000")</f>
        <v>930943973</v>
      </c>
      <c r="Q58" t="str" cm="1">
        <f t="array" aca="1" ref="Q58" ca="1">LOWER(B58) &amp; INDEX($AF$9:$AF$11,X58)</f>
        <v>ricluz2745@sapo.pt</v>
      </c>
      <c r="R58" t="str">
        <f t="shared" ca="1" si="3"/>
        <v>ricluz2745.jpg</v>
      </c>
      <c r="T58" s="4"/>
      <c r="V58">
        <f ca="1">RANDBETWEEN(2,COUNTA(rua_cod!A:A))</f>
        <v>90</v>
      </c>
      <c r="W58">
        <f t="shared" ca="1" si="4"/>
        <v>3</v>
      </c>
      <c r="X58">
        <f t="shared" ca="1" si="5"/>
        <v>3</v>
      </c>
      <c r="Y58">
        <f t="shared" ca="1" si="6"/>
        <v>2005</v>
      </c>
      <c r="Z58">
        <f t="shared" ca="1" si="7"/>
        <v>7</v>
      </c>
      <c r="AA58">
        <f t="shared" ca="1" si="8"/>
        <v>16</v>
      </c>
      <c r="AB58">
        <f t="shared" ca="1" si="9"/>
        <v>15</v>
      </c>
    </row>
    <row r="59" spans="1:28" x14ac:dyDescent="0.25">
      <c r="A59">
        <v>58</v>
      </c>
      <c r="B59" t="str" cm="1">
        <f t="array" aca="1" ref="B59" ca="1">replaceChar(LOWER(LEFT(D59,3)&amp;RIGHT(I59,3))&amp;LEFT(H59,4))</f>
        <v>leoica2829</v>
      </c>
      <c r="C59" t="str">
        <f t="shared" ca="1" si="0"/>
        <v>pswleoica2829</v>
      </c>
      <c r="D59" t="str">
        <f ca="1">Nomes!T60</f>
        <v>Leonor Diana Santos Sá</v>
      </c>
      <c r="E59" t="str">
        <f ca="1">Nomes!S60</f>
        <v>Feminino</v>
      </c>
      <c r="F59" s="2">
        <v>37531</v>
      </c>
      <c r="G59" t="str" cm="1">
        <f t="array" aca="1" ref="G59" ca="1">INDEX(rua_cod!$F:$F,RANDBETWEEN(2,COUNTA(rua_cod!F:F)))</f>
        <v>Calçada do Poço dos Mouros</v>
      </c>
      <c r="H59" t="str" cm="1">
        <f t="array" aca="1" ref="H59" ca="1">INDEX(rua_cod!$A:$A,Users!V59) &amp; "-" &amp; TEXT(RANDBETWEEN(0,999),"000")</f>
        <v>2829-351</v>
      </c>
      <c r="I59" t="str" cm="1">
        <f t="array" aca="1" ref="I59" ca="1">INDEX(rua_cod!$B:$B,Users!V59)</f>
        <v>Caparica</v>
      </c>
      <c r="J59" t="s">
        <v>3727</v>
      </c>
      <c r="K59" t="s">
        <v>225</v>
      </c>
      <c r="L59" t="s">
        <v>265</v>
      </c>
      <c r="M59" t="str">
        <f t="shared" ca="1" si="1"/>
        <v>57790630</v>
      </c>
      <c r="N59" t="str">
        <f t="shared" ca="1" si="2"/>
        <v>150755259</v>
      </c>
      <c r="O59" t="str">
        <f t="shared" ca="1" si="2"/>
        <v>956412440</v>
      </c>
      <c r="P59" t="str" cm="1">
        <f t="array" aca="1" ref="P59" ca="1">9 &amp; INDEX($AF$3:$AF$6,W59)&amp; TEXT(RANDBETWEEN(0,9999999),"0000000")</f>
        <v>930591779</v>
      </c>
      <c r="Q59" t="str" cm="1">
        <f t="array" aca="1" ref="Q59" ca="1">LOWER(B59) &amp; INDEX($AF$9:$AF$11,X59)</f>
        <v>leoica2829@sapo.pt</v>
      </c>
      <c r="R59" t="str">
        <f t="shared" ca="1" si="3"/>
        <v>leoica2829.jpg</v>
      </c>
      <c r="T59" s="4"/>
      <c r="V59">
        <f ca="1">RANDBETWEEN(2,COUNTA(rua_cod!A:A))</f>
        <v>19</v>
      </c>
      <c r="W59">
        <f t="shared" ca="1" si="4"/>
        <v>3</v>
      </c>
      <c r="X59">
        <f t="shared" ca="1" si="5"/>
        <v>3</v>
      </c>
      <c r="Y59">
        <f t="shared" ca="1" si="6"/>
        <v>2032</v>
      </c>
      <c r="Z59">
        <f t="shared" ca="1" si="7"/>
        <v>10</v>
      </c>
      <c r="AA59">
        <f t="shared" ca="1" si="8"/>
        <v>4</v>
      </c>
      <c r="AB59">
        <f t="shared" ca="1" si="9"/>
        <v>-12</v>
      </c>
    </row>
    <row r="60" spans="1:28" x14ac:dyDescent="0.25">
      <c r="A60">
        <v>59</v>
      </c>
      <c r="B60" t="str" cm="1">
        <f t="array" aca="1" ref="B60" ca="1">replaceChar(LOWER(LEFT(D60,3)&amp;RIGHT(I60,3))&amp;LEFT(H60,4))</f>
        <v>sartra2714</v>
      </c>
      <c r="C60" t="str">
        <f t="shared" ca="1" si="0"/>
        <v>pswsartra2714</v>
      </c>
      <c r="D60" t="str">
        <f ca="1">Nomes!T61</f>
        <v>Sara Ricardo Matias Fonseca</v>
      </c>
      <c r="E60" t="str">
        <f ca="1">Nomes!S61</f>
        <v>Feminino</v>
      </c>
      <c r="F60" s="2">
        <v>43428</v>
      </c>
      <c r="G60" t="str" cm="1">
        <f t="array" aca="1" ref="G60" ca="1">INDEX(rua_cod!$F:$F,RANDBETWEEN(2,COUNTA(rua_cod!F:F)))</f>
        <v>Rua do Guarda-Mor</v>
      </c>
      <c r="H60" t="str" cm="1">
        <f t="array" aca="1" ref="H60" ca="1">INDEX(rua_cod!$A:$A,Users!V60) &amp; "-" &amp; TEXT(RANDBETWEEN(0,999),"000")</f>
        <v>2714-462</v>
      </c>
      <c r="I60" t="str" cm="1">
        <f t="array" aca="1" ref="I60" ca="1">INDEX(rua_cod!$B:$B,Users!V60)</f>
        <v>Sintra</v>
      </c>
      <c r="J60" t="s">
        <v>3727</v>
      </c>
      <c r="K60" t="s">
        <v>225</v>
      </c>
      <c r="L60" t="s">
        <v>265</v>
      </c>
      <c r="M60" t="str">
        <f t="shared" ca="1" si="1"/>
        <v>24248742</v>
      </c>
      <c r="N60" t="str">
        <f t="shared" ca="1" si="2"/>
        <v>808744722</v>
      </c>
      <c r="O60" t="str">
        <f t="shared" ca="1" si="2"/>
        <v>370766459</v>
      </c>
      <c r="P60" t="str" cm="1">
        <f t="array" aca="1" ref="P60" ca="1">9 &amp; INDEX($AF$3:$AF$6,W60)&amp; TEXT(RANDBETWEEN(0,9999999),"0000000")</f>
        <v>926541480</v>
      </c>
      <c r="Q60" t="str" cm="1">
        <f t="array" aca="1" ref="Q60" ca="1">LOWER(B60) &amp; INDEX($AF$9:$AF$11,X60)</f>
        <v>sartra2714@sapo.pt</v>
      </c>
      <c r="R60" t="str">
        <f t="shared" ca="1" si="3"/>
        <v>sartra2714.jpg</v>
      </c>
      <c r="T60" s="4"/>
      <c r="V60">
        <f ca="1">RANDBETWEEN(2,COUNTA(rua_cod!A:A))</f>
        <v>101</v>
      </c>
      <c r="W60">
        <f t="shared" ca="1" si="4"/>
        <v>2</v>
      </c>
      <c r="X60">
        <f t="shared" ca="1" si="5"/>
        <v>3</v>
      </c>
      <c r="Y60">
        <f t="shared" ca="1" si="6"/>
        <v>1972</v>
      </c>
      <c r="Z60">
        <f t="shared" ca="1" si="7"/>
        <v>2</v>
      </c>
      <c r="AA60">
        <f t="shared" ca="1" si="8"/>
        <v>10</v>
      </c>
      <c r="AB60">
        <f t="shared" ca="1" si="9"/>
        <v>48</v>
      </c>
    </row>
    <row r="61" spans="1:28" x14ac:dyDescent="0.25">
      <c r="A61">
        <v>60</v>
      </c>
      <c r="B61" t="str" cm="1">
        <f t="array" aca="1" ref="B61" ca="1">replaceChar(LOWER(LEFT(D61,3)&amp;RIGHT(I61,3))&amp;LEFT(H61,4))</f>
        <v>joaboa1950</v>
      </c>
      <c r="C61" t="str">
        <f t="shared" ca="1" si="0"/>
        <v>pswjoaboa1950</v>
      </c>
      <c r="D61" t="str">
        <f ca="1">Nomes!T62</f>
        <v>Joaquim Duarte Vicente Faria</v>
      </c>
      <c r="E61" t="str">
        <f ca="1">Nomes!S62</f>
        <v>Masculino</v>
      </c>
      <c r="F61" s="2">
        <v>27744</v>
      </c>
      <c r="G61" t="str" cm="1">
        <f t="array" aca="1" ref="G61" ca="1">INDEX(rua_cod!$F:$F,RANDBETWEEN(2,COUNTA(rua_cod!F:F)))</f>
        <v>Rua dos Heróis de Quionga</v>
      </c>
      <c r="H61" t="str" cm="1">
        <f t="array" aca="1" ref="H61" ca="1">INDEX(rua_cod!$A:$A,Users!V61) &amp; "-" &amp; TEXT(RANDBETWEEN(0,999),"000")</f>
        <v>1950-566</v>
      </c>
      <c r="I61" t="str" cm="1">
        <f t="array" aca="1" ref="I61" ca="1">INDEX(rua_cod!$B:$B,Users!V61)</f>
        <v>Lisboa</v>
      </c>
      <c r="J61" t="s">
        <v>3727</v>
      </c>
      <c r="K61" t="s">
        <v>225</v>
      </c>
      <c r="L61" t="s">
        <v>265</v>
      </c>
      <c r="M61" t="str">
        <f t="shared" ca="1" si="1"/>
        <v>19679776</v>
      </c>
      <c r="N61" t="str">
        <f t="shared" ca="1" si="2"/>
        <v>939210165</v>
      </c>
      <c r="O61" t="str">
        <f t="shared" ca="1" si="2"/>
        <v>421118909</v>
      </c>
      <c r="P61" t="str" cm="1">
        <f t="array" aca="1" ref="P61" ca="1">9 &amp; INDEX($AF$3:$AF$6,W61)&amp; TEXT(RANDBETWEEN(0,9999999),"0000000")</f>
        <v>926032594</v>
      </c>
      <c r="Q61" t="str" cm="1">
        <f t="array" aca="1" ref="Q61" ca="1">LOWER(B61) &amp; INDEX($AF$9:$AF$11,X61)</f>
        <v>joaboa1950@outlook.com</v>
      </c>
      <c r="R61" t="str">
        <f t="shared" ca="1" si="3"/>
        <v>joaboa1950.jpg</v>
      </c>
      <c r="T61" s="4"/>
      <c r="V61">
        <f ca="1">RANDBETWEEN(2,COUNTA(rua_cod!A:A))</f>
        <v>41</v>
      </c>
      <c r="W61">
        <f t="shared" ca="1" si="4"/>
        <v>2</v>
      </c>
      <c r="X61">
        <f t="shared" ca="1" si="5"/>
        <v>1</v>
      </c>
      <c r="Y61">
        <f t="shared" ca="1" si="6"/>
        <v>1975</v>
      </c>
      <c r="Z61">
        <f t="shared" ca="1" si="7"/>
        <v>9</v>
      </c>
      <c r="AA61">
        <f t="shared" ca="1" si="8"/>
        <v>14</v>
      </c>
      <c r="AB61">
        <f t="shared" ca="1" si="9"/>
        <v>45</v>
      </c>
    </row>
    <row r="62" spans="1:28" x14ac:dyDescent="0.25">
      <c r="A62">
        <v>61</v>
      </c>
      <c r="B62" t="str" cm="1">
        <f t="array" aca="1" ref="B62" ca="1">replaceChar(LOWER(LEFT(D62,3)&amp;RIGHT(I62,3))&amp;LEFT(H62,4))</f>
        <v>leoboa1959</v>
      </c>
      <c r="C62" t="str">
        <f t="shared" ca="1" si="0"/>
        <v>pswleoboa1959</v>
      </c>
      <c r="D62" t="str">
        <f ca="1">Nomes!T63</f>
        <v>Leonor Joana Henriques Neto</v>
      </c>
      <c r="E62" t="str">
        <f ca="1">Nomes!S63</f>
        <v>Feminino</v>
      </c>
      <c r="F62" s="2">
        <v>39695</v>
      </c>
      <c r="G62" t="str" cm="1">
        <f t="array" aca="1" ref="G62" ca="1">INDEX(rua_cod!$F:$F,RANDBETWEEN(2,COUNTA(rua_cod!F:F)))</f>
        <v>Rua Cidade de Bolama</v>
      </c>
      <c r="H62" t="str" cm="1">
        <f t="array" aca="1" ref="H62" ca="1">INDEX(rua_cod!$A:$A,Users!V62) &amp; "-" &amp; TEXT(RANDBETWEEN(0,999),"000")</f>
        <v>1959-961</v>
      </c>
      <c r="I62" t="str" cm="1">
        <f t="array" aca="1" ref="I62" ca="1">INDEX(rua_cod!$B:$B,Users!V62)</f>
        <v>Lisboa</v>
      </c>
      <c r="J62" t="s">
        <v>3727</v>
      </c>
      <c r="K62" t="s">
        <v>225</v>
      </c>
      <c r="L62" t="s">
        <v>265</v>
      </c>
      <c r="M62" t="str">
        <f t="shared" ca="1" si="1"/>
        <v>11988110</v>
      </c>
      <c r="N62" t="str">
        <f t="shared" ca="1" si="2"/>
        <v>118708332</v>
      </c>
      <c r="O62" t="str">
        <f t="shared" ca="1" si="2"/>
        <v>972158950</v>
      </c>
      <c r="P62" t="str" cm="1">
        <f t="array" aca="1" ref="P62" ca="1">9 &amp; INDEX($AF$3:$AF$6,W62)&amp; TEXT(RANDBETWEEN(0,9999999),"0000000")</f>
        <v>933112707</v>
      </c>
      <c r="Q62" t="str" cm="1">
        <f t="array" aca="1" ref="Q62" ca="1">LOWER(B62) &amp; INDEX($AF$9:$AF$11,X62)</f>
        <v>leoboa1959@outlook.com</v>
      </c>
      <c r="R62" t="str">
        <f t="shared" ca="1" si="3"/>
        <v>leoboa1959.jpg</v>
      </c>
      <c r="T62" s="4"/>
      <c r="V62">
        <f ca="1">RANDBETWEEN(2,COUNTA(rua_cod!A:A))</f>
        <v>72</v>
      </c>
      <c r="W62">
        <f t="shared" ca="1" si="4"/>
        <v>3</v>
      </c>
      <c r="X62">
        <f t="shared" ca="1" si="5"/>
        <v>1</v>
      </c>
      <c r="Y62">
        <f t="shared" ca="1" si="6"/>
        <v>1955</v>
      </c>
      <c r="Z62">
        <f t="shared" ca="1" si="7"/>
        <v>2</v>
      </c>
      <c r="AA62">
        <f t="shared" ca="1" si="8"/>
        <v>12</v>
      </c>
      <c r="AB62">
        <f t="shared" ca="1" si="9"/>
        <v>65</v>
      </c>
    </row>
    <row r="63" spans="1:28" x14ac:dyDescent="0.25">
      <c r="A63">
        <v>62</v>
      </c>
      <c r="B63" t="str" cm="1">
        <f t="array" aca="1" ref="B63" ca="1">replaceChar(LOWER(LEFT(D63,3)&amp;RIGHT(I63,3))&amp;LEFT(H63,4))</f>
        <v>joaboa1999</v>
      </c>
      <c r="C63" t="str">
        <f t="shared" ca="1" si="0"/>
        <v>pswjoaboa1999</v>
      </c>
      <c r="D63" t="str">
        <f ca="1">Nomes!T64</f>
        <v>Joaquim Afonso Antunes Moura</v>
      </c>
      <c r="E63" t="str">
        <f ca="1">Nomes!S64</f>
        <v>Masculino</v>
      </c>
      <c r="F63" s="2">
        <v>30630</v>
      </c>
      <c r="G63" t="str" cm="1">
        <f t="array" aca="1" ref="G63" ca="1">INDEX(rua_cod!$F:$F,RANDBETWEEN(2,COUNTA(rua_cod!F:F)))</f>
        <v>Estrada das Laranjeiras</v>
      </c>
      <c r="H63" t="str" cm="1">
        <f t="array" aca="1" ref="H63" ca="1">INDEX(rua_cod!$A:$A,Users!V63) &amp; "-" &amp; TEXT(RANDBETWEEN(0,999),"000")</f>
        <v>1999-362</v>
      </c>
      <c r="I63" t="str" cm="1">
        <f t="array" aca="1" ref="I63" ca="1">INDEX(rua_cod!$B:$B,Users!V63)</f>
        <v>Lisboa</v>
      </c>
      <c r="J63" t="s">
        <v>3727</v>
      </c>
      <c r="K63" t="s">
        <v>225</v>
      </c>
      <c r="L63" t="s">
        <v>265</v>
      </c>
      <c r="M63" t="str">
        <f t="shared" ca="1" si="1"/>
        <v>13419575</v>
      </c>
      <c r="N63" t="str">
        <f t="shared" ca="1" si="2"/>
        <v>987298350</v>
      </c>
      <c r="O63" t="str">
        <f t="shared" ca="1" si="2"/>
        <v>902917413</v>
      </c>
      <c r="P63" t="str" cm="1">
        <f t="array" aca="1" ref="P63" ca="1">9 &amp; INDEX($AF$3:$AF$6,W63)&amp; TEXT(RANDBETWEEN(0,9999999),"0000000")</f>
        <v>915656843</v>
      </c>
      <c r="Q63" t="str" cm="1">
        <f t="array" aca="1" ref="Q63" ca="1">LOWER(B63) &amp; INDEX($AF$9:$AF$11,X63)</f>
        <v>joaboa1999@outlook.com</v>
      </c>
      <c r="R63" t="str">
        <f t="shared" ca="1" si="3"/>
        <v>joaboa1999.jpg</v>
      </c>
      <c r="T63" s="4"/>
      <c r="V63">
        <f ca="1">RANDBETWEEN(2,COUNTA(rua_cod!A:A))</f>
        <v>79</v>
      </c>
      <c r="W63">
        <f t="shared" ca="1" si="4"/>
        <v>1</v>
      </c>
      <c r="X63">
        <f t="shared" ca="1" si="5"/>
        <v>1</v>
      </c>
      <c r="Y63">
        <f t="shared" ca="1" si="6"/>
        <v>1988</v>
      </c>
      <c r="Z63">
        <f t="shared" ca="1" si="7"/>
        <v>12</v>
      </c>
      <c r="AA63">
        <f t="shared" ca="1" si="8"/>
        <v>2</v>
      </c>
      <c r="AB63">
        <f t="shared" ca="1" si="9"/>
        <v>32</v>
      </c>
    </row>
    <row r="64" spans="1:28" x14ac:dyDescent="0.25">
      <c r="A64">
        <v>63</v>
      </c>
      <c r="B64" t="str" cm="1">
        <f t="array" aca="1" ref="B64" ca="1">replaceChar(LOWER(LEFT(D64,3)&amp;RIGHT(I64,3))&amp;LEFT(H64,4))</f>
        <v>joaboa1769</v>
      </c>
      <c r="C64" t="str">
        <f t="shared" ca="1" si="0"/>
        <v>pswjoaboa1769</v>
      </c>
      <c r="D64" t="str">
        <f ca="1">Nomes!T65</f>
        <v>Joana Carolina Abreu Pinheiro</v>
      </c>
      <c r="E64" t="str">
        <f ca="1">Nomes!S65</f>
        <v>Feminino</v>
      </c>
      <c r="F64" s="2">
        <v>12753</v>
      </c>
      <c r="G64" t="str" cm="1">
        <f t="array" aca="1" ref="G64" ca="1">INDEX(rua_cod!$F:$F,RANDBETWEEN(2,COUNTA(rua_cod!F:F)))</f>
        <v>Rua Cidade de Bolama</v>
      </c>
      <c r="H64" t="str" cm="1">
        <f t="array" aca="1" ref="H64" ca="1">INDEX(rua_cod!$A:$A,Users!V64) &amp; "-" &amp; TEXT(RANDBETWEEN(0,999),"000")</f>
        <v>1769-669</v>
      </c>
      <c r="I64" t="str" cm="1">
        <f t="array" aca="1" ref="I64" ca="1">INDEX(rua_cod!$B:$B,Users!V64)</f>
        <v>Lisboa</v>
      </c>
      <c r="J64" t="s">
        <v>3727</v>
      </c>
      <c r="K64" t="s">
        <v>225</v>
      </c>
      <c r="L64" t="s">
        <v>265</v>
      </c>
      <c r="M64" t="str">
        <f t="shared" ca="1" si="1"/>
        <v>13900603</v>
      </c>
      <c r="N64" t="str">
        <f t="shared" ca="1" si="2"/>
        <v>298613600</v>
      </c>
      <c r="O64" t="str">
        <f t="shared" ca="1" si="2"/>
        <v>341027287</v>
      </c>
      <c r="P64" t="str" cm="1">
        <f t="array" aca="1" ref="P64" ca="1">9 &amp; INDEX($AF$3:$AF$6,W64)&amp; TEXT(RANDBETWEEN(0,9999999),"0000000")</f>
        <v>915631324</v>
      </c>
      <c r="Q64" t="str" cm="1">
        <f t="array" aca="1" ref="Q64" ca="1">LOWER(B64) &amp; INDEX($AF$9:$AF$11,X64)</f>
        <v>joaboa1769@outlook.com</v>
      </c>
      <c r="R64" t="str">
        <f t="shared" ca="1" si="3"/>
        <v>joaboa1769.jpg</v>
      </c>
      <c r="T64" s="4"/>
      <c r="V64">
        <f ca="1">RANDBETWEEN(2,COUNTA(rua_cod!A:A))</f>
        <v>74</v>
      </c>
      <c r="W64">
        <f t="shared" ca="1" si="4"/>
        <v>1</v>
      </c>
      <c r="X64">
        <f t="shared" ca="1" si="5"/>
        <v>1</v>
      </c>
      <c r="Y64">
        <f t="shared" ca="1" si="6"/>
        <v>1979</v>
      </c>
      <c r="Z64">
        <f t="shared" ca="1" si="7"/>
        <v>7</v>
      </c>
      <c r="AA64">
        <f t="shared" ca="1" si="8"/>
        <v>1</v>
      </c>
      <c r="AB64">
        <f t="shared" ca="1" si="9"/>
        <v>41</v>
      </c>
    </row>
    <row r="65" spans="1:28" x14ac:dyDescent="0.25">
      <c r="A65">
        <v>64</v>
      </c>
      <c r="B65" t="str" cm="1">
        <f t="array" aca="1" ref="B65" ca="1">replaceChar(LOWER(LEFT(D65,3)&amp;RIGHT(I65,3))&amp;LEFT(H65,4))</f>
        <v>diaora2650</v>
      </c>
      <c r="C65" t="str">
        <f t="shared" ca="1" si="0"/>
        <v>pswdiaora2650</v>
      </c>
      <c r="D65" t="str">
        <f ca="1">Nomes!T66</f>
        <v>Diana Tomás Pinto Campos</v>
      </c>
      <c r="E65" t="str">
        <f ca="1">Nomes!S66</f>
        <v>Feminino</v>
      </c>
      <c r="F65" s="2">
        <v>13063</v>
      </c>
      <c r="G65" t="str" cm="1">
        <f t="array" aca="1" ref="G65" ca="1">INDEX(rua_cod!$F:$F,RANDBETWEEN(2,COUNTA(rua_cod!F:F)))</f>
        <v>Rua General Morais Sarmento</v>
      </c>
      <c r="H65" t="str" cm="1">
        <f t="array" aca="1" ref="H65" ca="1">INDEX(rua_cod!$A:$A,Users!V65) &amp; "-" &amp; TEXT(RANDBETWEEN(0,999),"000")</f>
        <v>2650-090</v>
      </c>
      <c r="I65" t="str" cm="1">
        <f t="array" aca="1" ref="I65" ca="1">INDEX(rua_cod!$B:$B,Users!V65)</f>
        <v>Amadora</v>
      </c>
      <c r="J65" t="s">
        <v>3727</v>
      </c>
      <c r="K65" t="s">
        <v>225</v>
      </c>
      <c r="L65" t="s">
        <v>265</v>
      </c>
      <c r="M65" t="str">
        <f t="shared" ca="1" si="1"/>
        <v>44912655</v>
      </c>
      <c r="N65" t="str">
        <f t="shared" ca="1" si="2"/>
        <v>167294036</v>
      </c>
      <c r="O65" t="str">
        <f t="shared" ca="1" si="2"/>
        <v>298287315</v>
      </c>
      <c r="P65" t="str" cm="1">
        <f t="array" aca="1" ref="P65" ca="1">9 &amp; INDEX($AF$3:$AF$6,W65)&amp; TEXT(RANDBETWEEN(0,9999999),"0000000")</f>
        <v>918054106</v>
      </c>
      <c r="Q65" t="str" cm="1">
        <f t="array" aca="1" ref="Q65" ca="1">LOWER(B65) &amp; INDEX($AF$9:$AF$11,X65)</f>
        <v>diaora2650@gmail.com</v>
      </c>
      <c r="R65" t="str">
        <f t="shared" ca="1" si="3"/>
        <v>diaora2650.jpg</v>
      </c>
      <c r="T65" s="4"/>
      <c r="V65">
        <f ca="1">RANDBETWEEN(2,COUNTA(rua_cod!A:A))</f>
        <v>9</v>
      </c>
      <c r="W65">
        <f t="shared" ca="1" si="4"/>
        <v>1</v>
      </c>
      <c r="X65">
        <f t="shared" ca="1" si="5"/>
        <v>2</v>
      </c>
      <c r="Y65">
        <f t="shared" ca="1" si="6"/>
        <v>1965</v>
      </c>
      <c r="Z65">
        <f t="shared" ca="1" si="7"/>
        <v>11</v>
      </c>
      <c r="AA65">
        <f t="shared" ca="1" si="8"/>
        <v>5</v>
      </c>
      <c r="AB65">
        <f t="shared" ca="1" si="9"/>
        <v>55</v>
      </c>
    </row>
    <row r="66" spans="1:28" x14ac:dyDescent="0.25">
      <c r="A66">
        <v>65</v>
      </c>
      <c r="B66" t="str" cm="1">
        <f t="array" aca="1" ref="B66" ca="1">replaceChar(LOWER(LEFT(D66,3)&amp;RIGHT(I66,3))&amp;LEFT(H66,4))</f>
        <v>danica2825</v>
      </c>
      <c r="C66" t="str">
        <f t="shared" ca="1" si="0"/>
        <v>pswdanica2825</v>
      </c>
      <c r="D66" t="str">
        <f ca="1">Nomes!T67</f>
        <v>Daniela Martim Paiva Tavares</v>
      </c>
      <c r="E66" t="str">
        <f ca="1">Nomes!S67</f>
        <v>Feminino</v>
      </c>
      <c r="F66" s="2">
        <v>37114</v>
      </c>
      <c r="G66" t="str" cm="1">
        <f t="array" aca="1" ref="G66" ca="1">INDEX(rua_cod!$F:$F,RANDBETWEEN(2,COUNTA(rua_cod!F:F)))</f>
        <v>Rua do Instituto Bacteriológico</v>
      </c>
      <c r="H66" t="str" cm="1">
        <f t="array" aca="1" ref="H66" ca="1">INDEX(rua_cod!$A:$A,Users!V66) &amp; "-" &amp; TEXT(RANDBETWEEN(0,999),"000")</f>
        <v>2825-906</v>
      </c>
      <c r="I66" t="str" cm="1">
        <f t="array" aca="1" ref="I66" ca="1">INDEX(rua_cod!$B:$B,Users!V66)</f>
        <v>Costa de Caparica</v>
      </c>
      <c r="J66" t="s">
        <v>3727</v>
      </c>
      <c r="K66" t="s">
        <v>225</v>
      </c>
      <c r="L66" t="s">
        <v>265</v>
      </c>
      <c r="M66" t="str">
        <f t="shared" ca="1" si="1"/>
        <v>58797338</v>
      </c>
      <c r="N66" t="str">
        <f t="shared" ca="1" si="2"/>
        <v>863703549</v>
      </c>
      <c r="O66" t="str">
        <f t="shared" ca="1" si="2"/>
        <v>829651888</v>
      </c>
      <c r="P66" t="str" cm="1">
        <f t="array" aca="1" ref="P66" ca="1">9 &amp; INDEX($AF$3:$AF$6,W66)&amp; TEXT(RANDBETWEEN(0,9999999),"0000000")</f>
        <v>936866046</v>
      </c>
      <c r="Q66" t="str" cm="1">
        <f t="array" aca="1" ref="Q66" ca="1">LOWER(B66) &amp; INDEX($AF$9:$AF$11,X66)</f>
        <v>danica2825@sapo.pt</v>
      </c>
      <c r="R66" t="str">
        <f t="shared" ca="1" si="3"/>
        <v>danica2825.jpg</v>
      </c>
      <c r="T66" s="4"/>
      <c r="V66">
        <f ca="1">RANDBETWEEN(2,COUNTA(rua_cod!A:A))</f>
        <v>27</v>
      </c>
      <c r="W66">
        <f t="shared" ca="1" si="4"/>
        <v>3</v>
      </c>
      <c r="X66">
        <f t="shared" ca="1" si="5"/>
        <v>3</v>
      </c>
      <c r="Y66">
        <f t="shared" ca="1" si="6"/>
        <v>2011</v>
      </c>
      <c r="Z66">
        <f t="shared" ca="1" si="7"/>
        <v>8</v>
      </c>
      <c r="AA66">
        <f t="shared" ca="1" si="8"/>
        <v>22</v>
      </c>
      <c r="AB66">
        <f t="shared" ca="1" si="9"/>
        <v>9</v>
      </c>
    </row>
    <row r="67" spans="1:28" x14ac:dyDescent="0.25">
      <c r="A67">
        <v>66</v>
      </c>
      <c r="B67" t="str" cm="1">
        <f t="array" aca="1" ref="B67" ca="1">replaceChar(LOWER(LEFT(D67,3)&amp;RIGHT(I67,3))&amp;LEFT(H67,4))</f>
        <v>dioboa1098</v>
      </c>
      <c r="C67" t="str">
        <f t="shared" ref="C67:C130" ca="1" si="10">"psw" &amp; B67</f>
        <v>pswdioboa1098</v>
      </c>
      <c r="D67" t="str">
        <f ca="1">Nomes!T68</f>
        <v>Diogo Marco Carneiro Carneiro</v>
      </c>
      <c r="E67" t="str">
        <f ca="1">Nomes!S68</f>
        <v>Masculino</v>
      </c>
      <c r="F67" s="2">
        <v>19832</v>
      </c>
      <c r="G67" t="str" cm="1">
        <f t="array" aca="1" ref="G67" ca="1">INDEX(rua_cod!$F:$F,RANDBETWEEN(2,COUNTA(rua_cod!F:F)))</f>
        <v>Rua do Salitre</v>
      </c>
      <c r="H67" t="str" cm="1">
        <f t="array" aca="1" ref="H67" ca="1">INDEX(rua_cod!$A:$A,Users!V67) &amp; "-" &amp; TEXT(RANDBETWEEN(0,999),"000")</f>
        <v>1098-874</v>
      </c>
      <c r="I67" t="str" cm="1">
        <f t="array" aca="1" ref="I67" ca="1">INDEX(rua_cod!$B:$B,Users!V67)</f>
        <v>Lisboa</v>
      </c>
      <c r="J67" t="s">
        <v>3727</v>
      </c>
      <c r="K67" t="s">
        <v>225</v>
      </c>
      <c r="L67" t="s">
        <v>265</v>
      </c>
      <c r="M67" t="str">
        <f t="shared" ref="M67:M130" ca="1" si="11">TEXT(RANDBETWEEN(10000000,99999999),"00000000")</f>
        <v>79760674</v>
      </c>
      <c r="N67" t="str">
        <f t="shared" ref="N67:O130" ca="1" si="12">TEXT(RANDBETWEEN(100000000,999999999),"000000000")</f>
        <v>715810703</v>
      </c>
      <c r="O67" t="str">
        <f t="shared" ca="1" si="12"/>
        <v>415105577</v>
      </c>
      <c r="P67" t="str" cm="1">
        <f t="array" aca="1" ref="P67" ca="1">9 &amp; INDEX($AF$3:$AF$6,W67)&amp; TEXT(RANDBETWEEN(0,9999999),"0000000")</f>
        <v>933347498</v>
      </c>
      <c r="Q67" t="str" cm="1">
        <f t="array" aca="1" ref="Q67" ca="1">LOWER(B67) &amp; INDEX($AF$9:$AF$11,X67)</f>
        <v>dioboa1098@outlook.com</v>
      </c>
      <c r="R67" t="str">
        <f t="shared" ref="R67:R130" ca="1" si="13">B67 &amp; ".jpg"</f>
        <v>dioboa1098.jpg</v>
      </c>
      <c r="T67" s="4"/>
      <c r="V67">
        <f ca="1">RANDBETWEEN(2,COUNTA(rua_cod!A:A))</f>
        <v>80</v>
      </c>
      <c r="W67">
        <f t="shared" ref="W67:W130" ca="1" si="14">RANDBETWEEN(1,4)</f>
        <v>3</v>
      </c>
      <c r="X67">
        <f t="shared" ref="X67:X130" ca="1" si="15">RANDBETWEEN(1,3)</f>
        <v>1</v>
      </c>
      <c r="Y67">
        <f t="shared" ref="Y67:Y130" ca="1" si="16">INT(NORMINV(RAND(),1976,22))</f>
        <v>1950</v>
      </c>
      <c r="Z67">
        <f t="shared" ref="Z67:Z130" ca="1" si="17">RANDBETWEEN(1,12)</f>
        <v>5</v>
      </c>
      <c r="AA67">
        <f t="shared" ref="AA67:AA130" ca="1" si="18">RANDBETWEEN(1,31)</f>
        <v>28</v>
      </c>
      <c r="AB67">
        <f t="shared" ref="AB67:AB130" ca="1" si="19">2020-Y67</f>
        <v>70</v>
      </c>
    </row>
    <row r="68" spans="1:28" x14ac:dyDescent="0.25">
      <c r="A68">
        <v>67</v>
      </c>
      <c r="B68" t="str" cm="1">
        <f t="array" aca="1" ref="B68" ca="1">replaceChar(LOWER(LEFT(D68,3)&amp;RIGHT(I68,3))&amp;LEFT(H68,4))</f>
        <v>marboa1200</v>
      </c>
      <c r="C68" t="str">
        <f t="shared" ca="1" si="10"/>
        <v>pswmarboa1200</v>
      </c>
      <c r="D68" t="str">
        <f ca="1">Nomes!T69</f>
        <v>Marco José Brito Vaz</v>
      </c>
      <c r="E68" t="str">
        <f ca="1">Nomes!S69</f>
        <v>Masculino</v>
      </c>
      <c r="F68" s="2">
        <v>11481</v>
      </c>
      <c r="G68" t="str" cm="1">
        <f t="array" aca="1" ref="G68" ca="1">INDEX(rua_cod!$F:$F,RANDBETWEEN(2,COUNTA(rua_cod!F:F)))</f>
        <v>Estrada Militar</v>
      </c>
      <c r="H68" t="str" cm="1">
        <f t="array" aca="1" ref="H68" ca="1">INDEX(rua_cod!$A:$A,Users!V68) &amp; "-" &amp; TEXT(RANDBETWEEN(0,999),"000")</f>
        <v>1200-109</v>
      </c>
      <c r="I68" t="str" cm="1">
        <f t="array" aca="1" ref="I68" ca="1">INDEX(rua_cod!$B:$B,Users!V68)</f>
        <v>Lisboa</v>
      </c>
      <c r="J68" t="s">
        <v>3727</v>
      </c>
      <c r="K68" t="s">
        <v>225</v>
      </c>
      <c r="L68" t="s">
        <v>265</v>
      </c>
      <c r="M68" t="str">
        <f t="shared" ca="1" si="11"/>
        <v>76678503</v>
      </c>
      <c r="N68" t="str">
        <f t="shared" ca="1" si="12"/>
        <v>452787538</v>
      </c>
      <c r="O68" t="str">
        <f t="shared" ca="1" si="12"/>
        <v>951759594</v>
      </c>
      <c r="P68" t="str" cm="1">
        <f t="array" aca="1" ref="P68" ca="1">9 &amp; INDEX($AF$3:$AF$6,W68)&amp; TEXT(RANDBETWEEN(0,9999999),"0000000")</f>
        <v>932321936</v>
      </c>
      <c r="Q68" t="str" cm="1">
        <f t="array" aca="1" ref="Q68" ca="1">LOWER(B68) &amp; INDEX($AF$9:$AF$11,X68)</f>
        <v>marboa1200@outlook.com</v>
      </c>
      <c r="R68" t="str">
        <f t="shared" ca="1" si="13"/>
        <v>marboa1200.jpg</v>
      </c>
      <c r="T68" s="4"/>
      <c r="V68">
        <f ca="1">RANDBETWEEN(2,COUNTA(rua_cod!A:A))</f>
        <v>48</v>
      </c>
      <c r="W68">
        <f t="shared" ca="1" si="14"/>
        <v>3</v>
      </c>
      <c r="X68">
        <f t="shared" ca="1" si="15"/>
        <v>1</v>
      </c>
      <c r="Y68">
        <f t="shared" ca="1" si="16"/>
        <v>1964</v>
      </c>
      <c r="Z68">
        <f t="shared" ca="1" si="17"/>
        <v>11</v>
      </c>
      <c r="AA68">
        <f t="shared" ca="1" si="18"/>
        <v>16</v>
      </c>
      <c r="AB68">
        <f t="shared" ca="1" si="19"/>
        <v>56</v>
      </c>
    </row>
    <row r="69" spans="1:28" x14ac:dyDescent="0.25">
      <c r="A69">
        <v>68</v>
      </c>
      <c r="B69" t="str" cm="1">
        <f t="array" aca="1" ref="B69" ca="1">replaceChar(LOWER(LEFT(D69,3)&amp;RIGHT(I69,3))&amp;LEFT(H69,4))</f>
        <v>sanica2825</v>
      </c>
      <c r="C69" t="str">
        <f t="shared" ca="1" si="10"/>
        <v>pswsanica2825</v>
      </c>
      <c r="D69" t="str">
        <f ca="1">Nomes!T70</f>
        <v>Santiago Duarte Carneiro Matos</v>
      </c>
      <c r="E69" t="str">
        <f ca="1">Nomes!S70</f>
        <v>Masculino</v>
      </c>
      <c r="F69" s="2">
        <v>19996</v>
      </c>
      <c r="G69" t="str" cm="1">
        <f t="array" aca="1" ref="G69" ca="1">INDEX(rua_cod!$F:$F,RANDBETWEEN(2,COUNTA(rua_cod!F:F)))</f>
        <v>Rua Roberto Duarte Silva</v>
      </c>
      <c r="H69" t="str" cm="1">
        <f t="array" aca="1" ref="H69" ca="1">INDEX(rua_cod!$A:$A,Users!V69) &amp; "-" &amp; TEXT(RANDBETWEEN(0,999),"000")</f>
        <v>2825-410</v>
      </c>
      <c r="I69" t="str" cm="1">
        <f t="array" aca="1" ref="I69" ca="1">INDEX(rua_cod!$B:$B,Users!V69)</f>
        <v>Caparica</v>
      </c>
      <c r="J69" t="s">
        <v>3727</v>
      </c>
      <c r="K69" t="s">
        <v>225</v>
      </c>
      <c r="L69" t="s">
        <v>265</v>
      </c>
      <c r="M69" t="str">
        <f t="shared" ca="1" si="11"/>
        <v>90810979</v>
      </c>
      <c r="N69" t="str">
        <f t="shared" ca="1" si="12"/>
        <v>861973185</v>
      </c>
      <c r="O69" t="str">
        <f t="shared" ca="1" si="12"/>
        <v>234794370</v>
      </c>
      <c r="P69" t="str" cm="1">
        <f t="array" aca="1" ref="P69" ca="1">9 &amp; INDEX($AF$3:$AF$6,W69)&amp; TEXT(RANDBETWEEN(0,9999999),"0000000")</f>
        <v>922308073</v>
      </c>
      <c r="Q69" t="str" cm="1">
        <f t="array" aca="1" ref="Q69" ca="1">LOWER(B69) &amp; INDEX($AF$9:$AF$11,X69)</f>
        <v>sanica2825@outlook.com</v>
      </c>
      <c r="R69" t="str">
        <f t="shared" ca="1" si="13"/>
        <v>sanica2825.jpg</v>
      </c>
      <c r="T69" s="4"/>
      <c r="V69">
        <f ca="1">RANDBETWEEN(2,COUNTA(rua_cod!A:A))</f>
        <v>18</v>
      </c>
      <c r="W69">
        <f t="shared" ca="1" si="14"/>
        <v>2</v>
      </c>
      <c r="X69">
        <f t="shared" ca="1" si="15"/>
        <v>1</v>
      </c>
      <c r="Y69">
        <f t="shared" ca="1" si="16"/>
        <v>1953</v>
      </c>
      <c r="Z69">
        <f t="shared" ca="1" si="17"/>
        <v>10</v>
      </c>
      <c r="AA69">
        <f t="shared" ca="1" si="18"/>
        <v>26</v>
      </c>
      <c r="AB69">
        <f t="shared" ca="1" si="19"/>
        <v>67</v>
      </c>
    </row>
    <row r="70" spans="1:28" x14ac:dyDescent="0.25">
      <c r="A70">
        <v>69</v>
      </c>
      <c r="B70" t="str" cm="1">
        <f t="array" aca="1" ref="B70" ca="1">replaceChar(LOWER(LEFT(D70,3)&amp;RIGHT(I70,3))&amp;LEFT(H70,4))</f>
        <v>marijo2870</v>
      </c>
      <c r="C70" t="str">
        <f t="shared" ca="1" si="10"/>
        <v>pswmarijo2870</v>
      </c>
      <c r="D70" t="str">
        <f ca="1">Nomes!T71</f>
        <v>Mariana Diana Pires Azevedo</v>
      </c>
      <c r="E70" t="str">
        <f ca="1">Nomes!S71</f>
        <v>Feminino</v>
      </c>
      <c r="F70" s="2">
        <v>9739</v>
      </c>
      <c r="G70" t="str" cm="1">
        <f t="array" aca="1" ref="G70" ca="1">INDEX(rua_cod!$F:$F,RANDBETWEEN(2,COUNTA(rua_cod!F:F)))</f>
        <v>Estrada da Circunvalação de Lisboa</v>
      </c>
      <c r="H70" t="str" cm="1">
        <f t="array" aca="1" ref="H70" ca="1">INDEX(rua_cod!$A:$A,Users!V70) &amp; "-" &amp; TEXT(RANDBETWEEN(0,999),"000")</f>
        <v>2870-869</v>
      </c>
      <c r="I70" t="str" cm="1">
        <f t="array" aca="1" ref="I70" ca="1">INDEX(rua_cod!$B:$B,Users!V70)</f>
        <v>Montijo</v>
      </c>
      <c r="J70" t="s">
        <v>3727</v>
      </c>
      <c r="K70" t="s">
        <v>225</v>
      </c>
      <c r="L70" t="s">
        <v>265</v>
      </c>
      <c r="M70" t="str">
        <f t="shared" ca="1" si="11"/>
        <v>50300489</v>
      </c>
      <c r="N70" t="str">
        <f t="shared" ca="1" si="12"/>
        <v>984163775</v>
      </c>
      <c r="O70" t="str">
        <f t="shared" ca="1" si="12"/>
        <v>925023074</v>
      </c>
      <c r="P70" t="str" cm="1">
        <f t="array" aca="1" ref="P70" ca="1">9 &amp; INDEX($AF$3:$AF$6,W70)&amp; TEXT(RANDBETWEEN(0,9999999),"0000000")</f>
        <v>968628532</v>
      </c>
      <c r="Q70" t="str" cm="1">
        <f t="array" aca="1" ref="Q70" ca="1">LOWER(B70) &amp; INDEX($AF$9:$AF$11,X70)</f>
        <v>marijo2870@sapo.pt</v>
      </c>
      <c r="R70" t="str">
        <f t="shared" ca="1" si="13"/>
        <v>marijo2870.jpg</v>
      </c>
      <c r="T70" s="4"/>
      <c r="V70">
        <f ca="1">RANDBETWEEN(2,COUNTA(rua_cod!A:A))</f>
        <v>87</v>
      </c>
      <c r="W70">
        <f t="shared" ca="1" si="14"/>
        <v>4</v>
      </c>
      <c r="X70">
        <f t="shared" ca="1" si="15"/>
        <v>3</v>
      </c>
      <c r="Y70">
        <f t="shared" ca="1" si="16"/>
        <v>2022</v>
      </c>
      <c r="Z70">
        <f t="shared" ca="1" si="17"/>
        <v>8</v>
      </c>
      <c r="AA70">
        <f t="shared" ca="1" si="18"/>
        <v>6</v>
      </c>
      <c r="AB70">
        <f t="shared" ca="1" si="19"/>
        <v>-2</v>
      </c>
    </row>
    <row r="71" spans="1:28" x14ac:dyDescent="0.25">
      <c r="A71">
        <v>70</v>
      </c>
      <c r="B71" t="str" cm="1">
        <f t="array" aca="1" ref="B71" ca="1">replaceChar(LOWER(LEFT(D71,3)&amp;RIGHT(I71,3))&amp;LEFT(H71,4))</f>
        <v>joaboa1070</v>
      </c>
      <c r="C71" t="str">
        <f t="shared" ca="1" si="10"/>
        <v>pswjoaboa1070</v>
      </c>
      <c r="D71" t="str">
        <f ca="1">Nomes!T72</f>
        <v>Joana Catarina Alves Reis</v>
      </c>
      <c r="E71" t="str">
        <f ca="1">Nomes!S72</f>
        <v>Feminino</v>
      </c>
      <c r="F71" s="2">
        <v>19419</v>
      </c>
      <c r="G71" t="str" cm="1">
        <f t="array" aca="1" ref="G71" ca="1">INDEX(rua_cod!$F:$F,RANDBETWEEN(2,COUNTA(rua_cod!F:F)))</f>
        <v>Rua General Morais Sarmento</v>
      </c>
      <c r="H71" t="str" cm="1">
        <f t="array" aca="1" ref="H71" ca="1">INDEX(rua_cod!$A:$A,Users!V71) &amp; "-" &amp; TEXT(RANDBETWEEN(0,999),"000")</f>
        <v>1070-775</v>
      </c>
      <c r="I71" t="str" cm="1">
        <f t="array" aca="1" ref="I71" ca="1">INDEX(rua_cod!$B:$B,Users!V71)</f>
        <v>Lisboa</v>
      </c>
      <c r="J71" t="s">
        <v>3727</v>
      </c>
      <c r="K71" t="s">
        <v>225</v>
      </c>
      <c r="L71" t="s">
        <v>265</v>
      </c>
      <c r="M71" t="str">
        <f t="shared" ca="1" si="11"/>
        <v>66125550</v>
      </c>
      <c r="N71" t="str">
        <f t="shared" ca="1" si="12"/>
        <v>692216172</v>
      </c>
      <c r="O71" t="str">
        <f t="shared" ca="1" si="12"/>
        <v>283134422</v>
      </c>
      <c r="P71" t="str" cm="1">
        <f t="array" aca="1" ref="P71" ca="1">9 &amp; INDEX($AF$3:$AF$6,W71)&amp; TEXT(RANDBETWEEN(0,9999999),"0000000")</f>
        <v>937987588</v>
      </c>
      <c r="Q71" t="str" cm="1">
        <f t="array" aca="1" ref="Q71" ca="1">LOWER(B71) &amp; INDEX($AF$9:$AF$11,X71)</f>
        <v>joaboa1070@sapo.pt</v>
      </c>
      <c r="R71" t="str">
        <f t="shared" ca="1" si="13"/>
        <v>joaboa1070.jpg</v>
      </c>
      <c r="T71" s="4"/>
      <c r="V71">
        <f ca="1">RANDBETWEEN(2,COUNTA(rua_cod!A:A))</f>
        <v>51</v>
      </c>
      <c r="W71">
        <f t="shared" ca="1" si="14"/>
        <v>3</v>
      </c>
      <c r="X71">
        <f t="shared" ca="1" si="15"/>
        <v>3</v>
      </c>
      <c r="Y71">
        <f t="shared" ca="1" si="16"/>
        <v>1981</v>
      </c>
      <c r="Z71">
        <f t="shared" ca="1" si="17"/>
        <v>11</v>
      </c>
      <c r="AA71">
        <f t="shared" ca="1" si="18"/>
        <v>25</v>
      </c>
      <c r="AB71">
        <f t="shared" ca="1" si="19"/>
        <v>39</v>
      </c>
    </row>
    <row r="72" spans="1:28" x14ac:dyDescent="0.25">
      <c r="A72">
        <v>71</v>
      </c>
      <c r="B72" t="str" cm="1">
        <f t="array" aca="1" ref="B72" ca="1">replaceChar(LOWER(LEFT(D72,3)&amp;RIGHT(I72,3))&amp;LEFT(H72,4))</f>
        <v>marora2610</v>
      </c>
      <c r="C72" t="str">
        <f t="shared" ca="1" si="10"/>
        <v>pswmarora2610</v>
      </c>
      <c r="D72" t="str">
        <f ca="1">Nomes!T73</f>
        <v>Martim José Castro Silva</v>
      </c>
      <c r="E72" t="str">
        <f ca="1">Nomes!S73</f>
        <v>Masculino</v>
      </c>
      <c r="F72" s="2">
        <v>36001</v>
      </c>
      <c r="G72" t="str" cm="1">
        <f t="array" aca="1" ref="G72" ca="1">INDEX(rua_cod!$F:$F,RANDBETWEEN(2,COUNTA(rua_cod!F:F)))</f>
        <v>Estrada Militar</v>
      </c>
      <c r="H72" t="str" cm="1">
        <f t="array" aca="1" ref="H72" ca="1">INDEX(rua_cod!$A:$A,Users!V72) &amp; "-" &amp; TEXT(RANDBETWEEN(0,999),"000")</f>
        <v>2610-674</v>
      </c>
      <c r="I72" t="str" cm="1">
        <f t="array" aca="1" ref="I72" ca="1">INDEX(rua_cod!$B:$B,Users!V72)</f>
        <v>Amadora</v>
      </c>
      <c r="J72" t="s">
        <v>3727</v>
      </c>
      <c r="K72" t="s">
        <v>225</v>
      </c>
      <c r="L72" t="s">
        <v>265</v>
      </c>
      <c r="M72" t="str">
        <f t="shared" ca="1" si="11"/>
        <v>19030619</v>
      </c>
      <c r="N72" t="str">
        <f t="shared" ca="1" si="12"/>
        <v>954624774</v>
      </c>
      <c r="O72" t="str">
        <f t="shared" ca="1" si="12"/>
        <v>886780050</v>
      </c>
      <c r="P72" t="str" cm="1">
        <f t="array" aca="1" ref="P72" ca="1">9 &amp; INDEX($AF$3:$AF$6,W72)&amp; TEXT(RANDBETWEEN(0,9999999),"0000000")</f>
        <v>933951370</v>
      </c>
      <c r="Q72" t="str" cm="1">
        <f t="array" aca="1" ref="Q72" ca="1">LOWER(B72) &amp; INDEX($AF$9:$AF$11,X72)</f>
        <v>marora2610@outlook.com</v>
      </c>
      <c r="R72" t="str">
        <f t="shared" ca="1" si="13"/>
        <v>marora2610.jpg</v>
      </c>
      <c r="T72" s="4"/>
      <c r="V72">
        <f ca="1">RANDBETWEEN(2,COUNTA(rua_cod!A:A))</f>
        <v>12</v>
      </c>
      <c r="W72">
        <f t="shared" ca="1" si="14"/>
        <v>3</v>
      </c>
      <c r="X72">
        <f t="shared" ca="1" si="15"/>
        <v>1</v>
      </c>
      <c r="Y72">
        <f t="shared" ca="1" si="16"/>
        <v>1966</v>
      </c>
      <c r="Z72">
        <f t="shared" ca="1" si="17"/>
        <v>10</v>
      </c>
      <c r="AA72">
        <f t="shared" ca="1" si="18"/>
        <v>16</v>
      </c>
      <c r="AB72">
        <f t="shared" ca="1" si="19"/>
        <v>54</v>
      </c>
    </row>
    <row r="73" spans="1:28" x14ac:dyDescent="0.25">
      <c r="A73">
        <v>72</v>
      </c>
      <c r="B73" t="str" cm="1">
        <f t="array" aca="1" ref="B73" ca="1">replaceChar(LOWER(LEFT(D73,3)&amp;RIGHT(I73,3))&amp;LEFT(H73,4))</f>
        <v>verboa1849</v>
      </c>
      <c r="C73" t="str">
        <f t="shared" ca="1" si="10"/>
        <v>pswverboa1849</v>
      </c>
      <c r="D73" t="str">
        <f ca="1">Nomes!T74</f>
        <v>Vera Maria Abreu Melo</v>
      </c>
      <c r="E73" t="str">
        <f ca="1">Nomes!S74</f>
        <v>Feminino</v>
      </c>
      <c r="F73" s="2">
        <v>42853</v>
      </c>
      <c r="G73" t="str" cm="1">
        <f t="array" aca="1" ref="G73" ca="1">INDEX(rua_cod!$F:$F,RANDBETWEEN(2,COUNTA(rua_cod!F:F)))</f>
        <v>Estrada das Laranjeiras</v>
      </c>
      <c r="H73" t="str" cm="1">
        <f t="array" aca="1" ref="H73" ca="1">INDEX(rua_cod!$A:$A,Users!V73) &amp; "-" &amp; TEXT(RANDBETWEEN(0,999),"000")</f>
        <v>1849-593</v>
      </c>
      <c r="I73" t="str" cm="1">
        <f t="array" aca="1" ref="I73" ca="1">INDEX(rua_cod!$B:$B,Users!V73)</f>
        <v>Lisboa</v>
      </c>
      <c r="J73" t="s">
        <v>3727</v>
      </c>
      <c r="K73" t="s">
        <v>225</v>
      </c>
      <c r="L73" t="s">
        <v>265</v>
      </c>
      <c r="M73" t="str">
        <f t="shared" ca="1" si="11"/>
        <v>53903980</v>
      </c>
      <c r="N73" t="str">
        <f t="shared" ca="1" si="12"/>
        <v>985398134</v>
      </c>
      <c r="O73" t="str">
        <f t="shared" ca="1" si="12"/>
        <v>290342492</v>
      </c>
      <c r="P73" t="str" cm="1">
        <f t="array" aca="1" ref="P73" ca="1">9 &amp; INDEX($AF$3:$AF$6,W73)&amp; TEXT(RANDBETWEEN(0,9999999),"0000000")</f>
        <v>936320492</v>
      </c>
      <c r="Q73" t="str" cm="1">
        <f t="array" aca="1" ref="Q73" ca="1">LOWER(B73) &amp; INDEX($AF$9:$AF$11,X73)</f>
        <v>verboa1849@sapo.pt</v>
      </c>
      <c r="R73" t="str">
        <f t="shared" ca="1" si="13"/>
        <v>verboa1849.jpg</v>
      </c>
      <c r="T73" s="4"/>
      <c r="V73">
        <f ca="1">RANDBETWEEN(2,COUNTA(rua_cod!A:A))</f>
        <v>64</v>
      </c>
      <c r="W73">
        <f t="shared" ca="1" si="14"/>
        <v>3</v>
      </c>
      <c r="X73">
        <f t="shared" ca="1" si="15"/>
        <v>3</v>
      </c>
      <c r="Y73">
        <f t="shared" ca="1" si="16"/>
        <v>1950</v>
      </c>
      <c r="Z73">
        <f t="shared" ca="1" si="17"/>
        <v>8</v>
      </c>
      <c r="AA73">
        <f t="shared" ca="1" si="18"/>
        <v>17</v>
      </c>
      <c r="AB73">
        <f t="shared" ca="1" si="19"/>
        <v>70</v>
      </c>
    </row>
    <row r="74" spans="1:28" x14ac:dyDescent="0.25">
      <c r="A74">
        <v>73</v>
      </c>
      <c r="B74" t="str" cm="1">
        <f t="array" aca="1" ref="B74" ca="1">replaceChar(LOWER(LEFT(D74,3)&amp;RIGHT(I74,3))&amp;LEFT(H74,4))</f>
        <v>verora2700</v>
      </c>
      <c r="C74" t="str">
        <f t="shared" ca="1" si="10"/>
        <v>pswverora2700</v>
      </c>
      <c r="D74" t="str">
        <f ca="1">Nomes!T75</f>
        <v>Vera Lurdes Machado Martins</v>
      </c>
      <c r="E74" t="str">
        <f ca="1">Nomes!S75</f>
        <v>Feminino</v>
      </c>
      <c r="F74" s="2">
        <v>38941</v>
      </c>
      <c r="G74" t="str" cm="1">
        <f t="array" aca="1" ref="G74" ca="1">INDEX(rua_cod!$F:$F,RANDBETWEEN(2,COUNTA(rua_cod!F:F)))</f>
        <v>Rua do Sacramento à Lapa</v>
      </c>
      <c r="H74" t="str" cm="1">
        <f t="array" aca="1" ref="H74" ca="1">INDEX(rua_cod!$A:$A,Users!V74) &amp; "-" &amp; TEXT(RANDBETWEEN(0,999),"000")</f>
        <v>2700-161</v>
      </c>
      <c r="I74" t="str" cm="1">
        <f t="array" aca="1" ref="I74" ca="1">INDEX(rua_cod!$B:$B,Users!V74)</f>
        <v>Amadora</v>
      </c>
      <c r="J74" t="s">
        <v>3727</v>
      </c>
      <c r="K74" t="s">
        <v>225</v>
      </c>
      <c r="L74" t="s">
        <v>265</v>
      </c>
      <c r="M74" t="str">
        <f t="shared" ca="1" si="11"/>
        <v>77929869</v>
      </c>
      <c r="N74" t="str">
        <f t="shared" ca="1" si="12"/>
        <v>518019066</v>
      </c>
      <c r="O74" t="str">
        <f t="shared" ca="1" si="12"/>
        <v>486205355</v>
      </c>
      <c r="P74" t="str" cm="1">
        <f t="array" aca="1" ref="P74" ca="1">9 &amp; INDEX($AF$3:$AF$6,W74)&amp; TEXT(RANDBETWEEN(0,9999999),"0000000")</f>
        <v>915576554</v>
      </c>
      <c r="Q74" t="str" cm="1">
        <f t="array" aca="1" ref="Q74" ca="1">LOWER(B74) &amp; INDEX($AF$9:$AF$11,X74)</f>
        <v>verora2700@sapo.pt</v>
      </c>
      <c r="R74" t="str">
        <f t="shared" ca="1" si="13"/>
        <v>verora2700.jpg</v>
      </c>
      <c r="T74" s="4"/>
      <c r="V74">
        <f ca="1">RANDBETWEEN(2,COUNTA(rua_cod!A:A))</f>
        <v>10</v>
      </c>
      <c r="W74">
        <f t="shared" ca="1" si="14"/>
        <v>1</v>
      </c>
      <c r="X74">
        <f t="shared" ca="1" si="15"/>
        <v>3</v>
      </c>
      <c r="Y74">
        <f t="shared" ca="1" si="16"/>
        <v>1955</v>
      </c>
      <c r="Z74">
        <f t="shared" ca="1" si="17"/>
        <v>1</v>
      </c>
      <c r="AA74">
        <f t="shared" ca="1" si="18"/>
        <v>21</v>
      </c>
      <c r="AB74">
        <f t="shared" ca="1" si="19"/>
        <v>65</v>
      </c>
    </row>
    <row r="75" spans="1:28" x14ac:dyDescent="0.25">
      <c r="A75">
        <v>74</v>
      </c>
      <c r="B75" t="str" cm="1">
        <f t="array" aca="1" ref="B75" ca="1">replaceChar(LOWER(LEFT(D75,3)&amp;RIGHT(I75,3))&amp;LEFT(H75,4))</f>
        <v>mariro2834</v>
      </c>
      <c r="C75" t="str">
        <f t="shared" ca="1" si="10"/>
        <v>pswmariro2834</v>
      </c>
      <c r="D75" t="str">
        <f ca="1">Nomes!T76</f>
        <v>Mariana Sofia Monteiro Gaspar</v>
      </c>
      <c r="E75" t="str">
        <f ca="1">Nomes!S76</f>
        <v>Feminino</v>
      </c>
      <c r="F75" s="2">
        <v>19821</v>
      </c>
      <c r="G75" t="str" cm="1">
        <f t="array" aca="1" ref="G75" ca="1">INDEX(rua_cod!$F:$F,RANDBETWEEN(2,COUNTA(rua_cod!F:F)))</f>
        <v>Rua do Sol a Santana</v>
      </c>
      <c r="H75" t="str" cm="1">
        <f t="array" aca="1" ref="H75" ca="1">INDEX(rua_cod!$A:$A,Users!V75) &amp; "-" &amp; TEXT(RANDBETWEEN(0,999),"000")</f>
        <v>2834-600</v>
      </c>
      <c r="I75" t="str" cm="1">
        <f t="array" aca="1" ref="I75" ca="1">INDEX(rua_cod!$B:$B,Users!V75)</f>
        <v>Barreiro</v>
      </c>
      <c r="J75" t="s">
        <v>3727</v>
      </c>
      <c r="K75" t="s">
        <v>225</v>
      </c>
      <c r="L75" t="s">
        <v>265</v>
      </c>
      <c r="M75" t="str">
        <f t="shared" ca="1" si="11"/>
        <v>23196472</v>
      </c>
      <c r="N75" t="str">
        <f t="shared" ca="1" si="12"/>
        <v>265514752</v>
      </c>
      <c r="O75" t="str">
        <f t="shared" ca="1" si="12"/>
        <v>833821111</v>
      </c>
      <c r="P75" t="str" cm="1">
        <f t="array" aca="1" ref="P75" ca="1">9 &amp; INDEX($AF$3:$AF$6,W75)&amp; TEXT(RANDBETWEEN(0,9999999),"0000000")</f>
        <v>922953355</v>
      </c>
      <c r="Q75" t="str" cm="1">
        <f t="array" aca="1" ref="Q75" ca="1">LOWER(B75) &amp; INDEX($AF$9:$AF$11,X75)</f>
        <v>mariro2834@gmail.com</v>
      </c>
      <c r="R75" t="str">
        <f t="shared" ca="1" si="13"/>
        <v>mariro2834.jpg</v>
      </c>
      <c r="T75" s="4"/>
      <c r="V75">
        <f ca="1">RANDBETWEEN(2,COUNTA(rua_cod!A:A))</f>
        <v>17</v>
      </c>
      <c r="W75">
        <f t="shared" ca="1" si="14"/>
        <v>2</v>
      </c>
      <c r="X75">
        <f t="shared" ca="1" si="15"/>
        <v>2</v>
      </c>
      <c r="Y75">
        <f t="shared" ca="1" si="16"/>
        <v>1940</v>
      </c>
      <c r="Z75">
        <f t="shared" ca="1" si="17"/>
        <v>11</v>
      </c>
      <c r="AA75">
        <f t="shared" ca="1" si="18"/>
        <v>26</v>
      </c>
      <c r="AB75">
        <f t="shared" ca="1" si="19"/>
        <v>80</v>
      </c>
    </row>
    <row r="76" spans="1:28" x14ac:dyDescent="0.25">
      <c r="A76">
        <v>75</v>
      </c>
      <c r="B76" t="str" cm="1">
        <f t="array" aca="1" ref="B76" ca="1">replaceChar(LOWER(LEFT(D76,3)&amp;RIGHT(I76,3))&amp;LEFT(H76,4))</f>
        <v>luiluz2749</v>
      </c>
      <c r="C76" t="str">
        <f t="shared" ca="1" si="10"/>
        <v>pswluiluz2749</v>
      </c>
      <c r="D76" t="str">
        <f ca="1">Nomes!T77</f>
        <v>Luís Ana Brito Matos</v>
      </c>
      <c r="E76" t="str">
        <f ca="1">Nomes!S77</f>
        <v>Masculino</v>
      </c>
      <c r="F76" s="2">
        <v>41522</v>
      </c>
      <c r="G76" t="str" cm="1">
        <f t="array" aca="1" ref="G76" ca="1">INDEX(rua_cod!$F:$F,RANDBETWEEN(2,COUNTA(rua_cod!F:F)))</f>
        <v>Estrada das Laranjeiras</v>
      </c>
      <c r="H76" t="str" cm="1">
        <f t="array" aca="1" ref="H76" ca="1">INDEX(rua_cod!$A:$A,Users!V76) &amp; "-" &amp; TEXT(RANDBETWEEN(0,999),"000")</f>
        <v>2749-674</v>
      </c>
      <c r="I76" t="str" cm="1">
        <f t="array" aca="1" ref="I76" ca="1">INDEX(rua_cod!$B:$B,Users!V76)</f>
        <v>Queluz</v>
      </c>
      <c r="J76" t="s">
        <v>3727</v>
      </c>
      <c r="K76" t="s">
        <v>225</v>
      </c>
      <c r="L76" t="s">
        <v>265</v>
      </c>
      <c r="M76" t="str">
        <f t="shared" ca="1" si="11"/>
        <v>74080524</v>
      </c>
      <c r="N76" t="str">
        <f t="shared" ca="1" si="12"/>
        <v>969478869</v>
      </c>
      <c r="O76" t="str">
        <f t="shared" ca="1" si="12"/>
        <v>173603522</v>
      </c>
      <c r="P76" t="str" cm="1">
        <f t="array" aca="1" ref="P76" ca="1">9 &amp; INDEX($AF$3:$AF$6,W76)&amp; TEXT(RANDBETWEEN(0,9999999),"0000000")</f>
        <v>917022753</v>
      </c>
      <c r="Q76" t="str" cm="1">
        <f t="array" aca="1" ref="Q76" ca="1">LOWER(B76) &amp; INDEX($AF$9:$AF$11,X76)</f>
        <v>luiluz2749@gmail.com</v>
      </c>
      <c r="R76" t="str">
        <f t="shared" ca="1" si="13"/>
        <v>luiluz2749.jpg</v>
      </c>
      <c r="T76" s="4"/>
      <c r="V76">
        <f ca="1">RANDBETWEEN(2,COUNTA(rua_cod!A:A))</f>
        <v>91</v>
      </c>
      <c r="W76">
        <f t="shared" ca="1" si="14"/>
        <v>1</v>
      </c>
      <c r="X76">
        <f t="shared" ca="1" si="15"/>
        <v>2</v>
      </c>
      <c r="Y76">
        <f t="shared" ca="1" si="16"/>
        <v>1957</v>
      </c>
      <c r="Z76">
        <f t="shared" ca="1" si="17"/>
        <v>8</v>
      </c>
      <c r="AA76">
        <f t="shared" ca="1" si="18"/>
        <v>16</v>
      </c>
      <c r="AB76">
        <f t="shared" ca="1" si="19"/>
        <v>63</v>
      </c>
    </row>
    <row r="77" spans="1:28" x14ac:dyDescent="0.25">
      <c r="A77">
        <v>76</v>
      </c>
      <c r="B77" t="str" cm="1">
        <f t="array" aca="1" ref="B77" ca="1">replaceChar(LOWER(LEFT(D77,3)&amp;RIGHT(I77,3))&amp;LEFT(H77,4))</f>
        <v>sarboa1400</v>
      </c>
      <c r="C77" t="str">
        <f t="shared" ca="1" si="10"/>
        <v>pswsarboa1400</v>
      </c>
      <c r="D77" t="str">
        <f ca="1">Nomes!T78</f>
        <v>Sara Tomás Araújo Barbosa</v>
      </c>
      <c r="E77" t="str">
        <f ca="1">Nomes!S78</f>
        <v>Feminino</v>
      </c>
      <c r="F77" s="2">
        <v>24620</v>
      </c>
      <c r="G77" t="str" cm="1">
        <f t="array" aca="1" ref="G77" ca="1">INDEX(rua_cod!$F:$F,RANDBETWEEN(2,COUNTA(rua_cod!F:F)))</f>
        <v>Rua dos Fanqueiros</v>
      </c>
      <c r="H77" t="str" cm="1">
        <f t="array" aca="1" ref="H77" ca="1">INDEX(rua_cod!$A:$A,Users!V77) &amp; "-" &amp; TEXT(RANDBETWEEN(0,999),"000")</f>
        <v>1400-471</v>
      </c>
      <c r="I77" t="str" cm="1">
        <f t="array" aca="1" ref="I77" ca="1">INDEX(rua_cod!$B:$B,Users!V77)</f>
        <v>Lisboa</v>
      </c>
      <c r="J77" t="s">
        <v>3727</v>
      </c>
      <c r="K77" t="s">
        <v>225</v>
      </c>
      <c r="L77" t="s">
        <v>265</v>
      </c>
      <c r="M77" t="str">
        <f t="shared" ca="1" si="11"/>
        <v>18157175</v>
      </c>
      <c r="N77" t="str">
        <f t="shared" ca="1" si="12"/>
        <v>637698033</v>
      </c>
      <c r="O77" t="str">
        <f t="shared" ca="1" si="12"/>
        <v>839492713</v>
      </c>
      <c r="P77" t="str" cm="1">
        <f t="array" aca="1" ref="P77" ca="1">9 &amp; INDEX($AF$3:$AF$6,W77)&amp; TEXT(RANDBETWEEN(0,9999999),"0000000")</f>
        <v>916046950</v>
      </c>
      <c r="Q77" t="str" cm="1">
        <f t="array" aca="1" ref="Q77" ca="1">LOWER(B77) &amp; INDEX($AF$9:$AF$11,X77)</f>
        <v>sarboa1400@sapo.pt</v>
      </c>
      <c r="R77" t="str">
        <f t="shared" ca="1" si="13"/>
        <v>sarboa1400.jpg</v>
      </c>
      <c r="T77" s="4"/>
      <c r="V77">
        <f ca="1">RANDBETWEEN(2,COUNTA(rua_cod!A:A))</f>
        <v>57</v>
      </c>
      <c r="W77">
        <f t="shared" ca="1" si="14"/>
        <v>1</v>
      </c>
      <c r="X77">
        <f t="shared" ca="1" si="15"/>
        <v>3</v>
      </c>
      <c r="Y77">
        <f t="shared" ca="1" si="16"/>
        <v>1988</v>
      </c>
      <c r="Z77">
        <f t="shared" ca="1" si="17"/>
        <v>3</v>
      </c>
      <c r="AA77">
        <f t="shared" ca="1" si="18"/>
        <v>24</v>
      </c>
      <c r="AB77">
        <f t="shared" ca="1" si="19"/>
        <v>32</v>
      </c>
    </row>
    <row r="78" spans="1:28" x14ac:dyDescent="0.25">
      <c r="A78">
        <v>77</v>
      </c>
      <c r="B78" t="str" cm="1">
        <f t="array" aca="1" ref="B78" ca="1">replaceChar(LOWER(LEFT(D78,3)&amp;RIGHT(I78,3))&amp;LEFT(H78,4))</f>
        <v>lurboa1700</v>
      </c>
      <c r="C78" t="str">
        <f t="shared" ca="1" si="10"/>
        <v>pswlurboa1700</v>
      </c>
      <c r="D78" t="str">
        <f ca="1">Nomes!T79</f>
        <v>Lurdes Beatriz Carvalho Andrade</v>
      </c>
      <c r="E78" t="str">
        <f ca="1">Nomes!S79</f>
        <v>Feminino</v>
      </c>
      <c r="F78" s="2">
        <v>24983</v>
      </c>
      <c r="G78" t="str" cm="1">
        <f t="array" aca="1" ref="G78" ca="1">INDEX(rua_cod!$F:$F,RANDBETWEEN(2,COUNTA(rua_cod!F:F)))</f>
        <v>Rua Júlio César Machado</v>
      </c>
      <c r="H78" t="str" cm="1">
        <f t="array" aca="1" ref="H78" ca="1">INDEX(rua_cod!$A:$A,Users!V78) &amp; "-" &amp; TEXT(RANDBETWEEN(0,999),"000")</f>
        <v>1700-740</v>
      </c>
      <c r="I78" t="str" cm="1">
        <f t="array" aca="1" ref="I78" ca="1">INDEX(rua_cod!$B:$B,Users!V78)</f>
        <v>Lisboa</v>
      </c>
      <c r="J78" t="s">
        <v>3727</v>
      </c>
      <c r="K78" t="s">
        <v>225</v>
      </c>
      <c r="L78" t="s">
        <v>265</v>
      </c>
      <c r="M78" t="str">
        <f t="shared" ca="1" si="11"/>
        <v>58940650</v>
      </c>
      <c r="N78" t="str">
        <f t="shared" ca="1" si="12"/>
        <v>129532237</v>
      </c>
      <c r="O78" t="str">
        <f t="shared" ca="1" si="12"/>
        <v>350477547</v>
      </c>
      <c r="P78" t="str" cm="1">
        <f t="array" aca="1" ref="P78" ca="1">9 &amp; INDEX($AF$3:$AF$6,W78)&amp; TEXT(RANDBETWEEN(0,9999999),"0000000")</f>
        <v>911474782</v>
      </c>
      <c r="Q78" t="str" cm="1">
        <f t="array" aca="1" ref="Q78" ca="1">LOWER(B78) &amp; INDEX($AF$9:$AF$11,X78)</f>
        <v>lurboa1700@gmail.com</v>
      </c>
      <c r="R78" t="str">
        <f t="shared" ca="1" si="13"/>
        <v>lurboa1700.jpg</v>
      </c>
      <c r="T78" s="4"/>
      <c r="V78">
        <f ca="1">RANDBETWEEN(2,COUNTA(rua_cod!A:A))</f>
        <v>40</v>
      </c>
      <c r="W78">
        <f t="shared" ca="1" si="14"/>
        <v>1</v>
      </c>
      <c r="X78">
        <f t="shared" ca="1" si="15"/>
        <v>2</v>
      </c>
      <c r="Y78">
        <f t="shared" ca="1" si="16"/>
        <v>1991</v>
      </c>
      <c r="Z78">
        <f t="shared" ca="1" si="17"/>
        <v>10</v>
      </c>
      <c r="AA78">
        <f t="shared" ca="1" si="18"/>
        <v>10</v>
      </c>
      <c r="AB78">
        <f t="shared" ca="1" si="19"/>
        <v>29</v>
      </c>
    </row>
    <row r="79" spans="1:28" x14ac:dyDescent="0.25">
      <c r="A79">
        <v>78</v>
      </c>
      <c r="B79" t="str" cm="1">
        <f t="array" aca="1" ref="B79" ca="1">replaceChar(LOWER(LEFT(D79,3)&amp;RIGHT(I79,3))&amp;LEFT(H79,4))</f>
        <v>aforem2005</v>
      </c>
      <c r="C79" t="str">
        <f t="shared" ca="1" si="10"/>
        <v>pswaforem2005</v>
      </c>
      <c r="D79" t="str">
        <f ca="1">Nomes!T80</f>
        <v>Afonso Catarina Nascimento Borges</v>
      </c>
      <c r="E79" t="str">
        <f ca="1">Nomes!S80</f>
        <v>Masculino</v>
      </c>
      <c r="F79" s="2">
        <v>28641</v>
      </c>
      <c r="G79" t="str" cm="1">
        <f t="array" aca="1" ref="G79" ca="1">INDEX(rua_cod!$F:$F,RANDBETWEEN(2,COUNTA(rua_cod!F:F)))</f>
        <v>Rua da Junqueira</v>
      </c>
      <c r="H79" t="str" cm="1">
        <f t="array" aca="1" ref="H79" ca="1">INDEX(rua_cod!$A:$A,Users!V79) &amp; "-" &amp; TEXT(RANDBETWEEN(0,999),"000")</f>
        <v>2005-657</v>
      </c>
      <c r="I79" t="str" cm="1">
        <f t="array" aca="1" ref="I79" ca="1">INDEX(rua_cod!$B:$B,Users!V79)</f>
        <v>Santarém</v>
      </c>
      <c r="J79" t="s">
        <v>3727</v>
      </c>
      <c r="K79" t="s">
        <v>225</v>
      </c>
      <c r="L79" t="s">
        <v>265</v>
      </c>
      <c r="M79" t="str">
        <f t="shared" ca="1" si="11"/>
        <v>30406067</v>
      </c>
      <c r="N79" t="str">
        <f t="shared" ca="1" si="12"/>
        <v>469475077</v>
      </c>
      <c r="O79" t="str">
        <f t="shared" ca="1" si="12"/>
        <v>622369001</v>
      </c>
      <c r="P79" t="str" cm="1">
        <f t="array" aca="1" ref="P79" ca="1">9 &amp; INDEX($AF$3:$AF$6,W79)&amp; TEXT(RANDBETWEEN(0,9999999),"0000000")</f>
        <v>965171692</v>
      </c>
      <c r="Q79" t="str" cm="1">
        <f t="array" aca="1" ref="Q79" ca="1">LOWER(B79) &amp; INDEX($AF$9:$AF$11,X79)</f>
        <v>aforem2005@sapo.pt</v>
      </c>
      <c r="R79" t="str">
        <f t="shared" ca="1" si="13"/>
        <v>aforem2005.jpg</v>
      </c>
      <c r="T79" s="4"/>
      <c r="V79">
        <f ca="1">RANDBETWEEN(2,COUNTA(rua_cod!A:A))</f>
        <v>92</v>
      </c>
      <c r="W79">
        <f t="shared" ca="1" si="14"/>
        <v>4</v>
      </c>
      <c r="X79">
        <f t="shared" ca="1" si="15"/>
        <v>3</v>
      </c>
      <c r="Y79">
        <f t="shared" ca="1" si="16"/>
        <v>1985</v>
      </c>
      <c r="Z79">
        <f t="shared" ca="1" si="17"/>
        <v>7</v>
      </c>
      <c r="AA79">
        <f t="shared" ca="1" si="18"/>
        <v>1</v>
      </c>
      <c r="AB79">
        <f t="shared" ca="1" si="19"/>
        <v>35</v>
      </c>
    </row>
    <row r="80" spans="1:28" x14ac:dyDescent="0.25">
      <c r="A80">
        <v>79</v>
      </c>
      <c r="B80" t="str" cm="1">
        <f t="array" aca="1" ref="B80" ca="1">replaceChar(LOWER(LEFT(D80,3)&amp;RIGHT(I80,3))&amp;LEFT(H80,4))</f>
        <v>brurem2009</v>
      </c>
      <c r="C80" t="str">
        <f t="shared" ca="1" si="10"/>
        <v>pswbrurem2009</v>
      </c>
      <c r="D80" t="str">
        <f ca="1">Nomes!T81</f>
        <v>Bruno Catarina Leite Teixeira</v>
      </c>
      <c r="E80" t="str">
        <f ca="1">Nomes!S81</f>
        <v>Masculino</v>
      </c>
      <c r="F80" s="2">
        <v>35043</v>
      </c>
      <c r="G80" t="str" cm="1">
        <f t="array" aca="1" ref="G80" ca="1">INDEX(rua_cod!$F:$F,RANDBETWEEN(2,COUNTA(rua_cod!F:F)))</f>
        <v>Rua dos Fanqueiros</v>
      </c>
      <c r="H80" t="str" cm="1">
        <f t="array" aca="1" ref="H80" ca="1">INDEX(rua_cod!$A:$A,Users!V80) &amp; "-" &amp; TEXT(RANDBETWEEN(0,999),"000")</f>
        <v>2009-217</v>
      </c>
      <c r="I80" t="str" cm="1">
        <f t="array" aca="1" ref="I80" ca="1">INDEX(rua_cod!$B:$B,Users!V80)</f>
        <v>Santarém</v>
      </c>
      <c r="J80" t="s">
        <v>3727</v>
      </c>
      <c r="K80" t="s">
        <v>225</v>
      </c>
      <c r="L80" t="s">
        <v>265</v>
      </c>
      <c r="M80" t="str">
        <f t="shared" ca="1" si="11"/>
        <v>91202584</v>
      </c>
      <c r="N80" t="str">
        <f t="shared" ca="1" si="12"/>
        <v>240042965</v>
      </c>
      <c r="O80" t="str">
        <f t="shared" ca="1" si="12"/>
        <v>943877769</v>
      </c>
      <c r="P80" t="str" cm="1">
        <f t="array" aca="1" ref="P80" ca="1">9 &amp; INDEX($AF$3:$AF$6,W80)&amp; TEXT(RANDBETWEEN(0,9999999),"0000000")</f>
        <v>917360191</v>
      </c>
      <c r="Q80" t="str" cm="1">
        <f t="array" aca="1" ref="Q80" ca="1">LOWER(B80) &amp; INDEX($AF$9:$AF$11,X80)</f>
        <v>brurem2009@gmail.com</v>
      </c>
      <c r="R80" t="str">
        <f t="shared" ca="1" si="13"/>
        <v>brurem2009.jpg</v>
      </c>
      <c r="T80" s="4"/>
      <c r="V80">
        <f ca="1">RANDBETWEEN(2,COUNTA(rua_cod!A:A))</f>
        <v>95</v>
      </c>
      <c r="W80">
        <f t="shared" ca="1" si="14"/>
        <v>1</v>
      </c>
      <c r="X80">
        <f t="shared" ca="1" si="15"/>
        <v>2</v>
      </c>
      <c r="Y80">
        <f t="shared" ca="1" si="16"/>
        <v>1962</v>
      </c>
      <c r="Z80">
        <f t="shared" ca="1" si="17"/>
        <v>5</v>
      </c>
      <c r="AA80">
        <f t="shared" ca="1" si="18"/>
        <v>20</v>
      </c>
      <c r="AB80">
        <f t="shared" ca="1" si="19"/>
        <v>58</v>
      </c>
    </row>
    <row r="81" spans="1:28" x14ac:dyDescent="0.25">
      <c r="A81">
        <v>80</v>
      </c>
      <c r="B81" t="str" cm="1">
        <f t="array" aca="1" ref="B81" ca="1">replaceChar(LOWER(LEFT(D81,3)&amp;RIGHT(I81,3))&amp;LEFT(H81,4))</f>
        <v>diaais2754</v>
      </c>
      <c r="C81" t="str">
        <f t="shared" ca="1" si="10"/>
        <v>pswdiaais2754</v>
      </c>
      <c r="D81" t="str">
        <f ca="1">Nomes!T82</f>
        <v>Diana Diogo Simões Lima</v>
      </c>
      <c r="E81" t="str">
        <f ca="1">Nomes!S82</f>
        <v>Feminino</v>
      </c>
      <c r="F81" s="2">
        <v>22527</v>
      </c>
      <c r="G81" t="str" cm="1">
        <f t="array" aca="1" ref="G81" ca="1">INDEX(rua_cod!$F:$F,RANDBETWEEN(2,COUNTA(rua_cod!F:F)))</f>
        <v>Calçada de Carriche</v>
      </c>
      <c r="H81" t="str" cm="1">
        <f t="array" aca="1" ref="H81" ca="1">INDEX(rua_cod!$A:$A,Users!V81) &amp; "-" &amp; TEXT(RANDBETWEEN(0,999),"000")</f>
        <v>2754-680</v>
      </c>
      <c r="I81" t="str" cm="1">
        <f t="array" aca="1" ref="I81" ca="1">INDEX(rua_cod!$B:$B,Users!V81)</f>
        <v>Cascais</v>
      </c>
      <c r="J81" t="s">
        <v>3727</v>
      </c>
      <c r="K81" t="s">
        <v>225</v>
      </c>
      <c r="L81" t="s">
        <v>265</v>
      </c>
      <c r="M81" t="str">
        <f t="shared" ca="1" si="11"/>
        <v>49379663</v>
      </c>
      <c r="N81" t="str">
        <f t="shared" ca="1" si="12"/>
        <v>949676953</v>
      </c>
      <c r="O81" t="str">
        <f t="shared" ca="1" si="12"/>
        <v>289820751</v>
      </c>
      <c r="P81" t="str" cm="1">
        <f t="array" aca="1" ref="P81" ca="1">9 &amp; INDEX($AF$3:$AF$6,W81)&amp; TEXT(RANDBETWEEN(0,9999999),"0000000")</f>
        <v>961131709</v>
      </c>
      <c r="Q81" t="str" cm="1">
        <f t="array" aca="1" ref="Q81" ca="1">LOWER(B81) &amp; INDEX($AF$9:$AF$11,X81)</f>
        <v>diaais2754@gmail.com</v>
      </c>
      <c r="R81" t="str">
        <f t="shared" ca="1" si="13"/>
        <v>diaais2754.jpg</v>
      </c>
      <c r="T81" s="4"/>
      <c r="V81">
        <f ca="1">RANDBETWEEN(2,COUNTA(rua_cod!A:A))</f>
        <v>25</v>
      </c>
      <c r="W81">
        <f t="shared" ca="1" si="14"/>
        <v>4</v>
      </c>
      <c r="X81">
        <f t="shared" ca="1" si="15"/>
        <v>2</v>
      </c>
      <c r="Y81">
        <f t="shared" ca="1" si="16"/>
        <v>2029</v>
      </c>
      <c r="Z81">
        <f t="shared" ca="1" si="17"/>
        <v>7</v>
      </c>
      <c r="AA81">
        <f t="shared" ca="1" si="18"/>
        <v>22</v>
      </c>
      <c r="AB81">
        <f t="shared" ca="1" si="19"/>
        <v>-9</v>
      </c>
    </row>
    <row r="82" spans="1:28" x14ac:dyDescent="0.25">
      <c r="A82">
        <v>81</v>
      </c>
      <c r="B82" t="str" cm="1">
        <f t="array" aca="1" ref="B82" ca="1">replaceChar(LOWER(LEFT(D82,3)&amp;RIGHT(I82,3))&amp;LEFT(H82,4))</f>
        <v>duaica2829</v>
      </c>
      <c r="C82" t="str">
        <f t="shared" ca="1" si="10"/>
        <v>pswduaica2829</v>
      </c>
      <c r="D82" t="str">
        <f ca="1">Nomes!T83</f>
        <v>Duarte Daniela Henriques Almeida</v>
      </c>
      <c r="E82" t="str">
        <f ca="1">Nomes!S83</f>
        <v>Masculino</v>
      </c>
      <c r="F82" s="2">
        <v>12686</v>
      </c>
      <c r="G82" t="str" cm="1">
        <f t="array" aca="1" ref="G82" ca="1">INDEX(rua_cod!$F:$F,RANDBETWEEN(2,COUNTA(rua_cod!F:F)))</f>
        <v>Rua Júlio César Machado</v>
      </c>
      <c r="H82" t="str" cm="1">
        <f t="array" aca="1" ref="H82" ca="1">INDEX(rua_cod!$A:$A,Users!V82) &amp; "-" &amp; TEXT(RANDBETWEEN(0,999),"000")</f>
        <v>2829-477</v>
      </c>
      <c r="I82" t="str" cm="1">
        <f t="array" aca="1" ref="I82" ca="1">INDEX(rua_cod!$B:$B,Users!V82)</f>
        <v>Costa de Caparica</v>
      </c>
      <c r="J82" t="s">
        <v>3727</v>
      </c>
      <c r="K82" t="s">
        <v>225</v>
      </c>
      <c r="L82" t="s">
        <v>265</v>
      </c>
      <c r="M82" t="str">
        <f t="shared" ca="1" si="11"/>
        <v>63677876</v>
      </c>
      <c r="N82" t="str">
        <f t="shared" ca="1" si="12"/>
        <v>727554007</v>
      </c>
      <c r="O82" t="str">
        <f t="shared" ca="1" si="12"/>
        <v>390248003</v>
      </c>
      <c r="P82" t="str" cm="1">
        <f t="array" aca="1" ref="P82" ca="1">9 &amp; INDEX($AF$3:$AF$6,W82)&amp; TEXT(RANDBETWEEN(0,9999999),"0000000")</f>
        <v>937245699</v>
      </c>
      <c r="Q82" t="str" cm="1">
        <f t="array" aca="1" ref="Q82" ca="1">LOWER(B82) &amp; INDEX($AF$9:$AF$11,X82)</f>
        <v>duaica2829@outlook.com</v>
      </c>
      <c r="R82" t="str">
        <f t="shared" ca="1" si="13"/>
        <v>duaica2829.jpg</v>
      </c>
      <c r="T82" s="4"/>
      <c r="V82">
        <f ca="1">RANDBETWEEN(2,COUNTA(rua_cod!A:A))</f>
        <v>28</v>
      </c>
      <c r="W82">
        <f t="shared" ca="1" si="14"/>
        <v>3</v>
      </c>
      <c r="X82">
        <f t="shared" ca="1" si="15"/>
        <v>1</v>
      </c>
      <c r="Y82">
        <f t="shared" ca="1" si="16"/>
        <v>2009</v>
      </c>
      <c r="Z82">
        <f t="shared" ca="1" si="17"/>
        <v>12</v>
      </c>
      <c r="AA82">
        <f t="shared" ca="1" si="18"/>
        <v>25</v>
      </c>
      <c r="AB82">
        <f t="shared" ca="1" si="19"/>
        <v>11</v>
      </c>
    </row>
    <row r="83" spans="1:28" x14ac:dyDescent="0.25">
      <c r="A83">
        <v>82</v>
      </c>
      <c r="B83" t="str" cm="1">
        <f t="array" aca="1" ref="B83" ca="1">replaceChar(LOWER(LEFT(D83,3)&amp;RIGHT(I83,3))&amp;LEFT(H83,4))</f>
        <v>luiboa1067</v>
      </c>
      <c r="C83" t="str">
        <f t="shared" ca="1" si="10"/>
        <v>pswluiboa1067</v>
      </c>
      <c r="D83" t="str">
        <f ca="1">Nomes!T84</f>
        <v>Luís Mariana Costa Leite</v>
      </c>
      <c r="E83" t="str">
        <f ca="1">Nomes!S84</f>
        <v>Masculino</v>
      </c>
      <c r="F83" s="2">
        <v>36263</v>
      </c>
      <c r="G83" t="str" cm="1">
        <f t="array" aca="1" ref="G83" ca="1">INDEX(rua_cod!$F:$F,RANDBETWEEN(2,COUNTA(rua_cod!F:F)))</f>
        <v>Rua Nova do Almada</v>
      </c>
      <c r="H83" t="str" cm="1">
        <f t="array" aca="1" ref="H83" ca="1">INDEX(rua_cod!$A:$A,Users!V83) &amp; "-" &amp; TEXT(RANDBETWEEN(0,999),"000")</f>
        <v>1067-956</v>
      </c>
      <c r="I83" t="str" cm="1">
        <f t="array" aca="1" ref="I83" ca="1">INDEX(rua_cod!$B:$B,Users!V83)</f>
        <v>Lisboa</v>
      </c>
      <c r="J83" t="s">
        <v>3727</v>
      </c>
      <c r="K83" t="s">
        <v>225</v>
      </c>
      <c r="L83" t="s">
        <v>265</v>
      </c>
      <c r="M83" t="str">
        <f t="shared" ca="1" si="11"/>
        <v>34029264</v>
      </c>
      <c r="N83" t="str">
        <f t="shared" ca="1" si="12"/>
        <v>844629600</v>
      </c>
      <c r="O83" t="str">
        <f t="shared" ca="1" si="12"/>
        <v>774483916</v>
      </c>
      <c r="P83" t="str" cm="1">
        <f t="array" aca="1" ref="P83" ca="1">9 &amp; INDEX($AF$3:$AF$6,W83)&amp; TEXT(RANDBETWEEN(0,9999999),"0000000")</f>
        <v>937191972</v>
      </c>
      <c r="Q83" t="str" cm="1">
        <f t="array" aca="1" ref="Q83" ca="1">LOWER(B83) &amp; INDEX($AF$9:$AF$11,X83)</f>
        <v>luiboa1067@gmail.com</v>
      </c>
      <c r="R83" t="str">
        <f t="shared" ca="1" si="13"/>
        <v>luiboa1067.jpg</v>
      </c>
      <c r="T83" s="4"/>
      <c r="V83">
        <f ca="1">RANDBETWEEN(2,COUNTA(rua_cod!A:A))</f>
        <v>82</v>
      </c>
      <c r="W83">
        <f t="shared" ca="1" si="14"/>
        <v>3</v>
      </c>
      <c r="X83">
        <f t="shared" ca="1" si="15"/>
        <v>2</v>
      </c>
      <c r="Y83">
        <f t="shared" ca="1" si="16"/>
        <v>1980</v>
      </c>
      <c r="Z83">
        <f t="shared" ca="1" si="17"/>
        <v>9</v>
      </c>
      <c r="AA83">
        <f t="shared" ca="1" si="18"/>
        <v>28</v>
      </c>
      <c r="AB83">
        <f t="shared" ca="1" si="19"/>
        <v>40</v>
      </c>
    </row>
    <row r="84" spans="1:28" x14ac:dyDescent="0.25">
      <c r="A84">
        <v>83</v>
      </c>
      <c r="B84" t="str" cm="1">
        <f t="array" aca="1" ref="B84" ca="1">replaceChar(LOWER(LEFT(D84,3)&amp;RIGHT(I84,3))&amp;LEFT(H84,4))</f>
        <v>luinto2334</v>
      </c>
      <c r="C84" t="str">
        <f t="shared" ca="1" si="10"/>
        <v>pswluinto2334</v>
      </c>
      <c r="D84" t="str">
        <f ca="1">Nomes!T85</f>
        <v>Luís Catarina Azevedo Cunha</v>
      </c>
      <c r="E84" t="str">
        <f ca="1">Nomes!S85</f>
        <v>Masculino</v>
      </c>
      <c r="F84" s="2">
        <v>13617</v>
      </c>
      <c r="G84" t="str" cm="1">
        <f t="array" aca="1" ref="G84" ca="1">INDEX(rua_cod!$F:$F,RANDBETWEEN(2,COUNTA(rua_cod!F:F)))</f>
        <v>Estrada da Circunvalação de Lisboa</v>
      </c>
      <c r="H84" t="str" cm="1">
        <f t="array" aca="1" ref="H84" ca="1">INDEX(rua_cod!$A:$A,Users!V84) &amp; "-" &amp; TEXT(RANDBETWEEN(0,999),"000")</f>
        <v>2334-990</v>
      </c>
      <c r="I84" t="str" cm="1">
        <f t="array" aca="1" ref="I84" ca="1">INDEX(rua_cod!$B:$B,Users!V84)</f>
        <v>Entroncamento</v>
      </c>
      <c r="J84" t="s">
        <v>3727</v>
      </c>
      <c r="K84" t="s">
        <v>225</v>
      </c>
      <c r="L84" t="s">
        <v>265</v>
      </c>
      <c r="M84" t="str">
        <f t="shared" ca="1" si="11"/>
        <v>58561326</v>
      </c>
      <c r="N84" t="str">
        <f t="shared" ca="1" si="12"/>
        <v>849032623</v>
      </c>
      <c r="O84" t="str">
        <f t="shared" ca="1" si="12"/>
        <v>658074651</v>
      </c>
      <c r="P84" t="str" cm="1">
        <f t="array" aca="1" ref="P84" ca="1">9 &amp; INDEX($AF$3:$AF$6,W84)&amp; TEXT(RANDBETWEEN(0,9999999),"0000000")</f>
        <v>912724626</v>
      </c>
      <c r="Q84" t="str" cm="1">
        <f t="array" aca="1" ref="Q84" ca="1">LOWER(B84) &amp; INDEX($AF$9:$AF$11,X84)</f>
        <v>luinto2334@sapo.pt</v>
      </c>
      <c r="R84" t="str">
        <f t="shared" ca="1" si="13"/>
        <v>luinto2334.jpg</v>
      </c>
      <c r="T84" s="4"/>
      <c r="V84">
        <f ca="1">RANDBETWEEN(2,COUNTA(rua_cod!A:A))</f>
        <v>30</v>
      </c>
      <c r="W84">
        <f t="shared" ca="1" si="14"/>
        <v>1</v>
      </c>
      <c r="X84">
        <f t="shared" ca="1" si="15"/>
        <v>3</v>
      </c>
      <c r="Y84">
        <f t="shared" ca="1" si="16"/>
        <v>1987</v>
      </c>
      <c r="Z84">
        <f t="shared" ca="1" si="17"/>
        <v>3</v>
      </c>
      <c r="AA84">
        <f t="shared" ca="1" si="18"/>
        <v>27</v>
      </c>
      <c r="AB84">
        <f t="shared" ca="1" si="19"/>
        <v>33</v>
      </c>
    </row>
    <row r="85" spans="1:28" x14ac:dyDescent="0.25">
      <c r="A85">
        <v>84</v>
      </c>
      <c r="B85" t="str" cm="1">
        <f t="array" aca="1" ref="B85" ca="1">replaceChar(LOWER(LEFT(D85,3)&amp;RIGHT(I85,3))&amp;LEFT(H85,4))</f>
        <v>carras2780</v>
      </c>
      <c r="C85" t="str">
        <f t="shared" ca="1" si="10"/>
        <v>pswcarras2780</v>
      </c>
      <c r="D85" t="str">
        <f ca="1">Nomes!T86</f>
        <v>Carolina Leonor Mendes Barbosa</v>
      </c>
      <c r="E85" t="str">
        <f ca="1">Nomes!S86</f>
        <v>Feminino</v>
      </c>
      <c r="F85" s="2">
        <v>41552</v>
      </c>
      <c r="G85" t="str" cm="1">
        <f t="array" aca="1" ref="G85" ca="1">INDEX(rua_cod!$F:$F,RANDBETWEEN(2,COUNTA(rua_cod!F:F)))</f>
        <v>Estrada Militar</v>
      </c>
      <c r="H85" t="str" cm="1">
        <f t="array" aca="1" ref="H85" ca="1">INDEX(rua_cod!$A:$A,Users!V85) &amp; "-" &amp; TEXT(RANDBETWEEN(0,999),"000")</f>
        <v>2780-270</v>
      </c>
      <c r="I85" t="str" cm="1">
        <f t="array" aca="1" ref="I85" ca="1">INDEX(rua_cod!$B:$B,Users!V85)</f>
        <v>Oeiras</v>
      </c>
      <c r="J85" t="s">
        <v>3727</v>
      </c>
      <c r="K85" t="s">
        <v>225</v>
      </c>
      <c r="L85" t="s">
        <v>265</v>
      </c>
      <c r="M85" t="str">
        <f t="shared" ca="1" si="11"/>
        <v>73979460</v>
      </c>
      <c r="N85" t="str">
        <f t="shared" ca="1" si="12"/>
        <v>436437534</v>
      </c>
      <c r="O85" t="str">
        <f t="shared" ca="1" si="12"/>
        <v>809743076</v>
      </c>
      <c r="P85" t="str" cm="1">
        <f t="array" aca="1" ref="P85" ca="1">9 &amp; INDEX($AF$3:$AF$6,W85)&amp; TEXT(RANDBETWEEN(0,9999999),"0000000")</f>
        <v>913438462</v>
      </c>
      <c r="Q85" t="str" cm="1">
        <f t="array" aca="1" ref="Q85" ca="1">LOWER(B85) &amp; INDEX($AF$9:$AF$11,X85)</f>
        <v>carras2780@outlook.com</v>
      </c>
      <c r="R85" t="str">
        <f t="shared" ca="1" si="13"/>
        <v>carras2780.jpg</v>
      </c>
      <c r="T85" s="4"/>
      <c r="V85">
        <f ca="1">RANDBETWEEN(2,COUNTA(rua_cod!A:A))</f>
        <v>88</v>
      </c>
      <c r="W85">
        <f t="shared" ca="1" si="14"/>
        <v>1</v>
      </c>
      <c r="X85">
        <f t="shared" ca="1" si="15"/>
        <v>1</v>
      </c>
      <c r="Y85">
        <f t="shared" ca="1" si="16"/>
        <v>1958</v>
      </c>
      <c r="Z85">
        <f t="shared" ca="1" si="17"/>
        <v>9</v>
      </c>
      <c r="AA85">
        <f t="shared" ca="1" si="18"/>
        <v>1</v>
      </c>
      <c r="AB85">
        <f t="shared" ca="1" si="19"/>
        <v>62</v>
      </c>
    </row>
    <row r="86" spans="1:28" x14ac:dyDescent="0.25">
      <c r="A86">
        <v>85</v>
      </c>
      <c r="B86" t="str" cm="1">
        <f t="array" aca="1" ref="B86" ca="1">replaceChar(LOWER(LEFT(D86,3)&amp;RIGHT(I86,3))&amp;LEFT(H86,4))</f>
        <v>migboa1249</v>
      </c>
      <c r="C86" t="str">
        <f t="shared" ca="1" si="10"/>
        <v>pswmigboa1249</v>
      </c>
      <c r="D86" t="str">
        <f ca="1">Nomes!T87</f>
        <v>Miguel Laura Machado Maia</v>
      </c>
      <c r="E86" t="str">
        <f ca="1">Nomes!S87</f>
        <v>Masculino</v>
      </c>
      <c r="F86" s="2">
        <v>27773</v>
      </c>
      <c r="G86" t="str" cm="1">
        <f t="array" aca="1" ref="G86" ca="1">INDEX(rua_cod!$F:$F,RANDBETWEEN(2,COUNTA(rua_cod!F:F)))</f>
        <v>Rua dos Fanqueiros</v>
      </c>
      <c r="H86" t="str" cm="1">
        <f t="array" aca="1" ref="H86" ca="1">INDEX(rua_cod!$A:$A,Users!V86) &amp; "-" &amp; TEXT(RANDBETWEEN(0,999),"000")</f>
        <v>1249-595</v>
      </c>
      <c r="I86" t="str" cm="1">
        <f t="array" aca="1" ref="I86" ca="1">INDEX(rua_cod!$B:$B,Users!V86)</f>
        <v>Lisboa</v>
      </c>
      <c r="J86" t="s">
        <v>3727</v>
      </c>
      <c r="K86" t="s">
        <v>225</v>
      </c>
      <c r="L86" t="s">
        <v>265</v>
      </c>
      <c r="M86" t="str">
        <f t="shared" ca="1" si="11"/>
        <v>21274549</v>
      </c>
      <c r="N86" t="str">
        <f t="shared" ca="1" si="12"/>
        <v>526072117</v>
      </c>
      <c r="O86" t="str">
        <f t="shared" ca="1" si="12"/>
        <v>940412629</v>
      </c>
      <c r="P86" t="str" cm="1">
        <f t="array" aca="1" ref="P86" ca="1">9 &amp; INDEX($AF$3:$AF$6,W86)&amp; TEXT(RANDBETWEEN(0,9999999),"0000000")</f>
        <v>929590302</v>
      </c>
      <c r="Q86" t="str" cm="1">
        <f t="array" aca="1" ref="Q86" ca="1">LOWER(B86) &amp; INDEX($AF$9:$AF$11,X86)</f>
        <v>migboa1249@sapo.pt</v>
      </c>
      <c r="R86" t="str">
        <f t="shared" ca="1" si="13"/>
        <v>migboa1249.jpg</v>
      </c>
      <c r="T86" s="4"/>
      <c r="V86">
        <f ca="1">RANDBETWEEN(2,COUNTA(rua_cod!A:A))</f>
        <v>63</v>
      </c>
      <c r="W86">
        <f t="shared" ca="1" si="14"/>
        <v>2</v>
      </c>
      <c r="X86">
        <f t="shared" ca="1" si="15"/>
        <v>3</v>
      </c>
      <c r="Y86">
        <f t="shared" ca="1" si="16"/>
        <v>1990</v>
      </c>
      <c r="Z86">
        <f t="shared" ca="1" si="17"/>
        <v>7</v>
      </c>
      <c r="AA86">
        <f t="shared" ca="1" si="18"/>
        <v>24</v>
      </c>
      <c r="AB86">
        <f t="shared" ca="1" si="19"/>
        <v>30</v>
      </c>
    </row>
    <row r="87" spans="1:28" x14ac:dyDescent="0.25">
      <c r="A87">
        <v>86</v>
      </c>
      <c r="B87" t="str" cm="1">
        <f t="array" aca="1" ref="B87" ca="1">replaceChar(LOWER(LEFT(D87,3)&amp;RIGHT(I87,3))&amp;LEFT(H87,4))</f>
        <v>marboa1099</v>
      </c>
      <c r="C87" t="str">
        <f t="shared" ca="1" si="10"/>
        <v>pswmarboa1099</v>
      </c>
      <c r="D87" t="str">
        <f ca="1">Nomes!T88</f>
        <v>Maria João Martins Mota</v>
      </c>
      <c r="E87" t="str">
        <f ca="1">Nomes!S88</f>
        <v>Feminino</v>
      </c>
      <c r="F87" s="2">
        <v>27273</v>
      </c>
      <c r="G87" t="str" cm="1">
        <f t="array" aca="1" ref="G87" ca="1">INDEX(rua_cod!$F:$F,RANDBETWEEN(2,COUNTA(rua_cod!F:F)))</f>
        <v>Estrada das Laranjeiras</v>
      </c>
      <c r="H87" t="str" cm="1">
        <f t="array" aca="1" ref="H87" ca="1">INDEX(rua_cod!$A:$A,Users!V87) &amp; "-" &amp; TEXT(RANDBETWEEN(0,999),"000")</f>
        <v>1099-267</v>
      </c>
      <c r="I87" t="str" cm="1">
        <f t="array" aca="1" ref="I87" ca="1">INDEX(rua_cod!$B:$B,Users!V87)</f>
        <v>Lisboa</v>
      </c>
      <c r="J87" t="s">
        <v>3727</v>
      </c>
      <c r="K87" t="s">
        <v>225</v>
      </c>
      <c r="L87" t="s">
        <v>265</v>
      </c>
      <c r="M87" t="str">
        <f t="shared" ca="1" si="11"/>
        <v>97881871</v>
      </c>
      <c r="N87" t="str">
        <f t="shared" ca="1" si="12"/>
        <v>737444387</v>
      </c>
      <c r="O87" t="str">
        <f t="shared" ca="1" si="12"/>
        <v>945415361</v>
      </c>
      <c r="P87" t="str" cm="1">
        <f t="array" aca="1" ref="P87" ca="1">9 &amp; INDEX($AF$3:$AF$6,W87)&amp; TEXT(RANDBETWEEN(0,9999999),"0000000")</f>
        <v>923798442</v>
      </c>
      <c r="Q87" t="str" cm="1">
        <f t="array" aca="1" ref="Q87" ca="1">LOWER(B87) &amp; INDEX($AF$9:$AF$11,X87)</f>
        <v>marboa1099@outlook.com</v>
      </c>
      <c r="R87" t="str">
        <f t="shared" ca="1" si="13"/>
        <v>marboa1099.jpg</v>
      </c>
      <c r="T87" s="4"/>
      <c r="V87">
        <f ca="1">RANDBETWEEN(2,COUNTA(rua_cod!A:A))</f>
        <v>53</v>
      </c>
      <c r="W87">
        <f t="shared" ca="1" si="14"/>
        <v>2</v>
      </c>
      <c r="X87">
        <f t="shared" ca="1" si="15"/>
        <v>1</v>
      </c>
      <c r="Y87">
        <f t="shared" ca="1" si="16"/>
        <v>1997</v>
      </c>
      <c r="Z87">
        <f t="shared" ca="1" si="17"/>
        <v>4</v>
      </c>
      <c r="AA87">
        <f t="shared" ca="1" si="18"/>
        <v>21</v>
      </c>
      <c r="AB87">
        <f t="shared" ca="1" si="19"/>
        <v>23</v>
      </c>
    </row>
    <row r="88" spans="1:28" x14ac:dyDescent="0.25">
      <c r="A88">
        <v>87</v>
      </c>
      <c r="B88" t="str" cm="1">
        <f t="array" aca="1" ref="B88" ca="1">replaceChar(LOWER(LEFT(D88,3)&amp;RIGHT(I88,3))&amp;LEFT(H88,4))</f>
        <v>tomria2424</v>
      </c>
      <c r="C88" t="str">
        <f t="shared" ca="1" si="10"/>
        <v>pswtomria2424</v>
      </c>
      <c r="D88" t="str">
        <f ca="1">Nomes!T89</f>
        <v>Tomás Sofia Lopes Antunes</v>
      </c>
      <c r="E88" t="str">
        <f ca="1">Nomes!S89</f>
        <v>Masculino</v>
      </c>
      <c r="F88" s="2">
        <v>33962</v>
      </c>
      <c r="G88" t="str" cm="1">
        <f t="array" aca="1" ref="G88" ca="1">INDEX(rua_cod!$F:$F,RANDBETWEEN(2,COUNTA(rua_cod!F:F)))</f>
        <v>Rua do Carmo</v>
      </c>
      <c r="H88" t="str" cm="1">
        <f t="array" aca="1" ref="H88" ca="1">INDEX(rua_cod!$A:$A,Users!V88) &amp; "-" &amp; TEXT(RANDBETWEEN(0,999),"000")</f>
        <v>2424-380</v>
      </c>
      <c r="I88" t="str" cm="1">
        <f t="array" aca="1" ref="I88" ca="1">INDEX(rua_cod!$B:$B,Users!V88)</f>
        <v>Leiria</v>
      </c>
      <c r="J88" t="s">
        <v>3727</v>
      </c>
      <c r="K88" t="s">
        <v>225</v>
      </c>
      <c r="L88" t="s">
        <v>265</v>
      </c>
      <c r="M88" t="str">
        <f t="shared" ca="1" si="11"/>
        <v>26352048</v>
      </c>
      <c r="N88" t="str">
        <f t="shared" ca="1" si="12"/>
        <v>590576826</v>
      </c>
      <c r="O88" t="str">
        <f t="shared" ca="1" si="12"/>
        <v>582481169</v>
      </c>
      <c r="P88" t="str" cm="1">
        <f t="array" aca="1" ref="P88" ca="1">9 &amp; INDEX($AF$3:$AF$6,W88)&amp; TEXT(RANDBETWEEN(0,9999999),"0000000")</f>
        <v>915583963</v>
      </c>
      <c r="Q88" t="str" cm="1">
        <f t="array" aca="1" ref="Q88" ca="1">LOWER(B88) &amp; INDEX($AF$9:$AF$11,X88)</f>
        <v>tomria2424@gmail.com</v>
      </c>
      <c r="R88" t="str">
        <f t="shared" ca="1" si="13"/>
        <v>tomria2424.jpg</v>
      </c>
      <c r="T88" s="4"/>
      <c r="V88">
        <f ca="1">RANDBETWEEN(2,COUNTA(rua_cod!A:A))</f>
        <v>39</v>
      </c>
      <c r="W88">
        <f t="shared" ca="1" si="14"/>
        <v>1</v>
      </c>
      <c r="X88">
        <f t="shared" ca="1" si="15"/>
        <v>2</v>
      </c>
      <c r="Y88">
        <f t="shared" ca="1" si="16"/>
        <v>1953</v>
      </c>
      <c r="Z88">
        <f t="shared" ca="1" si="17"/>
        <v>7</v>
      </c>
      <c r="AA88">
        <f t="shared" ca="1" si="18"/>
        <v>20</v>
      </c>
      <c r="AB88">
        <f t="shared" ca="1" si="19"/>
        <v>67</v>
      </c>
    </row>
    <row r="89" spans="1:28" x14ac:dyDescent="0.25">
      <c r="A89">
        <v>88</v>
      </c>
      <c r="B89" t="str" cm="1">
        <f t="array" aca="1" ref="B89" ca="1">replaceChar(LOWER(LEFT(D89,3)&amp;RIGHT(I89,3))&amp;LEFT(H89,4))</f>
        <v>luimar2300</v>
      </c>
      <c r="C89" t="str">
        <f t="shared" ca="1" si="10"/>
        <v>pswluimar2300</v>
      </c>
      <c r="D89" t="str">
        <f ca="1">Nomes!T90</f>
        <v>Luís Catarina Silva Amaral</v>
      </c>
      <c r="E89" t="str">
        <f ca="1">Nomes!S90</f>
        <v>Masculino</v>
      </c>
      <c r="F89" s="2">
        <v>16313</v>
      </c>
      <c r="G89" t="str" cm="1">
        <f t="array" aca="1" ref="G89" ca="1">INDEX(rua_cod!$F:$F,RANDBETWEEN(2,COUNTA(rua_cod!F:F)))</f>
        <v>Rua da Alfândega</v>
      </c>
      <c r="H89" t="str" cm="1">
        <f t="array" aca="1" ref="H89" ca="1">INDEX(rua_cod!$A:$A,Users!V89) &amp; "-" &amp; TEXT(RANDBETWEEN(0,999),"000")</f>
        <v>2300-198</v>
      </c>
      <c r="I89" t="str" cm="1">
        <f t="array" aca="1" ref="I89" ca="1">INDEX(rua_cod!$B:$B,Users!V89)</f>
        <v>Tomar</v>
      </c>
      <c r="J89" t="s">
        <v>3727</v>
      </c>
      <c r="K89" t="s">
        <v>225</v>
      </c>
      <c r="L89" t="s">
        <v>265</v>
      </c>
      <c r="M89" t="str">
        <f t="shared" ca="1" si="11"/>
        <v>93754335</v>
      </c>
      <c r="N89" t="str">
        <f t="shared" ca="1" si="12"/>
        <v>634250946</v>
      </c>
      <c r="O89" t="str">
        <f t="shared" ca="1" si="12"/>
        <v>528378413</v>
      </c>
      <c r="P89" t="str" cm="1">
        <f t="array" aca="1" ref="P89" ca="1">9 &amp; INDEX($AF$3:$AF$6,W89)&amp; TEXT(RANDBETWEEN(0,9999999),"0000000")</f>
        <v>920130337</v>
      </c>
      <c r="Q89" t="str" cm="1">
        <f t="array" aca="1" ref="Q89" ca="1">LOWER(B89) &amp; INDEX($AF$9:$AF$11,X89)</f>
        <v>luimar2300@outlook.com</v>
      </c>
      <c r="R89" t="str">
        <f t="shared" ca="1" si="13"/>
        <v>luimar2300.jpg</v>
      </c>
      <c r="T89" s="4"/>
      <c r="V89">
        <f ca="1">RANDBETWEEN(2,COUNTA(rua_cod!A:A))</f>
        <v>102</v>
      </c>
      <c r="W89">
        <f t="shared" ca="1" si="14"/>
        <v>2</v>
      </c>
      <c r="X89">
        <f t="shared" ca="1" si="15"/>
        <v>1</v>
      </c>
      <c r="Y89">
        <f t="shared" ca="1" si="16"/>
        <v>2004</v>
      </c>
      <c r="Z89">
        <f t="shared" ca="1" si="17"/>
        <v>3</v>
      </c>
      <c r="AA89">
        <f t="shared" ca="1" si="18"/>
        <v>23</v>
      </c>
      <c r="AB89">
        <f t="shared" ca="1" si="19"/>
        <v>16</v>
      </c>
    </row>
    <row r="90" spans="1:28" x14ac:dyDescent="0.25">
      <c r="A90">
        <v>89</v>
      </c>
      <c r="B90" t="str" cm="1">
        <f t="array" aca="1" ref="B90" ca="1">replaceChar(LOWER(LEFT(D90,3)&amp;RIGHT(I90,3))&amp;LEFT(H90,4))</f>
        <v>marboa1399</v>
      </c>
      <c r="C90" t="str">
        <f t="shared" ca="1" si="10"/>
        <v>pswmarboa1399</v>
      </c>
      <c r="D90" t="str">
        <f ca="1">Nomes!T91</f>
        <v>Mariana Lara Barbosa Tavares</v>
      </c>
      <c r="E90" t="str">
        <f ca="1">Nomes!S91</f>
        <v>Feminino</v>
      </c>
      <c r="F90" s="2">
        <v>40133</v>
      </c>
      <c r="G90" t="str" cm="1">
        <f t="array" aca="1" ref="G90" ca="1">INDEX(rua_cod!$F:$F,RANDBETWEEN(2,COUNTA(rua_cod!F:F)))</f>
        <v>Rua do Sol a Santana</v>
      </c>
      <c r="H90" t="str" cm="1">
        <f t="array" aca="1" ref="H90" ca="1">INDEX(rua_cod!$A:$A,Users!V90) &amp; "-" &amp; TEXT(RANDBETWEEN(0,999),"000")</f>
        <v>1399-516</v>
      </c>
      <c r="I90" t="str" cm="1">
        <f t="array" aca="1" ref="I90" ca="1">INDEX(rua_cod!$B:$B,Users!V90)</f>
        <v>Lisboa</v>
      </c>
      <c r="J90" t="s">
        <v>3727</v>
      </c>
      <c r="K90" t="s">
        <v>225</v>
      </c>
      <c r="L90" t="s">
        <v>265</v>
      </c>
      <c r="M90" t="str">
        <f t="shared" ca="1" si="11"/>
        <v>98111679</v>
      </c>
      <c r="N90" t="str">
        <f t="shared" ca="1" si="12"/>
        <v>656723984</v>
      </c>
      <c r="O90" t="str">
        <f t="shared" ca="1" si="12"/>
        <v>911077301</v>
      </c>
      <c r="P90" t="str" cm="1">
        <f t="array" aca="1" ref="P90" ca="1">9 &amp; INDEX($AF$3:$AF$6,W90)&amp; TEXT(RANDBETWEEN(0,9999999),"0000000")</f>
        <v>938529107</v>
      </c>
      <c r="Q90" t="str" cm="1">
        <f t="array" aca="1" ref="Q90" ca="1">LOWER(B90) &amp; INDEX($AF$9:$AF$11,X90)</f>
        <v>marboa1399@outlook.com</v>
      </c>
      <c r="R90" t="str">
        <f t="shared" ca="1" si="13"/>
        <v>marboa1399.jpg</v>
      </c>
      <c r="T90" s="4"/>
      <c r="V90">
        <f ca="1">RANDBETWEEN(2,COUNTA(rua_cod!A:A))</f>
        <v>55</v>
      </c>
      <c r="W90">
        <f t="shared" ca="1" si="14"/>
        <v>3</v>
      </c>
      <c r="X90">
        <f t="shared" ca="1" si="15"/>
        <v>1</v>
      </c>
      <c r="Y90">
        <f t="shared" ca="1" si="16"/>
        <v>1961</v>
      </c>
      <c r="Z90">
        <f t="shared" ca="1" si="17"/>
        <v>10</v>
      </c>
      <c r="AA90">
        <f t="shared" ca="1" si="18"/>
        <v>11</v>
      </c>
      <c r="AB90">
        <f t="shared" ca="1" si="19"/>
        <v>59</v>
      </c>
    </row>
    <row r="91" spans="1:28" x14ac:dyDescent="0.25">
      <c r="A91">
        <v>90</v>
      </c>
      <c r="B91" t="str" cm="1">
        <f t="array" aca="1" ref="B91" ca="1">replaceChar(LOWER(LEFT(D91,3)&amp;RIGHT(I91,3))&amp;LEFT(H91,4))</f>
        <v>sofboa1098</v>
      </c>
      <c r="C91" t="str">
        <f t="shared" ca="1" si="10"/>
        <v>pswsofboa1098</v>
      </c>
      <c r="D91" t="str">
        <f ca="1">Nomes!T92</f>
        <v>Sofia Catarina Vieira Domingues</v>
      </c>
      <c r="E91" t="str">
        <f ca="1">Nomes!S92</f>
        <v>Feminino</v>
      </c>
      <c r="F91" s="2">
        <v>16302</v>
      </c>
      <c r="G91" t="str" cm="1">
        <f t="array" aca="1" ref="G91" ca="1">INDEX(rua_cod!$F:$F,RANDBETWEEN(2,COUNTA(rua_cod!F:F)))</f>
        <v>Estrada das Laranjeiras</v>
      </c>
      <c r="H91" t="str" cm="1">
        <f t="array" aca="1" ref="H91" ca="1">INDEX(rua_cod!$A:$A,Users!V91) &amp; "-" &amp; TEXT(RANDBETWEEN(0,999),"000")</f>
        <v>1098-717</v>
      </c>
      <c r="I91" t="str" cm="1">
        <f t="array" aca="1" ref="I91" ca="1">INDEX(rua_cod!$B:$B,Users!V91)</f>
        <v>Lisboa</v>
      </c>
      <c r="J91" t="s">
        <v>3727</v>
      </c>
      <c r="K91" t="s">
        <v>225</v>
      </c>
      <c r="L91" t="s">
        <v>265</v>
      </c>
      <c r="M91" t="str">
        <f t="shared" ca="1" si="11"/>
        <v>22115423</v>
      </c>
      <c r="N91" t="str">
        <f t="shared" ca="1" si="12"/>
        <v>954598518</v>
      </c>
      <c r="O91" t="str">
        <f t="shared" ca="1" si="12"/>
        <v>946224677</v>
      </c>
      <c r="P91" t="str" cm="1">
        <f t="array" aca="1" ref="P91" ca="1">9 &amp; INDEX($AF$3:$AF$6,W91)&amp; TEXT(RANDBETWEEN(0,9999999),"0000000")</f>
        <v>923604773</v>
      </c>
      <c r="Q91" t="str" cm="1">
        <f t="array" aca="1" ref="Q91" ca="1">LOWER(B91) &amp; INDEX($AF$9:$AF$11,X91)</f>
        <v>sofboa1098@outlook.com</v>
      </c>
      <c r="R91" t="str">
        <f t="shared" ca="1" si="13"/>
        <v>sofboa1098.jpg</v>
      </c>
      <c r="T91" s="4"/>
      <c r="V91">
        <f ca="1">RANDBETWEEN(2,COUNTA(rua_cod!A:A))</f>
        <v>80</v>
      </c>
      <c r="W91">
        <f t="shared" ca="1" si="14"/>
        <v>2</v>
      </c>
      <c r="X91">
        <f t="shared" ca="1" si="15"/>
        <v>1</v>
      </c>
      <c r="Y91">
        <f t="shared" ca="1" si="16"/>
        <v>1968</v>
      </c>
      <c r="Z91">
        <f t="shared" ca="1" si="17"/>
        <v>10</v>
      </c>
      <c r="AA91">
        <f t="shared" ca="1" si="18"/>
        <v>4</v>
      </c>
      <c r="AB91">
        <f t="shared" ca="1" si="19"/>
        <v>52</v>
      </c>
    </row>
    <row r="92" spans="1:28" x14ac:dyDescent="0.25">
      <c r="A92">
        <v>91</v>
      </c>
      <c r="B92" t="str" cm="1">
        <f t="array" aca="1" ref="B92" ca="1">replaceChar(LOWER(LEFT(D92,3)&amp;RIGHT(I92,3))&amp;LEFT(H92,4))</f>
        <v>carboa1100</v>
      </c>
      <c r="C92" t="str">
        <f t="shared" ca="1" si="10"/>
        <v>pswcarboa1100</v>
      </c>
      <c r="D92" t="str">
        <f ca="1">Nomes!T93</f>
        <v>Carolina Rodrigo Gaspar Abreu</v>
      </c>
      <c r="E92" t="str">
        <f ca="1">Nomes!S93</f>
        <v>Feminino</v>
      </c>
      <c r="F92" s="2">
        <v>15230</v>
      </c>
      <c r="G92" t="str" cm="1">
        <f t="array" aca="1" ref="G92" ca="1">INDEX(rua_cod!$F:$F,RANDBETWEEN(2,COUNTA(rua_cod!F:F)))</f>
        <v>Rua da Oliveira ao Carmo</v>
      </c>
      <c r="H92" t="str" cm="1">
        <f t="array" aca="1" ref="H92" ca="1">INDEX(rua_cod!$A:$A,Users!V92) &amp; "-" &amp; TEXT(RANDBETWEEN(0,999),"000")</f>
        <v>1100-337</v>
      </c>
      <c r="I92" t="str" cm="1">
        <f t="array" aca="1" ref="I92" ca="1">INDEX(rua_cod!$B:$B,Users!V92)</f>
        <v>Lisboa</v>
      </c>
      <c r="J92" t="s">
        <v>3727</v>
      </c>
      <c r="K92" t="s">
        <v>225</v>
      </c>
      <c r="L92" t="s">
        <v>265</v>
      </c>
      <c r="M92" t="str">
        <f t="shared" ca="1" si="11"/>
        <v>60637910</v>
      </c>
      <c r="N92" t="str">
        <f t="shared" ca="1" si="12"/>
        <v>249830179</v>
      </c>
      <c r="O92" t="str">
        <f t="shared" ca="1" si="12"/>
        <v>792933611</v>
      </c>
      <c r="P92" t="str" cm="1">
        <f t="array" aca="1" ref="P92" ca="1">9 &amp; INDEX($AF$3:$AF$6,W92)&amp; TEXT(RANDBETWEEN(0,9999999),"0000000")</f>
        <v>925583971</v>
      </c>
      <c r="Q92" t="str" cm="1">
        <f t="array" aca="1" ref="Q92" ca="1">LOWER(B92) &amp; INDEX($AF$9:$AF$11,X92)</f>
        <v>carboa1100@sapo.pt</v>
      </c>
      <c r="R92" t="str">
        <f t="shared" ca="1" si="13"/>
        <v>carboa1100.jpg</v>
      </c>
      <c r="T92" s="4"/>
      <c r="V92">
        <f ca="1">RANDBETWEEN(2,COUNTA(rua_cod!A:A))</f>
        <v>46</v>
      </c>
      <c r="W92">
        <f t="shared" ca="1" si="14"/>
        <v>2</v>
      </c>
      <c r="X92">
        <f t="shared" ca="1" si="15"/>
        <v>3</v>
      </c>
      <c r="Y92">
        <f t="shared" ca="1" si="16"/>
        <v>2005</v>
      </c>
      <c r="Z92">
        <f t="shared" ca="1" si="17"/>
        <v>8</v>
      </c>
      <c r="AA92">
        <f t="shared" ca="1" si="18"/>
        <v>13</v>
      </c>
      <c r="AB92">
        <f t="shared" ca="1" si="19"/>
        <v>15</v>
      </c>
    </row>
    <row r="93" spans="1:28" x14ac:dyDescent="0.25">
      <c r="A93">
        <v>92</v>
      </c>
      <c r="B93" t="str" cm="1">
        <f t="array" aca="1" ref="B93" ca="1">replaceChar(LOWER(LEFT(D93,3)&amp;RIGHT(I93,3))&amp;LEFT(H93,4))</f>
        <v>danira2659</v>
      </c>
      <c r="C93" t="str">
        <f t="shared" ca="1" si="10"/>
        <v>pswdanira2659</v>
      </c>
      <c r="D93" t="str">
        <f ca="1">Nomes!T94</f>
        <v>Daniela Matilde Antunes Almeida</v>
      </c>
      <c r="E93" t="str">
        <f ca="1">Nomes!S94</f>
        <v>Feminino</v>
      </c>
      <c r="F93" s="2">
        <v>33682</v>
      </c>
      <c r="G93" t="str" cm="1">
        <f t="array" aca="1" ref="G93" ca="1">INDEX(rua_cod!$F:$F,RANDBETWEEN(2,COUNTA(rua_cod!F:F)))</f>
        <v>Rua Nova do Almada</v>
      </c>
      <c r="H93" t="str" cm="1">
        <f t="array" aca="1" ref="H93" ca="1">INDEX(rua_cod!$A:$A,Users!V93) &amp; "-" &amp; TEXT(RANDBETWEEN(0,999),"000")</f>
        <v>2659-477</v>
      </c>
      <c r="I93" t="str" cm="1">
        <f t="array" aca="1" ref="I93" ca="1">INDEX(rua_cod!$B:$B,Users!V93)</f>
        <v>Ericeira</v>
      </c>
      <c r="J93" t="s">
        <v>3727</v>
      </c>
      <c r="K93" t="s">
        <v>225</v>
      </c>
      <c r="L93" t="s">
        <v>265</v>
      </c>
      <c r="M93" t="str">
        <f t="shared" ca="1" si="11"/>
        <v>32785629</v>
      </c>
      <c r="N93" t="str">
        <f t="shared" ca="1" si="12"/>
        <v>156331870</v>
      </c>
      <c r="O93" t="str">
        <f t="shared" ca="1" si="12"/>
        <v>793084320</v>
      </c>
      <c r="P93" t="str" cm="1">
        <f t="array" aca="1" ref="P93" ca="1">9 &amp; INDEX($AF$3:$AF$6,W93)&amp; TEXT(RANDBETWEEN(0,9999999),"0000000")</f>
        <v>918754876</v>
      </c>
      <c r="Q93" t="str" cm="1">
        <f t="array" aca="1" ref="Q93" ca="1">LOWER(B93) &amp; INDEX($AF$9:$AF$11,X93)</f>
        <v>danira2659@sapo.pt</v>
      </c>
      <c r="R93" t="str">
        <f t="shared" ca="1" si="13"/>
        <v>danira2659.jpg</v>
      </c>
      <c r="T93" s="4"/>
      <c r="V93">
        <f ca="1">RANDBETWEEN(2,COUNTA(rua_cod!A:A))</f>
        <v>32</v>
      </c>
      <c r="W93">
        <f t="shared" ca="1" si="14"/>
        <v>1</v>
      </c>
      <c r="X93">
        <f t="shared" ca="1" si="15"/>
        <v>3</v>
      </c>
      <c r="Y93">
        <f t="shared" ca="1" si="16"/>
        <v>1983</v>
      </c>
      <c r="Z93">
        <f t="shared" ca="1" si="17"/>
        <v>3</v>
      </c>
      <c r="AA93">
        <f t="shared" ca="1" si="18"/>
        <v>24</v>
      </c>
      <c r="AB93">
        <f t="shared" ca="1" si="19"/>
        <v>37</v>
      </c>
    </row>
    <row r="94" spans="1:28" x14ac:dyDescent="0.25">
      <c r="A94">
        <v>93</v>
      </c>
      <c r="B94" t="str" cm="1">
        <f t="array" aca="1" ref="B94" ca="1">replaceChar(LOWER(LEFT(D94,3)&amp;RIGHT(I94,3))&amp;LEFT(H94,4))</f>
        <v>diabal2900</v>
      </c>
      <c r="C94" t="str">
        <f t="shared" ca="1" si="10"/>
        <v>pswdiabal2900</v>
      </c>
      <c r="D94" t="str">
        <f ca="1">Nomes!T95</f>
        <v>Diana Marco Leite Jesus</v>
      </c>
      <c r="E94" t="str">
        <f ca="1">Nomes!S95</f>
        <v>Feminino</v>
      </c>
      <c r="F94" s="2">
        <v>19081</v>
      </c>
      <c r="G94" t="str" cm="1">
        <f t="array" aca="1" ref="G94" ca="1">INDEX(rua_cod!$F:$F,RANDBETWEEN(2,COUNTA(rua_cod!F:F)))</f>
        <v>Rua do Salitre</v>
      </c>
      <c r="H94" t="str" cm="1">
        <f t="array" aca="1" ref="H94" ca="1">INDEX(rua_cod!$A:$A,Users!V94) &amp; "-" &amp; TEXT(RANDBETWEEN(0,999),"000")</f>
        <v>2900-351</v>
      </c>
      <c r="I94" t="str" cm="1">
        <f t="array" aca="1" ref="I94" ca="1">INDEX(rua_cod!$B:$B,Users!V94)</f>
        <v>Setúbal</v>
      </c>
      <c r="J94" t="s">
        <v>3727</v>
      </c>
      <c r="K94" t="s">
        <v>225</v>
      </c>
      <c r="L94" t="s">
        <v>265</v>
      </c>
      <c r="M94" t="str">
        <f t="shared" ca="1" si="11"/>
        <v>21036631</v>
      </c>
      <c r="N94" t="str">
        <f t="shared" ca="1" si="12"/>
        <v>118356681</v>
      </c>
      <c r="O94" t="str">
        <f t="shared" ca="1" si="12"/>
        <v>262871906</v>
      </c>
      <c r="P94" t="str" cm="1">
        <f t="array" aca="1" ref="P94" ca="1">9 &amp; INDEX($AF$3:$AF$6,W94)&amp; TEXT(RANDBETWEEN(0,9999999),"0000000")</f>
        <v>913140199</v>
      </c>
      <c r="Q94" t="str" cm="1">
        <f t="array" aca="1" ref="Q94" ca="1">LOWER(B94) &amp; INDEX($AF$9:$AF$11,X94)</f>
        <v>diabal2900@outlook.com</v>
      </c>
      <c r="R94" t="str">
        <f t="shared" ca="1" si="13"/>
        <v>diabal2900.jpg</v>
      </c>
      <c r="T94" s="4"/>
      <c r="V94">
        <f ca="1">RANDBETWEEN(2,COUNTA(rua_cod!A:A))</f>
        <v>96</v>
      </c>
      <c r="W94">
        <f t="shared" ca="1" si="14"/>
        <v>1</v>
      </c>
      <c r="X94">
        <f t="shared" ca="1" si="15"/>
        <v>1</v>
      </c>
      <c r="Y94">
        <f t="shared" ca="1" si="16"/>
        <v>1981</v>
      </c>
      <c r="Z94">
        <f t="shared" ca="1" si="17"/>
        <v>12</v>
      </c>
      <c r="AA94">
        <f t="shared" ca="1" si="18"/>
        <v>22</v>
      </c>
      <c r="AB94">
        <f t="shared" ca="1" si="19"/>
        <v>39</v>
      </c>
    </row>
    <row r="95" spans="1:28" x14ac:dyDescent="0.25">
      <c r="A95">
        <v>94</v>
      </c>
      <c r="B95" t="str" cm="1">
        <f t="array" aca="1" ref="B95" ca="1">replaceChar(LOWER(LEFT(D95,3)&amp;RIGHT(I95,3))&amp;LEFT(H95,4))</f>
        <v>migada2814</v>
      </c>
      <c r="C95" t="str">
        <f t="shared" ca="1" si="10"/>
        <v>pswmigada2814</v>
      </c>
      <c r="D95" t="str">
        <f ca="1">Nomes!T96</f>
        <v>Miguel Lurdes Ribeiro Reis</v>
      </c>
      <c r="E95" t="str">
        <f ca="1">Nomes!S96</f>
        <v>Masculino</v>
      </c>
      <c r="F95" s="2">
        <v>28822</v>
      </c>
      <c r="G95" t="str" cm="1">
        <f t="array" aca="1" ref="G95" ca="1">INDEX(rua_cod!$F:$F,RANDBETWEEN(2,COUNTA(rua_cod!F:F)))</f>
        <v>Rua do Comércio</v>
      </c>
      <c r="H95" t="str" cm="1">
        <f t="array" aca="1" ref="H95" ca="1">INDEX(rua_cod!$A:$A,Users!V95) &amp; "-" &amp; TEXT(RANDBETWEEN(0,999),"000")</f>
        <v>2814-173</v>
      </c>
      <c r="I95" t="str" cm="1">
        <f t="array" aca="1" ref="I95" ca="1">INDEX(rua_cod!$B:$B,Users!V95)</f>
        <v>Almada</v>
      </c>
      <c r="J95" t="s">
        <v>3727</v>
      </c>
      <c r="K95" t="s">
        <v>225</v>
      </c>
      <c r="L95" t="s">
        <v>265</v>
      </c>
      <c r="M95" t="str">
        <f t="shared" ca="1" si="11"/>
        <v>66155957</v>
      </c>
      <c r="N95" t="str">
        <f t="shared" ca="1" si="12"/>
        <v>971639264</v>
      </c>
      <c r="O95" t="str">
        <f t="shared" ca="1" si="12"/>
        <v>391962659</v>
      </c>
      <c r="P95" t="str" cm="1">
        <f t="array" aca="1" ref="P95" ca="1">9 &amp; INDEX($AF$3:$AF$6,W95)&amp; TEXT(RANDBETWEEN(0,9999999),"0000000")</f>
        <v>926847971</v>
      </c>
      <c r="Q95" t="str" cm="1">
        <f t="array" aca="1" ref="Q95" ca="1">LOWER(B95) &amp; INDEX($AF$9:$AF$11,X95)</f>
        <v>migada2814@sapo.pt</v>
      </c>
      <c r="R95" t="str">
        <f t="shared" ca="1" si="13"/>
        <v>migada2814.jpg</v>
      </c>
      <c r="T95" s="4"/>
      <c r="V95">
        <f ca="1">RANDBETWEEN(2,COUNTA(rua_cod!A:A))</f>
        <v>6</v>
      </c>
      <c r="W95">
        <f t="shared" ca="1" si="14"/>
        <v>2</v>
      </c>
      <c r="X95">
        <f t="shared" ca="1" si="15"/>
        <v>3</v>
      </c>
      <c r="Y95">
        <f t="shared" ca="1" si="16"/>
        <v>1976</v>
      </c>
      <c r="Z95">
        <f t="shared" ca="1" si="17"/>
        <v>3</v>
      </c>
      <c r="AA95">
        <f t="shared" ca="1" si="18"/>
        <v>13</v>
      </c>
      <c r="AB95">
        <f t="shared" ca="1" si="19"/>
        <v>44</v>
      </c>
    </row>
    <row r="96" spans="1:28" x14ac:dyDescent="0.25">
      <c r="A96">
        <v>95</v>
      </c>
      <c r="B96" t="str" cm="1">
        <f t="array" aca="1" ref="B96" ca="1">replaceChar(LOWER(LEFT(D96,3)&amp;RIGHT(I96,3))&amp;LEFT(H96,4))</f>
        <v>aforem2000</v>
      </c>
      <c r="C96" t="str">
        <f t="shared" ca="1" si="10"/>
        <v>pswaforem2000</v>
      </c>
      <c r="D96" t="str">
        <f ca="1">Nomes!T97</f>
        <v>Afonso André Neto Reis</v>
      </c>
      <c r="E96" t="str">
        <f ca="1">Nomes!S97</f>
        <v>Masculino</v>
      </c>
      <c r="F96" s="2">
        <v>23243</v>
      </c>
      <c r="G96" t="str" cm="1">
        <f t="array" aca="1" ref="G96" ca="1">INDEX(rua_cod!$F:$F,RANDBETWEEN(2,COUNTA(rua_cod!F:F)))</f>
        <v>Rua Cidade de Bolama</v>
      </c>
      <c r="H96" t="str" cm="1">
        <f t="array" aca="1" ref="H96" ca="1">INDEX(rua_cod!$A:$A,Users!V96) &amp; "-" &amp; TEXT(RANDBETWEEN(0,999),"000")</f>
        <v>2000-995</v>
      </c>
      <c r="I96" t="str" cm="1">
        <f t="array" aca="1" ref="I96" ca="1">INDEX(rua_cod!$B:$B,Users!V96)</f>
        <v>Santarém</v>
      </c>
      <c r="J96" t="s">
        <v>3727</v>
      </c>
      <c r="K96" t="s">
        <v>225</v>
      </c>
      <c r="L96" t="s">
        <v>265</v>
      </c>
      <c r="M96" t="str">
        <f t="shared" ca="1" si="11"/>
        <v>38187543</v>
      </c>
      <c r="N96" t="str">
        <f t="shared" ca="1" si="12"/>
        <v>109312547</v>
      </c>
      <c r="O96" t="str">
        <f t="shared" ca="1" si="12"/>
        <v>191124916</v>
      </c>
      <c r="P96" t="str" cm="1">
        <f t="array" aca="1" ref="P96" ca="1">9 &amp; INDEX($AF$3:$AF$6,W96)&amp; TEXT(RANDBETWEEN(0,9999999),"0000000")</f>
        <v>964005528</v>
      </c>
      <c r="Q96" t="str" cm="1">
        <f t="array" aca="1" ref="Q96" ca="1">LOWER(B96) &amp; INDEX($AF$9:$AF$11,X96)</f>
        <v>aforem2000@gmail.com</v>
      </c>
      <c r="R96" t="str">
        <f t="shared" ca="1" si="13"/>
        <v>aforem2000.jpg</v>
      </c>
      <c r="T96" s="4"/>
      <c r="V96">
        <f ca="1">RANDBETWEEN(2,COUNTA(rua_cod!A:A))</f>
        <v>93</v>
      </c>
      <c r="W96">
        <f t="shared" ca="1" si="14"/>
        <v>4</v>
      </c>
      <c r="X96">
        <f t="shared" ca="1" si="15"/>
        <v>2</v>
      </c>
      <c r="Y96">
        <f t="shared" ca="1" si="16"/>
        <v>1995</v>
      </c>
      <c r="Z96">
        <f t="shared" ca="1" si="17"/>
        <v>3</v>
      </c>
      <c r="AA96">
        <f t="shared" ca="1" si="18"/>
        <v>16</v>
      </c>
      <c r="AB96">
        <f t="shared" ca="1" si="19"/>
        <v>25</v>
      </c>
    </row>
    <row r="97" spans="1:28" x14ac:dyDescent="0.25">
      <c r="A97">
        <v>96</v>
      </c>
      <c r="B97" t="str" cm="1">
        <f t="array" aca="1" ref="B97" ca="1">replaceChar(LOWER(LEFT(D97,3)&amp;RIGHT(I97,3))&amp;LEFT(H97,4))</f>
        <v>diaras2780</v>
      </c>
      <c r="C97" t="str">
        <f t="shared" ca="1" si="10"/>
        <v>pswdiaras2780</v>
      </c>
      <c r="D97" t="str">
        <f ca="1">Nomes!T98</f>
        <v>Diana José Maia Pinho</v>
      </c>
      <c r="E97" t="str">
        <f ca="1">Nomes!S98</f>
        <v>Feminino</v>
      </c>
      <c r="F97" s="2">
        <v>18576</v>
      </c>
      <c r="G97" t="str" cm="1">
        <f t="array" aca="1" ref="G97" ca="1">INDEX(rua_cod!$F:$F,RANDBETWEEN(2,COUNTA(rua_cod!F:F)))</f>
        <v>Calçada do Moinho de Vento</v>
      </c>
      <c r="H97" t="str" cm="1">
        <f t="array" aca="1" ref="H97" ca="1">INDEX(rua_cod!$A:$A,Users!V97) &amp; "-" &amp; TEXT(RANDBETWEEN(0,999),"000")</f>
        <v>2780-241</v>
      </c>
      <c r="I97" t="str" cm="1">
        <f t="array" aca="1" ref="I97" ca="1">INDEX(rua_cod!$B:$B,Users!V97)</f>
        <v>Oeiras</v>
      </c>
      <c r="J97" t="s">
        <v>3727</v>
      </c>
      <c r="K97" t="s">
        <v>225</v>
      </c>
      <c r="L97" t="s">
        <v>265</v>
      </c>
      <c r="M97" t="str">
        <f t="shared" ca="1" si="11"/>
        <v>14402458</v>
      </c>
      <c r="N97" t="str">
        <f t="shared" ca="1" si="12"/>
        <v>685032813</v>
      </c>
      <c r="O97" t="str">
        <f t="shared" ca="1" si="12"/>
        <v>928666972</v>
      </c>
      <c r="P97" t="str" cm="1">
        <f t="array" aca="1" ref="P97" ca="1">9 &amp; INDEX($AF$3:$AF$6,W97)&amp; TEXT(RANDBETWEEN(0,9999999),"0000000")</f>
        <v>960644745</v>
      </c>
      <c r="Q97" t="str" cm="1">
        <f t="array" aca="1" ref="Q97" ca="1">LOWER(B97) &amp; INDEX($AF$9:$AF$11,X97)</f>
        <v>diaras2780@sapo.pt</v>
      </c>
      <c r="R97" t="str">
        <f t="shared" ca="1" si="13"/>
        <v>diaras2780.jpg</v>
      </c>
      <c r="T97" s="4"/>
      <c r="V97">
        <f ca="1">RANDBETWEEN(2,COUNTA(rua_cod!A:A))</f>
        <v>88</v>
      </c>
      <c r="W97">
        <f t="shared" ca="1" si="14"/>
        <v>4</v>
      </c>
      <c r="X97">
        <f t="shared" ca="1" si="15"/>
        <v>3</v>
      </c>
      <c r="Y97">
        <f t="shared" ca="1" si="16"/>
        <v>1980</v>
      </c>
      <c r="Z97">
        <f t="shared" ca="1" si="17"/>
        <v>5</v>
      </c>
      <c r="AA97">
        <f t="shared" ca="1" si="18"/>
        <v>18</v>
      </c>
      <c r="AB97">
        <f t="shared" ca="1" si="19"/>
        <v>40</v>
      </c>
    </row>
    <row r="98" spans="1:28" x14ac:dyDescent="0.25">
      <c r="A98">
        <v>97</v>
      </c>
      <c r="B98" t="str" cm="1">
        <f t="array" aca="1" ref="B98" ca="1">replaceChar(LOWER(LEFT(D98,3)&amp;RIGHT(I98,3))&amp;LEFT(H98,4))</f>
        <v>pediro2834</v>
      </c>
      <c r="C98" t="str">
        <f t="shared" ca="1" si="10"/>
        <v>pswpediro2834</v>
      </c>
      <c r="D98" t="str">
        <f ca="1">Nomes!T99</f>
        <v>Pedro Lurdes Monteiro Campos</v>
      </c>
      <c r="E98" t="str">
        <f ca="1">Nomes!S99</f>
        <v>Masculino</v>
      </c>
      <c r="F98" s="2">
        <v>36577</v>
      </c>
      <c r="G98" t="str" cm="1">
        <f t="array" aca="1" ref="G98" ca="1">INDEX(rua_cod!$F:$F,RANDBETWEEN(2,COUNTA(rua_cod!F:F)))</f>
        <v>Rua do Sacramento à Lapa</v>
      </c>
      <c r="H98" t="str" cm="1">
        <f t="array" aca="1" ref="H98" ca="1">INDEX(rua_cod!$A:$A,Users!V98) &amp; "-" &amp; TEXT(RANDBETWEEN(0,999),"000")</f>
        <v>2834-994</v>
      </c>
      <c r="I98" t="str" cm="1">
        <f t="array" aca="1" ref="I98" ca="1">INDEX(rua_cod!$B:$B,Users!V98)</f>
        <v>Barreiro</v>
      </c>
      <c r="J98" t="s">
        <v>3727</v>
      </c>
      <c r="K98" t="s">
        <v>225</v>
      </c>
      <c r="L98" t="s">
        <v>265</v>
      </c>
      <c r="M98" t="str">
        <f t="shared" ca="1" si="11"/>
        <v>38875361</v>
      </c>
      <c r="N98" t="str">
        <f t="shared" ca="1" si="12"/>
        <v>650804036</v>
      </c>
      <c r="O98" t="str">
        <f t="shared" ca="1" si="12"/>
        <v>865477606</v>
      </c>
      <c r="P98" t="str" cm="1">
        <f t="array" aca="1" ref="P98" ca="1">9 &amp; INDEX($AF$3:$AF$6,W98)&amp; TEXT(RANDBETWEEN(0,9999999),"0000000")</f>
        <v>937899082</v>
      </c>
      <c r="Q98" t="str" cm="1">
        <f t="array" aca="1" ref="Q98" ca="1">LOWER(B98) &amp; INDEX($AF$9:$AF$11,X98)</f>
        <v>pediro2834@sapo.pt</v>
      </c>
      <c r="R98" t="str">
        <f t="shared" ca="1" si="13"/>
        <v>pediro2834.jpg</v>
      </c>
      <c r="T98" s="4"/>
      <c r="V98">
        <f ca="1">RANDBETWEEN(2,COUNTA(rua_cod!A:A))</f>
        <v>17</v>
      </c>
      <c r="W98">
        <f t="shared" ca="1" si="14"/>
        <v>3</v>
      </c>
      <c r="X98">
        <f t="shared" ca="1" si="15"/>
        <v>3</v>
      </c>
      <c r="Y98">
        <f t="shared" ca="1" si="16"/>
        <v>2004</v>
      </c>
      <c r="Z98">
        <f t="shared" ca="1" si="17"/>
        <v>10</v>
      </c>
      <c r="AA98">
        <f t="shared" ca="1" si="18"/>
        <v>20</v>
      </c>
      <c r="AB98">
        <f t="shared" ca="1" si="19"/>
        <v>16</v>
      </c>
    </row>
    <row r="99" spans="1:28" x14ac:dyDescent="0.25">
      <c r="A99">
        <v>98</v>
      </c>
      <c r="B99" t="str" cm="1">
        <f t="array" aca="1" ref="B99" ca="1">replaceChar(LOWER(LEFT(D99,3)&amp;RIGHT(I99,3))&amp;LEFT(H99,4))</f>
        <v>pedria2410</v>
      </c>
      <c r="C99" t="str">
        <f t="shared" ca="1" si="10"/>
        <v>pswpedria2410</v>
      </c>
      <c r="D99" t="str">
        <f ca="1">Nomes!T100</f>
        <v>Pedro José Nunes Amaral</v>
      </c>
      <c r="E99" t="str">
        <f ca="1">Nomes!S100</f>
        <v>Masculino</v>
      </c>
      <c r="F99" s="2">
        <v>18365</v>
      </c>
      <c r="G99" t="str" cm="1">
        <f t="array" aca="1" ref="G99" ca="1">INDEX(rua_cod!$F:$F,RANDBETWEEN(2,COUNTA(rua_cod!F:F)))</f>
        <v>Rua Augusta</v>
      </c>
      <c r="H99" t="str" cm="1">
        <f t="array" aca="1" ref="H99" ca="1">INDEX(rua_cod!$A:$A,Users!V99) &amp; "-" &amp; TEXT(RANDBETWEEN(0,999),"000")</f>
        <v>2410-485</v>
      </c>
      <c r="I99" t="str" cm="1">
        <f t="array" aca="1" ref="I99" ca="1">INDEX(rua_cod!$B:$B,Users!V99)</f>
        <v>Leiria</v>
      </c>
      <c r="J99" t="s">
        <v>3727</v>
      </c>
      <c r="K99" t="s">
        <v>225</v>
      </c>
      <c r="L99" t="s">
        <v>265</v>
      </c>
      <c r="M99" t="str">
        <f t="shared" ca="1" si="11"/>
        <v>14796384</v>
      </c>
      <c r="N99" t="str">
        <f t="shared" ca="1" si="12"/>
        <v>322273862</v>
      </c>
      <c r="O99" t="str">
        <f t="shared" ca="1" si="12"/>
        <v>445792694</v>
      </c>
      <c r="P99" t="str" cm="1">
        <f t="array" aca="1" ref="P99" ca="1">9 &amp; INDEX($AF$3:$AF$6,W99)&amp; TEXT(RANDBETWEEN(0,9999999),"0000000")</f>
        <v>928076246</v>
      </c>
      <c r="Q99" t="str" cm="1">
        <f t="array" aca="1" ref="Q99" ca="1">LOWER(B99) &amp; INDEX($AF$9:$AF$11,X99)</f>
        <v>pedria2410@gmail.com</v>
      </c>
      <c r="R99" t="str">
        <f t="shared" ca="1" si="13"/>
        <v>pedria2410.jpg</v>
      </c>
      <c r="T99" s="4"/>
      <c r="V99">
        <f ca="1">RANDBETWEEN(2,COUNTA(rua_cod!A:A))</f>
        <v>34</v>
      </c>
      <c r="W99">
        <f t="shared" ca="1" si="14"/>
        <v>2</v>
      </c>
      <c r="X99">
        <f t="shared" ca="1" si="15"/>
        <v>2</v>
      </c>
      <c r="Y99">
        <f t="shared" ca="1" si="16"/>
        <v>1941</v>
      </c>
      <c r="Z99">
        <f t="shared" ca="1" si="17"/>
        <v>12</v>
      </c>
      <c r="AA99">
        <f t="shared" ca="1" si="18"/>
        <v>23</v>
      </c>
      <c r="AB99">
        <f t="shared" ca="1" si="19"/>
        <v>79</v>
      </c>
    </row>
    <row r="100" spans="1:28" x14ac:dyDescent="0.25">
      <c r="A100">
        <v>99</v>
      </c>
      <c r="B100" t="str" cm="1">
        <f t="array" aca="1" ref="B100" ca="1">replaceChar(LOWER(LEFT(D100,3)&amp;RIGHT(I100,3))&amp;LEFT(H100,4))</f>
        <v>afores2674</v>
      </c>
      <c r="C100" t="str">
        <f t="shared" ca="1" si="10"/>
        <v>pswafores2674</v>
      </c>
      <c r="D100" t="str">
        <f ca="1">Nomes!T101</f>
        <v>Afonso Sofia Ferreira Soares</v>
      </c>
      <c r="E100" t="str">
        <f ca="1">Nomes!S101</f>
        <v>Masculino</v>
      </c>
      <c r="F100" s="2">
        <v>31062</v>
      </c>
      <c r="G100" t="str" cm="1">
        <f t="array" aca="1" ref="G100" ca="1">INDEX(rua_cod!$F:$F,RANDBETWEEN(2,COUNTA(rua_cod!F:F)))</f>
        <v>Rua do Sacramento à Lapa</v>
      </c>
      <c r="H100" t="str" cm="1">
        <f t="array" aca="1" ref="H100" ca="1">INDEX(rua_cod!$A:$A,Users!V100) &amp; "-" &amp; TEXT(RANDBETWEEN(0,999),"000")</f>
        <v>2674-331</v>
      </c>
      <c r="I100" t="str" cm="1">
        <f t="array" aca="1" ref="I100" ca="1">INDEX(rua_cod!$B:$B,Users!V100)</f>
        <v>Loures</v>
      </c>
      <c r="J100" t="s">
        <v>3727</v>
      </c>
      <c r="K100" t="s">
        <v>225</v>
      </c>
      <c r="L100" t="s">
        <v>265</v>
      </c>
      <c r="M100" t="str">
        <f t="shared" ca="1" si="11"/>
        <v>77126078</v>
      </c>
      <c r="N100" t="str">
        <f t="shared" ca="1" si="12"/>
        <v>369984281</v>
      </c>
      <c r="O100" t="str">
        <f t="shared" ca="1" si="12"/>
        <v>150038719</v>
      </c>
      <c r="P100" t="str" cm="1">
        <f t="array" aca="1" ref="P100" ca="1">9 &amp; INDEX($AF$3:$AF$6,W100)&amp; TEXT(RANDBETWEEN(0,9999999),"0000000")</f>
        <v>961075233</v>
      </c>
      <c r="Q100" t="str" cm="1">
        <f t="array" aca="1" ref="Q100" ca="1">LOWER(B100) &amp; INDEX($AF$9:$AF$11,X100)</f>
        <v>afores2674@gmail.com</v>
      </c>
      <c r="R100" t="str">
        <f t="shared" ca="1" si="13"/>
        <v>afores2674.jpg</v>
      </c>
      <c r="T100" s="4"/>
      <c r="V100">
        <f ca="1">RANDBETWEEN(2,COUNTA(rua_cod!A:A))</f>
        <v>84</v>
      </c>
      <c r="W100">
        <f t="shared" ca="1" si="14"/>
        <v>4</v>
      </c>
      <c r="X100">
        <f t="shared" ca="1" si="15"/>
        <v>2</v>
      </c>
      <c r="Y100">
        <f t="shared" ca="1" si="16"/>
        <v>1944</v>
      </c>
      <c r="Z100">
        <f t="shared" ca="1" si="17"/>
        <v>3</v>
      </c>
      <c r="AA100">
        <f t="shared" ca="1" si="18"/>
        <v>26</v>
      </c>
      <c r="AB100">
        <f t="shared" ca="1" si="19"/>
        <v>76</v>
      </c>
    </row>
    <row r="101" spans="1:28" x14ac:dyDescent="0.25">
      <c r="A101">
        <v>100</v>
      </c>
      <c r="B101" t="str" cm="1">
        <f t="array" aca="1" ref="B101" ca="1">replaceChar(LOWER(LEFT(D101,3)&amp;RIGHT(I101,3))&amp;LEFT(H101,4))</f>
        <v>verais2750</v>
      </c>
      <c r="C101" t="str">
        <f t="shared" ca="1" si="10"/>
        <v>pswverais2750</v>
      </c>
      <c r="D101" t="str">
        <f ca="1">Nomes!T102</f>
        <v>Vera Gabriel Martins Soares</v>
      </c>
      <c r="E101" t="str">
        <f ca="1">Nomes!S102</f>
        <v>Feminino</v>
      </c>
      <c r="F101" s="2">
        <v>37490</v>
      </c>
      <c r="G101" t="str" cm="1">
        <f t="array" aca="1" ref="G101" ca="1">INDEX(rua_cod!$F:$F,RANDBETWEEN(2,COUNTA(rua_cod!F:F)))</f>
        <v>Calçada Marquês de Abrantes</v>
      </c>
      <c r="H101" t="str" cm="1">
        <f t="array" aca="1" ref="H101" ca="1">INDEX(rua_cod!$A:$A,Users!V101) &amp; "-" &amp; TEXT(RANDBETWEEN(0,999),"000")</f>
        <v>2750-092</v>
      </c>
      <c r="I101" t="str" cm="1">
        <f t="array" aca="1" ref="I101" ca="1">INDEX(rua_cod!$B:$B,Users!V101)</f>
        <v>Cascais</v>
      </c>
      <c r="J101" t="s">
        <v>3727</v>
      </c>
      <c r="K101" t="s">
        <v>225</v>
      </c>
      <c r="L101" t="s">
        <v>265</v>
      </c>
      <c r="M101" t="str">
        <f t="shared" ca="1" si="11"/>
        <v>26448248</v>
      </c>
      <c r="N101" t="str">
        <f t="shared" ca="1" si="12"/>
        <v>849985747</v>
      </c>
      <c r="O101" t="str">
        <f t="shared" ca="1" si="12"/>
        <v>789838864</v>
      </c>
      <c r="P101" t="str" cm="1">
        <f t="array" aca="1" ref="P101" ca="1">9 &amp; INDEX($AF$3:$AF$6,W101)&amp; TEXT(RANDBETWEEN(0,9999999),"0000000")</f>
        <v>928996291</v>
      </c>
      <c r="Q101" t="str" cm="1">
        <f t="array" aca="1" ref="Q101" ca="1">LOWER(B101) &amp; INDEX($AF$9:$AF$11,X101)</f>
        <v>verais2750@gmail.com</v>
      </c>
      <c r="R101" t="str">
        <f t="shared" ca="1" si="13"/>
        <v>verais2750.jpg</v>
      </c>
      <c r="T101" s="4"/>
      <c r="V101">
        <f ca="1">RANDBETWEEN(2,COUNTA(rua_cod!A:A))</f>
        <v>24</v>
      </c>
      <c r="W101">
        <f t="shared" ca="1" si="14"/>
        <v>2</v>
      </c>
      <c r="X101">
        <f t="shared" ca="1" si="15"/>
        <v>2</v>
      </c>
      <c r="Y101">
        <f t="shared" ca="1" si="16"/>
        <v>1943</v>
      </c>
      <c r="Z101">
        <f t="shared" ca="1" si="17"/>
        <v>1</v>
      </c>
      <c r="AA101">
        <f t="shared" ca="1" si="18"/>
        <v>3</v>
      </c>
      <c r="AB101">
        <f t="shared" ca="1" si="19"/>
        <v>77</v>
      </c>
    </row>
    <row r="102" spans="1:28" x14ac:dyDescent="0.25">
      <c r="A102">
        <v>101</v>
      </c>
      <c r="B102" t="str" cm="1">
        <f t="array" aca="1" ref="B102" ca="1">replaceChar(LOWER(LEFT(D102,3)&amp;RIGHT(I102,3))&amp;LEFT(H102,4))</f>
        <v>sarboa1250</v>
      </c>
      <c r="C102" t="str">
        <f t="shared" ca="1" si="10"/>
        <v>pswsarboa1250</v>
      </c>
      <c r="D102" t="str">
        <f ca="1">Nomes!T103</f>
        <v>Sara Diogo Cunha Valente</v>
      </c>
      <c r="E102" t="str">
        <f ca="1">Nomes!S103</f>
        <v>Feminino</v>
      </c>
      <c r="F102" s="2">
        <v>23523</v>
      </c>
      <c r="G102" t="str" cm="1">
        <f t="array" aca="1" ref="G102" ca="1">INDEX(rua_cod!$F:$F,RANDBETWEEN(2,COUNTA(rua_cod!F:F)))</f>
        <v>Rua do Salitre</v>
      </c>
      <c r="H102" t="str" cm="1">
        <f t="array" aca="1" ref="H102" ca="1">INDEX(rua_cod!$A:$A,Users!V102) &amp; "-" &amp; TEXT(RANDBETWEEN(0,999),"000")</f>
        <v>1250-314</v>
      </c>
      <c r="I102" t="str" cm="1">
        <f t="array" aca="1" ref="I102" ca="1">INDEX(rua_cod!$B:$B,Users!V102)</f>
        <v>Lisboa</v>
      </c>
      <c r="J102" t="s">
        <v>3727</v>
      </c>
      <c r="K102" t="s">
        <v>225</v>
      </c>
      <c r="L102" t="s">
        <v>265</v>
      </c>
      <c r="M102" t="str">
        <f t="shared" ca="1" si="11"/>
        <v>25758525</v>
      </c>
      <c r="N102" t="str">
        <f t="shared" ca="1" si="12"/>
        <v>943914919</v>
      </c>
      <c r="O102" t="str">
        <f t="shared" ca="1" si="12"/>
        <v>533740928</v>
      </c>
      <c r="P102" t="str" cm="1">
        <f t="array" aca="1" ref="P102" ca="1">9 &amp; INDEX($AF$3:$AF$6,W102)&amp; TEXT(RANDBETWEEN(0,9999999),"0000000")</f>
        <v>914686773</v>
      </c>
      <c r="Q102" t="str" cm="1">
        <f t="array" aca="1" ref="Q102" ca="1">LOWER(B102) &amp; INDEX($AF$9:$AF$11,X102)</f>
        <v>sarboa1250@sapo.pt</v>
      </c>
      <c r="R102" t="str">
        <f t="shared" ca="1" si="13"/>
        <v>sarboa1250.jpg</v>
      </c>
      <c r="T102" s="4"/>
      <c r="V102">
        <f ca="1">RANDBETWEEN(2,COUNTA(rua_cod!A:A))</f>
        <v>50</v>
      </c>
      <c r="W102">
        <f t="shared" ca="1" si="14"/>
        <v>1</v>
      </c>
      <c r="X102">
        <f t="shared" ca="1" si="15"/>
        <v>3</v>
      </c>
      <c r="Y102">
        <f t="shared" ca="1" si="16"/>
        <v>1963</v>
      </c>
      <c r="Z102">
        <f t="shared" ca="1" si="17"/>
        <v>7</v>
      </c>
      <c r="AA102">
        <f t="shared" ca="1" si="18"/>
        <v>10</v>
      </c>
      <c r="AB102">
        <f t="shared" ca="1" si="19"/>
        <v>57</v>
      </c>
    </row>
    <row r="103" spans="1:28" x14ac:dyDescent="0.25">
      <c r="A103">
        <v>102</v>
      </c>
      <c r="B103" t="str" cm="1">
        <f t="array" aca="1" ref="B103" ca="1">replaceChar(LOWER(LEFT(D103,3)&amp;RIGHT(I103,3))&amp;LEFT(H103,4))</f>
        <v>bruras2784</v>
      </c>
      <c r="C103" t="str">
        <f t="shared" ca="1" si="10"/>
        <v>pswbruras2784</v>
      </c>
      <c r="D103" t="str">
        <f ca="1">Nomes!T104</f>
        <v>Bruno Sara Antunes Barbosa</v>
      </c>
      <c r="E103" t="str">
        <f ca="1">Nomes!S104</f>
        <v>Masculino</v>
      </c>
      <c r="F103" s="2">
        <v>43571</v>
      </c>
      <c r="G103" t="str" cm="1">
        <f t="array" aca="1" ref="G103" ca="1">INDEX(rua_cod!$F:$F,RANDBETWEEN(2,COUNTA(rua_cod!F:F)))</f>
        <v>Estrada Militar</v>
      </c>
      <c r="H103" t="str" cm="1">
        <f t="array" aca="1" ref="H103" ca="1">INDEX(rua_cod!$A:$A,Users!V103) &amp; "-" &amp; TEXT(RANDBETWEEN(0,999),"000")</f>
        <v>2784-816</v>
      </c>
      <c r="I103" t="str" cm="1">
        <f t="array" aca="1" ref="I103" ca="1">INDEX(rua_cod!$B:$B,Users!V103)</f>
        <v>Oeiras</v>
      </c>
      <c r="J103" t="s">
        <v>3727</v>
      </c>
      <c r="K103" t="s">
        <v>225</v>
      </c>
      <c r="L103" t="s">
        <v>265</v>
      </c>
      <c r="M103" t="str">
        <f t="shared" ca="1" si="11"/>
        <v>18648745</v>
      </c>
      <c r="N103" t="str">
        <f t="shared" ca="1" si="12"/>
        <v>105426645</v>
      </c>
      <c r="O103" t="str">
        <f t="shared" ca="1" si="12"/>
        <v>828342101</v>
      </c>
      <c r="P103" t="str" cm="1">
        <f t="array" aca="1" ref="P103" ca="1">9 &amp; INDEX($AF$3:$AF$6,W103)&amp; TEXT(RANDBETWEEN(0,9999999),"0000000")</f>
        <v>918099012</v>
      </c>
      <c r="Q103" t="str" cm="1">
        <f t="array" aca="1" ref="Q103" ca="1">LOWER(B103) &amp; INDEX($AF$9:$AF$11,X103)</f>
        <v>bruras2784@outlook.com</v>
      </c>
      <c r="R103" t="str">
        <f t="shared" ca="1" si="13"/>
        <v>bruras2784.jpg</v>
      </c>
      <c r="T103" s="4"/>
      <c r="V103">
        <f ca="1">RANDBETWEEN(2,COUNTA(rua_cod!A:A))</f>
        <v>89</v>
      </c>
      <c r="W103">
        <f t="shared" ca="1" si="14"/>
        <v>1</v>
      </c>
      <c r="X103">
        <f t="shared" ca="1" si="15"/>
        <v>1</v>
      </c>
      <c r="Y103">
        <f t="shared" ca="1" si="16"/>
        <v>1957</v>
      </c>
      <c r="Z103">
        <f t="shared" ca="1" si="17"/>
        <v>5</v>
      </c>
      <c r="AA103">
        <f t="shared" ca="1" si="18"/>
        <v>20</v>
      </c>
      <c r="AB103">
        <f t="shared" ca="1" si="19"/>
        <v>63</v>
      </c>
    </row>
    <row r="104" spans="1:28" x14ac:dyDescent="0.25">
      <c r="A104">
        <v>103</v>
      </c>
      <c r="B104" t="str" cm="1">
        <f t="array" aca="1" ref="B104" ca="1">replaceChar(LOWER(LEFT(D104,3)&amp;RIGHT(I104,3))&amp;LEFT(H104,4))</f>
        <v>joaboa1900</v>
      </c>
      <c r="C104" t="str">
        <f t="shared" ca="1" si="10"/>
        <v>pswjoaboa1900</v>
      </c>
      <c r="D104" t="str">
        <f ca="1">Nomes!T105</f>
        <v>João Santiago Reis Soares</v>
      </c>
      <c r="E104" t="str">
        <f ca="1">Nomes!S105</f>
        <v>Masculino</v>
      </c>
      <c r="F104" s="2">
        <v>35936</v>
      </c>
      <c r="G104" t="str" cm="1">
        <f t="array" aca="1" ref="G104" ca="1">INDEX(rua_cod!$F:$F,RANDBETWEEN(2,COUNTA(rua_cod!F:F)))</f>
        <v>Calçada do Poço dos Mouros</v>
      </c>
      <c r="H104" t="str" cm="1">
        <f t="array" aca="1" ref="H104" ca="1">INDEX(rua_cod!$A:$A,Users!V104) &amp; "-" &amp; TEXT(RANDBETWEEN(0,999),"000")</f>
        <v>1900-933</v>
      </c>
      <c r="I104" t="str" cm="1">
        <f t="array" aca="1" ref="I104" ca="1">INDEX(rua_cod!$B:$B,Users!V104)</f>
        <v>Lisboa</v>
      </c>
      <c r="J104" t="s">
        <v>3727</v>
      </c>
      <c r="K104" t="s">
        <v>225</v>
      </c>
      <c r="L104" t="s">
        <v>265</v>
      </c>
      <c r="M104" t="str">
        <f t="shared" ca="1" si="11"/>
        <v>24762984</v>
      </c>
      <c r="N104" t="str">
        <f t="shared" ca="1" si="12"/>
        <v>526758686</v>
      </c>
      <c r="O104" t="str">
        <f t="shared" ca="1" si="12"/>
        <v>713509410</v>
      </c>
      <c r="P104" t="str" cm="1">
        <f t="array" aca="1" ref="P104" ca="1">9 &amp; INDEX($AF$3:$AF$6,W104)&amp; TEXT(RANDBETWEEN(0,9999999),"0000000")</f>
        <v>928220264</v>
      </c>
      <c r="Q104" t="str" cm="1">
        <f t="array" aca="1" ref="Q104" ca="1">LOWER(B104) &amp; INDEX($AF$9:$AF$11,X104)</f>
        <v>joaboa1900@gmail.com</v>
      </c>
      <c r="R104" t="str">
        <f t="shared" ca="1" si="13"/>
        <v>joaboa1900.jpg</v>
      </c>
      <c r="T104" s="4"/>
      <c r="V104">
        <f ca="1">RANDBETWEEN(2,COUNTA(rua_cod!A:A))</f>
        <v>42</v>
      </c>
      <c r="W104">
        <f t="shared" ca="1" si="14"/>
        <v>2</v>
      </c>
      <c r="X104">
        <f t="shared" ca="1" si="15"/>
        <v>2</v>
      </c>
      <c r="Y104">
        <f t="shared" ca="1" si="16"/>
        <v>1975</v>
      </c>
      <c r="Z104">
        <f t="shared" ca="1" si="17"/>
        <v>11</v>
      </c>
      <c r="AA104">
        <f t="shared" ca="1" si="18"/>
        <v>5</v>
      </c>
      <c r="AB104">
        <f t="shared" ca="1" si="19"/>
        <v>45</v>
      </c>
    </row>
    <row r="105" spans="1:28" x14ac:dyDescent="0.25">
      <c r="A105">
        <v>104</v>
      </c>
      <c r="B105" t="str" cm="1">
        <f t="array" aca="1" ref="B105" ca="1">replaceChar(LOWER(LEFT(D105,3)&amp;RIGHT(I105,3))&amp;LEFT(H105,4))</f>
        <v>duafra2640</v>
      </c>
      <c r="C105" t="str">
        <f t="shared" ca="1" si="10"/>
        <v>pswduafra2640</v>
      </c>
      <c r="D105" t="str">
        <f ca="1">Nomes!T106</f>
        <v>Duarte Miguel Fonseca Leal</v>
      </c>
      <c r="E105" t="str">
        <f ca="1">Nomes!S106</f>
        <v>Masculino</v>
      </c>
      <c r="F105" s="2">
        <v>33299</v>
      </c>
      <c r="G105" t="str" cm="1">
        <f t="array" aca="1" ref="G105" ca="1">INDEX(rua_cod!$F:$F,RANDBETWEEN(2,COUNTA(rua_cod!F:F)))</f>
        <v>Calçada do Poço dos Mouros</v>
      </c>
      <c r="H105" t="str" cm="1">
        <f t="array" aca="1" ref="H105" ca="1">INDEX(rua_cod!$A:$A,Users!V105) &amp; "-" &amp; TEXT(RANDBETWEEN(0,999),"000")</f>
        <v>2640-212</v>
      </c>
      <c r="I105" t="str" cm="1">
        <f t="array" aca="1" ref="I105" ca="1">INDEX(rua_cod!$B:$B,Users!V105)</f>
        <v>Mafra</v>
      </c>
      <c r="J105" t="s">
        <v>3727</v>
      </c>
      <c r="K105" t="s">
        <v>225</v>
      </c>
      <c r="L105" t="s">
        <v>265</v>
      </c>
      <c r="M105" t="str">
        <f t="shared" ca="1" si="11"/>
        <v>90581421</v>
      </c>
      <c r="N105" t="str">
        <f t="shared" ca="1" si="12"/>
        <v>273001395</v>
      </c>
      <c r="O105" t="str">
        <f t="shared" ca="1" si="12"/>
        <v>761931981</v>
      </c>
      <c r="P105" t="str" cm="1">
        <f t="array" aca="1" ref="P105" ca="1">9 &amp; INDEX($AF$3:$AF$6,W105)&amp; TEXT(RANDBETWEEN(0,9999999),"0000000")</f>
        <v>914194140</v>
      </c>
      <c r="Q105" t="str" cm="1">
        <f t="array" aca="1" ref="Q105" ca="1">LOWER(B105) &amp; INDEX($AF$9:$AF$11,X105)</f>
        <v>duafra2640@sapo.pt</v>
      </c>
      <c r="R105" t="str">
        <f t="shared" ca="1" si="13"/>
        <v>duafra2640.jpg</v>
      </c>
      <c r="T105" s="4"/>
      <c r="V105">
        <f ca="1">RANDBETWEEN(2,COUNTA(rua_cod!A:A))</f>
        <v>85</v>
      </c>
      <c r="W105">
        <f t="shared" ca="1" si="14"/>
        <v>1</v>
      </c>
      <c r="X105">
        <f t="shared" ca="1" si="15"/>
        <v>3</v>
      </c>
      <c r="Y105">
        <f t="shared" ca="1" si="16"/>
        <v>2002</v>
      </c>
      <c r="Z105">
        <f t="shared" ca="1" si="17"/>
        <v>11</v>
      </c>
      <c r="AA105">
        <f t="shared" ca="1" si="18"/>
        <v>1</v>
      </c>
      <c r="AB105">
        <f t="shared" ca="1" si="19"/>
        <v>18</v>
      </c>
    </row>
    <row r="106" spans="1:28" x14ac:dyDescent="0.25">
      <c r="A106">
        <v>105</v>
      </c>
      <c r="B106" t="str" cm="1">
        <f t="array" aca="1" ref="B106" ca="1">replaceChar(LOWER(LEFT(D106,3)&amp;RIGHT(I106,3))&amp;LEFT(H106,4))</f>
        <v>matria2420</v>
      </c>
      <c r="C106" t="str">
        <f t="shared" ca="1" si="10"/>
        <v>pswmatria2420</v>
      </c>
      <c r="D106" t="str">
        <f ca="1">Nomes!T107</f>
        <v>Matilde André Coelho Barros</v>
      </c>
      <c r="E106" t="str">
        <f ca="1">Nomes!S107</f>
        <v>Feminino</v>
      </c>
      <c r="F106" s="2">
        <v>12890</v>
      </c>
      <c r="G106" t="str" cm="1">
        <f t="array" aca="1" ref="G106" ca="1">INDEX(rua_cod!$F:$F,RANDBETWEEN(2,COUNTA(rua_cod!F:F)))</f>
        <v>Rua do Arsenal</v>
      </c>
      <c r="H106" t="str" cm="1">
        <f t="array" aca="1" ref="H106" ca="1">INDEX(rua_cod!$A:$A,Users!V106) &amp; "-" &amp; TEXT(RANDBETWEEN(0,999),"000")</f>
        <v>2420-410</v>
      </c>
      <c r="I106" t="str" cm="1">
        <f t="array" aca="1" ref="I106" ca="1">INDEX(rua_cod!$B:$B,Users!V106)</f>
        <v>Leiria</v>
      </c>
      <c r="J106" t="s">
        <v>3727</v>
      </c>
      <c r="K106" t="s">
        <v>225</v>
      </c>
      <c r="L106" t="s">
        <v>265</v>
      </c>
      <c r="M106" t="str">
        <f t="shared" ca="1" si="11"/>
        <v>27645004</v>
      </c>
      <c r="N106" t="str">
        <f t="shared" ca="1" si="12"/>
        <v>493976756</v>
      </c>
      <c r="O106" t="str">
        <f t="shared" ca="1" si="12"/>
        <v>866655600</v>
      </c>
      <c r="P106" t="str" cm="1">
        <f t="array" aca="1" ref="P106" ca="1">9 &amp; INDEX($AF$3:$AF$6,W106)&amp; TEXT(RANDBETWEEN(0,9999999),"0000000")</f>
        <v>934539994</v>
      </c>
      <c r="Q106" t="str" cm="1">
        <f t="array" aca="1" ref="Q106" ca="1">LOWER(B106) &amp; INDEX($AF$9:$AF$11,X106)</f>
        <v>matria2420@gmail.com</v>
      </c>
      <c r="R106" t="str">
        <f t="shared" ca="1" si="13"/>
        <v>matria2420.jpg</v>
      </c>
      <c r="T106" s="4"/>
      <c r="V106">
        <f ca="1">RANDBETWEEN(2,COUNTA(rua_cod!A:A))</f>
        <v>33</v>
      </c>
      <c r="W106">
        <f t="shared" ca="1" si="14"/>
        <v>3</v>
      </c>
      <c r="X106">
        <f t="shared" ca="1" si="15"/>
        <v>2</v>
      </c>
      <c r="Y106">
        <f t="shared" ca="1" si="16"/>
        <v>1906</v>
      </c>
      <c r="Z106">
        <f t="shared" ca="1" si="17"/>
        <v>3</v>
      </c>
      <c r="AA106">
        <f t="shared" ca="1" si="18"/>
        <v>6</v>
      </c>
      <c r="AB106">
        <f t="shared" ca="1" si="19"/>
        <v>114</v>
      </c>
    </row>
    <row r="107" spans="1:28" x14ac:dyDescent="0.25">
      <c r="A107">
        <v>106</v>
      </c>
      <c r="B107" t="str" cm="1">
        <f t="array" aca="1" ref="B107" ca="1">replaceChar(LOWER(LEFT(D107,3)&amp;RIGHT(I107,3))&amp;LEFT(H107,4))</f>
        <v>fraora2700</v>
      </c>
      <c r="C107" t="str">
        <f t="shared" ca="1" si="10"/>
        <v>pswfraora2700</v>
      </c>
      <c r="D107" t="str">
        <f ca="1">Nomes!T108</f>
        <v>Francisca Pedro Borges Neto</v>
      </c>
      <c r="E107" t="str">
        <f ca="1">Nomes!S108</f>
        <v>Feminino</v>
      </c>
      <c r="F107" s="2">
        <v>39911</v>
      </c>
      <c r="G107" t="str" cm="1">
        <f t="array" aca="1" ref="G107" ca="1">INDEX(rua_cod!$F:$F,RANDBETWEEN(2,COUNTA(rua_cod!F:F)))</f>
        <v>Calçada Marquês de Abrantes</v>
      </c>
      <c r="H107" t="str" cm="1">
        <f t="array" aca="1" ref="H107" ca="1">INDEX(rua_cod!$A:$A,Users!V107) &amp; "-" &amp; TEXT(RANDBETWEEN(0,999),"000")</f>
        <v>2700-350</v>
      </c>
      <c r="I107" t="str" cm="1">
        <f t="array" aca="1" ref="I107" ca="1">INDEX(rua_cod!$B:$B,Users!V107)</f>
        <v>Amadora</v>
      </c>
      <c r="J107" t="s">
        <v>3727</v>
      </c>
      <c r="K107" t="s">
        <v>225</v>
      </c>
      <c r="L107" t="s">
        <v>265</v>
      </c>
      <c r="M107" t="str">
        <f t="shared" ca="1" si="11"/>
        <v>46531049</v>
      </c>
      <c r="N107" t="str">
        <f t="shared" ca="1" si="12"/>
        <v>201512063</v>
      </c>
      <c r="O107" t="str">
        <f t="shared" ca="1" si="12"/>
        <v>332633998</v>
      </c>
      <c r="P107" t="str" cm="1">
        <f t="array" aca="1" ref="P107" ca="1">9 &amp; INDEX($AF$3:$AF$6,W107)&amp; TEXT(RANDBETWEEN(0,9999999),"0000000")</f>
        <v>929000368</v>
      </c>
      <c r="Q107" t="str" cm="1">
        <f t="array" aca="1" ref="Q107" ca="1">LOWER(B107) &amp; INDEX($AF$9:$AF$11,X107)</f>
        <v>fraora2700@sapo.pt</v>
      </c>
      <c r="R107" t="str">
        <f t="shared" ca="1" si="13"/>
        <v>fraora2700.jpg</v>
      </c>
      <c r="T107" s="4"/>
      <c r="V107">
        <f ca="1">RANDBETWEEN(2,COUNTA(rua_cod!A:A))</f>
        <v>10</v>
      </c>
      <c r="W107">
        <f t="shared" ca="1" si="14"/>
        <v>2</v>
      </c>
      <c r="X107">
        <f t="shared" ca="1" si="15"/>
        <v>3</v>
      </c>
      <c r="Y107">
        <f t="shared" ca="1" si="16"/>
        <v>1991</v>
      </c>
      <c r="Z107">
        <f t="shared" ca="1" si="17"/>
        <v>1</v>
      </c>
      <c r="AA107">
        <f t="shared" ca="1" si="18"/>
        <v>14</v>
      </c>
      <c r="AB107">
        <f t="shared" ca="1" si="19"/>
        <v>29</v>
      </c>
    </row>
    <row r="108" spans="1:28" x14ac:dyDescent="0.25">
      <c r="A108">
        <v>107</v>
      </c>
      <c r="B108" t="str" cm="1">
        <f t="array" aca="1" ref="B108" ca="1">replaceChar(LOWER(LEFT(D108,3)&amp;RIGHT(I108,3))&amp;LEFT(H108,4))</f>
        <v>anaboa1099</v>
      </c>
      <c r="C108" t="str">
        <f t="shared" ca="1" si="10"/>
        <v>pswanaboa1099</v>
      </c>
      <c r="D108" t="str">
        <f ca="1">Nomes!T109</f>
        <v>Ana Luís Sá Domingues</v>
      </c>
      <c r="E108" t="str">
        <f ca="1">Nomes!S109</f>
        <v>Feminino</v>
      </c>
      <c r="F108" s="2">
        <v>24416</v>
      </c>
      <c r="G108" t="str" cm="1">
        <f t="array" aca="1" ref="G108" ca="1">INDEX(rua_cod!$F:$F,RANDBETWEEN(2,COUNTA(rua_cod!F:F)))</f>
        <v>Rua Júlio César Machado</v>
      </c>
      <c r="H108" t="str" cm="1">
        <f t="array" aca="1" ref="H108" ca="1">INDEX(rua_cod!$A:$A,Users!V108) &amp; "-" &amp; TEXT(RANDBETWEEN(0,999),"000")</f>
        <v>1099-119</v>
      </c>
      <c r="I108" t="str" cm="1">
        <f t="array" aca="1" ref="I108" ca="1">INDEX(rua_cod!$B:$B,Users!V108)</f>
        <v>Lisboa</v>
      </c>
      <c r="J108" t="s">
        <v>3727</v>
      </c>
      <c r="K108" t="s">
        <v>225</v>
      </c>
      <c r="L108" t="s">
        <v>265</v>
      </c>
      <c r="M108" t="str">
        <f t="shared" ca="1" si="11"/>
        <v>69941939</v>
      </c>
      <c r="N108" t="str">
        <f t="shared" ca="1" si="12"/>
        <v>436594126</v>
      </c>
      <c r="O108" t="str">
        <f t="shared" ca="1" si="12"/>
        <v>858689255</v>
      </c>
      <c r="P108" t="str" cm="1">
        <f t="array" aca="1" ref="P108" ca="1">9 &amp; INDEX($AF$3:$AF$6,W108)&amp; TEXT(RANDBETWEEN(0,9999999),"0000000")</f>
        <v>919012248</v>
      </c>
      <c r="Q108" t="str" cm="1">
        <f t="array" aca="1" ref="Q108" ca="1">LOWER(B108) &amp; INDEX($AF$9:$AF$11,X108)</f>
        <v>anaboa1099@sapo.pt</v>
      </c>
      <c r="R108" t="str">
        <f t="shared" ca="1" si="13"/>
        <v>anaboa1099.jpg</v>
      </c>
      <c r="T108" s="4"/>
      <c r="V108">
        <f ca="1">RANDBETWEEN(2,COUNTA(rua_cod!A:A))</f>
        <v>53</v>
      </c>
      <c r="W108">
        <f t="shared" ca="1" si="14"/>
        <v>1</v>
      </c>
      <c r="X108">
        <f t="shared" ca="1" si="15"/>
        <v>3</v>
      </c>
      <c r="Y108">
        <f t="shared" ca="1" si="16"/>
        <v>2017</v>
      </c>
      <c r="Z108">
        <f t="shared" ca="1" si="17"/>
        <v>3</v>
      </c>
      <c r="AA108">
        <f t="shared" ca="1" si="18"/>
        <v>29</v>
      </c>
      <c r="AB108">
        <f t="shared" ca="1" si="19"/>
        <v>3</v>
      </c>
    </row>
    <row r="109" spans="1:28" x14ac:dyDescent="0.25">
      <c r="A109">
        <v>108</v>
      </c>
      <c r="B109" t="str" cm="1">
        <f t="array" aca="1" ref="B109" ca="1">replaceChar(LOWER(LEFT(D109,3)&amp;RIGHT(I109,3))&amp;LEFT(H109,4))</f>
        <v>marras2784</v>
      </c>
      <c r="C109" t="str">
        <f t="shared" ca="1" si="10"/>
        <v>pswmarras2784</v>
      </c>
      <c r="D109" t="str">
        <f ca="1">Nomes!T110</f>
        <v>Marco Joana Matos Simões</v>
      </c>
      <c r="E109" t="str">
        <f ca="1">Nomes!S110</f>
        <v>Masculino</v>
      </c>
      <c r="F109" s="2">
        <v>33423</v>
      </c>
      <c r="G109" t="str" cm="1">
        <f t="array" aca="1" ref="G109" ca="1">INDEX(rua_cod!$F:$F,RANDBETWEEN(2,COUNTA(rua_cod!F:F)))</f>
        <v>Rua do Comércio</v>
      </c>
      <c r="H109" t="str" cm="1">
        <f t="array" aca="1" ref="H109" ca="1">INDEX(rua_cod!$A:$A,Users!V109) &amp; "-" &amp; TEXT(RANDBETWEEN(0,999),"000")</f>
        <v>2784-147</v>
      </c>
      <c r="I109" t="str" cm="1">
        <f t="array" aca="1" ref="I109" ca="1">INDEX(rua_cod!$B:$B,Users!V109)</f>
        <v>Oeiras</v>
      </c>
      <c r="J109" t="s">
        <v>3727</v>
      </c>
      <c r="K109" t="s">
        <v>225</v>
      </c>
      <c r="L109" t="s">
        <v>265</v>
      </c>
      <c r="M109" t="str">
        <f t="shared" ca="1" si="11"/>
        <v>37089558</v>
      </c>
      <c r="N109" t="str">
        <f t="shared" ca="1" si="12"/>
        <v>916362809</v>
      </c>
      <c r="O109" t="str">
        <f t="shared" ca="1" si="12"/>
        <v>883703219</v>
      </c>
      <c r="P109" t="str" cm="1">
        <f t="array" aca="1" ref="P109" ca="1">9 &amp; INDEX($AF$3:$AF$6,W109)&amp; TEXT(RANDBETWEEN(0,9999999),"0000000")</f>
        <v>933666289</v>
      </c>
      <c r="Q109" t="str" cm="1">
        <f t="array" aca="1" ref="Q109" ca="1">LOWER(B109) &amp; INDEX($AF$9:$AF$11,X109)</f>
        <v>marras2784@gmail.com</v>
      </c>
      <c r="R109" t="str">
        <f t="shared" ca="1" si="13"/>
        <v>marras2784.jpg</v>
      </c>
      <c r="T109" s="4"/>
      <c r="V109">
        <f ca="1">RANDBETWEEN(2,COUNTA(rua_cod!A:A))</f>
        <v>89</v>
      </c>
      <c r="W109">
        <f t="shared" ca="1" si="14"/>
        <v>3</v>
      </c>
      <c r="X109">
        <f t="shared" ca="1" si="15"/>
        <v>2</v>
      </c>
      <c r="Y109">
        <f t="shared" ca="1" si="16"/>
        <v>2000</v>
      </c>
      <c r="Z109">
        <f t="shared" ca="1" si="17"/>
        <v>10</v>
      </c>
      <c r="AA109">
        <f t="shared" ca="1" si="18"/>
        <v>21</v>
      </c>
      <c r="AB109">
        <f t="shared" ca="1" si="19"/>
        <v>20</v>
      </c>
    </row>
    <row r="110" spans="1:28" x14ac:dyDescent="0.25">
      <c r="A110">
        <v>109</v>
      </c>
      <c r="B110" t="str" cm="1">
        <f t="array" aca="1" ref="B110" ca="1">replaceChar(LOWER(LEFT(D110,3)&amp;RIGHT(I110,3))&amp;LEFT(H110,4))</f>
        <v>joaada2809</v>
      </c>
      <c r="C110" t="str">
        <f t="shared" ca="1" si="10"/>
        <v>pswjoaada2809</v>
      </c>
      <c r="D110" t="str">
        <f ca="1">Nomes!T111</f>
        <v>Joaquim Pedro Rodrigues Neto</v>
      </c>
      <c r="E110" t="str">
        <f ca="1">Nomes!S111</f>
        <v>Masculino</v>
      </c>
      <c r="F110" s="2">
        <v>9013</v>
      </c>
      <c r="G110" t="str" cm="1">
        <f t="array" aca="1" ref="G110" ca="1">INDEX(rua_cod!$F:$F,RANDBETWEEN(2,COUNTA(rua_cod!F:F)))</f>
        <v>Rua do Instituto Bacteriológico</v>
      </c>
      <c r="H110" t="str" cm="1">
        <f t="array" aca="1" ref="H110" ca="1">INDEX(rua_cod!$A:$A,Users!V110) &amp; "-" &amp; TEXT(RANDBETWEEN(0,999),"000")</f>
        <v>2809-427</v>
      </c>
      <c r="I110" t="str" cm="1">
        <f t="array" aca="1" ref="I110" ca="1">INDEX(rua_cod!$B:$B,Users!V110)</f>
        <v>Almada</v>
      </c>
      <c r="J110" t="s">
        <v>3727</v>
      </c>
      <c r="K110" t="s">
        <v>225</v>
      </c>
      <c r="L110" t="s">
        <v>265</v>
      </c>
      <c r="M110" t="str">
        <f t="shared" ca="1" si="11"/>
        <v>58336627</v>
      </c>
      <c r="N110" t="str">
        <f t="shared" ca="1" si="12"/>
        <v>194514269</v>
      </c>
      <c r="O110" t="str">
        <f t="shared" ca="1" si="12"/>
        <v>192083866</v>
      </c>
      <c r="P110" t="str" cm="1">
        <f t="array" aca="1" ref="P110" ca="1">9 &amp; INDEX($AF$3:$AF$6,W110)&amp; TEXT(RANDBETWEEN(0,9999999),"0000000")</f>
        <v>938686849</v>
      </c>
      <c r="Q110" t="str" cm="1">
        <f t="array" aca="1" ref="Q110" ca="1">LOWER(B110) &amp; INDEX($AF$9:$AF$11,X110)</f>
        <v>joaada2809@gmail.com</v>
      </c>
      <c r="R110" t="str">
        <f t="shared" ca="1" si="13"/>
        <v>joaada2809.jpg</v>
      </c>
      <c r="T110" s="4"/>
      <c r="V110">
        <f ca="1">RANDBETWEEN(2,COUNTA(rua_cod!A:A))</f>
        <v>5</v>
      </c>
      <c r="W110">
        <f t="shared" ca="1" si="14"/>
        <v>3</v>
      </c>
      <c r="X110">
        <f t="shared" ca="1" si="15"/>
        <v>2</v>
      </c>
      <c r="Y110">
        <f t="shared" ca="1" si="16"/>
        <v>1990</v>
      </c>
      <c r="Z110">
        <f t="shared" ca="1" si="17"/>
        <v>6</v>
      </c>
      <c r="AA110">
        <f t="shared" ca="1" si="18"/>
        <v>19</v>
      </c>
      <c r="AB110">
        <f t="shared" ca="1" si="19"/>
        <v>30</v>
      </c>
    </row>
    <row r="111" spans="1:28" x14ac:dyDescent="0.25">
      <c r="A111">
        <v>110</v>
      </c>
      <c r="B111" t="str" cm="1">
        <f t="array" aca="1" ref="B111" ca="1">replaceChar(LOWER(LEFT(D111,3)&amp;RIGHT(I111,3))&amp;LEFT(H111,4))</f>
        <v>sarboa1000</v>
      </c>
      <c r="C111" t="str">
        <f t="shared" ca="1" si="10"/>
        <v>pswsarboa1000</v>
      </c>
      <c r="D111" t="str">
        <f ca="1">Nomes!T112</f>
        <v>Sara Bruno Alves Nunes</v>
      </c>
      <c r="E111" t="str">
        <f ca="1">Nomes!S112</f>
        <v>Feminino</v>
      </c>
      <c r="F111" s="2">
        <v>34653</v>
      </c>
      <c r="G111" t="str" cm="1">
        <f t="array" aca="1" ref="G111" ca="1">INDEX(rua_cod!$F:$F,RANDBETWEEN(2,COUNTA(rua_cod!F:F)))</f>
        <v>Estrada Militar</v>
      </c>
      <c r="H111" t="str" cm="1">
        <f t="array" aca="1" ref="H111" ca="1">INDEX(rua_cod!$A:$A,Users!V111) &amp; "-" &amp; TEXT(RANDBETWEEN(0,999),"000")</f>
        <v>1000-003</v>
      </c>
      <c r="I111" t="str" cm="1">
        <f t="array" aca="1" ref="I111" ca="1">INDEX(rua_cod!$B:$B,Users!V111)</f>
        <v>Lisboa</v>
      </c>
      <c r="J111" t="s">
        <v>3727</v>
      </c>
      <c r="K111" t="s">
        <v>225</v>
      </c>
      <c r="L111" t="s">
        <v>265</v>
      </c>
      <c r="M111" t="str">
        <f t="shared" ca="1" si="11"/>
        <v>55425202</v>
      </c>
      <c r="N111" t="str">
        <f t="shared" ca="1" si="12"/>
        <v>950531710</v>
      </c>
      <c r="O111" t="str">
        <f t="shared" ca="1" si="12"/>
        <v>464499839</v>
      </c>
      <c r="P111" t="str" cm="1">
        <f t="array" aca="1" ref="P111" ca="1">9 &amp; INDEX($AF$3:$AF$6,W111)&amp; TEXT(RANDBETWEEN(0,9999999),"0000000")</f>
        <v>922174844</v>
      </c>
      <c r="Q111" t="str" cm="1">
        <f t="array" aca="1" ref="Q111" ca="1">LOWER(B111) &amp; INDEX($AF$9:$AF$11,X111)</f>
        <v>sarboa1000@outlook.com</v>
      </c>
      <c r="R111" t="str">
        <f t="shared" ca="1" si="13"/>
        <v>sarboa1000.jpg</v>
      </c>
      <c r="T111" s="4"/>
      <c r="V111">
        <f ca="1">RANDBETWEEN(2,COUNTA(rua_cod!A:A))</f>
        <v>62</v>
      </c>
      <c r="W111">
        <f t="shared" ca="1" si="14"/>
        <v>2</v>
      </c>
      <c r="X111">
        <f t="shared" ca="1" si="15"/>
        <v>1</v>
      </c>
      <c r="Y111">
        <f t="shared" ca="1" si="16"/>
        <v>2007</v>
      </c>
      <c r="Z111">
        <f t="shared" ca="1" si="17"/>
        <v>12</v>
      </c>
      <c r="AA111">
        <f t="shared" ca="1" si="18"/>
        <v>4</v>
      </c>
      <c r="AB111">
        <f t="shared" ca="1" si="19"/>
        <v>13</v>
      </c>
    </row>
    <row r="112" spans="1:28" x14ac:dyDescent="0.25">
      <c r="A112">
        <v>111</v>
      </c>
      <c r="B112" t="str" cm="1">
        <f t="array" aca="1" ref="B112" ca="1">replaceChar(LOWER(LEFT(D112,3)&amp;RIGHT(I112,3))&amp;LEFT(H112,4))</f>
        <v>fraada2810</v>
      </c>
      <c r="C112" t="str">
        <f t="shared" ca="1" si="10"/>
        <v>pswfraada2810</v>
      </c>
      <c r="D112" t="str">
        <f ca="1">Nomes!T113</f>
        <v>Francisco Duarte Leal Magalhães</v>
      </c>
      <c r="E112" t="str">
        <f ca="1">Nomes!S113</f>
        <v>Masculino</v>
      </c>
      <c r="F112" s="2">
        <v>11305</v>
      </c>
      <c r="G112" t="str" cm="1">
        <f t="array" aca="1" ref="G112" ca="1">INDEX(rua_cod!$F:$F,RANDBETWEEN(2,COUNTA(rua_cod!F:F)))</f>
        <v>Avenida Ressano Garcia</v>
      </c>
      <c r="H112" t="str" cm="1">
        <f t="array" aca="1" ref="H112" ca="1">INDEX(rua_cod!$A:$A,Users!V112) &amp; "-" &amp; TEXT(RANDBETWEEN(0,999),"000")</f>
        <v>2810-662</v>
      </c>
      <c r="I112" t="str" cm="1">
        <f t="array" aca="1" ref="I112" ca="1">INDEX(rua_cod!$B:$B,Users!V112)</f>
        <v>Almada</v>
      </c>
      <c r="J112" t="s">
        <v>3727</v>
      </c>
      <c r="K112" t="s">
        <v>225</v>
      </c>
      <c r="L112" t="s">
        <v>265</v>
      </c>
      <c r="M112" t="str">
        <f t="shared" ca="1" si="11"/>
        <v>69137476</v>
      </c>
      <c r="N112" t="str">
        <f t="shared" ca="1" si="12"/>
        <v>291748469</v>
      </c>
      <c r="O112" t="str">
        <f t="shared" ca="1" si="12"/>
        <v>330930003</v>
      </c>
      <c r="P112" t="str" cm="1">
        <f t="array" aca="1" ref="P112" ca="1">9 &amp; INDEX($AF$3:$AF$6,W112)&amp; TEXT(RANDBETWEEN(0,9999999),"0000000")</f>
        <v>917050909</v>
      </c>
      <c r="Q112" t="str" cm="1">
        <f t="array" aca="1" ref="Q112" ca="1">LOWER(B112) &amp; INDEX($AF$9:$AF$11,X112)</f>
        <v>fraada2810@gmail.com</v>
      </c>
      <c r="R112" t="str">
        <f t="shared" ca="1" si="13"/>
        <v>fraada2810.jpg</v>
      </c>
      <c r="T112" s="4"/>
      <c r="V112">
        <f ca="1">RANDBETWEEN(2,COUNTA(rua_cod!A:A))</f>
        <v>3</v>
      </c>
      <c r="W112">
        <f t="shared" ca="1" si="14"/>
        <v>1</v>
      </c>
      <c r="X112">
        <f t="shared" ca="1" si="15"/>
        <v>2</v>
      </c>
      <c r="Y112">
        <f t="shared" ca="1" si="16"/>
        <v>1940</v>
      </c>
      <c r="Z112">
        <f t="shared" ca="1" si="17"/>
        <v>11</v>
      </c>
      <c r="AA112">
        <f t="shared" ca="1" si="18"/>
        <v>27</v>
      </c>
      <c r="AB112">
        <f t="shared" ca="1" si="19"/>
        <v>80</v>
      </c>
    </row>
    <row r="113" spans="1:28" x14ac:dyDescent="0.25">
      <c r="A113">
        <v>112</v>
      </c>
      <c r="B113" t="str" cm="1">
        <f t="array" aca="1" ref="B113" ca="1">replaceChar(LOWER(LEFT(D113,3)&amp;RIGHT(I113,3))&amp;LEFT(H113,4))</f>
        <v>tomboa1100</v>
      </c>
      <c r="C113" t="str">
        <f t="shared" ca="1" si="10"/>
        <v>pswtomboa1100</v>
      </c>
      <c r="D113" t="str">
        <f ca="1">Nomes!T114</f>
        <v>Tomás Mariana Cruz Alves</v>
      </c>
      <c r="E113" t="str">
        <f ca="1">Nomes!S114</f>
        <v>Masculino</v>
      </c>
      <c r="F113" s="2">
        <v>13043</v>
      </c>
      <c r="G113" t="str" cm="1">
        <f t="array" aca="1" ref="G113" ca="1">INDEX(rua_cod!$F:$F,RANDBETWEEN(2,COUNTA(rua_cod!F:F)))</f>
        <v>Estrada da Circunvalação de Lisboa</v>
      </c>
      <c r="H113" t="str" cm="1">
        <f t="array" aca="1" ref="H113" ca="1">INDEX(rua_cod!$A:$A,Users!V113) &amp; "-" &amp; TEXT(RANDBETWEEN(0,999),"000")</f>
        <v>1100-803</v>
      </c>
      <c r="I113" t="str" cm="1">
        <f t="array" aca="1" ref="I113" ca="1">INDEX(rua_cod!$B:$B,Users!V113)</f>
        <v>Lisboa</v>
      </c>
      <c r="J113" t="s">
        <v>3727</v>
      </c>
      <c r="K113" t="s">
        <v>225</v>
      </c>
      <c r="L113" t="s">
        <v>265</v>
      </c>
      <c r="M113" t="str">
        <f t="shared" ca="1" si="11"/>
        <v>74992830</v>
      </c>
      <c r="N113" t="str">
        <f t="shared" ca="1" si="12"/>
        <v>555047432</v>
      </c>
      <c r="O113" t="str">
        <f t="shared" ca="1" si="12"/>
        <v>528395956</v>
      </c>
      <c r="P113" t="str" cm="1">
        <f t="array" aca="1" ref="P113" ca="1">9 &amp; INDEX($AF$3:$AF$6,W113)&amp; TEXT(RANDBETWEEN(0,9999999),"0000000")</f>
        <v>963760494</v>
      </c>
      <c r="Q113" t="str" cm="1">
        <f t="array" aca="1" ref="Q113" ca="1">LOWER(B113) &amp; INDEX($AF$9:$AF$11,X113)</f>
        <v>tomboa1100@outlook.com</v>
      </c>
      <c r="R113" t="str">
        <f t="shared" ca="1" si="13"/>
        <v>tomboa1100.jpg</v>
      </c>
      <c r="T113" s="4"/>
      <c r="V113">
        <f ca="1">RANDBETWEEN(2,COUNTA(rua_cod!A:A))</f>
        <v>46</v>
      </c>
      <c r="W113">
        <f t="shared" ca="1" si="14"/>
        <v>4</v>
      </c>
      <c r="X113">
        <f t="shared" ca="1" si="15"/>
        <v>1</v>
      </c>
      <c r="Y113">
        <f t="shared" ca="1" si="16"/>
        <v>1981</v>
      </c>
      <c r="Z113">
        <f t="shared" ca="1" si="17"/>
        <v>2</v>
      </c>
      <c r="AA113">
        <f t="shared" ca="1" si="18"/>
        <v>5</v>
      </c>
      <c r="AB113">
        <f t="shared" ca="1" si="19"/>
        <v>39</v>
      </c>
    </row>
    <row r="114" spans="1:28" x14ac:dyDescent="0.25">
      <c r="A114">
        <v>113</v>
      </c>
      <c r="B114" t="str" cm="1">
        <f t="array" aca="1" ref="B114" ca="1">replaceChar(LOWER(LEFT(D114,3)&amp;RIGHT(I114,3))&amp;LEFT(H114,4))</f>
        <v>sanboa1748</v>
      </c>
      <c r="C114" t="str">
        <f t="shared" ca="1" si="10"/>
        <v>pswsanboa1748</v>
      </c>
      <c r="D114" t="str">
        <f ca="1">Nomes!T115</f>
        <v>Santiago Francisco Andrade Amaral</v>
      </c>
      <c r="E114" t="str">
        <f ca="1">Nomes!S115</f>
        <v>Masculino</v>
      </c>
      <c r="F114" s="2">
        <v>43678</v>
      </c>
      <c r="G114" t="str" cm="1">
        <f t="array" aca="1" ref="G114" ca="1">INDEX(rua_cod!$F:$F,RANDBETWEEN(2,COUNTA(rua_cod!F:F)))</f>
        <v>Estrada das Laranjeiras</v>
      </c>
      <c r="H114" t="str" cm="1">
        <f t="array" aca="1" ref="H114" ca="1">INDEX(rua_cod!$A:$A,Users!V114) &amp; "-" &amp; TEXT(RANDBETWEEN(0,999),"000")</f>
        <v>1748-721</v>
      </c>
      <c r="I114" t="str" cm="1">
        <f t="array" aca="1" ref="I114" ca="1">INDEX(rua_cod!$B:$B,Users!V114)</f>
        <v>Lisboa</v>
      </c>
      <c r="J114" t="s">
        <v>3727</v>
      </c>
      <c r="K114" t="s">
        <v>225</v>
      </c>
      <c r="L114" t="s">
        <v>265</v>
      </c>
      <c r="M114" t="str">
        <f t="shared" ca="1" si="11"/>
        <v>13962410</v>
      </c>
      <c r="N114" t="str">
        <f t="shared" ca="1" si="12"/>
        <v>774485404</v>
      </c>
      <c r="O114" t="str">
        <f t="shared" ca="1" si="12"/>
        <v>642004240</v>
      </c>
      <c r="P114" t="str" cm="1">
        <f t="array" aca="1" ref="P114" ca="1">9 &amp; INDEX($AF$3:$AF$6,W114)&amp; TEXT(RANDBETWEEN(0,9999999),"0000000")</f>
        <v>960272018</v>
      </c>
      <c r="Q114" t="str" cm="1">
        <f t="array" aca="1" ref="Q114" ca="1">LOWER(B114) &amp; INDEX($AF$9:$AF$11,X114)</f>
        <v>sanboa1748@outlook.com</v>
      </c>
      <c r="R114" t="str">
        <f t="shared" ca="1" si="13"/>
        <v>sanboa1748.jpg</v>
      </c>
      <c r="T114" s="4"/>
      <c r="V114">
        <f ca="1">RANDBETWEEN(2,COUNTA(rua_cod!A:A))</f>
        <v>77</v>
      </c>
      <c r="W114">
        <f t="shared" ca="1" si="14"/>
        <v>4</v>
      </c>
      <c r="X114">
        <f t="shared" ca="1" si="15"/>
        <v>1</v>
      </c>
      <c r="Y114">
        <f t="shared" ca="1" si="16"/>
        <v>1976</v>
      </c>
      <c r="Z114">
        <f t="shared" ca="1" si="17"/>
        <v>4</v>
      </c>
      <c r="AA114">
        <f t="shared" ca="1" si="18"/>
        <v>19</v>
      </c>
      <c r="AB114">
        <f t="shared" ca="1" si="19"/>
        <v>44</v>
      </c>
    </row>
    <row r="115" spans="1:28" x14ac:dyDescent="0.25">
      <c r="A115">
        <v>114</v>
      </c>
      <c r="B115" t="str" cm="1">
        <f t="array" aca="1" ref="B115" ca="1">replaceChar(LOWER(LEFT(D115,3)&amp;RIGHT(I115,3))&amp;LEFT(H115,4))</f>
        <v>tomiro2830</v>
      </c>
      <c r="C115" t="str">
        <f t="shared" ca="1" si="10"/>
        <v>pswtomiro2830</v>
      </c>
      <c r="D115" t="str">
        <f ca="1">Nomes!T116</f>
        <v>Tomás Mariana Garcia Cruz</v>
      </c>
      <c r="E115" t="str">
        <f ca="1">Nomes!S116</f>
        <v>Masculino</v>
      </c>
      <c r="F115" s="2">
        <v>16742</v>
      </c>
      <c r="G115" t="str" cm="1">
        <f t="array" aca="1" ref="G115" ca="1">INDEX(rua_cod!$F:$F,RANDBETWEEN(2,COUNTA(rua_cod!F:F)))</f>
        <v>Rua dos Fanqueiros</v>
      </c>
      <c r="H115" t="str" cm="1">
        <f t="array" aca="1" ref="H115" ca="1">INDEX(rua_cod!$A:$A,Users!V115) &amp; "-" &amp; TEXT(RANDBETWEEN(0,999),"000")</f>
        <v>2830-609</v>
      </c>
      <c r="I115" t="str" cm="1">
        <f t="array" aca="1" ref="I115" ca="1">INDEX(rua_cod!$B:$B,Users!V115)</f>
        <v>Barreiro</v>
      </c>
      <c r="J115" t="s">
        <v>3727</v>
      </c>
      <c r="K115" t="s">
        <v>225</v>
      </c>
      <c r="L115" t="s">
        <v>265</v>
      </c>
      <c r="M115" t="str">
        <f t="shared" ca="1" si="11"/>
        <v>12199697</v>
      </c>
      <c r="N115" t="str">
        <f t="shared" ca="1" si="12"/>
        <v>713581128</v>
      </c>
      <c r="O115" t="str">
        <f t="shared" ca="1" si="12"/>
        <v>882439348</v>
      </c>
      <c r="P115" t="str" cm="1">
        <f t="array" aca="1" ref="P115" ca="1">9 &amp; INDEX($AF$3:$AF$6,W115)&amp; TEXT(RANDBETWEEN(0,9999999),"0000000")</f>
        <v>914685454</v>
      </c>
      <c r="Q115" t="str" cm="1">
        <f t="array" aca="1" ref="Q115" ca="1">LOWER(B115) &amp; INDEX($AF$9:$AF$11,X115)</f>
        <v>tomiro2830@sapo.pt</v>
      </c>
      <c r="R115" t="str">
        <f t="shared" ca="1" si="13"/>
        <v>tomiro2830.jpg</v>
      </c>
      <c r="T115" s="4"/>
      <c r="V115">
        <f ca="1">RANDBETWEEN(2,COUNTA(rua_cod!A:A))</f>
        <v>16</v>
      </c>
      <c r="W115">
        <f t="shared" ca="1" si="14"/>
        <v>1</v>
      </c>
      <c r="X115">
        <f t="shared" ca="1" si="15"/>
        <v>3</v>
      </c>
      <c r="Y115">
        <f t="shared" ca="1" si="16"/>
        <v>1993</v>
      </c>
      <c r="Z115">
        <f t="shared" ca="1" si="17"/>
        <v>2</v>
      </c>
      <c r="AA115">
        <f t="shared" ca="1" si="18"/>
        <v>17</v>
      </c>
      <c r="AB115">
        <f t="shared" ca="1" si="19"/>
        <v>27</v>
      </c>
    </row>
    <row r="116" spans="1:28" x14ac:dyDescent="0.25">
      <c r="A116">
        <v>115</v>
      </c>
      <c r="B116" t="str" cm="1">
        <f t="array" aca="1" ref="B116" ca="1">replaceChar(LOWER(LEFT(D116,3)&amp;RIGHT(I116,3))&amp;LEFT(H116,4))</f>
        <v>joaora2614</v>
      </c>
      <c r="C116" t="str">
        <f t="shared" ca="1" si="10"/>
        <v>pswjoaora2614</v>
      </c>
      <c r="D116" t="str">
        <f ca="1">Nomes!T117</f>
        <v>Joana Inês Sá Pires</v>
      </c>
      <c r="E116" t="str">
        <f ca="1">Nomes!S117</f>
        <v>Feminino</v>
      </c>
      <c r="F116" s="2">
        <v>31845</v>
      </c>
      <c r="G116" t="str" cm="1">
        <f t="array" aca="1" ref="G116" ca="1">INDEX(rua_cod!$F:$F,RANDBETWEEN(2,COUNTA(rua_cod!F:F)))</f>
        <v>Rua dos Heróis de Quionga</v>
      </c>
      <c r="H116" t="str" cm="1">
        <f t="array" aca="1" ref="H116" ca="1">INDEX(rua_cod!$A:$A,Users!V116) &amp; "-" &amp; TEXT(RANDBETWEEN(0,999),"000")</f>
        <v>2614-174</v>
      </c>
      <c r="I116" t="str" cm="1">
        <f t="array" aca="1" ref="I116" ca="1">INDEX(rua_cod!$B:$B,Users!V116)</f>
        <v>Amadora</v>
      </c>
      <c r="J116" t="s">
        <v>3727</v>
      </c>
      <c r="K116" t="s">
        <v>225</v>
      </c>
      <c r="L116" t="s">
        <v>265</v>
      </c>
      <c r="M116" t="str">
        <f t="shared" ca="1" si="11"/>
        <v>29786668</v>
      </c>
      <c r="N116" t="str">
        <f t="shared" ca="1" si="12"/>
        <v>515749470</v>
      </c>
      <c r="O116" t="str">
        <f t="shared" ca="1" si="12"/>
        <v>971681026</v>
      </c>
      <c r="P116" t="str" cm="1">
        <f t="array" aca="1" ref="P116" ca="1">9 &amp; INDEX($AF$3:$AF$6,W116)&amp; TEXT(RANDBETWEEN(0,9999999),"0000000")</f>
        <v>933047749</v>
      </c>
      <c r="Q116" t="str" cm="1">
        <f t="array" aca="1" ref="Q116" ca="1">LOWER(B116) &amp; INDEX($AF$9:$AF$11,X116)</f>
        <v>joaora2614@outlook.com</v>
      </c>
      <c r="R116" t="str">
        <f t="shared" ca="1" si="13"/>
        <v>joaora2614.jpg</v>
      </c>
      <c r="T116" s="4"/>
      <c r="V116">
        <f ca="1">RANDBETWEEN(2,COUNTA(rua_cod!A:A))</f>
        <v>11</v>
      </c>
      <c r="W116">
        <f t="shared" ca="1" si="14"/>
        <v>3</v>
      </c>
      <c r="X116">
        <f t="shared" ca="1" si="15"/>
        <v>1</v>
      </c>
      <c r="Y116">
        <f t="shared" ca="1" si="16"/>
        <v>1979</v>
      </c>
      <c r="Z116">
        <f t="shared" ca="1" si="17"/>
        <v>2</v>
      </c>
      <c r="AA116">
        <f t="shared" ca="1" si="18"/>
        <v>2</v>
      </c>
      <c r="AB116">
        <f t="shared" ca="1" si="19"/>
        <v>41</v>
      </c>
    </row>
    <row r="117" spans="1:28" x14ac:dyDescent="0.25">
      <c r="A117">
        <v>116</v>
      </c>
      <c r="B117" t="str" cm="1">
        <f t="array" aca="1" ref="B117" ca="1">replaceChar(LOWER(LEFT(D117,3)&amp;RIGHT(I117,3))&amp;LEFT(H117,4))</f>
        <v>joaada2805</v>
      </c>
      <c r="C117" t="str">
        <f t="shared" ca="1" si="10"/>
        <v>pswjoaada2805</v>
      </c>
      <c r="D117" t="str">
        <f ca="1">Nomes!T118</f>
        <v>Joana André Henriques Cunha</v>
      </c>
      <c r="E117" t="str">
        <f ca="1">Nomes!S118</f>
        <v>Feminino</v>
      </c>
      <c r="F117" s="2">
        <v>13451</v>
      </c>
      <c r="G117" t="str" cm="1">
        <f t="array" aca="1" ref="G117" ca="1">INDEX(rua_cod!$F:$F,RANDBETWEEN(2,COUNTA(rua_cod!F:F)))</f>
        <v>Rua Júlio César Machado</v>
      </c>
      <c r="H117" t="str" cm="1">
        <f t="array" aca="1" ref="H117" ca="1">INDEX(rua_cod!$A:$A,Users!V117) &amp; "-" &amp; TEXT(RANDBETWEEN(0,999),"000")</f>
        <v>2805-811</v>
      </c>
      <c r="I117" t="str" cm="1">
        <f t="array" aca="1" ref="I117" ca="1">INDEX(rua_cod!$B:$B,Users!V117)</f>
        <v>Almada</v>
      </c>
      <c r="J117" t="s">
        <v>3727</v>
      </c>
      <c r="K117" t="s">
        <v>225</v>
      </c>
      <c r="L117" t="s">
        <v>265</v>
      </c>
      <c r="M117" t="str">
        <f t="shared" ca="1" si="11"/>
        <v>20053840</v>
      </c>
      <c r="N117" t="str">
        <f t="shared" ca="1" si="12"/>
        <v>543478504</v>
      </c>
      <c r="O117" t="str">
        <f t="shared" ca="1" si="12"/>
        <v>339570421</v>
      </c>
      <c r="P117" t="str" cm="1">
        <f t="array" aca="1" ref="P117" ca="1">9 &amp; INDEX($AF$3:$AF$6,W117)&amp; TEXT(RANDBETWEEN(0,9999999),"0000000")</f>
        <v>960133822</v>
      </c>
      <c r="Q117" t="str" cm="1">
        <f t="array" aca="1" ref="Q117" ca="1">LOWER(B117) &amp; INDEX($AF$9:$AF$11,X117)</f>
        <v>joaada2805@gmail.com</v>
      </c>
      <c r="R117" t="str">
        <f t="shared" ca="1" si="13"/>
        <v>joaada2805.jpg</v>
      </c>
      <c r="T117" s="4"/>
      <c r="V117">
        <f ca="1">RANDBETWEEN(2,COUNTA(rua_cod!A:A))</f>
        <v>4</v>
      </c>
      <c r="W117">
        <f t="shared" ca="1" si="14"/>
        <v>4</v>
      </c>
      <c r="X117">
        <f t="shared" ca="1" si="15"/>
        <v>2</v>
      </c>
      <c r="Y117">
        <f t="shared" ca="1" si="16"/>
        <v>1988</v>
      </c>
      <c r="Z117">
        <f t="shared" ca="1" si="17"/>
        <v>3</v>
      </c>
      <c r="AA117">
        <f t="shared" ca="1" si="18"/>
        <v>11</v>
      </c>
      <c r="AB117">
        <f t="shared" ca="1" si="19"/>
        <v>32</v>
      </c>
    </row>
    <row r="118" spans="1:28" x14ac:dyDescent="0.25">
      <c r="A118">
        <v>117</v>
      </c>
      <c r="B118" t="str" cm="1">
        <f t="array" aca="1" ref="B118" ca="1">replaceChar(LOWER(LEFT(D118,3)&amp;RIGHT(I118,3))&amp;LEFT(H118,4))</f>
        <v>leoica2829</v>
      </c>
      <c r="C118" t="str">
        <f t="shared" ca="1" si="10"/>
        <v>pswleoica2829</v>
      </c>
      <c r="D118" t="str">
        <f ca="1">Nomes!T119</f>
        <v>Leonor Lara Baptista Abreu</v>
      </c>
      <c r="E118" t="str">
        <f ca="1">Nomes!S119</f>
        <v>Feminino</v>
      </c>
      <c r="F118" s="2">
        <v>13647</v>
      </c>
      <c r="G118" t="str" cm="1">
        <f t="array" aca="1" ref="G118" ca="1">INDEX(rua_cod!$F:$F,RANDBETWEEN(2,COUNTA(rua_cod!F:F)))</f>
        <v>Calçada do Moinho de Vento</v>
      </c>
      <c r="H118" t="str" cm="1">
        <f t="array" aca="1" ref="H118" ca="1">INDEX(rua_cod!$A:$A,Users!V118) &amp; "-" &amp; TEXT(RANDBETWEEN(0,999),"000")</f>
        <v>2829-654</v>
      </c>
      <c r="I118" t="str" cm="1">
        <f t="array" aca="1" ref="I118" ca="1">INDEX(rua_cod!$B:$B,Users!V118)</f>
        <v>Caparica</v>
      </c>
      <c r="J118" t="s">
        <v>3727</v>
      </c>
      <c r="K118" t="s">
        <v>225</v>
      </c>
      <c r="L118" t="s">
        <v>265</v>
      </c>
      <c r="M118" t="str">
        <f t="shared" ca="1" si="11"/>
        <v>78691937</v>
      </c>
      <c r="N118" t="str">
        <f t="shared" ca="1" si="12"/>
        <v>163101605</v>
      </c>
      <c r="O118" t="str">
        <f t="shared" ca="1" si="12"/>
        <v>802757908</v>
      </c>
      <c r="P118" t="str" cm="1">
        <f t="array" aca="1" ref="P118" ca="1">9 &amp; INDEX($AF$3:$AF$6,W118)&amp; TEXT(RANDBETWEEN(0,9999999),"0000000")</f>
        <v>963775854</v>
      </c>
      <c r="Q118" t="str" cm="1">
        <f t="array" aca="1" ref="Q118" ca="1">LOWER(B118) &amp; INDEX($AF$9:$AF$11,X118)</f>
        <v>leoica2829@sapo.pt</v>
      </c>
      <c r="R118" t="str">
        <f t="shared" ca="1" si="13"/>
        <v>leoica2829.jpg</v>
      </c>
      <c r="T118" s="4"/>
      <c r="V118">
        <f ca="1">RANDBETWEEN(2,COUNTA(rua_cod!A:A))</f>
        <v>19</v>
      </c>
      <c r="W118">
        <f t="shared" ca="1" si="14"/>
        <v>4</v>
      </c>
      <c r="X118">
        <f t="shared" ca="1" si="15"/>
        <v>3</v>
      </c>
      <c r="Y118">
        <f t="shared" ca="1" si="16"/>
        <v>1996</v>
      </c>
      <c r="Z118">
        <f t="shared" ca="1" si="17"/>
        <v>4</v>
      </c>
      <c r="AA118">
        <f t="shared" ca="1" si="18"/>
        <v>24</v>
      </c>
      <c r="AB118">
        <f t="shared" ca="1" si="19"/>
        <v>24</v>
      </c>
    </row>
    <row r="119" spans="1:28" x14ac:dyDescent="0.25">
      <c r="A119">
        <v>118</v>
      </c>
      <c r="B119" t="str" cm="1">
        <f t="array" aca="1" ref="B119" ca="1">replaceChar(LOWER(LEFT(D119,3)&amp;RIGHT(I119,3))&amp;LEFT(H119,4))</f>
        <v>marora2700</v>
      </c>
      <c r="C119" t="str">
        <f t="shared" ca="1" si="10"/>
        <v>pswmarora2700</v>
      </c>
      <c r="D119" t="str">
        <f ca="1">Nomes!T120</f>
        <v>Martim Martim Nogueira Moura</v>
      </c>
      <c r="E119" t="str">
        <f ca="1">Nomes!S120</f>
        <v>Masculino</v>
      </c>
      <c r="F119" s="2">
        <v>33045</v>
      </c>
      <c r="G119" t="str" cm="1">
        <f t="array" aca="1" ref="G119" ca="1">INDEX(rua_cod!$F:$F,RANDBETWEEN(2,COUNTA(rua_cod!F:F)))</f>
        <v>Avenida Ressano Garcia</v>
      </c>
      <c r="H119" t="str" cm="1">
        <f t="array" aca="1" ref="H119" ca="1">INDEX(rua_cod!$A:$A,Users!V119) &amp; "-" &amp; TEXT(RANDBETWEEN(0,999),"000")</f>
        <v>2700-075</v>
      </c>
      <c r="I119" t="str" cm="1">
        <f t="array" aca="1" ref="I119" ca="1">INDEX(rua_cod!$B:$B,Users!V119)</f>
        <v>Amadora</v>
      </c>
      <c r="J119" t="s">
        <v>3727</v>
      </c>
      <c r="K119" t="s">
        <v>225</v>
      </c>
      <c r="L119" t="s">
        <v>265</v>
      </c>
      <c r="M119" t="str">
        <f t="shared" ca="1" si="11"/>
        <v>48163296</v>
      </c>
      <c r="N119" t="str">
        <f t="shared" ca="1" si="12"/>
        <v>671873150</v>
      </c>
      <c r="O119" t="str">
        <f t="shared" ca="1" si="12"/>
        <v>613429511</v>
      </c>
      <c r="P119" t="str" cm="1">
        <f t="array" aca="1" ref="P119" ca="1">9 &amp; INDEX($AF$3:$AF$6,W119)&amp; TEXT(RANDBETWEEN(0,9999999),"0000000")</f>
        <v>962224995</v>
      </c>
      <c r="Q119" t="str" cm="1">
        <f t="array" aca="1" ref="Q119" ca="1">LOWER(B119) &amp; INDEX($AF$9:$AF$11,X119)</f>
        <v>marora2700@outlook.com</v>
      </c>
      <c r="R119" t="str">
        <f t="shared" ca="1" si="13"/>
        <v>marora2700.jpg</v>
      </c>
      <c r="T119" s="4"/>
      <c r="V119">
        <f ca="1">RANDBETWEEN(2,COUNTA(rua_cod!A:A))</f>
        <v>10</v>
      </c>
      <c r="W119">
        <f t="shared" ca="1" si="14"/>
        <v>4</v>
      </c>
      <c r="X119">
        <f t="shared" ca="1" si="15"/>
        <v>1</v>
      </c>
      <c r="Y119">
        <f t="shared" ca="1" si="16"/>
        <v>1962</v>
      </c>
      <c r="Z119">
        <f t="shared" ca="1" si="17"/>
        <v>2</v>
      </c>
      <c r="AA119">
        <f t="shared" ca="1" si="18"/>
        <v>11</v>
      </c>
      <c r="AB119">
        <f t="shared" ca="1" si="19"/>
        <v>58</v>
      </c>
    </row>
    <row r="120" spans="1:28" x14ac:dyDescent="0.25">
      <c r="A120">
        <v>119</v>
      </c>
      <c r="B120" t="str" cm="1">
        <f t="array" aca="1" ref="B120" ca="1">replaceChar(LOWER(LEFT(D120,3)&amp;RIGHT(I120,3))&amp;LEFT(H120,4))</f>
        <v>marrem2005</v>
      </c>
      <c r="C120" t="str">
        <f t="shared" ca="1" si="10"/>
        <v>pswmarrem2005</v>
      </c>
      <c r="D120" t="str">
        <f ca="1">Nomes!T121</f>
        <v>Mariana Diogo Costa Baptista</v>
      </c>
      <c r="E120" t="str">
        <f ca="1">Nomes!S121</f>
        <v>Feminino</v>
      </c>
      <c r="F120" s="2">
        <v>18446</v>
      </c>
      <c r="G120" t="str" cm="1">
        <f t="array" aca="1" ref="G120" ca="1">INDEX(rua_cod!$F:$F,RANDBETWEEN(2,COUNTA(rua_cod!F:F)))</f>
        <v>Rua Augusta</v>
      </c>
      <c r="H120" t="str" cm="1">
        <f t="array" aca="1" ref="H120" ca="1">INDEX(rua_cod!$A:$A,Users!V120) &amp; "-" &amp; TEXT(RANDBETWEEN(0,999),"000")</f>
        <v>2005-482</v>
      </c>
      <c r="I120" t="str" cm="1">
        <f t="array" aca="1" ref="I120" ca="1">INDEX(rua_cod!$B:$B,Users!V120)</f>
        <v>Santarém</v>
      </c>
      <c r="J120" t="s">
        <v>3727</v>
      </c>
      <c r="K120" t="s">
        <v>225</v>
      </c>
      <c r="L120" t="s">
        <v>265</v>
      </c>
      <c r="M120" t="str">
        <f t="shared" ca="1" si="11"/>
        <v>53605571</v>
      </c>
      <c r="N120" t="str">
        <f t="shared" ca="1" si="12"/>
        <v>412841497</v>
      </c>
      <c r="O120" t="str">
        <f t="shared" ca="1" si="12"/>
        <v>819257732</v>
      </c>
      <c r="P120" t="str" cm="1">
        <f t="array" aca="1" ref="P120" ca="1">9 &amp; INDEX($AF$3:$AF$6,W120)&amp; TEXT(RANDBETWEEN(0,9999999),"0000000")</f>
        <v>938445888</v>
      </c>
      <c r="Q120" t="str" cm="1">
        <f t="array" aca="1" ref="Q120" ca="1">LOWER(B120) &amp; INDEX($AF$9:$AF$11,X120)</f>
        <v>marrem2005@gmail.com</v>
      </c>
      <c r="R120" t="str">
        <f t="shared" ca="1" si="13"/>
        <v>marrem2005.jpg</v>
      </c>
      <c r="T120" s="4"/>
      <c r="V120">
        <f ca="1">RANDBETWEEN(2,COUNTA(rua_cod!A:A))</f>
        <v>92</v>
      </c>
      <c r="W120">
        <f t="shared" ca="1" si="14"/>
        <v>3</v>
      </c>
      <c r="X120">
        <f t="shared" ca="1" si="15"/>
        <v>2</v>
      </c>
      <c r="Y120">
        <f t="shared" ca="1" si="16"/>
        <v>1955</v>
      </c>
      <c r="Z120">
        <f t="shared" ca="1" si="17"/>
        <v>1</v>
      </c>
      <c r="AA120">
        <f t="shared" ca="1" si="18"/>
        <v>24</v>
      </c>
      <c r="AB120">
        <f t="shared" ca="1" si="19"/>
        <v>65</v>
      </c>
    </row>
    <row r="121" spans="1:28" x14ac:dyDescent="0.25">
      <c r="A121">
        <v>120</v>
      </c>
      <c r="B121" t="str" cm="1">
        <f t="array" aca="1" ref="B121" ca="1">replaceChar(LOWER(LEFT(D121,3)&amp;RIGHT(I121,3))&amp;LEFT(H121,4))</f>
        <v>joaboa1069</v>
      </c>
      <c r="C121" t="str">
        <f t="shared" ca="1" si="10"/>
        <v>pswjoaboa1069</v>
      </c>
      <c r="D121" t="str">
        <f ca="1">Nomes!T122</f>
        <v>Joaquim Mariana Matos Vieira</v>
      </c>
      <c r="E121" t="str">
        <f ca="1">Nomes!S122</f>
        <v>Masculino</v>
      </c>
      <c r="F121" s="2">
        <v>28450</v>
      </c>
      <c r="G121" t="str" cm="1">
        <f t="array" aca="1" ref="G121" ca="1">INDEX(rua_cod!$F:$F,RANDBETWEEN(2,COUNTA(rua_cod!F:F)))</f>
        <v>Rua Ferreira Lapa</v>
      </c>
      <c r="H121" t="str" cm="1">
        <f t="array" aca="1" ref="H121" ca="1">INDEX(rua_cod!$A:$A,Users!V121) &amp; "-" &amp; TEXT(RANDBETWEEN(0,999),"000")</f>
        <v>1069-174</v>
      </c>
      <c r="I121" t="str" cm="1">
        <f t="array" aca="1" ref="I121" ca="1">INDEX(rua_cod!$B:$B,Users!V121)</f>
        <v>Lisboa</v>
      </c>
      <c r="J121" t="s">
        <v>3727</v>
      </c>
      <c r="K121" t="s">
        <v>225</v>
      </c>
      <c r="L121" t="s">
        <v>265</v>
      </c>
      <c r="M121" t="str">
        <f t="shared" ca="1" si="11"/>
        <v>36630337</v>
      </c>
      <c r="N121" t="str">
        <f t="shared" ca="1" si="12"/>
        <v>924599380</v>
      </c>
      <c r="O121" t="str">
        <f t="shared" ca="1" si="12"/>
        <v>273770326</v>
      </c>
      <c r="P121" t="str" cm="1">
        <f t="array" aca="1" ref="P121" ca="1">9 &amp; INDEX($AF$3:$AF$6,W121)&amp; TEXT(RANDBETWEEN(0,9999999),"0000000")</f>
        <v>913352838</v>
      </c>
      <c r="Q121" t="str" cm="1">
        <f t="array" aca="1" ref="Q121" ca="1">LOWER(B121) &amp; INDEX($AF$9:$AF$11,X121)</f>
        <v>joaboa1069@gmail.com</v>
      </c>
      <c r="R121" t="str">
        <f t="shared" ca="1" si="13"/>
        <v>joaboa1069.jpg</v>
      </c>
      <c r="T121" s="4"/>
      <c r="V121">
        <f ca="1">RANDBETWEEN(2,COUNTA(rua_cod!A:A))</f>
        <v>67</v>
      </c>
      <c r="W121">
        <f t="shared" ca="1" si="14"/>
        <v>1</v>
      </c>
      <c r="X121">
        <f t="shared" ca="1" si="15"/>
        <v>2</v>
      </c>
      <c r="Y121">
        <f t="shared" ca="1" si="16"/>
        <v>1943</v>
      </c>
      <c r="Z121">
        <f t="shared" ca="1" si="17"/>
        <v>11</v>
      </c>
      <c r="AA121">
        <f t="shared" ca="1" si="18"/>
        <v>5</v>
      </c>
      <c r="AB121">
        <f t="shared" ca="1" si="19"/>
        <v>77</v>
      </c>
    </row>
    <row r="122" spans="1:28" x14ac:dyDescent="0.25">
      <c r="A122">
        <v>121</v>
      </c>
      <c r="B122" t="str" cm="1">
        <f t="array" aca="1" ref="B122" ca="1">replaceChar(LOWER(LEFT(D122,3)&amp;RIGHT(I122,3))&amp;LEFT(H122,4))</f>
        <v>tomboa1800</v>
      </c>
      <c r="C122" t="str">
        <f t="shared" ca="1" si="10"/>
        <v>pswtomboa1800</v>
      </c>
      <c r="D122" t="str">
        <f ca="1">Nomes!T123</f>
        <v>Tomás Inês Loureiro Fernandes</v>
      </c>
      <c r="E122" t="str">
        <f ca="1">Nomes!S123</f>
        <v>Masculino</v>
      </c>
      <c r="F122" s="2">
        <v>42428</v>
      </c>
      <c r="G122" t="str" cm="1">
        <f t="array" aca="1" ref="G122" ca="1">INDEX(rua_cod!$F:$F,RANDBETWEEN(2,COUNTA(rua_cod!F:F)))</f>
        <v>Rua da Betesga</v>
      </c>
      <c r="H122" t="str" cm="1">
        <f t="array" aca="1" ref="H122" ca="1">INDEX(rua_cod!$A:$A,Users!V122) &amp; "-" &amp; TEXT(RANDBETWEEN(0,999),"000")</f>
        <v>1800-610</v>
      </c>
      <c r="I122" t="str" cm="1">
        <f t="array" aca="1" ref="I122" ca="1">INDEX(rua_cod!$B:$B,Users!V122)</f>
        <v>Lisboa</v>
      </c>
      <c r="J122" t="s">
        <v>3727</v>
      </c>
      <c r="K122" t="s">
        <v>225</v>
      </c>
      <c r="L122" t="s">
        <v>265</v>
      </c>
      <c r="M122" t="str">
        <f t="shared" ca="1" si="11"/>
        <v>75914520</v>
      </c>
      <c r="N122" t="str">
        <f t="shared" ca="1" si="12"/>
        <v>261952737</v>
      </c>
      <c r="O122" t="str">
        <f t="shared" ca="1" si="12"/>
        <v>347070552</v>
      </c>
      <c r="P122" t="str" cm="1">
        <f t="array" aca="1" ref="P122" ca="1">9 &amp; INDEX($AF$3:$AF$6,W122)&amp; TEXT(RANDBETWEEN(0,9999999),"0000000")</f>
        <v>911951334</v>
      </c>
      <c r="Q122" t="str" cm="1">
        <f t="array" aca="1" ref="Q122" ca="1">LOWER(B122) &amp; INDEX($AF$9:$AF$11,X122)</f>
        <v>tomboa1800@sapo.pt</v>
      </c>
      <c r="R122" t="str">
        <f t="shared" ca="1" si="13"/>
        <v>tomboa1800.jpg</v>
      </c>
      <c r="T122" s="4"/>
      <c r="V122">
        <f ca="1">RANDBETWEEN(2,COUNTA(rua_cod!A:A))</f>
        <v>56</v>
      </c>
      <c r="W122">
        <f t="shared" ca="1" si="14"/>
        <v>1</v>
      </c>
      <c r="X122">
        <f t="shared" ca="1" si="15"/>
        <v>3</v>
      </c>
      <c r="Y122">
        <f t="shared" ca="1" si="16"/>
        <v>1957</v>
      </c>
      <c r="Z122">
        <f t="shared" ca="1" si="17"/>
        <v>3</v>
      </c>
      <c r="AA122">
        <f t="shared" ca="1" si="18"/>
        <v>14</v>
      </c>
      <c r="AB122">
        <f t="shared" ca="1" si="19"/>
        <v>63</v>
      </c>
    </row>
    <row r="123" spans="1:28" x14ac:dyDescent="0.25">
      <c r="A123">
        <v>122</v>
      </c>
      <c r="B123" t="str" cm="1">
        <f t="array" aca="1" ref="B123" ca="1">replaceChar(LOWER(LEFT(D123,3)&amp;RIGHT(I123,3))&amp;LEFT(H123,4))</f>
        <v>afoboa1500</v>
      </c>
      <c r="C123" t="str">
        <f t="shared" ca="1" si="10"/>
        <v>pswafoboa1500</v>
      </c>
      <c r="D123" t="str">
        <f ca="1">Nomes!T124</f>
        <v>Afonso Inês Lourenço Jesus</v>
      </c>
      <c r="E123" t="str">
        <f ca="1">Nomes!S124</f>
        <v>Masculino</v>
      </c>
      <c r="F123" s="2">
        <v>43463</v>
      </c>
      <c r="G123" t="str" cm="1">
        <f t="array" aca="1" ref="G123" ca="1">INDEX(rua_cod!$F:$F,RANDBETWEEN(2,COUNTA(rua_cod!F:F)))</f>
        <v>Rua Cidade de Bolama</v>
      </c>
      <c r="H123" t="str" cm="1">
        <f t="array" aca="1" ref="H123" ca="1">INDEX(rua_cod!$A:$A,Users!V123) &amp; "-" &amp; TEXT(RANDBETWEEN(0,999),"000")</f>
        <v>1500-301</v>
      </c>
      <c r="I123" t="str" cm="1">
        <f t="array" aca="1" ref="I123" ca="1">INDEX(rua_cod!$B:$B,Users!V123)</f>
        <v>Lisboa</v>
      </c>
      <c r="J123" t="s">
        <v>3727</v>
      </c>
      <c r="K123" t="s">
        <v>225</v>
      </c>
      <c r="L123" t="s">
        <v>265</v>
      </c>
      <c r="M123" t="str">
        <f t="shared" ca="1" si="11"/>
        <v>80450644</v>
      </c>
      <c r="N123" t="str">
        <f t="shared" ca="1" si="12"/>
        <v>151512534</v>
      </c>
      <c r="O123" t="str">
        <f t="shared" ca="1" si="12"/>
        <v>368752858</v>
      </c>
      <c r="P123" t="str" cm="1">
        <f t="array" aca="1" ref="P123" ca="1">9 &amp; INDEX($AF$3:$AF$6,W123)&amp; TEXT(RANDBETWEEN(0,9999999),"0000000")</f>
        <v>914385443</v>
      </c>
      <c r="Q123" t="str" cm="1">
        <f t="array" aca="1" ref="Q123" ca="1">LOWER(B123) &amp; INDEX($AF$9:$AF$11,X123)</f>
        <v>afoboa1500@sapo.pt</v>
      </c>
      <c r="R123" t="str">
        <f t="shared" ca="1" si="13"/>
        <v>afoboa1500.jpg</v>
      </c>
      <c r="T123" s="4"/>
      <c r="V123">
        <f ca="1">RANDBETWEEN(2,COUNTA(rua_cod!A:A))</f>
        <v>43</v>
      </c>
      <c r="W123">
        <f t="shared" ca="1" si="14"/>
        <v>1</v>
      </c>
      <c r="X123">
        <f t="shared" ca="1" si="15"/>
        <v>3</v>
      </c>
      <c r="Y123">
        <f t="shared" ca="1" si="16"/>
        <v>2016</v>
      </c>
      <c r="Z123">
        <f t="shared" ca="1" si="17"/>
        <v>7</v>
      </c>
      <c r="AA123">
        <f t="shared" ca="1" si="18"/>
        <v>15</v>
      </c>
      <c r="AB123">
        <f t="shared" ca="1" si="19"/>
        <v>4</v>
      </c>
    </row>
    <row r="124" spans="1:28" x14ac:dyDescent="0.25">
      <c r="A124">
        <v>123</v>
      </c>
      <c r="B124" t="str" cm="1">
        <f t="array" aca="1" ref="B124" ca="1">replaceChar(LOWER(LEFT(D124,3)&amp;RIGHT(I124,3))&amp;LEFT(H124,4))</f>
        <v>sofais2750</v>
      </c>
      <c r="C124" t="str">
        <f t="shared" ca="1" si="10"/>
        <v>pswsofais2750</v>
      </c>
      <c r="D124" t="str">
        <f ca="1">Nomes!T125</f>
        <v>Sofia Laura Lima Barros</v>
      </c>
      <c r="E124" t="str">
        <f ca="1">Nomes!S125</f>
        <v>Feminino</v>
      </c>
      <c r="F124" s="2">
        <v>8971</v>
      </c>
      <c r="G124" t="str" cm="1">
        <f t="array" aca="1" ref="G124" ca="1">INDEX(rua_cod!$F:$F,RANDBETWEEN(2,COUNTA(rua_cod!F:F)))</f>
        <v>Rua de São Bento</v>
      </c>
      <c r="H124" t="str" cm="1">
        <f t="array" aca="1" ref="H124" ca="1">INDEX(rua_cod!$A:$A,Users!V124) &amp; "-" &amp; TEXT(RANDBETWEEN(0,999),"000")</f>
        <v>2750-428</v>
      </c>
      <c r="I124" t="str" cm="1">
        <f t="array" aca="1" ref="I124" ca="1">INDEX(rua_cod!$B:$B,Users!V124)</f>
        <v>Cascais</v>
      </c>
      <c r="J124" t="s">
        <v>3727</v>
      </c>
      <c r="K124" t="s">
        <v>225</v>
      </c>
      <c r="L124" t="s">
        <v>265</v>
      </c>
      <c r="M124" t="str">
        <f t="shared" ca="1" si="11"/>
        <v>42526683</v>
      </c>
      <c r="N124" t="str">
        <f t="shared" ca="1" si="12"/>
        <v>833726101</v>
      </c>
      <c r="O124" t="str">
        <f t="shared" ca="1" si="12"/>
        <v>704322028</v>
      </c>
      <c r="P124" t="str" cm="1">
        <f t="array" aca="1" ref="P124" ca="1">9 &amp; INDEX($AF$3:$AF$6,W124)&amp; TEXT(RANDBETWEEN(0,9999999),"0000000")</f>
        <v>939834206</v>
      </c>
      <c r="Q124" t="str" cm="1">
        <f t="array" aca="1" ref="Q124" ca="1">LOWER(B124) &amp; INDEX($AF$9:$AF$11,X124)</f>
        <v>sofais2750@gmail.com</v>
      </c>
      <c r="R124" t="str">
        <f t="shared" ca="1" si="13"/>
        <v>sofais2750.jpg</v>
      </c>
      <c r="T124" s="4"/>
      <c r="V124">
        <f ca="1">RANDBETWEEN(2,COUNTA(rua_cod!A:A))</f>
        <v>24</v>
      </c>
      <c r="W124">
        <f t="shared" ca="1" si="14"/>
        <v>3</v>
      </c>
      <c r="X124">
        <f t="shared" ca="1" si="15"/>
        <v>2</v>
      </c>
      <c r="Y124">
        <f t="shared" ca="1" si="16"/>
        <v>2036</v>
      </c>
      <c r="Z124">
        <f t="shared" ca="1" si="17"/>
        <v>3</v>
      </c>
      <c r="AA124">
        <f t="shared" ca="1" si="18"/>
        <v>8</v>
      </c>
      <c r="AB124">
        <f t="shared" ca="1" si="19"/>
        <v>-16</v>
      </c>
    </row>
    <row r="125" spans="1:28" x14ac:dyDescent="0.25">
      <c r="A125">
        <v>124</v>
      </c>
      <c r="B125" t="str" cm="1">
        <f t="array" aca="1" ref="B125" ca="1">replaceChar(LOWER(LEFT(D125,3)&amp;RIGHT(I125,3))&amp;LEFT(H125,4))</f>
        <v>fraora2650</v>
      </c>
      <c r="C125" t="str">
        <f t="shared" ca="1" si="10"/>
        <v>pswfraora2650</v>
      </c>
      <c r="D125" t="str">
        <f ca="1">Nomes!T126</f>
        <v>Francisca Laura Oliveira Sá</v>
      </c>
      <c r="E125" t="str">
        <f ca="1">Nomes!S126</f>
        <v>Feminino</v>
      </c>
      <c r="F125" s="2">
        <v>13497</v>
      </c>
      <c r="G125" t="str" cm="1">
        <f t="array" aca="1" ref="G125" ca="1">INDEX(rua_cod!$F:$F,RANDBETWEEN(2,COUNTA(rua_cod!F:F)))</f>
        <v>Rua do Arsenal</v>
      </c>
      <c r="H125" t="str" cm="1">
        <f t="array" aca="1" ref="H125" ca="1">INDEX(rua_cod!$A:$A,Users!V125) &amp; "-" &amp; TEXT(RANDBETWEEN(0,999),"000")</f>
        <v>2650-785</v>
      </c>
      <c r="I125" t="str" cm="1">
        <f t="array" aca="1" ref="I125" ca="1">INDEX(rua_cod!$B:$B,Users!V125)</f>
        <v>Amadora</v>
      </c>
      <c r="J125" t="s">
        <v>3727</v>
      </c>
      <c r="K125" t="s">
        <v>225</v>
      </c>
      <c r="L125" t="s">
        <v>265</v>
      </c>
      <c r="M125" t="str">
        <f t="shared" ca="1" si="11"/>
        <v>63373582</v>
      </c>
      <c r="N125" t="str">
        <f t="shared" ca="1" si="12"/>
        <v>475423145</v>
      </c>
      <c r="O125" t="str">
        <f t="shared" ca="1" si="12"/>
        <v>919788335</v>
      </c>
      <c r="P125" t="str" cm="1">
        <f t="array" aca="1" ref="P125" ca="1">9 &amp; INDEX($AF$3:$AF$6,W125)&amp; TEXT(RANDBETWEEN(0,9999999),"0000000")</f>
        <v>926140689</v>
      </c>
      <c r="Q125" t="str" cm="1">
        <f t="array" aca="1" ref="Q125" ca="1">LOWER(B125) &amp; INDEX($AF$9:$AF$11,X125)</f>
        <v>fraora2650@gmail.com</v>
      </c>
      <c r="R125" t="str">
        <f t="shared" ca="1" si="13"/>
        <v>fraora2650.jpg</v>
      </c>
      <c r="T125" s="4"/>
      <c r="V125">
        <f ca="1">RANDBETWEEN(2,COUNTA(rua_cod!A:A))</f>
        <v>9</v>
      </c>
      <c r="W125">
        <f t="shared" ca="1" si="14"/>
        <v>2</v>
      </c>
      <c r="X125">
        <f t="shared" ca="1" si="15"/>
        <v>2</v>
      </c>
      <c r="Y125">
        <f t="shared" ca="1" si="16"/>
        <v>1954</v>
      </c>
      <c r="Z125">
        <f t="shared" ca="1" si="17"/>
        <v>12</v>
      </c>
      <c r="AA125">
        <f t="shared" ca="1" si="18"/>
        <v>10</v>
      </c>
      <c r="AB125">
        <f t="shared" ca="1" si="19"/>
        <v>66</v>
      </c>
    </row>
    <row r="126" spans="1:28" x14ac:dyDescent="0.25">
      <c r="A126">
        <v>125</v>
      </c>
      <c r="B126" t="str" cm="1">
        <f t="array" aca="1" ref="B126" ca="1">replaceChar(LOWER(LEFT(D126,3)&amp;RIGHT(I126,3))&amp;LEFT(H126,4))</f>
        <v>sanboa1800</v>
      </c>
      <c r="C126" t="str">
        <f t="shared" ca="1" si="10"/>
        <v>pswsanboa1800</v>
      </c>
      <c r="D126" t="str">
        <f ca="1">Nomes!T127</f>
        <v>Santiago Lara Martins Maia</v>
      </c>
      <c r="E126" t="str">
        <f ca="1">Nomes!S127</f>
        <v>Masculino</v>
      </c>
      <c r="F126" s="2">
        <v>25240</v>
      </c>
      <c r="G126" t="str" cm="1">
        <f t="array" aca="1" ref="G126" ca="1">INDEX(rua_cod!$F:$F,RANDBETWEEN(2,COUNTA(rua_cod!F:F)))</f>
        <v>Rua Garrett</v>
      </c>
      <c r="H126" t="str" cm="1">
        <f t="array" aca="1" ref="H126" ca="1">INDEX(rua_cod!$A:$A,Users!V126) &amp; "-" &amp; TEXT(RANDBETWEEN(0,999),"000")</f>
        <v>1800-662</v>
      </c>
      <c r="I126" t="str" cm="1">
        <f t="array" aca="1" ref="I126" ca="1">INDEX(rua_cod!$B:$B,Users!V126)</f>
        <v>Lisboa</v>
      </c>
      <c r="J126" t="s">
        <v>3727</v>
      </c>
      <c r="K126" t="s">
        <v>225</v>
      </c>
      <c r="L126" t="s">
        <v>265</v>
      </c>
      <c r="M126" t="str">
        <f t="shared" ca="1" si="11"/>
        <v>50842911</v>
      </c>
      <c r="N126" t="str">
        <f t="shared" ca="1" si="12"/>
        <v>252776732</v>
      </c>
      <c r="O126" t="str">
        <f t="shared" ca="1" si="12"/>
        <v>327109583</v>
      </c>
      <c r="P126" t="str" cm="1">
        <f t="array" aca="1" ref="P126" ca="1">9 &amp; INDEX($AF$3:$AF$6,W126)&amp; TEXT(RANDBETWEEN(0,9999999),"0000000")</f>
        <v>919533844</v>
      </c>
      <c r="Q126" t="str" cm="1">
        <f t="array" aca="1" ref="Q126" ca="1">LOWER(B126) &amp; INDEX($AF$9:$AF$11,X126)</f>
        <v>sanboa1800@gmail.com</v>
      </c>
      <c r="R126" t="str">
        <f t="shared" ca="1" si="13"/>
        <v>sanboa1800.jpg</v>
      </c>
      <c r="T126" s="4"/>
      <c r="V126">
        <f ca="1">RANDBETWEEN(2,COUNTA(rua_cod!A:A))</f>
        <v>56</v>
      </c>
      <c r="W126">
        <f t="shared" ca="1" si="14"/>
        <v>1</v>
      </c>
      <c r="X126">
        <f t="shared" ca="1" si="15"/>
        <v>2</v>
      </c>
      <c r="Y126">
        <f t="shared" ca="1" si="16"/>
        <v>2021</v>
      </c>
      <c r="Z126">
        <f t="shared" ca="1" si="17"/>
        <v>11</v>
      </c>
      <c r="AA126">
        <f t="shared" ca="1" si="18"/>
        <v>27</v>
      </c>
      <c r="AB126">
        <f t="shared" ca="1" si="19"/>
        <v>-1</v>
      </c>
    </row>
    <row r="127" spans="1:28" x14ac:dyDescent="0.25">
      <c r="A127">
        <v>126</v>
      </c>
      <c r="B127" t="str" cm="1">
        <f t="array" aca="1" ref="B127" ca="1">replaceChar(LOWER(LEFT(D127,3)&amp;RIGHT(I127,3))&amp;LEFT(H127,4))</f>
        <v>josais2750</v>
      </c>
      <c r="C127" t="str">
        <f t="shared" ca="1" si="10"/>
        <v>pswjosais2750</v>
      </c>
      <c r="D127" t="str">
        <f ca="1">Nomes!T128</f>
        <v>José André Marques Almeida</v>
      </c>
      <c r="E127" t="str">
        <f ca="1">Nomes!S128</f>
        <v>Masculino</v>
      </c>
      <c r="F127" s="2">
        <v>16827</v>
      </c>
      <c r="G127" t="str" cm="1">
        <f t="array" aca="1" ref="G127" ca="1">INDEX(rua_cod!$F:$F,RANDBETWEEN(2,COUNTA(rua_cod!F:F)))</f>
        <v>Rua da Junqueira</v>
      </c>
      <c r="H127" t="str" cm="1">
        <f t="array" aca="1" ref="H127" ca="1">INDEX(rua_cod!$A:$A,Users!V127) &amp; "-" &amp; TEXT(RANDBETWEEN(0,999),"000")</f>
        <v>2750-814</v>
      </c>
      <c r="I127" t="str" cm="1">
        <f t="array" aca="1" ref="I127" ca="1">INDEX(rua_cod!$B:$B,Users!V127)</f>
        <v>Cascais</v>
      </c>
      <c r="J127" t="s">
        <v>3727</v>
      </c>
      <c r="K127" t="s">
        <v>225</v>
      </c>
      <c r="L127" t="s">
        <v>265</v>
      </c>
      <c r="M127" t="str">
        <f t="shared" ca="1" si="11"/>
        <v>13977781</v>
      </c>
      <c r="N127" t="str">
        <f t="shared" ca="1" si="12"/>
        <v>407884811</v>
      </c>
      <c r="O127" t="str">
        <f t="shared" ca="1" si="12"/>
        <v>635598888</v>
      </c>
      <c r="P127" t="str" cm="1">
        <f t="array" aca="1" ref="P127" ca="1">9 &amp; INDEX($AF$3:$AF$6,W127)&amp; TEXT(RANDBETWEEN(0,9999999),"0000000")</f>
        <v>920810789</v>
      </c>
      <c r="Q127" t="str" cm="1">
        <f t="array" aca="1" ref="Q127" ca="1">LOWER(B127) &amp; INDEX($AF$9:$AF$11,X127)</f>
        <v>josais2750@outlook.com</v>
      </c>
      <c r="R127" t="str">
        <f t="shared" ca="1" si="13"/>
        <v>josais2750.jpg</v>
      </c>
      <c r="T127" s="4"/>
      <c r="V127">
        <f ca="1">RANDBETWEEN(2,COUNTA(rua_cod!A:A))</f>
        <v>24</v>
      </c>
      <c r="W127">
        <f t="shared" ca="1" si="14"/>
        <v>2</v>
      </c>
      <c r="X127">
        <f t="shared" ca="1" si="15"/>
        <v>1</v>
      </c>
      <c r="Y127">
        <f t="shared" ca="1" si="16"/>
        <v>1945</v>
      </c>
      <c r="Z127">
        <f t="shared" ca="1" si="17"/>
        <v>12</v>
      </c>
      <c r="AA127">
        <f t="shared" ca="1" si="18"/>
        <v>13</v>
      </c>
      <c r="AB127">
        <f t="shared" ca="1" si="19"/>
        <v>75</v>
      </c>
    </row>
    <row r="128" spans="1:28" x14ac:dyDescent="0.25">
      <c r="A128">
        <v>127</v>
      </c>
      <c r="B128" t="str" cm="1">
        <f t="array" aca="1" ref="B128" ca="1">replaceChar(LOWER(LEFT(D128,3)&amp;RIGHT(I128,3))&amp;LEFT(H128,4))</f>
        <v>dialuz2749</v>
      </c>
      <c r="C128" t="str">
        <f t="shared" ca="1" si="10"/>
        <v>pswdialuz2749</v>
      </c>
      <c r="D128" t="str">
        <f ca="1">Nomes!T129</f>
        <v>Diana Francisco Batista Araújo</v>
      </c>
      <c r="E128" t="str">
        <f ca="1">Nomes!S129</f>
        <v>Feminino</v>
      </c>
      <c r="F128" s="2">
        <v>14246</v>
      </c>
      <c r="G128" t="str" cm="1">
        <f t="array" aca="1" ref="G128" ca="1">INDEX(rua_cod!$F:$F,RANDBETWEEN(2,COUNTA(rua_cod!F:F)))</f>
        <v>Rua da Madalena</v>
      </c>
      <c r="H128" t="str" cm="1">
        <f t="array" aca="1" ref="H128" ca="1">INDEX(rua_cod!$A:$A,Users!V128) &amp; "-" &amp; TEXT(RANDBETWEEN(0,999),"000")</f>
        <v>2749-620</v>
      </c>
      <c r="I128" t="str" cm="1">
        <f t="array" aca="1" ref="I128" ca="1">INDEX(rua_cod!$B:$B,Users!V128)</f>
        <v>Queluz</v>
      </c>
      <c r="J128" t="s">
        <v>3727</v>
      </c>
      <c r="K128" t="s">
        <v>225</v>
      </c>
      <c r="L128" t="s">
        <v>265</v>
      </c>
      <c r="M128" t="str">
        <f t="shared" ca="1" si="11"/>
        <v>61995371</v>
      </c>
      <c r="N128" t="str">
        <f t="shared" ca="1" si="12"/>
        <v>675149397</v>
      </c>
      <c r="O128" t="str">
        <f t="shared" ca="1" si="12"/>
        <v>506559840</v>
      </c>
      <c r="P128" t="str" cm="1">
        <f t="array" aca="1" ref="P128" ca="1">9 &amp; INDEX($AF$3:$AF$6,W128)&amp; TEXT(RANDBETWEEN(0,9999999),"0000000")</f>
        <v>919347226</v>
      </c>
      <c r="Q128" t="str" cm="1">
        <f t="array" aca="1" ref="Q128" ca="1">LOWER(B128) &amp; INDEX($AF$9:$AF$11,X128)</f>
        <v>dialuz2749@sapo.pt</v>
      </c>
      <c r="R128" t="str">
        <f t="shared" ca="1" si="13"/>
        <v>dialuz2749.jpg</v>
      </c>
      <c r="T128" s="4"/>
      <c r="V128">
        <f ca="1">RANDBETWEEN(2,COUNTA(rua_cod!A:A))</f>
        <v>91</v>
      </c>
      <c r="W128">
        <f t="shared" ca="1" si="14"/>
        <v>1</v>
      </c>
      <c r="X128">
        <f t="shared" ca="1" si="15"/>
        <v>3</v>
      </c>
      <c r="Y128">
        <f t="shared" ca="1" si="16"/>
        <v>1978</v>
      </c>
      <c r="Z128">
        <f t="shared" ca="1" si="17"/>
        <v>8</v>
      </c>
      <c r="AA128">
        <f t="shared" ca="1" si="18"/>
        <v>15</v>
      </c>
      <c r="AB128">
        <f t="shared" ca="1" si="19"/>
        <v>42</v>
      </c>
    </row>
    <row r="129" spans="1:28" x14ac:dyDescent="0.25">
      <c r="A129">
        <v>128</v>
      </c>
      <c r="B129" t="str" cm="1">
        <f t="array" aca="1" ref="B129" ca="1">replaceChar(LOWER(LEFT(D129,3)&amp;RIGHT(I129,3))&amp;LEFT(H129,4))</f>
        <v>bruboa1100</v>
      </c>
      <c r="C129" t="str">
        <f t="shared" ca="1" si="10"/>
        <v>pswbruboa1100</v>
      </c>
      <c r="D129" t="str">
        <f ca="1">Nomes!T130</f>
        <v>Bruno Joaquim Sousa Coelho</v>
      </c>
      <c r="E129" t="str">
        <f ca="1">Nomes!S130</f>
        <v>Masculino</v>
      </c>
      <c r="F129" s="2">
        <v>43342</v>
      </c>
      <c r="G129" t="str" cm="1">
        <f t="array" aca="1" ref="G129" ca="1">INDEX(rua_cod!$F:$F,RANDBETWEEN(2,COUNTA(rua_cod!F:F)))</f>
        <v>Rua do Sacramento à Lapa</v>
      </c>
      <c r="H129" t="str" cm="1">
        <f t="array" aca="1" ref="H129" ca="1">INDEX(rua_cod!$A:$A,Users!V129) &amp; "-" &amp; TEXT(RANDBETWEEN(0,999),"000")</f>
        <v>1100-155</v>
      </c>
      <c r="I129" t="str" cm="1">
        <f t="array" aca="1" ref="I129" ca="1">INDEX(rua_cod!$B:$B,Users!V129)</f>
        <v>Lisboa</v>
      </c>
      <c r="J129" t="s">
        <v>3727</v>
      </c>
      <c r="K129" t="s">
        <v>225</v>
      </c>
      <c r="L129" t="s">
        <v>265</v>
      </c>
      <c r="M129" t="str">
        <f t="shared" ca="1" si="11"/>
        <v>45922977</v>
      </c>
      <c r="N129" t="str">
        <f t="shared" ca="1" si="12"/>
        <v>181631259</v>
      </c>
      <c r="O129" t="str">
        <f t="shared" ca="1" si="12"/>
        <v>225190594</v>
      </c>
      <c r="P129" t="str" cm="1">
        <f t="array" aca="1" ref="P129" ca="1">9 &amp; INDEX($AF$3:$AF$6,W129)&amp; TEXT(RANDBETWEEN(0,9999999),"0000000")</f>
        <v>961399712</v>
      </c>
      <c r="Q129" t="str" cm="1">
        <f t="array" aca="1" ref="Q129" ca="1">LOWER(B129) &amp; INDEX($AF$9:$AF$11,X129)</f>
        <v>bruboa1100@gmail.com</v>
      </c>
      <c r="R129" t="str">
        <f t="shared" ca="1" si="13"/>
        <v>bruboa1100.jpg</v>
      </c>
      <c r="T129" s="4"/>
      <c r="V129">
        <f ca="1">RANDBETWEEN(2,COUNTA(rua_cod!A:A))</f>
        <v>46</v>
      </c>
      <c r="W129">
        <f t="shared" ca="1" si="14"/>
        <v>4</v>
      </c>
      <c r="X129">
        <f t="shared" ca="1" si="15"/>
        <v>2</v>
      </c>
      <c r="Y129">
        <f t="shared" ca="1" si="16"/>
        <v>1964</v>
      </c>
      <c r="Z129">
        <f t="shared" ca="1" si="17"/>
        <v>8</v>
      </c>
      <c r="AA129">
        <f t="shared" ca="1" si="18"/>
        <v>31</v>
      </c>
      <c r="AB129">
        <f t="shared" ca="1" si="19"/>
        <v>56</v>
      </c>
    </row>
    <row r="130" spans="1:28" x14ac:dyDescent="0.25">
      <c r="A130">
        <v>129</v>
      </c>
      <c r="B130" t="str" cm="1">
        <f t="array" aca="1" ref="B130" ca="1">replaceChar(LOWER(LEFT(D130,3)&amp;RIGHT(I130,3))&amp;LEFT(H130,4))</f>
        <v>rodrem2009</v>
      </c>
      <c r="C130" t="str">
        <f t="shared" ca="1" si="10"/>
        <v>pswrodrem2009</v>
      </c>
      <c r="D130" t="str">
        <f ca="1">Nomes!T131</f>
        <v>Rodrigo Miguel Tavares Torres</v>
      </c>
      <c r="E130" t="str">
        <f ca="1">Nomes!S131</f>
        <v>Masculino</v>
      </c>
      <c r="F130" s="2">
        <v>37343</v>
      </c>
      <c r="G130" t="str" cm="1">
        <f t="array" aca="1" ref="G130" ca="1">INDEX(rua_cod!$F:$F,RANDBETWEEN(2,COUNTA(rua_cod!F:F)))</f>
        <v>Calçada do Poço dos Mouros</v>
      </c>
      <c r="H130" t="str" cm="1">
        <f t="array" aca="1" ref="H130" ca="1">INDEX(rua_cod!$A:$A,Users!V130) &amp; "-" &amp; TEXT(RANDBETWEEN(0,999),"000")</f>
        <v>2009-359</v>
      </c>
      <c r="I130" t="str" cm="1">
        <f t="array" aca="1" ref="I130" ca="1">INDEX(rua_cod!$B:$B,Users!V130)</f>
        <v>Santarém</v>
      </c>
      <c r="J130" t="s">
        <v>3727</v>
      </c>
      <c r="K130" t="s">
        <v>225</v>
      </c>
      <c r="L130" t="s">
        <v>265</v>
      </c>
      <c r="M130" t="str">
        <f t="shared" ca="1" si="11"/>
        <v>72317431</v>
      </c>
      <c r="N130" t="str">
        <f t="shared" ca="1" si="12"/>
        <v>231993375</v>
      </c>
      <c r="O130" t="str">
        <f t="shared" ca="1" si="12"/>
        <v>814165361</v>
      </c>
      <c r="P130" t="str" cm="1">
        <f t="array" aca="1" ref="P130" ca="1">9 &amp; INDEX($AF$3:$AF$6,W130)&amp; TEXT(RANDBETWEEN(0,9999999),"0000000")</f>
        <v>928679456</v>
      </c>
      <c r="Q130" t="str" cm="1">
        <f t="array" aca="1" ref="Q130" ca="1">LOWER(B130) &amp; INDEX($AF$9:$AF$11,X130)</f>
        <v>rodrem2009@gmail.com</v>
      </c>
      <c r="R130" t="str">
        <f t="shared" ca="1" si="13"/>
        <v>rodrem2009.jpg</v>
      </c>
      <c r="T130" s="4"/>
      <c r="V130">
        <f ca="1">RANDBETWEEN(2,COUNTA(rua_cod!A:A))</f>
        <v>95</v>
      </c>
      <c r="W130">
        <f t="shared" ca="1" si="14"/>
        <v>2</v>
      </c>
      <c r="X130">
        <f t="shared" ca="1" si="15"/>
        <v>2</v>
      </c>
      <c r="Y130">
        <f t="shared" ca="1" si="16"/>
        <v>1966</v>
      </c>
      <c r="Z130">
        <f t="shared" ca="1" si="17"/>
        <v>2</v>
      </c>
      <c r="AA130">
        <f t="shared" ca="1" si="18"/>
        <v>15</v>
      </c>
      <c r="AB130">
        <f t="shared" ca="1" si="19"/>
        <v>54</v>
      </c>
    </row>
    <row r="131" spans="1:28" x14ac:dyDescent="0.25">
      <c r="A131">
        <v>130</v>
      </c>
      <c r="B131" t="str" cm="1">
        <f t="array" aca="1" ref="B131" ca="1">replaceChar(LOWER(LEFT(D131,3)&amp;RIGHT(I131,3))&amp;LEFT(H131,4))</f>
        <v>marfra2640</v>
      </c>
      <c r="C131" t="str">
        <f t="shared" ref="C131:C194" ca="1" si="20">"psw" &amp; B131</f>
        <v>pswmarfra2640</v>
      </c>
      <c r="D131" t="str">
        <f ca="1">Nomes!T132</f>
        <v>Martim Francisca Abreu Alves</v>
      </c>
      <c r="E131" t="str">
        <f ca="1">Nomes!S132</f>
        <v>Masculino</v>
      </c>
      <c r="F131" s="2">
        <v>35503</v>
      </c>
      <c r="G131" t="str" cm="1">
        <f t="array" aca="1" ref="G131" ca="1">INDEX(rua_cod!$F:$F,RANDBETWEEN(2,COUNTA(rua_cod!F:F)))</f>
        <v>Travessa de São João da Praça</v>
      </c>
      <c r="H131" t="str" cm="1">
        <f t="array" aca="1" ref="H131" ca="1">INDEX(rua_cod!$A:$A,Users!V131) &amp; "-" &amp; TEXT(RANDBETWEEN(0,999),"000")</f>
        <v>2640-322</v>
      </c>
      <c r="I131" t="str" cm="1">
        <f t="array" aca="1" ref="I131" ca="1">INDEX(rua_cod!$B:$B,Users!V131)</f>
        <v>Mafra</v>
      </c>
      <c r="J131" t="s">
        <v>3727</v>
      </c>
      <c r="K131" t="s">
        <v>225</v>
      </c>
      <c r="L131" t="s">
        <v>265</v>
      </c>
      <c r="M131" t="str">
        <f t="shared" ref="M131:M194" ca="1" si="21">TEXT(RANDBETWEEN(10000000,99999999),"00000000")</f>
        <v>28326051</v>
      </c>
      <c r="N131" t="str">
        <f t="shared" ref="N131:O194" ca="1" si="22">TEXT(RANDBETWEEN(100000000,999999999),"000000000")</f>
        <v>770426178</v>
      </c>
      <c r="O131" t="str">
        <f t="shared" ca="1" si="22"/>
        <v>804472399</v>
      </c>
      <c r="P131" t="str" cm="1">
        <f t="array" aca="1" ref="P131" ca="1">9 &amp; INDEX($AF$3:$AF$6,W131)&amp; TEXT(RANDBETWEEN(0,9999999),"0000000")</f>
        <v>965706111</v>
      </c>
      <c r="Q131" t="str" cm="1">
        <f t="array" aca="1" ref="Q131" ca="1">LOWER(B131) &amp; INDEX($AF$9:$AF$11,X131)</f>
        <v>marfra2640@sapo.pt</v>
      </c>
      <c r="R131" t="str">
        <f t="shared" ref="R131:R194" ca="1" si="23">B131 &amp; ".jpg"</f>
        <v>marfra2640.jpg</v>
      </c>
      <c r="T131" s="4"/>
      <c r="V131">
        <f ca="1">RANDBETWEEN(2,COUNTA(rua_cod!A:A))</f>
        <v>85</v>
      </c>
      <c r="W131">
        <f t="shared" ref="W131:W194" ca="1" si="24">RANDBETWEEN(1,4)</f>
        <v>4</v>
      </c>
      <c r="X131">
        <f t="shared" ref="X131:X194" ca="1" si="25">RANDBETWEEN(1,3)</f>
        <v>3</v>
      </c>
      <c r="Y131">
        <f t="shared" ref="Y131:Y194" ca="1" si="26">INT(NORMINV(RAND(),1976,22))</f>
        <v>1964</v>
      </c>
      <c r="Z131">
        <f t="shared" ref="Z131:Z194" ca="1" si="27">RANDBETWEEN(1,12)</f>
        <v>6</v>
      </c>
      <c r="AA131">
        <f t="shared" ref="AA131:AA194" ca="1" si="28">RANDBETWEEN(1,31)</f>
        <v>4</v>
      </c>
      <c r="AB131">
        <f t="shared" ref="AB131:AB194" ca="1" si="29">2020-Y131</f>
        <v>56</v>
      </c>
    </row>
    <row r="132" spans="1:28" x14ac:dyDescent="0.25">
      <c r="A132">
        <v>131</v>
      </c>
      <c r="B132" t="str" cm="1">
        <f t="array" aca="1" ref="B132" ca="1">replaceChar(LOWER(LEFT(D132,3)&amp;RIGHT(I132,3))&amp;LEFT(H132,4))</f>
        <v>marrem2005</v>
      </c>
      <c r="C132" t="str">
        <f t="shared" ca="1" si="20"/>
        <v>pswmarrem2005</v>
      </c>
      <c r="D132" t="str">
        <f ca="1">Nomes!T133</f>
        <v>Mariana Joana Amorim Coelho</v>
      </c>
      <c r="E132" t="str">
        <f ca="1">Nomes!S133</f>
        <v>Feminino</v>
      </c>
      <c r="F132" s="2">
        <v>10487</v>
      </c>
      <c r="G132" t="str" cm="1">
        <f t="array" aca="1" ref="G132" ca="1">INDEX(rua_cod!$F:$F,RANDBETWEEN(2,COUNTA(rua_cod!F:F)))</f>
        <v>Rua Nova do Almada</v>
      </c>
      <c r="H132" t="str" cm="1">
        <f t="array" aca="1" ref="H132" ca="1">INDEX(rua_cod!$A:$A,Users!V132) &amp; "-" &amp; TEXT(RANDBETWEEN(0,999),"000")</f>
        <v>2005-314</v>
      </c>
      <c r="I132" t="str" cm="1">
        <f t="array" aca="1" ref="I132" ca="1">INDEX(rua_cod!$B:$B,Users!V132)</f>
        <v>Santarém</v>
      </c>
      <c r="J132" t="s">
        <v>3727</v>
      </c>
      <c r="K132" t="s">
        <v>225</v>
      </c>
      <c r="L132" t="s">
        <v>265</v>
      </c>
      <c r="M132" t="str">
        <f t="shared" ca="1" si="21"/>
        <v>14562033</v>
      </c>
      <c r="N132" t="str">
        <f t="shared" ca="1" si="22"/>
        <v>952472266</v>
      </c>
      <c r="O132" t="str">
        <f t="shared" ca="1" si="22"/>
        <v>270453961</v>
      </c>
      <c r="P132" t="str" cm="1">
        <f t="array" aca="1" ref="P132" ca="1">9 &amp; INDEX($AF$3:$AF$6,W132)&amp; TEXT(RANDBETWEEN(0,9999999),"0000000")</f>
        <v>963599496</v>
      </c>
      <c r="Q132" t="str" cm="1">
        <f t="array" aca="1" ref="Q132" ca="1">LOWER(B132) &amp; INDEX($AF$9:$AF$11,X132)</f>
        <v>marrem2005@sapo.pt</v>
      </c>
      <c r="R132" t="str">
        <f t="shared" ca="1" si="23"/>
        <v>marrem2005.jpg</v>
      </c>
      <c r="T132" s="4"/>
      <c r="V132">
        <f ca="1">RANDBETWEEN(2,COUNTA(rua_cod!A:A))</f>
        <v>92</v>
      </c>
      <c r="W132">
        <f t="shared" ca="1" si="24"/>
        <v>4</v>
      </c>
      <c r="X132">
        <f t="shared" ca="1" si="25"/>
        <v>3</v>
      </c>
      <c r="Y132">
        <f t="shared" ca="1" si="26"/>
        <v>1984</v>
      </c>
      <c r="Z132">
        <f t="shared" ca="1" si="27"/>
        <v>12</v>
      </c>
      <c r="AA132">
        <f t="shared" ca="1" si="28"/>
        <v>11</v>
      </c>
      <c r="AB132">
        <f t="shared" ca="1" si="29"/>
        <v>36</v>
      </c>
    </row>
    <row r="133" spans="1:28" x14ac:dyDescent="0.25">
      <c r="A133">
        <v>132</v>
      </c>
      <c r="B133" t="str" cm="1">
        <f t="array" aca="1" ref="B133" ca="1">replaceChar(LOWER(LEFT(D133,3)&amp;RIGHT(I133,3))&amp;LEFT(H133,4))</f>
        <v>marboa1449</v>
      </c>
      <c r="C133" t="str">
        <f t="shared" ca="1" si="20"/>
        <v>pswmarboa1449</v>
      </c>
      <c r="D133" t="str">
        <f ca="1">Nomes!T134</f>
        <v>Maria André Moura Lopes</v>
      </c>
      <c r="E133" t="str">
        <f ca="1">Nomes!S134</f>
        <v>Feminino</v>
      </c>
      <c r="F133" s="2">
        <v>20453</v>
      </c>
      <c r="G133" t="str" cm="1">
        <f t="array" aca="1" ref="G133" ca="1">INDEX(rua_cod!$F:$F,RANDBETWEEN(2,COUNTA(rua_cod!F:F)))</f>
        <v>Travessa de São João da Praça</v>
      </c>
      <c r="H133" t="str" cm="1">
        <f t="array" aca="1" ref="H133" ca="1">INDEX(rua_cod!$A:$A,Users!V133) &amp; "-" &amp; TEXT(RANDBETWEEN(0,999),"000")</f>
        <v>1449-148</v>
      </c>
      <c r="I133" t="str" cm="1">
        <f t="array" aca="1" ref="I133" ca="1">INDEX(rua_cod!$B:$B,Users!V133)</f>
        <v>Lisboa</v>
      </c>
      <c r="J133" t="s">
        <v>3727</v>
      </c>
      <c r="K133" t="s">
        <v>225</v>
      </c>
      <c r="L133" t="s">
        <v>265</v>
      </c>
      <c r="M133" t="str">
        <f t="shared" ca="1" si="21"/>
        <v>55062911</v>
      </c>
      <c r="N133" t="str">
        <f t="shared" ca="1" si="22"/>
        <v>742694023</v>
      </c>
      <c r="O133" t="str">
        <f t="shared" ca="1" si="22"/>
        <v>557616460</v>
      </c>
      <c r="P133" t="str" cm="1">
        <f t="array" aca="1" ref="P133" ca="1">9 &amp; INDEX($AF$3:$AF$6,W133)&amp; TEXT(RANDBETWEEN(0,9999999),"0000000")</f>
        <v>939370383</v>
      </c>
      <c r="Q133" t="str" cm="1">
        <f t="array" aca="1" ref="Q133" ca="1">LOWER(B133) &amp; INDEX($AF$9:$AF$11,X133)</f>
        <v>marboa1449@outlook.com</v>
      </c>
      <c r="R133" t="str">
        <f t="shared" ca="1" si="23"/>
        <v>marboa1449.jpg</v>
      </c>
      <c r="T133" s="4"/>
      <c r="V133">
        <f ca="1">RANDBETWEEN(2,COUNTA(rua_cod!A:A))</f>
        <v>73</v>
      </c>
      <c r="W133">
        <f t="shared" ca="1" si="24"/>
        <v>3</v>
      </c>
      <c r="X133">
        <f t="shared" ca="1" si="25"/>
        <v>1</v>
      </c>
      <c r="Y133">
        <f t="shared" ca="1" si="26"/>
        <v>2018</v>
      </c>
      <c r="Z133">
        <f t="shared" ca="1" si="27"/>
        <v>11</v>
      </c>
      <c r="AA133">
        <f t="shared" ca="1" si="28"/>
        <v>9</v>
      </c>
      <c r="AB133">
        <f t="shared" ca="1" si="29"/>
        <v>2</v>
      </c>
    </row>
    <row r="134" spans="1:28" x14ac:dyDescent="0.25">
      <c r="A134">
        <v>133</v>
      </c>
      <c r="B134" t="str" cm="1">
        <f t="array" aca="1" ref="B134" ca="1">replaceChar(LOWER(LEFT(D134,3)&amp;RIGHT(I134,3))&amp;LEFT(H134,4))</f>
        <v>lartra2714</v>
      </c>
      <c r="C134" t="str">
        <f t="shared" ca="1" si="20"/>
        <v>pswlartra2714</v>
      </c>
      <c r="D134" t="str">
        <f ca="1">Nomes!T135</f>
        <v>Lara Martim Ferreira Ribeiro</v>
      </c>
      <c r="E134" t="str">
        <f ca="1">Nomes!S135</f>
        <v>Feminino</v>
      </c>
      <c r="F134" s="2">
        <v>43922</v>
      </c>
      <c r="G134" t="str" cm="1">
        <f t="array" aca="1" ref="G134" ca="1">INDEX(rua_cod!$F:$F,RANDBETWEEN(2,COUNTA(rua_cod!F:F)))</f>
        <v>Rua da Madalena</v>
      </c>
      <c r="H134" t="str" cm="1">
        <f t="array" aca="1" ref="H134" ca="1">INDEX(rua_cod!$A:$A,Users!V134) &amp; "-" &amp; TEXT(RANDBETWEEN(0,999),"000")</f>
        <v>2714-750</v>
      </c>
      <c r="I134" t="str" cm="1">
        <f t="array" aca="1" ref="I134" ca="1">INDEX(rua_cod!$B:$B,Users!V134)</f>
        <v>Sintra</v>
      </c>
      <c r="J134" t="s">
        <v>3727</v>
      </c>
      <c r="K134" t="s">
        <v>225</v>
      </c>
      <c r="L134" t="s">
        <v>265</v>
      </c>
      <c r="M134" t="str">
        <f t="shared" ca="1" si="21"/>
        <v>18897459</v>
      </c>
      <c r="N134" t="str">
        <f t="shared" ca="1" si="22"/>
        <v>193639835</v>
      </c>
      <c r="O134" t="str">
        <f t="shared" ca="1" si="22"/>
        <v>726500849</v>
      </c>
      <c r="P134" t="str" cm="1">
        <f t="array" aca="1" ref="P134" ca="1">9 &amp; INDEX($AF$3:$AF$6,W134)&amp; TEXT(RANDBETWEEN(0,9999999),"0000000")</f>
        <v>922687307</v>
      </c>
      <c r="Q134" t="str" cm="1">
        <f t="array" aca="1" ref="Q134" ca="1">LOWER(B134) &amp; INDEX($AF$9:$AF$11,X134)</f>
        <v>lartra2714@gmail.com</v>
      </c>
      <c r="R134" t="str">
        <f t="shared" ca="1" si="23"/>
        <v>lartra2714.jpg</v>
      </c>
      <c r="T134" s="4"/>
      <c r="V134">
        <f ca="1">RANDBETWEEN(2,COUNTA(rua_cod!A:A))</f>
        <v>101</v>
      </c>
      <c r="W134">
        <f t="shared" ca="1" si="24"/>
        <v>2</v>
      </c>
      <c r="X134">
        <f t="shared" ca="1" si="25"/>
        <v>2</v>
      </c>
      <c r="Y134">
        <f t="shared" ca="1" si="26"/>
        <v>1941</v>
      </c>
      <c r="Z134">
        <f t="shared" ca="1" si="27"/>
        <v>10</v>
      </c>
      <c r="AA134">
        <f t="shared" ca="1" si="28"/>
        <v>23</v>
      </c>
      <c r="AB134">
        <f t="shared" ca="1" si="29"/>
        <v>79</v>
      </c>
    </row>
    <row r="135" spans="1:28" x14ac:dyDescent="0.25">
      <c r="A135">
        <v>134</v>
      </c>
      <c r="B135" t="str" cm="1">
        <f t="array" aca="1" ref="B135" ca="1">replaceChar(LOWER(LEFT(D135,3)&amp;RIGHT(I135,3))&amp;LEFT(H135,4))</f>
        <v>joabal2914</v>
      </c>
      <c r="C135" t="str">
        <f t="shared" ca="1" si="20"/>
        <v>pswjoabal2914</v>
      </c>
      <c r="D135" t="str">
        <f ca="1">Nomes!T136</f>
        <v>Joana Diana Abreu Barbosa</v>
      </c>
      <c r="E135" t="str">
        <f ca="1">Nomes!S136</f>
        <v>Feminino</v>
      </c>
      <c r="F135" s="2">
        <v>25320</v>
      </c>
      <c r="G135" t="str" cm="1">
        <f t="array" aca="1" ref="G135" ca="1">INDEX(rua_cod!$F:$F,RANDBETWEEN(2,COUNTA(rua_cod!F:F)))</f>
        <v>Calçada de Carriche</v>
      </c>
      <c r="H135" t="str" cm="1">
        <f t="array" aca="1" ref="H135" ca="1">INDEX(rua_cod!$A:$A,Users!V135) &amp; "-" &amp; TEXT(RANDBETWEEN(0,999),"000")</f>
        <v>2914-613</v>
      </c>
      <c r="I135" t="str" cm="1">
        <f t="array" aca="1" ref="I135" ca="1">INDEX(rua_cod!$B:$B,Users!V135)</f>
        <v>Setúbal</v>
      </c>
      <c r="J135" t="s">
        <v>3727</v>
      </c>
      <c r="K135" t="s">
        <v>225</v>
      </c>
      <c r="L135" t="s">
        <v>265</v>
      </c>
      <c r="M135" t="str">
        <f t="shared" ca="1" si="21"/>
        <v>36955323</v>
      </c>
      <c r="N135" t="str">
        <f t="shared" ca="1" si="22"/>
        <v>457311595</v>
      </c>
      <c r="O135" t="str">
        <f t="shared" ca="1" si="22"/>
        <v>764207403</v>
      </c>
      <c r="P135" t="str" cm="1">
        <f t="array" aca="1" ref="P135" ca="1">9 &amp; INDEX($AF$3:$AF$6,W135)&amp; TEXT(RANDBETWEEN(0,9999999),"0000000")</f>
        <v>924904709</v>
      </c>
      <c r="Q135" t="str" cm="1">
        <f t="array" aca="1" ref="Q135" ca="1">LOWER(B135) &amp; INDEX($AF$9:$AF$11,X135)</f>
        <v>joabal2914@outlook.com</v>
      </c>
      <c r="R135" t="str">
        <f t="shared" ca="1" si="23"/>
        <v>joabal2914.jpg</v>
      </c>
      <c r="T135" s="4"/>
      <c r="V135">
        <f ca="1">RANDBETWEEN(2,COUNTA(rua_cod!A:A))</f>
        <v>98</v>
      </c>
      <c r="W135">
        <f t="shared" ca="1" si="24"/>
        <v>2</v>
      </c>
      <c r="X135">
        <f t="shared" ca="1" si="25"/>
        <v>1</v>
      </c>
      <c r="Y135">
        <f t="shared" ca="1" si="26"/>
        <v>1992</v>
      </c>
      <c r="Z135">
        <f t="shared" ca="1" si="27"/>
        <v>12</v>
      </c>
      <c r="AA135">
        <f t="shared" ca="1" si="28"/>
        <v>14</v>
      </c>
      <c r="AB135">
        <f t="shared" ca="1" si="29"/>
        <v>28</v>
      </c>
    </row>
    <row r="136" spans="1:28" x14ac:dyDescent="0.25">
      <c r="A136">
        <v>135</v>
      </c>
      <c r="B136" t="str" cm="1">
        <f t="array" aca="1" ref="B136" ca="1">replaceChar(LOWER(LEFT(D136,3)&amp;RIGHT(I136,3))&amp;LEFT(H136,4))</f>
        <v>joslos2775</v>
      </c>
      <c r="C136" t="str">
        <f t="shared" ca="1" si="20"/>
        <v>pswjoslos2775</v>
      </c>
      <c r="D136" t="str">
        <f ca="1">Nomes!T137</f>
        <v>José Martim Garcia Anjos</v>
      </c>
      <c r="E136" t="str">
        <f ca="1">Nomes!S137</f>
        <v>Masculino</v>
      </c>
      <c r="F136" s="2">
        <v>20063</v>
      </c>
      <c r="G136" t="str" cm="1">
        <f t="array" aca="1" ref="G136" ca="1">INDEX(rua_cod!$F:$F,RANDBETWEEN(2,COUNTA(rua_cod!F:F)))</f>
        <v>Travessa de São João da Praça</v>
      </c>
      <c r="H136" t="str" cm="1">
        <f t="array" aca="1" ref="H136" ca="1">INDEX(rua_cod!$A:$A,Users!V136) &amp; "-" &amp; TEXT(RANDBETWEEN(0,999),"000")</f>
        <v>2775-826</v>
      </c>
      <c r="I136" t="str" cm="1">
        <f t="array" aca="1" ref="I136" ca="1">INDEX(rua_cod!$B:$B,Users!V136)</f>
        <v>Carcavelos</v>
      </c>
      <c r="J136" t="s">
        <v>3727</v>
      </c>
      <c r="K136" t="s">
        <v>225</v>
      </c>
      <c r="L136" t="s">
        <v>265</v>
      </c>
      <c r="M136" t="str">
        <f t="shared" ca="1" si="21"/>
        <v>55200876</v>
      </c>
      <c r="N136" t="str">
        <f t="shared" ca="1" si="22"/>
        <v>908935437</v>
      </c>
      <c r="O136" t="str">
        <f t="shared" ca="1" si="22"/>
        <v>139699470</v>
      </c>
      <c r="P136" t="str" cm="1">
        <f t="array" aca="1" ref="P136" ca="1">9 &amp; INDEX($AF$3:$AF$6,W136)&amp; TEXT(RANDBETWEEN(0,9999999),"0000000")</f>
        <v>967833198</v>
      </c>
      <c r="Q136" t="str" cm="1">
        <f t="array" aca="1" ref="Q136" ca="1">LOWER(B136) &amp; INDEX($AF$9:$AF$11,X136)</f>
        <v>joslos2775@gmail.com</v>
      </c>
      <c r="R136" t="str">
        <f t="shared" ca="1" si="23"/>
        <v>joslos2775.jpg</v>
      </c>
      <c r="T136" s="4"/>
      <c r="V136">
        <f ca="1">RANDBETWEEN(2,COUNTA(rua_cod!A:A))</f>
        <v>20</v>
      </c>
      <c r="W136">
        <f t="shared" ca="1" si="24"/>
        <v>4</v>
      </c>
      <c r="X136">
        <f t="shared" ca="1" si="25"/>
        <v>2</v>
      </c>
      <c r="Y136">
        <f t="shared" ca="1" si="26"/>
        <v>1930</v>
      </c>
      <c r="Z136">
        <f t="shared" ca="1" si="27"/>
        <v>6</v>
      </c>
      <c r="AA136">
        <f t="shared" ca="1" si="28"/>
        <v>27</v>
      </c>
      <c r="AB136">
        <f t="shared" ca="1" si="29"/>
        <v>90</v>
      </c>
    </row>
    <row r="137" spans="1:28" x14ac:dyDescent="0.25">
      <c r="A137">
        <v>136</v>
      </c>
      <c r="B137" t="str" cm="1">
        <f t="array" aca="1" ref="B137" ca="1">replaceChar(LOWER(LEFT(D137,3)&amp;RIGHT(I137,3))&amp;LEFT(H137,4))</f>
        <v>saride2790</v>
      </c>
      <c r="C137" t="str">
        <f t="shared" ca="1" si="20"/>
        <v>pswsaride2790</v>
      </c>
      <c r="D137" t="str">
        <f ca="1">Nomes!T138</f>
        <v>Sara Ana Morais Domingues</v>
      </c>
      <c r="E137" t="str">
        <f ca="1">Nomes!S138</f>
        <v>Feminino</v>
      </c>
      <c r="F137" s="2">
        <v>34756</v>
      </c>
      <c r="G137" t="str" cm="1">
        <f t="array" aca="1" ref="G137" ca="1">INDEX(rua_cod!$F:$F,RANDBETWEEN(2,COUNTA(rua_cod!F:F)))</f>
        <v>Rua General Morais Sarmento</v>
      </c>
      <c r="H137" t="str" cm="1">
        <f t="array" aca="1" ref="H137" ca="1">INDEX(rua_cod!$A:$A,Users!V137) &amp; "-" &amp; TEXT(RANDBETWEEN(0,999),"000")</f>
        <v>2790-819</v>
      </c>
      <c r="I137" t="str" cm="1">
        <f t="array" aca="1" ref="I137" ca="1">INDEX(rua_cod!$B:$B,Users!V137)</f>
        <v>Carnaxide</v>
      </c>
      <c r="J137" t="s">
        <v>3727</v>
      </c>
      <c r="K137" t="s">
        <v>225</v>
      </c>
      <c r="L137" t="s">
        <v>265</v>
      </c>
      <c r="M137" t="str">
        <f t="shared" ca="1" si="21"/>
        <v>90516587</v>
      </c>
      <c r="N137" t="str">
        <f t="shared" ca="1" si="22"/>
        <v>132251775</v>
      </c>
      <c r="O137" t="str">
        <f t="shared" ca="1" si="22"/>
        <v>416152270</v>
      </c>
      <c r="P137" t="str" cm="1">
        <f t="array" aca="1" ref="P137" ca="1">9 &amp; INDEX($AF$3:$AF$6,W137)&amp; TEXT(RANDBETWEEN(0,9999999),"0000000")</f>
        <v>929799345</v>
      </c>
      <c r="Q137" t="str" cm="1">
        <f t="array" aca="1" ref="Q137" ca="1">LOWER(B137) &amp; INDEX($AF$9:$AF$11,X137)</f>
        <v>saride2790@sapo.pt</v>
      </c>
      <c r="R137" t="str">
        <f t="shared" ca="1" si="23"/>
        <v>saride2790.jpg</v>
      </c>
      <c r="T137" s="4"/>
      <c r="V137">
        <f ca="1">RANDBETWEEN(2,COUNTA(rua_cod!A:A))</f>
        <v>22</v>
      </c>
      <c r="W137">
        <f t="shared" ca="1" si="24"/>
        <v>2</v>
      </c>
      <c r="X137">
        <f t="shared" ca="1" si="25"/>
        <v>3</v>
      </c>
      <c r="Y137">
        <f t="shared" ca="1" si="26"/>
        <v>2024</v>
      </c>
      <c r="Z137">
        <f t="shared" ca="1" si="27"/>
        <v>6</v>
      </c>
      <c r="AA137">
        <f t="shared" ca="1" si="28"/>
        <v>21</v>
      </c>
      <c r="AB137">
        <f t="shared" ca="1" si="29"/>
        <v>-4</v>
      </c>
    </row>
    <row r="138" spans="1:28" x14ac:dyDescent="0.25">
      <c r="A138">
        <v>137</v>
      </c>
      <c r="B138" t="str" cm="1">
        <f t="array" aca="1" ref="B138" ca="1">replaceChar(LOWER(LEFT(D138,3)&amp;RIGHT(I138,3))&amp;LEFT(H138,4))</f>
        <v>bruijo2870</v>
      </c>
      <c r="C138" t="str">
        <f t="shared" ca="1" si="20"/>
        <v>pswbruijo2870</v>
      </c>
      <c r="D138" t="str">
        <f ca="1">Nomes!T139</f>
        <v>Bruno Pedro Leal Fonseca</v>
      </c>
      <c r="E138" t="str">
        <f ca="1">Nomes!S139</f>
        <v>Masculino</v>
      </c>
      <c r="F138" s="2">
        <v>14392</v>
      </c>
      <c r="G138" t="str" cm="1">
        <f t="array" aca="1" ref="G138" ca="1">INDEX(rua_cod!$F:$F,RANDBETWEEN(2,COUNTA(rua_cod!F:F)))</f>
        <v>Rua Nova do Almada</v>
      </c>
      <c r="H138" t="str" cm="1">
        <f t="array" aca="1" ref="H138" ca="1">INDEX(rua_cod!$A:$A,Users!V138) &amp; "-" &amp; TEXT(RANDBETWEEN(0,999),"000")</f>
        <v>2870-023</v>
      </c>
      <c r="I138" t="str" cm="1">
        <f t="array" aca="1" ref="I138" ca="1">INDEX(rua_cod!$B:$B,Users!V138)</f>
        <v>Montijo</v>
      </c>
      <c r="J138" t="s">
        <v>3727</v>
      </c>
      <c r="K138" t="s">
        <v>225</v>
      </c>
      <c r="L138" t="s">
        <v>265</v>
      </c>
      <c r="M138" t="str">
        <f t="shared" ca="1" si="21"/>
        <v>37558489</v>
      </c>
      <c r="N138" t="str">
        <f t="shared" ca="1" si="22"/>
        <v>866572253</v>
      </c>
      <c r="O138" t="str">
        <f t="shared" ca="1" si="22"/>
        <v>377001717</v>
      </c>
      <c r="P138" t="str" cm="1">
        <f t="array" aca="1" ref="P138" ca="1">9 &amp; INDEX($AF$3:$AF$6,W138)&amp; TEXT(RANDBETWEEN(0,9999999),"0000000")</f>
        <v>967908839</v>
      </c>
      <c r="Q138" t="str" cm="1">
        <f t="array" aca="1" ref="Q138" ca="1">LOWER(B138) &amp; INDEX($AF$9:$AF$11,X138)</f>
        <v>bruijo2870@gmail.com</v>
      </c>
      <c r="R138" t="str">
        <f t="shared" ca="1" si="23"/>
        <v>bruijo2870.jpg</v>
      </c>
      <c r="T138" s="4"/>
      <c r="V138">
        <f ca="1">RANDBETWEEN(2,COUNTA(rua_cod!A:A))</f>
        <v>87</v>
      </c>
      <c r="W138">
        <f t="shared" ca="1" si="24"/>
        <v>4</v>
      </c>
      <c r="X138">
        <f t="shared" ca="1" si="25"/>
        <v>2</v>
      </c>
      <c r="Y138">
        <f t="shared" ca="1" si="26"/>
        <v>1949</v>
      </c>
      <c r="Z138">
        <f t="shared" ca="1" si="27"/>
        <v>12</v>
      </c>
      <c r="AA138">
        <f t="shared" ca="1" si="28"/>
        <v>6</v>
      </c>
      <c r="AB138">
        <f t="shared" ca="1" si="29"/>
        <v>71</v>
      </c>
    </row>
    <row r="139" spans="1:28" x14ac:dyDescent="0.25">
      <c r="A139">
        <v>138</v>
      </c>
      <c r="B139" t="str" cm="1">
        <f t="array" aca="1" ref="B139" ca="1">replaceChar(LOWER(LEFT(D139,3)&amp;RIGHT(I139,3))&amp;LEFT(H139,4))</f>
        <v>migais2750</v>
      </c>
      <c r="C139" t="str">
        <f t="shared" ca="1" si="20"/>
        <v>pswmigais2750</v>
      </c>
      <c r="D139" t="str">
        <f ca="1">Nomes!T140</f>
        <v>Miguel Luís Sousa Mendes</v>
      </c>
      <c r="E139" t="str">
        <f ca="1">Nomes!S140</f>
        <v>Masculino</v>
      </c>
      <c r="F139" s="2">
        <v>17070</v>
      </c>
      <c r="G139" t="str" cm="1">
        <f t="array" aca="1" ref="G139" ca="1">INDEX(rua_cod!$F:$F,RANDBETWEEN(2,COUNTA(rua_cod!F:F)))</f>
        <v>Rua dos Heróis de Quionga</v>
      </c>
      <c r="H139" t="str" cm="1">
        <f t="array" aca="1" ref="H139" ca="1">INDEX(rua_cod!$A:$A,Users!V139) &amp; "-" &amp; TEXT(RANDBETWEEN(0,999),"000")</f>
        <v>2750-845</v>
      </c>
      <c r="I139" t="str" cm="1">
        <f t="array" aca="1" ref="I139" ca="1">INDEX(rua_cod!$B:$B,Users!V139)</f>
        <v>Cascais</v>
      </c>
      <c r="J139" t="s">
        <v>3727</v>
      </c>
      <c r="K139" t="s">
        <v>225</v>
      </c>
      <c r="L139" t="s">
        <v>265</v>
      </c>
      <c r="M139" t="str">
        <f t="shared" ca="1" si="21"/>
        <v>39196322</v>
      </c>
      <c r="N139" t="str">
        <f t="shared" ca="1" si="22"/>
        <v>999178465</v>
      </c>
      <c r="O139" t="str">
        <f t="shared" ca="1" si="22"/>
        <v>662572325</v>
      </c>
      <c r="P139" t="str" cm="1">
        <f t="array" aca="1" ref="P139" ca="1">9 &amp; INDEX($AF$3:$AF$6,W139)&amp; TEXT(RANDBETWEEN(0,9999999),"0000000")</f>
        <v>919992078</v>
      </c>
      <c r="Q139" t="str" cm="1">
        <f t="array" aca="1" ref="Q139" ca="1">LOWER(B139) &amp; INDEX($AF$9:$AF$11,X139)</f>
        <v>migais2750@sapo.pt</v>
      </c>
      <c r="R139" t="str">
        <f t="shared" ca="1" si="23"/>
        <v>migais2750.jpg</v>
      </c>
      <c r="T139" s="4"/>
      <c r="V139">
        <f ca="1">RANDBETWEEN(2,COUNTA(rua_cod!A:A))</f>
        <v>24</v>
      </c>
      <c r="W139">
        <f t="shared" ca="1" si="24"/>
        <v>1</v>
      </c>
      <c r="X139">
        <f t="shared" ca="1" si="25"/>
        <v>3</v>
      </c>
      <c r="Y139">
        <f t="shared" ca="1" si="26"/>
        <v>1972</v>
      </c>
      <c r="Z139">
        <f t="shared" ca="1" si="27"/>
        <v>4</v>
      </c>
      <c r="AA139">
        <f t="shared" ca="1" si="28"/>
        <v>3</v>
      </c>
      <c r="AB139">
        <f t="shared" ca="1" si="29"/>
        <v>48</v>
      </c>
    </row>
    <row r="140" spans="1:28" x14ac:dyDescent="0.25">
      <c r="A140">
        <v>139</v>
      </c>
      <c r="B140" t="str" cm="1">
        <f t="array" aca="1" ref="B140" ca="1">replaceChar(LOWER(LEFT(D140,3)&amp;RIGHT(I140,3))&amp;LEFT(H140,4))</f>
        <v>tomora2650</v>
      </c>
      <c r="C140" t="str">
        <f t="shared" ca="1" si="20"/>
        <v>pswtomora2650</v>
      </c>
      <c r="D140" t="str">
        <f ca="1">Nomes!T141</f>
        <v>Tomás Diana Ramos Faria</v>
      </c>
      <c r="E140" t="str">
        <f ca="1">Nomes!S141</f>
        <v>Masculino</v>
      </c>
      <c r="F140" s="2">
        <v>18282</v>
      </c>
      <c r="G140" t="str" cm="1">
        <f t="array" aca="1" ref="G140" ca="1">INDEX(rua_cod!$F:$F,RANDBETWEEN(2,COUNTA(rua_cod!F:F)))</f>
        <v>Rua Cidade de Bolama</v>
      </c>
      <c r="H140" t="str" cm="1">
        <f t="array" aca="1" ref="H140" ca="1">INDEX(rua_cod!$A:$A,Users!V140) &amp; "-" &amp; TEXT(RANDBETWEEN(0,999),"000")</f>
        <v>2650-088</v>
      </c>
      <c r="I140" t="str" cm="1">
        <f t="array" aca="1" ref="I140" ca="1">INDEX(rua_cod!$B:$B,Users!V140)</f>
        <v>Amadora</v>
      </c>
      <c r="J140" t="s">
        <v>3727</v>
      </c>
      <c r="K140" t="s">
        <v>225</v>
      </c>
      <c r="L140" t="s">
        <v>265</v>
      </c>
      <c r="M140" t="str">
        <f t="shared" ca="1" si="21"/>
        <v>13357142</v>
      </c>
      <c r="N140" t="str">
        <f t="shared" ca="1" si="22"/>
        <v>569489187</v>
      </c>
      <c r="O140" t="str">
        <f t="shared" ca="1" si="22"/>
        <v>460888915</v>
      </c>
      <c r="P140" t="str" cm="1">
        <f t="array" aca="1" ref="P140" ca="1">9 &amp; INDEX($AF$3:$AF$6,W140)&amp; TEXT(RANDBETWEEN(0,9999999),"0000000")</f>
        <v>962935241</v>
      </c>
      <c r="Q140" t="str" cm="1">
        <f t="array" aca="1" ref="Q140" ca="1">LOWER(B140) &amp; INDEX($AF$9:$AF$11,X140)</f>
        <v>tomora2650@gmail.com</v>
      </c>
      <c r="R140" t="str">
        <f t="shared" ca="1" si="23"/>
        <v>tomora2650.jpg</v>
      </c>
      <c r="T140" s="4"/>
      <c r="V140">
        <f ca="1">RANDBETWEEN(2,COUNTA(rua_cod!A:A))</f>
        <v>9</v>
      </c>
      <c r="W140">
        <f t="shared" ca="1" si="24"/>
        <v>4</v>
      </c>
      <c r="X140">
        <f t="shared" ca="1" si="25"/>
        <v>2</v>
      </c>
      <c r="Y140">
        <f t="shared" ca="1" si="26"/>
        <v>1962</v>
      </c>
      <c r="Z140">
        <f t="shared" ca="1" si="27"/>
        <v>3</v>
      </c>
      <c r="AA140">
        <f t="shared" ca="1" si="28"/>
        <v>10</v>
      </c>
      <c r="AB140">
        <f t="shared" ca="1" si="29"/>
        <v>58</v>
      </c>
    </row>
    <row r="141" spans="1:28" x14ac:dyDescent="0.25">
      <c r="A141">
        <v>140</v>
      </c>
      <c r="B141" t="str" cm="1">
        <f t="array" aca="1" ref="B141" ca="1">replaceChar(LOWER(LEFT(D141,3)&amp;RIGHT(I141,3))&amp;LEFT(H141,4))</f>
        <v>sarboa1170</v>
      </c>
      <c r="C141" t="str">
        <f t="shared" ca="1" si="20"/>
        <v>pswsarboa1170</v>
      </c>
      <c r="D141" t="str">
        <f ca="1">Nomes!T142</f>
        <v>Sara André Campos Cruz</v>
      </c>
      <c r="E141" t="str">
        <f ca="1">Nomes!S142</f>
        <v>Feminino</v>
      </c>
      <c r="F141" s="2">
        <v>9562</v>
      </c>
      <c r="G141" t="str" cm="1">
        <f t="array" aca="1" ref="G141" ca="1">INDEX(rua_cod!$F:$F,RANDBETWEEN(2,COUNTA(rua_cod!F:F)))</f>
        <v>Rua de São Mamede</v>
      </c>
      <c r="H141" t="str" cm="1">
        <f t="array" aca="1" ref="H141" ca="1">INDEX(rua_cod!$A:$A,Users!V141) &amp; "-" &amp; TEXT(RANDBETWEEN(0,999),"000")</f>
        <v>1170-939</v>
      </c>
      <c r="I141" t="str" cm="1">
        <f t="array" aca="1" ref="I141" ca="1">INDEX(rua_cod!$B:$B,Users!V141)</f>
        <v>Lisboa</v>
      </c>
      <c r="J141" t="s">
        <v>3727</v>
      </c>
      <c r="K141" t="s">
        <v>225</v>
      </c>
      <c r="L141" t="s">
        <v>265</v>
      </c>
      <c r="M141" t="str">
        <f t="shared" ca="1" si="21"/>
        <v>44616003</v>
      </c>
      <c r="N141" t="str">
        <f t="shared" ca="1" si="22"/>
        <v>928259892</v>
      </c>
      <c r="O141" t="str">
        <f t="shared" ca="1" si="22"/>
        <v>235408053</v>
      </c>
      <c r="P141" t="str" cm="1">
        <f t="array" aca="1" ref="P141" ca="1">9 &amp; INDEX($AF$3:$AF$6,W141)&amp; TEXT(RANDBETWEEN(0,9999999),"0000000")</f>
        <v>930552935</v>
      </c>
      <c r="Q141" t="str" cm="1">
        <f t="array" aca="1" ref="Q141" ca="1">LOWER(B141) &amp; INDEX($AF$9:$AF$11,X141)</f>
        <v>sarboa1170@sapo.pt</v>
      </c>
      <c r="R141" t="str">
        <f t="shared" ca="1" si="23"/>
        <v>sarboa1170.jpg</v>
      </c>
      <c r="T141" s="4"/>
      <c r="V141">
        <f ca="1">RANDBETWEEN(2,COUNTA(rua_cod!A:A))</f>
        <v>47</v>
      </c>
      <c r="W141">
        <f t="shared" ca="1" si="24"/>
        <v>3</v>
      </c>
      <c r="X141">
        <f t="shared" ca="1" si="25"/>
        <v>3</v>
      </c>
      <c r="Y141">
        <f t="shared" ca="1" si="26"/>
        <v>1971</v>
      </c>
      <c r="Z141">
        <f t="shared" ca="1" si="27"/>
        <v>8</v>
      </c>
      <c r="AA141">
        <f t="shared" ca="1" si="28"/>
        <v>10</v>
      </c>
      <c r="AB141">
        <f t="shared" ca="1" si="29"/>
        <v>49</v>
      </c>
    </row>
    <row r="142" spans="1:28" x14ac:dyDescent="0.25">
      <c r="A142">
        <v>141</v>
      </c>
      <c r="B142" t="str" cm="1">
        <f t="array" aca="1" ref="B142" ca="1">replaceChar(LOWER(LEFT(D142,3)&amp;RIGHT(I142,3))&amp;LEFT(H142,4))</f>
        <v>marboa1959</v>
      </c>
      <c r="C142" t="str">
        <f t="shared" ca="1" si="20"/>
        <v>pswmarboa1959</v>
      </c>
      <c r="D142" t="str">
        <f ca="1">Nomes!T143</f>
        <v>Mariana Martim Simões Pinheiro</v>
      </c>
      <c r="E142" t="str">
        <f ca="1">Nomes!S143</f>
        <v>Feminino</v>
      </c>
      <c r="F142" s="2">
        <v>10733</v>
      </c>
      <c r="G142" t="str" cm="1">
        <f t="array" aca="1" ref="G142" ca="1">INDEX(rua_cod!$F:$F,RANDBETWEEN(2,COUNTA(rua_cod!F:F)))</f>
        <v>Rua Garrett</v>
      </c>
      <c r="H142" t="str" cm="1">
        <f t="array" aca="1" ref="H142" ca="1">INDEX(rua_cod!$A:$A,Users!V142) &amp; "-" &amp; TEXT(RANDBETWEEN(0,999),"000")</f>
        <v>1959-104</v>
      </c>
      <c r="I142" t="str" cm="1">
        <f t="array" aca="1" ref="I142" ca="1">INDEX(rua_cod!$B:$B,Users!V142)</f>
        <v>Lisboa</v>
      </c>
      <c r="J142" t="s">
        <v>3727</v>
      </c>
      <c r="K142" t="s">
        <v>225</v>
      </c>
      <c r="L142" t="s">
        <v>265</v>
      </c>
      <c r="M142" t="str">
        <f t="shared" ca="1" si="21"/>
        <v>63808785</v>
      </c>
      <c r="N142" t="str">
        <f t="shared" ca="1" si="22"/>
        <v>431830152</v>
      </c>
      <c r="O142" t="str">
        <f t="shared" ca="1" si="22"/>
        <v>292792979</v>
      </c>
      <c r="P142" t="str" cm="1">
        <f t="array" aca="1" ref="P142" ca="1">9 &amp; INDEX($AF$3:$AF$6,W142)&amp; TEXT(RANDBETWEEN(0,9999999),"0000000")</f>
        <v>924248601</v>
      </c>
      <c r="Q142" t="str" cm="1">
        <f t="array" aca="1" ref="Q142" ca="1">LOWER(B142) &amp; INDEX($AF$9:$AF$11,X142)</f>
        <v>marboa1959@gmail.com</v>
      </c>
      <c r="R142" t="str">
        <f t="shared" ca="1" si="23"/>
        <v>marboa1959.jpg</v>
      </c>
      <c r="T142" s="4"/>
      <c r="V142">
        <f ca="1">RANDBETWEEN(2,COUNTA(rua_cod!A:A))</f>
        <v>72</v>
      </c>
      <c r="W142">
        <f t="shared" ca="1" si="24"/>
        <v>2</v>
      </c>
      <c r="X142">
        <f t="shared" ca="1" si="25"/>
        <v>2</v>
      </c>
      <c r="Y142">
        <f t="shared" ca="1" si="26"/>
        <v>1979</v>
      </c>
      <c r="Z142">
        <f t="shared" ca="1" si="27"/>
        <v>3</v>
      </c>
      <c r="AA142">
        <f t="shared" ca="1" si="28"/>
        <v>5</v>
      </c>
      <c r="AB142">
        <f t="shared" ca="1" si="29"/>
        <v>41</v>
      </c>
    </row>
    <row r="143" spans="1:28" x14ac:dyDescent="0.25">
      <c r="A143">
        <v>142</v>
      </c>
      <c r="B143" t="str" cm="1">
        <f t="array" aca="1" ref="B143" ca="1">replaceChar(LOWER(LEFT(D143,3)&amp;RIGHT(I143,3))&amp;LEFT(H143,4))</f>
        <v>joaras2784</v>
      </c>
      <c r="C143" t="str">
        <f t="shared" ca="1" si="20"/>
        <v>pswjoaras2784</v>
      </c>
      <c r="D143" t="str">
        <f ca="1">Nomes!T144</f>
        <v>Joana Diana Morais Vaz</v>
      </c>
      <c r="E143" t="str">
        <f ca="1">Nomes!S144</f>
        <v>Feminino</v>
      </c>
      <c r="F143" s="2">
        <v>43003</v>
      </c>
      <c r="G143" t="str" cm="1">
        <f t="array" aca="1" ref="G143" ca="1">INDEX(rua_cod!$F:$F,RANDBETWEEN(2,COUNTA(rua_cod!F:F)))</f>
        <v>Rua do Sacramento à Lapa</v>
      </c>
      <c r="H143" t="str" cm="1">
        <f t="array" aca="1" ref="H143" ca="1">INDEX(rua_cod!$A:$A,Users!V143) &amp; "-" &amp; TEXT(RANDBETWEEN(0,999),"000")</f>
        <v>2784-133</v>
      </c>
      <c r="I143" t="str" cm="1">
        <f t="array" aca="1" ref="I143" ca="1">INDEX(rua_cod!$B:$B,Users!V143)</f>
        <v>Oeiras</v>
      </c>
      <c r="J143" t="s">
        <v>3727</v>
      </c>
      <c r="K143" t="s">
        <v>225</v>
      </c>
      <c r="L143" t="s">
        <v>265</v>
      </c>
      <c r="M143" t="str">
        <f t="shared" ca="1" si="21"/>
        <v>45531437</v>
      </c>
      <c r="N143" t="str">
        <f t="shared" ca="1" si="22"/>
        <v>501675703</v>
      </c>
      <c r="O143" t="str">
        <f t="shared" ca="1" si="22"/>
        <v>865132308</v>
      </c>
      <c r="P143" t="str" cm="1">
        <f t="array" aca="1" ref="P143" ca="1">9 &amp; INDEX($AF$3:$AF$6,W143)&amp; TEXT(RANDBETWEEN(0,9999999),"0000000")</f>
        <v>969599253</v>
      </c>
      <c r="Q143" t="str" cm="1">
        <f t="array" aca="1" ref="Q143" ca="1">LOWER(B143) &amp; INDEX($AF$9:$AF$11,X143)</f>
        <v>joaras2784@sapo.pt</v>
      </c>
      <c r="R143" t="str">
        <f t="shared" ca="1" si="23"/>
        <v>joaras2784.jpg</v>
      </c>
      <c r="T143" s="4"/>
      <c r="V143">
        <f ca="1">RANDBETWEEN(2,COUNTA(rua_cod!A:A))</f>
        <v>89</v>
      </c>
      <c r="W143">
        <f t="shared" ca="1" si="24"/>
        <v>4</v>
      </c>
      <c r="X143">
        <f t="shared" ca="1" si="25"/>
        <v>3</v>
      </c>
      <c r="Y143">
        <f t="shared" ca="1" si="26"/>
        <v>1983</v>
      </c>
      <c r="Z143">
        <f t="shared" ca="1" si="27"/>
        <v>8</v>
      </c>
      <c r="AA143">
        <f t="shared" ca="1" si="28"/>
        <v>3</v>
      </c>
      <c r="AB143">
        <f t="shared" ca="1" si="29"/>
        <v>37</v>
      </c>
    </row>
    <row r="144" spans="1:28" x14ac:dyDescent="0.25">
      <c r="A144">
        <v>143</v>
      </c>
      <c r="B144" t="str" cm="1">
        <f t="array" aca="1" ref="B144" ca="1">replaceChar(LOWER(LEFT(D144,3)&amp;RIGHT(I144,3))&amp;LEFT(H144,4))</f>
        <v>lauora2720</v>
      </c>
      <c r="C144" t="str">
        <f t="shared" ca="1" si="20"/>
        <v>pswlauora2720</v>
      </c>
      <c r="D144" t="str">
        <f ca="1">Nomes!T145</f>
        <v>Laura Maria Guerreiro Martins</v>
      </c>
      <c r="E144" t="str">
        <f ca="1">Nomes!S145</f>
        <v>Feminino</v>
      </c>
      <c r="F144" s="2">
        <v>29468</v>
      </c>
      <c r="G144" t="str" cm="1">
        <f t="array" aca="1" ref="G144" ca="1">INDEX(rua_cod!$F:$F,RANDBETWEEN(2,COUNTA(rua_cod!F:F)))</f>
        <v>Rua da Madalena</v>
      </c>
      <c r="H144" t="str" cm="1">
        <f t="array" aca="1" ref="H144" ca="1">INDEX(rua_cod!$A:$A,Users!V144) &amp; "-" &amp; TEXT(RANDBETWEEN(0,999),"000")</f>
        <v>2720-535</v>
      </c>
      <c r="I144" t="str" cm="1">
        <f t="array" aca="1" ref="I144" ca="1">INDEX(rua_cod!$B:$B,Users!V144)</f>
        <v>Amadora</v>
      </c>
      <c r="J144" t="s">
        <v>3727</v>
      </c>
      <c r="K144" t="s">
        <v>225</v>
      </c>
      <c r="L144" t="s">
        <v>265</v>
      </c>
      <c r="M144" t="str">
        <f t="shared" ca="1" si="21"/>
        <v>88895507</v>
      </c>
      <c r="N144" t="str">
        <f t="shared" ca="1" si="22"/>
        <v>209523059</v>
      </c>
      <c r="O144" t="str">
        <f t="shared" ca="1" si="22"/>
        <v>909265725</v>
      </c>
      <c r="P144" t="str" cm="1">
        <f t="array" aca="1" ref="P144" ca="1">9 &amp; INDEX($AF$3:$AF$6,W144)&amp; TEXT(RANDBETWEEN(0,9999999),"0000000")</f>
        <v>912560375</v>
      </c>
      <c r="Q144" t="str" cm="1">
        <f t="array" aca="1" ref="Q144" ca="1">LOWER(B144) &amp; INDEX($AF$9:$AF$11,X144)</f>
        <v>lauora2720@gmail.com</v>
      </c>
      <c r="R144" t="str">
        <f t="shared" ca="1" si="23"/>
        <v>lauora2720.jpg</v>
      </c>
      <c r="T144" s="4"/>
      <c r="V144">
        <f ca="1">RANDBETWEEN(2,COUNTA(rua_cod!A:A))</f>
        <v>8</v>
      </c>
      <c r="W144">
        <f t="shared" ca="1" si="24"/>
        <v>1</v>
      </c>
      <c r="X144">
        <f t="shared" ca="1" si="25"/>
        <v>2</v>
      </c>
      <c r="Y144">
        <f t="shared" ca="1" si="26"/>
        <v>1985</v>
      </c>
      <c r="Z144">
        <f t="shared" ca="1" si="27"/>
        <v>7</v>
      </c>
      <c r="AA144">
        <f t="shared" ca="1" si="28"/>
        <v>16</v>
      </c>
      <c r="AB144">
        <f t="shared" ca="1" si="29"/>
        <v>35</v>
      </c>
    </row>
    <row r="145" spans="1:28" x14ac:dyDescent="0.25">
      <c r="A145">
        <v>144</v>
      </c>
      <c r="B145" t="str" cm="1">
        <f t="array" aca="1" ref="B145" ca="1">replaceChar(LOWER(LEFT(D145,3)&amp;RIGHT(I145,3))&amp;LEFT(H145,4))</f>
        <v>leoboa1748</v>
      </c>
      <c r="C145" t="str">
        <f t="shared" ca="1" si="20"/>
        <v>pswleoboa1748</v>
      </c>
      <c r="D145" t="str">
        <f ca="1">Nomes!T146</f>
        <v>Leonor Miguel Pacheco Oliveira</v>
      </c>
      <c r="E145" t="str">
        <f ca="1">Nomes!S146</f>
        <v>Feminino</v>
      </c>
      <c r="F145" s="2">
        <v>26648</v>
      </c>
      <c r="G145" t="str" cm="1">
        <f t="array" aca="1" ref="G145" ca="1">INDEX(rua_cod!$F:$F,RANDBETWEEN(2,COUNTA(rua_cod!F:F)))</f>
        <v>Rua de São Julião</v>
      </c>
      <c r="H145" t="str" cm="1">
        <f t="array" aca="1" ref="H145" ca="1">INDEX(rua_cod!$A:$A,Users!V145) &amp; "-" &amp; TEXT(RANDBETWEEN(0,999),"000")</f>
        <v>1748-372</v>
      </c>
      <c r="I145" t="str" cm="1">
        <f t="array" aca="1" ref="I145" ca="1">INDEX(rua_cod!$B:$B,Users!V145)</f>
        <v>Lisboa</v>
      </c>
      <c r="J145" t="s">
        <v>3727</v>
      </c>
      <c r="K145" t="s">
        <v>225</v>
      </c>
      <c r="L145" t="s">
        <v>265</v>
      </c>
      <c r="M145" t="str">
        <f t="shared" ca="1" si="21"/>
        <v>35881722</v>
      </c>
      <c r="N145" t="str">
        <f t="shared" ca="1" si="22"/>
        <v>657093125</v>
      </c>
      <c r="O145" t="str">
        <f t="shared" ca="1" si="22"/>
        <v>447995264</v>
      </c>
      <c r="P145" t="str" cm="1">
        <f t="array" aca="1" ref="P145" ca="1">9 &amp; INDEX($AF$3:$AF$6,W145)&amp; TEXT(RANDBETWEEN(0,9999999),"0000000")</f>
        <v>961222704</v>
      </c>
      <c r="Q145" t="str" cm="1">
        <f t="array" aca="1" ref="Q145" ca="1">LOWER(B145) &amp; INDEX($AF$9:$AF$11,X145)</f>
        <v>leoboa1748@outlook.com</v>
      </c>
      <c r="R145" t="str">
        <f t="shared" ca="1" si="23"/>
        <v>leoboa1748.jpg</v>
      </c>
      <c r="T145" s="4"/>
      <c r="V145">
        <f ca="1">RANDBETWEEN(2,COUNTA(rua_cod!A:A))</f>
        <v>77</v>
      </c>
      <c r="W145">
        <f t="shared" ca="1" si="24"/>
        <v>4</v>
      </c>
      <c r="X145">
        <f t="shared" ca="1" si="25"/>
        <v>1</v>
      </c>
      <c r="Y145">
        <f t="shared" ca="1" si="26"/>
        <v>2019</v>
      </c>
      <c r="Z145">
        <f t="shared" ca="1" si="27"/>
        <v>9</v>
      </c>
      <c r="AA145">
        <f t="shared" ca="1" si="28"/>
        <v>13</v>
      </c>
      <c r="AB145">
        <f t="shared" ca="1" si="29"/>
        <v>1</v>
      </c>
    </row>
    <row r="146" spans="1:28" x14ac:dyDescent="0.25">
      <c r="A146">
        <v>145</v>
      </c>
      <c r="B146" t="str" cm="1">
        <f t="array" aca="1" ref="B146" ca="1">replaceChar(LOWER(LEFT(D146,3)&amp;RIGHT(I146,3))&amp;LEFT(H146,4))</f>
        <v>luiboa1070</v>
      </c>
      <c r="C146" t="str">
        <f t="shared" ca="1" si="20"/>
        <v>pswluiboa1070</v>
      </c>
      <c r="D146" t="str">
        <f ca="1">Nomes!T147</f>
        <v>Luís Ana Antunes Morais</v>
      </c>
      <c r="E146" t="str">
        <f ca="1">Nomes!S147</f>
        <v>Masculino</v>
      </c>
      <c r="F146" s="2">
        <v>12366</v>
      </c>
      <c r="G146" t="str" cm="1">
        <f t="array" aca="1" ref="G146" ca="1">INDEX(rua_cod!$F:$F,RANDBETWEEN(2,COUNTA(rua_cod!F:F)))</f>
        <v>Rua da Junqueira</v>
      </c>
      <c r="H146" t="str" cm="1">
        <f t="array" aca="1" ref="H146" ca="1">INDEX(rua_cod!$A:$A,Users!V146) &amp; "-" &amp; TEXT(RANDBETWEEN(0,999),"000")</f>
        <v>1070-458</v>
      </c>
      <c r="I146" t="str" cm="1">
        <f t="array" aca="1" ref="I146" ca="1">INDEX(rua_cod!$B:$B,Users!V146)</f>
        <v>Lisboa</v>
      </c>
      <c r="J146" t="s">
        <v>3727</v>
      </c>
      <c r="K146" t="s">
        <v>225</v>
      </c>
      <c r="L146" t="s">
        <v>265</v>
      </c>
      <c r="M146" t="str">
        <f t="shared" ca="1" si="21"/>
        <v>19450472</v>
      </c>
      <c r="N146" t="str">
        <f t="shared" ca="1" si="22"/>
        <v>551029289</v>
      </c>
      <c r="O146" t="str">
        <f t="shared" ca="1" si="22"/>
        <v>409747374</v>
      </c>
      <c r="P146" t="str" cm="1">
        <f t="array" aca="1" ref="P146" ca="1">9 &amp; INDEX($AF$3:$AF$6,W146)&amp; TEXT(RANDBETWEEN(0,9999999),"0000000")</f>
        <v>937846919</v>
      </c>
      <c r="Q146" t="str" cm="1">
        <f t="array" aca="1" ref="Q146" ca="1">LOWER(B146) &amp; INDEX($AF$9:$AF$11,X146)</f>
        <v>luiboa1070@outlook.com</v>
      </c>
      <c r="R146" t="str">
        <f t="shared" ca="1" si="23"/>
        <v>luiboa1070.jpg</v>
      </c>
      <c r="T146" s="4"/>
      <c r="V146">
        <f ca="1">RANDBETWEEN(2,COUNTA(rua_cod!A:A))</f>
        <v>51</v>
      </c>
      <c r="W146">
        <f t="shared" ca="1" si="24"/>
        <v>3</v>
      </c>
      <c r="X146">
        <f t="shared" ca="1" si="25"/>
        <v>1</v>
      </c>
      <c r="Y146">
        <f t="shared" ca="1" si="26"/>
        <v>1980</v>
      </c>
      <c r="Z146">
        <f t="shared" ca="1" si="27"/>
        <v>5</v>
      </c>
      <c r="AA146">
        <f t="shared" ca="1" si="28"/>
        <v>13</v>
      </c>
      <c r="AB146">
        <f t="shared" ca="1" si="29"/>
        <v>40</v>
      </c>
    </row>
    <row r="147" spans="1:28" x14ac:dyDescent="0.25">
      <c r="A147">
        <v>146</v>
      </c>
      <c r="B147" t="str" cm="1">
        <f t="array" aca="1" ref="B147" ca="1">replaceChar(LOWER(LEFT(D147,3)&amp;RIGHT(I147,3))&amp;LEFT(H147,4))</f>
        <v>marora2614</v>
      </c>
      <c r="C147" t="str">
        <f t="shared" ca="1" si="20"/>
        <v>pswmarora2614</v>
      </c>
      <c r="D147" t="str">
        <f ca="1">Nomes!T148</f>
        <v>Maria Francisco Torres Henriques</v>
      </c>
      <c r="E147" t="str">
        <f ca="1">Nomes!S148</f>
        <v>Feminino</v>
      </c>
      <c r="F147" s="2">
        <v>15788</v>
      </c>
      <c r="G147" t="str" cm="1">
        <f t="array" aca="1" ref="G147" ca="1">INDEX(rua_cod!$F:$F,RANDBETWEEN(2,COUNTA(rua_cod!F:F)))</f>
        <v>Calçada Marquês de Abrantes</v>
      </c>
      <c r="H147" t="str" cm="1">
        <f t="array" aca="1" ref="H147" ca="1">INDEX(rua_cod!$A:$A,Users!V147) &amp; "-" &amp; TEXT(RANDBETWEEN(0,999),"000")</f>
        <v>2614-698</v>
      </c>
      <c r="I147" t="str" cm="1">
        <f t="array" aca="1" ref="I147" ca="1">INDEX(rua_cod!$B:$B,Users!V147)</f>
        <v>Amadora</v>
      </c>
      <c r="J147" t="s">
        <v>3727</v>
      </c>
      <c r="K147" t="s">
        <v>225</v>
      </c>
      <c r="L147" t="s">
        <v>265</v>
      </c>
      <c r="M147" t="str">
        <f t="shared" ca="1" si="21"/>
        <v>98918234</v>
      </c>
      <c r="N147" t="str">
        <f t="shared" ca="1" si="22"/>
        <v>406618282</v>
      </c>
      <c r="O147" t="str">
        <f t="shared" ca="1" si="22"/>
        <v>982708340</v>
      </c>
      <c r="P147" t="str" cm="1">
        <f t="array" aca="1" ref="P147" ca="1">9 &amp; INDEX($AF$3:$AF$6,W147)&amp; TEXT(RANDBETWEEN(0,9999999),"0000000")</f>
        <v>933545561</v>
      </c>
      <c r="Q147" t="str" cm="1">
        <f t="array" aca="1" ref="Q147" ca="1">LOWER(B147) &amp; INDEX($AF$9:$AF$11,X147)</f>
        <v>marora2614@sapo.pt</v>
      </c>
      <c r="R147" t="str">
        <f t="shared" ca="1" si="23"/>
        <v>marora2614.jpg</v>
      </c>
      <c r="T147" s="4"/>
      <c r="V147">
        <f ca="1">RANDBETWEEN(2,COUNTA(rua_cod!A:A))</f>
        <v>11</v>
      </c>
      <c r="W147">
        <f t="shared" ca="1" si="24"/>
        <v>3</v>
      </c>
      <c r="X147">
        <f t="shared" ca="1" si="25"/>
        <v>3</v>
      </c>
      <c r="Y147">
        <f t="shared" ca="1" si="26"/>
        <v>1968</v>
      </c>
      <c r="Z147">
        <f t="shared" ca="1" si="27"/>
        <v>4</v>
      </c>
      <c r="AA147">
        <f t="shared" ca="1" si="28"/>
        <v>24</v>
      </c>
      <c r="AB147">
        <f t="shared" ca="1" si="29"/>
        <v>52</v>
      </c>
    </row>
    <row r="148" spans="1:28" x14ac:dyDescent="0.25">
      <c r="A148">
        <v>147</v>
      </c>
      <c r="B148" t="str" cm="1">
        <f t="array" aca="1" ref="B148" ca="1">replaceChar(LOWER(LEFT(D148,3)&amp;RIGHT(I148,3))&amp;LEFT(H148,4))</f>
        <v>marrem2005</v>
      </c>
      <c r="C148" t="str">
        <f t="shared" ca="1" si="20"/>
        <v>pswmarrem2005</v>
      </c>
      <c r="D148" t="str">
        <f ca="1">Nomes!T149</f>
        <v>Marco Catarina Barbosa Miranda</v>
      </c>
      <c r="E148" t="str">
        <f ca="1">Nomes!S149</f>
        <v>Masculino</v>
      </c>
      <c r="F148" s="2">
        <v>37028</v>
      </c>
      <c r="G148" t="str" cm="1">
        <f t="array" aca="1" ref="G148" ca="1">INDEX(rua_cod!$F:$F,RANDBETWEEN(2,COUNTA(rua_cod!F:F)))</f>
        <v>Rua dos Heróis de Quionga</v>
      </c>
      <c r="H148" t="str" cm="1">
        <f t="array" aca="1" ref="H148" ca="1">INDEX(rua_cod!$A:$A,Users!V148) &amp; "-" &amp; TEXT(RANDBETWEEN(0,999),"000")</f>
        <v>2005-041</v>
      </c>
      <c r="I148" t="str" cm="1">
        <f t="array" aca="1" ref="I148" ca="1">INDEX(rua_cod!$B:$B,Users!V148)</f>
        <v>Santarém</v>
      </c>
      <c r="J148" t="s">
        <v>3727</v>
      </c>
      <c r="K148" t="s">
        <v>225</v>
      </c>
      <c r="L148" t="s">
        <v>265</v>
      </c>
      <c r="M148" t="str">
        <f t="shared" ca="1" si="21"/>
        <v>92506825</v>
      </c>
      <c r="N148" t="str">
        <f t="shared" ca="1" si="22"/>
        <v>935009218</v>
      </c>
      <c r="O148" t="str">
        <f t="shared" ca="1" si="22"/>
        <v>313066174</v>
      </c>
      <c r="P148" t="str" cm="1">
        <f t="array" aca="1" ref="P148" ca="1">9 &amp; INDEX($AF$3:$AF$6,W148)&amp; TEXT(RANDBETWEEN(0,9999999),"0000000")</f>
        <v>962823639</v>
      </c>
      <c r="Q148" t="str" cm="1">
        <f t="array" aca="1" ref="Q148" ca="1">LOWER(B148) &amp; INDEX($AF$9:$AF$11,X148)</f>
        <v>marrem2005@sapo.pt</v>
      </c>
      <c r="R148" t="str">
        <f t="shared" ca="1" si="23"/>
        <v>marrem2005.jpg</v>
      </c>
      <c r="T148" s="4"/>
      <c r="V148">
        <f ca="1">RANDBETWEEN(2,COUNTA(rua_cod!A:A))</f>
        <v>92</v>
      </c>
      <c r="W148">
        <f t="shared" ca="1" si="24"/>
        <v>4</v>
      </c>
      <c r="X148">
        <f t="shared" ca="1" si="25"/>
        <v>3</v>
      </c>
      <c r="Y148">
        <f t="shared" ca="1" si="26"/>
        <v>1999</v>
      </c>
      <c r="Z148">
        <f t="shared" ca="1" si="27"/>
        <v>12</v>
      </c>
      <c r="AA148">
        <f t="shared" ca="1" si="28"/>
        <v>6</v>
      </c>
      <c r="AB148">
        <f t="shared" ca="1" si="29"/>
        <v>21</v>
      </c>
    </row>
    <row r="149" spans="1:28" x14ac:dyDescent="0.25">
      <c r="A149">
        <v>148</v>
      </c>
      <c r="B149" t="str" cm="1">
        <f t="array" aca="1" ref="B149" ca="1">replaceChar(LOWER(LEFT(D149,3)&amp;RIGHT(I149,3))&amp;LEFT(H149,4))</f>
        <v>laures2674</v>
      </c>
      <c r="C149" t="str">
        <f t="shared" ca="1" si="20"/>
        <v>pswlaures2674</v>
      </c>
      <c r="D149" t="str">
        <f ca="1">Nomes!T150</f>
        <v>Laura Afonso Pereira Matias</v>
      </c>
      <c r="E149" t="str">
        <f ca="1">Nomes!S150</f>
        <v>Feminino</v>
      </c>
      <c r="F149" s="2">
        <v>36735</v>
      </c>
      <c r="G149" t="str" cm="1">
        <f t="array" aca="1" ref="G149" ca="1">INDEX(rua_cod!$F:$F,RANDBETWEEN(2,COUNTA(rua_cod!F:F)))</f>
        <v>Calçada do Poço dos Mouros</v>
      </c>
      <c r="H149" t="str" cm="1">
        <f t="array" aca="1" ref="H149" ca="1">INDEX(rua_cod!$A:$A,Users!V149) &amp; "-" &amp; TEXT(RANDBETWEEN(0,999),"000")</f>
        <v>2674-445</v>
      </c>
      <c r="I149" t="str" cm="1">
        <f t="array" aca="1" ref="I149" ca="1">INDEX(rua_cod!$B:$B,Users!V149)</f>
        <v>Loures</v>
      </c>
      <c r="J149" t="s">
        <v>3727</v>
      </c>
      <c r="K149" t="s">
        <v>225</v>
      </c>
      <c r="L149" t="s">
        <v>265</v>
      </c>
      <c r="M149" t="str">
        <f t="shared" ca="1" si="21"/>
        <v>33811251</v>
      </c>
      <c r="N149" t="str">
        <f t="shared" ca="1" si="22"/>
        <v>800764912</v>
      </c>
      <c r="O149" t="str">
        <f t="shared" ca="1" si="22"/>
        <v>416172356</v>
      </c>
      <c r="P149" t="str" cm="1">
        <f t="array" aca="1" ref="P149" ca="1">9 &amp; INDEX($AF$3:$AF$6,W149)&amp; TEXT(RANDBETWEEN(0,9999999),"0000000")</f>
        <v>967674453</v>
      </c>
      <c r="Q149" t="str" cm="1">
        <f t="array" aca="1" ref="Q149" ca="1">LOWER(B149) &amp; INDEX($AF$9:$AF$11,X149)</f>
        <v>laures2674@outlook.com</v>
      </c>
      <c r="R149" t="str">
        <f t="shared" ca="1" si="23"/>
        <v>laures2674.jpg</v>
      </c>
      <c r="T149" s="4"/>
      <c r="V149">
        <f ca="1">RANDBETWEEN(2,COUNTA(rua_cod!A:A))</f>
        <v>84</v>
      </c>
      <c r="W149">
        <f t="shared" ca="1" si="24"/>
        <v>4</v>
      </c>
      <c r="X149">
        <f t="shared" ca="1" si="25"/>
        <v>1</v>
      </c>
      <c r="Y149">
        <f t="shared" ca="1" si="26"/>
        <v>1949</v>
      </c>
      <c r="Z149">
        <f t="shared" ca="1" si="27"/>
        <v>6</v>
      </c>
      <c r="AA149">
        <f t="shared" ca="1" si="28"/>
        <v>23</v>
      </c>
      <c r="AB149">
        <f t="shared" ca="1" si="29"/>
        <v>71</v>
      </c>
    </row>
    <row r="150" spans="1:28" x14ac:dyDescent="0.25">
      <c r="A150">
        <v>149</v>
      </c>
      <c r="B150" t="str" cm="1">
        <f t="array" aca="1" ref="B150" ca="1">replaceChar(LOWER(LEFT(D150,3)&amp;RIGHT(I150,3))&amp;LEFT(H150,4))</f>
        <v>pedras2784</v>
      </c>
      <c r="C150" t="str">
        <f t="shared" ca="1" si="20"/>
        <v>pswpedras2784</v>
      </c>
      <c r="D150" t="str">
        <f ca="1">Nomes!T151</f>
        <v>Pedro Marco Melo Cunha</v>
      </c>
      <c r="E150" t="str">
        <f ca="1">Nomes!S151</f>
        <v>Masculino</v>
      </c>
      <c r="F150" s="2">
        <v>29002</v>
      </c>
      <c r="G150" t="str" cm="1">
        <f t="array" aca="1" ref="G150" ca="1">INDEX(rua_cod!$F:$F,RANDBETWEEN(2,COUNTA(rua_cod!F:F)))</f>
        <v>Rua de São Mamede</v>
      </c>
      <c r="H150" t="str" cm="1">
        <f t="array" aca="1" ref="H150" ca="1">INDEX(rua_cod!$A:$A,Users!V150) &amp; "-" &amp; TEXT(RANDBETWEEN(0,999),"000")</f>
        <v>2784-608</v>
      </c>
      <c r="I150" t="str" cm="1">
        <f t="array" aca="1" ref="I150" ca="1">INDEX(rua_cod!$B:$B,Users!V150)</f>
        <v>Oeiras</v>
      </c>
      <c r="J150" t="s">
        <v>3727</v>
      </c>
      <c r="K150" t="s">
        <v>225</v>
      </c>
      <c r="L150" t="s">
        <v>265</v>
      </c>
      <c r="M150" t="str">
        <f t="shared" ca="1" si="21"/>
        <v>64877526</v>
      </c>
      <c r="N150" t="str">
        <f t="shared" ca="1" si="22"/>
        <v>398535573</v>
      </c>
      <c r="O150" t="str">
        <f t="shared" ca="1" si="22"/>
        <v>465137079</v>
      </c>
      <c r="P150" t="str" cm="1">
        <f t="array" aca="1" ref="P150" ca="1">9 &amp; INDEX($AF$3:$AF$6,W150)&amp; TEXT(RANDBETWEEN(0,9999999),"0000000")</f>
        <v>966836575</v>
      </c>
      <c r="Q150" t="str" cm="1">
        <f t="array" aca="1" ref="Q150" ca="1">LOWER(B150) &amp; INDEX($AF$9:$AF$11,X150)</f>
        <v>pedras2784@gmail.com</v>
      </c>
      <c r="R150" t="str">
        <f t="shared" ca="1" si="23"/>
        <v>pedras2784.jpg</v>
      </c>
      <c r="T150" s="4"/>
      <c r="V150">
        <f ca="1">RANDBETWEEN(2,COUNTA(rua_cod!A:A))</f>
        <v>89</v>
      </c>
      <c r="W150">
        <f t="shared" ca="1" si="24"/>
        <v>4</v>
      </c>
      <c r="X150">
        <f t="shared" ca="1" si="25"/>
        <v>2</v>
      </c>
      <c r="Y150">
        <f t="shared" ca="1" si="26"/>
        <v>1967</v>
      </c>
      <c r="Z150">
        <f t="shared" ca="1" si="27"/>
        <v>9</v>
      </c>
      <c r="AA150">
        <f t="shared" ca="1" si="28"/>
        <v>11</v>
      </c>
      <c r="AB150">
        <f t="shared" ca="1" si="29"/>
        <v>53</v>
      </c>
    </row>
    <row r="151" spans="1:28" x14ac:dyDescent="0.25">
      <c r="A151">
        <v>150</v>
      </c>
      <c r="B151" t="str" cm="1">
        <f t="array" aca="1" ref="B151" ca="1">replaceChar(LOWER(LEFT(D151,3)&amp;RIGHT(I151,3))&amp;LEFT(H151,4))</f>
        <v>matboa1149</v>
      </c>
      <c r="C151" t="str">
        <f t="shared" ca="1" si="20"/>
        <v>pswmatboa1149</v>
      </c>
      <c r="D151" t="str">
        <f ca="1">Nomes!T152</f>
        <v>Matilde Lurdes Gomes Sousa</v>
      </c>
      <c r="E151" t="str">
        <f ca="1">Nomes!S152</f>
        <v>Feminino</v>
      </c>
      <c r="F151" s="2">
        <v>41285</v>
      </c>
      <c r="G151" t="str" cm="1">
        <f t="array" aca="1" ref="G151" ca="1">INDEX(rua_cod!$F:$F,RANDBETWEEN(2,COUNTA(rua_cod!F:F)))</f>
        <v>Rua da Madalena</v>
      </c>
      <c r="H151" t="str" cm="1">
        <f t="array" aca="1" ref="H151" ca="1">INDEX(rua_cod!$A:$A,Users!V151) &amp; "-" &amp; TEXT(RANDBETWEEN(0,999),"000")</f>
        <v>1149-044</v>
      </c>
      <c r="I151" t="str" cm="1">
        <f t="array" aca="1" ref="I151" ca="1">INDEX(rua_cod!$B:$B,Users!V151)</f>
        <v>Lisboa</v>
      </c>
      <c r="J151" t="s">
        <v>3727</v>
      </c>
      <c r="K151" t="s">
        <v>225</v>
      </c>
      <c r="L151" t="s">
        <v>265</v>
      </c>
      <c r="M151" t="str">
        <f t="shared" ca="1" si="21"/>
        <v>61146902</v>
      </c>
      <c r="N151" t="str">
        <f t="shared" ca="1" si="22"/>
        <v>593540081</v>
      </c>
      <c r="O151" t="str">
        <f t="shared" ca="1" si="22"/>
        <v>797697860</v>
      </c>
      <c r="P151" t="str" cm="1">
        <f t="array" aca="1" ref="P151" ca="1">9 &amp; INDEX($AF$3:$AF$6,W151)&amp; TEXT(RANDBETWEEN(0,9999999),"0000000")</f>
        <v>963956733</v>
      </c>
      <c r="Q151" t="str" cm="1">
        <f t="array" aca="1" ref="Q151" ca="1">LOWER(B151) &amp; INDEX($AF$9:$AF$11,X151)</f>
        <v>matboa1149@sapo.pt</v>
      </c>
      <c r="R151" t="str">
        <f t="shared" ca="1" si="23"/>
        <v>matboa1149.jpg</v>
      </c>
      <c r="T151" s="4"/>
      <c r="V151">
        <f ca="1">RANDBETWEEN(2,COUNTA(rua_cod!A:A))</f>
        <v>59</v>
      </c>
      <c r="W151">
        <f t="shared" ca="1" si="24"/>
        <v>4</v>
      </c>
      <c r="X151">
        <f t="shared" ca="1" si="25"/>
        <v>3</v>
      </c>
      <c r="Y151">
        <f t="shared" ca="1" si="26"/>
        <v>1983</v>
      </c>
      <c r="Z151">
        <f t="shared" ca="1" si="27"/>
        <v>5</v>
      </c>
      <c r="AA151">
        <f t="shared" ca="1" si="28"/>
        <v>18</v>
      </c>
      <c r="AB151">
        <f t="shared" ca="1" si="29"/>
        <v>37</v>
      </c>
    </row>
    <row r="152" spans="1:28" x14ac:dyDescent="0.25">
      <c r="A152">
        <v>151</v>
      </c>
      <c r="B152" t="str" cm="1">
        <f t="array" aca="1" ref="B152" ca="1">replaceChar(LOWER(LEFT(D152,3)&amp;RIGHT(I152,3))&amp;LEFT(H152,4))</f>
        <v>catboa1749</v>
      </c>
      <c r="C152" t="str">
        <f t="shared" ca="1" si="20"/>
        <v>pswcatboa1749</v>
      </c>
      <c r="D152" t="str">
        <f ca="1">Nomes!T153</f>
        <v>Catarina Lurdes Leite Vaz</v>
      </c>
      <c r="E152" t="str">
        <f ca="1">Nomes!S153</f>
        <v>Feminino</v>
      </c>
      <c r="F152" s="2">
        <v>27590</v>
      </c>
      <c r="G152" t="str" cm="1">
        <f t="array" aca="1" ref="G152" ca="1">INDEX(rua_cod!$F:$F,RANDBETWEEN(2,COUNTA(rua_cod!F:F)))</f>
        <v>Rua Júlio César Machado</v>
      </c>
      <c r="H152" t="str" cm="1">
        <f t="array" aca="1" ref="H152" ca="1">INDEX(rua_cod!$A:$A,Users!V152) &amp; "-" &amp; TEXT(RANDBETWEEN(0,999),"000")</f>
        <v>1749-091</v>
      </c>
      <c r="I152" t="str" cm="1">
        <f t="array" aca="1" ref="I152" ca="1">INDEX(rua_cod!$B:$B,Users!V152)</f>
        <v>Lisboa</v>
      </c>
      <c r="J152" t="s">
        <v>3727</v>
      </c>
      <c r="K152" t="s">
        <v>225</v>
      </c>
      <c r="L152" t="s">
        <v>265</v>
      </c>
      <c r="M152" t="str">
        <f t="shared" ca="1" si="21"/>
        <v>36822926</v>
      </c>
      <c r="N152" t="str">
        <f t="shared" ca="1" si="22"/>
        <v>836022225</v>
      </c>
      <c r="O152" t="str">
        <f t="shared" ca="1" si="22"/>
        <v>363776437</v>
      </c>
      <c r="P152" t="str" cm="1">
        <f t="array" aca="1" ref="P152" ca="1">9 &amp; INDEX($AF$3:$AF$6,W152)&amp; TEXT(RANDBETWEEN(0,9999999),"0000000")</f>
        <v>967856255</v>
      </c>
      <c r="Q152" t="str" cm="1">
        <f t="array" aca="1" ref="Q152" ca="1">LOWER(B152) &amp; INDEX($AF$9:$AF$11,X152)</f>
        <v>catboa1749@gmail.com</v>
      </c>
      <c r="R152" t="str">
        <f t="shared" ca="1" si="23"/>
        <v>catboa1749.jpg</v>
      </c>
      <c r="T152" s="4"/>
      <c r="V152">
        <f ca="1">RANDBETWEEN(2,COUNTA(rua_cod!A:A))</f>
        <v>61</v>
      </c>
      <c r="W152">
        <f t="shared" ca="1" si="24"/>
        <v>4</v>
      </c>
      <c r="X152">
        <f t="shared" ca="1" si="25"/>
        <v>2</v>
      </c>
      <c r="Y152">
        <f t="shared" ca="1" si="26"/>
        <v>1954</v>
      </c>
      <c r="Z152">
        <f t="shared" ca="1" si="27"/>
        <v>12</v>
      </c>
      <c r="AA152">
        <f t="shared" ca="1" si="28"/>
        <v>13</v>
      </c>
      <c r="AB152">
        <f t="shared" ca="1" si="29"/>
        <v>66</v>
      </c>
    </row>
    <row r="153" spans="1:28" x14ac:dyDescent="0.25">
      <c r="A153">
        <v>152</v>
      </c>
      <c r="B153" t="str" cm="1">
        <f t="array" aca="1" ref="B153" ca="1">replaceChar(LOWER(LEFT(D153,3)&amp;RIGHT(I153,3))&amp;LEFT(H153,4))</f>
        <v>joabal2914</v>
      </c>
      <c r="C153" t="str">
        <f t="shared" ca="1" si="20"/>
        <v>pswjoabal2914</v>
      </c>
      <c r="D153" t="str">
        <f ca="1">Nomes!T154</f>
        <v>Joana Matilde Silva Lopes</v>
      </c>
      <c r="E153" t="str">
        <f ca="1">Nomes!S154</f>
        <v>Feminino</v>
      </c>
      <c r="F153" s="2">
        <v>30972</v>
      </c>
      <c r="G153" t="str" cm="1">
        <f t="array" aca="1" ref="G153" ca="1">INDEX(rua_cod!$F:$F,RANDBETWEEN(2,COUNTA(rua_cod!F:F)))</f>
        <v>Calçada do Moinho de Vento</v>
      </c>
      <c r="H153" t="str" cm="1">
        <f t="array" aca="1" ref="H153" ca="1">INDEX(rua_cod!$A:$A,Users!V153) &amp; "-" &amp; TEXT(RANDBETWEEN(0,999),"000")</f>
        <v>2914-128</v>
      </c>
      <c r="I153" t="str" cm="1">
        <f t="array" aca="1" ref="I153" ca="1">INDEX(rua_cod!$B:$B,Users!V153)</f>
        <v>Setúbal</v>
      </c>
      <c r="J153" t="s">
        <v>3727</v>
      </c>
      <c r="K153" t="s">
        <v>225</v>
      </c>
      <c r="L153" t="s">
        <v>265</v>
      </c>
      <c r="M153" t="str">
        <f t="shared" ca="1" si="21"/>
        <v>65148590</v>
      </c>
      <c r="N153" t="str">
        <f t="shared" ca="1" si="22"/>
        <v>770658552</v>
      </c>
      <c r="O153" t="str">
        <f t="shared" ca="1" si="22"/>
        <v>468364712</v>
      </c>
      <c r="P153" t="str" cm="1">
        <f t="array" aca="1" ref="P153" ca="1">9 &amp; INDEX($AF$3:$AF$6,W153)&amp; TEXT(RANDBETWEEN(0,9999999),"0000000")</f>
        <v>925609148</v>
      </c>
      <c r="Q153" t="str" cm="1">
        <f t="array" aca="1" ref="Q153" ca="1">LOWER(B153) &amp; INDEX($AF$9:$AF$11,X153)</f>
        <v>joabal2914@sapo.pt</v>
      </c>
      <c r="R153" t="str">
        <f t="shared" ca="1" si="23"/>
        <v>joabal2914.jpg</v>
      </c>
      <c r="T153" s="4"/>
      <c r="V153">
        <f ca="1">RANDBETWEEN(2,COUNTA(rua_cod!A:A))</f>
        <v>98</v>
      </c>
      <c r="W153">
        <f t="shared" ca="1" si="24"/>
        <v>2</v>
      </c>
      <c r="X153">
        <f t="shared" ca="1" si="25"/>
        <v>3</v>
      </c>
      <c r="Y153">
        <f t="shared" ca="1" si="26"/>
        <v>1981</v>
      </c>
      <c r="Z153">
        <f t="shared" ca="1" si="27"/>
        <v>12</v>
      </c>
      <c r="AA153">
        <f t="shared" ca="1" si="28"/>
        <v>25</v>
      </c>
      <c r="AB153">
        <f t="shared" ca="1" si="29"/>
        <v>39</v>
      </c>
    </row>
    <row r="154" spans="1:28" x14ac:dyDescent="0.25">
      <c r="A154">
        <v>153</v>
      </c>
      <c r="B154" t="str" cm="1">
        <f t="array" aca="1" ref="B154" ca="1">replaceChar(LOWER(LEFT(D154,3)&amp;RIGHT(I154,3))&amp;LEFT(H154,4))</f>
        <v>luride2790</v>
      </c>
      <c r="C154" t="str">
        <f t="shared" ca="1" si="20"/>
        <v>pswluride2790</v>
      </c>
      <c r="D154" t="str">
        <f ca="1">Nomes!T155</f>
        <v>Lurdes Laura Simões Simões</v>
      </c>
      <c r="E154" t="str">
        <f ca="1">Nomes!S155</f>
        <v>Feminino</v>
      </c>
      <c r="F154" s="2">
        <v>9540</v>
      </c>
      <c r="G154" t="str" cm="1">
        <f t="array" aca="1" ref="G154" ca="1">INDEX(rua_cod!$F:$F,RANDBETWEEN(2,COUNTA(rua_cod!F:F)))</f>
        <v>Rua da Madalena</v>
      </c>
      <c r="H154" t="str" cm="1">
        <f t="array" aca="1" ref="H154" ca="1">INDEX(rua_cod!$A:$A,Users!V154) &amp; "-" &amp; TEXT(RANDBETWEEN(0,999),"000")</f>
        <v>2790-690</v>
      </c>
      <c r="I154" t="str" cm="1">
        <f t="array" aca="1" ref="I154" ca="1">INDEX(rua_cod!$B:$B,Users!V154)</f>
        <v>Carnaxide</v>
      </c>
      <c r="J154" t="s">
        <v>3727</v>
      </c>
      <c r="K154" t="s">
        <v>225</v>
      </c>
      <c r="L154" t="s">
        <v>265</v>
      </c>
      <c r="M154" t="str">
        <f t="shared" ca="1" si="21"/>
        <v>69605763</v>
      </c>
      <c r="N154" t="str">
        <f t="shared" ca="1" si="22"/>
        <v>347041274</v>
      </c>
      <c r="O154" t="str">
        <f t="shared" ca="1" si="22"/>
        <v>303895019</v>
      </c>
      <c r="P154" t="str" cm="1">
        <f t="array" aca="1" ref="P154" ca="1">9 &amp; INDEX($AF$3:$AF$6,W154)&amp; TEXT(RANDBETWEEN(0,9999999),"0000000")</f>
        <v>921756151</v>
      </c>
      <c r="Q154" t="str" cm="1">
        <f t="array" aca="1" ref="Q154" ca="1">LOWER(B154) &amp; INDEX($AF$9:$AF$11,X154)</f>
        <v>luride2790@gmail.com</v>
      </c>
      <c r="R154" t="str">
        <f t="shared" ca="1" si="23"/>
        <v>luride2790.jpg</v>
      </c>
      <c r="T154" s="4"/>
      <c r="V154">
        <f ca="1">RANDBETWEEN(2,COUNTA(rua_cod!A:A))</f>
        <v>22</v>
      </c>
      <c r="W154">
        <f t="shared" ca="1" si="24"/>
        <v>2</v>
      </c>
      <c r="X154">
        <f t="shared" ca="1" si="25"/>
        <v>2</v>
      </c>
      <c r="Y154">
        <f t="shared" ca="1" si="26"/>
        <v>1936</v>
      </c>
      <c r="Z154">
        <f t="shared" ca="1" si="27"/>
        <v>8</v>
      </c>
      <c r="AA154">
        <f t="shared" ca="1" si="28"/>
        <v>30</v>
      </c>
      <c r="AB154">
        <f t="shared" ca="1" si="29"/>
        <v>84</v>
      </c>
    </row>
    <row r="155" spans="1:28" x14ac:dyDescent="0.25">
      <c r="A155">
        <v>154</v>
      </c>
      <c r="B155" t="str" cm="1">
        <f t="array" aca="1" ref="B155" ca="1">replaceChar(LOWER(LEFT(D155,3)&amp;RIGHT(I155,3))&amp;LEFT(H155,4))</f>
        <v>leoboa1350</v>
      </c>
      <c r="C155" t="str">
        <f t="shared" ca="1" si="20"/>
        <v>pswleoboa1350</v>
      </c>
      <c r="D155" t="str">
        <f ca="1">Nomes!T156</f>
        <v>Leonor Marco Matos Teixeira</v>
      </c>
      <c r="E155" t="str">
        <f ca="1">Nomes!S156</f>
        <v>Feminino</v>
      </c>
      <c r="F155" s="2">
        <v>9785</v>
      </c>
      <c r="G155" t="str" cm="1">
        <f t="array" aca="1" ref="G155" ca="1">INDEX(rua_cod!$F:$F,RANDBETWEEN(2,COUNTA(rua_cod!F:F)))</f>
        <v>Calçada Marquês de Abrantes</v>
      </c>
      <c r="H155" t="str" cm="1">
        <f t="array" aca="1" ref="H155" ca="1">INDEX(rua_cod!$A:$A,Users!V155) &amp; "-" &amp; TEXT(RANDBETWEEN(0,999),"000")</f>
        <v>1350-664</v>
      </c>
      <c r="I155" t="str" cm="1">
        <f t="array" aca="1" ref="I155" ca="1">INDEX(rua_cod!$B:$B,Users!V155)</f>
        <v>Lisboa</v>
      </c>
      <c r="J155" t="s">
        <v>3727</v>
      </c>
      <c r="K155" t="s">
        <v>225</v>
      </c>
      <c r="L155" t="s">
        <v>265</v>
      </c>
      <c r="M155" t="str">
        <f t="shared" ca="1" si="21"/>
        <v>95990764</v>
      </c>
      <c r="N155" t="str">
        <f t="shared" ca="1" si="22"/>
        <v>301376140</v>
      </c>
      <c r="O155" t="str">
        <f t="shared" ca="1" si="22"/>
        <v>210180759</v>
      </c>
      <c r="P155" t="str" cm="1">
        <f t="array" aca="1" ref="P155" ca="1">9 &amp; INDEX($AF$3:$AF$6,W155)&amp; TEXT(RANDBETWEEN(0,9999999),"0000000")</f>
        <v>967965244</v>
      </c>
      <c r="Q155" t="str" cm="1">
        <f t="array" aca="1" ref="Q155" ca="1">LOWER(B155) &amp; INDEX($AF$9:$AF$11,X155)</f>
        <v>leoboa1350@outlook.com</v>
      </c>
      <c r="R155" t="str">
        <f t="shared" ca="1" si="23"/>
        <v>leoboa1350.jpg</v>
      </c>
      <c r="T155" s="4"/>
      <c r="V155">
        <f ca="1">RANDBETWEEN(2,COUNTA(rua_cod!A:A))</f>
        <v>54</v>
      </c>
      <c r="W155">
        <f t="shared" ca="1" si="24"/>
        <v>4</v>
      </c>
      <c r="X155">
        <f t="shared" ca="1" si="25"/>
        <v>1</v>
      </c>
      <c r="Y155">
        <f t="shared" ca="1" si="26"/>
        <v>1943</v>
      </c>
      <c r="Z155">
        <f t="shared" ca="1" si="27"/>
        <v>3</v>
      </c>
      <c r="AA155">
        <f t="shared" ca="1" si="28"/>
        <v>29</v>
      </c>
      <c r="AB155">
        <f t="shared" ca="1" si="29"/>
        <v>77</v>
      </c>
    </row>
    <row r="156" spans="1:28" x14ac:dyDescent="0.25">
      <c r="A156">
        <v>155</v>
      </c>
      <c r="B156" t="str" cm="1">
        <f t="array" aca="1" ref="B156" ca="1">replaceChar(LOWER(LEFT(D156,3)&amp;RIGHT(I156,3))&amp;LEFT(H156,4))</f>
        <v>tianto2330</v>
      </c>
      <c r="C156" t="str">
        <f t="shared" ca="1" si="20"/>
        <v>pswtianto2330</v>
      </c>
      <c r="D156" t="str">
        <f ca="1">Nomes!T157</f>
        <v>Tiago Joana Cunha Barbosa</v>
      </c>
      <c r="E156" t="str">
        <f ca="1">Nomes!S157</f>
        <v>Masculino</v>
      </c>
      <c r="F156" s="2">
        <v>26847</v>
      </c>
      <c r="G156" t="str" cm="1">
        <f t="array" aca="1" ref="G156" ca="1">INDEX(rua_cod!$F:$F,RANDBETWEEN(2,COUNTA(rua_cod!F:F)))</f>
        <v>Rua Ferreira Lapa</v>
      </c>
      <c r="H156" t="str" cm="1">
        <f t="array" aca="1" ref="H156" ca="1">INDEX(rua_cod!$A:$A,Users!V156) &amp; "-" &amp; TEXT(RANDBETWEEN(0,999),"000")</f>
        <v>2330-731</v>
      </c>
      <c r="I156" t="str" cm="1">
        <f t="array" aca="1" ref="I156" ca="1">INDEX(rua_cod!$B:$B,Users!V156)</f>
        <v>Entroncamento</v>
      </c>
      <c r="J156" t="s">
        <v>3727</v>
      </c>
      <c r="K156" t="s">
        <v>225</v>
      </c>
      <c r="L156" t="s">
        <v>265</v>
      </c>
      <c r="M156" t="str">
        <f t="shared" ca="1" si="21"/>
        <v>64629655</v>
      </c>
      <c r="N156" t="str">
        <f t="shared" ca="1" si="22"/>
        <v>452803290</v>
      </c>
      <c r="O156" t="str">
        <f t="shared" ca="1" si="22"/>
        <v>794679453</v>
      </c>
      <c r="P156" t="str" cm="1">
        <f t="array" aca="1" ref="P156" ca="1">9 &amp; INDEX($AF$3:$AF$6,W156)&amp; TEXT(RANDBETWEEN(0,9999999),"0000000")</f>
        <v>937423806</v>
      </c>
      <c r="Q156" t="str" cm="1">
        <f t="array" aca="1" ref="Q156" ca="1">LOWER(B156) &amp; INDEX($AF$9:$AF$11,X156)</f>
        <v>tianto2330@gmail.com</v>
      </c>
      <c r="R156" t="str">
        <f t="shared" ca="1" si="23"/>
        <v>tianto2330.jpg</v>
      </c>
      <c r="T156" s="4"/>
      <c r="V156">
        <f ca="1">RANDBETWEEN(2,COUNTA(rua_cod!A:A))</f>
        <v>29</v>
      </c>
      <c r="W156">
        <f t="shared" ca="1" si="24"/>
        <v>3</v>
      </c>
      <c r="X156">
        <f t="shared" ca="1" si="25"/>
        <v>2</v>
      </c>
      <c r="Y156">
        <f t="shared" ca="1" si="26"/>
        <v>1966</v>
      </c>
      <c r="Z156">
        <f t="shared" ca="1" si="27"/>
        <v>9</v>
      </c>
      <c r="AA156">
        <f t="shared" ca="1" si="28"/>
        <v>6</v>
      </c>
      <c r="AB156">
        <f t="shared" ca="1" si="29"/>
        <v>54</v>
      </c>
    </row>
    <row r="157" spans="1:28" x14ac:dyDescent="0.25">
      <c r="A157">
        <v>156</v>
      </c>
      <c r="B157" t="str" cm="1">
        <f t="array" aca="1" ref="B157" ca="1">replaceChar(LOWER(LEFT(D157,3)&amp;RIGHT(I157,3))&amp;LEFT(H157,4))</f>
        <v>carboa1998</v>
      </c>
      <c r="C157" t="str">
        <f t="shared" ca="1" si="20"/>
        <v>pswcarboa1998</v>
      </c>
      <c r="D157" t="str">
        <f ca="1">Nomes!T158</f>
        <v>Carolina Luís Teixeira Freitas</v>
      </c>
      <c r="E157" t="str">
        <f ca="1">Nomes!S158</f>
        <v>Feminino</v>
      </c>
      <c r="F157" s="2">
        <v>44029</v>
      </c>
      <c r="G157" t="str" cm="1">
        <f t="array" aca="1" ref="G157" ca="1">INDEX(rua_cod!$F:$F,RANDBETWEEN(2,COUNTA(rua_cod!F:F)))</f>
        <v>Calçada do Poço dos Mouros</v>
      </c>
      <c r="H157" t="str" cm="1">
        <f t="array" aca="1" ref="H157" ca="1">INDEX(rua_cod!$A:$A,Users!V157) &amp; "-" &amp; TEXT(RANDBETWEEN(0,999),"000")</f>
        <v>1998-076</v>
      </c>
      <c r="I157" t="str" cm="1">
        <f t="array" aca="1" ref="I157" ca="1">INDEX(rua_cod!$B:$B,Users!V157)</f>
        <v>Lisboa</v>
      </c>
      <c r="J157" t="s">
        <v>3727</v>
      </c>
      <c r="K157" t="s">
        <v>225</v>
      </c>
      <c r="L157" t="s">
        <v>265</v>
      </c>
      <c r="M157" t="str">
        <f t="shared" ca="1" si="21"/>
        <v>73131992</v>
      </c>
      <c r="N157" t="str">
        <f t="shared" ca="1" si="22"/>
        <v>654113298</v>
      </c>
      <c r="O157" t="str">
        <f t="shared" ca="1" si="22"/>
        <v>519576688</v>
      </c>
      <c r="P157" t="str" cm="1">
        <f t="array" aca="1" ref="P157" ca="1">9 &amp; INDEX($AF$3:$AF$6,W157)&amp; TEXT(RANDBETWEEN(0,9999999),"0000000")</f>
        <v>960645787</v>
      </c>
      <c r="Q157" t="str" cm="1">
        <f t="array" aca="1" ref="Q157" ca="1">LOWER(B157) &amp; INDEX($AF$9:$AF$11,X157)</f>
        <v>carboa1998@outlook.com</v>
      </c>
      <c r="R157" t="str">
        <f t="shared" ca="1" si="23"/>
        <v>carboa1998.jpg</v>
      </c>
      <c r="T157" s="4"/>
      <c r="V157">
        <f ca="1">RANDBETWEEN(2,COUNTA(rua_cod!A:A))</f>
        <v>78</v>
      </c>
      <c r="W157">
        <f t="shared" ca="1" si="24"/>
        <v>4</v>
      </c>
      <c r="X157">
        <f t="shared" ca="1" si="25"/>
        <v>1</v>
      </c>
      <c r="Y157">
        <f t="shared" ca="1" si="26"/>
        <v>1977</v>
      </c>
      <c r="Z157">
        <f t="shared" ca="1" si="27"/>
        <v>11</v>
      </c>
      <c r="AA157">
        <f t="shared" ca="1" si="28"/>
        <v>16</v>
      </c>
      <c r="AB157">
        <f t="shared" ca="1" si="29"/>
        <v>43</v>
      </c>
    </row>
    <row r="158" spans="1:28" x14ac:dyDescent="0.25">
      <c r="A158">
        <v>157</v>
      </c>
      <c r="B158" t="str" cm="1">
        <f t="array" aca="1" ref="B158" ca="1">replaceChar(LOWER(LEFT(D158,3)&amp;RIGHT(I158,3))&amp;LEFT(H158,4))</f>
        <v>joaboa1249</v>
      </c>
      <c r="C158" t="str">
        <f t="shared" ca="1" si="20"/>
        <v>pswjoaboa1249</v>
      </c>
      <c r="D158" t="str">
        <f ca="1">Nomes!T159</f>
        <v>Joaquim Gabriel Vieira Magalhães</v>
      </c>
      <c r="E158" t="str">
        <f ca="1">Nomes!S159</f>
        <v>Masculino</v>
      </c>
      <c r="F158" s="2">
        <v>11043</v>
      </c>
      <c r="G158" t="str" cm="1">
        <f t="array" aca="1" ref="G158" ca="1">INDEX(rua_cod!$F:$F,RANDBETWEEN(2,COUNTA(rua_cod!F:F)))</f>
        <v>Rua do Guarda-Mor</v>
      </c>
      <c r="H158" t="str" cm="1">
        <f t="array" aca="1" ref="H158" ca="1">INDEX(rua_cod!$A:$A,Users!V158) &amp; "-" &amp; TEXT(RANDBETWEEN(0,999),"000")</f>
        <v>1249-771</v>
      </c>
      <c r="I158" t="str" cm="1">
        <f t="array" aca="1" ref="I158" ca="1">INDEX(rua_cod!$B:$B,Users!V158)</f>
        <v>Lisboa</v>
      </c>
      <c r="J158" t="s">
        <v>3727</v>
      </c>
      <c r="K158" t="s">
        <v>225</v>
      </c>
      <c r="L158" t="s">
        <v>265</v>
      </c>
      <c r="M158" t="str">
        <f t="shared" ca="1" si="21"/>
        <v>19065336</v>
      </c>
      <c r="N158" t="str">
        <f t="shared" ca="1" si="22"/>
        <v>391774138</v>
      </c>
      <c r="O158" t="str">
        <f t="shared" ca="1" si="22"/>
        <v>404297300</v>
      </c>
      <c r="P158" t="str" cm="1">
        <f t="array" aca="1" ref="P158" ca="1">9 &amp; INDEX($AF$3:$AF$6,W158)&amp; TEXT(RANDBETWEEN(0,9999999),"0000000")</f>
        <v>930469398</v>
      </c>
      <c r="Q158" t="str" cm="1">
        <f t="array" aca="1" ref="Q158" ca="1">LOWER(B158) &amp; INDEX($AF$9:$AF$11,X158)</f>
        <v>joaboa1249@outlook.com</v>
      </c>
      <c r="R158" t="str">
        <f t="shared" ca="1" si="23"/>
        <v>joaboa1249.jpg</v>
      </c>
      <c r="T158" s="4"/>
      <c r="V158">
        <f ca="1">RANDBETWEEN(2,COUNTA(rua_cod!A:A))</f>
        <v>63</v>
      </c>
      <c r="W158">
        <f t="shared" ca="1" si="24"/>
        <v>3</v>
      </c>
      <c r="X158">
        <f t="shared" ca="1" si="25"/>
        <v>1</v>
      </c>
      <c r="Y158">
        <f t="shared" ca="1" si="26"/>
        <v>1968</v>
      </c>
      <c r="Z158">
        <f t="shared" ca="1" si="27"/>
        <v>11</v>
      </c>
      <c r="AA158">
        <f t="shared" ca="1" si="28"/>
        <v>5</v>
      </c>
      <c r="AB158">
        <f t="shared" ca="1" si="29"/>
        <v>52</v>
      </c>
    </row>
    <row r="159" spans="1:28" x14ac:dyDescent="0.25">
      <c r="A159">
        <v>158</v>
      </c>
      <c r="B159" t="str" cm="1">
        <f t="array" aca="1" ref="B159" ca="1">replaceChar(LOWER(LEFT(D159,3)&amp;RIGHT(I159,3))&amp;LEFT(H159,4))</f>
        <v>tomboa1399</v>
      </c>
      <c r="C159" t="str">
        <f t="shared" ca="1" si="20"/>
        <v>pswtomboa1399</v>
      </c>
      <c r="D159" t="str">
        <f ca="1">Nomes!T160</f>
        <v>Tomás Duarte Figueiredo Santos</v>
      </c>
      <c r="E159" t="str">
        <f ca="1">Nomes!S160</f>
        <v>Masculino</v>
      </c>
      <c r="F159" s="2">
        <v>28184</v>
      </c>
      <c r="G159" t="str" cm="1">
        <f t="array" aca="1" ref="G159" ca="1">INDEX(rua_cod!$F:$F,RANDBETWEEN(2,COUNTA(rua_cod!F:F)))</f>
        <v>Rua Garrett</v>
      </c>
      <c r="H159" t="str" cm="1">
        <f t="array" aca="1" ref="H159" ca="1">INDEX(rua_cod!$A:$A,Users!V159) &amp; "-" &amp; TEXT(RANDBETWEEN(0,999),"000")</f>
        <v>1399-720</v>
      </c>
      <c r="I159" t="str" cm="1">
        <f t="array" aca="1" ref="I159" ca="1">INDEX(rua_cod!$B:$B,Users!V159)</f>
        <v>Lisboa</v>
      </c>
      <c r="J159" t="s">
        <v>3727</v>
      </c>
      <c r="K159" t="s">
        <v>225</v>
      </c>
      <c r="L159" t="s">
        <v>265</v>
      </c>
      <c r="M159" t="str">
        <f t="shared" ca="1" si="21"/>
        <v>74445383</v>
      </c>
      <c r="N159" t="str">
        <f t="shared" ca="1" si="22"/>
        <v>977696682</v>
      </c>
      <c r="O159" t="str">
        <f t="shared" ca="1" si="22"/>
        <v>228573497</v>
      </c>
      <c r="P159" t="str" cm="1">
        <f t="array" aca="1" ref="P159" ca="1">9 &amp; INDEX($AF$3:$AF$6,W159)&amp; TEXT(RANDBETWEEN(0,9999999),"0000000")</f>
        <v>926500939</v>
      </c>
      <c r="Q159" t="str" cm="1">
        <f t="array" aca="1" ref="Q159" ca="1">LOWER(B159) &amp; INDEX($AF$9:$AF$11,X159)</f>
        <v>tomboa1399@outlook.com</v>
      </c>
      <c r="R159" t="str">
        <f t="shared" ca="1" si="23"/>
        <v>tomboa1399.jpg</v>
      </c>
      <c r="T159" s="4"/>
      <c r="V159">
        <f ca="1">RANDBETWEEN(2,COUNTA(rua_cod!A:A))</f>
        <v>55</v>
      </c>
      <c r="W159">
        <f t="shared" ca="1" si="24"/>
        <v>2</v>
      </c>
      <c r="X159">
        <f t="shared" ca="1" si="25"/>
        <v>1</v>
      </c>
      <c r="Y159">
        <f t="shared" ca="1" si="26"/>
        <v>1979</v>
      </c>
      <c r="Z159">
        <f t="shared" ca="1" si="27"/>
        <v>5</v>
      </c>
      <c r="AA159">
        <f t="shared" ca="1" si="28"/>
        <v>10</v>
      </c>
      <c r="AB159">
        <f t="shared" ca="1" si="29"/>
        <v>41</v>
      </c>
    </row>
    <row r="160" spans="1:28" x14ac:dyDescent="0.25">
      <c r="A160">
        <v>159</v>
      </c>
      <c r="B160" t="str" cm="1">
        <f t="array" aca="1" ref="B160" ca="1">replaceChar(LOWER(LEFT(D160,3)&amp;RIGHT(I160,3))&amp;LEFT(H160,4))</f>
        <v>sanvas2350</v>
      </c>
      <c r="C160" t="str">
        <f t="shared" ca="1" si="20"/>
        <v>pswsanvas2350</v>
      </c>
      <c r="D160" t="str">
        <f ca="1">Nomes!T161</f>
        <v>Santiago Duarte Machado Macedo</v>
      </c>
      <c r="E160" t="str">
        <f ca="1">Nomes!S161</f>
        <v>Masculino</v>
      </c>
      <c r="F160" s="2">
        <v>20148</v>
      </c>
      <c r="G160" t="str" cm="1">
        <f t="array" aca="1" ref="G160" ca="1">INDEX(rua_cod!$F:$F,RANDBETWEEN(2,COUNTA(rua_cod!F:F)))</f>
        <v>Calçada de Carriche</v>
      </c>
      <c r="H160" t="str" cm="1">
        <f t="array" aca="1" ref="H160" ca="1">INDEX(rua_cod!$A:$A,Users!V160) &amp; "-" &amp; TEXT(RANDBETWEEN(0,999),"000")</f>
        <v>2350-260</v>
      </c>
      <c r="I160" t="str" cm="1">
        <f t="array" aca="1" ref="I160" ca="1">INDEX(rua_cod!$B:$B,Users!V160)</f>
        <v>Torres Novas</v>
      </c>
      <c r="J160" t="s">
        <v>3727</v>
      </c>
      <c r="K160" t="s">
        <v>225</v>
      </c>
      <c r="L160" t="s">
        <v>265</v>
      </c>
      <c r="M160" t="str">
        <f t="shared" ca="1" si="21"/>
        <v>12764018</v>
      </c>
      <c r="N160" t="str">
        <f t="shared" ca="1" si="22"/>
        <v>186284390</v>
      </c>
      <c r="O160" t="str">
        <f t="shared" ca="1" si="22"/>
        <v>839098528</v>
      </c>
      <c r="P160" t="str" cm="1">
        <f t="array" aca="1" ref="P160" ca="1">9 &amp; INDEX($AF$3:$AF$6,W160)&amp; TEXT(RANDBETWEEN(0,9999999),"0000000")</f>
        <v>925216916</v>
      </c>
      <c r="Q160" t="str" cm="1">
        <f t="array" aca="1" ref="Q160" ca="1">LOWER(B160) &amp; INDEX($AF$9:$AF$11,X160)</f>
        <v>sanvas2350@gmail.com</v>
      </c>
      <c r="R160" t="str">
        <f t="shared" ca="1" si="23"/>
        <v>sanvas2350.jpg</v>
      </c>
      <c r="T160" s="4"/>
      <c r="V160">
        <f ca="1">RANDBETWEEN(2,COUNTA(rua_cod!A:A))</f>
        <v>103</v>
      </c>
      <c r="W160">
        <f t="shared" ca="1" si="24"/>
        <v>2</v>
      </c>
      <c r="X160">
        <f t="shared" ca="1" si="25"/>
        <v>2</v>
      </c>
      <c r="Y160">
        <f t="shared" ca="1" si="26"/>
        <v>1972</v>
      </c>
      <c r="Z160">
        <f t="shared" ca="1" si="27"/>
        <v>4</v>
      </c>
      <c r="AA160">
        <f t="shared" ca="1" si="28"/>
        <v>4</v>
      </c>
      <c r="AB160">
        <f t="shared" ca="1" si="29"/>
        <v>48</v>
      </c>
    </row>
    <row r="161" spans="1:28" x14ac:dyDescent="0.25">
      <c r="A161">
        <v>160</v>
      </c>
      <c r="B161" t="str" cm="1">
        <f t="array" aca="1" ref="B161" ca="1">replaceChar(LOWER(LEFT(D161,3)&amp;RIGHT(I161,3))&amp;LEFT(H161,4))</f>
        <v>sanboa1959</v>
      </c>
      <c r="C161" t="str">
        <f t="shared" ca="1" si="20"/>
        <v>pswsanboa1959</v>
      </c>
      <c r="D161" t="str">
        <f ca="1">Nomes!T162</f>
        <v>Santiago Daniela Moreira Oliveira</v>
      </c>
      <c r="E161" t="str">
        <f ca="1">Nomes!S162</f>
        <v>Masculino</v>
      </c>
      <c r="F161" s="2">
        <v>40822</v>
      </c>
      <c r="G161" t="str" cm="1">
        <f t="array" aca="1" ref="G161" ca="1">INDEX(rua_cod!$F:$F,RANDBETWEEN(2,COUNTA(rua_cod!F:F)))</f>
        <v>Rua da Oliveira ao Carmo</v>
      </c>
      <c r="H161" t="str" cm="1">
        <f t="array" aca="1" ref="H161" ca="1">INDEX(rua_cod!$A:$A,Users!V161) &amp; "-" &amp; TEXT(RANDBETWEEN(0,999),"000")</f>
        <v>1959-573</v>
      </c>
      <c r="I161" t="str" cm="1">
        <f t="array" aca="1" ref="I161" ca="1">INDEX(rua_cod!$B:$B,Users!V161)</f>
        <v>Lisboa</v>
      </c>
      <c r="J161" t="s">
        <v>3727</v>
      </c>
      <c r="K161" t="s">
        <v>225</v>
      </c>
      <c r="L161" t="s">
        <v>265</v>
      </c>
      <c r="M161" t="str">
        <f t="shared" ca="1" si="21"/>
        <v>43580905</v>
      </c>
      <c r="N161" t="str">
        <f t="shared" ca="1" si="22"/>
        <v>810854764</v>
      </c>
      <c r="O161" t="str">
        <f t="shared" ca="1" si="22"/>
        <v>137594349</v>
      </c>
      <c r="P161" t="str" cm="1">
        <f t="array" aca="1" ref="P161" ca="1">9 &amp; INDEX($AF$3:$AF$6,W161)&amp; TEXT(RANDBETWEEN(0,9999999),"0000000")</f>
        <v>929364086</v>
      </c>
      <c r="Q161" t="str" cm="1">
        <f t="array" aca="1" ref="Q161" ca="1">LOWER(B161) &amp; INDEX($AF$9:$AF$11,X161)</f>
        <v>sanboa1959@gmail.com</v>
      </c>
      <c r="R161" t="str">
        <f t="shared" ca="1" si="23"/>
        <v>sanboa1959.jpg</v>
      </c>
      <c r="T161" s="4"/>
      <c r="V161">
        <f ca="1">RANDBETWEEN(2,COUNTA(rua_cod!A:A))</f>
        <v>72</v>
      </c>
      <c r="W161">
        <f t="shared" ca="1" si="24"/>
        <v>2</v>
      </c>
      <c r="X161">
        <f t="shared" ca="1" si="25"/>
        <v>2</v>
      </c>
      <c r="Y161">
        <f t="shared" ca="1" si="26"/>
        <v>1973</v>
      </c>
      <c r="Z161">
        <f t="shared" ca="1" si="27"/>
        <v>4</v>
      </c>
      <c r="AA161">
        <f t="shared" ca="1" si="28"/>
        <v>26</v>
      </c>
      <c r="AB161">
        <f t="shared" ca="1" si="29"/>
        <v>47</v>
      </c>
    </row>
    <row r="162" spans="1:28" x14ac:dyDescent="0.25">
      <c r="A162">
        <v>161</v>
      </c>
      <c r="B162" t="str" cm="1">
        <f t="array" aca="1" ref="B162" ca="1">replaceChar(LOWER(LEFT(D162,3)&amp;RIGHT(I162,3))&amp;LEFT(H162,4))</f>
        <v>tiares2674</v>
      </c>
      <c r="C162" t="str">
        <f t="shared" ca="1" si="20"/>
        <v>pswtiares2674</v>
      </c>
      <c r="D162" t="str">
        <f ca="1">Nomes!T163</f>
        <v>Tiago Lurdes Gomes Borges</v>
      </c>
      <c r="E162" t="str">
        <f ca="1">Nomes!S163</f>
        <v>Masculino</v>
      </c>
      <c r="F162" s="2">
        <v>24061</v>
      </c>
      <c r="G162" t="str" cm="1">
        <f t="array" aca="1" ref="G162" ca="1">INDEX(rua_cod!$F:$F,RANDBETWEEN(2,COUNTA(rua_cod!F:F)))</f>
        <v>Calçada do Poço dos Mouros</v>
      </c>
      <c r="H162" t="str" cm="1">
        <f t="array" aca="1" ref="H162" ca="1">INDEX(rua_cod!$A:$A,Users!V162) &amp; "-" &amp; TEXT(RANDBETWEEN(0,999),"000")</f>
        <v>2674-677</v>
      </c>
      <c r="I162" t="str" cm="1">
        <f t="array" aca="1" ref="I162" ca="1">INDEX(rua_cod!$B:$B,Users!V162)</f>
        <v>Loures</v>
      </c>
      <c r="J162" t="s">
        <v>3727</v>
      </c>
      <c r="K162" t="s">
        <v>225</v>
      </c>
      <c r="L162" t="s">
        <v>265</v>
      </c>
      <c r="M162" t="str">
        <f t="shared" ca="1" si="21"/>
        <v>11372908</v>
      </c>
      <c r="N162" t="str">
        <f t="shared" ca="1" si="22"/>
        <v>531830521</v>
      </c>
      <c r="O162" t="str">
        <f t="shared" ca="1" si="22"/>
        <v>711400753</v>
      </c>
      <c r="P162" t="str" cm="1">
        <f t="array" aca="1" ref="P162" ca="1">9 &amp; INDEX($AF$3:$AF$6,W162)&amp; TEXT(RANDBETWEEN(0,9999999),"0000000")</f>
        <v>967242618</v>
      </c>
      <c r="Q162" t="str" cm="1">
        <f t="array" aca="1" ref="Q162" ca="1">LOWER(B162) &amp; INDEX($AF$9:$AF$11,X162)</f>
        <v>tiares2674@sapo.pt</v>
      </c>
      <c r="R162" t="str">
        <f t="shared" ca="1" si="23"/>
        <v>tiares2674.jpg</v>
      </c>
      <c r="T162" s="4"/>
      <c r="V162">
        <f ca="1">RANDBETWEEN(2,COUNTA(rua_cod!A:A))</f>
        <v>84</v>
      </c>
      <c r="W162">
        <f t="shared" ca="1" si="24"/>
        <v>4</v>
      </c>
      <c r="X162">
        <f t="shared" ca="1" si="25"/>
        <v>3</v>
      </c>
      <c r="Y162">
        <f t="shared" ca="1" si="26"/>
        <v>1978</v>
      </c>
      <c r="Z162">
        <f t="shared" ca="1" si="27"/>
        <v>5</v>
      </c>
      <c r="AA162">
        <f t="shared" ca="1" si="28"/>
        <v>28</v>
      </c>
      <c r="AB162">
        <f t="shared" ca="1" si="29"/>
        <v>42</v>
      </c>
    </row>
    <row r="163" spans="1:28" x14ac:dyDescent="0.25">
      <c r="A163">
        <v>162</v>
      </c>
      <c r="B163" t="str" cm="1">
        <f t="array" aca="1" ref="B163" ca="1">replaceChar(LOWER(LEFT(D163,3)&amp;RIGHT(I163,3))&amp;LEFT(H163,4))</f>
        <v>frares2670</v>
      </c>
      <c r="C163" t="str">
        <f t="shared" ca="1" si="20"/>
        <v>pswfrares2670</v>
      </c>
      <c r="D163" t="str">
        <f ca="1">Nomes!T164</f>
        <v>Francisco Catarina Mendes Vieira</v>
      </c>
      <c r="E163" t="str">
        <f ca="1">Nomes!S164</f>
        <v>Masculino</v>
      </c>
      <c r="F163" s="2">
        <v>29777</v>
      </c>
      <c r="G163" t="str" cm="1">
        <f t="array" aca="1" ref="G163" ca="1">INDEX(rua_cod!$F:$F,RANDBETWEEN(2,COUNTA(rua_cod!F:F)))</f>
        <v>Rua do Guarda-Mor</v>
      </c>
      <c r="H163" t="str" cm="1">
        <f t="array" aca="1" ref="H163" ca="1">INDEX(rua_cod!$A:$A,Users!V163) &amp; "-" &amp; TEXT(RANDBETWEEN(0,999),"000")</f>
        <v>2670-742</v>
      </c>
      <c r="I163" t="str" cm="1">
        <f t="array" aca="1" ref="I163" ca="1">INDEX(rua_cod!$B:$B,Users!V163)</f>
        <v>Loures</v>
      </c>
      <c r="J163" t="s">
        <v>3727</v>
      </c>
      <c r="K163" t="s">
        <v>225</v>
      </c>
      <c r="L163" t="s">
        <v>265</v>
      </c>
      <c r="M163" t="str">
        <f t="shared" ca="1" si="21"/>
        <v>44487092</v>
      </c>
      <c r="N163" t="str">
        <f t="shared" ca="1" si="22"/>
        <v>945551754</v>
      </c>
      <c r="O163" t="str">
        <f t="shared" ca="1" si="22"/>
        <v>812741046</v>
      </c>
      <c r="P163" t="str" cm="1">
        <f t="array" aca="1" ref="P163" ca="1">9 &amp; INDEX($AF$3:$AF$6,W163)&amp; TEXT(RANDBETWEEN(0,9999999),"0000000")</f>
        <v>912270649</v>
      </c>
      <c r="Q163" t="str" cm="1">
        <f t="array" aca="1" ref="Q163" ca="1">LOWER(B163) &amp; INDEX($AF$9:$AF$11,X163)</f>
        <v>frares2670@sapo.pt</v>
      </c>
      <c r="R163" t="str">
        <f t="shared" ca="1" si="23"/>
        <v>frares2670.jpg</v>
      </c>
      <c r="T163" s="4"/>
      <c r="V163">
        <f ca="1">RANDBETWEEN(2,COUNTA(rua_cod!A:A))</f>
        <v>83</v>
      </c>
      <c r="W163">
        <f t="shared" ca="1" si="24"/>
        <v>1</v>
      </c>
      <c r="X163">
        <f t="shared" ca="1" si="25"/>
        <v>3</v>
      </c>
      <c r="Y163">
        <f t="shared" ca="1" si="26"/>
        <v>1922</v>
      </c>
      <c r="Z163">
        <f t="shared" ca="1" si="27"/>
        <v>9</v>
      </c>
      <c r="AA163">
        <f t="shared" ca="1" si="28"/>
        <v>29</v>
      </c>
      <c r="AB163">
        <f t="shared" ca="1" si="29"/>
        <v>98</v>
      </c>
    </row>
    <row r="164" spans="1:28" x14ac:dyDescent="0.25">
      <c r="A164">
        <v>163</v>
      </c>
      <c r="B164" t="str" cm="1">
        <f t="array" aca="1" ref="B164" ca="1">replaceChar(LOWER(LEFT(D164,3)&amp;RIGHT(I164,3))&amp;LEFT(H164,4))</f>
        <v>sofboa1549</v>
      </c>
      <c r="C164" t="str">
        <f t="shared" ca="1" si="20"/>
        <v>pswsofboa1549</v>
      </c>
      <c r="D164" t="str">
        <f ca="1">Nomes!T165</f>
        <v>Sofia Martim Domingues Melo</v>
      </c>
      <c r="E164" t="str">
        <f ca="1">Nomes!S165</f>
        <v>Feminino</v>
      </c>
      <c r="F164" s="2">
        <v>22302</v>
      </c>
      <c r="G164" t="str" cm="1">
        <f t="array" aca="1" ref="G164" ca="1">INDEX(rua_cod!$F:$F,RANDBETWEEN(2,COUNTA(rua_cod!F:F)))</f>
        <v>Rua Nova do Almada</v>
      </c>
      <c r="H164" t="str" cm="1">
        <f t="array" aca="1" ref="H164" ca="1">INDEX(rua_cod!$A:$A,Users!V164) &amp; "-" &amp; TEXT(RANDBETWEEN(0,999),"000")</f>
        <v>1549-836</v>
      </c>
      <c r="I164" t="str" cm="1">
        <f t="array" aca="1" ref="I164" ca="1">INDEX(rua_cod!$B:$B,Users!V164)</f>
        <v>Lisboa</v>
      </c>
      <c r="J164" t="s">
        <v>3727</v>
      </c>
      <c r="K164" t="s">
        <v>225</v>
      </c>
      <c r="L164" t="s">
        <v>265</v>
      </c>
      <c r="M164" t="str">
        <f t="shared" ca="1" si="21"/>
        <v>18622741</v>
      </c>
      <c r="N164" t="str">
        <f t="shared" ca="1" si="22"/>
        <v>661896763</v>
      </c>
      <c r="O164" t="str">
        <f t="shared" ca="1" si="22"/>
        <v>414633119</v>
      </c>
      <c r="P164" t="str" cm="1">
        <f t="array" aca="1" ref="P164" ca="1">9 &amp; INDEX($AF$3:$AF$6,W164)&amp; TEXT(RANDBETWEEN(0,9999999),"0000000")</f>
        <v>915006196</v>
      </c>
      <c r="Q164" t="str" cm="1">
        <f t="array" aca="1" ref="Q164" ca="1">LOWER(B164) &amp; INDEX($AF$9:$AF$11,X164)</f>
        <v>sofboa1549@gmail.com</v>
      </c>
      <c r="R164" t="str">
        <f t="shared" ca="1" si="23"/>
        <v>sofboa1549.jpg</v>
      </c>
      <c r="T164" s="4"/>
      <c r="V164">
        <f ca="1">RANDBETWEEN(2,COUNTA(rua_cod!A:A))</f>
        <v>69</v>
      </c>
      <c r="W164">
        <f t="shared" ca="1" si="24"/>
        <v>1</v>
      </c>
      <c r="X164">
        <f t="shared" ca="1" si="25"/>
        <v>2</v>
      </c>
      <c r="Y164">
        <f t="shared" ca="1" si="26"/>
        <v>1960</v>
      </c>
      <c r="Z164">
        <f t="shared" ca="1" si="27"/>
        <v>8</v>
      </c>
      <c r="AA164">
        <f t="shared" ca="1" si="28"/>
        <v>21</v>
      </c>
      <c r="AB164">
        <f t="shared" ca="1" si="29"/>
        <v>60</v>
      </c>
    </row>
    <row r="165" spans="1:28" x14ac:dyDescent="0.25">
      <c r="A165">
        <v>164</v>
      </c>
      <c r="B165" t="str" cm="1">
        <f t="array" aca="1" ref="B165" ca="1">replaceChar(LOWER(LEFT(D165,3)&amp;RIGHT(I165,3))&amp;LEFT(H165,4))</f>
        <v>marbra3000</v>
      </c>
      <c r="C165" t="str">
        <f t="shared" ca="1" si="20"/>
        <v>pswmarbra3000</v>
      </c>
      <c r="D165" t="str">
        <f ca="1">Nomes!T166</f>
        <v>Marco Mariana Pires Rocha</v>
      </c>
      <c r="E165" t="str">
        <f ca="1">Nomes!S166</f>
        <v>Masculino</v>
      </c>
      <c r="F165" s="2">
        <v>44419</v>
      </c>
      <c r="G165" t="str" cm="1">
        <f t="array" aca="1" ref="G165" ca="1">INDEX(rua_cod!$F:$F,RANDBETWEEN(2,COUNTA(rua_cod!F:F)))</f>
        <v>Rua do Instituto Bacteriológico</v>
      </c>
      <c r="H165" t="str" cm="1">
        <f t="array" aca="1" ref="H165" ca="1">INDEX(rua_cod!$A:$A,Users!V165) &amp; "-" &amp; TEXT(RANDBETWEEN(0,999),"000")</f>
        <v>3000-556</v>
      </c>
      <c r="I165" t="str" cm="1">
        <f t="array" aca="1" ref="I165" ca="1">INDEX(rua_cod!$B:$B,Users!V165)</f>
        <v>Coimbra</v>
      </c>
      <c r="J165" t="s">
        <v>3727</v>
      </c>
      <c r="K165" t="s">
        <v>225</v>
      </c>
      <c r="L165" t="s">
        <v>265</v>
      </c>
      <c r="M165" t="str">
        <f t="shared" ca="1" si="21"/>
        <v>72709801</v>
      </c>
      <c r="N165" t="str">
        <f t="shared" ca="1" si="22"/>
        <v>208010079</v>
      </c>
      <c r="O165" t="str">
        <f t="shared" ca="1" si="22"/>
        <v>151994211</v>
      </c>
      <c r="P165" t="str" cm="1">
        <f t="array" aca="1" ref="P165" ca="1">9 &amp; INDEX($AF$3:$AF$6,W165)&amp; TEXT(RANDBETWEEN(0,9999999),"0000000")</f>
        <v>962709157</v>
      </c>
      <c r="Q165" t="str" cm="1">
        <f t="array" aca="1" ref="Q165" ca="1">LOWER(B165) &amp; INDEX($AF$9:$AF$11,X165)</f>
        <v>marbra3000@sapo.pt</v>
      </c>
      <c r="R165" t="str">
        <f t="shared" ca="1" si="23"/>
        <v>marbra3000.jpg</v>
      </c>
      <c r="T165" s="4"/>
      <c r="V165">
        <f ca="1">RANDBETWEEN(2,COUNTA(rua_cod!A:A))</f>
        <v>26</v>
      </c>
      <c r="W165">
        <f t="shared" ca="1" si="24"/>
        <v>4</v>
      </c>
      <c r="X165">
        <f t="shared" ca="1" si="25"/>
        <v>3</v>
      </c>
      <c r="Y165">
        <f t="shared" ca="1" si="26"/>
        <v>1988</v>
      </c>
      <c r="Z165">
        <f t="shared" ca="1" si="27"/>
        <v>7</v>
      </c>
      <c r="AA165">
        <f t="shared" ca="1" si="28"/>
        <v>26</v>
      </c>
      <c r="AB165">
        <f t="shared" ca="1" si="29"/>
        <v>32</v>
      </c>
    </row>
    <row r="166" spans="1:28" x14ac:dyDescent="0.25">
      <c r="A166">
        <v>165</v>
      </c>
      <c r="B166" t="str" cm="1">
        <f t="array" aca="1" ref="B166" ca="1">replaceChar(LOWER(LEFT(D166,3)&amp;RIGHT(I166,3))&amp;LEFT(H166,4))</f>
        <v>duatra2714</v>
      </c>
      <c r="C166" t="str">
        <f t="shared" ca="1" si="20"/>
        <v>pswduatra2714</v>
      </c>
      <c r="D166" t="str">
        <f ca="1">Nomes!T167</f>
        <v>Duarte Luís Coelho Gonçalves</v>
      </c>
      <c r="E166" t="str">
        <f ca="1">Nomes!S167</f>
        <v>Masculino</v>
      </c>
      <c r="F166" s="2">
        <v>11307</v>
      </c>
      <c r="G166" t="str" cm="1">
        <f t="array" aca="1" ref="G166" ca="1">INDEX(rua_cod!$F:$F,RANDBETWEEN(2,COUNTA(rua_cod!F:F)))</f>
        <v>Rua da Madalena</v>
      </c>
      <c r="H166" t="str" cm="1">
        <f t="array" aca="1" ref="H166" ca="1">INDEX(rua_cod!$A:$A,Users!V166) &amp; "-" &amp; TEXT(RANDBETWEEN(0,999),"000")</f>
        <v>2714-068</v>
      </c>
      <c r="I166" t="str" cm="1">
        <f t="array" aca="1" ref="I166" ca="1">INDEX(rua_cod!$B:$B,Users!V166)</f>
        <v>Sintra</v>
      </c>
      <c r="J166" t="s">
        <v>3727</v>
      </c>
      <c r="K166" t="s">
        <v>225</v>
      </c>
      <c r="L166" t="s">
        <v>265</v>
      </c>
      <c r="M166" t="str">
        <f t="shared" ca="1" si="21"/>
        <v>20123145</v>
      </c>
      <c r="N166" t="str">
        <f t="shared" ca="1" si="22"/>
        <v>466478815</v>
      </c>
      <c r="O166" t="str">
        <f t="shared" ca="1" si="22"/>
        <v>645085319</v>
      </c>
      <c r="P166" t="str" cm="1">
        <f t="array" aca="1" ref="P166" ca="1">9 &amp; INDEX($AF$3:$AF$6,W166)&amp; TEXT(RANDBETWEEN(0,9999999),"0000000")</f>
        <v>961952653</v>
      </c>
      <c r="Q166" t="str" cm="1">
        <f t="array" aca="1" ref="Q166" ca="1">LOWER(B166) &amp; INDEX($AF$9:$AF$11,X166)</f>
        <v>duatra2714@sapo.pt</v>
      </c>
      <c r="R166" t="str">
        <f t="shared" ca="1" si="23"/>
        <v>duatra2714.jpg</v>
      </c>
      <c r="T166" s="4"/>
      <c r="V166">
        <f ca="1">RANDBETWEEN(2,COUNTA(rua_cod!A:A))</f>
        <v>101</v>
      </c>
      <c r="W166">
        <f t="shared" ca="1" si="24"/>
        <v>4</v>
      </c>
      <c r="X166">
        <f t="shared" ca="1" si="25"/>
        <v>3</v>
      </c>
      <c r="Y166">
        <f t="shared" ca="1" si="26"/>
        <v>1975</v>
      </c>
      <c r="Z166">
        <f t="shared" ca="1" si="27"/>
        <v>2</v>
      </c>
      <c r="AA166">
        <f t="shared" ca="1" si="28"/>
        <v>5</v>
      </c>
      <c r="AB166">
        <f t="shared" ca="1" si="29"/>
        <v>45</v>
      </c>
    </row>
    <row r="167" spans="1:28" x14ac:dyDescent="0.25">
      <c r="A167">
        <v>166</v>
      </c>
      <c r="B167" t="str" cm="1">
        <f t="array" aca="1" ref="B167" ca="1">replaceChar(LOWER(LEFT(D167,3)&amp;RIGHT(I167,3))&amp;LEFT(H167,4))</f>
        <v>marboa1549</v>
      </c>
      <c r="C167" t="str">
        <f t="shared" ca="1" si="20"/>
        <v>pswmarboa1549</v>
      </c>
      <c r="D167" t="str">
        <f ca="1">Nomes!T168</f>
        <v>Maria José Gonçalves Ramos</v>
      </c>
      <c r="E167" t="str">
        <f ca="1">Nomes!S168</f>
        <v>Feminino</v>
      </c>
      <c r="F167" s="2">
        <v>31637</v>
      </c>
      <c r="G167" t="str" cm="1">
        <f t="array" aca="1" ref="G167" ca="1">INDEX(rua_cod!$F:$F,RANDBETWEEN(2,COUNTA(rua_cod!F:F)))</f>
        <v>Rua Júlio César Machado</v>
      </c>
      <c r="H167" t="str" cm="1">
        <f t="array" aca="1" ref="H167" ca="1">INDEX(rua_cod!$A:$A,Users!V167) &amp; "-" &amp; TEXT(RANDBETWEEN(0,999),"000")</f>
        <v>1549-383</v>
      </c>
      <c r="I167" t="str" cm="1">
        <f t="array" aca="1" ref="I167" ca="1">INDEX(rua_cod!$B:$B,Users!V167)</f>
        <v>Lisboa</v>
      </c>
      <c r="J167" t="s">
        <v>3727</v>
      </c>
      <c r="K167" t="s">
        <v>225</v>
      </c>
      <c r="L167" t="s">
        <v>265</v>
      </c>
      <c r="M167" t="str">
        <f t="shared" ca="1" si="21"/>
        <v>72413182</v>
      </c>
      <c r="N167" t="str">
        <f t="shared" ca="1" si="22"/>
        <v>752842733</v>
      </c>
      <c r="O167" t="str">
        <f t="shared" ca="1" si="22"/>
        <v>310936683</v>
      </c>
      <c r="P167" t="str" cm="1">
        <f t="array" aca="1" ref="P167" ca="1">9 &amp; INDEX($AF$3:$AF$6,W167)&amp; TEXT(RANDBETWEEN(0,9999999),"0000000")</f>
        <v>922883593</v>
      </c>
      <c r="Q167" t="str" cm="1">
        <f t="array" aca="1" ref="Q167" ca="1">LOWER(B167) &amp; INDEX($AF$9:$AF$11,X167)</f>
        <v>marboa1549@gmail.com</v>
      </c>
      <c r="R167" t="str">
        <f t="shared" ca="1" si="23"/>
        <v>marboa1549.jpg</v>
      </c>
      <c r="T167" s="4"/>
      <c r="V167">
        <f ca="1">RANDBETWEEN(2,COUNTA(rua_cod!A:A))</f>
        <v>69</v>
      </c>
      <c r="W167">
        <f t="shared" ca="1" si="24"/>
        <v>2</v>
      </c>
      <c r="X167">
        <f t="shared" ca="1" si="25"/>
        <v>2</v>
      </c>
      <c r="Y167">
        <f t="shared" ca="1" si="26"/>
        <v>1981</v>
      </c>
      <c r="Z167">
        <f t="shared" ca="1" si="27"/>
        <v>1</v>
      </c>
      <c r="AA167">
        <f t="shared" ca="1" si="28"/>
        <v>28</v>
      </c>
      <c r="AB167">
        <f t="shared" ca="1" si="29"/>
        <v>39</v>
      </c>
    </row>
    <row r="168" spans="1:28" x14ac:dyDescent="0.25">
      <c r="A168">
        <v>167</v>
      </c>
      <c r="B168" t="str" cm="1">
        <f t="array" aca="1" ref="B168" ca="1">replaceChar(LOWER(LEFT(D168,3)&amp;RIGHT(I168,3))&amp;LEFT(H168,4))</f>
        <v>andada2805</v>
      </c>
      <c r="C168" t="str">
        <f t="shared" ca="1" si="20"/>
        <v>pswandada2805</v>
      </c>
      <c r="D168" t="str">
        <f ca="1">Nomes!T169</f>
        <v>André Ana Barbosa Coelho</v>
      </c>
      <c r="E168" t="str">
        <f ca="1">Nomes!S169</f>
        <v>Masculino</v>
      </c>
      <c r="F168" s="2">
        <v>42520</v>
      </c>
      <c r="G168" t="str" cm="1">
        <f t="array" aca="1" ref="G168" ca="1">INDEX(rua_cod!$F:$F,RANDBETWEEN(2,COUNTA(rua_cod!F:F)))</f>
        <v>Estrada Militar</v>
      </c>
      <c r="H168" t="str" cm="1">
        <f t="array" aca="1" ref="H168" ca="1">INDEX(rua_cod!$A:$A,Users!V168) &amp; "-" &amp; TEXT(RANDBETWEEN(0,999),"000")</f>
        <v>2805-921</v>
      </c>
      <c r="I168" t="str" cm="1">
        <f t="array" aca="1" ref="I168" ca="1">INDEX(rua_cod!$B:$B,Users!V168)</f>
        <v>Almada</v>
      </c>
      <c r="J168" t="s">
        <v>3727</v>
      </c>
      <c r="K168" t="s">
        <v>225</v>
      </c>
      <c r="L168" t="s">
        <v>265</v>
      </c>
      <c r="M168" t="str">
        <f t="shared" ca="1" si="21"/>
        <v>38479746</v>
      </c>
      <c r="N168" t="str">
        <f t="shared" ca="1" si="22"/>
        <v>909962588</v>
      </c>
      <c r="O168" t="str">
        <f t="shared" ca="1" si="22"/>
        <v>428540043</v>
      </c>
      <c r="P168" t="str" cm="1">
        <f t="array" aca="1" ref="P168" ca="1">9 &amp; INDEX($AF$3:$AF$6,W168)&amp; TEXT(RANDBETWEEN(0,9999999),"0000000")</f>
        <v>924248193</v>
      </c>
      <c r="Q168" t="str" cm="1">
        <f t="array" aca="1" ref="Q168" ca="1">LOWER(B168) &amp; INDEX($AF$9:$AF$11,X168)</f>
        <v>andada2805@gmail.com</v>
      </c>
      <c r="R168" t="str">
        <f t="shared" ca="1" si="23"/>
        <v>andada2805.jpg</v>
      </c>
      <c r="T168" s="4"/>
      <c r="V168">
        <f ca="1">RANDBETWEEN(2,COUNTA(rua_cod!A:A))</f>
        <v>4</v>
      </c>
      <c r="W168">
        <f t="shared" ca="1" si="24"/>
        <v>2</v>
      </c>
      <c r="X168">
        <f t="shared" ca="1" si="25"/>
        <v>2</v>
      </c>
      <c r="Y168">
        <f t="shared" ca="1" si="26"/>
        <v>1988</v>
      </c>
      <c r="Z168">
        <f t="shared" ca="1" si="27"/>
        <v>9</v>
      </c>
      <c r="AA168">
        <f t="shared" ca="1" si="28"/>
        <v>13</v>
      </c>
      <c r="AB168">
        <f t="shared" ca="1" si="29"/>
        <v>32</v>
      </c>
    </row>
    <row r="169" spans="1:28" x14ac:dyDescent="0.25">
      <c r="A169">
        <v>168</v>
      </c>
      <c r="B169" t="str" cm="1">
        <f t="array" aca="1" ref="B169" ca="1">replaceChar(LOWER(LEFT(D169,3)&amp;RIGHT(I169,3))&amp;LEFT(H169,4))</f>
        <v>lauboa1249</v>
      </c>
      <c r="C169" t="str">
        <f t="shared" ca="1" si="20"/>
        <v>pswlauboa1249</v>
      </c>
      <c r="D169" t="str">
        <f ca="1">Nomes!T170</f>
        <v>Laura Afonso Branco Pinto</v>
      </c>
      <c r="E169" t="str">
        <f ca="1">Nomes!S170</f>
        <v>Feminino</v>
      </c>
      <c r="F169" s="2">
        <v>37371</v>
      </c>
      <c r="G169" t="str" cm="1">
        <f t="array" aca="1" ref="G169" ca="1">INDEX(rua_cod!$F:$F,RANDBETWEEN(2,COUNTA(rua_cod!F:F)))</f>
        <v>Rua dos Bacalhoeiros</v>
      </c>
      <c r="H169" t="str" cm="1">
        <f t="array" aca="1" ref="H169" ca="1">INDEX(rua_cod!$A:$A,Users!V169) &amp; "-" &amp; TEXT(RANDBETWEEN(0,999),"000")</f>
        <v>1249-613</v>
      </c>
      <c r="I169" t="str" cm="1">
        <f t="array" aca="1" ref="I169" ca="1">INDEX(rua_cod!$B:$B,Users!V169)</f>
        <v>Lisboa</v>
      </c>
      <c r="J169" t="s">
        <v>3727</v>
      </c>
      <c r="K169" t="s">
        <v>225</v>
      </c>
      <c r="L169" t="s">
        <v>265</v>
      </c>
      <c r="M169" t="str">
        <f t="shared" ca="1" si="21"/>
        <v>58294878</v>
      </c>
      <c r="N169" t="str">
        <f t="shared" ca="1" si="22"/>
        <v>957261412</v>
      </c>
      <c r="O169" t="str">
        <f t="shared" ca="1" si="22"/>
        <v>811555068</v>
      </c>
      <c r="P169" t="str" cm="1">
        <f t="array" aca="1" ref="P169" ca="1">9 &amp; INDEX($AF$3:$AF$6,W169)&amp; TEXT(RANDBETWEEN(0,9999999),"0000000")</f>
        <v>966829965</v>
      </c>
      <c r="Q169" t="str" cm="1">
        <f t="array" aca="1" ref="Q169" ca="1">LOWER(B169) &amp; INDEX($AF$9:$AF$11,X169)</f>
        <v>lauboa1249@gmail.com</v>
      </c>
      <c r="R169" t="str">
        <f t="shared" ca="1" si="23"/>
        <v>lauboa1249.jpg</v>
      </c>
      <c r="T169" s="4"/>
      <c r="V169">
        <f ca="1">RANDBETWEEN(2,COUNTA(rua_cod!A:A))</f>
        <v>63</v>
      </c>
      <c r="W169">
        <f t="shared" ca="1" si="24"/>
        <v>4</v>
      </c>
      <c r="X169">
        <f t="shared" ca="1" si="25"/>
        <v>2</v>
      </c>
      <c r="Y169">
        <f t="shared" ca="1" si="26"/>
        <v>1987</v>
      </c>
      <c r="Z169">
        <f t="shared" ca="1" si="27"/>
        <v>5</v>
      </c>
      <c r="AA169">
        <f t="shared" ca="1" si="28"/>
        <v>3</v>
      </c>
      <c r="AB169">
        <f t="shared" ca="1" si="29"/>
        <v>33</v>
      </c>
    </row>
    <row r="170" spans="1:28" x14ac:dyDescent="0.25">
      <c r="A170">
        <v>169</v>
      </c>
      <c r="B170" t="str" cm="1">
        <f t="array" aca="1" ref="B170" ca="1">replaceChar(LOWER(LEFT(D170,3)&amp;RIGHT(I170,3))&amp;LEFT(H170,4))</f>
        <v>beaboa1149</v>
      </c>
      <c r="C170" t="str">
        <f t="shared" ca="1" si="20"/>
        <v>pswbeaboa1149</v>
      </c>
      <c r="D170" t="str">
        <f ca="1">Nomes!T171</f>
        <v>Beatriz Gabriel Assunção Vicente</v>
      </c>
      <c r="E170" t="str">
        <f ca="1">Nomes!S171</f>
        <v>Feminino</v>
      </c>
      <c r="F170" s="2">
        <v>19794</v>
      </c>
      <c r="G170" t="str" cm="1">
        <f t="array" aca="1" ref="G170" ca="1">INDEX(rua_cod!$F:$F,RANDBETWEEN(2,COUNTA(rua_cod!F:F)))</f>
        <v>Rua Cidade de Bolama</v>
      </c>
      <c r="H170" t="str" cm="1">
        <f t="array" aca="1" ref="H170" ca="1">INDEX(rua_cod!$A:$A,Users!V170) &amp; "-" &amp; TEXT(RANDBETWEEN(0,999),"000")</f>
        <v>1149-132</v>
      </c>
      <c r="I170" t="str" cm="1">
        <f t="array" aca="1" ref="I170" ca="1">INDEX(rua_cod!$B:$B,Users!V170)</f>
        <v>Lisboa</v>
      </c>
      <c r="J170" t="s">
        <v>3727</v>
      </c>
      <c r="K170" t="s">
        <v>225</v>
      </c>
      <c r="L170" t="s">
        <v>265</v>
      </c>
      <c r="M170" t="str">
        <f t="shared" ca="1" si="21"/>
        <v>33319541</v>
      </c>
      <c r="N170" t="str">
        <f t="shared" ca="1" si="22"/>
        <v>477363477</v>
      </c>
      <c r="O170" t="str">
        <f t="shared" ca="1" si="22"/>
        <v>736486884</v>
      </c>
      <c r="P170" t="str" cm="1">
        <f t="array" aca="1" ref="P170" ca="1">9 &amp; INDEX($AF$3:$AF$6,W170)&amp; TEXT(RANDBETWEEN(0,9999999),"0000000")</f>
        <v>910607851</v>
      </c>
      <c r="Q170" t="str" cm="1">
        <f t="array" aca="1" ref="Q170" ca="1">LOWER(B170) &amp; INDEX($AF$9:$AF$11,X170)</f>
        <v>beaboa1149@outlook.com</v>
      </c>
      <c r="R170" t="str">
        <f t="shared" ca="1" si="23"/>
        <v>beaboa1149.jpg</v>
      </c>
      <c r="T170" s="4"/>
      <c r="V170">
        <f ca="1">RANDBETWEEN(2,COUNTA(rua_cod!A:A))</f>
        <v>59</v>
      </c>
      <c r="W170">
        <f t="shared" ca="1" si="24"/>
        <v>1</v>
      </c>
      <c r="X170">
        <f t="shared" ca="1" si="25"/>
        <v>1</v>
      </c>
      <c r="Y170">
        <f t="shared" ca="1" si="26"/>
        <v>1964</v>
      </c>
      <c r="Z170">
        <f t="shared" ca="1" si="27"/>
        <v>9</v>
      </c>
      <c r="AA170">
        <f t="shared" ca="1" si="28"/>
        <v>25</v>
      </c>
      <c r="AB170">
        <f t="shared" ca="1" si="29"/>
        <v>56</v>
      </c>
    </row>
    <row r="171" spans="1:28" x14ac:dyDescent="0.25">
      <c r="A171">
        <v>170</v>
      </c>
      <c r="B171" t="str" cm="1">
        <f t="array" aca="1" ref="B171" ca="1">replaceChar(LOWER(LEFT(D171,3)&amp;RIGHT(I171,3))&amp;LEFT(H171,4))</f>
        <v>marada2800</v>
      </c>
      <c r="C171" t="str">
        <f t="shared" ca="1" si="20"/>
        <v>pswmarada2800</v>
      </c>
      <c r="D171" t="str">
        <f ca="1">Nomes!T172</f>
        <v>Martim Carolina Araújo Ferreira</v>
      </c>
      <c r="E171" t="str">
        <f ca="1">Nomes!S172</f>
        <v>Masculino</v>
      </c>
      <c r="F171" s="2">
        <v>18245</v>
      </c>
      <c r="G171" t="str" cm="1">
        <f t="array" aca="1" ref="G171" ca="1">INDEX(rua_cod!$F:$F,RANDBETWEEN(2,COUNTA(rua_cod!F:F)))</f>
        <v>Estrada Militar</v>
      </c>
      <c r="H171" t="str" cm="1">
        <f t="array" aca="1" ref="H171" ca="1">INDEX(rua_cod!$A:$A,Users!V171) &amp; "-" &amp; TEXT(RANDBETWEEN(0,999),"000")</f>
        <v>2800-890</v>
      </c>
      <c r="I171" t="str" cm="1">
        <f t="array" aca="1" ref="I171" ca="1">INDEX(rua_cod!$B:$B,Users!V171)</f>
        <v>Almada</v>
      </c>
      <c r="J171" t="s">
        <v>3727</v>
      </c>
      <c r="K171" t="s">
        <v>225</v>
      </c>
      <c r="L171" t="s">
        <v>265</v>
      </c>
      <c r="M171" t="str">
        <f t="shared" ca="1" si="21"/>
        <v>96290136</v>
      </c>
      <c r="N171" t="str">
        <f t="shared" ca="1" si="22"/>
        <v>740841246</v>
      </c>
      <c r="O171" t="str">
        <f t="shared" ca="1" si="22"/>
        <v>705100406</v>
      </c>
      <c r="P171" t="str" cm="1">
        <f t="array" aca="1" ref="P171" ca="1">9 &amp; INDEX($AF$3:$AF$6,W171)&amp; TEXT(RANDBETWEEN(0,9999999),"0000000")</f>
        <v>969044977</v>
      </c>
      <c r="Q171" t="str" cm="1">
        <f t="array" aca="1" ref="Q171" ca="1">LOWER(B171) &amp; INDEX($AF$9:$AF$11,X171)</f>
        <v>marada2800@sapo.pt</v>
      </c>
      <c r="R171" t="str">
        <f t="shared" ca="1" si="23"/>
        <v>marada2800.jpg</v>
      </c>
      <c r="T171" s="4"/>
      <c r="V171">
        <f ca="1">RANDBETWEEN(2,COUNTA(rua_cod!A:A))</f>
        <v>2</v>
      </c>
      <c r="W171">
        <f t="shared" ca="1" si="24"/>
        <v>4</v>
      </c>
      <c r="X171">
        <f t="shared" ca="1" si="25"/>
        <v>3</v>
      </c>
      <c r="Y171">
        <f t="shared" ca="1" si="26"/>
        <v>1939</v>
      </c>
      <c r="Z171">
        <f t="shared" ca="1" si="27"/>
        <v>7</v>
      </c>
      <c r="AA171">
        <f t="shared" ca="1" si="28"/>
        <v>22</v>
      </c>
      <c r="AB171">
        <f t="shared" ca="1" si="29"/>
        <v>81</v>
      </c>
    </row>
    <row r="172" spans="1:28" x14ac:dyDescent="0.25">
      <c r="A172">
        <v>171</v>
      </c>
      <c r="B172" t="str" cm="1">
        <f t="array" aca="1" ref="B172" ca="1">replaceChar(LOWER(LEFT(D172,3)&amp;RIGHT(I172,3))&amp;LEFT(H172,4))</f>
        <v>catboa1200</v>
      </c>
      <c r="C172" t="str">
        <f t="shared" ca="1" si="20"/>
        <v>pswcatboa1200</v>
      </c>
      <c r="D172" t="str">
        <f ca="1">Nomes!T173</f>
        <v>Catarina Matilde Nunes Valente</v>
      </c>
      <c r="E172" t="str">
        <f ca="1">Nomes!S173</f>
        <v>Feminino</v>
      </c>
      <c r="F172" s="2">
        <v>36726</v>
      </c>
      <c r="G172" t="str" cm="1">
        <f t="array" aca="1" ref="G172" ca="1">INDEX(rua_cod!$F:$F,RANDBETWEEN(2,COUNTA(rua_cod!F:F)))</f>
        <v>Rua da Betesga</v>
      </c>
      <c r="H172" t="str" cm="1">
        <f t="array" aca="1" ref="H172" ca="1">INDEX(rua_cod!$A:$A,Users!V172) &amp; "-" &amp; TEXT(RANDBETWEEN(0,999),"000")</f>
        <v>1200-160</v>
      </c>
      <c r="I172" t="str" cm="1">
        <f t="array" aca="1" ref="I172" ca="1">INDEX(rua_cod!$B:$B,Users!V172)</f>
        <v>Lisboa</v>
      </c>
      <c r="J172" t="s">
        <v>3727</v>
      </c>
      <c r="K172" t="s">
        <v>225</v>
      </c>
      <c r="L172" t="s">
        <v>265</v>
      </c>
      <c r="M172" t="str">
        <f t="shared" ca="1" si="21"/>
        <v>47797386</v>
      </c>
      <c r="N172" t="str">
        <f t="shared" ca="1" si="22"/>
        <v>417339902</v>
      </c>
      <c r="O172" t="str">
        <f t="shared" ca="1" si="22"/>
        <v>913574408</v>
      </c>
      <c r="P172" t="str" cm="1">
        <f t="array" aca="1" ref="P172" ca="1">9 &amp; INDEX($AF$3:$AF$6,W172)&amp; TEXT(RANDBETWEEN(0,9999999),"0000000")</f>
        <v>926530416</v>
      </c>
      <c r="Q172" t="str" cm="1">
        <f t="array" aca="1" ref="Q172" ca="1">LOWER(B172) &amp; INDEX($AF$9:$AF$11,X172)</f>
        <v>catboa1200@sapo.pt</v>
      </c>
      <c r="R172" t="str">
        <f t="shared" ca="1" si="23"/>
        <v>catboa1200.jpg</v>
      </c>
      <c r="T172" s="4"/>
      <c r="V172">
        <f ca="1">RANDBETWEEN(2,COUNTA(rua_cod!A:A))</f>
        <v>48</v>
      </c>
      <c r="W172">
        <f t="shared" ca="1" si="24"/>
        <v>2</v>
      </c>
      <c r="X172">
        <f t="shared" ca="1" si="25"/>
        <v>3</v>
      </c>
      <c r="Y172">
        <f t="shared" ca="1" si="26"/>
        <v>1971</v>
      </c>
      <c r="Z172">
        <f t="shared" ca="1" si="27"/>
        <v>10</v>
      </c>
      <c r="AA172">
        <f t="shared" ca="1" si="28"/>
        <v>11</v>
      </c>
      <c r="AB172">
        <f t="shared" ca="1" si="29"/>
        <v>49</v>
      </c>
    </row>
    <row r="173" spans="1:28" x14ac:dyDescent="0.25">
      <c r="A173">
        <v>172</v>
      </c>
      <c r="B173" t="str" cm="1">
        <f t="array" aca="1" ref="B173" ca="1">replaceChar(LOWER(LEFT(D173,3)&amp;RIGHT(I173,3))&amp;LEFT(H173,4))</f>
        <v>sofora2650</v>
      </c>
      <c r="C173" t="str">
        <f t="shared" ca="1" si="20"/>
        <v>pswsofora2650</v>
      </c>
      <c r="D173" t="str">
        <f ca="1">Nomes!T174</f>
        <v>Sofia Tiago Azevedo Matias</v>
      </c>
      <c r="E173" t="str">
        <f ca="1">Nomes!S174</f>
        <v>Feminino</v>
      </c>
      <c r="F173" s="2">
        <v>21504</v>
      </c>
      <c r="G173" t="str" cm="1">
        <f t="array" aca="1" ref="G173" ca="1">INDEX(rua_cod!$F:$F,RANDBETWEEN(2,COUNTA(rua_cod!F:F)))</f>
        <v>Avenida Ressano Garcia</v>
      </c>
      <c r="H173" t="str" cm="1">
        <f t="array" aca="1" ref="H173" ca="1">INDEX(rua_cod!$A:$A,Users!V173) &amp; "-" &amp; TEXT(RANDBETWEEN(0,999),"000")</f>
        <v>2650-354</v>
      </c>
      <c r="I173" t="str" cm="1">
        <f t="array" aca="1" ref="I173" ca="1">INDEX(rua_cod!$B:$B,Users!V173)</f>
        <v>Amadora</v>
      </c>
      <c r="J173" t="s">
        <v>3727</v>
      </c>
      <c r="K173" t="s">
        <v>225</v>
      </c>
      <c r="L173" t="s">
        <v>265</v>
      </c>
      <c r="M173" t="str">
        <f t="shared" ca="1" si="21"/>
        <v>22671804</v>
      </c>
      <c r="N173" t="str">
        <f t="shared" ca="1" si="22"/>
        <v>453981449</v>
      </c>
      <c r="O173" t="str">
        <f t="shared" ca="1" si="22"/>
        <v>436634217</v>
      </c>
      <c r="P173" t="str" cm="1">
        <f t="array" aca="1" ref="P173" ca="1">9 &amp; INDEX($AF$3:$AF$6,W173)&amp; TEXT(RANDBETWEEN(0,9999999),"0000000")</f>
        <v>927989386</v>
      </c>
      <c r="Q173" t="str" cm="1">
        <f t="array" aca="1" ref="Q173" ca="1">LOWER(B173) &amp; INDEX($AF$9:$AF$11,X173)</f>
        <v>sofora2650@outlook.com</v>
      </c>
      <c r="R173" t="str">
        <f t="shared" ca="1" si="23"/>
        <v>sofora2650.jpg</v>
      </c>
      <c r="T173" s="4"/>
      <c r="V173">
        <f ca="1">RANDBETWEEN(2,COUNTA(rua_cod!A:A))</f>
        <v>9</v>
      </c>
      <c r="W173">
        <f t="shared" ca="1" si="24"/>
        <v>2</v>
      </c>
      <c r="X173">
        <f t="shared" ca="1" si="25"/>
        <v>1</v>
      </c>
      <c r="Y173">
        <f t="shared" ca="1" si="26"/>
        <v>1960</v>
      </c>
      <c r="Z173">
        <f t="shared" ca="1" si="27"/>
        <v>10</v>
      </c>
      <c r="AA173">
        <f t="shared" ca="1" si="28"/>
        <v>12</v>
      </c>
      <c r="AB173">
        <f t="shared" ca="1" si="29"/>
        <v>60</v>
      </c>
    </row>
    <row r="174" spans="1:28" x14ac:dyDescent="0.25">
      <c r="A174">
        <v>173</v>
      </c>
      <c r="B174" t="str" cm="1">
        <f t="array" aca="1" ref="B174" ca="1">replaceChar(LOWER(LEFT(D174,3)&amp;RIGHT(I174,3))&amp;LEFT(H174,4))</f>
        <v>diorem2000</v>
      </c>
      <c r="C174" t="str">
        <f t="shared" ca="1" si="20"/>
        <v>pswdiorem2000</v>
      </c>
      <c r="D174" t="str">
        <f ca="1">Nomes!T175</f>
        <v>Diogo Afonso Araújo Garcia</v>
      </c>
      <c r="E174" t="str">
        <f ca="1">Nomes!S175</f>
        <v>Masculino</v>
      </c>
      <c r="F174" s="2">
        <v>20070</v>
      </c>
      <c r="G174" t="str" cm="1">
        <f t="array" aca="1" ref="G174" ca="1">INDEX(rua_cod!$F:$F,RANDBETWEEN(2,COUNTA(rua_cod!F:F)))</f>
        <v>Rua dos Fanqueiros</v>
      </c>
      <c r="H174" t="str" cm="1">
        <f t="array" aca="1" ref="H174" ca="1">INDEX(rua_cod!$A:$A,Users!V174) &amp; "-" &amp; TEXT(RANDBETWEEN(0,999),"000")</f>
        <v>2000-885</v>
      </c>
      <c r="I174" t="str" cm="1">
        <f t="array" aca="1" ref="I174" ca="1">INDEX(rua_cod!$B:$B,Users!V174)</f>
        <v>Santarém</v>
      </c>
      <c r="J174" t="s">
        <v>3727</v>
      </c>
      <c r="K174" t="s">
        <v>225</v>
      </c>
      <c r="L174" t="s">
        <v>265</v>
      </c>
      <c r="M174" t="str">
        <f t="shared" ca="1" si="21"/>
        <v>29232166</v>
      </c>
      <c r="N174" t="str">
        <f t="shared" ca="1" si="22"/>
        <v>848777741</v>
      </c>
      <c r="O174" t="str">
        <f t="shared" ca="1" si="22"/>
        <v>224493829</v>
      </c>
      <c r="P174" t="str" cm="1">
        <f t="array" aca="1" ref="P174" ca="1">9 &amp; INDEX($AF$3:$AF$6,W174)&amp; TEXT(RANDBETWEEN(0,9999999),"0000000")</f>
        <v>969844671</v>
      </c>
      <c r="Q174" t="str" cm="1">
        <f t="array" aca="1" ref="Q174" ca="1">LOWER(B174) &amp; INDEX($AF$9:$AF$11,X174)</f>
        <v>diorem2000@sapo.pt</v>
      </c>
      <c r="R174" t="str">
        <f t="shared" ca="1" si="23"/>
        <v>diorem2000.jpg</v>
      </c>
      <c r="T174" s="4"/>
      <c r="V174">
        <f ca="1">RANDBETWEEN(2,COUNTA(rua_cod!A:A))</f>
        <v>93</v>
      </c>
      <c r="W174">
        <f t="shared" ca="1" si="24"/>
        <v>4</v>
      </c>
      <c r="X174">
        <f t="shared" ca="1" si="25"/>
        <v>3</v>
      </c>
      <c r="Y174">
        <f t="shared" ca="1" si="26"/>
        <v>1950</v>
      </c>
      <c r="Z174">
        <f t="shared" ca="1" si="27"/>
        <v>8</v>
      </c>
      <c r="AA174">
        <f t="shared" ca="1" si="28"/>
        <v>19</v>
      </c>
      <c r="AB174">
        <f t="shared" ca="1" si="29"/>
        <v>70</v>
      </c>
    </row>
    <row r="175" spans="1:28" x14ac:dyDescent="0.25">
      <c r="A175">
        <v>174</v>
      </c>
      <c r="B175" t="str" cm="1">
        <f t="array" aca="1" ref="B175" ca="1">replaceChar(LOWER(LEFT(D175,3)&amp;RIGHT(I175,3))&amp;LEFT(H175,4))</f>
        <v>afoada2809</v>
      </c>
      <c r="C175" t="str">
        <f t="shared" ca="1" si="20"/>
        <v>pswafoada2809</v>
      </c>
      <c r="D175" t="str">
        <f ca="1">Nomes!T176</f>
        <v>Afonso Bruno Vaz Alves</v>
      </c>
      <c r="E175" t="str">
        <f ca="1">Nomes!S176</f>
        <v>Masculino</v>
      </c>
      <c r="F175" s="2">
        <v>24653</v>
      </c>
      <c r="G175" t="str" cm="1">
        <f t="array" aca="1" ref="G175" ca="1">INDEX(rua_cod!$F:$F,RANDBETWEEN(2,COUNTA(rua_cod!F:F)))</f>
        <v>Rua da Prata</v>
      </c>
      <c r="H175" t="str" cm="1">
        <f t="array" aca="1" ref="H175" ca="1">INDEX(rua_cod!$A:$A,Users!V175) &amp; "-" &amp; TEXT(RANDBETWEEN(0,999),"000")</f>
        <v>2809-826</v>
      </c>
      <c r="I175" t="str" cm="1">
        <f t="array" aca="1" ref="I175" ca="1">INDEX(rua_cod!$B:$B,Users!V175)</f>
        <v>Almada</v>
      </c>
      <c r="J175" t="s">
        <v>3727</v>
      </c>
      <c r="K175" t="s">
        <v>225</v>
      </c>
      <c r="L175" t="s">
        <v>265</v>
      </c>
      <c r="M175" t="str">
        <f t="shared" ca="1" si="21"/>
        <v>95165471</v>
      </c>
      <c r="N175" t="str">
        <f t="shared" ca="1" si="22"/>
        <v>875213379</v>
      </c>
      <c r="O175" t="str">
        <f t="shared" ca="1" si="22"/>
        <v>970068210</v>
      </c>
      <c r="P175" t="str" cm="1">
        <f t="array" aca="1" ref="P175" ca="1">9 &amp; INDEX($AF$3:$AF$6,W175)&amp; TEXT(RANDBETWEEN(0,9999999),"0000000")</f>
        <v>935994936</v>
      </c>
      <c r="Q175" t="str" cm="1">
        <f t="array" aca="1" ref="Q175" ca="1">LOWER(B175) &amp; INDEX($AF$9:$AF$11,X175)</f>
        <v>afoada2809@sapo.pt</v>
      </c>
      <c r="R175" t="str">
        <f t="shared" ca="1" si="23"/>
        <v>afoada2809.jpg</v>
      </c>
      <c r="T175" s="4"/>
      <c r="V175">
        <f ca="1">RANDBETWEEN(2,COUNTA(rua_cod!A:A))</f>
        <v>5</v>
      </c>
      <c r="W175">
        <f t="shared" ca="1" si="24"/>
        <v>3</v>
      </c>
      <c r="X175">
        <f t="shared" ca="1" si="25"/>
        <v>3</v>
      </c>
      <c r="Y175">
        <f t="shared" ca="1" si="26"/>
        <v>2013</v>
      </c>
      <c r="Z175">
        <f t="shared" ca="1" si="27"/>
        <v>1</v>
      </c>
      <c r="AA175">
        <f t="shared" ca="1" si="28"/>
        <v>8</v>
      </c>
      <c r="AB175">
        <f t="shared" ca="1" si="29"/>
        <v>7</v>
      </c>
    </row>
    <row r="176" spans="1:28" x14ac:dyDescent="0.25">
      <c r="A176">
        <v>175</v>
      </c>
      <c r="B176" t="str" cm="1">
        <f t="array" aca="1" ref="B176" ca="1">replaceChar(LOWER(LEFT(D176,3)&amp;RIGHT(I176,3))&amp;LEFT(H176,4))</f>
        <v>dioboa1099</v>
      </c>
      <c r="C176" t="str">
        <f t="shared" ca="1" si="20"/>
        <v>pswdioboa1099</v>
      </c>
      <c r="D176" t="str">
        <f ca="1">Nomes!T177</f>
        <v>Diogo Catarina Monteiro Guerreiro</v>
      </c>
      <c r="E176" t="str">
        <f ca="1">Nomes!S177</f>
        <v>Masculino</v>
      </c>
      <c r="F176" s="2">
        <v>43783</v>
      </c>
      <c r="G176" t="str" cm="1">
        <f t="array" aca="1" ref="G176" ca="1">INDEX(rua_cod!$F:$F,RANDBETWEEN(2,COUNTA(rua_cod!F:F)))</f>
        <v>Rua Nova do Almada</v>
      </c>
      <c r="H176" t="str" cm="1">
        <f t="array" aca="1" ref="H176" ca="1">INDEX(rua_cod!$A:$A,Users!V176) &amp; "-" &amp; TEXT(RANDBETWEEN(0,999),"000")</f>
        <v>1099-121</v>
      </c>
      <c r="I176" t="str" cm="1">
        <f t="array" aca="1" ref="I176" ca="1">INDEX(rua_cod!$B:$B,Users!V176)</f>
        <v>Lisboa</v>
      </c>
      <c r="J176" t="s">
        <v>3727</v>
      </c>
      <c r="K176" t="s">
        <v>225</v>
      </c>
      <c r="L176" t="s">
        <v>265</v>
      </c>
      <c r="M176" t="str">
        <f t="shared" ca="1" si="21"/>
        <v>96306705</v>
      </c>
      <c r="N176" t="str">
        <f t="shared" ca="1" si="22"/>
        <v>460430220</v>
      </c>
      <c r="O176" t="str">
        <f t="shared" ca="1" si="22"/>
        <v>960562613</v>
      </c>
      <c r="P176" t="str" cm="1">
        <f t="array" aca="1" ref="P176" ca="1">9 &amp; INDEX($AF$3:$AF$6,W176)&amp; TEXT(RANDBETWEEN(0,9999999),"0000000")</f>
        <v>929590520</v>
      </c>
      <c r="Q176" t="str" cm="1">
        <f t="array" aca="1" ref="Q176" ca="1">LOWER(B176) &amp; INDEX($AF$9:$AF$11,X176)</f>
        <v>dioboa1099@outlook.com</v>
      </c>
      <c r="R176" t="str">
        <f t="shared" ca="1" si="23"/>
        <v>dioboa1099.jpg</v>
      </c>
      <c r="T176" s="4"/>
      <c r="V176">
        <f ca="1">RANDBETWEEN(2,COUNTA(rua_cod!A:A))</f>
        <v>53</v>
      </c>
      <c r="W176">
        <f t="shared" ca="1" si="24"/>
        <v>2</v>
      </c>
      <c r="X176">
        <f t="shared" ca="1" si="25"/>
        <v>1</v>
      </c>
      <c r="Y176">
        <f t="shared" ca="1" si="26"/>
        <v>1947</v>
      </c>
      <c r="Z176">
        <f t="shared" ca="1" si="27"/>
        <v>10</v>
      </c>
      <c r="AA176">
        <f t="shared" ca="1" si="28"/>
        <v>15</v>
      </c>
      <c r="AB176">
        <f t="shared" ca="1" si="29"/>
        <v>73</v>
      </c>
    </row>
    <row r="177" spans="1:28" x14ac:dyDescent="0.25">
      <c r="A177">
        <v>176</v>
      </c>
      <c r="B177" t="str" cm="1">
        <f t="array" aca="1" ref="B177" ca="1">replaceChar(LOWER(LEFT(D177,3)&amp;RIGHT(I177,3))&amp;LEFT(H177,4))</f>
        <v>bealuz2745</v>
      </c>
      <c r="C177" t="str">
        <f t="shared" ca="1" si="20"/>
        <v>pswbealuz2745</v>
      </c>
      <c r="D177" t="str">
        <f ca="1">Nomes!T178</f>
        <v>Beatriz Matilde Almeida Moreira</v>
      </c>
      <c r="E177" t="str">
        <f ca="1">Nomes!S178</f>
        <v>Feminino</v>
      </c>
      <c r="F177" s="2">
        <v>36076</v>
      </c>
      <c r="G177" t="str" cm="1">
        <f t="array" aca="1" ref="G177" ca="1">INDEX(rua_cod!$F:$F,RANDBETWEEN(2,COUNTA(rua_cod!F:F)))</f>
        <v>Calçada do Poço dos Mouros</v>
      </c>
      <c r="H177" t="str" cm="1">
        <f t="array" aca="1" ref="H177" ca="1">INDEX(rua_cod!$A:$A,Users!V177) &amp; "-" &amp; TEXT(RANDBETWEEN(0,999),"000")</f>
        <v>2745-897</v>
      </c>
      <c r="I177" t="str" cm="1">
        <f t="array" aca="1" ref="I177" ca="1">INDEX(rua_cod!$B:$B,Users!V177)</f>
        <v>Queluz</v>
      </c>
      <c r="J177" t="s">
        <v>3727</v>
      </c>
      <c r="K177" t="s">
        <v>225</v>
      </c>
      <c r="L177" t="s">
        <v>265</v>
      </c>
      <c r="M177" t="str">
        <f t="shared" ca="1" si="21"/>
        <v>86690434</v>
      </c>
      <c r="N177" t="str">
        <f t="shared" ca="1" si="22"/>
        <v>796972972</v>
      </c>
      <c r="O177" t="str">
        <f t="shared" ca="1" si="22"/>
        <v>796126753</v>
      </c>
      <c r="P177" t="str" cm="1">
        <f t="array" aca="1" ref="P177" ca="1">9 &amp; INDEX($AF$3:$AF$6,W177)&amp; TEXT(RANDBETWEEN(0,9999999),"0000000")</f>
        <v>929086050</v>
      </c>
      <c r="Q177" t="str" cm="1">
        <f t="array" aca="1" ref="Q177" ca="1">LOWER(B177) &amp; INDEX($AF$9:$AF$11,X177)</f>
        <v>bealuz2745@gmail.com</v>
      </c>
      <c r="R177" t="str">
        <f t="shared" ca="1" si="23"/>
        <v>bealuz2745.jpg</v>
      </c>
      <c r="T177" s="4"/>
      <c r="V177">
        <f ca="1">RANDBETWEEN(2,COUNTA(rua_cod!A:A))</f>
        <v>90</v>
      </c>
      <c r="W177">
        <f t="shared" ca="1" si="24"/>
        <v>2</v>
      </c>
      <c r="X177">
        <f t="shared" ca="1" si="25"/>
        <v>2</v>
      </c>
      <c r="Y177">
        <f t="shared" ca="1" si="26"/>
        <v>1989</v>
      </c>
      <c r="Z177">
        <f t="shared" ca="1" si="27"/>
        <v>10</v>
      </c>
      <c r="AA177">
        <f t="shared" ca="1" si="28"/>
        <v>28</v>
      </c>
      <c r="AB177">
        <f t="shared" ca="1" si="29"/>
        <v>31</v>
      </c>
    </row>
    <row r="178" spans="1:28" x14ac:dyDescent="0.25">
      <c r="A178">
        <v>177</v>
      </c>
      <c r="B178" t="str" cm="1">
        <f t="array" aca="1" ref="B178" ca="1">replaceChar(LOWER(LEFT(D178,3)&amp;RIGHT(I178,3))&amp;LEFT(H178,4))</f>
        <v>frafra2644</v>
      </c>
      <c r="C178" t="str">
        <f t="shared" ca="1" si="20"/>
        <v>pswfrafra2644</v>
      </c>
      <c r="D178" t="str">
        <f ca="1">Nomes!T179</f>
        <v>Francisco Rodrigo Ramos Mendes</v>
      </c>
      <c r="E178" t="str">
        <f ca="1">Nomes!S179</f>
        <v>Masculino</v>
      </c>
      <c r="F178" s="2">
        <v>25872</v>
      </c>
      <c r="G178" t="str" cm="1">
        <f t="array" aca="1" ref="G178" ca="1">INDEX(rua_cod!$F:$F,RANDBETWEEN(2,COUNTA(rua_cod!F:F)))</f>
        <v>Rua Roberto Duarte Silva</v>
      </c>
      <c r="H178" t="str" cm="1">
        <f t="array" aca="1" ref="H178" ca="1">INDEX(rua_cod!$A:$A,Users!V178) &amp; "-" &amp; TEXT(RANDBETWEEN(0,999),"000")</f>
        <v>2644-370</v>
      </c>
      <c r="I178" t="str" cm="1">
        <f t="array" aca="1" ref="I178" ca="1">INDEX(rua_cod!$B:$B,Users!V178)</f>
        <v>Mafra</v>
      </c>
      <c r="J178" t="s">
        <v>3727</v>
      </c>
      <c r="K178" t="s">
        <v>225</v>
      </c>
      <c r="L178" t="s">
        <v>265</v>
      </c>
      <c r="M178" t="str">
        <f t="shared" ca="1" si="21"/>
        <v>90882805</v>
      </c>
      <c r="N178" t="str">
        <f t="shared" ca="1" si="22"/>
        <v>874932694</v>
      </c>
      <c r="O178" t="str">
        <f t="shared" ca="1" si="22"/>
        <v>126874567</v>
      </c>
      <c r="P178" t="str" cm="1">
        <f t="array" aca="1" ref="P178" ca="1">9 &amp; INDEX($AF$3:$AF$6,W178)&amp; TEXT(RANDBETWEEN(0,9999999),"0000000")</f>
        <v>921310513</v>
      </c>
      <c r="Q178" t="str" cm="1">
        <f t="array" aca="1" ref="Q178" ca="1">LOWER(B178) &amp; INDEX($AF$9:$AF$11,X178)</f>
        <v>frafra2644@gmail.com</v>
      </c>
      <c r="R178" t="str">
        <f t="shared" ca="1" si="23"/>
        <v>frafra2644.jpg</v>
      </c>
      <c r="T178" s="4"/>
      <c r="V178">
        <f ca="1">RANDBETWEEN(2,COUNTA(rua_cod!A:A))</f>
        <v>86</v>
      </c>
      <c r="W178">
        <f t="shared" ca="1" si="24"/>
        <v>2</v>
      </c>
      <c r="X178">
        <f t="shared" ca="1" si="25"/>
        <v>2</v>
      </c>
      <c r="Y178">
        <f t="shared" ca="1" si="26"/>
        <v>1940</v>
      </c>
      <c r="Z178">
        <f t="shared" ca="1" si="27"/>
        <v>5</v>
      </c>
      <c r="AA178">
        <f t="shared" ca="1" si="28"/>
        <v>9</v>
      </c>
      <c r="AB178">
        <f t="shared" ca="1" si="29"/>
        <v>80</v>
      </c>
    </row>
    <row r="179" spans="1:28" x14ac:dyDescent="0.25">
      <c r="A179">
        <v>178</v>
      </c>
      <c r="B179" t="str" cm="1">
        <f t="array" aca="1" ref="B179" ca="1">replaceChar(LOWER(LEFT(D179,3)&amp;RIGHT(I179,3))&amp;LEFT(H179,4))</f>
        <v>bearia2410</v>
      </c>
      <c r="C179" t="str">
        <f t="shared" ca="1" si="20"/>
        <v>pswbearia2410</v>
      </c>
      <c r="D179" t="str">
        <f ca="1">Nomes!T180</f>
        <v>Beatriz Daniela Gomes Pereira</v>
      </c>
      <c r="E179" t="str">
        <f ca="1">Nomes!S180</f>
        <v>Feminino</v>
      </c>
      <c r="F179" s="2">
        <v>30608</v>
      </c>
      <c r="G179" t="str" cm="1">
        <f t="array" aca="1" ref="G179" ca="1">INDEX(rua_cod!$F:$F,RANDBETWEEN(2,COUNTA(rua_cod!F:F)))</f>
        <v>Rua Ferreira Lapa</v>
      </c>
      <c r="H179" t="str" cm="1">
        <f t="array" aca="1" ref="H179" ca="1">INDEX(rua_cod!$A:$A,Users!V179) &amp; "-" &amp; TEXT(RANDBETWEEN(0,999),"000")</f>
        <v>2410-510</v>
      </c>
      <c r="I179" t="str" cm="1">
        <f t="array" aca="1" ref="I179" ca="1">INDEX(rua_cod!$B:$B,Users!V179)</f>
        <v>Leiria</v>
      </c>
      <c r="J179" t="s">
        <v>3727</v>
      </c>
      <c r="K179" t="s">
        <v>225</v>
      </c>
      <c r="L179" t="s">
        <v>265</v>
      </c>
      <c r="M179" t="str">
        <f t="shared" ca="1" si="21"/>
        <v>69219366</v>
      </c>
      <c r="N179" t="str">
        <f t="shared" ca="1" si="22"/>
        <v>630836019</v>
      </c>
      <c r="O179" t="str">
        <f t="shared" ca="1" si="22"/>
        <v>234769106</v>
      </c>
      <c r="P179" t="str" cm="1">
        <f t="array" aca="1" ref="P179" ca="1">9 &amp; INDEX($AF$3:$AF$6,W179)&amp; TEXT(RANDBETWEEN(0,9999999),"0000000")</f>
        <v>929115443</v>
      </c>
      <c r="Q179" t="str" cm="1">
        <f t="array" aca="1" ref="Q179" ca="1">LOWER(B179) &amp; INDEX($AF$9:$AF$11,X179)</f>
        <v>bearia2410@sapo.pt</v>
      </c>
      <c r="R179" t="str">
        <f t="shared" ca="1" si="23"/>
        <v>bearia2410.jpg</v>
      </c>
      <c r="T179" s="4"/>
      <c r="V179">
        <f ca="1">RANDBETWEEN(2,COUNTA(rua_cod!A:A))</f>
        <v>34</v>
      </c>
      <c r="W179">
        <f t="shared" ca="1" si="24"/>
        <v>2</v>
      </c>
      <c r="X179">
        <f t="shared" ca="1" si="25"/>
        <v>3</v>
      </c>
      <c r="Y179">
        <f t="shared" ca="1" si="26"/>
        <v>1979</v>
      </c>
      <c r="Z179">
        <f t="shared" ca="1" si="27"/>
        <v>12</v>
      </c>
      <c r="AA179">
        <f t="shared" ca="1" si="28"/>
        <v>5</v>
      </c>
      <c r="AB179">
        <f t="shared" ca="1" si="29"/>
        <v>41</v>
      </c>
    </row>
    <row r="180" spans="1:28" x14ac:dyDescent="0.25">
      <c r="A180">
        <v>179</v>
      </c>
      <c r="B180" t="str" cm="1">
        <f t="array" aca="1" ref="B180" ca="1">replaceChar(LOWER(LEFT(D180,3)&amp;RIGHT(I180,3))&amp;LEFT(H180,4))</f>
        <v>carboa1900</v>
      </c>
      <c r="C180" t="str">
        <f t="shared" ca="1" si="20"/>
        <v>pswcarboa1900</v>
      </c>
      <c r="D180" t="str">
        <f ca="1">Nomes!T181</f>
        <v>Carolina Carolina Loureiro Henriques</v>
      </c>
      <c r="E180" t="str">
        <f ca="1">Nomes!S181</f>
        <v>Feminino</v>
      </c>
      <c r="F180" s="2">
        <v>22927</v>
      </c>
      <c r="G180" t="str" cm="1">
        <f t="array" aca="1" ref="G180" ca="1">INDEX(rua_cod!$F:$F,RANDBETWEEN(2,COUNTA(rua_cod!F:F)))</f>
        <v>Rua do Carmo</v>
      </c>
      <c r="H180" t="str" cm="1">
        <f t="array" aca="1" ref="H180" ca="1">INDEX(rua_cod!$A:$A,Users!V180) &amp; "-" &amp; TEXT(RANDBETWEEN(0,999),"000")</f>
        <v>1900-435</v>
      </c>
      <c r="I180" t="str" cm="1">
        <f t="array" aca="1" ref="I180" ca="1">INDEX(rua_cod!$B:$B,Users!V180)</f>
        <v>Lisboa</v>
      </c>
      <c r="J180" t="s">
        <v>3727</v>
      </c>
      <c r="K180" t="s">
        <v>225</v>
      </c>
      <c r="L180" t="s">
        <v>265</v>
      </c>
      <c r="M180" t="str">
        <f t="shared" ca="1" si="21"/>
        <v>96141610</v>
      </c>
      <c r="N180" t="str">
        <f t="shared" ca="1" si="22"/>
        <v>976769140</v>
      </c>
      <c r="O180" t="str">
        <f t="shared" ca="1" si="22"/>
        <v>134962494</v>
      </c>
      <c r="P180" t="str" cm="1">
        <f t="array" aca="1" ref="P180" ca="1">9 &amp; INDEX($AF$3:$AF$6,W180)&amp; TEXT(RANDBETWEEN(0,9999999),"0000000")</f>
        <v>936343720</v>
      </c>
      <c r="Q180" t="str" cm="1">
        <f t="array" aca="1" ref="Q180" ca="1">LOWER(B180) &amp; INDEX($AF$9:$AF$11,X180)</f>
        <v>carboa1900@gmail.com</v>
      </c>
      <c r="R180" t="str">
        <f t="shared" ca="1" si="23"/>
        <v>carboa1900.jpg</v>
      </c>
      <c r="T180" s="4"/>
      <c r="V180">
        <f ca="1">RANDBETWEEN(2,COUNTA(rua_cod!A:A))</f>
        <v>42</v>
      </c>
      <c r="W180">
        <f t="shared" ca="1" si="24"/>
        <v>3</v>
      </c>
      <c r="X180">
        <f t="shared" ca="1" si="25"/>
        <v>2</v>
      </c>
      <c r="Y180">
        <f t="shared" ca="1" si="26"/>
        <v>1965</v>
      </c>
      <c r="Z180">
        <f t="shared" ca="1" si="27"/>
        <v>6</v>
      </c>
      <c r="AA180">
        <f t="shared" ca="1" si="28"/>
        <v>14</v>
      </c>
      <c r="AB180">
        <f t="shared" ca="1" si="29"/>
        <v>55</v>
      </c>
    </row>
    <row r="181" spans="1:28" x14ac:dyDescent="0.25">
      <c r="A181">
        <v>180</v>
      </c>
      <c r="B181" t="str" cm="1">
        <f t="array" aca="1" ref="B181" ca="1">replaceChar(LOWER(LEFT(D181,3)&amp;RIGHT(I181,3))&amp;LEFT(H181,4))</f>
        <v>bruais2750</v>
      </c>
      <c r="C181" t="str">
        <f t="shared" ca="1" si="20"/>
        <v>pswbruais2750</v>
      </c>
      <c r="D181" t="str">
        <f ca="1">Nomes!T182</f>
        <v>Bruno Diana Loureiro Gaspar</v>
      </c>
      <c r="E181" t="str">
        <f ca="1">Nomes!S182</f>
        <v>Masculino</v>
      </c>
      <c r="F181" s="2">
        <v>42761</v>
      </c>
      <c r="G181" t="str" cm="1">
        <f t="array" aca="1" ref="G181" ca="1">INDEX(rua_cod!$F:$F,RANDBETWEEN(2,COUNTA(rua_cod!F:F)))</f>
        <v>Rua Garrett</v>
      </c>
      <c r="H181" t="str" cm="1">
        <f t="array" aca="1" ref="H181" ca="1">INDEX(rua_cod!$A:$A,Users!V181) &amp; "-" &amp; TEXT(RANDBETWEEN(0,999),"000")</f>
        <v>2750-254</v>
      </c>
      <c r="I181" t="str" cm="1">
        <f t="array" aca="1" ref="I181" ca="1">INDEX(rua_cod!$B:$B,Users!V181)</f>
        <v>Cascais</v>
      </c>
      <c r="J181" t="s">
        <v>3727</v>
      </c>
      <c r="K181" t="s">
        <v>225</v>
      </c>
      <c r="L181" t="s">
        <v>265</v>
      </c>
      <c r="M181" t="str">
        <f t="shared" ca="1" si="21"/>
        <v>82254152</v>
      </c>
      <c r="N181" t="str">
        <f t="shared" ca="1" si="22"/>
        <v>711321486</v>
      </c>
      <c r="O181" t="str">
        <f t="shared" ca="1" si="22"/>
        <v>831346384</v>
      </c>
      <c r="P181" t="str" cm="1">
        <f t="array" aca="1" ref="P181" ca="1">9 &amp; INDEX($AF$3:$AF$6,W181)&amp; TEXT(RANDBETWEEN(0,9999999),"0000000")</f>
        <v>919359672</v>
      </c>
      <c r="Q181" t="str" cm="1">
        <f t="array" aca="1" ref="Q181" ca="1">LOWER(B181) &amp; INDEX($AF$9:$AF$11,X181)</f>
        <v>bruais2750@outlook.com</v>
      </c>
      <c r="R181" t="str">
        <f t="shared" ca="1" si="23"/>
        <v>bruais2750.jpg</v>
      </c>
      <c r="T181" s="4"/>
      <c r="V181">
        <f ca="1">RANDBETWEEN(2,COUNTA(rua_cod!A:A))</f>
        <v>24</v>
      </c>
      <c r="W181">
        <f t="shared" ca="1" si="24"/>
        <v>1</v>
      </c>
      <c r="X181">
        <f t="shared" ca="1" si="25"/>
        <v>1</v>
      </c>
      <c r="Y181">
        <f t="shared" ca="1" si="26"/>
        <v>2001</v>
      </c>
      <c r="Z181">
        <f t="shared" ca="1" si="27"/>
        <v>5</v>
      </c>
      <c r="AA181">
        <f t="shared" ca="1" si="28"/>
        <v>26</v>
      </c>
      <c r="AB181">
        <f t="shared" ca="1" si="29"/>
        <v>19</v>
      </c>
    </row>
    <row r="182" spans="1:28" x14ac:dyDescent="0.25">
      <c r="A182">
        <v>181</v>
      </c>
      <c r="B182" t="str" cm="1">
        <f t="array" aca="1" ref="B182" ca="1">replaceChar(LOWER(LEFT(D182,3)&amp;RIGHT(I182,3))&amp;LEFT(H182,4))</f>
        <v>matora2720</v>
      </c>
      <c r="C182" t="str">
        <f t="shared" ca="1" si="20"/>
        <v>pswmatora2720</v>
      </c>
      <c r="D182" t="str">
        <f ca="1">Nomes!T183</f>
        <v>Matilde Bruno Anjos Neto</v>
      </c>
      <c r="E182" t="str">
        <f ca="1">Nomes!S183</f>
        <v>Feminino</v>
      </c>
      <c r="F182" s="2">
        <v>13720</v>
      </c>
      <c r="G182" t="str" cm="1">
        <f t="array" aca="1" ref="G182" ca="1">INDEX(rua_cod!$F:$F,RANDBETWEEN(2,COUNTA(rua_cod!F:F)))</f>
        <v>Rua do Instituto Bacteriológico</v>
      </c>
      <c r="H182" t="str" cm="1">
        <f t="array" aca="1" ref="H182" ca="1">INDEX(rua_cod!$A:$A,Users!V182) &amp; "-" &amp; TEXT(RANDBETWEEN(0,999),"000")</f>
        <v>2720-803</v>
      </c>
      <c r="I182" t="str" cm="1">
        <f t="array" aca="1" ref="I182" ca="1">INDEX(rua_cod!$B:$B,Users!V182)</f>
        <v>Amadora</v>
      </c>
      <c r="J182" t="s">
        <v>3727</v>
      </c>
      <c r="K182" t="s">
        <v>225</v>
      </c>
      <c r="L182" t="s">
        <v>265</v>
      </c>
      <c r="M182" t="str">
        <f t="shared" ca="1" si="21"/>
        <v>43260902</v>
      </c>
      <c r="N182" t="str">
        <f t="shared" ca="1" si="22"/>
        <v>527278058</v>
      </c>
      <c r="O182" t="str">
        <f t="shared" ca="1" si="22"/>
        <v>599410286</v>
      </c>
      <c r="P182" t="str" cm="1">
        <f t="array" aca="1" ref="P182" ca="1">9 &amp; INDEX($AF$3:$AF$6,W182)&amp; TEXT(RANDBETWEEN(0,9999999),"0000000")</f>
        <v>926125939</v>
      </c>
      <c r="Q182" t="str" cm="1">
        <f t="array" aca="1" ref="Q182" ca="1">LOWER(B182) &amp; INDEX($AF$9:$AF$11,X182)</f>
        <v>matora2720@gmail.com</v>
      </c>
      <c r="R182" t="str">
        <f t="shared" ca="1" si="23"/>
        <v>matora2720.jpg</v>
      </c>
      <c r="T182" s="4"/>
      <c r="V182">
        <f ca="1">RANDBETWEEN(2,COUNTA(rua_cod!A:A))</f>
        <v>8</v>
      </c>
      <c r="W182">
        <f t="shared" ca="1" si="24"/>
        <v>2</v>
      </c>
      <c r="X182">
        <f t="shared" ca="1" si="25"/>
        <v>2</v>
      </c>
      <c r="Y182">
        <f t="shared" ca="1" si="26"/>
        <v>1999</v>
      </c>
      <c r="Z182">
        <f t="shared" ca="1" si="27"/>
        <v>2</v>
      </c>
      <c r="AA182">
        <f t="shared" ca="1" si="28"/>
        <v>17</v>
      </c>
      <c r="AB182">
        <f t="shared" ca="1" si="29"/>
        <v>21</v>
      </c>
    </row>
    <row r="183" spans="1:28" x14ac:dyDescent="0.25">
      <c r="A183">
        <v>182</v>
      </c>
      <c r="B183" t="str" cm="1">
        <f t="array" aca="1" ref="B183" ca="1">replaceChar(LOWER(LEFT(D183,3)&amp;RIGHT(I183,3))&amp;LEFT(H183,4))</f>
        <v>catboa1999</v>
      </c>
      <c r="C183" t="str">
        <f t="shared" ca="1" si="20"/>
        <v>pswcatboa1999</v>
      </c>
      <c r="D183" t="str">
        <f ca="1">Nomes!T184</f>
        <v>Catarina Rodrigo Pereira Azevedo</v>
      </c>
      <c r="E183" t="str">
        <f ca="1">Nomes!S184</f>
        <v>Feminino</v>
      </c>
      <c r="F183" s="2">
        <v>31325</v>
      </c>
      <c r="G183" t="str" cm="1">
        <f t="array" aca="1" ref="G183" ca="1">INDEX(rua_cod!$F:$F,RANDBETWEEN(2,COUNTA(rua_cod!F:F)))</f>
        <v>Estrada da Circunvalação de Lisboa</v>
      </c>
      <c r="H183" t="str" cm="1">
        <f t="array" aca="1" ref="H183" ca="1">INDEX(rua_cod!$A:$A,Users!V183) &amp; "-" &amp; TEXT(RANDBETWEEN(0,999),"000")</f>
        <v>1999-180</v>
      </c>
      <c r="I183" t="str" cm="1">
        <f t="array" aca="1" ref="I183" ca="1">INDEX(rua_cod!$B:$B,Users!V183)</f>
        <v>Lisboa</v>
      </c>
      <c r="J183" t="s">
        <v>3727</v>
      </c>
      <c r="K183" t="s">
        <v>225</v>
      </c>
      <c r="L183" t="s">
        <v>265</v>
      </c>
      <c r="M183" t="str">
        <f t="shared" ca="1" si="21"/>
        <v>40525579</v>
      </c>
      <c r="N183" t="str">
        <f t="shared" ca="1" si="22"/>
        <v>449106100</v>
      </c>
      <c r="O183" t="str">
        <f t="shared" ca="1" si="22"/>
        <v>986358100</v>
      </c>
      <c r="P183" t="str" cm="1">
        <f t="array" aca="1" ref="P183" ca="1">9 &amp; INDEX($AF$3:$AF$6,W183)&amp; TEXT(RANDBETWEEN(0,9999999),"0000000")</f>
        <v>967022938</v>
      </c>
      <c r="Q183" t="str" cm="1">
        <f t="array" aca="1" ref="Q183" ca="1">LOWER(B183) &amp; INDEX($AF$9:$AF$11,X183)</f>
        <v>catboa1999@sapo.pt</v>
      </c>
      <c r="R183" t="str">
        <f t="shared" ca="1" si="23"/>
        <v>catboa1999.jpg</v>
      </c>
      <c r="T183" s="4"/>
      <c r="V183">
        <f ca="1">RANDBETWEEN(2,COUNTA(rua_cod!A:A))</f>
        <v>79</v>
      </c>
      <c r="W183">
        <f t="shared" ca="1" si="24"/>
        <v>4</v>
      </c>
      <c r="X183">
        <f t="shared" ca="1" si="25"/>
        <v>3</v>
      </c>
      <c r="Y183">
        <f t="shared" ca="1" si="26"/>
        <v>2002</v>
      </c>
      <c r="Z183">
        <f t="shared" ca="1" si="27"/>
        <v>7</v>
      </c>
      <c r="AA183">
        <f t="shared" ca="1" si="28"/>
        <v>19</v>
      </c>
      <c r="AB183">
        <f t="shared" ca="1" si="29"/>
        <v>18</v>
      </c>
    </row>
    <row r="184" spans="1:28" x14ac:dyDescent="0.25">
      <c r="A184">
        <v>183</v>
      </c>
      <c r="B184" t="str" cm="1">
        <f t="array" aca="1" ref="B184" ca="1">replaceChar(LOWER(LEFT(D184,3)&amp;RIGHT(I184,3))&amp;LEFT(H184,4))</f>
        <v>andres2674</v>
      </c>
      <c r="C184" t="str">
        <f t="shared" ca="1" si="20"/>
        <v>pswandres2674</v>
      </c>
      <c r="D184" t="str">
        <f ca="1">Nomes!T185</f>
        <v>André Marco Tavares Batista</v>
      </c>
      <c r="E184" t="str">
        <f ca="1">Nomes!S185</f>
        <v>Masculino</v>
      </c>
      <c r="F184" s="2">
        <v>21600</v>
      </c>
      <c r="G184" t="str" cm="1">
        <f t="array" aca="1" ref="G184" ca="1">INDEX(rua_cod!$F:$F,RANDBETWEEN(2,COUNTA(rua_cod!F:F)))</f>
        <v>Rua do Sol a Santana</v>
      </c>
      <c r="H184" t="str" cm="1">
        <f t="array" aca="1" ref="H184" ca="1">INDEX(rua_cod!$A:$A,Users!V184) &amp; "-" &amp; TEXT(RANDBETWEEN(0,999),"000")</f>
        <v>2674-670</v>
      </c>
      <c r="I184" t="str" cm="1">
        <f t="array" aca="1" ref="I184" ca="1">INDEX(rua_cod!$B:$B,Users!V184)</f>
        <v>Loures</v>
      </c>
      <c r="J184" t="s">
        <v>3727</v>
      </c>
      <c r="K184" t="s">
        <v>225</v>
      </c>
      <c r="L184" t="s">
        <v>265</v>
      </c>
      <c r="M184" t="str">
        <f t="shared" ca="1" si="21"/>
        <v>72525341</v>
      </c>
      <c r="N184" t="str">
        <f t="shared" ca="1" si="22"/>
        <v>727861166</v>
      </c>
      <c r="O184" t="str">
        <f t="shared" ca="1" si="22"/>
        <v>901787294</v>
      </c>
      <c r="P184" t="str" cm="1">
        <f t="array" aca="1" ref="P184" ca="1">9 &amp; INDEX($AF$3:$AF$6,W184)&amp; TEXT(RANDBETWEEN(0,9999999),"0000000")</f>
        <v>926122836</v>
      </c>
      <c r="Q184" t="str" cm="1">
        <f t="array" aca="1" ref="Q184" ca="1">LOWER(B184) &amp; INDEX($AF$9:$AF$11,X184)</f>
        <v>andres2674@outlook.com</v>
      </c>
      <c r="R184" t="str">
        <f t="shared" ca="1" si="23"/>
        <v>andres2674.jpg</v>
      </c>
      <c r="T184" s="4"/>
      <c r="V184">
        <f ca="1">RANDBETWEEN(2,COUNTA(rua_cod!A:A))</f>
        <v>84</v>
      </c>
      <c r="W184">
        <f t="shared" ca="1" si="24"/>
        <v>2</v>
      </c>
      <c r="X184">
        <f t="shared" ca="1" si="25"/>
        <v>1</v>
      </c>
      <c r="Y184">
        <f t="shared" ca="1" si="26"/>
        <v>1962</v>
      </c>
      <c r="Z184">
        <f t="shared" ca="1" si="27"/>
        <v>7</v>
      </c>
      <c r="AA184">
        <f t="shared" ca="1" si="28"/>
        <v>8</v>
      </c>
      <c r="AB184">
        <f t="shared" ca="1" si="29"/>
        <v>58</v>
      </c>
    </row>
    <row r="185" spans="1:28" x14ac:dyDescent="0.25">
      <c r="A185">
        <v>184</v>
      </c>
      <c r="B185" t="str" cm="1">
        <f t="array" aca="1" ref="B185" ca="1">replaceChar(LOWER(LEFT(D185,3)&amp;RIGHT(I185,3))&amp;LEFT(H185,4))</f>
        <v>verboa1400</v>
      </c>
      <c r="C185" t="str">
        <f t="shared" ca="1" si="20"/>
        <v>pswverboa1400</v>
      </c>
      <c r="D185" t="str">
        <f ca="1">Nomes!T186</f>
        <v>Vera Tomás Gonçalves Faria</v>
      </c>
      <c r="E185" t="str">
        <f ca="1">Nomes!S186</f>
        <v>Feminino</v>
      </c>
      <c r="F185" s="2">
        <v>42111</v>
      </c>
      <c r="G185" t="str" cm="1">
        <f t="array" aca="1" ref="G185" ca="1">INDEX(rua_cod!$F:$F,RANDBETWEEN(2,COUNTA(rua_cod!F:F)))</f>
        <v>Rua do Sacramento à Lapa</v>
      </c>
      <c r="H185" t="str" cm="1">
        <f t="array" aca="1" ref="H185" ca="1">INDEX(rua_cod!$A:$A,Users!V185) &amp; "-" &amp; TEXT(RANDBETWEEN(0,999),"000")</f>
        <v>1400-396</v>
      </c>
      <c r="I185" t="str" cm="1">
        <f t="array" aca="1" ref="I185" ca="1">INDEX(rua_cod!$B:$B,Users!V185)</f>
        <v>Lisboa</v>
      </c>
      <c r="J185" t="s">
        <v>3727</v>
      </c>
      <c r="K185" t="s">
        <v>225</v>
      </c>
      <c r="L185" t="s">
        <v>265</v>
      </c>
      <c r="M185" t="str">
        <f t="shared" ca="1" si="21"/>
        <v>78132373</v>
      </c>
      <c r="N185" t="str">
        <f t="shared" ca="1" si="22"/>
        <v>785933605</v>
      </c>
      <c r="O185" t="str">
        <f t="shared" ca="1" si="22"/>
        <v>905008296</v>
      </c>
      <c r="P185" t="str" cm="1">
        <f t="array" aca="1" ref="P185" ca="1">9 &amp; INDEX($AF$3:$AF$6,W185)&amp; TEXT(RANDBETWEEN(0,9999999),"0000000")</f>
        <v>967285132</v>
      </c>
      <c r="Q185" t="str" cm="1">
        <f t="array" aca="1" ref="Q185" ca="1">LOWER(B185) &amp; INDEX($AF$9:$AF$11,X185)</f>
        <v>verboa1400@sapo.pt</v>
      </c>
      <c r="R185" t="str">
        <f t="shared" ca="1" si="23"/>
        <v>verboa1400.jpg</v>
      </c>
      <c r="T185" s="4"/>
      <c r="V185">
        <f ca="1">RANDBETWEEN(2,COUNTA(rua_cod!A:A))</f>
        <v>57</v>
      </c>
      <c r="W185">
        <f t="shared" ca="1" si="24"/>
        <v>4</v>
      </c>
      <c r="X185">
        <f t="shared" ca="1" si="25"/>
        <v>3</v>
      </c>
      <c r="Y185">
        <f t="shared" ca="1" si="26"/>
        <v>2007</v>
      </c>
      <c r="Z185">
        <f t="shared" ca="1" si="27"/>
        <v>3</v>
      </c>
      <c r="AA185">
        <f t="shared" ca="1" si="28"/>
        <v>27</v>
      </c>
      <c r="AB185">
        <f t="shared" ca="1" si="29"/>
        <v>13</v>
      </c>
    </row>
    <row r="186" spans="1:28" x14ac:dyDescent="0.25">
      <c r="A186">
        <v>185</v>
      </c>
      <c r="B186" t="str" cm="1">
        <f t="array" aca="1" ref="B186" ca="1">replaceChar(LOWER(LEFT(D186,3)&amp;RIGHT(I186,3))&amp;LEFT(H186,4))</f>
        <v>tomboa1069</v>
      </c>
      <c r="C186" t="str">
        <f t="shared" ca="1" si="20"/>
        <v>pswtomboa1069</v>
      </c>
      <c r="D186" t="str">
        <f ca="1">Nomes!T187</f>
        <v>Tomás Ricardo Correia Guerreiro</v>
      </c>
      <c r="E186" t="str">
        <f ca="1">Nomes!S187</f>
        <v>Masculino</v>
      </c>
      <c r="F186" s="2">
        <v>30832</v>
      </c>
      <c r="G186" t="str" cm="1">
        <f t="array" aca="1" ref="G186" ca="1">INDEX(rua_cod!$F:$F,RANDBETWEEN(2,COUNTA(rua_cod!F:F)))</f>
        <v>Rua do Sacramento à Lapa</v>
      </c>
      <c r="H186" t="str" cm="1">
        <f t="array" aca="1" ref="H186" ca="1">INDEX(rua_cod!$A:$A,Users!V186) &amp; "-" &amp; TEXT(RANDBETWEEN(0,999),"000")</f>
        <v>1069-691</v>
      </c>
      <c r="I186" t="str" cm="1">
        <f t="array" aca="1" ref="I186" ca="1">INDEX(rua_cod!$B:$B,Users!V186)</f>
        <v>Lisboa</v>
      </c>
      <c r="J186" t="s">
        <v>3727</v>
      </c>
      <c r="K186" t="s">
        <v>225</v>
      </c>
      <c r="L186" t="s">
        <v>265</v>
      </c>
      <c r="M186" t="str">
        <f t="shared" ca="1" si="21"/>
        <v>48681385</v>
      </c>
      <c r="N186" t="str">
        <f t="shared" ca="1" si="22"/>
        <v>877098344</v>
      </c>
      <c r="O186" t="str">
        <f t="shared" ca="1" si="22"/>
        <v>963583925</v>
      </c>
      <c r="P186" t="str" cm="1">
        <f t="array" aca="1" ref="P186" ca="1">9 &amp; INDEX($AF$3:$AF$6,W186)&amp; TEXT(RANDBETWEEN(0,9999999),"0000000")</f>
        <v>936306202</v>
      </c>
      <c r="Q186" t="str" cm="1">
        <f t="array" aca="1" ref="Q186" ca="1">LOWER(B186) &amp; INDEX($AF$9:$AF$11,X186)</f>
        <v>tomboa1069@sapo.pt</v>
      </c>
      <c r="R186" t="str">
        <f t="shared" ca="1" si="23"/>
        <v>tomboa1069.jpg</v>
      </c>
      <c r="T186" s="4"/>
      <c r="V186">
        <f ca="1">RANDBETWEEN(2,COUNTA(rua_cod!A:A))</f>
        <v>67</v>
      </c>
      <c r="W186">
        <f t="shared" ca="1" si="24"/>
        <v>3</v>
      </c>
      <c r="X186">
        <f t="shared" ca="1" si="25"/>
        <v>3</v>
      </c>
      <c r="Y186">
        <f t="shared" ca="1" si="26"/>
        <v>1966</v>
      </c>
      <c r="Z186">
        <f t="shared" ca="1" si="27"/>
        <v>11</v>
      </c>
      <c r="AA186">
        <f t="shared" ca="1" si="28"/>
        <v>8</v>
      </c>
      <c r="AB186">
        <f t="shared" ca="1" si="29"/>
        <v>54</v>
      </c>
    </row>
    <row r="187" spans="1:28" x14ac:dyDescent="0.25">
      <c r="A187">
        <v>186</v>
      </c>
      <c r="B187" t="str" cm="1">
        <f t="array" aca="1" ref="B187" ca="1">replaceChar(LOWER(LEFT(D187,3)&amp;RIGHT(I187,3))&amp;LEFT(H187,4))</f>
        <v>inebal2914</v>
      </c>
      <c r="C187" t="str">
        <f t="shared" ca="1" si="20"/>
        <v>pswinebal2914</v>
      </c>
      <c r="D187" t="str">
        <f ca="1">Nomes!T188</f>
        <v>Inês Sofia Barbosa Matias</v>
      </c>
      <c r="E187" t="str">
        <f ca="1">Nomes!S188</f>
        <v>Feminino</v>
      </c>
      <c r="F187" s="2">
        <v>39033</v>
      </c>
      <c r="G187" t="str" cm="1">
        <f t="array" aca="1" ref="G187" ca="1">INDEX(rua_cod!$F:$F,RANDBETWEEN(2,COUNTA(rua_cod!F:F)))</f>
        <v>Estrada das Laranjeiras</v>
      </c>
      <c r="H187" t="str" cm="1">
        <f t="array" aca="1" ref="H187" ca="1">INDEX(rua_cod!$A:$A,Users!V187) &amp; "-" &amp; TEXT(RANDBETWEEN(0,999),"000")</f>
        <v>2914-040</v>
      </c>
      <c r="I187" t="str" cm="1">
        <f t="array" aca="1" ref="I187" ca="1">INDEX(rua_cod!$B:$B,Users!V187)</f>
        <v>Setúbal</v>
      </c>
      <c r="J187" t="s">
        <v>3727</v>
      </c>
      <c r="K187" t="s">
        <v>225</v>
      </c>
      <c r="L187" t="s">
        <v>265</v>
      </c>
      <c r="M187" t="str">
        <f t="shared" ca="1" si="21"/>
        <v>57524708</v>
      </c>
      <c r="N187" t="str">
        <f t="shared" ca="1" si="22"/>
        <v>892008435</v>
      </c>
      <c r="O187" t="str">
        <f t="shared" ca="1" si="22"/>
        <v>585094699</v>
      </c>
      <c r="P187" t="str" cm="1">
        <f t="array" aca="1" ref="P187" ca="1">9 &amp; INDEX($AF$3:$AF$6,W187)&amp; TEXT(RANDBETWEEN(0,9999999),"0000000")</f>
        <v>963128395</v>
      </c>
      <c r="Q187" t="str" cm="1">
        <f t="array" aca="1" ref="Q187" ca="1">LOWER(B187) &amp; INDEX($AF$9:$AF$11,X187)</f>
        <v>inebal2914@sapo.pt</v>
      </c>
      <c r="R187" t="str">
        <f t="shared" ca="1" si="23"/>
        <v>inebal2914.jpg</v>
      </c>
      <c r="T187" s="4"/>
      <c r="V187">
        <f ca="1">RANDBETWEEN(2,COUNTA(rua_cod!A:A))</f>
        <v>98</v>
      </c>
      <c r="W187">
        <f t="shared" ca="1" si="24"/>
        <v>4</v>
      </c>
      <c r="X187">
        <f t="shared" ca="1" si="25"/>
        <v>3</v>
      </c>
      <c r="Y187">
        <f t="shared" ca="1" si="26"/>
        <v>1958</v>
      </c>
      <c r="Z187">
        <f t="shared" ca="1" si="27"/>
        <v>8</v>
      </c>
      <c r="AA187">
        <f t="shared" ca="1" si="28"/>
        <v>18</v>
      </c>
      <c r="AB187">
        <f t="shared" ca="1" si="29"/>
        <v>62</v>
      </c>
    </row>
    <row r="188" spans="1:28" x14ac:dyDescent="0.25">
      <c r="A188">
        <v>187</v>
      </c>
      <c r="B188" t="str" cm="1">
        <f t="array" aca="1" ref="B188" ca="1">replaceChar(LOWER(LEFT(D188,3)&amp;RIGHT(I188,3))&amp;LEFT(H188,4))</f>
        <v>larboa1500</v>
      </c>
      <c r="C188" t="str">
        <f t="shared" ca="1" si="20"/>
        <v>pswlarboa1500</v>
      </c>
      <c r="D188" t="str">
        <f ca="1">Nomes!T189</f>
        <v>Lara Francisca Moreira Assunção</v>
      </c>
      <c r="E188" t="str">
        <f ca="1">Nomes!S189</f>
        <v>Feminino</v>
      </c>
      <c r="F188" s="2">
        <v>27447</v>
      </c>
      <c r="G188" t="str" cm="1">
        <f t="array" aca="1" ref="G188" ca="1">INDEX(rua_cod!$F:$F,RANDBETWEEN(2,COUNTA(rua_cod!F:F)))</f>
        <v>Rua Júlio César Machado</v>
      </c>
      <c r="H188" t="str" cm="1">
        <f t="array" aca="1" ref="H188" ca="1">INDEX(rua_cod!$A:$A,Users!V188) &amp; "-" &amp; TEXT(RANDBETWEEN(0,999),"000")</f>
        <v>1500-275</v>
      </c>
      <c r="I188" t="str" cm="1">
        <f t="array" aca="1" ref="I188" ca="1">INDEX(rua_cod!$B:$B,Users!V188)</f>
        <v>Lisboa</v>
      </c>
      <c r="J188" t="s">
        <v>3727</v>
      </c>
      <c r="K188" t="s">
        <v>225</v>
      </c>
      <c r="L188" t="s">
        <v>265</v>
      </c>
      <c r="M188" t="str">
        <f t="shared" ca="1" si="21"/>
        <v>39531855</v>
      </c>
      <c r="N188" t="str">
        <f t="shared" ca="1" si="22"/>
        <v>637172307</v>
      </c>
      <c r="O188" t="str">
        <f t="shared" ca="1" si="22"/>
        <v>518767112</v>
      </c>
      <c r="P188" t="str" cm="1">
        <f t="array" aca="1" ref="P188" ca="1">9 &amp; INDEX($AF$3:$AF$6,W188)&amp; TEXT(RANDBETWEEN(0,9999999),"0000000")</f>
        <v>916864764</v>
      </c>
      <c r="Q188" t="str" cm="1">
        <f t="array" aca="1" ref="Q188" ca="1">LOWER(B188) &amp; INDEX($AF$9:$AF$11,X188)</f>
        <v>larboa1500@outlook.com</v>
      </c>
      <c r="R188" t="str">
        <f t="shared" ca="1" si="23"/>
        <v>larboa1500.jpg</v>
      </c>
      <c r="T188" s="4"/>
      <c r="V188">
        <f ca="1">RANDBETWEEN(2,COUNTA(rua_cod!A:A))</f>
        <v>43</v>
      </c>
      <c r="W188">
        <f t="shared" ca="1" si="24"/>
        <v>1</v>
      </c>
      <c r="X188">
        <f t="shared" ca="1" si="25"/>
        <v>1</v>
      </c>
      <c r="Y188">
        <f t="shared" ca="1" si="26"/>
        <v>1962</v>
      </c>
      <c r="Z188">
        <f t="shared" ca="1" si="27"/>
        <v>6</v>
      </c>
      <c r="AA188">
        <f t="shared" ca="1" si="28"/>
        <v>13</v>
      </c>
      <c r="AB188">
        <f t="shared" ca="1" si="29"/>
        <v>58</v>
      </c>
    </row>
    <row r="189" spans="1:28" x14ac:dyDescent="0.25">
      <c r="A189">
        <v>188</v>
      </c>
      <c r="B189" t="str" cm="1">
        <f t="array" aca="1" ref="B189" ca="1">replaceChar(LOWER(LEFT(D189,3)&amp;RIGHT(I189,3))&amp;LEFT(H189,4))</f>
        <v>duaboa1750</v>
      </c>
      <c r="C189" t="str">
        <f t="shared" ca="1" si="20"/>
        <v>pswduaboa1750</v>
      </c>
      <c r="D189" t="str">
        <f ca="1">Nomes!T190</f>
        <v>Duarte Ana Pacheco Barros</v>
      </c>
      <c r="E189" t="str">
        <f ca="1">Nomes!S190</f>
        <v>Masculino</v>
      </c>
      <c r="F189" s="2">
        <v>19510</v>
      </c>
      <c r="G189" t="str" cm="1">
        <f t="array" aca="1" ref="G189" ca="1">INDEX(rua_cod!$F:$F,RANDBETWEEN(2,COUNTA(rua_cod!F:F)))</f>
        <v>Estrada Militar</v>
      </c>
      <c r="H189" t="str" cm="1">
        <f t="array" aca="1" ref="H189" ca="1">INDEX(rua_cod!$A:$A,Users!V189) &amp; "-" &amp; TEXT(RANDBETWEEN(0,999),"000")</f>
        <v>1750-883</v>
      </c>
      <c r="I189" t="str" cm="1">
        <f t="array" aca="1" ref="I189" ca="1">INDEX(rua_cod!$B:$B,Users!V189)</f>
        <v>Lisboa</v>
      </c>
      <c r="J189" t="s">
        <v>3727</v>
      </c>
      <c r="K189" t="s">
        <v>225</v>
      </c>
      <c r="L189" t="s">
        <v>265</v>
      </c>
      <c r="M189" t="str">
        <f t="shared" ca="1" si="21"/>
        <v>66505923</v>
      </c>
      <c r="N189" t="str">
        <f t="shared" ca="1" si="22"/>
        <v>194796420</v>
      </c>
      <c r="O189" t="str">
        <f t="shared" ca="1" si="22"/>
        <v>427082142</v>
      </c>
      <c r="P189" t="str" cm="1">
        <f t="array" aca="1" ref="P189" ca="1">9 &amp; INDEX($AF$3:$AF$6,W189)&amp; TEXT(RANDBETWEEN(0,9999999),"0000000")</f>
        <v>927080543</v>
      </c>
      <c r="Q189" t="str" cm="1">
        <f t="array" aca="1" ref="Q189" ca="1">LOWER(B189) &amp; INDEX($AF$9:$AF$11,X189)</f>
        <v>duaboa1750@gmail.com</v>
      </c>
      <c r="R189" t="str">
        <f t="shared" ca="1" si="23"/>
        <v>duaboa1750.jpg</v>
      </c>
      <c r="T189" s="4"/>
      <c r="V189">
        <f ca="1">RANDBETWEEN(2,COUNTA(rua_cod!A:A))</f>
        <v>49</v>
      </c>
      <c r="W189">
        <f t="shared" ca="1" si="24"/>
        <v>2</v>
      </c>
      <c r="X189">
        <f t="shared" ca="1" si="25"/>
        <v>2</v>
      </c>
      <c r="Y189">
        <f t="shared" ca="1" si="26"/>
        <v>1994</v>
      </c>
      <c r="Z189">
        <f t="shared" ca="1" si="27"/>
        <v>9</v>
      </c>
      <c r="AA189">
        <f t="shared" ca="1" si="28"/>
        <v>17</v>
      </c>
      <c r="AB189">
        <f t="shared" ca="1" si="29"/>
        <v>26</v>
      </c>
    </row>
    <row r="190" spans="1:28" x14ac:dyDescent="0.25">
      <c r="A190">
        <v>189</v>
      </c>
      <c r="B190" t="str" cm="1">
        <f t="array" aca="1" ref="B190" ca="1">replaceChar(LOWER(LEFT(D190,3)&amp;RIGHT(I190,3))&amp;LEFT(H190,4))</f>
        <v>danria2420</v>
      </c>
      <c r="C190" t="str">
        <f t="shared" ca="1" si="20"/>
        <v>pswdanria2420</v>
      </c>
      <c r="D190" t="str">
        <f ca="1">Nomes!T191</f>
        <v>Daniela Sara Ramos Torres</v>
      </c>
      <c r="E190" t="str">
        <f ca="1">Nomes!S191</f>
        <v>Feminino</v>
      </c>
      <c r="F190" s="2">
        <v>35493</v>
      </c>
      <c r="G190" t="str" cm="1">
        <f t="array" aca="1" ref="G190" ca="1">INDEX(rua_cod!$F:$F,RANDBETWEEN(2,COUNTA(rua_cod!F:F)))</f>
        <v>Calçada Marquês de Abrantes</v>
      </c>
      <c r="H190" t="str" cm="1">
        <f t="array" aca="1" ref="H190" ca="1">INDEX(rua_cod!$A:$A,Users!V190) &amp; "-" &amp; TEXT(RANDBETWEEN(0,999),"000")</f>
        <v>2420-407</v>
      </c>
      <c r="I190" t="str" cm="1">
        <f t="array" aca="1" ref="I190" ca="1">INDEX(rua_cod!$B:$B,Users!V190)</f>
        <v>Leiria</v>
      </c>
      <c r="J190" t="s">
        <v>3727</v>
      </c>
      <c r="K190" t="s">
        <v>225</v>
      </c>
      <c r="L190" t="s">
        <v>265</v>
      </c>
      <c r="M190" t="str">
        <f t="shared" ca="1" si="21"/>
        <v>13632026</v>
      </c>
      <c r="N190" t="str">
        <f t="shared" ca="1" si="22"/>
        <v>382228229</v>
      </c>
      <c r="O190" t="str">
        <f t="shared" ca="1" si="22"/>
        <v>882826845</v>
      </c>
      <c r="P190" t="str" cm="1">
        <f t="array" aca="1" ref="P190" ca="1">9 &amp; INDEX($AF$3:$AF$6,W190)&amp; TEXT(RANDBETWEEN(0,9999999),"0000000")</f>
        <v>928661327</v>
      </c>
      <c r="Q190" t="str" cm="1">
        <f t="array" aca="1" ref="Q190" ca="1">LOWER(B190) &amp; INDEX($AF$9:$AF$11,X190)</f>
        <v>danria2420@sapo.pt</v>
      </c>
      <c r="R190" t="str">
        <f t="shared" ca="1" si="23"/>
        <v>danria2420.jpg</v>
      </c>
      <c r="T190" s="4"/>
      <c r="V190">
        <f ca="1">RANDBETWEEN(2,COUNTA(rua_cod!A:A))</f>
        <v>33</v>
      </c>
      <c r="W190">
        <f t="shared" ca="1" si="24"/>
        <v>2</v>
      </c>
      <c r="X190">
        <f t="shared" ca="1" si="25"/>
        <v>3</v>
      </c>
      <c r="Y190">
        <f t="shared" ca="1" si="26"/>
        <v>1934</v>
      </c>
      <c r="Z190">
        <f t="shared" ca="1" si="27"/>
        <v>1</v>
      </c>
      <c r="AA190">
        <f t="shared" ca="1" si="28"/>
        <v>3</v>
      </c>
      <c r="AB190">
        <f t="shared" ca="1" si="29"/>
        <v>86</v>
      </c>
    </row>
    <row r="191" spans="1:28" x14ac:dyDescent="0.25">
      <c r="A191">
        <v>190</v>
      </c>
      <c r="B191" t="str" cm="1">
        <f t="array" aca="1" ref="B191" ca="1">replaceChar(LOWER(LEFT(D191,3)&amp;RIGHT(I191,3))&amp;LEFT(H191,4))</f>
        <v>anaada2814</v>
      </c>
      <c r="C191" t="str">
        <f t="shared" ca="1" si="20"/>
        <v>pswanaada2814</v>
      </c>
      <c r="D191" t="str">
        <f ca="1">Nomes!T192</f>
        <v>Ana Santiago Faria Cunha</v>
      </c>
      <c r="E191" t="str">
        <f ca="1">Nomes!S192</f>
        <v>Feminino</v>
      </c>
      <c r="F191" s="2">
        <v>40749</v>
      </c>
      <c r="G191" t="str" cm="1">
        <f t="array" aca="1" ref="G191" ca="1">INDEX(rua_cod!$F:$F,RANDBETWEEN(2,COUNTA(rua_cod!F:F)))</f>
        <v>Rua do Guarda-Mor</v>
      </c>
      <c r="H191" t="str" cm="1">
        <f t="array" aca="1" ref="H191" ca="1">INDEX(rua_cod!$A:$A,Users!V191) &amp; "-" &amp; TEXT(RANDBETWEEN(0,999),"000")</f>
        <v>2814-661</v>
      </c>
      <c r="I191" t="str" cm="1">
        <f t="array" aca="1" ref="I191" ca="1">INDEX(rua_cod!$B:$B,Users!V191)</f>
        <v>Almada</v>
      </c>
      <c r="J191" t="s">
        <v>3727</v>
      </c>
      <c r="K191" t="s">
        <v>225</v>
      </c>
      <c r="L191" t="s">
        <v>265</v>
      </c>
      <c r="M191" t="str">
        <f t="shared" ca="1" si="21"/>
        <v>73835272</v>
      </c>
      <c r="N191" t="str">
        <f t="shared" ca="1" si="22"/>
        <v>490447248</v>
      </c>
      <c r="O191" t="str">
        <f t="shared" ca="1" si="22"/>
        <v>809375158</v>
      </c>
      <c r="P191" t="str" cm="1">
        <f t="array" aca="1" ref="P191" ca="1">9 &amp; INDEX($AF$3:$AF$6,W191)&amp; TEXT(RANDBETWEEN(0,9999999),"0000000")</f>
        <v>918813637</v>
      </c>
      <c r="Q191" t="str" cm="1">
        <f t="array" aca="1" ref="Q191" ca="1">LOWER(B191) &amp; INDEX($AF$9:$AF$11,X191)</f>
        <v>anaada2814@sapo.pt</v>
      </c>
      <c r="R191" t="str">
        <f t="shared" ca="1" si="23"/>
        <v>anaada2814.jpg</v>
      </c>
      <c r="T191" s="4"/>
      <c r="V191">
        <f ca="1">RANDBETWEEN(2,COUNTA(rua_cod!A:A))</f>
        <v>6</v>
      </c>
      <c r="W191">
        <f t="shared" ca="1" si="24"/>
        <v>1</v>
      </c>
      <c r="X191">
        <f t="shared" ca="1" si="25"/>
        <v>3</v>
      </c>
      <c r="Y191">
        <f t="shared" ca="1" si="26"/>
        <v>1990</v>
      </c>
      <c r="Z191">
        <f t="shared" ca="1" si="27"/>
        <v>3</v>
      </c>
      <c r="AA191">
        <f t="shared" ca="1" si="28"/>
        <v>9</v>
      </c>
      <c r="AB191">
        <f t="shared" ca="1" si="29"/>
        <v>30</v>
      </c>
    </row>
    <row r="192" spans="1:28" x14ac:dyDescent="0.25">
      <c r="A192">
        <v>191</v>
      </c>
      <c r="B192" t="str" cm="1">
        <f t="array" aca="1" ref="B192" ca="1">replaceChar(LOWER(LEFT(D192,3)&amp;RIGHT(I192,3))&amp;LEFT(H192,4))</f>
        <v>andica2825</v>
      </c>
      <c r="C192" t="str">
        <f t="shared" ca="1" si="20"/>
        <v>pswandica2825</v>
      </c>
      <c r="D192" t="str">
        <f ca="1">Nomes!T193</f>
        <v>André Miguel Guerreiro Neves</v>
      </c>
      <c r="E192" t="str">
        <f ca="1">Nomes!S193</f>
        <v>Masculino</v>
      </c>
      <c r="F192" s="2">
        <v>14252</v>
      </c>
      <c r="G192" t="str" cm="1">
        <f t="array" aca="1" ref="G192" ca="1">INDEX(rua_cod!$F:$F,RANDBETWEEN(2,COUNTA(rua_cod!F:F)))</f>
        <v>Rua da Oliveira ao Carmo</v>
      </c>
      <c r="H192" t="str" cm="1">
        <f t="array" aca="1" ref="H192" ca="1">INDEX(rua_cod!$A:$A,Users!V192) &amp; "-" &amp; TEXT(RANDBETWEEN(0,999),"000")</f>
        <v>2825-470</v>
      </c>
      <c r="I192" t="str" cm="1">
        <f t="array" aca="1" ref="I192" ca="1">INDEX(rua_cod!$B:$B,Users!V192)</f>
        <v>Caparica</v>
      </c>
      <c r="J192" t="s">
        <v>3727</v>
      </c>
      <c r="K192" t="s">
        <v>225</v>
      </c>
      <c r="L192" t="s">
        <v>265</v>
      </c>
      <c r="M192" t="str">
        <f t="shared" ca="1" si="21"/>
        <v>85457673</v>
      </c>
      <c r="N192" t="str">
        <f t="shared" ca="1" si="22"/>
        <v>731874021</v>
      </c>
      <c r="O192" t="str">
        <f t="shared" ca="1" si="22"/>
        <v>338396197</v>
      </c>
      <c r="P192" t="str" cm="1">
        <f t="array" aca="1" ref="P192" ca="1">9 &amp; INDEX($AF$3:$AF$6,W192)&amp; TEXT(RANDBETWEEN(0,9999999),"0000000")</f>
        <v>966409189</v>
      </c>
      <c r="Q192" t="str" cm="1">
        <f t="array" aca="1" ref="Q192" ca="1">LOWER(B192) &amp; INDEX($AF$9:$AF$11,X192)</f>
        <v>andica2825@gmail.com</v>
      </c>
      <c r="R192" t="str">
        <f t="shared" ca="1" si="23"/>
        <v>andica2825.jpg</v>
      </c>
      <c r="T192" s="4"/>
      <c r="V192">
        <f ca="1">RANDBETWEEN(2,COUNTA(rua_cod!A:A))</f>
        <v>18</v>
      </c>
      <c r="W192">
        <f t="shared" ca="1" si="24"/>
        <v>4</v>
      </c>
      <c r="X192">
        <f t="shared" ca="1" si="25"/>
        <v>2</v>
      </c>
      <c r="Y192">
        <f t="shared" ca="1" si="26"/>
        <v>1949</v>
      </c>
      <c r="Z192">
        <f t="shared" ca="1" si="27"/>
        <v>2</v>
      </c>
      <c r="AA192">
        <f t="shared" ca="1" si="28"/>
        <v>14</v>
      </c>
      <c r="AB192">
        <f t="shared" ca="1" si="29"/>
        <v>71</v>
      </c>
    </row>
    <row r="193" spans="1:28" x14ac:dyDescent="0.25">
      <c r="A193">
        <v>192</v>
      </c>
      <c r="B193" t="str" cm="1">
        <f t="array" aca="1" ref="B193" ca="1">replaceChar(LOWER(LEFT(D193,3)&amp;RIGHT(I193,3))&amp;LEFT(H193,4))</f>
        <v>catbra3000</v>
      </c>
      <c r="C193" t="str">
        <f t="shared" ca="1" si="20"/>
        <v>pswcatbra3000</v>
      </c>
      <c r="D193" t="str">
        <f ca="1">Nomes!T194</f>
        <v>Catarina José Vieira Lima</v>
      </c>
      <c r="E193" t="str">
        <f ca="1">Nomes!S194</f>
        <v>Feminino</v>
      </c>
      <c r="F193" s="2">
        <v>31720</v>
      </c>
      <c r="G193" t="str" cm="1">
        <f t="array" aca="1" ref="G193" ca="1">INDEX(rua_cod!$F:$F,RANDBETWEEN(2,COUNTA(rua_cod!F:F)))</f>
        <v>Rua da Oliveira ao Carmo</v>
      </c>
      <c r="H193" t="str" cm="1">
        <f t="array" aca="1" ref="H193" ca="1">INDEX(rua_cod!$A:$A,Users!V193) &amp; "-" &amp; TEXT(RANDBETWEEN(0,999),"000")</f>
        <v>3000-421</v>
      </c>
      <c r="I193" t="str" cm="1">
        <f t="array" aca="1" ref="I193" ca="1">INDEX(rua_cod!$B:$B,Users!V193)</f>
        <v>Coimbra</v>
      </c>
      <c r="J193" t="s">
        <v>3727</v>
      </c>
      <c r="K193" t="s">
        <v>225</v>
      </c>
      <c r="L193" t="s">
        <v>265</v>
      </c>
      <c r="M193" t="str">
        <f t="shared" ca="1" si="21"/>
        <v>26439797</v>
      </c>
      <c r="N193" t="str">
        <f t="shared" ca="1" si="22"/>
        <v>437008108</v>
      </c>
      <c r="O193" t="str">
        <f t="shared" ca="1" si="22"/>
        <v>585826155</v>
      </c>
      <c r="P193" t="str" cm="1">
        <f t="array" aca="1" ref="P193" ca="1">9 &amp; INDEX($AF$3:$AF$6,W193)&amp; TEXT(RANDBETWEEN(0,9999999),"0000000")</f>
        <v>937982346</v>
      </c>
      <c r="Q193" t="str" cm="1">
        <f t="array" aca="1" ref="Q193" ca="1">LOWER(B193) &amp; INDEX($AF$9:$AF$11,X193)</f>
        <v>catbra3000@gmail.com</v>
      </c>
      <c r="R193" t="str">
        <f t="shared" ca="1" si="23"/>
        <v>catbra3000.jpg</v>
      </c>
      <c r="T193" s="4"/>
      <c r="V193">
        <f ca="1">RANDBETWEEN(2,COUNTA(rua_cod!A:A))</f>
        <v>26</v>
      </c>
      <c r="W193">
        <f t="shared" ca="1" si="24"/>
        <v>3</v>
      </c>
      <c r="X193">
        <f t="shared" ca="1" si="25"/>
        <v>2</v>
      </c>
      <c r="Y193">
        <f t="shared" ca="1" si="26"/>
        <v>1963</v>
      </c>
      <c r="Z193">
        <f t="shared" ca="1" si="27"/>
        <v>6</v>
      </c>
      <c r="AA193">
        <f t="shared" ca="1" si="28"/>
        <v>24</v>
      </c>
      <c r="AB193">
        <f t="shared" ca="1" si="29"/>
        <v>57</v>
      </c>
    </row>
    <row r="194" spans="1:28" x14ac:dyDescent="0.25">
      <c r="A194">
        <v>193</v>
      </c>
      <c r="B194" t="str" cm="1">
        <f t="array" aca="1" ref="B194" ca="1">replaceChar(LOWER(LEFT(D194,3)&amp;RIGHT(I194,3))&amp;LEFT(H194,4))</f>
        <v>catrem2004</v>
      </c>
      <c r="C194" t="str">
        <f t="shared" ca="1" si="20"/>
        <v>pswcatrem2004</v>
      </c>
      <c r="D194" t="str">
        <f ca="1">Nomes!T195</f>
        <v>Catarina Sara Gonçalves Barros</v>
      </c>
      <c r="E194" t="str">
        <f ca="1">Nomes!S195</f>
        <v>Feminino</v>
      </c>
      <c r="F194" s="2">
        <v>32584</v>
      </c>
      <c r="G194" t="str" cm="1">
        <f t="array" aca="1" ref="G194" ca="1">INDEX(rua_cod!$F:$F,RANDBETWEEN(2,COUNTA(rua_cod!F:F)))</f>
        <v>Rua do Instituto Bacteriológico</v>
      </c>
      <c r="H194" t="str" cm="1">
        <f t="array" aca="1" ref="H194" ca="1">INDEX(rua_cod!$A:$A,Users!V194) &amp; "-" &amp; TEXT(RANDBETWEEN(0,999),"000")</f>
        <v>2004-115</v>
      </c>
      <c r="I194" t="str" cm="1">
        <f t="array" aca="1" ref="I194" ca="1">INDEX(rua_cod!$B:$B,Users!V194)</f>
        <v>Santarém</v>
      </c>
      <c r="J194" t="s">
        <v>3727</v>
      </c>
      <c r="K194" t="s">
        <v>225</v>
      </c>
      <c r="L194" t="s">
        <v>265</v>
      </c>
      <c r="M194" t="str">
        <f t="shared" ca="1" si="21"/>
        <v>95783446</v>
      </c>
      <c r="N194" t="str">
        <f t="shared" ca="1" si="22"/>
        <v>992639194</v>
      </c>
      <c r="O194" t="str">
        <f t="shared" ca="1" si="22"/>
        <v>164312079</v>
      </c>
      <c r="P194" t="str" cm="1">
        <f t="array" aca="1" ref="P194" ca="1">9 &amp; INDEX($AF$3:$AF$6,W194)&amp; TEXT(RANDBETWEEN(0,9999999),"0000000")</f>
        <v>919129599</v>
      </c>
      <c r="Q194" t="str" cm="1">
        <f t="array" aca="1" ref="Q194" ca="1">LOWER(B194) &amp; INDEX($AF$9:$AF$11,X194)</f>
        <v>catrem2004@sapo.pt</v>
      </c>
      <c r="R194" t="str">
        <f t="shared" ca="1" si="23"/>
        <v>catrem2004.jpg</v>
      </c>
      <c r="T194" s="4"/>
      <c r="V194">
        <f ca="1">RANDBETWEEN(2,COUNTA(rua_cod!A:A))</f>
        <v>94</v>
      </c>
      <c r="W194">
        <f t="shared" ca="1" si="24"/>
        <v>1</v>
      </c>
      <c r="X194">
        <f t="shared" ca="1" si="25"/>
        <v>3</v>
      </c>
      <c r="Y194">
        <f t="shared" ca="1" si="26"/>
        <v>1978</v>
      </c>
      <c r="Z194">
        <f t="shared" ca="1" si="27"/>
        <v>8</v>
      </c>
      <c r="AA194">
        <f t="shared" ca="1" si="28"/>
        <v>9</v>
      </c>
      <c r="AB194">
        <f t="shared" ca="1" si="29"/>
        <v>42</v>
      </c>
    </row>
    <row r="195" spans="1:28" x14ac:dyDescent="0.25">
      <c r="A195">
        <v>194</v>
      </c>
      <c r="B195" t="str" cm="1">
        <f t="array" aca="1" ref="B195" ca="1">replaceChar(LOWER(LEFT(D195,3)&amp;RIGHT(I195,3))&amp;LEFT(H195,4))</f>
        <v>sarluz2745</v>
      </c>
      <c r="C195" t="str">
        <f t="shared" ref="C195:C199" ca="1" si="30">"psw" &amp; B195</f>
        <v>pswsarluz2745</v>
      </c>
      <c r="D195" t="str">
        <f ca="1">Nomes!T196</f>
        <v>Sara Martim Raposo Nunes</v>
      </c>
      <c r="E195" t="str">
        <f ca="1">Nomes!S196</f>
        <v>Feminino</v>
      </c>
      <c r="F195" s="2">
        <v>23808</v>
      </c>
      <c r="G195" t="str" cm="1">
        <f t="array" aca="1" ref="G195" ca="1">INDEX(rua_cod!$F:$F,RANDBETWEEN(2,COUNTA(rua_cod!F:F)))</f>
        <v>Rua Ferreira Lapa</v>
      </c>
      <c r="H195" t="str" cm="1">
        <f t="array" aca="1" ref="H195" ca="1">INDEX(rua_cod!$A:$A,Users!V195) &amp; "-" &amp; TEXT(RANDBETWEEN(0,999),"000")</f>
        <v>2745-424</v>
      </c>
      <c r="I195" t="str" cm="1">
        <f t="array" aca="1" ref="I195" ca="1">INDEX(rua_cod!$B:$B,Users!V195)</f>
        <v>Queluz</v>
      </c>
      <c r="J195" t="s">
        <v>3727</v>
      </c>
      <c r="K195" t="s">
        <v>225</v>
      </c>
      <c r="L195" t="s">
        <v>265</v>
      </c>
      <c r="M195" t="str">
        <f t="shared" ref="M195:M199" ca="1" si="31">TEXT(RANDBETWEEN(10000000,99999999),"00000000")</f>
        <v>63278996</v>
      </c>
      <c r="N195" t="str">
        <f t="shared" ref="N195:O199" ca="1" si="32">TEXT(RANDBETWEEN(100000000,999999999),"000000000")</f>
        <v>618724887</v>
      </c>
      <c r="O195" t="str">
        <f t="shared" ca="1" si="32"/>
        <v>956780637</v>
      </c>
      <c r="P195" t="str" cm="1">
        <f t="array" aca="1" ref="P195" ca="1">9 &amp; INDEX($AF$3:$AF$6,W195)&amp; TEXT(RANDBETWEEN(0,9999999),"0000000")</f>
        <v>920641568</v>
      </c>
      <c r="Q195" t="str" cm="1">
        <f t="array" aca="1" ref="Q195" ca="1">LOWER(B195) &amp; INDEX($AF$9:$AF$11,X195)</f>
        <v>sarluz2745@outlook.com</v>
      </c>
      <c r="R195" t="str">
        <f t="shared" ref="R195:R199" ca="1" si="33">B195 &amp; ".jpg"</f>
        <v>sarluz2745.jpg</v>
      </c>
      <c r="T195" s="4"/>
      <c r="V195">
        <f ca="1">RANDBETWEEN(2,COUNTA(rua_cod!A:A))</f>
        <v>90</v>
      </c>
      <c r="W195">
        <f t="shared" ref="W195:W199" ca="1" si="34">RANDBETWEEN(1,4)</f>
        <v>2</v>
      </c>
      <c r="X195">
        <f t="shared" ref="X195:X199" ca="1" si="35">RANDBETWEEN(1,3)</f>
        <v>1</v>
      </c>
      <c r="Y195">
        <f t="shared" ref="Y195:Y199" ca="1" si="36">INT(NORMINV(RAND(),1976,22))</f>
        <v>1991</v>
      </c>
      <c r="Z195">
        <f t="shared" ref="Z195:Z199" ca="1" si="37">RANDBETWEEN(1,12)</f>
        <v>10</v>
      </c>
      <c r="AA195">
        <f t="shared" ref="AA195:AA199" ca="1" si="38">RANDBETWEEN(1,31)</f>
        <v>10</v>
      </c>
      <c r="AB195">
        <f t="shared" ref="AB195:AB199" ca="1" si="39">2020-Y195</f>
        <v>29</v>
      </c>
    </row>
    <row r="196" spans="1:28" x14ac:dyDescent="0.25">
      <c r="A196">
        <v>195</v>
      </c>
      <c r="B196" t="str" cm="1">
        <f t="array" aca="1" ref="B196" ca="1">replaceChar(LOWER(LEFT(D196,3)&amp;RIGHT(I196,3))&amp;LEFT(H196,4))</f>
        <v>josrem2004</v>
      </c>
      <c r="C196" t="str">
        <f t="shared" ca="1" si="30"/>
        <v>pswjosrem2004</v>
      </c>
      <c r="D196" t="str">
        <f ca="1">Nomes!T197</f>
        <v>José Santiago Cardoso Santos</v>
      </c>
      <c r="E196" t="str">
        <f ca="1">Nomes!S197</f>
        <v>Masculino</v>
      </c>
      <c r="F196" s="2">
        <v>38168</v>
      </c>
      <c r="G196" t="str" cm="1">
        <f t="array" aca="1" ref="G196" ca="1">INDEX(rua_cod!$F:$F,RANDBETWEEN(2,COUNTA(rua_cod!F:F)))</f>
        <v>Rua dos Heróis de Quionga</v>
      </c>
      <c r="H196" t="str" cm="1">
        <f t="array" aca="1" ref="H196" ca="1">INDEX(rua_cod!$A:$A,Users!V196) &amp; "-" &amp; TEXT(RANDBETWEEN(0,999),"000")</f>
        <v>2004-173</v>
      </c>
      <c r="I196" t="str" cm="1">
        <f t="array" aca="1" ref="I196" ca="1">INDEX(rua_cod!$B:$B,Users!V196)</f>
        <v>Santarém</v>
      </c>
      <c r="J196" t="s">
        <v>3727</v>
      </c>
      <c r="K196" t="s">
        <v>225</v>
      </c>
      <c r="L196" t="s">
        <v>265</v>
      </c>
      <c r="M196" t="str">
        <f t="shared" ca="1" si="31"/>
        <v>39661253</v>
      </c>
      <c r="N196" t="str">
        <f t="shared" ca="1" si="32"/>
        <v>471873813</v>
      </c>
      <c r="O196" t="str">
        <f t="shared" ca="1" si="32"/>
        <v>953732877</v>
      </c>
      <c r="P196" t="str" cm="1">
        <f t="array" aca="1" ref="P196" ca="1">9 &amp; INDEX($AF$3:$AF$6,W196)&amp; TEXT(RANDBETWEEN(0,9999999),"0000000")</f>
        <v>961583963</v>
      </c>
      <c r="Q196" t="str" cm="1">
        <f t="array" aca="1" ref="Q196" ca="1">LOWER(B196) &amp; INDEX($AF$9:$AF$11,X196)</f>
        <v>josrem2004@gmail.com</v>
      </c>
      <c r="R196" t="str">
        <f t="shared" ca="1" si="33"/>
        <v>josrem2004.jpg</v>
      </c>
      <c r="T196" s="4"/>
      <c r="V196">
        <f ca="1">RANDBETWEEN(2,COUNTA(rua_cod!A:A))</f>
        <v>94</v>
      </c>
      <c r="W196">
        <f t="shared" ca="1" si="34"/>
        <v>4</v>
      </c>
      <c r="X196">
        <f t="shared" ca="1" si="35"/>
        <v>2</v>
      </c>
      <c r="Y196">
        <f t="shared" ca="1" si="36"/>
        <v>1996</v>
      </c>
      <c r="Z196">
        <f t="shared" ca="1" si="37"/>
        <v>10</v>
      </c>
      <c r="AA196">
        <f t="shared" ca="1" si="38"/>
        <v>25</v>
      </c>
      <c r="AB196">
        <f t="shared" ca="1" si="39"/>
        <v>24</v>
      </c>
    </row>
    <row r="197" spans="1:28" x14ac:dyDescent="0.25">
      <c r="A197">
        <v>196</v>
      </c>
      <c r="B197" t="str" cm="1">
        <f t="array" aca="1" ref="B197" ca="1">replaceChar(LOWER(LEFT(D197,3)&amp;RIGHT(I197,3))&amp;LEFT(H197,4))</f>
        <v>lurluz2745</v>
      </c>
      <c r="C197" t="str">
        <f t="shared" ca="1" si="30"/>
        <v>pswlurluz2745</v>
      </c>
      <c r="D197" t="str">
        <f ca="1">Nomes!T198</f>
        <v>Lurdes Beatriz Machado Miranda</v>
      </c>
      <c r="E197" t="str">
        <f ca="1">Nomes!S198</f>
        <v>Feminino</v>
      </c>
      <c r="F197" s="2">
        <v>44443</v>
      </c>
      <c r="G197" t="str" cm="1">
        <f t="array" aca="1" ref="G197" ca="1">INDEX(rua_cod!$F:$F,RANDBETWEEN(2,COUNTA(rua_cod!F:F)))</f>
        <v>Rua dos Fanqueiros</v>
      </c>
      <c r="H197" t="str" cm="1">
        <f t="array" aca="1" ref="H197" ca="1">INDEX(rua_cod!$A:$A,Users!V197) &amp; "-" &amp; TEXT(RANDBETWEEN(0,999),"000")</f>
        <v>2745-810</v>
      </c>
      <c r="I197" t="str" cm="1">
        <f t="array" aca="1" ref="I197" ca="1">INDEX(rua_cod!$B:$B,Users!V197)</f>
        <v>Queluz</v>
      </c>
      <c r="J197" t="s">
        <v>3727</v>
      </c>
      <c r="K197" t="s">
        <v>225</v>
      </c>
      <c r="L197" t="s">
        <v>265</v>
      </c>
      <c r="M197" t="str">
        <f t="shared" ca="1" si="31"/>
        <v>39955732</v>
      </c>
      <c r="N197" t="str">
        <f t="shared" ca="1" si="32"/>
        <v>920261887</v>
      </c>
      <c r="O197" t="str">
        <f t="shared" ca="1" si="32"/>
        <v>205738120</v>
      </c>
      <c r="P197" t="str" cm="1">
        <f t="array" aca="1" ref="P197" ca="1">9 &amp; INDEX($AF$3:$AF$6,W197)&amp; TEXT(RANDBETWEEN(0,9999999),"0000000")</f>
        <v>930998232</v>
      </c>
      <c r="Q197" t="str" cm="1">
        <f t="array" aca="1" ref="Q197" ca="1">LOWER(B197) &amp; INDEX($AF$9:$AF$11,X197)</f>
        <v>lurluz2745@outlook.com</v>
      </c>
      <c r="R197" t="str">
        <f t="shared" ca="1" si="33"/>
        <v>lurluz2745.jpg</v>
      </c>
      <c r="T197" s="4"/>
      <c r="V197">
        <f ca="1">RANDBETWEEN(2,COUNTA(rua_cod!A:A))</f>
        <v>90</v>
      </c>
      <c r="W197">
        <f t="shared" ca="1" si="34"/>
        <v>3</v>
      </c>
      <c r="X197">
        <f t="shared" ca="1" si="35"/>
        <v>1</v>
      </c>
      <c r="Y197">
        <f t="shared" ca="1" si="36"/>
        <v>1995</v>
      </c>
      <c r="Z197">
        <f t="shared" ca="1" si="37"/>
        <v>8</v>
      </c>
      <c r="AA197">
        <f t="shared" ca="1" si="38"/>
        <v>5</v>
      </c>
      <c r="AB197">
        <f t="shared" ca="1" si="39"/>
        <v>25</v>
      </c>
    </row>
    <row r="198" spans="1:28" x14ac:dyDescent="0.25">
      <c r="A198">
        <v>197</v>
      </c>
      <c r="B198" t="str" cm="1">
        <f t="array" aca="1" ref="B198" ca="1">replaceChar(LOWER(LEFT(D198,3)&amp;RIGHT(I198,3))&amp;LEFT(H198,4))</f>
        <v>lauboa1250</v>
      </c>
      <c r="C198" t="str">
        <f t="shared" ca="1" si="30"/>
        <v>pswlauboa1250</v>
      </c>
      <c r="D198" t="str">
        <f ca="1">Nomes!T199</f>
        <v>Laura Daniela Raposo Oliveira</v>
      </c>
      <c r="E198" t="str">
        <f ca="1">Nomes!S199</f>
        <v>Feminino</v>
      </c>
      <c r="F198" s="2">
        <v>14423</v>
      </c>
      <c r="G198" t="str" cm="1">
        <f t="array" aca="1" ref="G198" ca="1">INDEX(rua_cod!$F:$F,RANDBETWEEN(2,COUNTA(rua_cod!F:F)))</f>
        <v>Estrada Militar</v>
      </c>
      <c r="H198" t="str" cm="1">
        <f t="array" aca="1" ref="H198" ca="1">INDEX(rua_cod!$A:$A,Users!V198) &amp; "-" &amp; TEXT(RANDBETWEEN(0,999),"000")</f>
        <v>1250-403</v>
      </c>
      <c r="I198" t="str" cm="1">
        <f t="array" aca="1" ref="I198" ca="1">INDEX(rua_cod!$B:$B,Users!V198)</f>
        <v>Lisboa</v>
      </c>
      <c r="J198" t="s">
        <v>3727</v>
      </c>
      <c r="K198" t="s">
        <v>225</v>
      </c>
      <c r="L198" t="s">
        <v>265</v>
      </c>
      <c r="M198" t="str">
        <f t="shared" ca="1" si="31"/>
        <v>29922383</v>
      </c>
      <c r="N198" t="str">
        <f t="shared" ca="1" si="32"/>
        <v>847505097</v>
      </c>
      <c r="O198" t="str">
        <f t="shared" ca="1" si="32"/>
        <v>665417929</v>
      </c>
      <c r="P198" t="str" cm="1">
        <f t="array" aca="1" ref="P198" ca="1">9 &amp; INDEX($AF$3:$AF$6,W198)&amp; TEXT(RANDBETWEEN(0,9999999),"0000000")</f>
        <v>962875615</v>
      </c>
      <c r="Q198" t="str" cm="1">
        <f t="array" aca="1" ref="Q198" ca="1">LOWER(B198) &amp; INDEX($AF$9:$AF$11,X198)</f>
        <v>lauboa1250@sapo.pt</v>
      </c>
      <c r="R198" t="str">
        <f t="shared" ca="1" si="33"/>
        <v>lauboa1250.jpg</v>
      </c>
      <c r="T198" s="4"/>
      <c r="V198">
        <f ca="1">RANDBETWEEN(2,COUNTA(rua_cod!A:A))</f>
        <v>50</v>
      </c>
      <c r="W198">
        <f t="shared" ca="1" si="34"/>
        <v>4</v>
      </c>
      <c r="X198">
        <f t="shared" ca="1" si="35"/>
        <v>3</v>
      </c>
      <c r="Y198">
        <f t="shared" ca="1" si="36"/>
        <v>1960</v>
      </c>
      <c r="Z198">
        <f t="shared" ca="1" si="37"/>
        <v>12</v>
      </c>
      <c r="AA198">
        <f t="shared" ca="1" si="38"/>
        <v>23</v>
      </c>
      <c r="AB198">
        <f t="shared" ca="1" si="39"/>
        <v>60</v>
      </c>
    </row>
    <row r="199" spans="1:28" x14ac:dyDescent="0.25">
      <c r="A199">
        <v>198</v>
      </c>
      <c r="B199" t="str" cm="1">
        <f t="array" aca="1" ref="B199" ca="1">replaceChar(LOWER(LEFT(D199,3)&amp;RIGHT(I199,3))&amp;LEFT(H199,4))</f>
        <v>joaboa1050</v>
      </c>
      <c r="C199" t="str">
        <f t="shared" ca="1" si="30"/>
        <v>pswjoaboa1050</v>
      </c>
      <c r="D199" t="str">
        <f ca="1">Nomes!T200</f>
        <v>Joana Catarina Oliveira Amaral</v>
      </c>
      <c r="E199" t="str">
        <f ca="1">Nomes!S200</f>
        <v>Feminino</v>
      </c>
      <c r="F199" s="2">
        <v>12035</v>
      </c>
      <c r="G199" t="str" cm="1">
        <f t="array" aca="1" ref="G199" ca="1">INDEX(rua_cod!$F:$F,RANDBETWEEN(2,COUNTA(rua_cod!F:F)))</f>
        <v>Rua Garrett</v>
      </c>
      <c r="H199" t="str" cm="1">
        <f t="array" aca="1" ref="H199" ca="1">INDEX(rua_cod!$A:$A,Users!V199) &amp; "-" &amp; TEXT(RANDBETWEEN(0,999),"000")</f>
        <v>1050-868</v>
      </c>
      <c r="I199" t="str" cm="1">
        <f t="array" aca="1" ref="I199" ca="1">INDEX(rua_cod!$B:$B,Users!V199)</f>
        <v>Lisboa</v>
      </c>
      <c r="J199" t="s">
        <v>3727</v>
      </c>
      <c r="K199" t="s">
        <v>225</v>
      </c>
      <c r="L199" t="s">
        <v>265</v>
      </c>
      <c r="M199" t="str">
        <f t="shared" ca="1" si="31"/>
        <v>89888434</v>
      </c>
      <c r="N199" t="str">
        <f t="shared" ca="1" si="32"/>
        <v>680868602</v>
      </c>
      <c r="O199" t="str">
        <f t="shared" ca="1" si="32"/>
        <v>264681449</v>
      </c>
      <c r="P199" t="str" cm="1">
        <f t="array" aca="1" ref="P199" ca="1">9 &amp; INDEX($AF$3:$AF$6,W199)&amp; TEXT(RANDBETWEEN(0,9999999),"0000000")</f>
        <v>929535567</v>
      </c>
      <c r="Q199" t="str" cm="1">
        <f t="array" aca="1" ref="Q199" ca="1">LOWER(B199) &amp; INDEX($AF$9:$AF$11,X199)</f>
        <v>joaboa1050@gmail.com</v>
      </c>
      <c r="R199" t="str">
        <f t="shared" ca="1" si="33"/>
        <v>joaboa1050.jpg</v>
      </c>
      <c r="T199" s="4"/>
      <c r="V199">
        <f ca="1">RANDBETWEEN(2,COUNTA(rua_cod!A:A))</f>
        <v>66</v>
      </c>
      <c r="W199">
        <f t="shared" ca="1" si="34"/>
        <v>2</v>
      </c>
      <c r="X199">
        <f t="shared" ca="1" si="35"/>
        <v>2</v>
      </c>
      <c r="Y199">
        <f t="shared" ca="1" si="36"/>
        <v>2010</v>
      </c>
      <c r="Z199">
        <f t="shared" ca="1" si="37"/>
        <v>7</v>
      </c>
      <c r="AA199">
        <f t="shared" ca="1" si="38"/>
        <v>29</v>
      </c>
      <c r="AB199">
        <f t="shared" ca="1" si="39"/>
        <v>10</v>
      </c>
    </row>
    <row r="200" spans="1:28" x14ac:dyDescent="0.25">
      <c r="F200" s="2"/>
      <c r="T200" s="4"/>
    </row>
    <row r="201" spans="1:28" x14ac:dyDescent="0.25">
      <c r="T201" s="4"/>
    </row>
    <row r="202" spans="1:28" x14ac:dyDescent="0.25">
      <c r="T202" s="4"/>
    </row>
    <row r="203" spans="1:28" x14ac:dyDescent="0.25">
      <c r="T203" s="4"/>
    </row>
    <row r="204" spans="1:28" x14ac:dyDescent="0.25">
      <c r="T204" s="4"/>
    </row>
    <row r="205" spans="1:28" x14ac:dyDescent="0.25">
      <c r="T205" s="4"/>
    </row>
    <row r="206" spans="1:28" x14ac:dyDescent="0.25">
      <c r="T206" s="4"/>
    </row>
    <row r="207" spans="1:28" x14ac:dyDescent="0.25">
      <c r="T207" s="4"/>
    </row>
    <row r="208" spans="1:28" x14ac:dyDescent="0.25">
      <c r="T208" s="4"/>
    </row>
    <row r="209" spans="20:20" x14ac:dyDescent="0.25">
      <c r="T209" s="4"/>
    </row>
    <row r="210" spans="20:20" x14ac:dyDescent="0.25">
      <c r="T210" s="4"/>
    </row>
    <row r="211" spans="20:20" x14ac:dyDescent="0.25">
      <c r="T211" s="4"/>
    </row>
    <row r="212" spans="20:20" x14ac:dyDescent="0.25">
      <c r="T212" s="4"/>
    </row>
    <row r="213" spans="20:20" x14ac:dyDescent="0.25">
      <c r="T213" s="4"/>
    </row>
    <row r="214" spans="20:20" x14ac:dyDescent="0.25">
      <c r="T214" s="4"/>
    </row>
    <row r="215" spans="20:20" x14ac:dyDescent="0.25">
      <c r="T215" s="4"/>
    </row>
    <row r="216" spans="20:20" x14ac:dyDescent="0.25">
      <c r="T216" s="4"/>
    </row>
    <row r="217" spans="20:20" x14ac:dyDescent="0.25">
      <c r="T217" s="4"/>
    </row>
    <row r="218" spans="20:20" x14ac:dyDescent="0.25">
      <c r="T218" s="4"/>
    </row>
    <row r="219" spans="20:20" x14ac:dyDescent="0.25">
      <c r="T219" s="4"/>
    </row>
    <row r="220" spans="20:20" x14ac:dyDescent="0.25">
      <c r="T220" s="4"/>
    </row>
    <row r="221" spans="20:20" x14ac:dyDescent="0.25">
      <c r="T221" s="4"/>
    </row>
    <row r="222" spans="20:20" x14ac:dyDescent="0.25">
      <c r="T222" s="4"/>
    </row>
    <row r="223" spans="20:20" x14ac:dyDescent="0.25">
      <c r="T223" s="4"/>
    </row>
    <row r="224" spans="20:20" x14ac:dyDescent="0.25">
      <c r="T224" s="4"/>
    </row>
    <row r="225" spans="20:20" x14ac:dyDescent="0.25">
      <c r="T225" s="4"/>
    </row>
    <row r="226" spans="20:20" x14ac:dyDescent="0.25">
      <c r="T226" s="4"/>
    </row>
    <row r="227" spans="20:20" x14ac:dyDescent="0.25">
      <c r="T227" s="4"/>
    </row>
    <row r="228" spans="20:20" x14ac:dyDescent="0.25">
      <c r="T228" s="4"/>
    </row>
    <row r="229" spans="20:20" x14ac:dyDescent="0.25">
      <c r="T229" s="4"/>
    </row>
    <row r="230" spans="20:20" x14ac:dyDescent="0.25">
      <c r="T230" s="4"/>
    </row>
    <row r="231" spans="20:20" x14ac:dyDescent="0.25">
      <c r="T231" s="4"/>
    </row>
    <row r="232" spans="20:20" x14ac:dyDescent="0.25">
      <c r="T232" s="4"/>
    </row>
    <row r="233" spans="20:20" x14ac:dyDescent="0.25">
      <c r="T233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10E5E-26B4-4D9A-B5F6-45D0D20E688D}">
  <sheetPr codeName="Sheet6"/>
  <dimension ref="A1:AH233"/>
  <sheetViews>
    <sheetView workbookViewId="0"/>
  </sheetViews>
  <sheetFormatPr defaultRowHeight="15" x14ac:dyDescent="0.25"/>
  <cols>
    <col min="2" max="2" width="11.85546875" bestFit="1" customWidth="1"/>
    <col min="3" max="3" width="15.42578125" customWidth="1"/>
    <col min="4" max="4" width="36.28515625" bestFit="1" customWidth="1"/>
    <col min="5" max="5" width="11.7109375" customWidth="1"/>
    <col min="6" max="6" width="10.7109375" bestFit="1" customWidth="1"/>
    <col min="7" max="7" width="32" bestFit="1" customWidth="1"/>
    <col min="11" max="11" width="11.28515625" customWidth="1"/>
    <col min="12" max="12" width="20.5703125" bestFit="1" customWidth="1"/>
    <col min="13" max="13" width="18.140625" bestFit="1" customWidth="1"/>
    <col min="14" max="14" width="10" bestFit="1" customWidth="1"/>
    <col min="15" max="15" width="15.7109375" customWidth="1"/>
    <col min="16" max="16" width="10" bestFit="1" customWidth="1"/>
    <col min="17" max="17" width="25.140625" bestFit="1" customWidth="1"/>
    <col min="18" max="18" width="15.42578125" bestFit="1" customWidth="1"/>
    <col min="19" max="19" width="18.28515625" customWidth="1"/>
    <col min="20" max="20" width="15.42578125" customWidth="1"/>
  </cols>
  <sheetData>
    <row r="1" spans="1:34" x14ac:dyDescent="0.2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t="s">
        <v>187</v>
      </c>
      <c r="G1" t="s">
        <v>277</v>
      </c>
      <c r="H1" t="s">
        <v>2025</v>
      </c>
      <c r="I1" t="s">
        <v>334</v>
      </c>
      <c r="J1" t="s">
        <v>278</v>
      </c>
      <c r="K1" t="s">
        <v>279</v>
      </c>
      <c r="L1" t="s">
        <v>337</v>
      </c>
      <c r="M1" t="s">
        <v>335</v>
      </c>
      <c r="N1" t="s">
        <v>280</v>
      </c>
      <c r="O1" t="s">
        <v>336</v>
      </c>
      <c r="P1" t="s">
        <v>266</v>
      </c>
      <c r="Q1" t="s">
        <v>282</v>
      </c>
      <c r="R1" t="s">
        <v>283</v>
      </c>
      <c r="S1" t="s">
        <v>342</v>
      </c>
      <c r="T1" t="s">
        <v>343</v>
      </c>
      <c r="V1" s="4" t="s">
        <v>224</v>
      </c>
      <c r="X1" t="s">
        <v>264</v>
      </c>
      <c r="Y1" t="s">
        <v>270</v>
      </c>
      <c r="Z1" t="s">
        <v>271</v>
      </c>
      <c r="AA1" t="s">
        <v>188</v>
      </c>
      <c r="AB1" t="s">
        <v>190</v>
      </c>
      <c r="AC1" t="s">
        <v>189</v>
      </c>
    </row>
    <row r="2" spans="1:34" x14ac:dyDescent="0.25">
      <c r="A2">
        <v>1</v>
      </c>
      <c r="B2" t="str">
        <f>"med" &amp; TEXT(A2,"000")</f>
        <v>med001</v>
      </c>
      <c r="C2" t="str">
        <f>"psw" &amp; B2</f>
        <v>pswmed001</v>
      </c>
      <c r="D2" t="str">
        <f ca="1">Nomes!T3</f>
        <v>Miguel</v>
      </c>
      <c r="E2" t="str">
        <f ca="1">Nomes!S3</f>
        <v>Masculino</v>
      </c>
      <c r="F2" s="2">
        <f ca="1">DATE(AA2,AB2,AC2)</f>
        <v>28318</v>
      </c>
      <c r="G2" t="str" cm="1">
        <f t="array" aca="1" ref="G2" ca="1">INDEX(rua_cod!$F:$F,RANDBETWEEN(2,COUNTA(rua_cod!F:F)))</f>
        <v>Rua do Sol a Santana</v>
      </c>
      <c r="H2" t="str" cm="1">
        <f t="array" aca="1" ref="H2" ca="1">INDEX(rua_cod!$A:$A,Médicos!X2) &amp; "-" &amp; TEXT(RANDBETWEEN(0,999),"000")</f>
        <v>1200-434</v>
      </c>
      <c r="I2" t="str" cm="1">
        <f t="array" aca="1" ref="I2" ca="1">INDEX(rua_cod!$B:$B,Médicos!X2)</f>
        <v>Lisboa</v>
      </c>
      <c r="J2" t="s">
        <v>341</v>
      </c>
      <c r="K2" t="s">
        <v>225</v>
      </c>
      <c r="L2" t="s">
        <v>265</v>
      </c>
      <c r="M2" t="str">
        <f ca="1">TEXT(RANDBETWEEN(10000000,99999999),"00000000")</f>
        <v>54198782</v>
      </c>
      <c r="N2" t="str">
        <f ca="1">TEXT(RANDBETWEEN(100000000,999999999),"000000000")</f>
        <v>165472896</v>
      </c>
      <c r="O2" t="str">
        <f ca="1">TEXT(RANDBETWEEN(100000000,999999999),"000000000")</f>
        <v>590713126</v>
      </c>
      <c r="P2" t="str" cm="1">
        <f t="array" aca="1" ref="P2" ca="1">9 &amp; INDEX($AH$3:$AH$6,Y2)&amp; TEXT(RANDBETWEEN(0,9999999),"0000000")</f>
        <v>964059455</v>
      </c>
      <c r="Q2" t="str" cm="1">
        <f t="array" aca="1" ref="Q2" ca="1">LOWER(B2) &amp; INDEX($AH$9:$AH$11,Z2)</f>
        <v>med001@hospital.upskill.com</v>
      </c>
      <c r="R2" t="str">
        <f>B2 &amp; ".jpg"</f>
        <v>med001.jpg</v>
      </c>
      <c r="S2" s="8">
        <f ca="1" xml:space="preserve"> RANDBETWEEN(1000000000000000,9999999999999990)</f>
        <v>8326747217413175</v>
      </c>
      <c r="T2" t="s">
        <v>341</v>
      </c>
      <c r="V2" s="4"/>
      <c r="X2">
        <f ca="1">RANDBETWEEN(2,COUNTA(rua_cod!A:A))</f>
        <v>48</v>
      </c>
      <c r="Y2">
        <f ca="1">RANDBETWEEN(1,4)</f>
        <v>4</v>
      </c>
      <c r="Z2">
        <f ca="1">RANDBETWEEN(1,3)</f>
        <v>3</v>
      </c>
      <c r="AA2">
        <f ca="1">RANDBETWEEN(1950,1994)</f>
        <v>1977</v>
      </c>
      <c r="AB2">
        <f ca="1">RANDBETWEEN(1,12)</f>
        <v>7</v>
      </c>
      <c r="AC2">
        <f ca="1">RANDBETWEEN(1,31)</f>
        <v>12</v>
      </c>
      <c r="AD2">
        <f ca="1">2020-AA2</f>
        <v>43</v>
      </c>
      <c r="AH2" t="s">
        <v>266</v>
      </c>
    </row>
    <row r="3" spans="1:34" x14ac:dyDescent="0.25">
      <c r="A3">
        <v>2</v>
      </c>
      <c r="B3" t="str">
        <f t="shared" ref="B3:B66" si="0">"med" &amp; TEXT(A3,"000")</f>
        <v>med002</v>
      </c>
      <c r="C3" t="str">
        <f t="shared" ref="C3:C66" si="1">"psw" &amp; B3</f>
        <v>pswmed002</v>
      </c>
      <c r="D3" t="str">
        <f ca="1">Nomes!T4</f>
        <v>Lara</v>
      </c>
      <c r="E3" t="str">
        <f ca="1">Nomes!S4</f>
        <v>Feminino</v>
      </c>
      <c r="F3" s="2">
        <v>23831</v>
      </c>
      <c r="G3" t="str" cm="1">
        <f t="array" aca="1" ref="G3" ca="1">INDEX(rua_cod!$F:$F,RANDBETWEEN(2,COUNTA(rua_cod!F:F)))</f>
        <v>Rua da Madalena</v>
      </c>
      <c r="H3" t="str" cm="1">
        <f t="array" aca="1" ref="H3" ca="1">INDEX(rua_cod!$A:$A,Médicos!X3) &amp; "-" &amp; TEXT(RANDBETWEEN(0,999),"000")</f>
        <v>1070-645</v>
      </c>
      <c r="I3" t="str" cm="1">
        <f t="array" aca="1" ref="I3" ca="1">INDEX(rua_cod!$B:$B,Médicos!X3)</f>
        <v>Lisboa</v>
      </c>
      <c r="J3" t="s">
        <v>341</v>
      </c>
      <c r="K3" t="s">
        <v>225</v>
      </c>
      <c r="L3" t="s">
        <v>265</v>
      </c>
      <c r="M3" t="str">
        <f t="shared" ref="M3:M66" ca="1" si="2">TEXT(RANDBETWEEN(10000000,99999999),"00000000")</f>
        <v>31761728</v>
      </c>
      <c r="N3" t="str">
        <f t="shared" ref="N3:O66" ca="1" si="3">TEXT(RANDBETWEEN(100000000,999999999),"000000000")</f>
        <v>908947016</v>
      </c>
      <c r="O3" t="str">
        <f t="shared" ca="1" si="3"/>
        <v>215432020</v>
      </c>
      <c r="P3" t="str" cm="1">
        <f t="array" aca="1" ref="P3" ca="1">9 &amp; INDEX($AH$3:$AH$6,Y3)&amp; TEXT(RANDBETWEEN(0,9999999),"0000000")</f>
        <v>917638861</v>
      </c>
      <c r="Q3" t="str" cm="1">
        <f t="array" aca="1" ref="Q3" ca="1">LOWER(B3) &amp; INDEX($AH$9:$AH$11,Z3)</f>
        <v>med002@hospital.upskill.com</v>
      </c>
      <c r="R3" t="str">
        <f t="shared" ref="R3:R66" si="4">B3 &amp; ".jpg"</f>
        <v>med002.jpg</v>
      </c>
      <c r="S3" s="8">
        <f t="shared" ref="S3:S66" ca="1" si="5" xml:space="preserve"> RANDBETWEEN(1000000000000000,9999999999999990)</f>
        <v>1778652284810791</v>
      </c>
      <c r="T3" t="s">
        <v>341</v>
      </c>
      <c r="V3" s="4"/>
      <c r="X3">
        <f ca="1">RANDBETWEEN(2,COUNTA(rua_cod!A:A))</f>
        <v>51</v>
      </c>
      <c r="Y3">
        <f t="shared" ref="Y3:Y66" ca="1" si="6">RANDBETWEEN(1,4)</f>
        <v>1</v>
      </c>
      <c r="Z3">
        <f t="shared" ref="Z3:Z66" ca="1" si="7">RANDBETWEEN(1,3)</f>
        <v>3</v>
      </c>
      <c r="AA3">
        <f t="shared" ref="AA3:AA66" ca="1" si="8">RANDBETWEEN(1950,1994)</f>
        <v>1967</v>
      </c>
      <c r="AB3">
        <f t="shared" ref="AB3:AB66" ca="1" si="9">RANDBETWEEN(1,12)</f>
        <v>9</v>
      </c>
      <c r="AC3">
        <f t="shared" ref="AC3:AC66" ca="1" si="10">RANDBETWEEN(1,31)</f>
        <v>29</v>
      </c>
      <c r="AD3">
        <f t="shared" ref="AD3:AD66" ca="1" si="11">2020-AA3</f>
        <v>53</v>
      </c>
      <c r="AH3">
        <v>1</v>
      </c>
    </row>
    <row r="4" spans="1:34" x14ac:dyDescent="0.25">
      <c r="A4">
        <v>3</v>
      </c>
      <c r="B4" t="str">
        <f t="shared" si="0"/>
        <v>med003</v>
      </c>
      <c r="C4" t="str">
        <f t="shared" si="1"/>
        <v>pswmed003</v>
      </c>
      <c r="D4" t="str">
        <f ca="1">Nomes!T5</f>
        <v>Beatriz</v>
      </c>
      <c r="E4" t="str">
        <f ca="1">Nomes!S5</f>
        <v>Feminino</v>
      </c>
      <c r="F4" s="2">
        <v>26848</v>
      </c>
      <c r="G4" t="str" cm="1">
        <f t="array" aca="1" ref="G4" ca="1">INDEX(rua_cod!$F:$F,RANDBETWEEN(2,COUNTA(rua_cod!F:F)))</f>
        <v>Rua Nova do Almada</v>
      </c>
      <c r="H4" t="str" cm="1">
        <f t="array" aca="1" ref="H4" ca="1">INDEX(rua_cod!$A:$A,Médicos!X4) &amp; "-" &amp; TEXT(RANDBETWEEN(0,999),"000")</f>
        <v>2009-242</v>
      </c>
      <c r="I4" t="str" cm="1">
        <f t="array" aca="1" ref="I4" ca="1">INDEX(rua_cod!$B:$B,Médicos!X4)</f>
        <v>Santarém</v>
      </c>
      <c r="J4" t="s">
        <v>341</v>
      </c>
      <c r="K4" t="s">
        <v>225</v>
      </c>
      <c r="L4" t="s">
        <v>265</v>
      </c>
      <c r="M4" t="str">
        <f t="shared" ca="1" si="2"/>
        <v>68274174</v>
      </c>
      <c r="N4" t="str">
        <f t="shared" ca="1" si="3"/>
        <v>898293590</v>
      </c>
      <c r="O4" t="str">
        <f t="shared" ca="1" si="3"/>
        <v>952055031</v>
      </c>
      <c r="P4" t="str" cm="1">
        <f t="array" aca="1" ref="P4" ca="1">9 &amp; INDEX($AH$3:$AH$6,Y4)&amp; TEXT(RANDBETWEEN(0,9999999),"0000000")</f>
        <v>923006698</v>
      </c>
      <c r="Q4" t="str" cm="1">
        <f t="array" aca="1" ref="Q4" ca="1">LOWER(B4) &amp; INDEX($AH$9:$AH$11,Z4)</f>
        <v>med003@hospital.upskill.com</v>
      </c>
      <c r="R4" t="str">
        <f t="shared" si="4"/>
        <v>med003.jpg</v>
      </c>
      <c r="S4" s="8">
        <f t="shared" ca="1" si="5"/>
        <v>6885411628057536</v>
      </c>
      <c r="T4" t="s">
        <v>341</v>
      </c>
      <c r="V4" s="4"/>
      <c r="X4">
        <f ca="1">RANDBETWEEN(2,COUNTA(rua_cod!A:A))</f>
        <v>95</v>
      </c>
      <c r="Y4">
        <f t="shared" ca="1" si="6"/>
        <v>2</v>
      </c>
      <c r="Z4">
        <f t="shared" ca="1" si="7"/>
        <v>1</v>
      </c>
      <c r="AA4">
        <f t="shared" ca="1" si="8"/>
        <v>1986</v>
      </c>
      <c r="AB4">
        <f t="shared" ca="1" si="9"/>
        <v>4</v>
      </c>
      <c r="AC4">
        <f t="shared" ca="1" si="10"/>
        <v>28</v>
      </c>
      <c r="AD4">
        <f t="shared" ca="1" si="11"/>
        <v>34</v>
      </c>
      <c r="AH4">
        <v>2</v>
      </c>
    </row>
    <row r="5" spans="1:34" x14ac:dyDescent="0.25">
      <c r="A5">
        <v>4</v>
      </c>
      <c r="B5" t="str">
        <f t="shared" si="0"/>
        <v>med004</v>
      </c>
      <c r="C5" t="str">
        <f t="shared" si="1"/>
        <v>pswmed004</v>
      </c>
      <c r="D5" t="str">
        <f ca="1">Nomes!T6</f>
        <v>Tomás</v>
      </c>
      <c r="E5" t="str">
        <f ca="1">Nomes!S6</f>
        <v>Masculino</v>
      </c>
      <c r="F5" s="2">
        <v>34485</v>
      </c>
      <c r="G5" t="str" cm="1">
        <f t="array" aca="1" ref="G5" ca="1">INDEX(rua_cod!$F:$F,RANDBETWEEN(2,COUNTA(rua_cod!F:F)))</f>
        <v>Rua Cidade de Bolama</v>
      </c>
      <c r="H5" t="str" cm="1">
        <f t="array" aca="1" ref="H5" ca="1">INDEX(rua_cod!$A:$A,Médicos!X5) &amp; "-" &amp; TEXT(RANDBETWEEN(0,999),"000")</f>
        <v>1800-148</v>
      </c>
      <c r="I5" t="str" cm="1">
        <f t="array" aca="1" ref="I5" ca="1">INDEX(rua_cod!$B:$B,Médicos!X5)</f>
        <v>Lisboa</v>
      </c>
      <c r="J5" t="s">
        <v>341</v>
      </c>
      <c r="K5" t="s">
        <v>225</v>
      </c>
      <c r="L5" t="s">
        <v>265</v>
      </c>
      <c r="M5" t="str">
        <f t="shared" ca="1" si="2"/>
        <v>35621049</v>
      </c>
      <c r="N5" t="str">
        <f t="shared" ca="1" si="3"/>
        <v>928207671</v>
      </c>
      <c r="O5" t="str">
        <f t="shared" ca="1" si="3"/>
        <v>907074526</v>
      </c>
      <c r="P5" t="str" cm="1">
        <f t="array" aca="1" ref="P5" ca="1">9 &amp; INDEX($AH$3:$AH$6,Y5)&amp; TEXT(RANDBETWEEN(0,9999999),"0000000")</f>
        <v>915946559</v>
      </c>
      <c r="Q5" t="str" cm="1">
        <f t="array" aca="1" ref="Q5" ca="1">LOWER(B5) &amp; INDEX($AH$9:$AH$11,Z5)</f>
        <v>med004@hospital.upskill.com</v>
      </c>
      <c r="R5" t="str">
        <f t="shared" si="4"/>
        <v>med004.jpg</v>
      </c>
      <c r="S5" s="8">
        <f t="shared" ca="1" si="5"/>
        <v>6154069940071712</v>
      </c>
      <c r="T5" t="s">
        <v>341</v>
      </c>
      <c r="V5" s="4"/>
      <c r="X5">
        <f ca="1">RANDBETWEEN(2,COUNTA(rua_cod!A:A))</f>
        <v>56</v>
      </c>
      <c r="Y5">
        <f t="shared" ca="1" si="6"/>
        <v>1</v>
      </c>
      <c r="Z5">
        <f t="shared" ca="1" si="7"/>
        <v>2</v>
      </c>
      <c r="AA5">
        <f t="shared" ca="1" si="8"/>
        <v>1978</v>
      </c>
      <c r="AB5">
        <f t="shared" ca="1" si="9"/>
        <v>6</v>
      </c>
      <c r="AC5">
        <f t="shared" ca="1" si="10"/>
        <v>29</v>
      </c>
      <c r="AD5">
        <f t="shared" ca="1" si="11"/>
        <v>42</v>
      </c>
      <c r="AH5">
        <v>3</v>
      </c>
    </row>
    <row r="6" spans="1:34" x14ac:dyDescent="0.25">
      <c r="A6">
        <v>5</v>
      </c>
      <c r="B6" t="str">
        <f t="shared" si="0"/>
        <v>med005</v>
      </c>
      <c r="C6" t="str">
        <f t="shared" si="1"/>
        <v>pswmed005</v>
      </c>
      <c r="D6" t="str">
        <f ca="1">Nomes!T7</f>
        <v>Rodrigo</v>
      </c>
      <c r="E6" t="str">
        <f ca="1">Nomes!S7</f>
        <v>Masculino</v>
      </c>
      <c r="F6" s="2">
        <v>25317</v>
      </c>
      <c r="G6" t="str" cm="1">
        <f t="array" aca="1" ref="G6" ca="1">INDEX(rua_cod!$F:$F,RANDBETWEEN(2,COUNTA(rua_cod!F:F)))</f>
        <v>Rua do Salitre</v>
      </c>
      <c r="H6" t="str" cm="1">
        <f t="array" aca="1" ref="H6" ca="1">INDEX(rua_cod!$A:$A,Médicos!X6) &amp; "-" &amp; TEXT(RANDBETWEEN(0,999),"000")</f>
        <v>2704-585</v>
      </c>
      <c r="I6" t="str" cm="1">
        <f t="array" aca="1" ref="I6" ca="1">INDEX(rua_cod!$B:$B,Médicos!X6)</f>
        <v>Amadora</v>
      </c>
      <c r="J6" t="s">
        <v>341</v>
      </c>
      <c r="K6" t="s">
        <v>225</v>
      </c>
      <c r="L6" t="s">
        <v>265</v>
      </c>
      <c r="M6" t="str">
        <f t="shared" ca="1" si="2"/>
        <v>36867666</v>
      </c>
      <c r="N6" t="str">
        <f t="shared" ca="1" si="3"/>
        <v>358749035</v>
      </c>
      <c r="O6" t="str">
        <f t="shared" ca="1" si="3"/>
        <v>744172046</v>
      </c>
      <c r="P6" t="str" cm="1">
        <f t="array" aca="1" ref="P6" ca="1">9 &amp; INDEX($AH$3:$AH$6,Y6)&amp; TEXT(RANDBETWEEN(0,9999999),"0000000")</f>
        <v>922127448</v>
      </c>
      <c r="Q6" t="str" cm="1">
        <f t="array" aca="1" ref="Q6" ca="1">LOWER(B6) &amp; INDEX($AH$9:$AH$11,Z6)</f>
        <v>med005@hospital.upskill.com</v>
      </c>
      <c r="R6" t="str">
        <f t="shared" si="4"/>
        <v>med005.jpg</v>
      </c>
      <c r="S6" s="8">
        <f t="shared" ca="1" si="5"/>
        <v>3042694236369396</v>
      </c>
      <c r="T6" t="s">
        <v>341</v>
      </c>
      <c r="V6" s="4"/>
      <c r="X6">
        <f ca="1">RANDBETWEEN(2,COUNTA(rua_cod!A:A))</f>
        <v>15</v>
      </c>
      <c r="Y6">
        <f t="shared" ca="1" si="6"/>
        <v>2</v>
      </c>
      <c r="Z6">
        <f t="shared" ca="1" si="7"/>
        <v>3</v>
      </c>
      <c r="AA6">
        <f t="shared" ca="1" si="8"/>
        <v>1974</v>
      </c>
      <c r="AB6">
        <f t="shared" ca="1" si="9"/>
        <v>1</v>
      </c>
      <c r="AC6">
        <f t="shared" ca="1" si="10"/>
        <v>5</v>
      </c>
      <c r="AD6">
        <f t="shared" ca="1" si="11"/>
        <v>46</v>
      </c>
      <c r="AH6">
        <v>6</v>
      </c>
    </row>
    <row r="7" spans="1:34" x14ac:dyDescent="0.25">
      <c r="A7">
        <v>6</v>
      </c>
      <c r="B7" t="str">
        <f t="shared" si="0"/>
        <v>med006</v>
      </c>
      <c r="C7" t="str">
        <f t="shared" si="1"/>
        <v>pswmed006</v>
      </c>
      <c r="D7" t="str">
        <f ca="1">Nomes!T8</f>
        <v>Lurdes</v>
      </c>
      <c r="E7" t="str">
        <f ca="1">Nomes!S8</f>
        <v>Feminino</v>
      </c>
      <c r="F7" s="2">
        <v>25448</v>
      </c>
      <c r="G7" t="str" cm="1">
        <f t="array" aca="1" ref="G7" ca="1">INDEX(rua_cod!$F:$F,RANDBETWEEN(2,COUNTA(rua_cod!F:F)))</f>
        <v>Rua da Betesga</v>
      </c>
      <c r="H7" t="str" cm="1">
        <f t="array" aca="1" ref="H7" ca="1">INDEX(rua_cod!$A:$A,Médicos!X7) &amp; "-" &amp; TEXT(RANDBETWEEN(0,999),"000")</f>
        <v>1350-214</v>
      </c>
      <c r="I7" t="str" cm="1">
        <f t="array" aca="1" ref="I7" ca="1">INDEX(rua_cod!$B:$B,Médicos!X7)</f>
        <v>Lisboa</v>
      </c>
      <c r="J7" t="s">
        <v>341</v>
      </c>
      <c r="K7" t="s">
        <v>225</v>
      </c>
      <c r="L7" t="s">
        <v>265</v>
      </c>
      <c r="M7" t="str">
        <f t="shared" ca="1" si="2"/>
        <v>93299070</v>
      </c>
      <c r="N7" t="str">
        <f t="shared" ca="1" si="3"/>
        <v>895333818</v>
      </c>
      <c r="O7" t="str">
        <f t="shared" ca="1" si="3"/>
        <v>618209416</v>
      </c>
      <c r="P7" t="str" cm="1">
        <f t="array" aca="1" ref="P7" ca="1">9 &amp; INDEX($AH$3:$AH$6,Y7)&amp; TEXT(RANDBETWEEN(0,9999999),"0000000")</f>
        <v>969047534</v>
      </c>
      <c r="Q7" t="str" cm="1">
        <f t="array" aca="1" ref="Q7" ca="1">LOWER(B7) &amp; INDEX($AH$9:$AH$11,Z7)</f>
        <v>med006@hospital.upskill.com</v>
      </c>
      <c r="R7" t="str">
        <f t="shared" si="4"/>
        <v>med006.jpg</v>
      </c>
      <c r="S7" s="8">
        <f t="shared" ca="1" si="5"/>
        <v>7570758478631903</v>
      </c>
      <c r="T7" t="s">
        <v>341</v>
      </c>
      <c r="V7" s="4"/>
      <c r="X7">
        <f ca="1">RANDBETWEEN(2,COUNTA(rua_cod!A:A))</f>
        <v>54</v>
      </c>
      <c r="Y7">
        <f t="shared" ca="1" si="6"/>
        <v>4</v>
      </c>
      <c r="Z7">
        <f t="shared" ca="1" si="7"/>
        <v>1</v>
      </c>
      <c r="AA7">
        <f t="shared" ca="1" si="8"/>
        <v>1955</v>
      </c>
      <c r="AB7">
        <f t="shared" ca="1" si="9"/>
        <v>2</v>
      </c>
      <c r="AC7">
        <f t="shared" ca="1" si="10"/>
        <v>3</v>
      </c>
      <c r="AD7">
        <f t="shared" ca="1" si="11"/>
        <v>65</v>
      </c>
    </row>
    <row r="8" spans="1:34" x14ac:dyDescent="0.25">
      <c r="A8">
        <v>7</v>
      </c>
      <c r="B8" t="str">
        <f t="shared" si="0"/>
        <v>med007</v>
      </c>
      <c r="C8" t="str">
        <f t="shared" si="1"/>
        <v>pswmed007</v>
      </c>
      <c r="D8" t="str">
        <f ca="1">Nomes!T9</f>
        <v>Bruno</v>
      </c>
      <c r="E8" t="str">
        <f ca="1">Nomes!S9</f>
        <v>Masculino</v>
      </c>
      <c r="F8" s="2">
        <v>26214</v>
      </c>
      <c r="G8" t="str" cm="1">
        <f t="array" aca="1" ref="G8" ca="1">INDEX(rua_cod!$F:$F,RANDBETWEEN(2,COUNTA(rua_cod!F:F)))</f>
        <v>Travessa de São João da Praça</v>
      </c>
      <c r="H8" t="str" cm="1">
        <f t="array" aca="1" ref="H8" ca="1">INDEX(rua_cod!$A:$A,Médicos!X8) &amp; "-" &amp; TEXT(RANDBETWEEN(0,999),"000")</f>
        <v>1070-112</v>
      </c>
      <c r="I8" t="str" cm="1">
        <f t="array" aca="1" ref="I8" ca="1">INDEX(rua_cod!$B:$B,Médicos!X8)</f>
        <v>Lisboa</v>
      </c>
      <c r="J8" t="s">
        <v>341</v>
      </c>
      <c r="K8" t="s">
        <v>225</v>
      </c>
      <c r="L8" t="s">
        <v>265</v>
      </c>
      <c r="M8" t="str">
        <f t="shared" ca="1" si="2"/>
        <v>75883950</v>
      </c>
      <c r="N8" t="str">
        <f t="shared" ca="1" si="3"/>
        <v>238949912</v>
      </c>
      <c r="O8" t="str">
        <f t="shared" ca="1" si="3"/>
        <v>158723697</v>
      </c>
      <c r="P8" t="str" cm="1">
        <f t="array" aca="1" ref="P8" ca="1">9 &amp; INDEX($AH$3:$AH$6,Y8)&amp; TEXT(RANDBETWEEN(0,9999999),"0000000")</f>
        <v>969981021</v>
      </c>
      <c r="Q8" t="str" cm="1">
        <f t="array" aca="1" ref="Q8" ca="1">LOWER(B8) &amp; INDEX($AH$9:$AH$11,Z8)</f>
        <v>med007@hospital.upskill.com</v>
      </c>
      <c r="R8" t="str">
        <f t="shared" si="4"/>
        <v>med007.jpg</v>
      </c>
      <c r="S8" s="8">
        <f t="shared" ca="1" si="5"/>
        <v>3592093471441053</v>
      </c>
      <c r="T8" t="s">
        <v>341</v>
      </c>
      <c r="V8" s="4"/>
      <c r="X8">
        <f ca="1">RANDBETWEEN(2,COUNTA(rua_cod!A:A))</f>
        <v>51</v>
      </c>
      <c r="Y8">
        <f t="shared" ca="1" si="6"/>
        <v>4</v>
      </c>
      <c r="Z8">
        <f t="shared" ca="1" si="7"/>
        <v>1</v>
      </c>
      <c r="AA8">
        <f t="shared" ca="1" si="8"/>
        <v>1968</v>
      </c>
      <c r="AB8">
        <f t="shared" ca="1" si="9"/>
        <v>1</v>
      </c>
      <c r="AC8">
        <f t="shared" ca="1" si="10"/>
        <v>11</v>
      </c>
      <c r="AD8">
        <f t="shared" ca="1" si="11"/>
        <v>52</v>
      </c>
    </row>
    <row r="9" spans="1:34" x14ac:dyDescent="0.25">
      <c r="A9">
        <v>8</v>
      </c>
      <c r="B9" t="str">
        <f t="shared" si="0"/>
        <v>med008</v>
      </c>
      <c r="C9" t="str">
        <f t="shared" si="1"/>
        <v>pswmed008</v>
      </c>
      <c r="D9" t="str">
        <f ca="1">Nomes!T10</f>
        <v>Tiago</v>
      </c>
      <c r="E9" t="str">
        <f ca="1">Nomes!S10</f>
        <v>Masculino</v>
      </c>
      <c r="F9" s="2">
        <v>41662</v>
      </c>
      <c r="G9" t="str" cm="1">
        <f t="array" aca="1" ref="G9" ca="1">INDEX(rua_cod!$F:$F,RANDBETWEEN(2,COUNTA(rua_cod!F:F)))</f>
        <v>Rua Roberto Duarte Silva</v>
      </c>
      <c r="H9" t="str" cm="1">
        <f t="array" aca="1" ref="H9" ca="1">INDEX(rua_cod!$A:$A,Médicos!X9) &amp; "-" &amp; TEXT(RANDBETWEEN(0,999),"000")</f>
        <v>1067-194</v>
      </c>
      <c r="I9" t="str" cm="1">
        <f t="array" aca="1" ref="I9" ca="1">INDEX(rua_cod!$B:$B,Médicos!X9)</f>
        <v>Lisboa</v>
      </c>
      <c r="J9" t="s">
        <v>341</v>
      </c>
      <c r="K9" t="s">
        <v>225</v>
      </c>
      <c r="L9" t="s">
        <v>265</v>
      </c>
      <c r="M9" t="str">
        <f t="shared" ca="1" si="2"/>
        <v>51967576</v>
      </c>
      <c r="N9" t="str">
        <f t="shared" ca="1" si="3"/>
        <v>890452104</v>
      </c>
      <c r="O9" t="str">
        <f t="shared" ca="1" si="3"/>
        <v>682744331</v>
      </c>
      <c r="P9" t="str" cm="1">
        <f t="array" aca="1" ref="P9" ca="1">9 &amp; INDEX($AH$3:$AH$6,Y9)&amp; TEXT(RANDBETWEEN(0,9999999),"0000000")</f>
        <v>918853113</v>
      </c>
      <c r="Q9" t="str" cm="1">
        <f t="array" aca="1" ref="Q9" ca="1">LOWER(B9) &amp; INDEX($AH$9:$AH$11,Z9)</f>
        <v>med008@hospital.upskill.com</v>
      </c>
      <c r="R9" t="str">
        <f t="shared" si="4"/>
        <v>med008.jpg</v>
      </c>
      <c r="S9" s="8">
        <f t="shared" ca="1" si="5"/>
        <v>7265966687223889</v>
      </c>
      <c r="T9" t="s">
        <v>341</v>
      </c>
      <c r="V9" s="4"/>
      <c r="X9">
        <f ca="1">RANDBETWEEN(2,COUNTA(rua_cod!A:A))</f>
        <v>82</v>
      </c>
      <c r="Y9">
        <f t="shared" ca="1" si="6"/>
        <v>1</v>
      </c>
      <c r="Z9">
        <f t="shared" ca="1" si="7"/>
        <v>2</v>
      </c>
      <c r="AA9">
        <f t="shared" ca="1" si="8"/>
        <v>1972</v>
      </c>
      <c r="AB9">
        <f t="shared" ca="1" si="9"/>
        <v>2</v>
      </c>
      <c r="AC9">
        <f t="shared" ca="1" si="10"/>
        <v>2</v>
      </c>
      <c r="AD9">
        <f t="shared" ca="1" si="11"/>
        <v>48</v>
      </c>
      <c r="AH9" s="5" t="s">
        <v>340</v>
      </c>
    </row>
    <row r="10" spans="1:34" x14ac:dyDescent="0.25">
      <c r="A10">
        <v>9</v>
      </c>
      <c r="B10" t="str">
        <f t="shared" si="0"/>
        <v>med009</v>
      </c>
      <c r="C10" t="str">
        <f t="shared" si="1"/>
        <v>pswmed009</v>
      </c>
      <c r="D10" t="str">
        <f ca="1">Nomes!T11</f>
        <v>Sara</v>
      </c>
      <c r="E10" t="str">
        <f ca="1">Nomes!S11</f>
        <v>Feminino</v>
      </c>
      <c r="F10" s="2">
        <v>28055</v>
      </c>
      <c r="G10" t="str" cm="1">
        <f t="array" aca="1" ref="G10" ca="1">INDEX(rua_cod!$F:$F,RANDBETWEEN(2,COUNTA(rua_cod!F:F)))</f>
        <v>Calçada de Carriche</v>
      </c>
      <c r="H10" t="str" cm="1">
        <f t="array" aca="1" ref="H10" ca="1">INDEX(rua_cod!$A:$A,Médicos!X10) &amp; "-" &amp; TEXT(RANDBETWEEN(0,999),"000")</f>
        <v>2825-403</v>
      </c>
      <c r="I10" t="str" cm="1">
        <f t="array" aca="1" ref="I10" ca="1">INDEX(rua_cod!$B:$B,Médicos!X10)</f>
        <v>Costa de Caparica</v>
      </c>
      <c r="J10" t="s">
        <v>341</v>
      </c>
      <c r="K10" t="s">
        <v>225</v>
      </c>
      <c r="L10" t="s">
        <v>265</v>
      </c>
      <c r="M10" t="str">
        <f t="shared" ca="1" si="2"/>
        <v>34532031</v>
      </c>
      <c r="N10" t="str">
        <f t="shared" ca="1" si="3"/>
        <v>754428674</v>
      </c>
      <c r="O10" t="str">
        <f t="shared" ca="1" si="3"/>
        <v>167581845</v>
      </c>
      <c r="P10" t="str" cm="1">
        <f t="array" aca="1" ref="P10" ca="1">9 &amp; INDEX($AH$3:$AH$6,Y10)&amp; TEXT(RANDBETWEEN(0,9999999),"0000000")</f>
        <v>922563925</v>
      </c>
      <c r="Q10" t="str" cm="1">
        <f t="array" aca="1" ref="Q10" ca="1">LOWER(B10) &amp; INDEX($AH$9:$AH$11,Z10)</f>
        <v>med009@hospital.upskill.com</v>
      </c>
      <c r="R10" t="str">
        <f t="shared" si="4"/>
        <v>med009.jpg</v>
      </c>
      <c r="S10" s="8">
        <f t="shared" ca="1" si="5"/>
        <v>7486376563778441</v>
      </c>
      <c r="T10" t="s">
        <v>341</v>
      </c>
      <c r="V10" s="4"/>
      <c r="X10">
        <f ca="1">RANDBETWEEN(2,COUNTA(rua_cod!A:A))</f>
        <v>27</v>
      </c>
      <c r="Y10">
        <f t="shared" ca="1" si="6"/>
        <v>2</v>
      </c>
      <c r="Z10">
        <f t="shared" ca="1" si="7"/>
        <v>3</v>
      </c>
      <c r="AA10">
        <f t="shared" ca="1" si="8"/>
        <v>1967</v>
      </c>
      <c r="AB10">
        <f t="shared" ca="1" si="9"/>
        <v>7</v>
      </c>
      <c r="AC10">
        <f t="shared" ca="1" si="10"/>
        <v>13</v>
      </c>
      <c r="AD10">
        <f t="shared" ca="1" si="11"/>
        <v>53</v>
      </c>
      <c r="AH10" s="5" t="s">
        <v>340</v>
      </c>
    </row>
    <row r="11" spans="1:34" x14ac:dyDescent="0.25">
      <c r="A11">
        <v>10</v>
      </c>
      <c r="B11" t="str">
        <f t="shared" si="0"/>
        <v>med010</v>
      </c>
      <c r="C11" t="str">
        <f t="shared" si="1"/>
        <v>pswmed010</v>
      </c>
      <c r="D11" t="str">
        <f ca="1">Nomes!T12</f>
        <v>Tiago</v>
      </c>
      <c r="E11" t="str">
        <f ca="1">Nomes!S12</f>
        <v>Masculino</v>
      </c>
      <c r="F11" s="2">
        <v>30531</v>
      </c>
      <c r="G11" t="str" cm="1">
        <f t="array" aca="1" ref="G11" ca="1">INDEX(rua_cod!$F:$F,RANDBETWEEN(2,COUNTA(rua_cod!F:F)))</f>
        <v>Calçada do Moinho de Vento</v>
      </c>
      <c r="H11" t="str" cm="1">
        <f t="array" aca="1" ref="H11" ca="1">INDEX(rua_cod!$A:$A,Médicos!X11) &amp; "-" &amp; TEXT(RANDBETWEEN(0,999),"000")</f>
        <v>1067-042</v>
      </c>
      <c r="I11" t="str" cm="1">
        <f t="array" aca="1" ref="I11" ca="1">INDEX(rua_cod!$B:$B,Médicos!X11)</f>
        <v>Lisboa</v>
      </c>
      <c r="J11" t="s">
        <v>341</v>
      </c>
      <c r="K11" t="s">
        <v>225</v>
      </c>
      <c r="L11" t="s">
        <v>265</v>
      </c>
      <c r="M11" t="str">
        <f t="shared" ca="1" si="2"/>
        <v>91428456</v>
      </c>
      <c r="N11" t="str">
        <f t="shared" ca="1" si="3"/>
        <v>604399030</v>
      </c>
      <c r="O11" t="str">
        <f t="shared" ca="1" si="3"/>
        <v>892189226</v>
      </c>
      <c r="P11" t="str" cm="1">
        <f t="array" aca="1" ref="P11" ca="1">9 &amp; INDEX($AH$3:$AH$6,Y11)&amp; TEXT(RANDBETWEEN(0,9999999),"0000000")</f>
        <v>917894454</v>
      </c>
      <c r="Q11" t="str" cm="1">
        <f t="array" aca="1" ref="Q11" ca="1">LOWER(B11) &amp; INDEX($AH$9:$AH$11,Z11)</f>
        <v>med010@hospital.upskill.com</v>
      </c>
      <c r="R11" t="str">
        <f t="shared" si="4"/>
        <v>med010.jpg</v>
      </c>
      <c r="S11" s="8">
        <f t="shared" ca="1" si="5"/>
        <v>1072221891793569</v>
      </c>
      <c r="T11" t="s">
        <v>341</v>
      </c>
      <c r="V11" s="4"/>
      <c r="X11">
        <f ca="1">RANDBETWEEN(2,COUNTA(rua_cod!A:A))</f>
        <v>82</v>
      </c>
      <c r="Y11">
        <f t="shared" ca="1" si="6"/>
        <v>1</v>
      </c>
      <c r="Z11">
        <f t="shared" ca="1" si="7"/>
        <v>2</v>
      </c>
      <c r="AA11">
        <f t="shared" ca="1" si="8"/>
        <v>1976</v>
      </c>
      <c r="AB11">
        <f t="shared" ca="1" si="9"/>
        <v>4</v>
      </c>
      <c r="AC11">
        <f t="shared" ca="1" si="10"/>
        <v>11</v>
      </c>
      <c r="AD11">
        <f t="shared" ca="1" si="11"/>
        <v>44</v>
      </c>
      <c r="AH11" s="5" t="s">
        <v>340</v>
      </c>
    </row>
    <row r="12" spans="1:34" x14ac:dyDescent="0.25">
      <c r="A12">
        <v>11</v>
      </c>
      <c r="B12" t="str">
        <f t="shared" si="0"/>
        <v>med011</v>
      </c>
      <c r="C12" t="str">
        <f t="shared" si="1"/>
        <v>pswmed011</v>
      </c>
      <c r="D12" t="str">
        <f ca="1">Nomes!T13</f>
        <v>André</v>
      </c>
      <c r="E12" t="str">
        <f ca="1">Nomes!S13</f>
        <v>Masculino</v>
      </c>
      <c r="F12" s="2">
        <v>10192</v>
      </c>
      <c r="G12" t="str" cm="1">
        <f t="array" aca="1" ref="G12" ca="1">INDEX(rua_cod!$F:$F,RANDBETWEEN(2,COUNTA(rua_cod!F:F)))</f>
        <v>Rua dos Bacalhoeiros</v>
      </c>
      <c r="H12" t="str" cm="1">
        <f t="array" aca="1" ref="H12" ca="1">INDEX(rua_cod!$A:$A,Médicos!X12) &amp; "-" &amp; TEXT(RANDBETWEEN(0,999),"000")</f>
        <v>1050-884</v>
      </c>
      <c r="I12" t="str" cm="1">
        <f t="array" aca="1" ref="I12" ca="1">INDEX(rua_cod!$B:$B,Médicos!X12)</f>
        <v>Lisboa</v>
      </c>
      <c r="J12" t="s">
        <v>341</v>
      </c>
      <c r="K12" t="s">
        <v>225</v>
      </c>
      <c r="L12" t="s">
        <v>265</v>
      </c>
      <c r="M12" t="str">
        <f t="shared" ca="1" si="2"/>
        <v>51756682</v>
      </c>
      <c r="N12" t="str">
        <f t="shared" ca="1" si="3"/>
        <v>233832067</v>
      </c>
      <c r="O12" t="str">
        <f t="shared" ca="1" si="3"/>
        <v>413938456</v>
      </c>
      <c r="P12" t="str" cm="1">
        <f t="array" aca="1" ref="P12" ca="1">9 &amp; INDEX($AH$3:$AH$6,Y12)&amp; TEXT(RANDBETWEEN(0,9999999),"0000000")</f>
        <v>921140205</v>
      </c>
      <c r="Q12" t="str" cm="1">
        <f t="array" aca="1" ref="Q12" ca="1">LOWER(B12) &amp; INDEX($AH$9:$AH$11,Z12)</f>
        <v>med011@hospital.upskill.com</v>
      </c>
      <c r="R12" t="str">
        <f t="shared" si="4"/>
        <v>med011.jpg</v>
      </c>
      <c r="S12" s="8">
        <f t="shared" ca="1" si="5"/>
        <v>9771677435842732</v>
      </c>
      <c r="T12" t="s">
        <v>341</v>
      </c>
      <c r="V12" s="4"/>
      <c r="X12">
        <f ca="1">RANDBETWEEN(2,COUNTA(rua_cod!A:A))</f>
        <v>66</v>
      </c>
      <c r="Y12">
        <f t="shared" ca="1" si="6"/>
        <v>2</v>
      </c>
      <c r="Z12">
        <f t="shared" ca="1" si="7"/>
        <v>3</v>
      </c>
      <c r="AA12">
        <f t="shared" ca="1" si="8"/>
        <v>1972</v>
      </c>
      <c r="AB12">
        <f t="shared" ca="1" si="9"/>
        <v>5</v>
      </c>
      <c r="AC12">
        <f t="shared" ca="1" si="10"/>
        <v>29</v>
      </c>
      <c r="AD12">
        <f t="shared" ca="1" si="11"/>
        <v>48</v>
      </c>
    </row>
    <row r="13" spans="1:34" x14ac:dyDescent="0.25">
      <c r="A13">
        <v>12</v>
      </c>
      <c r="B13" t="str">
        <f t="shared" si="0"/>
        <v>med012</v>
      </c>
      <c r="C13" t="str">
        <f t="shared" si="1"/>
        <v>pswmed012</v>
      </c>
      <c r="D13" t="str">
        <f ca="1">Nomes!T14</f>
        <v>José Pacheco</v>
      </c>
      <c r="E13" t="str">
        <f ca="1">Nomes!S14</f>
        <v>Masculino</v>
      </c>
      <c r="F13" s="2">
        <v>11987</v>
      </c>
      <c r="G13" t="str" cm="1">
        <f t="array" aca="1" ref="G13" ca="1">INDEX(rua_cod!$F:$F,RANDBETWEEN(2,COUNTA(rua_cod!F:F)))</f>
        <v>Rua do Sol a Santana</v>
      </c>
      <c r="H13" t="str" cm="1">
        <f t="array" aca="1" ref="H13" ca="1">INDEX(rua_cod!$A:$A,Médicos!X13) &amp; "-" &amp; TEXT(RANDBETWEEN(0,999),"000")</f>
        <v>2423-682</v>
      </c>
      <c r="I13" t="str" cm="1">
        <f t="array" aca="1" ref="I13" ca="1">INDEX(rua_cod!$B:$B,Médicos!X13)</f>
        <v>Leiria</v>
      </c>
      <c r="J13" t="s">
        <v>341</v>
      </c>
      <c r="K13" t="s">
        <v>225</v>
      </c>
      <c r="L13" t="s">
        <v>265</v>
      </c>
      <c r="M13" t="str">
        <f t="shared" ca="1" si="2"/>
        <v>85793159</v>
      </c>
      <c r="N13" t="str">
        <f t="shared" ca="1" si="3"/>
        <v>965949122</v>
      </c>
      <c r="O13" t="str">
        <f t="shared" ca="1" si="3"/>
        <v>340673872</v>
      </c>
      <c r="P13" t="str" cm="1">
        <f t="array" aca="1" ref="P13" ca="1">9 &amp; INDEX($AH$3:$AH$6,Y13)&amp; TEXT(RANDBETWEEN(0,9999999),"0000000")</f>
        <v>914067483</v>
      </c>
      <c r="Q13" t="str" cm="1">
        <f t="array" aca="1" ref="Q13" ca="1">LOWER(B13) &amp; INDEX($AH$9:$AH$11,Z13)</f>
        <v>med012@hospital.upskill.com</v>
      </c>
      <c r="R13" t="str">
        <f t="shared" si="4"/>
        <v>med012.jpg</v>
      </c>
      <c r="S13" s="8">
        <f t="shared" ca="1" si="5"/>
        <v>6326380087445117</v>
      </c>
      <c r="T13" t="s">
        <v>341</v>
      </c>
      <c r="V13" s="4"/>
      <c r="X13">
        <f ca="1">RANDBETWEEN(2,COUNTA(rua_cod!A:A))</f>
        <v>38</v>
      </c>
      <c r="Y13">
        <f t="shared" ca="1" si="6"/>
        <v>1</v>
      </c>
      <c r="Z13">
        <f t="shared" ca="1" si="7"/>
        <v>1</v>
      </c>
      <c r="AA13">
        <f t="shared" ca="1" si="8"/>
        <v>1986</v>
      </c>
      <c r="AB13">
        <f t="shared" ca="1" si="9"/>
        <v>10</v>
      </c>
      <c r="AC13">
        <f t="shared" ca="1" si="10"/>
        <v>18</v>
      </c>
      <c r="AD13">
        <f t="shared" ca="1" si="11"/>
        <v>34</v>
      </c>
    </row>
    <row r="14" spans="1:34" x14ac:dyDescent="0.25">
      <c r="A14">
        <v>13</v>
      </c>
      <c r="B14" t="str">
        <f t="shared" si="0"/>
        <v>med013</v>
      </c>
      <c r="C14" t="str">
        <f t="shared" si="1"/>
        <v>pswmed013</v>
      </c>
      <c r="D14" t="str">
        <f ca="1">Nomes!T15</f>
        <v>Diana Torres</v>
      </c>
      <c r="E14" t="str">
        <f ca="1">Nomes!S15</f>
        <v>Feminino</v>
      </c>
      <c r="F14" s="2">
        <v>28287</v>
      </c>
      <c r="G14" t="str" cm="1">
        <f t="array" aca="1" ref="G14" ca="1">INDEX(rua_cod!$F:$F,RANDBETWEEN(2,COUNTA(rua_cod!F:F)))</f>
        <v>Rua do Instituto Bacteriológico</v>
      </c>
      <c r="H14" t="str" cm="1">
        <f t="array" aca="1" ref="H14" ca="1">INDEX(rua_cod!$A:$A,Médicos!X14) &amp; "-" &amp; TEXT(RANDBETWEEN(0,999),"000")</f>
        <v>2640-058</v>
      </c>
      <c r="I14" t="str" cm="1">
        <f t="array" aca="1" ref="I14" ca="1">INDEX(rua_cod!$B:$B,Médicos!X14)</f>
        <v>Mafra</v>
      </c>
      <c r="J14" t="s">
        <v>341</v>
      </c>
      <c r="K14" t="s">
        <v>225</v>
      </c>
      <c r="L14" t="s">
        <v>265</v>
      </c>
      <c r="M14" t="str">
        <f t="shared" ca="1" si="2"/>
        <v>33080036</v>
      </c>
      <c r="N14" t="str">
        <f t="shared" ca="1" si="3"/>
        <v>816467072</v>
      </c>
      <c r="O14" t="str">
        <f t="shared" ca="1" si="3"/>
        <v>225141653</v>
      </c>
      <c r="P14" t="str" cm="1">
        <f t="array" aca="1" ref="P14" ca="1">9 &amp; INDEX($AH$3:$AH$6,Y14)&amp; TEXT(RANDBETWEEN(0,9999999),"0000000")</f>
        <v>917786916</v>
      </c>
      <c r="Q14" t="str" cm="1">
        <f t="array" aca="1" ref="Q14" ca="1">LOWER(B14) &amp; INDEX($AH$9:$AH$11,Z14)</f>
        <v>med013@hospital.upskill.com</v>
      </c>
      <c r="R14" t="str">
        <f t="shared" si="4"/>
        <v>med013.jpg</v>
      </c>
      <c r="S14" s="8">
        <f t="shared" ca="1" si="5"/>
        <v>3565205890058861</v>
      </c>
      <c r="T14" t="s">
        <v>341</v>
      </c>
      <c r="V14" s="4"/>
      <c r="X14">
        <f ca="1">RANDBETWEEN(2,COUNTA(rua_cod!A:A))</f>
        <v>85</v>
      </c>
      <c r="Y14">
        <f t="shared" ca="1" si="6"/>
        <v>1</v>
      </c>
      <c r="Z14">
        <f t="shared" ca="1" si="7"/>
        <v>3</v>
      </c>
      <c r="AA14">
        <f t="shared" ca="1" si="8"/>
        <v>1960</v>
      </c>
      <c r="AB14">
        <f t="shared" ca="1" si="9"/>
        <v>1</v>
      </c>
      <c r="AC14">
        <f t="shared" ca="1" si="10"/>
        <v>13</v>
      </c>
      <c r="AD14">
        <f t="shared" ca="1" si="11"/>
        <v>60</v>
      </c>
    </row>
    <row r="15" spans="1:34" x14ac:dyDescent="0.25">
      <c r="A15">
        <v>14</v>
      </c>
      <c r="B15" t="str">
        <f t="shared" si="0"/>
        <v>med014</v>
      </c>
      <c r="C15" t="str">
        <f t="shared" si="1"/>
        <v>pswmed014</v>
      </c>
      <c r="D15" t="str">
        <f ca="1">Nomes!T16</f>
        <v>Maria Castro</v>
      </c>
      <c r="E15" t="str">
        <f ca="1">Nomes!S16</f>
        <v>Feminino</v>
      </c>
      <c r="F15" s="2">
        <v>26925</v>
      </c>
      <c r="G15" t="str" cm="1">
        <f t="array" aca="1" ref="G15" ca="1">INDEX(rua_cod!$F:$F,RANDBETWEEN(2,COUNTA(rua_cod!F:F)))</f>
        <v>Rua do Comércio</v>
      </c>
      <c r="H15" t="str" cm="1">
        <f t="array" aca="1" ref="H15" ca="1">INDEX(rua_cod!$A:$A,Médicos!X15) &amp; "-" &amp; TEXT(RANDBETWEEN(0,999),"000")</f>
        <v>2870-791</v>
      </c>
      <c r="I15" t="str" cm="1">
        <f t="array" aca="1" ref="I15" ca="1">INDEX(rua_cod!$B:$B,Médicos!X15)</f>
        <v>Montijo</v>
      </c>
      <c r="J15" t="s">
        <v>341</v>
      </c>
      <c r="K15" t="s">
        <v>225</v>
      </c>
      <c r="L15" t="s">
        <v>265</v>
      </c>
      <c r="M15" t="str">
        <f t="shared" ca="1" si="2"/>
        <v>20444934</v>
      </c>
      <c r="N15" t="str">
        <f t="shared" ca="1" si="3"/>
        <v>993195263</v>
      </c>
      <c r="O15" t="str">
        <f t="shared" ca="1" si="3"/>
        <v>659156814</v>
      </c>
      <c r="P15" t="str" cm="1">
        <f t="array" aca="1" ref="P15" ca="1">9 &amp; INDEX($AH$3:$AH$6,Y15)&amp; TEXT(RANDBETWEEN(0,9999999),"0000000")</f>
        <v>969559498</v>
      </c>
      <c r="Q15" t="str" cm="1">
        <f t="array" aca="1" ref="Q15" ca="1">LOWER(B15) &amp; INDEX($AH$9:$AH$11,Z15)</f>
        <v>med014@hospital.upskill.com</v>
      </c>
      <c r="R15" t="str">
        <f t="shared" si="4"/>
        <v>med014.jpg</v>
      </c>
      <c r="S15" s="8">
        <f t="shared" ca="1" si="5"/>
        <v>9320143561601176</v>
      </c>
      <c r="T15" t="s">
        <v>341</v>
      </c>
      <c r="V15" s="4"/>
      <c r="X15">
        <f ca="1">RANDBETWEEN(2,COUNTA(rua_cod!A:A))</f>
        <v>87</v>
      </c>
      <c r="Y15">
        <f t="shared" ca="1" si="6"/>
        <v>4</v>
      </c>
      <c r="Z15">
        <f t="shared" ca="1" si="7"/>
        <v>1</v>
      </c>
      <c r="AA15">
        <f t="shared" ca="1" si="8"/>
        <v>1982</v>
      </c>
      <c r="AB15">
        <f t="shared" ca="1" si="9"/>
        <v>11</v>
      </c>
      <c r="AC15">
        <f t="shared" ca="1" si="10"/>
        <v>29</v>
      </c>
      <c r="AD15">
        <f t="shared" ca="1" si="11"/>
        <v>38</v>
      </c>
    </row>
    <row r="16" spans="1:34" x14ac:dyDescent="0.25">
      <c r="A16">
        <v>15</v>
      </c>
      <c r="B16" t="str">
        <f t="shared" si="0"/>
        <v>med015</v>
      </c>
      <c r="C16" t="str">
        <f t="shared" si="1"/>
        <v>pswmed015</v>
      </c>
      <c r="D16" t="str">
        <f ca="1">Nomes!T17</f>
        <v>Tomás Domingues</v>
      </c>
      <c r="E16" t="str">
        <f ca="1">Nomes!S17</f>
        <v>Masculino</v>
      </c>
      <c r="F16" s="2">
        <v>21109</v>
      </c>
      <c r="G16" t="str" cm="1">
        <f t="array" aca="1" ref="G16" ca="1">INDEX(rua_cod!$F:$F,RANDBETWEEN(2,COUNTA(rua_cod!F:F)))</f>
        <v>Rua de São Julião</v>
      </c>
      <c r="H16" t="str" cm="1">
        <f t="array" aca="1" ref="H16" ca="1">INDEX(rua_cod!$A:$A,Médicos!X16) &amp; "-" &amp; TEXT(RANDBETWEEN(0,999),"000")</f>
        <v>2560-810</v>
      </c>
      <c r="I16" t="str" cm="1">
        <f t="array" aca="1" ref="I16" ca="1">INDEX(rua_cod!$B:$B,Médicos!X16)</f>
        <v>Torres Vedras</v>
      </c>
      <c r="J16" t="s">
        <v>341</v>
      </c>
      <c r="K16" t="s">
        <v>225</v>
      </c>
      <c r="L16" t="s">
        <v>265</v>
      </c>
      <c r="M16" t="str">
        <f t="shared" ca="1" si="2"/>
        <v>32858571</v>
      </c>
      <c r="N16" t="str">
        <f t="shared" ca="1" si="3"/>
        <v>763749615</v>
      </c>
      <c r="O16" t="str">
        <f t="shared" ca="1" si="3"/>
        <v>311499501</v>
      </c>
      <c r="P16" t="str" cm="1">
        <f t="array" aca="1" ref="P16" ca="1">9 &amp; INDEX($AH$3:$AH$6,Y16)&amp; TEXT(RANDBETWEEN(0,9999999),"0000000")</f>
        <v>916170409</v>
      </c>
      <c r="Q16" t="str" cm="1">
        <f t="array" aca="1" ref="Q16" ca="1">LOWER(B16) &amp; INDEX($AH$9:$AH$11,Z16)</f>
        <v>med015@hospital.upskill.com</v>
      </c>
      <c r="R16" t="str">
        <f t="shared" si="4"/>
        <v>med015.jpg</v>
      </c>
      <c r="S16" s="8">
        <f t="shared" ca="1" si="5"/>
        <v>9125786014137062</v>
      </c>
      <c r="T16" t="s">
        <v>341</v>
      </c>
      <c r="V16" s="4"/>
      <c r="X16">
        <f ca="1">RANDBETWEEN(2,COUNTA(rua_cod!A:A))</f>
        <v>104</v>
      </c>
      <c r="Y16">
        <f t="shared" ca="1" si="6"/>
        <v>1</v>
      </c>
      <c r="Z16">
        <f t="shared" ca="1" si="7"/>
        <v>3</v>
      </c>
      <c r="AA16">
        <f t="shared" ca="1" si="8"/>
        <v>1950</v>
      </c>
      <c r="AB16">
        <f t="shared" ca="1" si="9"/>
        <v>9</v>
      </c>
      <c r="AC16">
        <f t="shared" ca="1" si="10"/>
        <v>18</v>
      </c>
      <c r="AD16">
        <f t="shared" ca="1" si="11"/>
        <v>70</v>
      </c>
    </row>
    <row r="17" spans="1:30" x14ac:dyDescent="0.25">
      <c r="A17">
        <v>16</v>
      </c>
      <c r="B17" t="str">
        <f t="shared" si="0"/>
        <v>med016</v>
      </c>
      <c r="C17" t="str">
        <f t="shared" si="1"/>
        <v>pswmed016</v>
      </c>
      <c r="D17" t="str">
        <f ca="1">Nomes!T18</f>
        <v>Maria Neves</v>
      </c>
      <c r="E17" t="str">
        <f ca="1">Nomes!S18</f>
        <v>Feminino</v>
      </c>
      <c r="F17" s="2">
        <v>31299</v>
      </c>
      <c r="G17" t="str" cm="1">
        <f t="array" aca="1" ref="G17" ca="1">INDEX(rua_cod!$F:$F,RANDBETWEEN(2,COUNTA(rua_cod!F:F)))</f>
        <v>Calçada do Poço dos Mouros</v>
      </c>
      <c r="H17" t="str" cm="1">
        <f t="array" aca="1" ref="H17" ca="1">INDEX(rua_cod!$A:$A,Médicos!X17) &amp; "-" &amp; TEXT(RANDBETWEEN(0,999),"000")</f>
        <v>2710-219</v>
      </c>
      <c r="I17" t="str" cm="1">
        <f t="array" aca="1" ref="I17" ca="1">INDEX(rua_cod!$B:$B,Médicos!X17)</f>
        <v>Sintra</v>
      </c>
      <c r="J17" t="s">
        <v>341</v>
      </c>
      <c r="K17" t="s">
        <v>225</v>
      </c>
      <c r="L17" t="s">
        <v>265</v>
      </c>
      <c r="M17" t="str">
        <f t="shared" ca="1" si="2"/>
        <v>34122015</v>
      </c>
      <c r="N17" t="str">
        <f t="shared" ca="1" si="3"/>
        <v>161902511</v>
      </c>
      <c r="O17" t="str">
        <f t="shared" ca="1" si="3"/>
        <v>158162763</v>
      </c>
      <c r="P17" t="str" cm="1">
        <f t="array" aca="1" ref="P17" ca="1">9 &amp; INDEX($AH$3:$AH$6,Y17)&amp; TEXT(RANDBETWEEN(0,9999999),"0000000")</f>
        <v>915193980</v>
      </c>
      <c r="Q17" t="str" cm="1">
        <f t="array" aca="1" ref="Q17" ca="1">LOWER(B17) &amp; INDEX($AH$9:$AH$11,Z17)</f>
        <v>med016@hospital.upskill.com</v>
      </c>
      <c r="R17" t="str">
        <f t="shared" si="4"/>
        <v>med016.jpg</v>
      </c>
      <c r="S17" s="8">
        <f t="shared" ca="1" si="5"/>
        <v>3431825939951835</v>
      </c>
      <c r="T17" t="s">
        <v>341</v>
      </c>
      <c r="V17" s="4"/>
      <c r="X17">
        <f ca="1">RANDBETWEEN(2,COUNTA(rua_cod!A:A))</f>
        <v>100</v>
      </c>
      <c r="Y17">
        <f t="shared" ca="1" si="6"/>
        <v>1</v>
      </c>
      <c r="Z17">
        <f t="shared" ca="1" si="7"/>
        <v>2</v>
      </c>
      <c r="AA17">
        <f t="shared" ca="1" si="8"/>
        <v>1962</v>
      </c>
      <c r="AB17">
        <f t="shared" ca="1" si="9"/>
        <v>7</v>
      </c>
      <c r="AC17">
        <f t="shared" ca="1" si="10"/>
        <v>12</v>
      </c>
      <c r="AD17">
        <f t="shared" ca="1" si="11"/>
        <v>58</v>
      </c>
    </row>
    <row r="18" spans="1:30" x14ac:dyDescent="0.25">
      <c r="A18">
        <v>17</v>
      </c>
      <c r="B18" t="str">
        <f t="shared" si="0"/>
        <v>med017</v>
      </c>
      <c r="C18" t="str">
        <f t="shared" si="1"/>
        <v>pswmed017</v>
      </c>
      <c r="D18" t="str">
        <f ca="1">Nomes!T19</f>
        <v>Ana Guerreiro</v>
      </c>
      <c r="E18" t="str">
        <f ca="1">Nomes!S19</f>
        <v>Feminino</v>
      </c>
      <c r="F18" s="2">
        <v>22764</v>
      </c>
      <c r="G18" t="str" cm="1">
        <f t="array" aca="1" ref="G18" ca="1">INDEX(rua_cod!$F:$F,RANDBETWEEN(2,COUNTA(rua_cod!F:F)))</f>
        <v>Rua Augusta</v>
      </c>
      <c r="H18" t="str" cm="1">
        <f t="array" aca="1" ref="H18" ca="1">INDEX(rua_cod!$A:$A,Médicos!X18) &amp; "-" &amp; TEXT(RANDBETWEEN(0,999),"000")</f>
        <v>1070-576</v>
      </c>
      <c r="I18" t="str" cm="1">
        <f t="array" aca="1" ref="I18" ca="1">INDEX(rua_cod!$B:$B,Médicos!X18)</f>
        <v>Lisboa</v>
      </c>
      <c r="J18" t="s">
        <v>341</v>
      </c>
      <c r="K18" t="s">
        <v>225</v>
      </c>
      <c r="L18" t="s">
        <v>265</v>
      </c>
      <c r="M18" t="str">
        <f t="shared" ca="1" si="2"/>
        <v>22990969</v>
      </c>
      <c r="N18" t="str">
        <f t="shared" ca="1" si="3"/>
        <v>974394447</v>
      </c>
      <c r="O18" t="str">
        <f t="shared" ca="1" si="3"/>
        <v>610257655</v>
      </c>
      <c r="P18" t="str" cm="1">
        <f t="array" aca="1" ref="P18" ca="1">9 &amp; INDEX($AH$3:$AH$6,Y18)&amp; TEXT(RANDBETWEEN(0,9999999),"0000000")</f>
        <v>924319138</v>
      </c>
      <c r="Q18" t="str" cm="1">
        <f t="array" aca="1" ref="Q18" ca="1">LOWER(B18) &amp; INDEX($AH$9:$AH$11,Z18)</f>
        <v>med017@hospital.upskill.com</v>
      </c>
      <c r="R18" t="str">
        <f t="shared" si="4"/>
        <v>med017.jpg</v>
      </c>
      <c r="S18" s="8">
        <f t="shared" ca="1" si="5"/>
        <v>3706888752633756</v>
      </c>
      <c r="T18" t="s">
        <v>341</v>
      </c>
      <c r="V18" s="4"/>
      <c r="X18">
        <f ca="1">RANDBETWEEN(2,COUNTA(rua_cod!A:A))</f>
        <v>51</v>
      </c>
      <c r="Y18">
        <f t="shared" ca="1" si="6"/>
        <v>2</v>
      </c>
      <c r="Z18">
        <f t="shared" ca="1" si="7"/>
        <v>3</v>
      </c>
      <c r="AA18">
        <f t="shared" ca="1" si="8"/>
        <v>1986</v>
      </c>
      <c r="AB18">
        <f t="shared" ca="1" si="9"/>
        <v>9</v>
      </c>
      <c r="AC18">
        <f t="shared" ca="1" si="10"/>
        <v>19</v>
      </c>
      <c r="AD18">
        <f t="shared" ca="1" si="11"/>
        <v>34</v>
      </c>
    </row>
    <row r="19" spans="1:30" x14ac:dyDescent="0.25">
      <c r="A19">
        <v>18</v>
      </c>
      <c r="B19" t="str">
        <f t="shared" si="0"/>
        <v>med018</v>
      </c>
      <c r="C19" t="str">
        <f t="shared" si="1"/>
        <v>pswmed018</v>
      </c>
      <c r="D19" t="str">
        <f ca="1">Nomes!T20</f>
        <v>Catarina Fernandes</v>
      </c>
      <c r="E19" t="str">
        <f ca="1">Nomes!S20</f>
        <v>Feminino</v>
      </c>
      <c r="F19" s="2">
        <v>23791</v>
      </c>
      <c r="G19" t="str" cm="1">
        <f t="array" aca="1" ref="G19" ca="1">INDEX(rua_cod!$F:$F,RANDBETWEEN(2,COUNTA(rua_cod!F:F)))</f>
        <v>Rua da Oliveira ao Carmo</v>
      </c>
      <c r="H19" t="str" cm="1">
        <f t="array" aca="1" ref="H19" ca="1">INDEX(rua_cod!$A:$A,Médicos!X19) &amp; "-" &amp; TEXT(RANDBETWEEN(0,999),"000")</f>
        <v>2830-428</v>
      </c>
      <c r="I19" t="str" cm="1">
        <f t="array" aca="1" ref="I19" ca="1">INDEX(rua_cod!$B:$B,Médicos!X19)</f>
        <v>Barreiro</v>
      </c>
      <c r="J19" t="s">
        <v>341</v>
      </c>
      <c r="K19" t="s">
        <v>225</v>
      </c>
      <c r="L19" t="s">
        <v>265</v>
      </c>
      <c r="M19" t="str">
        <f t="shared" ca="1" si="2"/>
        <v>56804037</v>
      </c>
      <c r="N19" t="str">
        <f t="shared" ca="1" si="3"/>
        <v>494427530</v>
      </c>
      <c r="O19" t="str">
        <f t="shared" ca="1" si="3"/>
        <v>337075296</v>
      </c>
      <c r="P19" t="str" cm="1">
        <f t="array" aca="1" ref="P19" ca="1">9 &amp; INDEX($AH$3:$AH$6,Y19)&amp; TEXT(RANDBETWEEN(0,9999999),"0000000")</f>
        <v>935828171</v>
      </c>
      <c r="Q19" t="str" cm="1">
        <f t="array" aca="1" ref="Q19" ca="1">LOWER(B19) &amp; INDEX($AH$9:$AH$11,Z19)</f>
        <v>med018@hospital.upskill.com</v>
      </c>
      <c r="R19" t="str">
        <f t="shared" si="4"/>
        <v>med018.jpg</v>
      </c>
      <c r="S19" s="8">
        <f t="shared" ca="1" si="5"/>
        <v>2536071836763391</v>
      </c>
      <c r="T19" t="s">
        <v>341</v>
      </c>
      <c r="V19" s="4"/>
      <c r="X19">
        <f ca="1">RANDBETWEEN(2,COUNTA(rua_cod!A:A))</f>
        <v>16</v>
      </c>
      <c r="Y19">
        <f t="shared" ca="1" si="6"/>
        <v>3</v>
      </c>
      <c r="Z19">
        <f t="shared" ca="1" si="7"/>
        <v>1</v>
      </c>
      <c r="AA19">
        <f t="shared" ca="1" si="8"/>
        <v>1967</v>
      </c>
      <c r="AB19">
        <f t="shared" ca="1" si="9"/>
        <v>10</v>
      </c>
      <c r="AC19">
        <f t="shared" ca="1" si="10"/>
        <v>22</v>
      </c>
      <c r="AD19">
        <f t="shared" ca="1" si="11"/>
        <v>53</v>
      </c>
    </row>
    <row r="20" spans="1:30" x14ac:dyDescent="0.25">
      <c r="A20">
        <v>19</v>
      </c>
      <c r="B20" t="str">
        <f t="shared" si="0"/>
        <v>med019</v>
      </c>
      <c r="C20" t="str">
        <f t="shared" si="1"/>
        <v>pswmed019</v>
      </c>
      <c r="D20" t="str">
        <f ca="1">Nomes!T21</f>
        <v>Francisca Garcia</v>
      </c>
      <c r="E20" t="str">
        <f ca="1">Nomes!S21</f>
        <v>Feminino</v>
      </c>
      <c r="F20" s="2">
        <v>10827</v>
      </c>
      <c r="G20" t="str" cm="1">
        <f t="array" aca="1" ref="G20" ca="1">INDEX(rua_cod!$F:$F,RANDBETWEEN(2,COUNTA(rua_cod!F:F)))</f>
        <v>Rua do Instituto Bacteriológico</v>
      </c>
      <c r="H20" t="str" cm="1">
        <f t="array" aca="1" ref="H20" ca="1">INDEX(rua_cod!$A:$A,Médicos!X20) &amp; "-" &amp; TEXT(RANDBETWEEN(0,999),"000")</f>
        <v>1049-817</v>
      </c>
      <c r="I20" t="str" cm="1">
        <f t="array" aca="1" ref="I20" ca="1">INDEX(rua_cod!$B:$B,Médicos!X20)</f>
        <v>Lisboa</v>
      </c>
      <c r="J20" t="s">
        <v>341</v>
      </c>
      <c r="K20" t="s">
        <v>225</v>
      </c>
      <c r="L20" t="s">
        <v>265</v>
      </c>
      <c r="M20" t="str">
        <f t="shared" ca="1" si="2"/>
        <v>64122587</v>
      </c>
      <c r="N20" t="str">
        <f t="shared" ca="1" si="3"/>
        <v>314565448</v>
      </c>
      <c r="O20" t="str">
        <f t="shared" ca="1" si="3"/>
        <v>137947118</v>
      </c>
      <c r="P20" t="str" cm="1">
        <f t="array" aca="1" ref="P20" ca="1">9 &amp; INDEX($AH$3:$AH$6,Y20)&amp; TEXT(RANDBETWEEN(0,9999999),"0000000")</f>
        <v>936618694</v>
      </c>
      <c r="Q20" t="str" cm="1">
        <f t="array" aca="1" ref="Q20" ca="1">LOWER(B20) &amp; INDEX($AH$9:$AH$11,Z20)</f>
        <v>med019@hospital.upskill.com</v>
      </c>
      <c r="R20" t="str">
        <f t="shared" si="4"/>
        <v>med019.jpg</v>
      </c>
      <c r="S20" s="8">
        <f t="shared" ca="1" si="5"/>
        <v>6775086792425253</v>
      </c>
      <c r="T20" t="s">
        <v>341</v>
      </c>
      <c r="V20" s="4"/>
      <c r="X20">
        <f ca="1">RANDBETWEEN(2,COUNTA(rua_cod!A:A))</f>
        <v>76</v>
      </c>
      <c r="Y20">
        <f t="shared" ca="1" si="6"/>
        <v>3</v>
      </c>
      <c r="Z20">
        <f t="shared" ca="1" si="7"/>
        <v>3</v>
      </c>
      <c r="AA20">
        <f t="shared" ca="1" si="8"/>
        <v>1976</v>
      </c>
      <c r="AB20">
        <f t="shared" ca="1" si="9"/>
        <v>12</v>
      </c>
      <c r="AC20">
        <f t="shared" ca="1" si="10"/>
        <v>4</v>
      </c>
      <c r="AD20">
        <f t="shared" ca="1" si="11"/>
        <v>44</v>
      </c>
    </row>
    <row r="21" spans="1:30" x14ac:dyDescent="0.25">
      <c r="A21">
        <v>20</v>
      </c>
      <c r="B21" t="str">
        <f t="shared" si="0"/>
        <v>med020</v>
      </c>
      <c r="C21" t="str">
        <f t="shared" si="1"/>
        <v>pswmed020</v>
      </c>
      <c r="D21" t="str">
        <f ca="1">Nomes!T22</f>
        <v>Mariana Borges</v>
      </c>
      <c r="E21" t="str">
        <f ca="1">Nomes!S22</f>
        <v>Feminino</v>
      </c>
      <c r="F21" s="2">
        <v>29267</v>
      </c>
      <c r="G21" t="str" cm="1">
        <f t="array" aca="1" ref="G21" ca="1">INDEX(rua_cod!$F:$F,RANDBETWEEN(2,COUNTA(rua_cod!F:F)))</f>
        <v>Estrada das Laranjeiras</v>
      </c>
      <c r="H21" t="str" cm="1">
        <f t="array" aca="1" ref="H21" ca="1">INDEX(rua_cod!$A:$A,Médicos!X21) &amp; "-" &amp; TEXT(RANDBETWEEN(0,999),"000")</f>
        <v>2720-031</v>
      </c>
      <c r="I21" t="str" cm="1">
        <f t="array" aca="1" ref="I21" ca="1">INDEX(rua_cod!$B:$B,Médicos!X21)</f>
        <v>Amadora</v>
      </c>
      <c r="J21" t="s">
        <v>341</v>
      </c>
      <c r="K21" t="s">
        <v>225</v>
      </c>
      <c r="L21" t="s">
        <v>265</v>
      </c>
      <c r="M21" t="str">
        <f t="shared" ca="1" si="2"/>
        <v>98076285</v>
      </c>
      <c r="N21" t="str">
        <f t="shared" ca="1" si="3"/>
        <v>328573129</v>
      </c>
      <c r="O21" t="str">
        <f t="shared" ca="1" si="3"/>
        <v>594047986</v>
      </c>
      <c r="P21" t="str" cm="1">
        <f t="array" aca="1" ref="P21" ca="1">9 &amp; INDEX($AH$3:$AH$6,Y21)&amp; TEXT(RANDBETWEEN(0,9999999),"0000000")</f>
        <v>917500360</v>
      </c>
      <c r="Q21" t="str" cm="1">
        <f t="array" aca="1" ref="Q21" ca="1">LOWER(B21) &amp; INDEX($AH$9:$AH$11,Z21)</f>
        <v>med020@hospital.upskill.com</v>
      </c>
      <c r="R21" t="str">
        <f t="shared" si="4"/>
        <v>med020.jpg</v>
      </c>
      <c r="S21" s="8">
        <f t="shared" ca="1" si="5"/>
        <v>9227081033387952</v>
      </c>
      <c r="T21" t="s">
        <v>341</v>
      </c>
      <c r="V21" s="4"/>
      <c r="X21">
        <f ca="1">RANDBETWEEN(2,COUNTA(rua_cod!A:A))</f>
        <v>8</v>
      </c>
      <c r="Y21">
        <f t="shared" ca="1" si="6"/>
        <v>1</v>
      </c>
      <c r="Z21">
        <f t="shared" ca="1" si="7"/>
        <v>1</v>
      </c>
      <c r="AA21">
        <f t="shared" ca="1" si="8"/>
        <v>1985</v>
      </c>
      <c r="AB21">
        <f t="shared" ca="1" si="9"/>
        <v>7</v>
      </c>
      <c r="AC21">
        <f t="shared" ca="1" si="10"/>
        <v>11</v>
      </c>
      <c r="AD21">
        <f t="shared" ca="1" si="11"/>
        <v>35</v>
      </c>
    </row>
    <row r="22" spans="1:30" x14ac:dyDescent="0.25">
      <c r="A22">
        <v>21</v>
      </c>
      <c r="B22" t="str">
        <f t="shared" si="0"/>
        <v>med021</v>
      </c>
      <c r="C22" t="str">
        <f t="shared" si="1"/>
        <v>pswmed021</v>
      </c>
      <c r="D22" t="str">
        <f ca="1">Nomes!T23</f>
        <v>João Cunha</v>
      </c>
      <c r="E22" t="str">
        <f ca="1">Nomes!S23</f>
        <v>Masculino</v>
      </c>
      <c r="F22" s="2">
        <v>12111</v>
      </c>
      <c r="G22" t="str" cm="1">
        <f t="array" aca="1" ref="G22" ca="1">INDEX(rua_cod!$F:$F,RANDBETWEEN(2,COUNTA(rua_cod!F:F)))</f>
        <v>Rua do Guarda-Mor</v>
      </c>
      <c r="H22" t="str" cm="1">
        <f t="array" aca="1" ref="H22" ca="1">INDEX(rua_cod!$A:$A,Médicos!X22) &amp; "-" &amp; TEXT(RANDBETWEEN(0,999),"000")</f>
        <v>2330-089</v>
      </c>
      <c r="I22" t="str" cm="1">
        <f t="array" aca="1" ref="I22" ca="1">INDEX(rua_cod!$B:$B,Médicos!X22)</f>
        <v>Entroncamento</v>
      </c>
      <c r="J22" t="s">
        <v>341</v>
      </c>
      <c r="K22" t="s">
        <v>225</v>
      </c>
      <c r="L22" t="s">
        <v>265</v>
      </c>
      <c r="M22" t="str">
        <f t="shared" ca="1" si="2"/>
        <v>28109073</v>
      </c>
      <c r="N22" t="str">
        <f t="shared" ca="1" si="3"/>
        <v>495964806</v>
      </c>
      <c r="O22" t="str">
        <f t="shared" ca="1" si="3"/>
        <v>766458327</v>
      </c>
      <c r="P22" t="str" cm="1">
        <f t="array" aca="1" ref="P22" ca="1">9 &amp; INDEX($AH$3:$AH$6,Y22)&amp; TEXT(RANDBETWEEN(0,9999999),"0000000")</f>
        <v>967557593</v>
      </c>
      <c r="Q22" t="str" cm="1">
        <f t="array" aca="1" ref="Q22" ca="1">LOWER(B22) &amp; INDEX($AH$9:$AH$11,Z22)</f>
        <v>med021@hospital.upskill.com</v>
      </c>
      <c r="R22" t="str">
        <f t="shared" si="4"/>
        <v>med021.jpg</v>
      </c>
      <c r="S22" s="8">
        <f t="shared" ca="1" si="5"/>
        <v>8737447945794747</v>
      </c>
      <c r="T22" t="s">
        <v>341</v>
      </c>
      <c r="V22" s="4"/>
      <c r="X22">
        <f ca="1">RANDBETWEEN(2,COUNTA(rua_cod!A:A))</f>
        <v>29</v>
      </c>
      <c r="Y22">
        <f t="shared" ca="1" si="6"/>
        <v>4</v>
      </c>
      <c r="Z22">
        <f t="shared" ca="1" si="7"/>
        <v>1</v>
      </c>
      <c r="AA22">
        <f t="shared" ca="1" si="8"/>
        <v>1989</v>
      </c>
      <c r="AB22">
        <f t="shared" ca="1" si="9"/>
        <v>9</v>
      </c>
      <c r="AC22">
        <f t="shared" ca="1" si="10"/>
        <v>12</v>
      </c>
      <c r="AD22">
        <f t="shared" ca="1" si="11"/>
        <v>31</v>
      </c>
    </row>
    <row r="23" spans="1:30" x14ac:dyDescent="0.25">
      <c r="A23">
        <v>22</v>
      </c>
      <c r="B23" t="str">
        <f t="shared" si="0"/>
        <v>med022</v>
      </c>
      <c r="C23" t="str">
        <f t="shared" si="1"/>
        <v>pswmed022</v>
      </c>
      <c r="D23" t="str">
        <f ca="1">Nomes!T24</f>
        <v>Afonso Pacheco</v>
      </c>
      <c r="E23" t="str">
        <f ca="1">Nomes!S24</f>
        <v>Masculino</v>
      </c>
      <c r="F23" s="2">
        <v>22513</v>
      </c>
      <c r="G23" t="str" cm="1">
        <f t="array" aca="1" ref="G23" ca="1">INDEX(rua_cod!$F:$F,RANDBETWEEN(2,COUNTA(rua_cod!F:F)))</f>
        <v>Calçada do Moinho de Vento</v>
      </c>
      <c r="H23" t="str" cm="1">
        <f t="array" aca="1" ref="H23" ca="1">INDEX(rua_cod!$A:$A,Médicos!X23) &amp; "-" &amp; TEXT(RANDBETWEEN(0,999),"000")</f>
        <v>1067-529</v>
      </c>
      <c r="I23" t="str" cm="1">
        <f t="array" aca="1" ref="I23" ca="1">INDEX(rua_cod!$B:$B,Médicos!X23)</f>
        <v>Lisboa</v>
      </c>
      <c r="J23" t="s">
        <v>341</v>
      </c>
      <c r="K23" t="s">
        <v>225</v>
      </c>
      <c r="L23" t="s">
        <v>265</v>
      </c>
      <c r="M23" t="str">
        <f t="shared" ca="1" si="2"/>
        <v>71989990</v>
      </c>
      <c r="N23" t="str">
        <f t="shared" ca="1" si="3"/>
        <v>532413837</v>
      </c>
      <c r="O23" t="str">
        <f t="shared" ca="1" si="3"/>
        <v>357037911</v>
      </c>
      <c r="P23" t="str" cm="1">
        <f t="array" aca="1" ref="P23" ca="1">9 &amp; INDEX($AH$3:$AH$6,Y23)&amp; TEXT(RANDBETWEEN(0,9999999),"0000000")</f>
        <v>935459822</v>
      </c>
      <c r="Q23" t="str" cm="1">
        <f t="array" aca="1" ref="Q23" ca="1">LOWER(B23) &amp; INDEX($AH$9:$AH$11,Z23)</f>
        <v>med022@hospital.upskill.com</v>
      </c>
      <c r="R23" t="str">
        <f t="shared" si="4"/>
        <v>med022.jpg</v>
      </c>
      <c r="S23" s="8">
        <f t="shared" ca="1" si="5"/>
        <v>9294128714400272</v>
      </c>
      <c r="T23" t="s">
        <v>341</v>
      </c>
      <c r="V23" s="4"/>
      <c r="X23">
        <f ca="1">RANDBETWEEN(2,COUNTA(rua_cod!A:A))</f>
        <v>82</v>
      </c>
      <c r="Y23">
        <f t="shared" ca="1" si="6"/>
        <v>3</v>
      </c>
      <c r="Z23">
        <f t="shared" ca="1" si="7"/>
        <v>1</v>
      </c>
      <c r="AA23">
        <f t="shared" ca="1" si="8"/>
        <v>1950</v>
      </c>
      <c r="AB23">
        <f t="shared" ca="1" si="9"/>
        <v>3</v>
      </c>
      <c r="AC23">
        <f t="shared" ca="1" si="10"/>
        <v>24</v>
      </c>
      <c r="AD23">
        <f t="shared" ca="1" si="11"/>
        <v>70</v>
      </c>
    </row>
    <row r="24" spans="1:30" x14ac:dyDescent="0.25">
      <c r="A24">
        <v>23</v>
      </c>
      <c r="B24" t="str">
        <f t="shared" si="0"/>
        <v>med023</v>
      </c>
      <c r="C24" t="str">
        <f t="shared" si="1"/>
        <v>pswmed023</v>
      </c>
      <c r="D24" t="str">
        <f ca="1">Nomes!T25</f>
        <v>Beatriz Domingues</v>
      </c>
      <c r="E24" t="str">
        <f ca="1">Nomes!S25</f>
        <v>Feminino</v>
      </c>
      <c r="F24" s="2">
        <v>22253</v>
      </c>
      <c r="G24" t="str" cm="1">
        <f t="array" aca="1" ref="G24" ca="1">INDEX(rua_cod!$F:$F,RANDBETWEEN(2,COUNTA(rua_cod!F:F)))</f>
        <v>Rua do Salitre</v>
      </c>
      <c r="H24" t="str" cm="1">
        <f t="array" aca="1" ref="H24" ca="1">INDEX(rua_cod!$A:$A,Médicos!X24) &amp; "-" &amp; TEXT(RANDBETWEEN(0,999),"000")</f>
        <v>2000-262</v>
      </c>
      <c r="I24" t="str" cm="1">
        <f t="array" aca="1" ref="I24" ca="1">INDEX(rua_cod!$B:$B,Médicos!X24)</f>
        <v>Santarém</v>
      </c>
      <c r="J24" t="s">
        <v>341</v>
      </c>
      <c r="K24" t="s">
        <v>225</v>
      </c>
      <c r="L24" t="s">
        <v>265</v>
      </c>
      <c r="M24" t="str">
        <f t="shared" ca="1" si="2"/>
        <v>21797167</v>
      </c>
      <c r="N24" t="str">
        <f t="shared" ca="1" si="3"/>
        <v>723819444</v>
      </c>
      <c r="O24" t="str">
        <f t="shared" ca="1" si="3"/>
        <v>481508974</v>
      </c>
      <c r="P24" t="str" cm="1">
        <f t="array" aca="1" ref="P24" ca="1">9 &amp; INDEX($AH$3:$AH$6,Y24)&amp; TEXT(RANDBETWEEN(0,9999999),"0000000")</f>
        <v>964184194</v>
      </c>
      <c r="Q24" t="str" cm="1">
        <f t="array" aca="1" ref="Q24" ca="1">LOWER(B24) &amp; INDEX($AH$9:$AH$11,Z24)</f>
        <v>med023@hospital.upskill.com</v>
      </c>
      <c r="R24" t="str">
        <f t="shared" si="4"/>
        <v>med023.jpg</v>
      </c>
      <c r="S24" s="8">
        <f t="shared" ca="1" si="5"/>
        <v>7587737090449348</v>
      </c>
      <c r="T24" t="s">
        <v>341</v>
      </c>
      <c r="V24" s="4"/>
      <c r="X24">
        <f ca="1">RANDBETWEEN(2,COUNTA(rua_cod!A:A))</f>
        <v>93</v>
      </c>
      <c r="Y24">
        <f t="shared" ca="1" si="6"/>
        <v>4</v>
      </c>
      <c r="Z24">
        <f t="shared" ca="1" si="7"/>
        <v>1</v>
      </c>
      <c r="AA24">
        <f t="shared" ca="1" si="8"/>
        <v>1953</v>
      </c>
      <c r="AB24">
        <f t="shared" ca="1" si="9"/>
        <v>3</v>
      </c>
      <c r="AC24">
        <f t="shared" ca="1" si="10"/>
        <v>9</v>
      </c>
      <c r="AD24">
        <f t="shared" ca="1" si="11"/>
        <v>67</v>
      </c>
    </row>
    <row r="25" spans="1:30" x14ac:dyDescent="0.25">
      <c r="A25">
        <v>24</v>
      </c>
      <c r="B25" t="str">
        <f t="shared" si="0"/>
        <v>med024</v>
      </c>
      <c r="C25" t="str">
        <f t="shared" si="1"/>
        <v>pswmed024</v>
      </c>
      <c r="D25" t="str">
        <f ca="1">Nomes!T26</f>
        <v>Diogo Torres</v>
      </c>
      <c r="E25" t="str">
        <f ca="1">Nomes!S26</f>
        <v>Masculino</v>
      </c>
      <c r="F25" s="2">
        <v>14100</v>
      </c>
      <c r="G25" t="str" cm="1">
        <f t="array" aca="1" ref="G25" ca="1">INDEX(rua_cod!$F:$F,RANDBETWEEN(2,COUNTA(rua_cod!F:F)))</f>
        <v>Calçada de Carriche</v>
      </c>
      <c r="H25" t="str" cm="1">
        <f t="array" aca="1" ref="H25" ca="1">INDEX(rua_cod!$A:$A,Médicos!X25) &amp; "-" &amp; TEXT(RANDBETWEEN(0,999),"000")</f>
        <v>2330-987</v>
      </c>
      <c r="I25" t="str" cm="1">
        <f t="array" aca="1" ref="I25" ca="1">INDEX(rua_cod!$B:$B,Médicos!X25)</f>
        <v>Entroncamento</v>
      </c>
      <c r="J25" t="s">
        <v>341</v>
      </c>
      <c r="K25" t="s">
        <v>225</v>
      </c>
      <c r="L25" t="s">
        <v>265</v>
      </c>
      <c r="M25" t="str">
        <f t="shared" ca="1" si="2"/>
        <v>45244093</v>
      </c>
      <c r="N25" t="str">
        <f t="shared" ca="1" si="3"/>
        <v>298974602</v>
      </c>
      <c r="O25" t="str">
        <f t="shared" ca="1" si="3"/>
        <v>256191935</v>
      </c>
      <c r="P25" t="str" cm="1">
        <f t="array" aca="1" ref="P25" ca="1">9 &amp; INDEX($AH$3:$AH$6,Y25)&amp; TEXT(RANDBETWEEN(0,9999999),"0000000")</f>
        <v>961147321</v>
      </c>
      <c r="Q25" t="str" cm="1">
        <f t="array" aca="1" ref="Q25" ca="1">LOWER(B25) &amp; INDEX($AH$9:$AH$11,Z25)</f>
        <v>med024@hospital.upskill.com</v>
      </c>
      <c r="R25" t="str">
        <f t="shared" si="4"/>
        <v>med024.jpg</v>
      </c>
      <c r="S25" s="8">
        <f t="shared" ca="1" si="5"/>
        <v>3158721319568413</v>
      </c>
      <c r="T25" t="s">
        <v>341</v>
      </c>
      <c r="V25" s="4"/>
      <c r="X25">
        <f ca="1">RANDBETWEEN(2,COUNTA(rua_cod!A:A))</f>
        <v>29</v>
      </c>
      <c r="Y25">
        <f t="shared" ca="1" si="6"/>
        <v>4</v>
      </c>
      <c r="Z25">
        <f t="shared" ca="1" si="7"/>
        <v>1</v>
      </c>
      <c r="AA25">
        <f t="shared" ca="1" si="8"/>
        <v>1958</v>
      </c>
      <c r="AB25">
        <f t="shared" ca="1" si="9"/>
        <v>9</v>
      </c>
      <c r="AC25">
        <f t="shared" ca="1" si="10"/>
        <v>7</v>
      </c>
      <c r="AD25">
        <f t="shared" ca="1" si="11"/>
        <v>62</v>
      </c>
    </row>
    <row r="26" spans="1:30" x14ac:dyDescent="0.25">
      <c r="A26">
        <v>25</v>
      </c>
      <c r="B26" t="str">
        <f t="shared" si="0"/>
        <v>med025</v>
      </c>
      <c r="C26" t="str">
        <f t="shared" si="1"/>
        <v>pswmed025</v>
      </c>
      <c r="D26" t="str">
        <f ca="1">Nomes!T27</f>
        <v>Vera Nascimento</v>
      </c>
      <c r="E26" t="str">
        <f ca="1">Nomes!S27</f>
        <v>Feminino</v>
      </c>
      <c r="F26" s="2">
        <v>14176</v>
      </c>
      <c r="G26" t="str" cm="1">
        <f t="array" aca="1" ref="G26" ca="1">INDEX(rua_cod!$F:$F,RANDBETWEEN(2,COUNTA(rua_cod!F:F)))</f>
        <v>Rua Augusta</v>
      </c>
      <c r="H26" t="str" cm="1">
        <f t="array" aca="1" ref="H26" ca="1">INDEX(rua_cod!$A:$A,Médicos!X26) &amp; "-" &amp; TEXT(RANDBETWEEN(0,999),"000")</f>
        <v>1098-909</v>
      </c>
      <c r="I26" t="str" cm="1">
        <f t="array" aca="1" ref="I26" ca="1">INDEX(rua_cod!$B:$B,Médicos!X26)</f>
        <v>Lisboa</v>
      </c>
      <c r="J26" t="s">
        <v>341</v>
      </c>
      <c r="K26" t="s">
        <v>225</v>
      </c>
      <c r="L26" t="s">
        <v>265</v>
      </c>
      <c r="M26" t="str">
        <f t="shared" ca="1" si="2"/>
        <v>16777905</v>
      </c>
      <c r="N26" t="str">
        <f t="shared" ca="1" si="3"/>
        <v>916400019</v>
      </c>
      <c r="O26" t="str">
        <f t="shared" ca="1" si="3"/>
        <v>393889019</v>
      </c>
      <c r="P26" t="str" cm="1">
        <f t="array" aca="1" ref="P26" ca="1">9 &amp; INDEX($AH$3:$AH$6,Y26)&amp; TEXT(RANDBETWEEN(0,9999999),"0000000")</f>
        <v>935488625</v>
      </c>
      <c r="Q26" t="str" cm="1">
        <f t="array" aca="1" ref="Q26" ca="1">LOWER(B26) &amp; INDEX($AH$9:$AH$11,Z26)</f>
        <v>med025@hospital.upskill.com</v>
      </c>
      <c r="R26" t="str">
        <f t="shared" si="4"/>
        <v>med025.jpg</v>
      </c>
      <c r="S26" s="8">
        <f t="shared" ca="1" si="5"/>
        <v>7618609653982574</v>
      </c>
      <c r="T26" t="s">
        <v>341</v>
      </c>
      <c r="V26" s="4"/>
      <c r="X26">
        <f ca="1">RANDBETWEEN(2,COUNTA(rua_cod!A:A))</f>
        <v>80</v>
      </c>
      <c r="Y26">
        <f t="shared" ca="1" si="6"/>
        <v>3</v>
      </c>
      <c r="Z26">
        <f t="shared" ca="1" si="7"/>
        <v>3</v>
      </c>
      <c r="AA26">
        <f t="shared" ca="1" si="8"/>
        <v>1957</v>
      </c>
      <c r="AB26">
        <f t="shared" ca="1" si="9"/>
        <v>7</v>
      </c>
      <c r="AC26">
        <f t="shared" ca="1" si="10"/>
        <v>20</v>
      </c>
      <c r="AD26">
        <f t="shared" ca="1" si="11"/>
        <v>63</v>
      </c>
    </row>
    <row r="27" spans="1:30" x14ac:dyDescent="0.25">
      <c r="A27">
        <v>26</v>
      </c>
      <c r="B27" t="str">
        <f t="shared" si="0"/>
        <v>med026</v>
      </c>
      <c r="C27" t="str">
        <f t="shared" si="1"/>
        <v>pswmed026</v>
      </c>
      <c r="D27" t="str">
        <f ca="1">Nomes!T28</f>
        <v>Laura Leite</v>
      </c>
      <c r="E27" t="str">
        <f ca="1">Nomes!S28</f>
        <v>Feminino</v>
      </c>
      <c r="F27" s="2">
        <v>15060</v>
      </c>
      <c r="G27" t="str" cm="1">
        <f t="array" aca="1" ref="G27" ca="1">INDEX(rua_cod!$F:$F,RANDBETWEEN(2,COUNTA(rua_cod!F:F)))</f>
        <v>Rua do Sol a Santana</v>
      </c>
      <c r="H27" t="str" cm="1">
        <f t="array" aca="1" ref="H27" ca="1">INDEX(rua_cod!$A:$A,Médicos!X27) &amp; "-" &amp; TEXT(RANDBETWEEN(0,999),"000")</f>
        <v>2300-586</v>
      </c>
      <c r="I27" t="str" cm="1">
        <f t="array" aca="1" ref="I27" ca="1">INDEX(rua_cod!$B:$B,Médicos!X27)</f>
        <v>Tomar</v>
      </c>
      <c r="J27" t="s">
        <v>341</v>
      </c>
      <c r="K27" t="s">
        <v>225</v>
      </c>
      <c r="L27" t="s">
        <v>265</v>
      </c>
      <c r="M27" t="str">
        <f t="shared" ca="1" si="2"/>
        <v>61360315</v>
      </c>
      <c r="N27" t="str">
        <f t="shared" ca="1" si="3"/>
        <v>645558053</v>
      </c>
      <c r="O27" t="str">
        <f t="shared" ca="1" si="3"/>
        <v>946798637</v>
      </c>
      <c r="P27" t="str" cm="1">
        <f t="array" aca="1" ref="P27" ca="1">9 &amp; INDEX($AH$3:$AH$6,Y27)&amp; TEXT(RANDBETWEEN(0,9999999),"0000000")</f>
        <v>911324310</v>
      </c>
      <c r="Q27" t="str" cm="1">
        <f t="array" aca="1" ref="Q27" ca="1">LOWER(B27) &amp; INDEX($AH$9:$AH$11,Z27)</f>
        <v>med026@hospital.upskill.com</v>
      </c>
      <c r="R27" t="str">
        <f t="shared" si="4"/>
        <v>med026.jpg</v>
      </c>
      <c r="S27" s="8">
        <f t="shared" ca="1" si="5"/>
        <v>8682057091583859</v>
      </c>
      <c r="T27" t="s">
        <v>341</v>
      </c>
      <c r="V27" s="4"/>
      <c r="X27">
        <f ca="1">RANDBETWEEN(2,COUNTA(rua_cod!A:A))</f>
        <v>102</v>
      </c>
      <c r="Y27">
        <f t="shared" ca="1" si="6"/>
        <v>1</v>
      </c>
      <c r="Z27">
        <f t="shared" ca="1" si="7"/>
        <v>3</v>
      </c>
      <c r="AA27">
        <f t="shared" ca="1" si="8"/>
        <v>1982</v>
      </c>
      <c r="AB27">
        <f t="shared" ca="1" si="9"/>
        <v>2</v>
      </c>
      <c r="AC27">
        <f t="shared" ca="1" si="10"/>
        <v>8</v>
      </c>
      <c r="AD27">
        <f t="shared" ca="1" si="11"/>
        <v>38</v>
      </c>
    </row>
    <row r="28" spans="1:30" x14ac:dyDescent="0.25">
      <c r="A28">
        <v>27</v>
      </c>
      <c r="B28" t="str">
        <f t="shared" si="0"/>
        <v>med027</v>
      </c>
      <c r="C28" t="str">
        <f t="shared" si="1"/>
        <v>pswmed027</v>
      </c>
      <c r="D28" t="str">
        <f ca="1">Nomes!T29</f>
        <v>Francisca Oliveira</v>
      </c>
      <c r="E28" t="str">
        <f ca="1">Nomes!S29</f>
        <v>Feminino</v>
      </c>
      <c r="F28" s="2">
        <v>32317</v>
      </c>
      <c r="G28" t="str" cm="1">
        <f t="array" aca="1" ref="G28" ca="1">INDEX(rua_cod!$F:$F,RANDBETWEEN(2,COUNTA(rua_cod!F:F)))</f>
        <v>Calçada do Poço dos Mouros</v>
      </c>
      <c r="H28" t="str" cm="1">
        <f t="array" aca="1" ref="H28" ca="1">INDEX(rua_cod!$A:$A,Médicos!X28) &amp; "-" &amp; TEXT(RANDBETWEEN(0,999),"000")</f>
        <v>2914-599</v>
      </c>
      <c r="I28" t="str" cm="1">
        <f t="array" aca="1" ref="I28" ca="1">INDEX(rua_cod!$B:$B,Médicos!X28)</f>
        <v>Setúbal</v>
      </c>
      <c r="J28" t="s">
        <v>341</v>
      </c>
      <c r="K28" t="s">
        <v>225</v>
      </c>
      <c r="L28" t="s">
        <v>265</v>
      </c>
      <c r="M28" t="str">
        <f t="shared" ca="1" si="2"/>
        <v>14378460</v>
      </c>
      <c r="N28" t="str">
        <f t="shared" ca="1" si="3"/>
        <v>127707562</v>
      </c>
      <c r="O28" t="str">
        <f t="shared" ca="1" si="3"/>
        <v>742648441</v>
      </c>
      <c r="P28" t="str" cm="1">
        <f t="array" aca="1" ref="P28" ca="1">9 &amp; INDEX($AH$3:$AH$6,Y28)&amp; TEXT(RANDBETWEEN(0,9999999),"0000000")</f>
        <v>939636295</v>
      </c>
      <c r="Q28" t="str" cm="1">
        <f t="array" aca="1" ref="Q28" ca="1">LOWER(B28) &amp; INDEX($AH$9:$AH$11,Z28)</f>
        <v>med027@hospital.upskill.com</v>
      </c>
      <c r="R28" t="str">
        <f t="shared" si="4"/>
        <v>med027.jpg</v>
      </c>
      <c r="S28" s="8">
        <f t="shared" ca="1" si="5"/>
        <v>3573269388355703</v>
      </c>
      <c r="T28" t="s">
        <v>341</v>
      </c>
      <c r="V28" s="4"/>
      <c r="X28">
        <f ca="1">RANDBETWEEN(2,COUNTA(rua_cod!A:A))</f>
        <v>98</v>
      </c>
      <c r="Y28">
        <f t="shared" ca="1" si="6"/>
        <v>3</v>
      </c>
      <c r="Z28">
        <f t="shared" ca="1" si="7"/>
        <v>3</v>
      </c>
      <c r="AA28">
        <f t="shared" ca="1" si="8"/>
        <v>1966</v>
      </c>
      <c r="AB28">
        <f t="shared" ca="1" si="9"/>
        <v>1</v>
      </c>
      <c r="AC28">
        <f t="shared" ca="1" si="10"/>
        <v>1</v>
      </c>
      <c r="AD28">
        <f t="shared" ca="1" si="11"/>
        <v>54</v>
      </c>
    </row>
    <row r="29" spans="1:30" x14ac:dyDescent="0.25">
      <c r="A29">
        <v>28</v>
      </c>
      <c r="B29" t="str">
        <f t="shared" si="0"/>
        <v>med028</v>
      </c>
      <c r="C29" t="str">
        <f t="shared" si="1"/>
        <v>pswmed028</v>
      </c>
      <c r="D29" t="str">
        <f ca="1">Nomes!T30</f>
        <v>Sofia Barros</v>
      </c>
      <c r="E29" t="str">
        <f ca="1">Nomes!S30</f>
        <v>Feminino</v>
      </c>
      <c r="F29" s="2">
        <v>31298</v>
      </c>
      <c r="G29" t="str" cm="1">
        <f t="array" aca="1" ref="G29" ca="1">INDEX(rua_cod!$F:$F,RANDBETWEEN(2,COUNTA(rua_cod!F:F)))</f>
        <v>Rua da Betesga</v>
      </c>
      <c r="H29" t="str" cm="1">
        <f t="array" aca="1" ref="H29" ca="1">INDEX(rua_cod!$A:$A,Médicos!X29) &amp; "-" &amp; TEXT(RANDBETWEEN(0,999),"000")</f>
        <v>1067-531</v>
      </c>
      <c r="I29" t="str" cm="1">
        <f t="array" aca="1" ref="I29" ca="1">INDEX(rua_cod!$B:$B,Médicos!X29)</f>
        <v>Lisboa</v>
      </c>
      <c r="J29" t="s">
        <v>341</v>
      </c>
      <c r="K29" t="s">
        <v>225</v>
      </c>
      <c r="L29" t="s">
        <v>265</v>
      </c>
      <c r="M29" t="str">
        <f t="shared" ca="1" si="2"/>
        <v>43801096</v>
      </c>
      <c r="N29" t="str">
        <f t="shared" ca="1" si="3"/>
        <v>143929649</v>
      </c>
      <c r="O29" t="str">
        <f t="shared" ca="1" si="3"/>
        <v>481237300</v>
      </c>
      <c r="P29" t="str" cm="1">
        <f t="array" aca="1" ref="P29" ca="1">9 &amp; INDEX($AH$3:$AH$6,Y29)&amp; TEXT(RANDBETWEEN(0,9999999),"0000000")</f>
        <v>961166613</v>
      </c>
      <c r="Q29" t="str" cm="1">
        <f t="array" aca="1" ref="Q29" ca="1">LOWER(B29) &amp; INDEX($AH$9:$AH$11,Z29)</f>
        <v>med028@hospital.upskill.com</v>
      </c>
      <c r="R29" t="str">
        <f t="shared" si="4"/>
        <v>med028.jpg</v>
      </c>
      <c r="S29" s="8">
        <f t="shared" ca="1" si="5"/>
        <v>6788513190013524</v>
      </c>
      <c r="T29" t="s">
        <v>341</v>
      </c>
      <c r="V29" s="4"/>
      <c r="X29">
        <f ca="1">RANDBETWEEN(2,COUNTA(rua_cod!A:A))</f>
        <v>82</v>
      </c>
      <c r="Y29">
        <f t="shared" ca="1" si="6"/>
        <v>4</v>
      </c>
      <c r="Z29">
        <f t="shared" ca="1" si="7"/>
        <v>2</v>
      </c>
      <c r="AA29">
        <f t="shared" ca="1" si="8"/>
        <v>1979</v>
      </c>
      <c r="AB29">
        <f t="shared" ca="1" si="9"/>
        <v>4</v>
      </c>
      <c r="AC29">
        <f t="shared" ca="1" si="10"/>
        <v>1</v>
      </c>
      <c r="AD29">
        <f t="shared" ca="1" si="11"/>
        <v>41</v>
      </c>
    </row>
    <row r="30" spans="1:30" x14ac:dyDescent="0.25">
      <c r="A30">
        <v>29</v>
      </c>
      <c r="B30" t="str">
        <f t="shared" si="0"/>
        <v>med029</v>
      </c>
      <c r="C30" t="str">
        <f t="shared" si="1"/>
        <v>pswmed029</v>
      </c>
      <c r="D30" t="str">
        <f ca="1">Nomes!T31</f>
        <v>Lurdes Fernandes</v>
      </c>
      <c r="E30" t="str">
        <f ca="1">Nomes!S31</f>
        <v>Feminino</v>
      </c>
      <c r="F30" s="2">
        <v>20622</v>
      </c>
      <c r="G30" t="str" cm="1">
        <f t="array" aca="1" ref="G30" ca="1">INDEX(rua_cod!$F:$F,RANDBETWEEN(2,COUNTA(rua_cod!F:F)))</f>
        <v>Rua Garrett</v>
      </c>
      <c r="H30" t="str" cm="1">
        <f t="array" aca="1" ref="H30" ca="1">INDEX(rua_cod!$A:$A,Médicos!X30) &amp; "-" &amp; TEXT(RANDBETWEEN(0,999),"000")</f>
        <v>1649-883</v>
      </c>
      <c r="I30" t="str" cm="1">
        <f t="array" aca="1" ref="I30" ca="1">INDEX(rua_cod!$B:$B,Médicos!X30)</f>
        <v>Lisboa</v>
      </c>
      <c r="J30" t="s">
        <v>341</v>
      </c>
      <c r="K30" t="s">
        <v>225</v>
      </c>
      <c r="L30" t="s">
        <v>265</v>
      </c>
      <c r="M30" t="str">
        <f t="shared" ca="1" si="2"/>
        <v>18691019</v>
      </c>
      <c r="N30" t="str">
        <f t="shared" ca="1" si="3"/>
        <v>963580709</v>
      </c>
      <c r="O30" t="str">
        <f t="shared" ca="1" si="3"/>
        <v>458942924</v>
      </c>
      <c r="P30" t="str" cm="1">
        <f t="array" aca="1" ref="P30" ca="1">9 &amp; INDEX($AH$3:$AH$6,Y30)&amp; TEXT(RANDBETWEEN(0,9999999),"0000000")</f>
        <v>911169704</v>
      </c>
      <c r="Q30" t="str" cm="1">
        <f t="array" aca="1" ref="Q30" ca="1">LOWER(B30) &amp; INDEX($AH$9:$AH$11,Z30)</f>
        <v>med029@hospital.upskill.com</v>
      </c>
      <c r="R30" t="str">
        <f t="shared" si="4"/>
        <v>med029.jpg</v>
      </c>
      <c r="S30" s="8">
        <f t="shared" ca="1" si="5"/>
        <v>3107661730303189</v>
      </c>
      <c r="T30" t="s">
        <v>341</v>
      </c>
      <c r="V30" s="4"/>
      <c r="X30">
        <f ca="1">RANDBETWEEN(2,COUNTA(rua_cod!A:A))</f>
        <v>68</v>
      </c>
      <c r="Y30">
        <f t="shared" ca="1" si="6"/>
        <v>1</v>
      </c>
      <c r="Z30">
        <f t="shared" ca="1" si="7"/>
        <v>1</v>
      </c>
      <c r="AA30">
        <f t="shared" ca="1" si="8"/>
        <v>1954</v>
      </c>
      <c r="AB30">
        <f t="shared" ca="1" si="9"/>
        <v>7</v>
      </c>
      <c r="AC30">
        <f t="shared" ca="1" si="10"/>
        <v>31</v>
      </c>
      <c r="AD30">
        <f t="shared" ca="1" si="11"/>
        <v>66</v>
      </c>
    </row>
    <row r="31" spans="1:30" x14ac:dyDescent="0.25">
      <c r="A31">
        <v>30</v>
      </c>
      <c r="B31" t="str">
        <f t="shared" si="0"/>
        <v>med030</v>
      </c>
      <c r="C31" t="str">
        <f t="shared" si="1"/>
        <v>pswmed030</v>
      </c>
      <c r="D31" t="str">
        <f ca="1">Nomes!T32</f>
        <v>Bruno Miranda</v>
      </c>
      <c r="E31" t="str">
        <f ca="1">Nomes!S32</f>
        <v>Masculino</v>
      </c>
      <c r="F31" s="2">
        <v>15242</v>
      </c>
      <c r="G31" t="str" cm="1">
        <f t="array" aca="1" ref="G31" ca="1">INDEX(rua_cod!$F:$F,RANDBETWEEN(2,COUNTA(rua_cod!F:F)))</f>
        <v>Rua do Guarda-Mor</v>
      </c>
      <c r="H31" t="str" cm="1">
        <f t="array" aca="1" ref="H31" ca="1">INDEX(rua_cod!$A:$A,Médicos!X31) &amp; "-" &amp; TEXT(RANDBETWEEN(0,999),"000")</f>
        <v>1950-559</v>
      </c>
      <c r="I31" t="str" cm="1">
        <f t="array" aca="1" ref="I31" ca="1">INDEX(rua_cod!$B:$B,Médicos!X31)</f>
        <v>Lisboa</v>
      </c>
      <c r="J31" t="s">
        <v>341</v>
      </c>
      <c r="K31" t="s">
        <v>225</v>
      </c>
      <c r="L31" t="s">
        <v>265</v>
      </c>
      <c r="M31" t="str">
        <f t="shared" ca="1" si="2"/>
        <v>20359275</v>
      </c>
      <c r="N31" t="str">
        <f t="shared" ca="1" si="3"/>
        <v>813641245</v>
      </c>
      <c r="O31" t="str">
        <f t="shared" ca="1" si="3"/>
        <v>279131621</v>
      </c>
      <c r="P31" t="str" cm="1">
        <f t="array" aca="1" ref="P31" ca="1">9 &amp; INDEX($AH$3:$AH$6,Y31)&amp; TEXT(RANDBETWEEN(0,9999999),"0000000")</f>
        <v>963487693</v>
      </c>
      <c r="Q31" t="str" cm="1">
        <f t="array" aca="1" ref="Q31" ca="1">LOWER(B31) &amp; INDEX($AH$9:$AH$11,Z31)</f>
        <v>med030@hospital.upskill.com</v>
      </c>
      <c r="R31" t="str">
        <f t="shared" si="4"/>
        <v>med030.jpg</v>
      </c>
      <c r="S31" s="8">
        <f t="shared" ca="1" si="5"/>
        <v>6331636786329974</v>
      </c>
      <c r="T31" t="s">
        <v>341</v>
      </c>
      <c r="V31" s="4"/>
      <c r="X31">
        <f ca="1">RANDBETWEEN(2,COUNTA(rua_cod!A:A))</f>
        <v>41</v>
      </c>
      <c r="Y31">
        <f t="shared" ca="1" si="6"/>
        <v>4</v>
      </c>
      <c r="Z31">
        <f t="shared" ca="1" si="7"/>
        <v>1</v>
      </c>
      <c r="AA31">
        <f t="shared" ca="1" si="8"/>
        <v>1964</v>
      </c>
      <c r="AB31">
        <f t="shared" ca="1" si="9"/>
        <v>5</v>
      </c>
      <c r="AC31">
        <f t="shared" ca="1" si="10"/>
        <v>1</v>
      </c>
      <c r="AD31">
        <f t="shared" ca="1" si="11"/>
        <v>56</v>
      </c>
    </row>
    <row r="32" spans="1:30" x14ac:dyDescent="0.25">
      <c r="A32">
        <v>31</v>
      </c>
      <c r="B32" t="str">
        <f t="shared" si="0"/>
        <v>med031</v>
      </c>
      <c r="C32" t="str">
        <f t="shared" si="1"/>
        <v>pswmed031</v>
      </c>
      <c r="D32" t="str">
        <f ca="1">Nomes!T33</f>
        <v>Tiago Moreira</v>
      </c>
      <c r="E32" t="str">
        <f ca="1">Nomes!S33</f>
        <v>Masculino</v>
      </c>
      <c r="F32" s="2">
        <v>38538</v>
      </c>
      <c r="G32" t="str" cm="1">
        <f t="array" aca="1" ref="G32" ca="1">INDEX(rua_cod!$F:$F,RANDBETWEEN(2,COUNTA(rua_cod!F:F)))</f>
        <v>Rua do Salitre</v>
      </c>
      <c r="H32" t="str" cm="1">
        <f t="array" aca="1" ref="H32" ca="1">INDEX(rua_cod!$A:$A,Médicos!X32) &amp; "-" &amp; TEXT(RANDBETWEEN(0,999),"000")</f>
        <v>2784-296</v>
      </c>
      <c r="I32" t="str" cm="1">
        <f t="array" aca="1" ref="I32" ca="1">INDEX(rua_cod!$B:$B,Médicos!X32)</f>
        <v>Oeiras</v>
      </c>
      <c r="J32" t="s">
        <v>341</v>
      </c>
      <c r="K32" t="s">
        <v>225</v>
      </c>
      <c r="L32" t="s">
        <v>265</v>
      </c>
      <c r="M32" t="str">
        <f t="shared" ca="1" si="2"/>
        <v>62819741</v>
      </c>
      <c r="N32" t="str">
        <f t="shared" ca="1" si="3"/>
        <v>146488994</v>
      </c>
      <c r="O32" t="str">
        <f t="shared" ca="1" si="3"/>
        <v>369779338</v>
      </c>
      <c r="P32" t="str" cm="1">
        <f t="array" aca="1" ref="P32" ca="1">9 &amp; INDEX($AH$3:$AH$6,Y32)&amp; TEXT(RANDBETWEEN(0,9999999),"0000000")</f>
        <v>928899489</v>
      </c>
      <c r="Q32" t="str" cm="1">
        <f t="array" aca="1" ref="Q32" ca="1">LOWER(B32) &amp; INDEX($AH$9:$AH$11,Z32)</f>
        <v>med031@hospital.upskill.com</v>
      </c>
      <c r="R32" t="str">
        <f t="shared" si="4"/>
        <v>med031.jpg</v>
      </c>
      <c r="S32" s="8">
        <f t="shared" ca="1" si="5"/>
        <v>4532398598511755</v>
      </c>
      <c r="T32" t="s">
        <v>341</v>
      </c>
      <c r="V32" s="4"/>
      <c r="X32">
        <f ca="1">RANDBETWEEN(2,COUNTA(rua_cod!A:A))</f>
        <v>89</v>
      </c>
      <c r="Y32">
        <f t="shared" ca="1" si="6"/>
        <v>2</v>
      </c>
      <c r="Z32">
        <f t="shared" ca="1" si="7"/>
        <v>2</v>
      </c>
      <c r="AA32">
        <f t="shared" ca="1" si="8"/>
        <v>1967</v>
      </c>
      <c r="AB32">
        <f t="shared" ca="1" si="9"/>
        <v>10</v>
      </c>
      <c r="AC32">
        <f t="shared" ca="1" si="10"/>
        <v>28</v>
      </c>
      <c r="AD32">
        <f t="shared" ca="1" si="11"/>
        <v>53</v>
      </c>
    </row>
    <row r="33" spans="1:30" x14ac:dyDescent="0.25">
      <c r="A33">
        <v>32</v>
      </c>
      <c r="B33" t="str">
        <f t="shared" si="0"/>
        <v>med032</v>
      </c>
      <c r="C33" t="str">
        <f t="shared" si="1"/>
        <v>pswmed032</v>
      </c>
      <c r="D33" t="str">
        <f ca="1">Nomes!T34</f>
        <v>Sara Cardoso</v>
      </c>
      <c r="E33" t="str">
        <f ca="1">Nomes!S34</f>
        <v>Feminino</v>
      </c>
      <c r="F33" s="2">
        <v>22147</v>
      </c>
      <c r="G33" t="str" cm="1">
        <f t="array" aca="1" ref="G33" ca="1">INDEX(rua_cod!$F:$F,RANDBETWEEN(2,COUNTA(rua_cod!F:F)))</f>
        <v>Estrada da Circunvalação de Lisboa</v>
      </c>
      <c r="H33" t="str" cm="1">
        <f t="array" aca="1" ref="H33" ca="1">INDEX(rua_cod!$A:$A,Médicos!X33) &amp; "-" &amp; TEXT(RANDBETWEEN(0,999),"000")</f>
        <v>2825-454</v>
      </c>
      <c r="I33" t="str" cm="1">
        <f t="array" aca="1" ref="I33" ca="1">INDEX(rua_cod!$B:$B,Médicos!X33)</f>
        <v>Caparica</v>
      </c>
      <c r="J33" t="s">
        <v>341</v>
      </c>
      <c r="K33" t="s">
        <v>225</v>
      </c>
      <c r="L33" t="s">
        <v>265</v>
      </c>
      <c r="M33" t="str">
        <f t="shared" ca="1" si="2"/>
        <v>58326129</v>
      </c>
      <c r="N33" t="str">
        <f t="shared" ca="1" si="3"/>
        <v>833651523</v>
      </c>
      <c r="O33" t="str">
        <f t="shared" ca="1" si="3"/>
        <v>496222135</v>
      </c>
      <c r="P33" t="str" cm="1">
        <f t="array" aca="1" ref="P33" ca="1">9 &amp; INDEX($AH$3:$AH$6,Y33)&amp; TEXT(RANDBETWEEN(0,9999999),"0000000")</f>
        <v>926170069</v>
      </c>
      <c r="Q33" t="str" cm="1">
        <f t="array" aca="1" ref="Q33" ca="1">LOWER(B33) &amp; INDEX($AH$9:$AH$11,Z33)</f>
        <v>med032@hospital.upskill.com</v>
      </c>
      <c r="R33" t="str">
        <f t="shared" si="4"/>
        <v>med032.jpg</v>
      </c>
      <c r="S33" s="8">
        <f t="shared" ca="1" si="5"/>
        <v>9483403958197814</v>
      </c>
      <c r="T33" t="s">
        <v>341</v>
      </c>
      <c r="V33" s="4"/>
      <c r="X33">
        <f ca="1">RANDBETWEEN(2,COUNTA(rua_cod!A:A))</f>
        <v>18</v>
      </c>
      <c r="Y33">
        <f t="shared" ca="1" si="6"/>
        <v>2</v>
      </c>
      <c r="Z33">
        <f t="shared" ca="1" si="7"/>
        <v>2</v>
      </c>
      <c r="AA33">
        <f t="shared" ca="1" si="8"/>
        <v>1958</v>
      </c>
      <c r="AB33">
        <f t="shared" ca="1" si="9"/>
        <v>9</v>
      </c>
      <c r="AC33">
        <f t="shared" ca="1" si="10"/>
        <v>31</v>
      </c>
      <c r="AD33">
        <f t="shared" ca="1" si="11"/>
        <v>62</v>
      </c>
    </row>
    <row r="34" spans="1:30" x14ac:dyDescent="0.25">
      <c r="A34">
        <v>33</v>
      </c>
      <c r="B34" t="str">
        <f t="shared" si="0"/>
        <v>med033</v>
      </c>
      <c r="C34" t="str">
        <f t="shared" si="1"/>
        <v>pswmed033</v>
      </c>
      <c r="D34" t="str">
        <f ca="1">Nomes!T35</f>
        <v>Ana Abreu Fonseca</v>
      </c>
      <c r="E34" t="str">
        <f ca="1">Nomes!S35</f>
        <v>Feminino</v>
      </c>
      <c r="F34" s="2">
        <v>26345</v>
      </c>
      <c r="G34" t="str" cm="1">
        <f t="array" aca="1" ref="G34" ca="1">INDEX(rua_cod!$F:$F,RANDBETWEEN(2,COUNTA(rua_cod!F:F)))</f>
        <v>Calçada do Moinho de Vento</v>
      </c>
      <c r="H34" t="str" cm="1">
        <f t="array" aca="1" ref="H34" ca="1">INDEX(rua_cod!$A:$A,Médicos!X34) &amp; "-" &amp; TEXT(RANDBETWEEN(0,999),"000")</f>
        <v>1749-263</v>
      </c>
      <c r="I34" t="str" cm="1">
        <f t="array" aca="1" ref="I34" ca="1">INDEX(rua_cod!$B:$B,Médicos!X34)</f>
        <v>Lisboa</v>
      </c>
      <c r="J34" t="s">
        <v>341</v>
      </c>
      <c r="K34" t="s">
        <v>225</v>
      </c>
      <c r="L34" t="s">
        <v>265</v>
      </c>
      <c r="M34" t="str">
        <f t="shared" ca="1" si="2"/>
        <v>80952441</v>
      </c>
      <c r="N34" t="str">
        <f t="shared" ca="1" si="3"/>
        <v>877074660</v>
      </c>
      <c r="O34" t="str">
        <f t="shared" ca="1" si="3"/>
        <v>222189492</v>
      </c>
      <c r="P34" t="str" cm="1">
        <f t="array" aca="1" ref="P34" ca="1">9 &amp; INDEX($AH$3:$AH$6,Y34)&amp; TEXT(RANDBETWEEN(0,9999999),"0000000")</f>
        <v>923753355</v>
      </c>
      <c r="Q34" t="str" cm="1">
        <f t="array" aca="1" ref="Q34" ca="1">LOWER(B34) &amp; INDEX($AH$9:$AH$11,Z34)</f>
        <v>med033@hospital.upskill.com</v>
      </c>
      <c r="R34" t="str">
        <f t="shared" si="4"/>
        <v>med033.jpg</v>
      </c>
      <c r="S34" s="8">
        <f t="shared" ca="1" si="5"/>
        <v>7236415677177931</v>
      </c>
      <c r="T34" t="s">
        <v>341</v>
      </c>
      <c r="V34" s="4"/>
      <c r="X34">
        <f ca="1">RANDBETWEEN(2,COUNTA(rua_cod!A:A))</f>
        <v>61</v>
      </c>
      <c r="Y34">
        <f t="shared" ca="1" si="6"/>
        <v>2</v>
      </c>
      <c r="Z34">
        <f t="shared" ca="1" si="7"/>
        <v>2</v>
      </c>
      <c r="AA34">
        <f t="shared" ca="1" si="8"/>
        <v>1976</v>
      </c>
      <c r="AB34">
        <f t="shared" ca="1" si="9"/>
        <v>12</v>
      </c>
      <c r="AC34">
        <f t="shared" ca="1" si="10"/>
        <v>14</v>
      </c>
      <c r="AD34">
        <f t="shared" ca="1" si="11"/>
        <v>44</v>
      </c>
    </row>
    <row r="35" spans="1:30" x14ac:dyDescent="0.25">
      <c r="A35">
        <v>34</v>
      </c>
      <c r="B35" t="str">
        <f t="shared" si="0"/>
        <v>med034</v>
      </c>
      <c r="C35" t="str">
        <f t="shared" si="1"/>
        <v>pswmed034</v>
      </c>
      <c r="D35" t="str">
        <f ca="1">Nomes!T36</f>
        <v>Daniela Torres Matias</v>
      </c>
      <c r="E35" t="str">
        <f ca="1">Nomes!S36</f>
        <v>Feminino</v>
      </c>
      <c r="F35" s="2">
        <v>24701</v>
      </c>
      <c r="G35" t="str" cm="1">
        <f t="array" aca="1" ref="G35" ca="1">INDEX(rua_cod!$F:$F,RANDBETWEEN(2,COUNTA(rua_cod!F:F)))</f>
        <v>Rua da Junqueira</v>
      </c>
      <c r="H35" t="str" cm="1">
        <f t="array" aca="1" ref="H35" ca="1">INDEX(rua_cod!$A:$A,Médicos!X35) &amp; "-" &amp; TEXT(RANDBETWEEN(0,999),"000")</f>
        <v>2825-462</v>
      </c>
      <c r="I35" t="str" cm="1">
        <f t="array" aca="1" ref="I35" ca="1">INDEX(rua_cod!$B:$B,Médicos!X35)</f>
        <v>Costa de Caparica</v>
      </c>
      <c r="J35" t="s">
        <v>341</v>
      </c>
      <c r="K35" t="s">
        <v>225</v>
      </c>
      <c r="L35" t="s">
        <v>265</v>
      </c>
      <c r="M35" t="str">
        <f t="shared" ca="1" si="2"/>
        <v>98470490</v>
      </c>
      <c r="N35" t="str">
        <f t="shared" ca="1" si="3"/>
        <v>130714250</v>
      </c>
      <c r="O35" t="str">
        <f t="shared" ca="1" si="3"/>
        <v>369495918</v>
      </c>
      <c r="P35" t="str" cm="1">
        <f t="array" aca="1" ref="P35" ca="1">9 &amp; INDEX($AH$3:$AH$6,Y35)&amp; TEXT(RANDBETWEEN(0,9999999),"0000000")</f>
        <v>915800963</v>
      </c>
      <c r="Q35" t="str" cm="1">
        <f t="array" aca="1" ref="Q35" ca="1">LOWER(B35) &amp; INDEX($AH$9:$AH$11,Z35)</f>
        <v>med034@hospital.upskill.com</v>
      </c>
      <c r="R35" t="str">
        <f t="shared" si="4"/>
        <v>med034.jpg</v>
      </c>
      <c r="S35" s="8">
        <f t="shared" ca="1" si="5"/>
        <v>7163521564189817</v>
      </c>
      <c r="T35" t="s">
        <v>341</v>
      </c>
      <c r="V35" s="4"/>
      <c r="X35">
        <f ca="1">RANDBETWEEN(2,COUNTA(rua_cod!A:A))</f>
        <v>27</v>
      </c>
      <c r="Y35">
        <f t="shared" ca="1" si="6"/>
        <v>1</v>
      </c>
      <c r="Z35">
        <f t="shared" ca="1" si="7"/>
        <v>3</v>
      </c>
      <c r="AA35">
        <f t="shared" ca="1" si="8"/>
        <v>1959</v>
      </c>
      <c r="AB35">
        <f t="shared" ca="1" si="9"/>
        <v>12</v>
      </c>
      <c r="AC35">
        <f t="shared" ca="1" si="10"/>
        <v>3</v>
      </c>
      <c r="AD35">
        <f t="shared" ca="1" si="11"/>
        <v>61</v>
      </c>
    </row>
    <row r="36" spans="1:30" x14ac:dyDescent="0.25">
      <c r="A36">
        <v>35</v>
      </c>
      <c r="B36" t="str">
        <f t="shared" si="0"/>
        <v>med035</v>
      </c>
      <c r="C36" t="str">
        <f t="shared" si="1"/>
        <v>pswmed035</v>
      </c>
      <c r="D36" t="str">
        <f ca="1">Nomes!T37</f>
        <v>Pedro Barros Domingues</v>
      </c>
      <c r="E36" t="str">
        <f ca="1">Nomes!S37</f>
        <v>Masculino</v>
      </c>
      <c r="F36" s="2">
        <v>36840</v>
      </c>
      <c r="G36" t="str" cm="1">
        <f t="array" aca="1" ref="G36" ca="1">INDEX(rua_cod!$F:$F,RANDBETWEEN(2,COUNTA(rua_cod!F:F)))</f>
        <v>Rua do Arsenal</v>
      </c>
      <c r="H36" t="str" cm="1">
        <f t="array" aca="1" ref="H36" ca="1">INDEX(rua_cod!$A:$A,Médicos!X36) &amp; "-" &amp; TEXT(RANDBETWEEN(0,999),"000")</f>
        <v>1500-798</v>
      </c>
      <c r="I36" t="str" cm="1">
        <f t="array" aca="1" ref="I36" ca="1">INDEX(rua_cod!$B:$B,Médicos!X36)</f>
        <v>Lisboa</v>
      </c>
      <c r="J36" t="s">
        <v>341</v>
      </c>
      <c r="K36" t="s">
        <v>225</v>
      </c>
      <c r="L36" t="s">
        <v>265</v>
      </c>
      <c r="M36" t="str">
        <f t="shared" ca="1" si="2"/>
        <v>48974480</v>
      </c>
      <c r="N36" t="str">
        <f t="shared" ca="1" si="3"/>
        <v>173177967</v>
      </c>
      <c r="O36" t="str">
        <f t="shared" ca="1" si="3"/>
        <v>773800428</v>
      </c>
      <c r="P36" t="str" cm="1">
        <f t="array" aca="1" ref="P36" ca="1">9 &amp; INDEX($AH$3:$AH$6,Y36)&amp; TEXT(RANDBETWEEN(0,9999999),"0000000")</f>
        <v>918377225</v>
      </c>
      <c r="Q36" t="str" cm="1">
        <f t="array" aca="1" ref="Q36" ca="1">LOWER(B36) &amp; INDEX($AH$9:$AH$11,Z36)</f>
        <v>med035@hospital.upskill.com</v>
      </c>
      <c r="R36" t="str">
        <f t="shared" si="4"/>
        <v>med035.jpg</v>
      </c>
      <c r="S36" s="8">
        <f t="shared" ca="1" si="5"/>
        <v>3086516810528858</v>
      </c>
      <c r="T36" t="s">
        <v>341</v>
      </c>
      <c r="V36" s="4"/>
      <c r="X36">
        <f ca="1">RANDBETWEEN(2,COUNTA(rua_cod!A:A))</f>
        <v>43</v>
      </c>
      <c r="Y36">
        <f t="shared" ca="1" si="6"/>
        <v>1</v>
      </c>
      <c r="Z36">
        <f t="shared" ca="1" si="7"/>
        <v>2</v>
      </c>
      <c r="AA36">
        <f t="shared" ca="1" si="8"/>
        <v>1952</v>
      </c>
      <c r="AB36">
        <f t="shared" ca="1" si="9"/>
        <v>10</v>
      </c>
      <c r="AC36">
        <f t="shared" ca="1" si="10"/>
        <v>1</v>
      </c>
      <c r="AD36">
        <f t="shared" ca="1" si="11"/>
        <v>68</v>
      </c>
    </row>
    <row r="37" spans="1:30" x14ac:dyDescent="0.25">
      <c r="A37">
        <v>36</v>
      </c>
      <c r="B37" t="str">
        <f t="shared" si="0"/>
        <v>med036</v>
      </c>
      <c r="C37" t="str">
        <f t="shared" si="1"/>
        <v>pswmed036</v>
      </c>
      <c r="D37" t="str">
        <f ca="1">Nomes!T38</f>
        <v>Rodrigo Gonçalves Costa</v>
      </c>
      <c r="E37" t="str">
        <f ca="1">Nomes!S38</f>
        <v>Masculino</v>
      </c>
      <c r="F37" s="2">
        <v>40951</v>
      </c>
      <c r="G37" t="str" cm="1">
        <f t="array" aca="1" ref="G37" ca="1">INDEX(rua_cod!$F:$F,RANDBETWEEN(2,COUNTA(rua_cod!F:F)))</f>
        <v>Travessa de São João da Praça</v>
      </c>
      <c r="H37" t="str" cm="1">
        <f t="array" aca="1" ref="H37" ca="1">INDEX(rua_cod!$A:$A,Médicos!X37) &amp; "-" &amp; TEXT(RANDBETWEEN(0,999),"000")</f>
        <v>1999-237</v>
      </c>
      <c r="I37" t="str" cm="1">
        <f t="array" aca="1" ref="I37" ca="1">INDEX(rua_cod!$B:$B,Médicos!X37)</f>
        <v>Lisboa</v>
      </c>
      <c r="J37" t="s">
        <v>341</v>
      </c>
      <c r="K37" t="s">
        <v>225</v>
      </c>
      <c r="L37" t="s">
        <v>265</v>
      </c>
      <c r="M37" t="str">
        <f t="shared" ca="1" si="2"/>
        <v>42780199</v>
      </c>
      <c r="N37" t="str">
        <f t="shared" ca="1" si="3"/>
        <v>714608145</v>
      </c>
      <c r="O37" t="str">
        <f t="shared" ca="1" si="3"/>
        <v>252318791</v>
      </c>
      <c r="P37" t="str" cm="1">
        <f t="array" aca="1" ref="P37" ca="1">9 &amp; INDEX($AH$3:$AH$6,Y37)&amp; TEXT(RANDBETWEEN(0,9999999),"0000000")</f>
        <v>910694722</v>
      </c>
      <c r="Q37" t="str" cm="1">
        <f t="array" aca="1" ref="Q37" ca="1">LOWER(B37) &amp; INDEX($AH$9:$AH$11,Z37)</f>
        <v>med036@hospital.upskill.com</v>
      </c>
      <c r="R37" t="str">
        <f t="shared" si="4"/>
        <v>med036.jpg</v>
      </c>
      <c r="S37" s="8">
        <f t="shared" ca="1" si="5"/>
        <v>9667820487843316</v>
      </c>
      <c r="T37" t="s">
        <v>341</v>
      </c>
      <c r="V37" s="4"/>
      <c r="X37">
        <f ca="1">RANDBETWEEN(2,COUNTA(rua_cod!A:A))</f>
        <v>79</v>
      </c>
      <c r="Y37">
        <f t="shared" ca="1" si="6"/>
        <v>1</v>
      </c>
      <c r="Z37">
        <f t="shared" ca="1" si="7"/>
        <v>2</v>
      </c>
      <c r="AA37">
        <f t="shared" ca="1" si="8"/>
        <v>1982</v>
      </c>
      <c r="AB37">
        <f t="shared" ca="1" si="9"/>
        <v>9</v>
      </c>
      <c r="AC37">
        <f t="shared" ca="1" si="10"/>
        <v>17</v>
      </c>
      <c r="AD37">
        <f t="shared" ca="1" si="11"/>
        <v>38</v>
      </c>
    </row>
    <row r="38" spans="1:30" x14ac:dyDescent="0.25">
      <c r="A38">
        <v>37</v>
      </c>
      <c r="B38" t="str">
        <f t="shared" si="0"/>
        <v>med037</v>
      </c>
      <c r="C38" t="str">
        <f t="shared" si="1"/>
        <v>pswmed037</v>
      </c>
      <c r="D38" t="str">
        <f ca="1">Nomes!T39</f>
        <v>Duarte Gonçalves Paiva</v>
      </c>
      <c r="E38" t="str">
        <f ca="1">Nomes!S39</f>
        <v>Masculino</v>
      </c>
      <c r="F38" s="2">
        <v>43838</v>
      </c>
      <c r="G38" t="str" cm="1">
        <f t="array" aca="1" ref="G38" ca="1">INDEX(rua_cod!$F:$F,RANDBETWEEN(2,COUNTA(rua_cod!F:F)))</f>
        <v>Estrada Militar</v>
      </c>
      <c r="H38" t="str" cm="1">
        <f t="array" aca="1" ref="H38" ca="1">INDEX(rua_cod!$A:$A,Médicos!X38) &amp; "-" &amp; TEXT(RANDBETWEEN(0,999),"000")</f>
        <v>2004-430</v>
      </c>
      <c r="I38" t="str" cm="1">
        <f t="array" aca="1" ref="I38" ca="1">INDEX(rua_cod!$B:$B,Médicos!X38)</f>
        <v>Santarém</v>
      </c>
      <c r="J38" t="s">
        <v>341</v>
      </c>
      <c r="K38" t="s">
        <v>225</v>
      </c>
      <c r="L38" t="s">
        <v>265</v>
      </c>
      <c r="M38" t="str">
        <f t="shared" ca="1" si="2"/>
        <v>67375539</v>
      </c>
      <c r="N38" t="str">
        <f t="shared" ca="1" si="3"/>
        <v>650983352</v>
      </c>
      <c r="O38" t="str">
        <f t="shared" ca="1" si="3"/>
        <v>740583626</v>
      </c>
      <c r="P38" t="str" cm="1">
        <f t="array" aca="1" ref="P38" ca="1">9 &amp; INDEX($AH$3:$AH$6,Y38)&amp; TEXT(RANDBETWEEN(0,9999999),"0000000")</f>
        <v>931777674</v>
      </c>
      <c r="Q38" t="str" cm="1">
        <f t="array" aca="1" ref="Q38" ca="1">LOWER(B38) &amp; INDEX($AH$9:$AH$11,Z38)</f>
        <v>med037@hospital.upskill.com</v>
      </c>
      <c r="R38" t="str">
        <f t="shared" si="4"/>
        <v>med037.jpg</v>
      </c>
      <c r="S38" s="8">
        <f t="shared" ca="1" si="5"/>
        <v>2993571197710494</v>
      </c>
      <c r="T38" t="s">
        <v>341</v>
      </c>
      <c r="V38" s="4"/>
      <c r="X38">
        <f ca="1">RANDBETWEEN(2,COUNTA(rua_cod!A:A))</f>
        <v>94</v>
      </c>
      <c r="Y38">
        <f t="shared" ca="1" si="6"/>
        <v>3</v>
      </c>
      <c r="Z38">
        <f t="shared" ca="1" si="7"/>
        <v>3</v>
      </c>
      <c r="AA38">
        <f t="shared" ca="1" si="8"/>
        <v>1956</v>
      </c>
      <c r="AB38">
        <f t="shared" ca="1" si="9"/>
        <v>6</v>
      </c>
      <c r="AC38">
        <f t="shared" ca="1" si="10"/>
        <v>21</v>
      </c>
      <c r="AD38">
        <f t="shared" ca="1" si="11"/>
        <v>64</v>
      </c>
    </row>
    <row r="39" spans="1:30" x14ac:dyDescent="0.25">
      <c r="A39">
        <v>38</v>
      </c>
      <c r="B39" t="str">
        <f t="shared" si="0"/>
        <v>med038</v>
      </c>
      <c r="C39" t="str">
        <f t="shared" si="1"/>
        <v>pswmed038</v>
      </c>
      <c r="D39" t="str">
        <f ca="1">Nomes!T40</f>
        <v>Carolina Faria Loureiro</v>
      </c>
      <c r="E39" t="str">
        <f ca="1">Nomes!S40</f>
        <v>Feminino</v>
      </c>
      <c r="F39" s="2">
        <v>13937</v>
      </c>
      <c r="G39" t="str" cm="1">
        <f t="array" aca="1" ref="G39" ca="1">INDEX(rua_cod!$F:$F,RANDBETWEEN(2,COUNTA(rua_cod!F:F)))</f>
        <v>Rua Júlio César Machado</v>
      </c>
      <c r="H39" t="str" cm="1">
        <f t="array" aca="1" ref="H39" ca="1">INDEX(rua_cod!$A:$A,Médicos!X39) &amp; "-" &amp; TEXT(RANDBETWEEN(0,999),"000")</f>
        <v>2009-982</v>
      </c>
      <c r="I39" t="str" cm="1">
        <f t="array" aca="1" ref="I39" ca="1">INDEX(rua_cod!$B:$B,Médicos!X39)</f>
        <v>Santarém</v>
      </c>
      <c r="J39" t="s">
        <v>341</v>
      </c>
      <c r="K39" t="s">
        <v>225</v>
      </c>
      <c r="L39" t="s">
        <v>265</v>
      </c>
      <c r="M39" t="str">
        <f t="shared" ca="1" si="2"/>
        <v>64267744</v>
      </c>
      <c r="N39" t="str">
        <f t="shared" ca="1" si="3"/>
        <v>709396612</v>
      </c>
      <c r="O39" t="str">
        <f t="shared" ca="1" si="3"/>
        <v>879308465</v>
      </c>
      <c r="P39" t="str" cm="1">
        <f t="array" aca="1" ref="P39" ca="1">9 &amp; INDEX($AH$3:$AH$6,Y39)&amp; TEXT(RANDBETWEEN(0,9999999),"0000000")</f>
        <v>935021090</v>
      </c>
      <c r="Q39" t="str" cm="1">
        <f t="array" aca="1" ref="Q39" ca="1">LOWER(B39) &amp; INDEX($AH$9:$AH$11,Z39)</f>
        <v>med038@hospital.upskill.com</v>
      </c>
      <c r="R39" t="str">
        <f t="shared" si="4"/>
        <v>med038.jpg</v>
      </c>
      <c r="S39" s="8">
        <f t="shared" ca="1" si="5"/>
        <v>5903768708616705</v>
      </c>
      <c r="T39" t="s">
        <v>341</v>
      </c>
      <c r="V39" s="4"/>
      <c r="X39">
        <f ca="1">RANDBETWEEN(2,COUNTA(rua_cod!A:A))</f>
        <v>95</v>
      </c>
      <c r="Y39">
        <f t="shared" ca="1" si="6"/>
        <v>3</v>
      </c>
      <c r="Z39">
        <f t="shared" ca="1" si="7"/>
        <v>2</v>
      </c>
      <c r="AA39">
        <f t="shared" ca="1" si="8"/>
        <v>1975</v>
      </c>
      <c r="AB39">
        <f t="shared" ca="1" si="9"/>
        <v>5</v>
      </c>
      <c r="AC39">
        <f t="shared" ca="1" si="10"/>
        <v>2</v>
      </c>
      <c r="AD39">
        <f t="shared" ca="1" si="11"/>
        <v>45</v>
      </c>
    </row>
    <row r="40" spans="1:30" x14ac:dyDescent="0.25">
      <c r="A40">
        <v>39</v>
      </c>
      <c r="B40" t="str">
        <f t="shared" si="0"/>
        <v>med039</v>
      </c>
      <c r="C40" t="str">
        <f t="shared" si="1"/>
        <v>pswmed039</v>
      </c>
      <c r="D40" t="str">
        <f ca="1">Nomes!T41</f>
        <v>Martim Simões Branco</v>
      </c>
      <c r="E40" t="str">
        <f ca="1">Nomes!S41</f>
        <v>Masculino</v>
      </c>
      <c r="F40" s="2">
        <v>32387</v>
      </c>
      <c r="G40" t="str" cm="1">
        <f t="array" aca="1" ref="G40" ca="1">INDEX(rua_cod!$F:$F,RANDBETWEEN(2,COUNTA(rua_cod!F:F)))</f>
        <v>Rua do Sacramento à Lapa</v>
      </c>
      <c r="H40" t="str" cm="1">
        <f t="array" aca="1" ref="H40" ca="1">INDEX(rua_cod!$A:$A,Médicos!X40) &amp; "-" &amp; TEXT(RANDBETWEEN(0,999),"000")</f>
        <v>2809-948</v>
      </c>
      <c r="I40" t="str" cm="1">
        <f t="array" aca="1" ref="I40" ca="1">INDEX(rua_cod!$B:$B,Médicos!X40)</f>
        <v>Almada</v>
      </c>
      <c r="J40" t="s">
        <v>341</v>
      </c>
      <c r="K40" t="s">
        <v>225</v>
      </c>
      <c r="L40" t="s">
        <v>265</v>
      </c>
      <c r="M40" t="str">
        <f t="shared" ca="1" si="2"/>
        <v>93379654</v>
      </c>
      <c r="N40" t="str">
        <f t="shared" ca="1" si="3"/>
        <v>817384061</v>
      </c>
      <c r="O40" t="str">
        <f t="shared" ca="1" si="3"/>
        <v>581878161</v>
      </c>
      <c r="P40" t="str" cm="1">
        <f t="array" aca="1" ref="P40" ca="1">9 &amp; INDEX($AH$3:$AH$6,Y40)&amp; TEXT(RANDBETWEEN(0,9999999),"0000000")</f>
        <v>938455689</v>
      </c>
      <c r="Q40" t="str" cm="1">
        <f t="array" aca="1" ref="Q40" ca="1">LOWER(B40) &amp; INDEX($AH$9:$AH$11,Z40)</f>
        <v>med039@hospital.upskill.com</v>
      </c>
      <c r="R40" t="str">
        <f t="shared" si="4"/>
        <v>med039.jpg</v>
      </c>
      <c r="S40" s="8">
        <f t="shared" ca="1" si="5"/>
        <v>3751185462981471</v>
      </c>
      <c r="T40" t="s">
        <v>341</v>
      </c>
      <c r="V40" s="4"/>
      <c r="X40">
        <f ca="1">RANDBETWEEN(2,COUNTA(rua_cod!A:A))</f>
        <v>5</v>
      </c>
      <c r="Y40">
        <f t="shared" ca="1" si="6"/>
        <v>3</v>
      </c>
      <c r="Z40">
        <f t="shared" ca="1" si="7"/>
        <v>1</v>
      </c>
      <c r="AA40">
        <f t="shared" ca="1" si="8"/>
        <v>1975</v>
      </c>
      <c r="AB40">
        <f t="shared" ca="1" si="9"/>
        <v>8</v>
      </c>
      <c r="AC40">
        <f t="shared" ca="1" si="10"/>
        <v>5</v>
      </c>
      <c r="AD40">
        <f t="shared" ca="1" si="11"/>
        <v>45</v>
      </c>
    </row>
    <row r="41" spans="1:30" x14ac:dyDescent="0.25">
      <c r="A41">
        <v>40</v>
      </c>
      <c r="B41" t="str">
        <f t="shared" si="0"/>
        <v>med040</v>
      </c>
      <c r="C41" t="str">
        <f t="shared" si="1"/>
        <v>pswmed040</v>
      </c>
      <c r="D41" t="str">
        <f ca="1">Nomes!T42</f>
        <v>Diogo Mendes Rocha</v>
      </c>
      <c r="E41" t="str">
        <f ca="1">Nomes!S42</f>
        <v>Masculino</v>
      </c>
      <c r="F41" s="2">
        <v>10615</v>
      </c>
      <c r="G41" t="str" cm="1">
        <f t="array" aca="1" ref="G41" ca="1">INDEX(rua_cod!$F:$F,RANDBETWEEN(2,COUNTA(rua_cod!F:F)))</f>
        <v>Rua da Madalena</v>
      </c>
      <c r="H41" t="str" cm="1">
        <f t="array" aca="1" ref="H41" ca="1">INDEX(rua_cod!$A:$A,Médicos!X41) &amp; "-" &amp; TEXT(RANDBETWEEN(0,999),"000")</f>
        <v>2834-164</v>
      </c>
      <c r="I41" t="str" cm="1">
        <f t="array" aca="1" ref="I41" ca="1">INDEX(rua_cod!$B:$B,Médicos!X41)</f>
        <v>Barreiro</v>
      </c>
      <c r="J41" t="s">
        <v>341</v>
      </c>
      <c r="K41" t="s">
        <v>225</v>
      </c>
      <c r="L41" t="s">
        <v>265</v>
      </c>
      <c r="M41" t="str">
        <f t="shared" ca="1" si="2"/>
        <v>53012053</v>
      </c>
      <c r="N41" t="str">
        <f t="shared" ca="1" si="3"/>
        <v>999245684</v>
      </c>
      <c r="O41" t="str">
        <f t="shared" ca="1" si="3"/>
        <v>823556769</v>
      </c>
      <c r="P41" t="str" cm="1">
        <f t="array" aca="1" ref="P41" ca="1">9 &amp; INDEX($AH$3:$AH$6,Y41)&amp; TEXT(RANDBETWEEN(0,9999999),"0000000")</f>
        <v>932537860</v>
      </c>
      <c r="Q41" t="str" cm="1">
        <f t="array" aca="1" ref="Q41" ca="1">LOWER(B41) &amp; INDEX($AH$9:$AH$11,Z41)</f>
        <v>med040@hospital.upskill.com</v>
      </c>
      <c r="R41" t="str">
        <f t="shared" si="4"/>
        <v>med040.jpg</v>
      </c>
      <c r="S41" s="8">
        <f t="shared" ca="1" si="5"/>
        <v>7093734689938691</v>
      </c>
      <c r="T41" t="s">
        <v>341</v>
      </c>
      <c r="V41" s="4"/>
      <c r="X41">
        <f ca="1">RANDBETWEEN(2,COUNTA(rua_cod!A:A))</f>
        <v>17</v>
      </c>
      <c r="Y41">
        <f t="shared" ca="1" si="6"/>
        <v>3</v>
      </c>
      <c r="Z41">
        <f t="shared" ca="1" si="7"/>
        <v>2</v>
      </c>
      <c r="AA41">
        <f t="shared" ca="1" si="8"/>
        <v>1958</v>
      </c>
      <c r="AB41">
        <f t="shared" ca="1" si="9"/>
        <v>5</v>
      </c>
      <c r="AC41">
        <f t="shared" ca="1" si="10"/>
        <v>7</v>
      </c>
      <c r="AD41">
        <f t="shared" ca="1" si="11"/>
        <v>62</v>
      </c>
    </row>
    <row r="42" spans="1:30" x14ac:dyDescent="0.25">
      <c r="A42">
        <v>41</v>
      </c>
      <c r="B42" t="str">
        <f t="shared" si="0"/>
        <v>med041</v>
      </c>
      <c r="C42" t="str">
        <f t="shared" si="1"/>
        <v>pswmed041</v>
      </c>
      <c r="D42" t="str">
        <f ca="1">Nomes!T43</f>
        <v>Martim Leal Sousa</v>
      </c>
      <c r="E42" t="str">
        <f ca="1">Nomes!S43</f>
        <v>Masculino</v>
      </c>
      <c r="F42" s="2">
        <v>28753</v>
      </c>
      <c r="G42" t="str" cm="1">
        <f t="array" aca="1" ref="G42" ca="1">INDEX(rua_cod!$F:$F,RANDBETWEEN(2,COUNTA(rua_cod!F:F)))</f>
        <v>Calçada do Poço dos Mouros</v>
      </c>
      <c r="H42" t="str" cm="1">
        <f t="array" aca="1" ref="H42" ca="1">INDEX(rua_cod!$A:$A,Médicos!X42) &amp; "-" &amp; TEXT(RANDBETWEEN(0,999),"000")</f>
        <v>2655-466</v>
      </c>
      <c r="I42" t="str" cm="1">
        <f t="array" aca="1" ref="I42" ca="1">INDEX(rua_cod!$B:$B,Médicos!X42)</f>
        <v>Ericeira</v>
      </c>
      <c r="J42" t="s">
        <v>341</v>
      </c>
      <c r="K42" t="s">
        <v>225</v>
      </c>
      <c r="L42" t="s">
        <v>265</v>
      </c>
      <c r="M42" t="str">
        <f t="shared" ca="1" si="2"/>
        <v>44534872</v>
      </c>
      <c r="N42" t="str">
        <f t="shared" ca="1" si="3"/>
        <v>474477463</v>
      </c>
      <c r="O42" t="str">
        <f t="shared" ca="1" si="3"/>
        <v>980641325</v>
      </c>
      <c r="P42" t="str" cm="1">
        <f t="array" aca="1" ref="P42" ca="1">9 &amp; INDEX($AH$3:$AH$6,Y42)&amp; TEXT(RANDBETWEEN(0,9999999),"0000000")</f>
        <v>918336596</v>
      </c>
      <c r="Q42" t="str" cm="1">
        <f t="array" aca="1" ref="Q42" ca="1">LOWER(B42) &amp; INDEX($AH$9:$AH$11,Z42)</f>
        <v>med041@hospital.upskill.com</v>
      </c>
      <c r="R42" t="str">
        <f t="shared" si="4"/>
        <v>med041.jpg</v>
      </c>
      <c r="S42" s="8">
        <f t="shared" ca="1" si="5"/>
        <v>2157657818790272</v>
      </c>
      <c r="T42" t="s">
        <v>341</v>
      </c>
      <c r="V42" s="4"/>
      <c r="X42">
        <f ca="1">RANDBETWEEN(2,COUNTA(rua_cod!A:A))</f>
        <v>31</v>
      </c>
      <c r="Y42">
        <f t="shared" ca="1" si="6"/>
        <v>1</v>
      </c>
      <c r="Z42">
        <f t="shared" ca="1" si="7"/>
        <v>2</v>
      </c>
      <c r="AA42">
        <f t="shared" ca="1" si="8"/>
        <v>1973</v>
      </c>
      <c r="AB42">
        <f t="shared" ca="1" si="9"/>
        <v>5</v>
      </c>
      <c r="AC42">
        <f t="shared" ca="1" si="10"/>
        <v>10</v>
      </c>
      <c r="AD42">
        <f t="shared" ca="1" si="11"/>
        <v>47</v>
      </c>
    </row>
    <row r="43" spans="1:30" x14ac:dyDescent="0.25">
      <c r="A43">
        <v>42</v>
      </c>
      <c r="B43" t="str">
        <f t="shared" si="0"/>
        <v>med042</v>
      </c>
      <c r="C43" t="str">
        <f t="shared" si="1"/>
        <v>pswmed042</v>
      </c>
      <c r="D43" t="str">
        <f ca="1">Nomes!T44</f>
        <v>Francisca Pacheco Borges</v>
      </c>
      <c r="E43" t="str">
        <f ca="1">Nomes!S44</f>
        <v>Feminino</v>
      </c>
      <c r="F43" s="2">
        <v>20196</v>
      </c>
      <c r="G43" t="str" cm="1">
        <f t="array" aca="1" ref="G43" ca="1">INDEX(rua_cod!$F:$F,RANDBETWEEN(2,COUNTA(rua_cod!F:F)))</f>
        <v>Rua do Sacramento à Lapa</v>
      </c>
      <c r="H43" t="str" cm="1">
        <f t="array" aca="1" ref="H43" ca="1">INDEX(rua_cod!$A:$A,Médicos!X43) &amp; "-" &amp; TEXT(RANDBETWEEN(0,999),"000")</f>
        <v>2654-392</v>
      </c>
      <c r="I43" t="str" cm="1">
        <f t="array" aca="1" ref="I43" ca="1">INDEX(rua_cod!$B:$B,Médicos!X43)</f>
        <v>Amadora</v>
      </c>
      <c r="J43" t="s">
        <v>341</v>
      </c>
      <c r="K43" t="s">
        <v>225</v>
      </c>
      <c r="L43" t="s">
        <v>265</v>
      </c>
      <c r="M43" t="str">
        <f t="shared" ca="1" si="2"/>
        <v>81592039</v>
      </c>
      <c r="N43" t="str">
        <f t="shared" ca="1" si="3"/>
        <v>202467683</v>
      </c>
      <c r="O43" t="str">
        <f t="shared" ca="1" si="3"/>
        <v>130334906</v>
      </c>
      <c r="P43" t="str" cm="1">
        <f t="array" aca="1" ref="P43" ca="1">9 &amp; INDEX($AH$3:$AH$6,Y43)&amp; TEXT(RANDBETWEEN(0,9999999),"0000000")</f>
        <v>932105790</v>
      </c>
      <c r="Q43" t="str" cm="1">
        <f t="array" aca="1" ref="Q43" ca="1">LOWER(B43) &amp; INDEX($AH$9:$AH$11,Z43)</f>
        <v>med042@hospital.upskill.com</v>
      </c>
      <c r="R43" t="str">
        <f t="shared" si="4"/>
        <v>med042.jpg</v>
      </c>
      <c r="S43" s="8">
        <f t="shared" ca="1" si="5"/>
        <v>2540213850367659</v>
      </c>
      <c r="T43" t="s">
        <v>341</v>
      </c>
      <c r="V43" s="4"/>
      <c r="X43">
        <f ca="1">RANDBETWEEN(2,COUNTA(rua_cod!A:A))</f>
        <v>14</v>
      </c>
      <c r="Y43">
        <f t="shared" ca="1" si="6"/>
        <v>3</v>
      </c>
      <c r="Z43">
        <f t="shared" ca="1" si="7"/>
        <v>2</v>
      </c>
      <c r="AA43">
        <f t="shared" ca="1" si="8"/>
        <v>1993</v>
      </c>
      <c r="AB43">
        <f t="shared" ca="1" si="9"/>
        <v>10</v>
      </c>
      <c r="AC43">
        <f t="shared" ca="1" si="10"/>
        <v>24</v>
      </c>
      <c r="AD43">
        <f t="shared" ca="1" si="11"/>
        <v>27</v>
      </c>
    </row>
    <row r="44" spans="1:30" x14ac:dyDescent="0.25">
      <c r="A44">
        <v>43</v>
      </c>
      <c r="B44" t="str">
        <f t="shared" si="0"/>
        <v>med043</v>
      </c>
      <c r="C44" t="str">
        <f t="shared" si="1"/>
        <v>pswmed043</v>
      </c>
      <c r="D44" t="str">
        <f ca="1">Nomes!T45</f>
        <v>Diogo Martins Gaspar</v>
      </c>
      <c r="E44" t="str">
        <f ca="1">Nomes!S45</f>
        <v>Masculino</v>
      </c>
      <c r="F44" s="2">
        <v>28461</v>
      </c>
      <c r="G44" t="str" cm="1">
        <f t="array" aca="1" ref="G44" ca="1">INDEX(rua_cod!$F:$F,RANDBETWEEN(2,COUNTA(rua_cod!F:F)))</f>
        <v>Rua dos Bacalhoeiros</v>
      </c>
      <c r="H44" t="str" cm="1">
        <f t="array" aca="1" ref="H44" ca="1">INDEX(rua_cod!$A:$A,Médicos!X44) &amp; "-" &amp; TEXT(RANDBETWEEN(0,999),"000")</f>
        <v>2644-253</v>
      </c>
      <c r="I44" t="str" cm="1">
        <f t="array" aca="1" ref="I44" ca="1">INDEX(rua_cod!$B:$B,Médicos!X44)</f>
        <v>Mafra</v>
      </c>
      <c r="J44" t="s">
        <v>341</v>
      </c>
      <c r="K44" t="s">
        <v>225</v>
      </c>
      <c r="L44" t="s">
        <v>265</v>
      </c>
      <c r="M44" t="str">
        <f t="shared" ca="1" si="2"/>
        <v>30280796</v>
      </c>
      <c r="N44" t="str">
        <f t="shared" ca="1" si="3"/>
        <v>322071527</v>
      </c>
      <c r="O44" t="str">
        <f t="shared" ca="1" si="3"/>
        <v>677026078</v>
      </c>
      <c r="P44" t="str" cm="1">
        <f t="array" aca="1" ref="P44" ca="1">9 &amp; INDEX($AH$3:$AH$6,Y44)&amp; TEXT(RANDBETWEEN(0,9999999),"0000000")</f>
        <v>926605808</v>
      </c>
      <c r="Q44" t="str" cm="1">
        <f t="array" aca="1" ref="Q44" ca="1">LOWER(B44) &amp; INDEX($AH$9:$AH$11,Z44)</f>
        <v>med043@hospital.upskill.com</v>
      </c>
      <c r="R44" t="str">
        <f t="shared" si="4"/>
        <v>med043.jpg</v>
      </c>
      <c r="S44" s="8">
        <f t="shared" ca="1" si="5"/>
        <v>3393002164343009</v>
      </c>
      <c r="T44" t="s">
        <v>341</v>
      </c>
      <c r="V44" s="4"/>
      <c r="X44">
        <f ca="1">RANDBETWEEN(2,COUNTA(rua_cod!A:A))</f>
        <v>86</v>
      </c>
      <c r="Y44">
        <f t="shared" ca="1" si="6"/>
        <v>2</v>
      </c>
      <c r="Z44">
        <f t="shared" ca="1" si="7"/>
        <v>2</v>
      </c>
      <c r="AA44">
        <f t="shared" ca="1" si="8"/>
        <v>1985</v>
      </c>
      <c r="AB44">
        <f t="shared" ca="1" si="9"/>
        <v>4</v>
      </c>
      <c r="AC44">
        <f t="shared" ca="1" si="10"/>
        <v>3</v>
      </c>
      <c r="AD44">
        <f t="shared" ca="1" si="11"/>
        <v>35</v>
      </c>
    </row>
    <row r="45" spans="1:30" x14ac:dyDescent="0.25">
      <c r="A45">
        <v>44</v>
      </c>
      <c r="B45" t="str">
        <f t="shared" si="0"/>
        <v>med044</v>
      </c>
      <c r="C45" t="str">
        <f t="shared" si="1"/>
        <v>pswmed044</v>
      </c>
      <c r="D45" t="str">
        <f ca="1">Nomes!T46</f>
        <v>Tomás Henriques Garcia</v>
      </c>
      <c r="E45" t="str">
        <f ca="1">Nomes!S46</f>
        <v>Masculino</v>
      </c>
      <c r="F45" s="2">
        <v>36293</v>
      </c>
      <c r="G45" t="str" cm="1">
        <f t="array" aca="1" ref="G45" ca="1">INDEX(rua_cod!$F:$F,RANDBETWEEN(2,COUNTA(rua_cod!F:F)))</f>
        <v>Rua da Betesga</v>
      </c>
      <c r="H45" t="str" cm="1">
        <f t="array" aca="1" ref="H45" ca="1">INDEX(rua_cod!$A:$A,Médicos!X45) &amp; "-" &amp; TEXT(RANDBETWEEN(0,999),"000")</f>
        <v>2300-299</v>
      </c>
      <c r="I45" t="str" cm="1">
        <f t="array" aca="1" ref="I45" ca="1">INDEX(rua_cod!$B:$B,Médicos!X45)</f>
        <v>Tomar</v>
      </c>
      <c r="J45" t="s">
        <v>341</v>
      </c>
      <c r="K45" t="s">
        <v>225</v>
      </c>
      <c r="L45" t="s">
        <v>265</v>
      </c>
      <c r="M45" t="str">
        <f t="shared" ca="1" si="2"/>
        <v>86995402</v>
      </c>
      <c r="N45" t="str">
        <f t="shared" ca="1" si="3"/>
        <v>565861158</v>
      </c>
      <c r="O45" t="str">
        <f t="shared" ca="1" si="3"/>
        <v>418530398</v>
      </c>
      <c r="P45" t="str" cm="1">
        <f t="array" aca="1" ref="P45" ca="1">9 &amp; INDEX($AH$3:$AH$6,Y45)&amp; TEXT(RANDBETWEEN(0,9999999),"0000000")</f>
        <v>968895334</v>
      </c>
      <c r="Q45" t="str" cm="1">
        <f t="array" aca="1" ref="Q45" ca="1">LOWER(B45) &amp; INDEX($AH$9:$AH$11,Z45)</f>
        <v>med044@hospital.upskill.com</v>
      </c>
      <c r="R45" t="str">
        <f t="shared" si="4"/>
        <v>med044.jpg</v>
      </c>
      <c r="S45" s="8">
        <f t="shared" ca="1" si="5"/>
        <v>5303739137151151</v>
      </c>
      <c r="T45" t="s">
        <v>341</v>
      </c>
      <c r="V45" s="4"/>
      <c r="X45">
        <f ca="1">RANDBETWEEN(2,COUNTA(rua_cod!A:A))</f>
        <v>102</v>
      </c>
      <c r="Y45">
        <f t="shared" ca="1" si="6"/>
        <v>4</v>
      </c>
      <c r="Z45">
        <f t="shared" ca="1" si="7"/>
        <v>1</v>
      </c>
      <c r="AA45">
        <f t="shared" ca="1" si="8"/>
        <v>1986</v>
      </c>
      <c r="AB45">
        <f t="shared" ca="1" si="9"/>
        <v>9</v>
      </c>
      <c r="AC45">
        <f t="shared" ca="1" si="10"/>
        <v>15</v>
      </c>
      <c r="AD45">
        <f t="shared" ca="1" si="11"/>
        <v>34</v>
      </c>
    </row>
    <row r="46" spans="1:30" x14ac:dyDescent="0.25">
      <c r="A46">
        <v>45</v>
      </c>
      <c r="B46" t="str">
        <f t="shared" si="0"/>
        <v>med045</v>
      </c>
      <c r="C46" t="str">
        <f t="shared" si="1"/>
        <v>pswmed045</v>
      </c>
      <c r="D46" t="str">
        <f ca="1">Nomes!T47</f>
        <v>Francisco Pires Teixeira</v>
      </c>
      <c r="E46" t="str">
        <f ca="1">Nomes!S47</f>
        <v>Masculino</v>
      </c>
      <c r="F46" s="2">
        <v>14532</v>
      </c>
      <c r="G46" t="str" cm="1">
        <f t="array" aca="1" ref="G46" ca="1">INDEX(rua_cod!$F:$F,RANDBETWEEN(2,COUNTA(rua_cod!F:F)))</f>
        <v>Estrada da Circunvalação de Lisboa</v>
      </c>
      <c r="H46" t="str" cm="1">
        <f t="array" aca="1" ref="H46" ca="1">INDEX(rua_cod!$A:$A,Médicos!X46) &amp; "-" &amp; TEXT(RANDBETWEEN(0,999),"000")</f>
        <v>1600-007</v>
      </c>
      <c r="I46" t="str" cm="1">
        <f t="array" aca="1" ref="I46" ca="1">INDEX(rua_cod!$B:$B,Médicos!X46)</f>
        <v>Lisboa</v>
      </c>
      <c r="J46" t="s">
        <v>341</v>
      </c>
      <c r="K46" t="s">
        <v>225</v>
      </c>
      <c r="L46" t="s">
        <v>265</v>
      </c>
      <c r="M46" t="str">
        <f t="shared" ca="1" si="2"/>
        <v>60243935</v>
      </c>
      <c r="N46" t="str">
        <f t="shared" ca="1" si="3"/>
        <v>205518973</v>
      </c>
      <c r="O46" t="str">
        <f t="shared" ca="1" si="3"/>
        <v>266133069</v>
      </c>
      <c r="P46" t="str" cm="1">
        <f t="array" aca="1" ref="P46" ca="1">9 &amp; INDEX($AH$3:$AH$6,Y46)&amp; TEXT(RANDBETWEEN(0,9999999),"0000000")</f>
        <v>915146763</v>
      </c>
      <c r="Q46" t="str" cm="1">
        <f t="array" aca="1" ref="Q46" ca="1">LOWER(B46) &amp; INDEX($AH$9:$AH$11,Z46)</f>
        <v>med045@hospital.upskill.com</v>
      </c>
      <c r="R46" t="str">
        <f t="shared" si="4"/>
        <v>med045.jpg</v>
      </c>
      <c r="S46" s="8">
        <f t="shared" ca="1" si="5"/>
        <v>9851793935675480</v>
      </c>
      <c r="T46" t="s">
        <v>341</v>
      </c>
      <c r="V46" s="4"/>
      <c r="X46">
        <f ca="1">RANDBETWEEN(2,COUNTA(rua_cod!A:A))</f>
        <v>60</v>
      </c>
      <c r="Y46">
        <f t="shared" ca="1" si="6"/>
        <v>1</v>
      </c>
      <c r="Z46">
        <f t="shared" ca="1" si="7"/>
        <v>2</v>
      </c>
      <c r="AA46">
        <f t="shared" ca="1" si="8"/>
        <v>1971</v>
      </c>
      <c r="AB46">
        <f t="shared" ca="1" si="9"/>
        <v>5</v>
      </c>
      <c r="AC46">
        <f t="shared" ca="1" si="10"/>
        <v>6</v>
      </c>
      <c r="AD46">
        <f t="shared" ca="1" si="11"/>
        <v>49</v>
      </c>
    </row>
    <row r="47" spans="1:30" x14ac:dyDescent="0.25">
      <c r="A47">
        <v>46</v>
      </c>
      <c r="B47" t="str">
        <f t="shared" si="0"/>
        <v>med046</v>
      </c>
      <c r="C47" t="str">
        <f t="shared" si="1"/>
        <v>pswmed046</v>
      </c>
      <c r="D47" t="str">
        <f ca="1">Nomes!T48</f>
        <v>Ricardo Paiva Lopes</v>
      </c>
      <c r="E47" t="str">
        <f ca="1">Nomes!S48</f>
        <v>Masculino</v>
      </c>
      <c r="F47" s="2">
        <v>41931</v>
      </c>
      <c r="G47" t="str" cm="1">
        <f t="array" aca="1" ref="G47" ca="1">INDEX(rua_cod!$F:$F,RANDBETWEEN(2,COUNTA(rua_cod!F:F)))</f>
        <v>Estrada Militar</v>
      </c>
      <c r="H47" t="str" cm="1">
        <f t="array" aca="1" ref="H47" ca="1">INDEX(rua_cod!$A:$A,Médicos!X47) &amp; "-" &amp; TEXT(RANDBETWEEN(0,999),"000")</f>
        <v>1500-246</v>
      </c>
      <c r="I47" t="str" cm="1">
        <f t="array" aca="1" ref="I47" ca="1">INDEX(rua_cod!$B:$B,Médicos!X47)</f>
        <v>Lisboa</v>
      </c>
      <c r="J47" t="s">
        <v>341</v>
      </c>
      <c r="K47" t="s">
        <v>225</v>
      </c>
      <c r="L47" t="s">
        <v>265</v>
      </c>
      <c r="M47" t="str">
        <f t="shared" ca="1" si="2"/>
        <v>72393341</v>
      </c>
      <c r="N47" t="str">
        <f t="shared" ca="1" si="3"/>
        <v>570245033</v>
      </c>
      <c r="O47" t="str">
        <f t="shared" ca="1" si="3"/>
        <v>782993492</v>
      </c>
      <c r="P47" t="str" cm="1">
        <f t="array" aca="1" ref="P47" ca="1">9 &amp; INDEX($AH$3:$AH$6,Y47)&amp; TEXT(RANDBETWEEN(0,9999999),"0000000")</f>
        <v>914048574</v>
      </c>
      <c r="Q47" t="str" cm="1">
        <f t="array" aca="1" ref="Q47" ca="1">LOWER(B47) &amp; INDEX($AH$9:$AH$11,Z47)</f>
        <v>med046@hospital.upskill.com</v>
      </c>
      <c r="R47" t="str">
        <f t="shared" si="4"/>
        <v>med046.jpg</v>
      </c>
      <c r="S47" s="8">
        <f t="shared" ca="1" si="5"/>
        <v>4773260298354661</v>
      </c>
      <c r="T47" t="s">
        <v>341</v>
      </c>
      <c r="V47" s="4"/>
      <c r="X47">
        <f ca="1">RANDBETWEEN(2,COUNTA(rua_cod!A:A))</f>
        <v>43</v>
      </c>
      <c r="Y47">
        <f t="shared" ca="1" si="6"/>
        <v>1</v>
      </c>
      <c r="Z47">
        <f t="shared" ca="1" si="7"/>
        <v>2</v>
      </c>
      <c r="AA47">
        <f t="shared" ca="1" si="8"/>
        <v>1967</v>
      </c>
      <c r="AB47">
        <f t="shared" ca="1" si="9"/>
        <v>7</v>
      </c>
      <c r="AC47">
        <f t="shared" ca="1" si="10"/>
        <v>7</v>
      </c>
      <c r="AD47">
        <f t="shared" ca="1" si="11"/>
        <v>53</v>
      </c>
    </row>
    <row r="48" spans="1:30" x14ac:dyDescent="0.25">
      <c r="A48">
        <v>47</v>
      </c>
      <c r="B48" t="str">
        <f t="shared" si="0"/>
        <v>med047</v>
      </c>
      <c r="C48" t="str">
        <f t="shared" si="1"/>
        <v>pswmed047</v>
      </c>
      <c r="D48" t="str">
        <f ca="1">Nomes!T49</f>
        <v>Afonso Domingues Castro</v>
      </c>
      <c r="E48" t="str">
        <f ca="1">Nomes!S49</f>
        <v>Masculino</v>
      </c>
      <c r="F48" s="2">
        <v>42843</v>
      </c>
      <c r="G48" t="str" cm="1">
        <f t="array" aca="1" ref="G48" ca="1">INDEX(rua_cod!$F:$F,RANDBETWEEN(2,COUNTA(rua_cod!F:F)))</f>
        <v>Rua dos Bacalhoeiros</v>
      </c>
      <c r="H48" t="str" cm="1">
        <f t="array" aca="1" ref="H48" ca="1">INDEX(rua_cod!$A:$A,Médicos!X48) &amp; "-" &amp; TEXT(RANDBETWEEN(0,999),"000")</f>
        <v>2810-842</v>
      </c>
      <c r="I48" t="str" cm="1">
        <f t="array" aca="1" ref="I48" ca="1">INDEX(rua_cod!$B:$B,Médicos!X48)</f>
        <v>Almada</v>
      </c>
      <c r="J48" t="s">
        <v>341</v>
      </c>
      <c r="K48" t="s">
        <v>225</v>
      </c>
      <c r="L48" t="s">
        <v>265</v>
      </c>
      <c r="M48" t="str">
        <f t="shared" ca="1" si="2"/>
        <v>12123921</v>
      </c>
      <c r="N48" t="str">
        <f t="shared" ca="1" si="3"/>
        <v>365370269</v>
      </c>
      <c r="O48" t="str">
        <f t="shared" ca="1" si="3"/>
        <v>223649021</v>
      </c>
      <c r="P48" t="str" cm="1">
        <f t="array" aca="1" ref="P48" ca="1">9 &amp; INDEX($AH$3:$AH$6,Y48)&amp; TEXT(RANDBETWEEN(0,9999999),"0000000")</f>
        <v>923527519</v>
      </c>
      <c r="Q48" t="str" cm="1">
        <f t="array" aca="1" ref="Q48" ca="1">LOWER(B48) &amp; INDEX($AH$9:$AH$11,Z48)</f>
        <v>med047@hospital.upskill.com</v>
      </c>
      <c r="R48" t="str">
        <f t="shared" si="4"/>
        <v>med047.jpg</v>
      </c>
      <c r="S48" s="8">
        <f t="shared" ca="1" si="5"/>
        <v>8490715580944354</v>
      </c>
      <c r="T48" t="s">
        <v>341</v>
      </c>
      <c r="V48" s="4"/>
      <c r="X48">
        <f ca="1">RANDBETWEEN(2,COUNTA(rua_cod!A:A))</f>
        <v>3</v>
      </c>
      <c r="Y48">
        <f t="shared" ca="1" si="6"/>
        <v>2</v>
      </c>
      <c r="Z48">
        <f t="shared" ca="1" si="7"/>
        <v>3</v>
      </c>
      <c r="AA48">
        <f t="shared" ca="1" si="8"/>
        <v>1978</v>
      </c>
      <c r="AB48">
        <f t="shared" ca="1" si="9"/>
        <v>10</v>
      </c>
      <c r="AC48">
        <f t="shared" ca="1" si="10"/>
        <v>8</v>
      </c>
      <c r="AD48">
        <f t="shared" ca="1" si="11"/>
        <v>42</v>
      </c>
    </row>
    <row r="49" spans="1:30" x14ac:dyDescent="0.25">
      <c r="A49">
        <v>48</v>
      </c>
      <c r="B49" t="str">
        <f t="shared" si="0"/>
        <v>med048</v>
      </c>
      <c r="C49" t="str">
        <f t="shared" si="1"/>
        <v>pswmed048</v>
      </c>
      <c r="D49" t="str">
        <f ca="1">Nomes!T50</f>
        <v>Tiago Paiva Guerreiro</v>
      </c>
      <c r="E49" t="str">
        <f ca="1">Nomes!S50</f>
        <v>Masculino</v>
      </c>
      <c r="F49" s="2">
        <v>25752</v>
      </c>
      <c r="G49" t="str" cm="1">
        <f t="array" aca="1" ref="G49" ca="1">INDEX(rua_cod!$F:$F,RANDBETWEEN(2,COUNTA(rua_cod!F:F)))</f>
        <v>Rua Júlio César Machado</v>
      </c>
      <c r="H49" t="str" cm="1">
        <f t="array" aca="1" ref="H49" ca="1">INDEX(rua_cod!$A:$A,Médicos!X49) &amp; "-" &amp; TEXT(RANDBETWEEN(0,999),"000")</f>
        <v>1500-896</v>
      </c>
      <c r="I49" t="str" cm="1">
        <f t="array" aca="1" ref="I49" ca="1">INDEX(rua_cod!$B:$B,Médicos!X49)</f>
        <v>Lisboa</v>
      </c>
      <c r="J49" t="s">
        <v>341</v>
      </c>
      <c r="K49" t="s">
        <v>225</v>
      </c>
      <c r="L49" t="s">
        <v>265</v>
      </c>
      <c r="M49" t="str">
        <f t="shared" ca="1" si="2"/>
        <v>80059215</v>
      </c>
      <c r="N49" t="str">
        <f t="shared" ca="1" si="3"/>
        <v>900209620</v>
      </c>
      <c r="O49" t="str">
        <f t="shared" ca="1" si="3"/>
        <v>813835706</v>
      </c>
      <c r="P49" t="str" cm="1">
        <f t="array" aca="1" ref="P49" ca="1">9 &amp; INDEX($AH$3:$AH$6,Y49)&amp; TEXT(RANDBETWEEN(0,9999999),"0000000")</f>
        <v>927940623</v>
      </c>
      <c r="Q49" t="str" cm="1">
        <f t="array" aca="1" ref="Q49" ca="1">LOWER(B49) &amp; INDEX($AH$9:$AH$11,Z49)</f>
        <v>med048@hospital.upskill.com</v>
      </c>
      <c r="R49" t="str">
        <f t="shared" si="4"/>
        <v>med048.jpg</v>
      </c>
      <c r="S49" s="8">
        <f t="shared" ca="1" si="5"/>
        <v>5836131160410764</v>
      </c>
      <c r="T49" t="s">
        <v>341</v>
      </c>
      <c r="V49" s="4"/>
      <c r="X49">
        <f ca="1">RANDBETWEEN(2,COUNTA(rua_cod!A:A))</f>
        <v>43</v>
      </c>
      <c r="Y49">
        <f t="shared" ca="1" si="6"/>
        <v>2</v>
      </c>
      <c r="Z49">
        <f t="shared" ca="1" si="7"/>
        <v>2</v>
      </c>
      <c r="AA49">
        <f t="shared" ca="1" si="8"/>
        <v>1954</v>
      </c>
      <c r="AB49">
        <f t="shared" ca="1" si="9"/>
        <v>11</v>
      </c>
      <c r="AC49">
        <f t="shared" ca="1" si="10"/>
        <v>22</v>
      </c>
      <c r="AD49">
        <f t="shared" ca="1" si="11"/>
        <v>66</v>
      </c>
    </row>
    <row r="50" spans="1:30" x14ac:dyDescent="0.25">
      <c r="A50">
        <v>49</v>
      </c>
      <c r="B50" t="str">
        <f t="shared" si="0"/>
        <v>med049</v>
      </c>
      <c r="C50" t="str">
        <f t="shared" si="1"/>
        <v>pswmed049</v>
      </c>
      <c r="D50" t="str">
        <f ca="1">Nomes!T51</f>
        <v>Martim Abreu Rocha</v>
      </c>
      <c r="E50" t="str">
        <f ca="1">Nomes!S51</f>
        <v>Masculino</v>
      </c>
      <c r="F50" s="2">
        <v>23798</v>
      </c>
      <c r="G50" t="str" cm="1">
        <f t="array" aca="1" ref="G50" ca="1">INDEX(rua_cod!$F:$F,RANDBETWEEN(2,COUNTA(rua_cod!F:F)))</f>
        <v>Estrada das Laranjeiras</v>
      </c>
      <c r="H50" t="str" cm="1">
        <f t="array" aca="1" ref="H50" ca="1">INDEX(rua_cod!$A:$A,Médicos!X50) &amp; "-" &amp; TEXT(RANDBETWEEN(0,999),"000")</f>
        <v>2655-942</v>
      </c>
      <c r="I50" t="str" cm="1">
        <f t="array" aca="1" ref="I50" ca="1">INDEX(rua_cod!$B:$B,Médicos!X50)</f>
        <v>Ericeira</v>
      </c>
      <c r="J50" t="s">
        <v>341</v>
      </c>
      <c r="K50" t="s">
        <v>225</v>
      </c>
      <c r="L50" t="s">
        <v>265</v>
      </c>
      <c r="M50" t="str">
        <f t="shared" ca="1" si="2"/>
        <v>12417397</v>
      </c>
      <c r="N50" t="str">
        <f t="shared" ca="1" si="3"/>
        <v>406818432</v>
      </c>
      <c r="O50" t="str">
        <f t="shared" ca="1" si="3"/>
        <v>984536006</v>
      </c>
      <c r="P50" t="str" cm="1">
        <f t="array" aca="1" ref="P50" ca="1">9 &amp; INDEX($AH$3:$AH$6,Y50)&amp; TEXT(RANDBETWEEN(0,9999999),"0000000")</f>
        <v>919812321</v>
      </c>
      <c r="Q50" t="str" cm="1">
        <f t="array" aca="1" ref="Q50" ca="1">LOWER(B50) &amp; INDEX($AH$9:$AH$11,Z50)</f>
        <v>med049@hospital.upskill.com</v>
      </c>
      <c r="R50" t="str">
        <f t="shared" si="4"/>
        <v>med049.jpg</v>
      </c>
      <c r="S50" s="8">
        <f t="shared" ca="1" si="5"/>
        <v>9166933222574328</v>
      </c>
      <c r="T50" t="s">
        <v>341</v>
      </c>
      <c r="V50" s="4"/>
      <c r="X50">
        <f ca="1">RANDBETWEEN(2,COUNTA(rua_cod!A:A))</f>
        <v>31</v>
      </c>
      <c r="Y50">
        <f t="shared" ca="1" si="6"/>
        <v>1</v>
      </c>
      <c r="Z50">
        <f t="shared" ca="1" si="7"/>
        <v>1</v>
      </c>
      <c r="AA50">
        <f t="shared" ca="1" si="8"/>
        <v>1982</v>
      </c>
      <c r="AB50">
        <f t="shared" ca="1" si="9"/>
        <v>12</v>
      </c>
      <c r="AC50">
        <f t="shared" ca="1" si="10"/>
        <v>13</v>
      </c>
      <c r="AD50">
        <f t="shared" ca="1" si="11"/>
        <v>38</v>
      </c>
    </row>
    <row r="51" spans="1:30" x14ac:dyDescent="0.25">
      <c r="A51">
        <v>50</v>
      </c>
      <c r="B51" t="str">
        <f t="shared" si="0"/>
        <v>med050</v>
      </c>
      <c r="C51" t="str">
        <f t="shared" si="1"/>
        <v>pswmed050</v>
      </c>
      <c r="D51" t="str">
        <f ca="1">Nomes!T52</f>
        <v>Matilde Tomás Antunes Oliveira</v>
      </c>
      <c r="E51" t="str">
        <f ca="1">Nomes!S52</f>
        <v>Feminino</v>
      </c>
      <c r="F51" s="2">
        <v>10175</v>
      </c>
      <c r="G51" t="str" cm="1">
        <f t="array" aca="1" ref="G51" ca="1">INDEX(rua_cod!$F:$F,RANDBETWEEN(2,COUNTA(rua_cod!F:F)))</f>
        <v>Rua Garrett</v>
      </c>
      <c r="H51" t="str" cm="1">
        <f t="array" aca="1" ref="H51" ca="1">INDEX(rua_cod!$A:$A,Médicos!X51) &amp; "-" &amp; TEXT(RANDBETWEEN(0,999),"000")</f>
        <v>1959-916</v>
      </c>
      <c r="I51" t="str" cm="1">
        <f t="array" aca="1" ref="I51" ca="1">INDEX(rua_cod!$B:$B,Médicos!X51)</f>
        <v>Lisboa</v>
      </c>
      <c r="J51" t="s">
        <v>341</v>
      </c>
      <c r="K51" t="s">
        <v>225</v>
      </c>
      <c r="L51" t="s">
        <v>265</v>
      </c>
      <c r="M51" t="str">
        <f t="shared" ca="1" si="2"/>
        <v>43996569</v>
      </c>
      <c r="N51" t="str">
        <f t="shared" ca="1" si="3"/>
        <v>134558351</v>
      </c>
      <c r="O51" t="str">
        <f t="shared" ca="1" si="3"/>
        <v>856453460</v>
      </c>
      <c r="P51" t="str" cm="1">
        <f t="array" aca="1" ref="P51" ca="1">9 &amp; INDEX($AH$3:$AH$6,Y51)&amp; TEXT(RANDBETWEEN(0,9999999),"0000000")</f>
        <v>923735654</v>
      </c>
      <c r="Q51" t="str" cm="1">
        <f t="array" aca="1" ref="Q51" ca="1">LOWER(B51) &amp; INDEX($AH$9:$AH$11,Z51)</f>
        <v>med050@hospital.upskill.com</v>
      </c>
      <c r="R51" t="str">
        <f t="shared" si="4"/>
        <v>med050.jpg</v>
      </c>
      <c r="S51" s="8">
        <f t="shared" ca="1" si="5"/>
        <v>4427569352624408</v>
      </c>
      <c r="T51" t="s">
        <v>341</v>
      </c>
      <c r="V51" s="4"/>
      <c r="X51">
        <f ca="1">RANDBETWEEN(2,COUNTA(rua_cod!A:A))</f>
        <v>72</v>
      </c>
      <c r="Y51">
        <f t="shared" ca="1" si="6"/>
        <v>2</v>
      </c>
      <c r="Z51">
        <f t="shared" ca="1" si="7"/>
        <v>3</v>
      </c>
      <c r="AA51">
        <f t="shared" ca="1" si="8"/>
        <v>1968</v>
      </c>
      <c r="AB51">
        <f t="shared" ca="1" si="9"/>
        <v>10</v>
      </c>
      <c r="AC51">
        <f t="shared" ca="1" si="10"/>
        <v>19</v>
      </c>
      <c r="AD51">
        <f t="shared" ca="1" si="11"/>
        <v>52</v>
      </c>
    </row>
    <row r="52" spans="1:30" x14ac:dyDescent="0.25">
      <c r="A52">
        <v>51</v>
      </c>
      <c r="B52" t="str">
        <f t="shared" si="0"/>
        <v>med051</v>
      </c>
      <c r="C52" t="str">
        <f t="shared" si="1"/>
        <v>pswmed051</v>
      </c>
      <c r="D52" t="str">
        <f ca="1">Nomes!T53</f>
        <v>Duarte Pedro Lourenço Machado</v>
      </c>
      <c r="E52" t="str">
        <f ca="1">Nomes!S53</f>
        <v>Masculino</v>
      </c>
      <c r="F52" s="2">
        <v>16409</v>
      </c>
      <c r="G52" t="str" cm="1">
        <f t="array" aca="1" ref="G52" ca="1">INDEX(rua_cod!$F:$F,RANDBETWEEN(2,COUNTA(rua_cod!F:F)))</f>
        <v>Rua Júlio César Machado</v>
      </c>
      <c r="H52" t="str" cm="1">
        <f t="array" aca="1" ref="H52" ca="1">INDEX(rua_cod!$A:$A,Médicos!X52) &amp; "-" &amp; TEXT(RANDBETWEEN(0,999),"000")</f>
        <v>2644-554</v>
      </c>
      <c r="I52" t="str" cm="1">
        <f t="array" aca="1" ref="I52" ca="1">INDEX(rua_cod!$B:$B,Médicos!X52)</f>
        <v>Mafra</v>
      </c>
      <c r="J52" t="s">
        <v>341</v>
      </c>
      <c r="K52" t="s">
        <v>225</v>
      </c>
      <c r="L52" t="s">
        <v>265</v>
      </c>
      <c r="M52" t="str">
        <f t="shared" ca="1" si="2"/>
        <v>89555708</v>
      </c>
      <c r="N52" t="str">
        <f t="shared" ca="1" si="3"/>
        <v>655323154</v>
      </c>
      <c r="O52" t="str">
        <f t="shared" ca="1" si="3"/>
        <v>429469332</v>
      </c>
      <c r="P52" t="str" cm="1">
        <f t="array" aca="1" ref="P52" ca="1">9 &amp; INDEX($AH$3:$AH$6,Y52)&amp; TEXT(RANDBETWEEN(0,9999999),"0000000")</f>
        <v>931704257</v>
      </c>
      <c r="Q52" t="str" cm="1">
        <f t="array" aca="1" ref="Q52" ca="1">LOWER(B52) &amp; INDEX($AH$9:$AH$11,Z52)</f>
        <v>med051@hospital.upskill.com</v>
      </c>
      <c r="R52" t="str">
        <f t="shared" si="4"/>
        <v>med051.jpg</v>
      </c>
      <c r="S52" s="8">
        <f t="shared" ca="1" si="5"/>
        <v>5656736875050608</v>
      </c>
      <c r="T52" t="s">
        <v>341</v>
      </c>
      <c r="V52" s="4"/>
      <c r="X52">
        <f ca="1">RANDBETWEEN(2,COUNTA(rua_cod!A:A))</f>
        <v>86</v>
      </c>
      <c r="Y52">
        <f t="shared" ca="1" si="6"/>
        <v>3</v>
      </c>
      <c r="Z52">
        <f t="shared" ca="1" si="7"/>
        <v>2</v>
      </c>
      <c r="AA52">
        <f t="shared" ca="1" si="8"/>
        <v>1955</v>
      </c>
      <c r="AB52">
        <f t="shared" ca="1" si="9"/>
        <v>12</v>
      </c>
      <c r="AC52">
        <f t="shared" ca="1" si="10"/>
        <v>8</v>
      </c>
      <c r="AD52">
        <f t="shared" ca="1" si="11"/>
        <v>65</v>
      </c>
    </row>
    <row r="53" spans="1:30" x14ac:dyDescent="0.25">
      <c r="A53">
        <v>52</v>
      </c>
      <c r="B53" t="str">
        <f t="shared" si="0"/>
        <v>med052</v>
      </c>
      <c r="C53" t="str">
        <f t="shared" si="1"/>
        <v>pswmed052</v>
      </c>
      <c r="D53" t="str">
        <f ca="1">Nomes!T54</f>
        <v>Miguel Luís Domingues Coelho</v>
      </c>
      <c r="E53" t="str">
        <f ca="1">Nomes!S54</f>
        <v>Masculino</v>
      </c>
      <c r="F53" s="2">
        <v>44012</v>
      </c>
      <c r="G53" t="str" cm="1">
        <f t="array" aca="1" ref="G53" ca="1">INDEX(rua_cod!$F:$F,RANDBETWEEN(2,COUNTA(rua_cod!F:F)))</f>
        <v>Rua de São Mamede</v>
      </c>
      <c r="H53" t="str" cm="1">
        <f t="array" aca="1" ref="H53" ca="1">INDEX(rua_cod!$A:$A,Médicos!X53) &amp; "-" &amp; TEXT(RANDBETWEEN(0,999),"000")</f>
        <v>2560-814</v>
      </c>
      <c r="I53" t="str" cm="1">
        <f t="array" aca="1" ref="I53" ca="1">INDEX(rua_cod!$B:$B,Médicos!X53)</f>
        <v>Torres Vedras</v>
      </c>
      <c r="J53" t="s">
        <v>341</v>
      </c>
      <c r="K53" t="s">
        <v>225</v>
      </c>
      <c r="L53" t="s">
        <v>265</v>
      </c>
      <c r="M53" t="str">
        <f t="shared" ca="1" si="2"/>
        <v>64809114</v>
      </c>
      <c r="N53" t="str">
        <f t="shared" ca="1" si="3"/>
        <v>795406118</v>
      </c>
      <c r="O53" t="str">
        <f t="shared" ca="1" si="3"/>
        <v>270021221</v>
      </c>
      <c r="P53" t="str" cm="1">
        <f t="array" aca="1" ref="P53" ca="1">9 &amp; INDEX($AH$3:$AH$6,Y53)&amp; TEXT(RANDBETWEEN(0,9999999),"0000000")</f>
        <v>914164422</v>
      </c>
      <c r="Q53" t="str" cm="1">
        <f t="array" aca="1" ref="Q53" ca="1">LOWER(B53) &amp; INDEX($AH$9:$AH$11,Z53)</f>
        <v>med052@hospital.upskill.com</v>
      </c>
      <c r="R53" t="str">
        <f t="shared" si="4"/>
        <v>med052.jpg</v>
      </c>
      <c r="S53" s="8">
        <f t="shared" ca="1" si="5"/>
        <v>7916939063209121</v>
      </c>
      <c r="T53" t="s">
        <v>341</v>
      </c>
      <c r="V53" s="4"/>
      <c r="X53">
        <f ca="1">RANDBETWEEN(2,COUNTA(rua_cod!A:A))</f>
        <v>104</v>
      </c>
      <c r="Y53">
        <f t="shared" ca="1" si="6"/>
        <v>1</v>
      </c>
      <c r="Z53">
        <f t="shared" ca="1" si="7"/>
        <v>1</v>
      </c>
      <c r="AA53">
        <f t="shared" ca="1" si="8"/>
        <v>1964</v>
      </c>
      <c r="AB53">
        <f t="shared" ca="1" si="9"/>
        <v>2</v>
      </c>
      <c r="AC53">
        <f t="shared" ca="1" si="10"/>
        <v>2</v>
      </c>
      <c r="AD53">
        <f t="shared" ca="1" si="11"/>
        <v>56</v>
      </c>
    </row>
    <row r="54" spans="1:30" x14ac:dyDescent="0.25">
      <c r="A54">
        <v>53</v>
      </c>
      <c r="B54" t="str">
        <f t="shared" si="0"/>
        <v>med053</v>
      </c>
      <c r="C54" t="str">
        <f t="shared" si="1"/>
        <v>pswmed053</v>
      </c>
      <c r="D54" t="str">
        <f ca="1">Nomes!T55</f>
        <v>Ricardo Diana Ferreira Neves</v>
      </c>
      <c r="E54" t="str">
        <f ca="1">Nomes!S55</f>
        <v>Masculino</v>
      </c>
      <c r="F54" s="2">
        <v>21337</v>
      </c>
      <c r="G54" t="str" cm="1">
        <f t="array" aca="1" ref="G54" ca="1">INDEX(rua_cod!$F:$F,RANDBETWEEN(2,COUNTA(rua_cod!F:F)))</f>
        <v>Rua de São Mamede</v>
      </c>
      <c r="H54" t="str" cm="1">
        <f t="array" aca="1" ref="H54" ca="1">INDEX(rua_cod!$A:$A,Médicos!X54) &amp; "-" &amp; TEXT(RANDBETWEEN(0,999),"000")</f>
        <v>2914-013</v>
      </c>
      <c r="I54" t="str" cm="1">
        <f t="array" aca="1" ref="I54" ca="1">INDEX(rua_cod!$B:$B,Médicos!X54)</f>
        <v>Setúbal</v>
      </c>
      <c r="J54" t="s">
        <v>341</v>
      </c>
      <c r="K54" t="s">
        <v>225</v>
      </c>
      <c r="L54" t="s">
        <v>265</v>
      </c>
      <c r="M54" t="str">
        <f t="shared" ca="1" si="2"/>
        <v>54399465</v>
      </c>
      <c r="N54" t="str">
        <f t="shared" ca="1" si="3"/>
        <v>977748530</v>
      </c>
      <c r="O54" t="str">
        <f t="shared" ca="1" si="3"/>
        <v>327511004</v>
      </c>
      <c r="P54" t="str" cm="1">
        <f t="array" aca="1" ref="P54" ca="1">9 &amp; INDEX($AH$3:$AH$6,Y54)&amp; TEXT(RANDBETWEEN(0,9999999),"0000000")</f>
        <v>916194512</v>
      </c>
      <c r="Q54" t="str" cm="1">
        <f t="array" aca="1" ref="Q54" ca="1">LOWER(B54) &amp; INDEX($AH$9:$AH$11,Z54)</f>
        <v>med053@hospital.upskill.com</v>
      </c>
      <c r="R54" t="str">
        <f t="shared" si="4"/>
        <v>med053.jpg</v>
      </c>
      <c r="S54" s="8">
        <f t="shared" ca="1" si="5"/>
        <v>3913491024517845</v>
      </c>
      <c r="T54" t="s">
        <v>341</v>
      </c>
      <c r="V54" s="4"/>
      <c r="X54">
        <f ca="1">RANDBETWEEN(2,COUNTA(rua_cod!A:A))</f>
        <v>98</v>
      </c>
      <c r="Y54">
        <f t="shared" ca="1" si="6"/>
        <v>1</v>
      </c>
      <c r="Z54">
        <f t="shared" ca="1" si="7"/>
        <v>2</v>
      </c>
      <c r="AA54">
        <f t="shared" ca="1" si="8"/>
        <v>1981</v>
      </c>
      <c r="AB54">
        <f t="shared" ca="1" si="9"/>
        <v>12</v>
      </c>
      <c r="AC54">
        <f t="shared" ca="1" si="10"/>
        <v>15</v>
      </c>
      <c r="AD54">
        <f t="shared" ca="1" si="11"/>
        <v>39</v>
      </c>
    </row>
    <row r="55" spans="1:30" x14ac:dyDescent="0.25">
      <c r="A55">
        <v>54</v>
      </c>
      <c r="B55" t="str">
        <f t="shared" si="0"/>
        <v>med054</v>
      </c>
      <c r="C55" t="str">
        <f t="shared" si="1"/>
        <v>pswmed054</v>
      </c>
      <c r="D55" t="str">
        <f ca="1">Nomes!T56</f>
        <v>Bruno Gabriel Baptista Brito</v>
      </c>
      <c r="E55" t="str">
        <f ca="1">Nomes!S56</f>
        <v>Masculino</v>
      </c>
      <c r="F55" s="2">
        <v>35631</v>
      </c>
      <c r="G55" t="str" cm="1">
        <f t="array" aca="1" ref="G55" ca="1">INDEX(rua_cod!$F:$F,RANDBETWEEN(2,COUNTA(rua_cod!F:F)))</f>
        <v>Estrada das Laranjeiras</v>
      </c>
      <c r="H55" t="str" cm="1">
        <f t="array" aca="1" ref="H55" ca="1">INDEX(rua_cod!$A:$A,Médicos!X55) &amp; "-" &amp; TEXT(RANDBETWEEN(0,999),"000")</f>
        <v>2560-988</v>
      </c>
      <c r="I55" t="str" cm="1">
        <f t="array" aca="1" ref="I55" ca="1">INDEX(rua_cod!$B:$B,Médicos!X55)</f>
        <v>Torres Vedras</v>
      </c>
      <c r="J55" t="s">
        <v>341</v>
      </c>
      <c r="K55" t="s">
        <v>225</v>
      </c>
      <c r="L55" t="s">
        <v>265</v>
      </c>
      <c r="M55" t="str">
        <f t="shared" ca="1" si="2"/>
        <v>95943679</v>
      </c>
      <c r="N55" t="str">
        <f t="shared" ca="1" si="3"/>
        <v>790318955</v>
      </c>
      <c r="O55" t="str">
        <f t="shared" ca="1" si="3"/>
        <v>878025468</v>
      </c>
      <c r="P55" t="str" cm="1">
        <f t="array" aca="1" ref="P55" ca="1">9 &amp; INDEX($AH$3:$AH$6,Y55)&amp; TEXT(RANDBETWEEN(0,9999999),"0000000")</f>
        <v>923336565</v>
      </c>
      <c r="Q55" t="str" cm="1">
        <f t="array" aca="1" ref="Q55" ca="1">LOWER(B55) &amp; INDEX($AH$9:$AH$11,Z55)</f>
        <v>med054@hospital.upskill.com</v>
      </c>
      <c r="R55" t="str">
        <f t="shared" si="4"/>
        <v>med054.jpg</v>
      </c>
      <c r="S55" s="8">
        <f t="shared" ca="1" si="5"/>
        <v>5244087438328519</v>
      </c>
      <c r="T55" t="s">
        <v>341</v>
      </c>
      <c r="V55" s="4"/>
      <c r="X55">
        <f ca="1">RANDBETWEEN(2,COUNTA(rua_cod!A:A))</f>
        <v>104</v>
      </c>
      <c r="Y55">
        <f t="shared" ca="1" si="6"/>
        <v>2</v>
      </c>
      <c r="Z55">
        <f t="shared" ca="1" si="7"/>
        <v>2</v>
      </c>
      <c r="AA55">
        <f t="shared" ca="1" si="8"/>
        <v>1959</v>
      </c>
      <c r="AB55">
        <f t="shared" ca="1" si="9"/>
        <v>12</v>
      </c>
      <c r="AC55">
        <f t="shared" ca="1" si="10"/>
        <v>14</v>
      </c>
      <c r="AD55">
        <f t="shared" ca="1" si="11"/>
        <v>61</v>
      </c>
    </row>
    <row r="56" spans="1:30" x14ac:dyDescent="0.25">
      <c r="A56">
        <v>55</v>
      </c>
      <c r="B56" t="str">
        <f t="shared" si="0"/>
        <v>med055</v>
      </c>
      <c r="C56" t="str">
        <f t="shared" si="1"/>
        <v>pswmed055</v>
      </c>
      <c r="D56" t="str">
        <f ca="1">Nomes!T57</f>
        <v>Luís Pedro Leal Brito</v>
      </c>
      <c r="E56" t="str">
        <f ca="1">Nomes!S57</f>
        <v>Masculino</v>
      </c>
      <c r="F56" s="2">
        <v>14541</v>
      </c>
      <c r="G56" t="str" cm="1">
        <f t="array" aca="1" ref="G56" ca="1">INDEX(rua_cod!$F:$F,RANDBETWEEN(2,COUNTA(rua_cod!F:F)))</f>
        <v>Rua do Sacramento à Lapa</v>
      </c>
      <c r="H56" t="str" cm="1">
        <f t="array" aca="1" ref="H56" ca="1">INDEX(rua_cod!$A:$A,Médicos!X56) &amp; "-" &amp; TEXT(RANDBETWEEN(0,999),"000")</f>
        <v>2829-264</v>
      </c>
      <c r="I56" t="str" cm="1">
        <f t="array" aca="1" ref="I56" ca="1">INDEX(rua_cod!$B:$B,Médicos!X56)</f>
        <v>Caparica</v>
      </c>
      <c r="J56" t="s">
        <v>341</v>
      </c>
      <c r="K56" t="s">
        <v>225</v>
      </c>
      <c r="L56" t="s">
        <v>265</v>
      </c>
      <c r="M56" t="str">
        <f t="shared" ca="1" si="2"/>
        <v>55017345</v>
      </c>
      <c r="N56" t="str">
        <f t="shared" ca="1" si="3"/>
        <v>488673920</v>
      </c>
      <c r="O56" t="str">
        <f t="shared" ca="1" si="3"/>
        <v>809006296</v>
      </c>
      <c r="P56" t="str" cm="1">
        <f t="array" aca="1" ref="P56" ca="1">9 &amp; INDEX($AH$3:$AH$6,Y56)&amp; TEXT(RANDBETWEEN(0,9999999),"0000000")</f>
        <v>914965766</v>
      </c>
      <c r="Q56" t="str" cm="1">
        <f t="array" aca="1" ref="Q56" ca="1">LOWER(B56) &amp; INDEX($AH$9:$AH$11,Z56)</f>
        <v>med055@hospital.upskill.com</v>
      </c>
      <c r="R56" t="str">
        <f t="shared" si="4"/>
        <v>med055.jpg</v>
      </c>
      <c r="S56" s="8">
        <f t="shared" ca="1" si="5"/>
        <v>3019222516208274</v>
      </c>
      <c r="T56" t="s">
        <v>341</v>
      </c>
      <c r="V56" s="4"/>
      <c r="X56">
        <f ca="1">RANDBETWEEN(2,COUNTA(rua_cod!A:A))</f>
        <v>19</v>
      </c>
      <c r="Y56">
        <f t="shared" ca="1" si="6"/>
        <v>1</v>
      </c>
      <c r="Z56">
        <f t="shared" ca="1" si="7"/>
        <v>3</v>
      </c>
      <c r="AA56">
        <f t="shared" ca="1" si="8"/>
        <v>1956</v>
      </c>
      <c r="AB56">
        <f t="shared" ca="1" si="9"/>
        <v>2</v>
      </c>
      <c r="AC56">
        <f t="shared" ca="1" si="10"/>
        <v>16</v>
      </c>
      <c r="AD56">
        <f t="shared" ca="1" si="11"/>
        <v>64</v>
      </c>
    </row>
    <row r="57" spans="1:30" x14ac:dyDescent="0.25">
      <c r="A57">
        <v>56</v>
      </c>
      <c r="B57" t="str">
        <f t="shared" si="0"/>
        <v>med056</v>
      </c>
      <c r="C57" t="str">
        <f t="shared" si="1"/>
        <v>pswmed056</v>
      </c>
      <c r="D57" t="str">
        <f ca="1">Nomes!T58</f>
        <v>Rodrigo Marco Alves Amaral</v>
      </c>
      <c r="E57" t="str">
        <f ca="1">Nomes!S58</f>
        <v>Masculino</v>
      </c>
      <c r="F57" s="2">
        <v>10289</v>
      </c>
      <c r="G57" t="str" cm="1">
        <f t="array" aca="1" ref="G57" ca="1">INDEX(rua_cod!$F:$F,RANDBETWEEN(2,COUNTA(rua_cod!F:F)))</f>
        <v>Rua da Betesga</v>
      </c>
      <c r="H57" t="str" cm="1">
        <f t="array" aca="1" ref="H57" ca="1">INDEX(rua_cod!$A:$A,Médicos!X57) &amp; "-" &amp; TEXT(RANDBETWEEN(0,999),"000")</f>
        <v>1350-328</v>
      </c>
      <c r="I57" t="str" cm="1">
        <f t="array" aca="1" ref="I57" ca="1">INDEX(rua_cod!$B:$B,Médicos!X57)</f>
        <v>Lisboa</v>
      </c>
      <c r="J57" t="s">
        <v>341</v>
      </c>
      <c r="K57" t="s">
        <v>225</v>
      </c>
      <c r="L57" t="s">
        <v>265</v>
      </c>
      <c r="M57" t="str">
        <f t="shared" ca="1" si="2"/>
        <v>94143582</v>
      </c>
      <c r="N57" t="str">
        <f t="shared" ca="1" si="3"/>
        <v>731890568</v>
      </c>
      <c r="O57" t="str">
        <f t="shared" ca="1" si="3"/>
        <v>868306584</v>
      </c>
      <c r="P57" t="str" cm="1">
        <f t="array" aca="1" ref="P57" ca="1">9 &amp; INDEX($AH$3:$AH$6,Y57)&amp; TEXT(RANDBETWEEN(0,9999999),"0000000")</f>
        <v>921411882</v>
      </c>
      <c r="Q57" t="str" cm="1">
        <f t="array" aca="1" ref="Q57" ca="1">LOWER(B57) &amp; INDEX($AH$9:$AH$11,Z57)</f>
        <v>med056@hospital.upskill.com</v>
      </c>
      <c r="R57" t="str">
        <f t="shared" si="4"/>
        <v>med056.jpg</v>
      </c>
      <c r="S57" s="8">
        <f t="shared" ca="1" si="5"/>
        <v>6947928435218886</v>
      </c>
      <c r="T57" t="s">
        <v>341</v>
      </c>
      <c r="V57" s="4"/>
      <c r="X57">
        <f ca="1">RANDBETWEEN(2,COUNTA(rua_cod!A:A))</f>
        <v>54</v>
      </c>
      <c r="Y57">
        <f t="shared" ca="1" si="6"/>
        <v>2</v>
      </c>
      <c r="Z57">
        <f t="shared" ca="1" si="7"/>
        <v>3</v>
      </c>
      <c r="AA57">
        <f t="shared" ca="1" si="8"/>
        <v>1992</v>
      </c>
      <c r="AB57">
        <f t="shared" ca="1" si="9"/>
        <v>8</v>
      </c>
      <c r="AC57">
        <f t="shared" ca="1" si="10"/>
        <v>7</v>
      </c>
      <c r="AD57">
        <f t="shared" ca="1" si="11"/>
        <v>28</v>
      </c>
    </row>
    <row r="58" spans="1:30" x14ac:dyDescent="0.25">
      <c r="A58">
        <v>57</v>
      </c>
      <c r="B58" t="str">
        <f t="shared" si="0"/>
        <v>med057</v>
      </c>
      <c r="C58" t="str">
        <f t="shared" si="1"/>
        <v>pswmed057</v>
      </c>
      <c r="D58" t="str">
        <f ca="1">Nomes!T59</f>
        <v>Ricardo José Jesus Monteiro</v>
      </c>
      <c r="E58" t="str">
        <f ca="1">Nomes!S59</f>
        <v>Masculino</v>
      </c>
      <c r="F58" s="2">
        <v>30780</v>
      </c>
      <c r="G58" t="str" cm="1">
        <f t="array" aca="1" ref="G58" ca="1">INDEX(rua_cod!$F:$F,RANDBETWEEN(2,COUNTA(rua_cod!F:F)))</f>
        <v>Calçada do Poço dos Mouros</v>
      </c>
      <c r="H58" t="str" cm="1">
        <f t="array" aca="1" ref="H58" ca="1">INDEX(rua_cod!$A:$A,Médicos!X58) &amp; "-" &amp; TEXT(RANDBETWEEN(0,999),"000")</f>
        <v>2749-698</v>
      </c>
      <c r="I58" t="str" cm="1">
        <f t="array" aca="1" ref="I58" ca="1">INDEX(rua_cod!$B:$B,Médicos!X58)</f>
        <v>Queluz</v>
      </c>
      <c r="J58" t="s">
        <v>341</v>
      </c>
      <c r="K58" t="s">
        <v>225</v>
      </c>
      <c r="L58" t="s">
        <v>265</v>
      </c>
      <c r="M58" t="str">
        <f t="shared" ca="1" si="2"/>
        <v>83145351</v>
      </c>
      <c r="N58" t="str">
        <f t="shared" ca="1" si="3"/>
        <v>657779252</v>
      </c>
      <c r="O58" t="str">
        <f t="shared" ca="1" si="3"/>
        <v>190228498</v>
      </c>
      <c r="P58" t="str" cm="1">
        <f t="array" aca="1" ref="P58" ca="1">9 &amp; INDEX($AH$3:$AH$6,Y58)&amp; TEXT(RANDBETWEEN(0,9999999),"0000000")</f>
        <v>923382638</v>
      </c>
      <c r="Q58" t="str" cm="1">
        <f t="array" aca="1" ref="Q58" ca="1">LOWER(B58) &amp; INDEX($AH$9:$AH$11,Z58)</f>
        <v>med057@hospital.upskill.com</v>
      </c>
      <c r="R58" t="str">
        <f t="shared" si="4"/>
        <v>med057.jpg</v>
      </c>
      <c r="S58" s="8">
        <f t="shared" ca="1" si="5"/>
        <v>4526617677574333</v>
      </c>
      <c r="T58" t="s">
        <v>341</v>
      </c>
      <c r="V58" s="4"/>
      <c r="X58">
        <f ca="1">RANDBETWEEN(2,COUNTA(rua_cod!A:A))</f>
        <v>91</v>
      </c>
      <c r="Y58">
        <f t="shared" ca="1" si="6"/>
        <v>2</v>
      </c>
      <c r="Z58">
        <f t="shared" ca="1" si="7"/>
        <v>1</v>
      </c>
      <c r="AA58">
        <f t="shared" ca="1" si="8"/>
        <v>1969</v>
      </c>
      <c r="AB58">
        <f t="shared" ca="1" si="9"/>
        <v>6</v>
      </c>
      <c r="AC58">
        <f t="shared" ca="1" si="10"/>
        <v>18</v>
      </c>
      <c r="AD58">
        <f t="shared" ca="1" si="11"/>
        <v>51</v>
      </c>
    </row>
    <row r="59" spans="1:30" x14ac:dyDescent="0.25">
      <c r="A59">
        <v>58</v>
      </c>
      <c r="B59" t="str">
        <f t="shared" si="0"/>
        <v>med058</v>
      </c>
      <c r="C59" t="str">
        <f t="shared" si="1"/>
        <v>pswmed058</v>
      </c>
      <c r="D59" t="str">
        <f ca="1">Nomes!T60</f>
        <v>Leonor Diana Santos Sá</v>
      </c>
      <c r="E59" t="str">
        <f ca="1">Nomes!S60</f>
        <v>Feminino</v>
      </c>
      <c r="F59" s="2">
        <v>37531</v>
      </c>
      <c r="G59" t="str" cm="1">
        <f t="array" aca="1" ref="G59" ca="1">INDEX(rua_cod!$F:$F,RANDBETWEEN(2,COUNTA(rua_cod!F:F)))</f>
        <v>Rua Garrett</v>
      </c>
      <c r="H59" t="str" cm="1">
        <f t="array" aca="1" ref="H59" ca="1">INDEX(rua_cod!$A:$A,Médicos!X59) &amp; "-" &amp; TEXT(RANDBETWEEN(0,999),"000")</f>
        <v>1300-327</v>
      </c>
      <c r="I59" t="str" cm="1">
        <f t="array" aca="1" ref="I59" ca="1">INDEX(rua_cod!$B:$B,Médicos!X59)</f>
        <v>Lisboa</v>
      </c>
      <c r="J59" t="s">
        <v>341</v>
      </c>
      <c r="K59" t="s">
        <v>225</v>
      </c>
      <c r="L59" t="s">
        <v>265</v>
      </c>
      <c r="M59" t="str">
        <f t="shared" ca="1" si="2"/>
        <v>70324574</v>
      </c>
      <c r="N59" t="str">
        <f t="shared" ca="1" si="3"/>
        <v>732241617</v>
      </c>
      <c r="O59" t="str">
        <f t="shared" ca="1" si="3"/>
        <v>377130794</v>
      </c>
      <c r="P59" t="str" cm="1">
        <f t="array" aca="1" ref="P59" ca="1">9 &amp; INDEX($AH$3:$AH$6,Y59)&amp; TEXT(RANDBETWEEN(0,9999999),"0000000")</f>
        <v>935656895</v>
      </c>
      <c r="Q59" t="str" cm="1">
        <f t="array" aca="1" ref="Q59" ca="1">LOWER(B59) &amp; INDEX($AH$9:$AH$11,Z59)</f>
        <v>med058@hospital.upskill.com</v>
      </c>
      <c r="R59" t="str">
        <f t="shared" si="4"/>
        <v>med058.jpg</v>
      </c>
      <c r="S59" s="8">
        <f t="shared" ca="1" si="5"/>
        <v>2843435689697344</v>
      </c>
      <c r="T59" t="s">
        <v>341</v>
      </c>
      <c r="V59" s="4"/>
      <c r="X59">
        <f ca="1">RANDBETWEEN(2,COUNTA(rua_cod!A:A))</f>
        <v>58</v>
      </c>
      <c r="Y59">
        <f t="shared" ca="1" si="6"/>
        <v>3</v>
      </c>
      <c r="Z59">
        <f t="shared" ca="1" si="7"/>
        <v>3</v>
      </c>
      <c r="AA59">
        <f t="shared" ca="1" si="8"/>
        <v>1970</v>
      </c>
      <c r="AB59">
        <f t="shared" ca="1" si="9"/>
        <v>1</v>
      </c>
      <c r="AC59">
        <f t="shared" ca="1" si="10"/>
        <v>28</v>
      </c>
      <c r="AD59">
        <f t="shared" ca="1" si="11"/>
        <v>50</v>
      </c>
    </row>
    <row r="60" spans="1:30" x14ac:dyDescent="0.25">
      <c r="A60">
        <v>59</v>
      </c>
      <c r="B60" t="str">
        <f t="shared" si="0"/>
        <v>med059</v>
      </c>
      <c r="C60" t="str">
        <f t="shared" si="1"/>
        <v>pswmed059</v>
      </c>
      <c r="D60" t="str">
        <f ca="1">Nomes!T61</f>
        <v>Sara Ricardo Matias Fonseca</v>
      </c>
      <c r="E60" t="str">
        <f ca="1">Nomes!S61</f>
        <v>Feminino</v>
      </c>
      <c r="F60" s="2">
        <v>43428</v>
      </c>
      <c r="G60" t="str" cm="1">
        <f t="array" aca="1" ref="G60" ca="1">INDEX(rua_cod!$F:$F,RANDBETWEEN(2,COUNTA(rua_cod!F:F)))</f>
        <v>Rua de São Bento</v>
      </c>
      <c r="H60" t="str" cm="1">
        <f t="array" aca="1" ref="H60" ca="1">INDEX(rua_cod!$A:$A,Médicos!X60) &amp; "-" &amp; TEXT(RANDBETWEEN(0,999),"000")</f>
        <v>1000-710</v>
      </c>
      <c r="I60" t="str" cm="1">
        <f t="array" aca="1" ref="I60" ca="1">INDEX(rua_cod!$B:$B,Médicos!X60)</f>
        <v>Lisboa</v>
      </c>
      <c r="J60" t="s">
        <v>341</v>
      </c>
      <c r="K60" t="s">
        <v>225</v>
      </c>
      <c r="L60" t="s">
        <v>265</v>
      </c>
      <c r="M60" t="str">
        <f t="shared" ca="1" si="2"/>
        <v>50398319</v>
      </c>
      <c r="N60" t="str">
        <f t="shared" ca="1" si="3"/>
        <v>816218956</v>
      </c>
      <c r="O60" t="str">
        <f t="shared" ca="1" si="3"/>
        <v>341487673</v>
      </c>
      <c r="P60" t="str" cm="1">
        <f t="array" aca="1" ref="P60" ca="1">9 &amp; INDEX($AH$3:$AH$6,Y60)&amp; TEXT(RANDBETWEEN(0,9999999),"0000000")</f>
        <v>935472505</v>
      </c>
      <c r="Q60" t="str" cm="1">
        <f t="array" aca="1" ref="Q60" ca="1">LOWER(B60) &amp; INDEX($AH$9:$AH$11,Z60)</f>
        <v>med059@hospital.upskill.com</v>
      </c>
      <c r="R60" t="str">
        <f t="shared" si="4"/>
        <v>med059.jpg</v>
      </c>
      <c r="S60" s="8">
        <f t="shared" ca="1" si="5"/>
        <v>2813876458856411</v>
      </c>
      <c r="T60" t="s">
        <v>341</v>
      </c>
      <c r="V60" s="4"/>
      <c r="X60">
        <f ca="1">RANDBETWEEN(2,COUNTA(rua_cod!A:A))</f>
        <v>62</v>
      </c>
      <c r="Y60">
        <f t="shared" ca="1" si="6"/>
        <v>3</v>
      </c>
      <c r="Z60">
        <f t="shared" ca="1" si="7"/>
        <v>3</v>
      </c>
      <c r="AA60">
        <f t="shared" ca="1" si="8"/>
        <v>1989</v>
      </c>
      <c r="AB60">
        <f t="shared" ca="1" si="9"/>
        <v>5</v>
      </c>
      <c r="AC60">
        <f t="shared" ca="1" si="10"/>
        <v>24</v>
      </c>
      <c r="AD60">
        <f t="shared" ca="1" si="11"/>
        <v>31</v>
      </c>
    </row>
    <row r="61" spans="1:30" x14ac:dyDescent="0.25">
      <c r="A61">
        <v>60</v>
      </c>
      <c r="B61" t="str">
        <f t="shared" si="0"/>
        <v>med060</v>
      </c>
      <c r="C61" t="str">
        <f t="shared" si="1"/>
        <v>pswmed060</v>
      </c>
      <c r="D61" t="str">
        <f ca="1">Nomes!T62</f>
        <v>Joaquim Duarte Vicente Faria</v>
      </c>
      <c r="E61" t="str">
        <f ca="1">Nomes!S62</f>
        <v>Masculino</v>
      </c>
      <c r="F61" s="2">
        <v>27744</v>
      </c>
      <c r="G61" t="str" cm="1">
        <f t="array" aca="1" ref="G61" ca="1">INDEX(rua_cod!$F:$F,RANDBETWEEN(2,COUNTA(rua_cod!F:F)))</f>
        <v>Rua do Sol a Santana</v>
      </c>
      <c r="H61" t="str" cm="1">
        <f t="array" aca="1" ref="H61" ca="1">INDEX(rua_cod!$A:$A,Médicos!X61) &amp; "-" &amp; TEXT(RANDBETWEEN(0,999),"000")</f>
        <v>1449-941</v>
      </c>
      <c r="I61" t="str" cm="1">
        <f t="array" aca="1" ref="I61" ca="1">INDEX(rua_cod!$B:$B,Médicos!X61)</f>
        <v>Lisboa</v>
      </c>
      <c r="J61" t="s">
        <v>341</v>
      </c>
      <c r="K61" t="s">
        <v>225</v>
      </c>
      <c r="L61" t="s">
        <v>265</v>
      </c>
      <c r="M61" t="str">
        <f t="shared" ca="1" si="2"/>
        <v>86903776</v>
      </c>
      <c r="N61" t="str">
        <f t="shared" ca="1" si="3"/>
        <v>620754285</v>
      </c>
      <c r="O61" t="str">
        <f t="shared" ca="1" si="3"/>
        <v>365988598</v>
      </c>
      <c r="P61" t="str" cm="1">
        <f t="array" aca="1" ref="P61" ca="1">9 &amp; INDEX($AH$3:$AH$6,Y61)&amp; TEXT(RANDBETWEEN(0,9999999),"0000000")</f>
        <v>918766174</v>
      </c>
      <c r="Q61" t="str" cm="1">
        <f t="array" aca="1" ref="Q61" ca="1">LOWER(B61) &amp; INDEX($AH$9:$AH$11,Z61)</f>
        <v>med060@hospital.upskill.com</v>
      </c>
      <c r="R61" t="str">
        <f t="shared" si="4"/>
        <v>med060.jpg</v>
      </c>
      <c r="S61" s="8">
        <f t="shared" ca="1" si="5"/>
        <v>9235753402547814</v>
      </c>
      <c r="T61" t="s">
        <v>341</v>
      </c>
      <c r="V61" s="4"/>
      <c r="X61">
        <f ca="1">RANDBETWEEN(2,COUNTA(rua_cod!A:A))</f>
        <v>73</v>
      </c>
      <c r="Y61">
        <f t="shared" ca="1" si="6"/>
        <v>1</v>
      </c>
      <c r="Z61">
        <f t="shared" ca="1" si="7"/>
        <v>1</v>
      </c>
      <c r="AA61">
        <f t="shared" ca="1" si="8"/>
        <v>1966</v>
      </c>
      <c r="AB61">
        <f t="shared" ca="1" si="9"/>
        <v>8</v>
      </c>
      <c r="AC61">
        <f t="shared" ca="1" si="10"/>
        <v>26</v>
      </c>
      <c r="AD61">
        <f t="shared" ca="1" si="11"/>
        <v>54</v>
      </c>
    </row>
    <row r="62" spans="1:30" x14ac:dyDescent="0.25">
      <c r="A62">
        <v>61</v>
      </c>
      <c r="B62" t="str">
        <f t="shared" si="0"/>
        <v>med061</v>
      </c>
      <c r="C62" t="str">
        <f t="shared" si="1"/>
        <v>pswmed061</v>
      </c>
      <c r="D62" t="str">
        <f ca="1">Nomes!T63</f>
        <v>Leonor Joana Henriques Neto</v>
      </c>
      <c r="E62" t="str">
        <f ca="1">Nomes!S63</f>
        <v>Feminino</v>
      </c>
      <c r="F62" s="2">
        <v>39695</v>
      </c>
      <c r="G62" t="str" cm="1">
        <f t="array" aca="1" ref="G62" ca="1">INDEX(rua_cod!$F:$F,RANDBETWEEN(2,COUNTA(rua_cod!F:F)))</f>
        <v>Rua do Comércio</v>
      </c>
      <c r="H62" t="str" cm="1">
        <f t="array" aca="1" ref="H62" ca="1">INDEX(rua_cod!$A:$A,Médicos!X62) &amp; "-" &amp; TEXT(RANDBETWEEN(0,999),"000")</f>
        <v>2334-319</v>
      </c>
      <c r="I62" t="str" cm="1">
        <f t="array" aca="1" ref="I62" ca="1">INDEX(rua_cod!$B:$B,Médicos!X62)</f>
        <v>Entroncamento</v>
      </c>
      <c r="J62" t="s">
        <v>341</v>
      </c>
      <c r="K62" t="s">
        <v>225</v>
      </c>
      <c r="L62" t="s">
        <v>265</v>
      </c>
      <c r="M62" t="str">
        <f t="shared" ca="1" si="2"/>
        <v>76236093</v>
      </c>
      <c r="N62" t="str">
        <f t="shared" ca="1" si="3"/>
        <v>399106107</v>
      </c>
      <c r="O62" t="str">
        <f t="shared" ca="1" si="3"/>
        <v>331538043</v>
      </c>
      <c r="P62" t="str" cm="1">
        <f t="array" aca="1" ref="P62" ca="1">9 &amp; INDEX($AH$3:$AH$6,Y62)&amp; TEXT(RANDBETWEEN(0,9999999),"0000000")</f>
        <v>963096522</v>
      </c>
      <c r="Q62" t="str" cm="1">
        <f t="array" aca="1" ref="Q62" ca="1">LOWER(B62) &amp; INDEX($AH$9:$AH$11,Z62)</f>
        <v>med061@hospital.upskill.com</v>
      </c>
      <c r="R62" t="str">
        <f t="shared" si="4"/>
        <v>med061.jpg</v>
      </c>
      <c r="S62" s="8">
        <f t="shared" ca="1" si="5"/>
        <v>2774608300788800</v>
      </c>
      <c r="T62" t="s">
        <v>341</v>
      </c>
      <c r="V62" s="4"/>
      <c r="X62">
        <f ca="1">RANDBETWEEN(2,COUNTA(rua_cod!A:A))</f>
        <v>30</v>
      </c>
      <c r="Y62">
        <f t="shared" ca="1" si="6"/>
        <v>4</v>
      </c>
      <c r="Z62">
        <f t="shared" ca="1" si="7"/>
        <v>1</v>
      </c>
      <c r="AA62">
        <f t="shared" ca="1" si="8"/>
        <v>1975</v>
      </c>
      <c r="AB62">
        <f t="shared" ca="1" si="9"/>
        <v>9</v>
      </c>
      <c r="AC62">
        <f t="shared" ca="1" si="10"/>
        <v>27</v>
      </c>
      <c r="AD62">
        <f t="shared" ca="1" si="11"/>
        <v>45</v>
      </c>
    </row>
    <row r="63" spans="1:30" x14ac:dyDescent="0.25">
      <c r="A63">
        <v>62</v>
      </c>
      <c r="B63" t="str">
        <f t="shared" si="0"/>
        <v>med062</v>
      </c>
      <c r="C63" t="str">
        <f t="shared" si="1"/>
        <v>pswmed062</v>
      </c>
      <c r="D63" t="str">
        <f ca="1">Nomes!T64</f>
        <v>Joaquim Afonso Antunes Moura</v>
      </c>
      <c r="E63" t="str">
        <f ca="1">Nomes!S64</f>
        <v>Masculino</v>
      </c>
      <c r="F63" s="2">
        <v>30630</v>
      </c>
      <c r="G63" t="str" cm="1">
        <f t="array" aca="1" ref="G63" ca="1">INDEX(rua_cod!$F:$F,RANDBETWEEN(2,COUNTA(rua_cod!F:F)))</f>
        <v>Rua dos Bacalhoeiros</v>
      </c>
      <c r="H63" t="str" cm="1">
        <f t="array" aca="1" ref="H63" ca="1">INDEX(rua_cod!$A:$A,Médicos!X63) &amp; "-" &amp; TEXT(RANDBETWEEN(0,999),"000")</f>
        <v>2870-977</v>
      </c>
      <c r="I63" t="str" cm="1">
        <f t="array" aca="1" ref="I63" ca="1">INDEX(rua_cod!$B:$B,Médicos!X63)</f>
        <v>Montijo</v>
      </c>
      <c r="J63" t="s">
        <v>341</v>
      </c>
      <c r="K63" t="s">
        <v>225</v>
      </c>
      <c r="L63" t="s">
        <v>265</v>
      </c>
      <c r="M63" t="str">
        <f t="shared" ca="1" si="2"/>
        <v>83745389</v>
      </c>
      <c r="N63" t="str">
        <f t="shared" ca="1" si="3"/>
        <v>155977748</v>
      </c>
      <c r="O63" t="str">
        <f t="shared" ca="1" si="3"/>
        <v>648749548</v>
      </c>
      <c r="P63" t="str" cm="1">
        <f t="array" aca="1" ref="P63" ca="1">9 &amp; INDEX($AH$3:$AH$6,Y63)&amp; TEXT(RANDBETWEEN(0,9999999),"0000000")</f>
        <v>969011813</v>
      </c>
      <c r="Q63" t="str" cm="1">
        <f t="array" aca="1" ref="Q63" ca="1">LOWER(B63) &amp; INDEX($AH$9:$AH$11,Z63)</f>
        <v>med062@hospital.upskill.com</v>
      </c>
      <c r="R63" t="str">
        <f t="shared" si="4"/>
        <v>med062.jpg</v>
      </c>
      <c r="S63" s="8">
        <f t="shared" ca="1" si="5"/>
        <v>7725131569392801</v>
      </c>
      <c r="T63" t="s">
        <v>341</v>
      </c>
      <c r="V63" s="4"/>
      <c r="X63">
        <f ca="1">RANDBETWEEN(2,COUNTA(rua_cod!A:A))</f>
        <v>87</v>
      </c>
      <c r="Y63">
        <f t="shared" ca="1" si="6"/>
        <v>4</v>
      </c>
      <c r="Z63">
        <f t="shared" ca="1" si="7"/>
        <v>1</v>
      </c>
      <c r="AA63">
        <f t="shared" ca="1" si="8"/>
        <v>1954</v>
      </c>
      <c r="AB63">
        <f t="shared" ca="1" si="9"/>
        <v>3</v>
      </c>
      <c r="AC63">
        <f t="shared" ca="1" si="10"/>
        <v>2</v>
      </c>
      <c r="AD63">
        <f t="shared" ca="1" si="11"/>
        <v>66</v>
      </c>
    </row>
    <row r="64" spans="1:30" x14ac:dyDescent="0.25">
      <c r="A64">
        <v>63</v>
      </c>
      <c r="B64" t="str">
        <f t="shared" si="0"/>
        <v>med063</v>
      </c>
      <c r="C64" t="str">
        <f t="shared" si="1"/>
        <v>pswmed063</v>
      </c>
      <c r="D64" t="str">
        <f ca="1">Nomes!T65</f>
        <v>Joana Carolina Abreu Pinheiro</v>
      </c>
      <c r="E64" t="str">
        <f ca="1">Nomes!S65</f>
        <v>Feminino</v>
      </c>
      <c r="F64" s="2">
        <v>12753</v>
      </c>
      <c r="G64" t="str" cm="1">
        <f t="array" aca="1" ref="G64" ca="1">INDEX(rua_cod!$F:$F,RANDBETWEEN(2,COUNTA(rua_cod!F:F)))</f>
        <v>Rua da Oliveira ao Carmo</v>
      </c>
      <c r="H64" t="str" cm="1">
        <f t="array" aca="1" ref="H64" ca="1">INDEX(rua_cod!$A:$A,Médicos!X64) &amp; "-" &amp; TEXT(RANDBETWEEN(0,999),"000")</f>
        <v>1300-034</v>
      </c>
      <c r="I64" t="str" cm="1">
        <f t="array" aca="1" ref="I64" ca="1">INDEX(rua_cod!$B:$B,Médicos!X64)</f>
        <v>Lisboa</v>
      </c>
      <c r="J64" t="s">
        <v>341</v>
      </c>
      <c r="K64" t="s">
        <v>225</v>
      </c>
      <c r="L64" t="s">
        <v>265</v>
      </c>
      <c r="M64" t="str">
        <f t="shared" ca="1" si="2"/>
        <v>39780918</v>
      </c>
      <c r="N64" t="str">
        <f t="shared" ca="1" si="3"/>
        <v>118596735</v>
      </c>
      <c r="O64" t="str">
        <f t="shared" ca="1" si="3"/>
        <v>181169019</v>
      </c>
      <c r="P64" t="str" cm="1">
        <f t="array" aca="1" ref="P64" ca="1">9 &amp; INDEX($AH$3:$AH$6,Y64)&amp; TEXT(RANDBETWEEN(0,9999999),"0000000")</f>
        <v>934463769</v>
      </c>
      <c r="Q64" t="str" cm="1">
        <f t="array" aca="1" ref="Q64" ca="1">LOWER(B64) &amp; INDEX($AH$9:$AH$11,Z64)</f>
        <v>med063@hospital.upskill.com</v>
      </c>
      <c r="R64" t="str">
        <f t="shared" si="4"/>
        <v>med063.jpg</v>
      </c>
      <c r="S64" s="8">
        <f t="shared" ca="1" si="5"/>
        <v>9856725390990464</v>
      </c>
      <c r="T64" t="s">
        <v>341</v>
      </c>
      <c r="V64" s="4"/>
      <c r="X64">
        <f ca="1">RANDBETWEEN(2,COUNTA(rua_cod!A:A))</f>
        <v>58</v>
      </c>
      <c r="Y64">
        <f t="shared" ca="1" si="6"/>
        <v>3</v>
      </c>
      <c r="Z64">
        <f t="shared" ca="1" si="7"/>
        <v>3</v>
      </c>
      <c r="AA64">
        <f t="shared" ca="1" si="8"/>
        <v>1994</v>
      </c>
      <c r="AB64">
        <f t="shared" ca="1" si="9"/>
        <v>1</v>
      </c>
      <c r="AC64">
        <f t="shared" ca="1" si="10"/>
        <v>23</v>
      </c>
      <c r="AD64">
        <f t="shared" ca="1" si="11"/>
        <v>26</v>
      </c>
    </row>
    <row r="65" spans="1:30" x14ac:dyDescent="0.25">
      <c r="A65">
        <v>64</v>
      </c>
      <c r="B65" t="str">
        <f t="shared" si="0"/>
        <v>med064</v>
      </c>
      <c r="C65" t="str">
        <f t="shared" si="1"/>
        <v>pswmed064</v>
      </c>
      <c r="D65" t="str">
        <f ca="1">Nomes!T66</f>
        <v>Diana Tomás Pinto Campos</v>
      </c>
      <c r="E65" t="str">
        <f ca="1">Nomes!S66</f>
        <v>Feminino</v>
      </c>
      <c r="F65" s="2">
        <v>13063</v>
      </c>
      <c r="G65" t="str" cm="1">
        <f t="array" aca="1" ref="G65" ca="1">INDEX(rua_cod!$F:$F,RANDBETWEEN(2,COUNTA(rua_cod!F:F)))</f>
        <v>Rua dos Heróis de Quionga</v>
      </c>
      <c r="H65" t="str" cm="1">
        <f t="array" aca="1" ref="H65" ca="1">INDEX(rua_cod!$A:$A,Médicos!X65) &amp; "-" &amp; TEXT(RANDBETWEEN(0,999),"000")</f>
        <v>2870-107</v>
      </c>
      <c r="I65" t="str" cm="1">
        <f t="array" aca="1" ref="I65" ca="1">INDEX(rua_cod!$B:$B,Médicos!X65)</f>
        <v>Montijo</v>
      </c>
      <c r="J65" t="s">
        <v>341</v>
      </c>
      <c r="K65" t="s">
        <v>225</v>
      </c>
      <c r="L65" t="s">
        <v>265</v>
      </c>
      <c r="M65" t="str">
        <f t="shared" ca="1" si="2"/>
        <v>28343476</v>
      </c>
      <c r="N65" t="str">
        <f t="shared" ca="1" si="3"/>
        <v>300238959</v>
      </c>
      <c r="O65" t="str">
        <f t="shared" ca="1" si="3"/>
        <v>638298931</v>
      </c>
      <c r="P65" t="str" cm="1">
        <f t="array" aca="1" ref="P65" ca="1">9 &amp; INDEX($AH$3:$AH$6,Y65)&amp; TEXT(RANDBETWEEN(0,9999999),"0000000")</f>
        <v>912147896</v>
      </c>
      <c r="Q65" t="str" cm="1">
        <f t="array" aca="1" ref="Q65" ca="1">LOWER(B65) &amp; INDEX($AH$9:$AH$11,Z65)</f>
        <v>med064@hospital.upskill.com</v>
      </c>
      <c r="R65" t="str">
        <f t="shared" si="4"/>
        <v>med064.jpg</v>
      </c>
      <c r="S65" s="8">
        <f t="shared" ca="1" si="5"/>
        <v>4602710893433167</v>
      </c>
      <c r="T65" t="s">
        <v>341</v>
      </c>
      <c r="V65" s="4"/>
      <c r="X65">
        <f ca="1">RANDBETWEEN(2,COUNTA(rua_cod!A:A))</f>
        <v>87</v>
      </c>
      <c r="Y65">
        <f t="shared" ca="1" si="6"/>
        <v>1</v>
      </c>
      <c r="Z65">
        <f t="shared" ca="1" si="7"/>
        <v>3</v>
      </c>
      <c r="AA65">
        <f t="shared" ca="1" si="8"/>
        <v>1971</v>
      </c>
      <c r="AB65">
        <f t="shared" ca="1" si="9"/>
        <v>8</v>
      </c>
      <c r="AC65">
        <f t="shared" ca="1" si="10"/>
        <v>13</v>
      </c>
      <c r="AD65">
        <f t="shared" ca="1" si="11"/>
        <v>49</v>
      </c>
    </row>
    <row r="66" spans="1:30" x14ac:dyDescent="0.25">
      <c r="A66">
        <v>65</v>
      </c>
      <c r="B66" t="str">
        <f t="shared" si="0"/>
        <v>med065</v>
      </c>
      <c r="C66" t="str">
        <f t="shared" si="1"/>
        <v>pswmed065</v>
      </c>
      <c r="D66" t="str">
        <f ca="1">Nomes!T67</f>
        <v>Daniela Martim Paiva Tavares</v>
      </c>
      <c r="E66" t="str">
        <f ca="1">Nomes!S67</f>
        <v>Feminino</v>
      </c>
      <c r="F66" s="2">
        <v>37114</v>
      </c>
      <c r="G66" t="str" cm="1">
        <f t="array" aca="1" ref="G66" ca="1">INDEX(rua_cod!$F:$F,RANDBETWEEN(2,COUNTA(rua_cod!F:F)))</f>
        <v>Rua General Morais Sarmento</v>
      </c>
      <c r="H66" t="str" cm="1">
        <f t="array" aca="1" ref="H66" ca="1">INDEX(rua_cod!$A:$A,Médicos!X66) &amp; "-" &amp; TEXT(RANDBETWEEN(0,999),"000")</f>
        <v>2825-945</v>
      </c>
      <c r="I66" t="str" cm="1">
        <f t="array" aca="1" ref="I66" ca="1">INDEX(rua_cod!$B:$B,Médicos!X66)</f>
        <v>Caparica</v>
      </c>
      <c r="J66" t="s">
        <v>341</v>
      </c>
      <c r="K66" t="s">
        <v>225</v>
      </c>
      <c r="L66" t="s">
        <v>265</v>
      </c>
      <c r="M66" t="str">
        <f t="shared" ca="1" si="2"/>
        <v>62137654</v>
      </c>
      <c r="N66" t="str">
        <f t="shared" ca="1" si="3"/>
        <v>275537960</v>
      </c>
      <c r="O66" t="str">
        <f t="shared" ca="1" si="3"/>
        <v>849396006</v>
      </c>
      <c r="P66" t="str" cm="1">
        <f t="array" aca="1" ref="P66" ca="1">9 &amp; INDEX($AH$3:$AH$6,Y66)&amp; TEXT(RANDBETWEEN(0,9999999),"0000000")</f>
        <v>924268155</v>
      </c>
      <c r="Q66" t="str" cm="1">
        <f t="array" aca="1" ref="Q66" ca="1">LOWER(B66) &amp; INDEX($AH$9:$AH$11,Z66)</f>
        <v>med065@hospital.upskill.com</v>
      </c>
      <c r="R66" t="str">
        <f t="shared" si="4"/>
        <v>med065.jpg</v>
      </c>
      <c r="S66" s="8">
        <f t="shared" ca="1" si="5"/>
        <v>8763703150003522</v>
      </c>
      <c r="T66" t="s">
        <v>341</v>
      </c>
      <c r="V66" s="4"/>
      <c r="X66">
        <f ca="1">RANDBETWEEN(2,COUNTA(rua_cod!A:A))</f>
        <v>18</v>
      </c>
      <c r="Y66">
        <f t="shared" ca="1" si="6"/>
        <v>2</v>
      </c>
      <c r="Z66">
        <f t="shared" ca="1" si="7"/>
        <v>2</v>
      </c>
      <c r="AA66">
        <f t="shared" ca="1" si="8"/>
        <v>1958</v>
      </c>
      <c r="AB66">
        <f t="shared" ca="1" si="9"/>
        <v>12</v>
      </c>
      <c r="AC66">
        <f t="shared" ca="1" si="10"/>
        <v>13</v>
      </c>
      <c r="AD66">
        <f t="shared" ca="1" si="11"/>
        <v>62</v>
      </c>
    </row>
    <row r="67" spans="1:30" x14ac:dyDescent="0.25">
      <c r="A67">
        <v>66</v>
      </c>
      <c r="B67" t="str">
        <f t="shared" ref="B67:B130" si="12">"med" &amp; TEXT(A67,"000")</f>
        <v>med066</v>
      </c>
      <c r="C67" t="str">
        <f t="shared" ref="C67:C130" si="13">"psw" &amp; B67</f>
        <v>pswmed066</v>
      </c>
      <c r="D67" t="str">
        <f ca="1">Nomes!T68</f>
        <v>Diogo Marco Carneiro Carneiro</v>
      </c>
      <c r="E67" t="str">
        <f ca="1">Nomes!S68</f>
        <v>Masculino</v>
      </c>
      <c r="F67" s="2">
        <v>19832</v>
      </c>
      <c r="G67" t="str" cm="1">
        <f t="array" aca="1" ref="G67" ca="1">INDEX(rua_cod!$F:$F,RANDBETWEEN(2,COUNTA(rua_cod!F:F)))</f>
        <v>Rua do Arsenal</v>
      </c>
      <c r="H67" t="str" cm="1">
        <f t="array" aca="1" ref="H67" ca="1">INDEX(rua_cod!$A:$A,Médicos!X67) &amp; "-" &amp; TEXT(RANDBETWEEN(0,999),"000")</f>
        <v>2749-812</v>
      </c>
      <c r="I67" t="str" cm="1">
        <f t="array" aca="1" ref="I67" ca="1">INDEX(rua_cod!$B:$B,Médicos!X67)</f>
        <v>Queluz</v>
      </c>
      <c r="J67" t="s">
        <v>341</v>
      </c>
      <c r="K67" t="s">
        <v>225</v>
      </c>
      <c r="L67" t="s">
        <v>265</v>
      </c>
      <c r="M67" t="str">
        <f t="shared" ref="M67:M130" ca="1" si="14">TEXT(RANDBETWEEN(10000000,99999999),"00000000")</f>
        <v>98385138</v>
      </c>
      <c r="N67" t="str">
        <f t="shared" ref="N67:O130" ca="1" si="15">TEXT(RANDBETWEEN(100000000,999999999),"000000000")</f>
        <v>188838218</v>
      </c>
      <c r="O67" t="str">
        <f t="shared" ca="1" si="15"/>
        <v>845089557</v>
      </c>
      <c r="P67" t="str" cm="1">
        <f t="array" aca="1" ref="P67" ca="1">9 &amp; INDEX($AH$3:$AH$6,Y67)&amp; TEXT(RANDBETWEEN(0,9999999),"0000000")</f>
        <v>931240714</v>
      </c>
      <c r="Q67" t="str" cm="1">
        <f t="array" aca="1" ref="Q67" ca="1">LOWER(B67) &amp; INDEX($AH$9:$AH$11,Z67)</f>
        <v>med066@hospital.upskill.com</v>
      </c>
      <c r="R67" t="str">
        <f t="shared" ref="R67:R130" si="16">B67 &amp; ".jpg"</f>
        <v>med066.jpg</v>
      </c>
      <c r="S67" s="8">
        <f t="shared" ref="S67:S130" ca="1" si="17" xml:space="preserve"> RANDBETWEEN(1000000000000000,9999999999999990)</f>
        <v>3401858441171809</v>
      </c>
      <c r="T67" t="s">
        <v>341</v>
      </c>
      <c r="V67" s="4"/>
      <c r="X67">
        <f ca="1">RANDBETWEEN(2,COUNTA(rua_cod!A:A))</f>
        <v>91</v>
      </c>
      <c r="Y67">
        <f t="shared" ref="Y67:Y130" ca="1" si="18">RANDBETWEEN(1,4)</f>
        <v>3</v>
      </c>
      <c r="Z67">
        <f t="shared" ref="Z67:Z130" ca="1" si="19">RANDBETWEEN(1,3)</f>
        <v>1</v>
      </c>
      <c r="AA67">
        <f t="shared" ref="AA67:AA130" ca="1" si="20">RANDBETWEEN(1950,1994)</f>
        <v>1973</v>
      </c>
      <c r="AB67">
        <f t="shared" ref="AB67:AB130" ca="1" si="21">RANDBETWEEN(1,12)</f>
        <v>8</v>
      </c>
      <c r="AC67">
        <f t="shared" ref="AC67:AC130" ca="1" si="22">RANDBETWEEN(1,31)</f>
        <v>21</v>
      </c>
      <c r="AD67">
        <f t="shared" ref="AD67:AD130" ca="1" si="23">2020-AA67</f>
        <v>47</v>
      </c>
    </row>
    <row r="68" spans="1:30" x14ac:dyDescent="0.25">
      <c r="A68">
        <v>67</v>
      </c>
      <c r="B68" t="str">
        <f t="shared" si="12"/>
        <v>med067</v>
      </c>
      <c r="C68" t="str">
        <f t="shared" si="13"/>
        <v>pswmed067</v>
      </c>
      <c r="D68" t="str">
        <f ca="1">Nomes!T69</f>
        <v>Marco José Brito Vaz</v>
      </c>
      <c r="E68" t="str">
        <f ca="1">Nomes!S69</f>
        <v>Masculino</v>
      </c>
      <c r="F68" s="2">
        <v>11481</v>
      </c>
      <c r="G68" t="str" cm="1">
        <f t="array" aca="1" ref="G68" ca="1">INDEX(rua_cod!$F:$F,RANDBETWEEN(2,COUNTA(rua_cod!F:F)))</f>
        <v>Rua de São Mamede</v>
      </c>
      <c r="H68" t="str" cm="1">
        <f t="array" aca="1" ref="H68" ca="1">INDEX(rua_cod!$A:$A,Médicos!X68) &amp; "-" &amp; TEXT(RANDBETWEEN(0,999),"000")</f>
        <v>1150-164</v>
      </c>
      <c r="I68" t="str" cm="1">
        <f t="array" aca="1" ref="I68" ca="1">INDEX(rua_cod!$B:$B,Médicos!X68)</f>
        <v>Lisboa</v>
      </c>
      <c r="J68" t="s">
        <v>341</v>
      </c>
      <c r="K68" t="s">
        <v>225</v>
      </c>
      <c r="L68" t="s">
        <v>265</v>
      </c>
      <c r="M68" t="str">
        <f t="shared" ca="1" si="14"/>
        <v>56113907</v>
      </c>
      <c r="N68" t="str">
        <f t="shared" ca="1" si="15"/>
        <v>575724434</v>
      </c>
      <c r="O68" t="str">
        <f t="shared" ca="1" si="15"/>
        <v>991218579</v>
      </c>
      <c r="P68" t="str" cm="1">
        <f t="array" aca="1" ref="P68" ca="1">9 &amp; INDEX($AH$3:$AH$6,Y68)&amp; TEXT(RANDBETWEEN(0,9999999),"0000000")</f>
        <v>969340764</v>
      </c>
      <c r="Q68" t="str" cm="1">
        <f t="array" aca="1" ref="Q68" ca="1">LOWER(B68) &amp; INDEX($AH$9:$AH$11,Z68)</f>
        <v>med067@hospital.upskill.com</v>
      </c>
      <c r="R68" t="str">
        <f t="shared" si="16"/>
        <v>med067.jpg</v>
      </c>
      <c r="S68" s="8">
        <f t="shared" ca="1" si="17"/>
        <v>4008033239873176</v>
      </c>
      <c r="T68" t="s">
        <v>341</v>
      </c>
      <c r="V68" s="4"/>
      <c r="X68">
        <f ca="1">RANDBETWEEN(2,COUNTA(rua_cod!A:A))</f>
        <v>44</v>
      </c>
      <c r="Y68">
        <f t="shared" ca="1" si="18"/>
        <v>4</v>
      </c>
      <c r="Z68">
        <f t="shared" ca="1" si="19"/>
        <v>2</v>
      </c>
      <c r="AA68">
        <f t="shared" ca="1" si="20"/>
        <v>1975</v>
      </c>
      <c r="AB68">
        <f t="shared" ca="1" si="21"/>
        <v>3</v>
      </c>
      <c r="AC68">
        <f t="shared" ca="1" si="22"/>
        <v>25</v>
      </c>
      <c r="AD68">
        <f t="shared" ca="1" si="23"/>
        <v>45</v>
      </c>
    </row>
    <row r="69" spans="1:30" x14ac:dyDescent="0.25">
      <c r="A69">
        <v>68</v>
      </c>
      <c r="B69" t="str">
        <f t="shared" si="12"/>
        <v>med068</v>
      </c>
      <c r="C69" t="str">
        <f t="shared" si="13"/>
        <v>pswmed068</v>
      </c>
      <c r="D69" t="str">
        <f ca="1">Nomes!T70</f>
        <v>Santiago Duarte Carneiro Matos</v>
      </c>
      <c r="E69" t="str">
        <f ca="1">Nomes!S70</f>
        <v>Masculino</v>
      </c>
      <c r="F69" s="2">
        <v>19996</v>
      </c>
      <c r="G69" t="str" cm="1">
        <f t="array" aca="1" ref="G69" ca="1">INDEX(rua_cod!$F:$F,RANDBETWEEN(2,COUNTA(rua_cod!F:F)))</f>
        <v>Estrada da Circunvalação de Lisboa</v>
      </c>
      <c r="H69" t="str" cm="1">
        <f t="array" aca="1" ref="H69" ca="1">INDEX(rua_cod!$A:$A,Médicos!X69) &amp; "-" &amp; TEXT(RANDBETWEEN(0,999),"000")</f>
        <v>2830-742</v>
      </c>
      <c r="I69" t="str" cm="1">
        <f t="array" aca="1" ref="I69" ca="1">INDEX(rua_cod!$B:$B,Médicos!X69)</f>
        <v>Barreiro</v>
      </c>
      <c r="J69" t="s">
        <v>341</v>
      </c>
      <c r="K69" t="s">
        <v>225</v>
      </c>
      <c r="L69" t="s">
        <v>265</v>
      </c>
      <c r="M69" t="str">
        <f t="shared" ca="1" si="14"/>
        <v>98415163</v>
      </c>
      <c r="N69" t="str">
        <f t="shared" ca="1" si="15"/>
        <v>812170388</v>
      </c>
      <c r="O69" t="str">
        <f t="shared" ca="1" si="15"/>
        <v>640401136</v>
      </c>
      <c r="P69" t="str" cm="1">
        <f t="array" aca="1" ref="P69" ca="1">9 &amp; INDEX($AH$3:$AH$6,Y69)&amp; TEXT(RANDBETWEEN(0,9999999),"0000000")</f>
        <v>921321244</v>
      </c>
      <c r="Q69" t="str" cm="1">
        <f t="array" aca="1" ref="Q69" ca="1">LOWER(B69) &amp; INDEX($AH$9:$AH$11,Z69)</f>
        <v>med068@hospital.upskill.com</v>
      </c>
      <c r="R69" t="str">
        <f t="shared" si="16"/>
        <v>med068.jpg</v>
      </c>
      <c r="S69" s="8">
        <f t="shared" ca="1" si="17"/>
        <v>3866535394543963</v>
      </c>
      <c r="T69" t="s">
        <v>341</v>
      </c>
      <c r="V69" s="4"/>
      <c r="X69">
        <f ca="1">RANDBETWEEN(2,COUNTA(rua_cod!A:A))</f>
        <v>16</v>
      </c>
      <c r="Y69">
        <f t="shared" ca="1" si="18"/>
        <v>2</v>
      </c>
      <c r="Z69">
        <f t="shared" ca="1" si="19"/>
        <v>2</v>
      </c>
      <c r="AA69">
        <f t="shared" ca="1" si="20"/>
        <v>1964</v>
      </c>
      <c r="AB69">
        <f t="shared" ca="1" si="21"/>
        <v>9</v>
      </c>
      <c r="AC69">
        <f t="shared" ca="1" si="22"/>
        <v>16</v>
      </c>
      <c r="AD69">
        <f t="shared" ca="1" si="23"/>
        <v>56</v>
      </c>
    </row>
    <row r="70" spans="1:30" x14ac:dyDescent="0.25">
      <c r="A70">
        <v>69</v>
      </c>
      <c r="B70" t="str">
        <f t="shared" si="12"/>
        <v>med069</v>
      </c>
      <c r="C70" t="str">
        <f t="shared" si="13"/>
        <v>pswmed069</v>
      </c>
      <c r="D70" t="str">
        <f ca="1">Nomes!T71</f>
        <v>Mariana Diana Pires Azevedo</v>
      </c>
      <c r="E70" t="str">
        <f ca="1">Nomes!S71</f>
        <v>Feminino</v>
      </c>
      <c r="F70" s="2">
        <v>9739</v>
      </c>
      <c r="G70" t="str" cm="1">
        <f t="array" aca="1" ref="G70" ca="1">INDEX(rua_cod!$F:$F,RANDBETWEEN(2,COUNTA(rua_cod!F:F)))</f>
        <v>Avenida Ressano Garcia</v>
      </c>
      <c r="H70" t="str" cm="1">
        <f t="array" aca="1" ref="H70" ca="1">INDEX(rua_cod!$A:$A,Médicos!X70) &amp; "-" &amp; TEXT(RANDBETWEEN(0,999),"000")</f>
        <v>1068-134</v>
      </c>
      <c r="I70" t="str" cm="1">
        <f t="array" aca="1" ref="I70" ca="1">INDEX(rua_cod!$B:$B,Médicos!X70)</f>
        <v>Lisboa</v>
      </c>
      <c r="J70" t="s">
        <v>341</v>
      </c>
      <c r="K70" t="s">
        <v>225</v>
      </c>
      <c r="L70" t="s">
        <v>265</v>
      </c>
      <c r="M70" t="str">
        <f t="shared" ca="1" si="14"/>
        <v>22443443</v>
      </c>
      <c r="N70" t="str">
        <f t="shared" ca="1" si="15"/>
        <v>317143031</v>
      </c>
      <c r="O70" t="str">
        <f t="shared" ca="1" si="15"/>
        <v>294486330</v>
      </c>
      <c r="P70" t="str" cm="1">
        <f t="array" aca="1" ref="P70" ca="1">9 &amp; INDEX($AH$3:$AH$6,Y70)&amp; TEXT(RANDBETWEEN(0,9999999),"0000000")</f>
        <v>934974604</v>
      </c>
      <c r="Q70" t="str" cm="1">
        <f t="array" aca="1" ref="Q70" ca="1">LOWER(B70) &amp; INDEX($AH$9:$AH$11,Z70)</f>
        <v>med069@hospital.upskill.com</v>
      </c>
      <c r="R70" t="str">
        <f t="shared" si="16"/>
        <v>med069.jpg</v>
      </c>
      <c r="S70" s="8">
        <f t="shared" ca="1" si="17"/>
        <v>9461510348658256</v>
      </c>
      <c r="T70" t="s">
        <v>341</v>
      </c>
      <c r="V70" s="4"/>
      <c r="X70">
        <f ca="1">RANDBETWEEN(2,COUNTA(rua_cod!A:A))</f>
        <v>81</v>
      </c>
      <c r="Y70">
        <f t="shared" ca="1" si="18"/>
        <v>3</v>
      </c>
      <c r="Z70">
        <f t="shared" ca="1" si="19"/>
        <v>1</v>
      </c>
      <c r="AA70">
        <f t="shared" ca="1" si="20"/>
        <v>1964</v>
      </c>
      <c r="AB70">
        <f t="shared" ca="1" si="21"/>
        <v>9</v>
      </c>
      <c r="AC70">
        <f t="shared" ca="1" si="22"/>
        <v>21</v>
      </c>
      <c r="AD70">
        <f t="shared" ca="1" si="23"/>
        <v>56</v>
      </c>
    </row>
    <row r="71" spans="1:30" x14ac:dyDescent="0.25">
      <c r="A71">
        <v>70</v>
      </c>
      <c r="B71" t="str">
        <f t="shared" si="12"/>
        <v>med070</v>
      </c>
      <c r="C71" t="str">
        <f t="shared" si="13"/>
        <v>pswmed070</v>
      </c>
      <c r="D71" t="str">
        <f ca="1">Nomes!T72</f>
        <v>Joana Catarina Alves Reis</v>
      </c>
      <c r="E71" t="str">
        <f ca="1">Nomes!S72</f>
        <v>Feminino</v>
      </c>
      <c r="F71" s="2">
        <v>19419</v>
      </c>
      <c r="G71" t="str" cm="1">
        <f t="array" aca="1" ref="G71" ca="1">INDEX(rua_cod!$F:$F,RANDBETWEEN(2,COUNTA(rua_cod!F:F)))</f>
        <v>Rua do Sacramento à Lapa</v>
      </c>
      <c r="H71" t="str" cm="1">
        <f t="array" aca="1" ref="H71" ca="1">INDEX(rua_cod!$A:$A,Médicos!X71) &amp; "-" &amp; TEXT(RANDBETWEEN(0,999),"000")</f>
        <v>2829-185</v>
      </c>
      <c r="I71" t="str" cm="1">
        <f t="array" aca="1" ref="I71" ca="1">INDEX(rua_cod!$B:$B,Médicos!X71)</f>
        <v>Costa de Caparica</v>
      </c>
      <c r="J71" t="s">
        <v>341</v>
      </c>
      <c r="K71" t="s">
        <v>225</v>
      </c>
      <c r="L71" t="s">
        <v>265</v>
      </c>
      <c r="M71" t="str">
        <f t="shared" ca="1" si="14"/>
        <v>65491783</v>
      </c>
      <c r="N71" t="str">
        <f t="shared" ca="1" si="15"/>
        <v>605487547</v>
      </c>
      <c r="O71" t="str">
        <f t="shared" ca="1" si="15"/>
        <v>400308005</v>
      </c>
      <c r="P71" t="str" cm="1">
        <f t="array" aca="1" ref="P71" ca="1">9 &amp; INDEX($AH$3:$AH$6,Y71)&amp; TEXT(RANDBETWEEN(0,9999999),"0000000")</f>
        <v>937149848</v>
      </c>
      <c r="Q71" t="str" cm="1">
        <f t="array" aca="1" ref="Q71" ca="1">LOWER(B71) &amp; INDEX($AH$9:$AH$11,Z71)</f>
        <v>med070@hospital.upskill.com</v>
      </c>
      <c r="R71" t="str">
        <f t="shared" si="16"/>
        <v>med070.jpg</v>
      </c>
      <c r="S71" s="8">
        <f t="shared" ca="1" si="17"/>
        <v>6704250250758912</v>
      </c>
      <c r="T71" t="s">
        <v>341</v>
      </c>
      <c r="V71" s="4"/>
      <c r="X71">
        <f ca="1">RANDBETWEEN(2,COUNTA(rua_cod!A:A))</f>
        <v>28</v>
      </c>
      <c r="Y71">
        <f t="shared" ca="1" si="18"/>
        <v>3</v>
      </c>
      <c r="Z71">
        <f t="shared" ca="1" si="19"/>
        <v>1</v>
      </c>
      <c r="AA71">
        <f t="shared" ca="1" si="20"/>
        <v>1951</v>
      </c>
      <c r="AB71">
        <f t="shared" ca="1" si="21"/>
        <v>4</v>
      </c>
      <c r="AC71">
        <f t="shared" ca="1" si="22"/>
        <v>1</v>
      </c>
      <c r="AD71">
        <f t="shared" ca="1" si="23"/>
        <v>69</v>
      </c>
    </row>
    <row r="72" spans="1:30" x14ac:dyDescent="0.25">
      <c r="A72">
        <v>71</v>
      </c>
      <c r="B72" t="str">
        <f t="shared" si="12"/>
        <v>med071</v>
      </c>
      <c r="C72" t="str">
        <f t="shared" si="13"/>
        <v>pswmed071</v>
      </c>
      <c r="D72" t="str">
        <f ca="1">Nomes!T73</f>
        <v>Martim José Castro Silva</v>
      </c>
      <c r="E72" t="str">
        <f ca="1">Nomes!S73</f>
        <v>Masculino</v>
      </c>
      <c r="F72" s="2">
        <v>36001</v>
      </c>
      <c r="G72" t="str" cm="1">
        <f t="array" aca="1" ref="G72" ca="1">INDEX(rua_cod!$F:$F,RANDBETWEEN(2,COUNTA(rua_cod!F:F)))</f>
        <v>Rua de São Mamede</v>
      </c>
      <c r="H72" t="str" cm="1">
        <f t="array" aca="1" ref="H72" ca="1">INDEX(rua_cod!$A:$A,Médicos!X72) &amp; "-" &amp; TEXT(RANDBETWEEN(0,999),"000")</f>
        <v>2000-457</v>
      </c>
      <c r="I72" t="str" cm="1">
        <f t="array" aca="1" ref="I72" ca="1">INDEX(rua_cod!$B:$B,Médicos!X72)</f>
        <v>Santarém</v>
      </c>
      <c r="J72" t="s">
        <v>341</v>
      </c>
      <c r="K72" t="s">
        <v>225</v>
      </c>
      <c r="L72" t="s">
        <v>265</v>
      </c>
      <c r="M72" t="str">
        <f t="shared" ca="1" si="14"/>
        <v>95103165</v>
      </c>
      <c r="N72" t="str">
        <f t="shared" ca="1" si="15"/>
        <v>457382930</v>
      </c>
      <c r="O72" t="str">
        <f t="shared" ca="1" si="15"/>
        <v>632280733</v>
      </c>
      <c r="P72" t="str" cm="1">
        <f t="array" aca="1" ref="P72" ca="1">9 &amp; INDEX($AH$3:$AH$6,Y72)&amp; TEXT(RANDBETWEEN(0,9999999),"0000000")</f>
        <v>914636498</v>
      </c>
      <c r="Q72" t="str" cm="1">
        <f t="array" aca="1" ref="Q72" ca="1">LOWER(B72) &amp; INDEX($AH$9:$AH$11,Z72)</f>
        <v>med071@hospital.upskill.com</v>
      </c>
      <c r="R72" t="str">
        <f t="shared" si="16"/>
        <v>med071.jpg</v>
      </c>
      <c r="S72" s="8">
        <f t="shared" ca="1" si="17"/>
        <v>6437459306931353</v>
      </c>
      <c r="T72" t="s">
        <v>341</v>
      </c>
      <c r="V72" s="4"/>
      <c r="X72">
        <f ca="1">RANDBETWEEN(2,COUNTA(rua_cod!A:A))</f>
        <v>93</v>
      </c>
      <c r="Y72">
        <f t="shared" ca="1" si="18"/>
        <v>1</v>
      </c>
      <c r="Z72">
        <f t="shared" ca="1" si="19"/>
        <v>1</v>
      </c>
      <c r="AA72">
        <f t="shared" ca="1" si="20"/>
        <v>1953</v>
      </c>
      <c r="AB72">
        <f t="shared" ca="1" si="21"/>
        <v>10</v>
      </c>
      <c r="AC72">
        <f t="shared" ca="1" si="22"/>
        <v>31</v>
      </c>
      <c r="AD72">
        <f t="shared" ca="1" si="23"/>
        <v>67</v>
      </c>
    </row>
    <row r="73" spans="1:30" x14ac:dyDescent="0.25">
      <c r="A73">
        <v>72</v>
      </c>
      <c r="B73" t="str">
        <f t="shared" si="12"/>
        <v>med072</v>
      </c>
      <c r="C73" t="str">
        <f t="shared" si="13"/>
        <v>pswmed072</v>
      </c>
      <c r="D73" t="str">
        <f ca="1">Nomes!T74</f>
        <v>Vera Maria Abreu Melo</v>
      </c>
      <c r="E73" t="str">
        <f ca="1">Nomes!S74</f>
        <v>Feminino</v>
      </c>
      <c r="F73" s="2">
        <v>42853</v>
      </c>
      <c r="G73" t="str" cm="1">
        <f t="array" aca="1" ref="G73" ca="1">INDEX(rua_cod!$F:$F,RANDBETWEEN(2,COUNTA(rua_cod!F:F)))</f>
        <v>Rua dos Bacalhoeiros</v>
      </c>
      <c r="H73" t="str" cm="1">
        <f t="array" aca="1" ref="H73" ca="1">INDEX(rua_cod!$A:$A,Médicos!X73) &amp; "-" &amp; TEXT(RANDBETWEEN(0,999),"000")</f>
        <v>1750-766</v>
      </c>
      <c r="I73" t="str" cm="1">
        <f t="array" aca="1" ref="I73" ca="1">INDEX(rua_cod!$B:$B,Médicos!X73)</f>
        <v>Lisboa</v>
      </c>
      <c r="J73" t="s">
        <v>341</v>
      </c>
      <c r="K73" t="s">
        <v>225</v>
      </c>
      <c r="L73" t="s">
        <v>265</v>
      </c>
      <c r="M73" t="str">
        <f t="shared" ca="1" si="14"/>
        <v>14760924</v>
      </c>
      <c r="N73" t="str">
        <f t="shared" ca="1" si="15"/>
        <v>845763457</v>
      </c>
      <c r="O73" t="str">
        <f t="shared" ca="1" si="15"/>
        <v>296687567</v>
      </c>
      <c r="P73" t="str" cm="1">
        <f t="array" aca="1" ref="P73" ca="1">9 &amp; INDEX($AH$3:$AH$6,Y73)&amp; TEXT(RANDBETWEEN(0,9999999),"0000000")</f>
        <v>910128765</v>
      </c>
      <c r="Q73" t="str" cm="1">
        <f t="array" aca="1" ref="Q73" ca="1">LOWER(B73) &amp; INDEX($AH$9:$AH$11,Z73)</f>
        <v>med072@hospital.upskill.com</v>
      </c>
      <c r="R73" t="str">
        <f t="shared" si="16"/>
        <v>med072.jpg</v>
      </c>
      <c r="S73" s="8">
        <f t="shared" ca="1" si="17"/>
        <v>3026694170697031</v>
      </c>
      <c r="T73" t="s">
        <v>341</v>
      </c>
      <c r="V73" s="4"/>
      <c r="X73">
        <f ca="1">RANDBETWEEN(2,COUNTA(rua_cod!A:A))</f>
        <v>49</v>
      </c>
      <c r="Y73">
        <f t="shared" ca="1" si="18"/>
        <v>1</v>
      </c>
      <c r="Z73">
        <f t="shared" ca="1" si="19"/>
        <v>2</v>
      </c>
      <c r="AA73">
        <f t="shared" ca="1" si="20"/>
        <v>1993</v>
      </c>
      <c r="AB73">
        <f t="shared" ca="1" si="21"/>
        <v>3</v>
      </c>
      <c r="AC73">
        <f t="shared" ca="1" si="22"/>
        <v>25</v>
      </c>
      <c r="AD73">
        <f t="shared" ca="1" si="23"/>
        <v>27</v>
      </c>
    </row>
    <row r="74" spans="1:30" x14ac:dyDescent="0.25">
      <c r="A74">
        <v>73</v>
      </c>
      <c r="B74" t="str">
        <f t="shared" si="12"/>
        <v>med073</v>
      </c>
      <c r="C74" t="str">
        <f t="shared" si="13"/>
        <v>pswmed073</v>
      </c>
      <c r="D74" t="str">
        <f ca="1">Nomes!T75</f>
        <v>Vera Lurdes Machado Martins</v>
      </c>
      <c r="E74" t="str">
        <f ca="1">Nomes!S75</f>
        <v>Feminino</v>
      </c>
      <c r="F74" s="2">
        <v>38941</v>
      </c>
      <c r="G74" t="str" cm="1">
        <f t="array" aca="1" ref="G74" ca="1">INDEX(rua_cod!$F:$F,RANDBETWEEN(2,COUNTA(rua_cod!F:F)))</f>
        <v>Rua Ferreira Lapa</v>
      </c>
      <c r="H74" t="str" cm="1">
        <f t="array" aca="1" ref="H74" ca="1">INDEX(rua_cod!$A:$A,Médicos!X74) &amp; "-" &amp; TEXT(RANDBETWEEN(0,999),"000")</f>
        <v>2005-527</v>
      </c>
      <c r="I74" t="str" cm="1">
        <f t="array" aca="1" ref="I74" ca="1">INDEX(rua_cod!$B:$B,Médicos!X74)</f>
        <v>Santarém</v>
      </c>
      <c r="J74" t="s">
        <v>341</v>
      </c>
      <c r="K74" t="s">
        <v>225</v>
      </c>
      <c r="L74" t="s">
        <v>265</v>
      </c>
      <c r="M74" t="str">
        <f t="shared" ca="1" si="14"/>
        <v>24309525</v>
      </c>
      <c r="N74" t="str">
        <f t="shared" ca="1" si="15"/>
        <v>281110945</v>
      </c>
      <c r="O74" t="str">
        <f t="shared" ca="1" si="15"/>
        <v>572106795</v>
      </c>
      <c r="P74" t="str" cm="1">
        <f t="array" aca="1" ref="P74" ca="1">9 &amp; INDEX($AH$3:$AH$6,Y74)&amp; TEXT(RANDBETWEEN(0,9999999),"0000000")</f>
        <v>913473354</v>
      </c>
      <c r="Q74" t="str" cm="1">
        <f t="array" aca="1" ref="Q74" ca="1">LOWER(B74) &amp; INDEX($AH$9:$AH$11,Z74)</f>
        <v>med073@hospital.upskill.com</v>
      </c>
      <c r="R74" t="str">
        <f t="shared" si="16"/>
        <v>med073.jpg</v>
      </c>
      <c r="S74" s="8">
        <f t="shared" ca="1" si="17"/>
        <v>4268588248896830</v>
      </c>
      <c r="T74" t="s">
        <v>341</v>
      </c>
      <c r="V74" s="4"/>
      <c r="X74">
        <f ca="1">RANDBETWEEN(2,COUNTA(rua_cod!A:A))</f>
        <v>92</v>
      </c>
      <c r="Y74">
        <f t="shared" ca="1" si="18"/>
        <v>1</v>
      </c>
      <c r="Z74">
        <f t="shared" ca="1" si="19"/>
        <v>2</v>
      </c>
      <c r="AA74">
        <f t="shared" ca="1" si="20"/>
        <v>1963</v>
      </c>
      <c r="AB74">
        <f t="shared" ca="1" si="21"/>
        <v>10</v>
      </c>
      <c r="AC74">
        <f t="shared" ca="1" si="22"/>
        <v>8</v>
      </c>
      <c r="AD74">
        <f t="shared" ca="1" si="23"/>
        <v>57</v>
      </c>
    </row>
    <row r="75" spans="1:30" x14ac:dyDescent="0.25">
      <c r="A75">
        <v>74</v>
      </c>
      <c r="B75" t="str">
        <f t="shared" si="12"/>
        <v>med074</v>
      </c>
      <c r="C75" t="str">
        <f t="shared" si="13"/>
        <v>pswmed074</v>
      </c>
      <c r="D75" t="str">
        <f ca="1">Nomes!T76</f>
        <v>Mariana Sofia Monteiro Gaspar</v>
      </c>
      <c r="E75" t="str">
        <f ca="1">Nomes!S76</f>
        <v>Feminino</v>
      </c>
      <c r="F75" s="2">
        <v>19821</v>
      </c>
      <c r="G75" t="str" cm="1">
        <f t="array" aca="1" ref="G75" ca="1">INDEX(rua_cod!$F:$F,RANDBETWEEN(2,COUNTA(rua_cod!F:F)))</f>
        <v>Rua dos Fanqueiros</v>
      </c>
      <c r="H75" t="str" cm="1">
        <f t="array" aca="1" ref="H75" ca="1">INDEX(rua_cod!$A:$A,Médicos!X75) &amp; "-" &amp; TEXT(RANDBETWEEN(0,999),"000")</f>
        <v>1250-766</v>
      </c>
      <c r="I75" t="str" cm="1">
        <f t="array" aca="1" ref="I75" ca="1">INDEX(rua_cod!$B:$B,Médicos!X75)</f>
        <v>Lisboa</v>
      </c>
      <c r="J75" t="s">
        <v>341</v>
      </c>
      <c r="K75" t="s">
        <v>225</v>
      </c>
      <c r="L75" t="s">
        <v>265</v>
      </c>
      <c r="M75" t="str">
        <f t="shared" ca="1" si="14"/>
        <v>90574007</v>
      </c>
      <c r="N75" t="str">
        <f t="shared" ca="1" si="15"/>
        <v>252155935</v>
      </c>
      <c r="O75" t="str">
        <f t="shared" ca="1" si="15"/>
        <v>152708140</v>
      </c>
      <c r="P75" t="str" cm="1">
        <f t="array" aca="1" ref="P75" ca="1">9 &amp; INDEX($AH$3:$AH$6,Y75)&amp; TEXT(RANDBETWEEN(0,9999999),"0000000")</f>
        <v>913936261</v>
      </c>
      <c r="Q75" t="str" cm="1">
        <f t="array" aca="1" ref="Q75" ca="1">LOWER(B75) &amp; INDEX($AH$9:$AH$11,Z75)</f>
        <v>med074@hospital.upskill.com</v>
      </c>
      <c r="R75" t="str">
        <f t="shared" si="16"/>
        <v>med074.jpg</v>
      </c>
      <c r="S75" s="8">
        <f t="shared" ca="1" si="17"/>
        <v>4874705585865703</v>
      </c>
      <c r="T75" t="s">
        <v>341</v>
      </c>
      <c r="V75" s="4"/>
      <c r="X75">
        <f ca="1">RANDBETWEEN(2,COUNTA(rua_cod!A:A))</f>
        <v>50</v>
      </c>
      <c r="Y75">
        <f t="shared" ca="1" si="18"/>
        <v>1</v>
      </c>
      <c r="Z75">
        <f t="shared" ca="1" si="19"/>
        <v>2</v>
      </c>
      <c r="AA75">
        <f t="shared" ca="1" si="20"/>
        <v>1956</v>
      </c>
      <c r="AB75">
        <f t="shared" ca="1" si="21"/>
        <v>3</v>
      </c>
      <c r="AC75">
        <f t="shared" ca="1" si="22"/>
        <v>2</v>
      </c>
      <c r="AD75">
        <f t="shared" ca="1" si="23"/>
        <v>64</v>
      </c>
    </row>
    <row r="76" spans="1:30" x14ac:dyDescent="0.25">
      <c r="A76">
        <v>75</v>
      </c>
      <c r="B76" t="str">
        <f t="shared" si="12"/>
        <v>med075</v>
      </c>
      <c r="C76" t="str">
        <f t="shared" si="13"/>
        <v>pswmed075</v>
      </c>
      <c r="D76" t="str">
        <f ca="1">Nomes!T77</f>
        <v>Luís Ana Brito Matos</v>
      </c>
      <c r="E76" t="str">
        <f ca="1">Nomes!S77</f>
        <v>Masculino</v>
      </c>
      <c r="F76" s="2">
        <v>41522</v>
      </c>
      <c r="G76" t="str" cm="1">
        <f t="array" aca="1" ref="G76" ca="1">INDEX(rua_cod!$F:$F,RANDBETWEEN(2,COUNTA(rua_cod!F:F)))</f>
        <v>Rua dos Fanqueiros</v>
      </c>
      <c r="H76" t="str" cm="1">
        <f t="array" aca="1" ref="H76" ca="1">INDEX(rua_cod!$A:$A,Médicos!X76) &amp; "-" &amp; TEXT(RANDBETWEEN(0,999),"000")</f>
        <v>2644-868</v>
      </c>
      <c r="I76" t="str" cm="1">
        <f t="array" aca="1" ref="I76" ca="1">INDEX(rua_cod!$B:$B,Médicos!X76)</f>
        <v>Mafra</v>
      </c>
      <c r="J76" t="s">
        <v>341</v>
      </c>
      <c r="K76" t="s">
        <v>225</v>
      </c>
      <c r="L76" t="s">
        <v>265</v>
      </c>
      <c r="M76" t="str">
        <f t="shared" ca="1" si="14"/>
        <v>42477872</v>
      </c>
      <c r="N76" t="str">
        <f t="shared" ca="1" si="15"/>
        <v>370782973</v>
      </c>
      <c r="O76" t="str">
        <f t="shared" ca="1" si="15"/>
        <v>995632550</v>
      </c>
      <c r="P76" t="str" cm="1">
        <f t="array" aca="1" ref="P76" ca="1">9 &amp; INDEX($AH$3:$AH$6,Y76)&amp; TEXT(RANDBETWEEN(0,9999999),"0000000")</f>
        <v>923296747</v>
      </c>
      <c r="Q76" t="str" cm="1">
        <f t="array" aca="1" ref="Q76" ca="1">LOWER(B76) &amp; INDEX($AH$9:$AH$11,Z76)</f>
        <v>med075@hospital.upskill.com</v>
      </c>
      <c r="R76" t="str">
        <f t="shared" si="16"/>
        <v>med075.jpg</v>
      </c>
      <c r="S76" s="8">
        <f t="shared" ca="1" si="17"/>
        <v>8287780289471419</v>
      </c>
      <c r="T76" t="s">
        <v>341</v>
      </c>
      <c r="V76" s="4"/>
      <c r="X76">
        <f ca="1">RANDBETWEEN(2,COUNTA(rua_cod!A:A))</f>
        <v>86</v>
      </c>
      <c r="Y76">
        <f t="shared" ca="1" si="18"/>
        <v>2</v>
      </c>
      <c r="Z76">
        <f t="shared" ca="1" si="19"/>
        <v>1</v>
      </c>
      <c r="AA76">
        <f t="shared" ca="1" si="20"/>
        <v>1960</v>
      </c>
      <c r="AB76">
        <f t="shared" ca="1" si="21"/>
        <v>8</v>
      </c>
      <c r="AC76">
        <f t="shared" ca="1" si="22"/>
        <v>2</v>
      </c>
      <c r="AD76">
        <f t="shared" ca="1" si="23"/>
        <v>60</v>
      </c>
    </row>
    <row r="77" spans="1:30" x14ac:dyDescent="0.25">
      <c r="A77">
        <v>76</v>
      </c>
      <c r="B77" t="str">
        <f t="shared" si="12"/>
        <v>med076</v>
      </c>
      <c r="C77" t="str">
        <f t="shared" si="13"/>
        <v>pswmed076</v>
      </c>
      <c r="D77" t="str">
        <f ca="1">Nomes!T78</f>
        <v>Sara Tomás Araújo Barbosa</v>
      </c>
      <c r="E77" t="str">
        <f ca="1">Nomes!S78</f>
        <v>Feminino</v>
      </c>
      <c r="F77" s="2">
        <v>24620</v>
      </c>
      <c r="G77" t="str" cm="1">
        <f t="array" aca="1" ref="G77" ca="1">INDEX(rua_cod!$F:$F,RANDBETWEEN(2,COUNTA(rua_cod!F:F)))</f>
        <v>Avenida Ressano Garcia</v>
      </c>
      <c r="H77" t="str" cm="1">
        <f t="array" aca="1" ref="H77" ca="1">INDEX(rua_cod!$A:$A,Médicos!X77) &amp; "-" &amp; TEXT(RANDBETWEEN(0,999),"000")</f>
        <v>3000-938</v>
      </c>
      <c r="I77" t="str" cm="1">
        <f t="array" aca="1" ref="I77" ca="1">INDEX(rua_cod!$B:$B,Médicos!X77)</f>
        <v>Coimbra</v>
      </c>
      <c r="J77" t="s">
        <v>341</v>
      </c>
      <c r="K77" t="s">
        <v>225</v>
      </c>
      <c r="L77" t="s">
        <v>265</v>
      </c>
      <c r="M77" t="str">
        <f t="shared" ca="1" si="14"/>
        <v>12929167</v>
      </c>
      <c r="N77" t="str">
        <f t="shared" ca="1" si="15"/>
        <v>553000064</v>
      </c>
      <c r="O77" t="str">
        <f t="shared" ca="1" si="15"/>
        <v>358667133</v>
      </c>
      <c r="P77" t="str" cm="1">
        <f t="array" aca="1" ref="P77" ca="1">9 &amp; INDEX($AH$3:$AH$6,Y77)&amp; TEXT(RANDBETWEEN(0,9999999),"0000000")</f>
        <v>913747666</v>
      </c>
      <c r="Q77" t="str" cm="1">
        <f t="array" aca="1" ref="Q77" ca="1">LOWER(B77) &amp; INDEX($AH$9:$AH$11,Z77)</f>
        <v>med076@hospital.upskill.com</v>
      </c>
      <c r="R77" t="str">
        <f t="shared" si="16"/>
        <v>med076.jpg</v>
      </c>
      <c r="S77" s="8">
        <f t="shared" ca="1" si="17"/>
        <v>7015822490417231</v>
      </c>
      <c r="T77" t="s">
        <v>341</v>
      </c>
      <c r="V77" s="4"/>
      <c r="X77">
        <f ca="1">RANDBETWEEN(2,COUNTA(rua_cod!A:A))</f>
        <v>26</v>
      </c>
      <c r="Y77">
        <f t="shared" ca="1" si="18"/>
        <v>1</v>
      </c>
      <c r="Z77">
        <f t="shared" ca="1" si="19"/>
        <v>2</v>
      </c>
      <c r="AA77">
        <f t="shared" ca="1" si="20"/>
        <v>1980</v>
      </c>
      <c r="AB77">
        <f t="shared" ca="1" si="21"/>
        <v>3</v>
      </c>
      <c r="AC77">
        <f t="shared" ca="1" si="22"/>
        <v>2</v>
      </c>
      <c r="AD77">
        <f t="shared" ca="1" si="23"/>
        <v>40</v>
      </c>
    </row>
    <row r="78" spans="1:30" x14ac:dyDescent="0.25">
      <c r="A78">
        <v>77</v>
      </c>
      <c r="B78" t="str">
        <f t="shared" si="12"/>
        <v>med077</v>
      </c>
      <c r="C78" t="str">
        <f t="shared" si="13"/>
        <v>pswmed077</v>
      </c>
      <c r="D78" t="str">
        <f ca="1">Nomes!T79</f>
        <v>Lurdes Beatriz Carvalho Andrade</v>
      </c>
      <c r="E78" t="str">
        <f ca="1">Nomes!S79</f>
        <v>Feminino</v>
      </c>
      <c r="F78" s="2">
        <v>24983</v>
      </c>
      <c r="G78" t="str" cm="1">
        <f t="array" aca="1" ref="G78" ca="1">INDEX(rua_cod!$F:$F,RANDBETWEEN(2,COUNTA(rua_cod!F:F)))</f>
        <v>Rua General Morais Sarmento</v>
      </c>
      <c r="H78" t="str" cm="1">
        <f t="array" aca="1" ref="H78" ca="1">INDEX(rua_cod!$A:$A,Médicos!X78) &amp; "-" &amp; TEXT(RANDBETWEEN(0,999),"000")</f>
        <v>1449-590</v>
      </c>
      <c r="I78" t="str" cm="1">
        <f t="array" aca="1" ref="I78" ca="1">INDEX(rua_cod!$B:$B,Médicos!X78)</f>
        <v>Lisboa</v>
      </c>
      <c r="J78" t="s">
        <v>341</v>
      </c>
      <c r="K78" t="s">
        <v>225</v>
      </c>
      <c r="L78" t="s">
        <v>265</v>
      </c>
      <c r="M78" t="str">
        <f t="shared" ca="1" si="14"/>
        <v>90679566</v>
      </c>
      <c r="N78" t="str">
        <f t="shared" ca="1" si="15"/>
        <v>547724623</v>
      </c>
      <c r="O78" t="str">
        <f t="shared" ca="1" si="15"/>
        <v>514831973</v>
      </c>
      <c r="P78" t="str" cm="1">
        <f t="array" aca="1" ref="P78" ca="1">9 &amp; INDEX($AH$3:$AH$6,Y78)&amp; TEXT(RANDBETWEEN(0,9999999),"0000000")</f>
        <v>937869544</v>
      </c>
      <c r="Q78" t="str" cm="1">
        <f t="array" aca="1" ref="Q78" ca="1">LOWER(B78) &amp; INDEX($AH$9:$AH$11,Z78)</f>
        <v>med077@hospital.upskill.com</v>
      </c>
      <c r="R78" t="str">
        <f t="shared" si="16"/>
        <v>med077.jpg</v>
      </c>
      <c r="S78" s="8">
        <f t="shared" ca="1" si="17"/>
        <v>2157005660804922</v>
      </c>
      <c r="T78" t="s">
        <v>341</v>
      </c>
      <c r="V78" s="4"/>
      <c r="X78">
        <f ca="1">RANDBETWEEN(2,COUNTA(rua_cod!A:A))</f>
        <v>73</v>
      </c>
      <c r="Y78">
        <f t="shared" ca="1" si="18"/>
        <v>3</v>
      </c>
      <c r="Z78">
        <f t="shared" ca="1" si="19"/>
        <v>1</v>
      </c>
      <c r="AA78">
        <f t="shared" ca="1" si="20"/>
        <v>1972</v>
      </c>
      <c r="AB78">
        <f t="shared" ca="1" si="21"/>
        <v>7</v>
      </c>
      <c r="AC78">
        <f t="shared" ca="1" si="22"/>
        <v>20</v>
      </c>
      <c r="AD78">
        <f t="shared" ca="1" si="23"/>
        <v>48</v>
      </c>
    </row>
    <row r="79" spans="1:30" x14ac:dyDescent="0.25">
      <c r="A79">
        <v>78</v>
      </c>
      <c r="B79" t="str">
        <f t="shared" si="12"/>
        <v>med078</v>
      </c>
      <c r="C79" t="str">
        <f t="shared" si="13"/>
        <v>pswmed078</v>
      </c>
      <c r="D79" t="str">
        <f ca="1">Nomes!T80</f>
        <v>Afonso Catarina Nascimento Borges</v>
      </c>
      <c r="E79" t="str">
        <f ca="1">Nomes!S80</f>
        <v>Masculino</v>
      </c>
      <c r="F79" s="2">
        <v>28641</v>
      </c>
      <c r="G79" t="str" cm="1">
        <f t="array" aca="1" ref="G79" ca="1">INDEX(rua_cod!$F:$F,RANDBETWEEN(2,COUNTA(rua_cod!F:F)))</f>
        <v>Avenida Ressano Garcia</v>
      </c>
      <c r="H79" t="str" cm="1">
        <f t="array" aca="1" ref="H79" ca="1">INDEX(rua_cod!$A:$A,Médicos!X79) &amp; "-" &amp; TEXT(RANDBETWEEN(0,999),"000")</f>
        <v>2419-058</v>
      </c>
      <c r="I79" t="str" cm="1">
        <f t="array" aca="1" ref="I79" ca="1">INDEX(rua_cod!$B:$B,Médicos!X79)</f>
        <v>Leiria</v>
      </c>
      <c r="J79" t="s">
        <v>341</v>
      </c>
      <c r="K79" t="s">
        <v>225</v>
      </c>
      <c r="L79" t="s">
        <v>265</v>
      </c>
      <c r="M79" t="str">
        <f t="shared" ca="1" si="14"/>
        <v>83290012</v>
      </c>
      <c r="N79" t="str">
        <f t="shared" ca="1" si="15"/>
        <v>744723246</v>
      </c>
      <c r="O79" t="str">
        <f t="shared" ca="1" si="15"/>
        <v>751777537</v>
      </c>
      <c r="P79" t="str" cm="1">
        <f t="array" aca="1" ref="P79" ca="1">9 &amp; INDEX($AH$3:$AH$6,Y79)&amp; TEXT(RANDBETWEEN(0,9999999),"0000000")</f>
        <v>961445611</v>
      </c>
      <c r="Q79" t="str" cm="1">
        <f t="array" aca="1" ref="Q79" ca="1">LOWER(B79) &amp; INDEX($AH$9:$AH$11,Z79)</f>
        <v>med078@hospital.upskill.com</v>
      </c>
      <c r="R79" t="str">
        <f t="shared" si="16"/>
        <v>med078.jpg</v>
      </c>
      <c r="S79" s="8">
        <f t="shared" ca="1" si="17"/>
        <v>2500915362319665</v>
      </c>
      <c r="T79" t="s">
        <v>341</v>
      </c>
      <c r="V79" s="4"/>
      <c r="X79">
        <f ca="1">RANDBETWEEN(2,COUNTA(rua_cod!A:A))</f>
        <v>37</v>
      </c>
      <c r="Y79">
        <f t="shared" ca="1" si="18"/>
        <v>4</v>
      </c>
      <c r="Z79">
        <f t="shared" ca="1" si="19"/>
        <v>3</v>
      </c>
      <c r="AA79">
        <f t="shared" ca="1" si="20"/>
        <v>1988</v>
      </c>
      <c r="AB79">
        <f t="shared" ca="1" si="21"/>
        <v>7</v>
      </c>
      <c r="AC79">
        <f t="shared" ca="1" si="22"/>
        <v>15</v>
      </c>
      <c r="AD79">
        <f t="shared" ca="1" si="23"/>
        <v>32</v>
      </c>
    </row>
    <row r="80" spans="1:30" x14ac:dyDescent="0.25">
      <c r="A80">
        <v>79</v>
      </c>
      <c r="B80" t="str">
        <f t="shared" si="12"/>
        <v>med079</v>
      </c>
      <c r="C80" t="str">
        <f t="shared" si="13"/>
        <v>pswmed079</v>
      </c>
      <c r="D80" t="str">
        <f ca="1">Nomes!T81</f>
        <v>Bruno Catarina Leite Teixeira</v>
      </c>
      <c r="E80" t="str">
        <f ca="1">Nomes!S81</f>
        <v>Masculino</v>
      </c>
      <c r="F80" s="2">
        <v>35043</v>
      </c>
      <c r="G80" t="str" cm="1">
        <f t="array" aca="1" ref="G80" ca="1">INDEX(rua_cod!$F:$F,RANDBETWEEN(2,COUNTA(rua_cod!F:F)))</f>
        <v>Rua da Betesga</v>
      </c>
      <c r="H80" t="str" cm="1">
        <f t="array" aca="1" ref="H80" ca="1">INDEX(rua_cod!$A:$A,Médicos!X80) &amp; "-" &amp; TEXT(RANDBETWEEN(0,999),"000")</f>
        <v>2870-908</v>
      </c>
      <c r="I80" t="str" cm="1">
        <f t="array" aca="1" ref="I80" ca="1">INDEX(rua_cod!$B:$B,Médicos!X80)</f>
        <v>Montijo</v>
      </c>
      <c r="J80" t="s">
        <v>341</v>
      </c>
      <c r="K80" t="s">
        <v>225</v>
      </c>
      <c r="L80" t="s">
        <v>265</v>
      </c>
      <c r="M80" t="str">
        <f t="shared" ca="1" si="14"/>
        <v>36084636</v>
      </c>
      <c r="N80" t="str">
        <f t="shared" ca="1" si="15"/>
        <v>608820991</v>
      </c>
      <c r="O80" t="str">
        <f t="shared" ca="1" si="15"/>
        <v>850644659</v>
      </c>
      <c r="P80" t="str" cm="1">
        <f t="array" aca="1" ref="P80" ca="1">9 &amp; INDEX($AH$3:$AH$6,Y80)&amp; TEXT(RANDBETWEEN(0,9999999),"0000000")</f>
        <v>917715105</v>
      </c>
      <c r="Q80" t="str" cm="1">
        <f t="array" aca="1" ref="Q80" ca="1">LOWER(B80) &amp; INDEX($AH$9:$AH$11,Z80)</f>
        <v>med079@hospital.upskill.com</v>
      </c>
      <c r="R80" t="str">
        <f t="shared" si="16"/>
        <v>med079.jpg</v>
      </c>
      <c r="S80" s="8">
        <f t="shared" ca="1" si="17"/>
        <v>2345400674964032</v>
      </c>
      <c r="T80" t="s">
        <v>341</v>
      </c>
      <c r="V80" s="4"/>
      <c r="X80">
        <f ca="1">RANDBETWEEN(2,COUNTA(rua_cod!A:A))</f>
        <v>87</v>
      </c>
      <c r="Y80">
        <f t="shared" ca="1" si="18"/>
        <v>1</v>
      </c>
      <c r="Z80">
        <f t="shared" ca="1" si="19"/>
        <v>2</v>
      </c>
      <c r="AA80">
        <f t="shared" ca="1" si="20"/>
        <v>1973</v>
      </c>
      <c r="AB80">
        <f t="shared" ca="1" si="21"/>
        <v>3</v>
      </c>
      <c r="AC80">
        <f t="shared" ca="1" si="22"/>
        <v>23</v>
      </c>
      <c r="AD80">
        <f t="shared" ca="1" si="23"/>
        <v>47</v>
      </c>
    </row>
    <row r="81" spans="1:30" x14ac:dyDescent="0.25">
      <c r="A81">
        <v>80</v>
      </c>
      <c r="B81" t="str">
        <f t="shared" si="12"/>
        <v>med080</v>
      </c>
      <c r="C81" t="str">
        <f t="shared" si="13"/>
        <v>pswmed080</v>
      </c>
      <c r="D81" t="str">
        <f ca="1">Nomes!T82</f>
        <v>Diana Diogo Simões Lima</v>
      </c>
      <c r="E81" t="str">
        <f ca="1">Nomes!S82</f>
        <v>Feminino</v>
      </c>
      <c r="F81" s="2">
        <v>22527</v>
      </c>
      <c r="G81" t="str" cm="1">
        <f t="array" aca="1" ref="G81" ca="1">INDEX(rua_cod!$F:$F,RANDBETWEEN(2,COUNTA(rua_cod!F:F)))</f>
        <v>Rua General Morais Sarmento</v>
      </c>
      <c r="H81" t="str" cm="1">
        <f t="array" aca="1" ref="H81" ca="1">INDEX(rua_cod!$A:$A,Médicos!X81) &amp; "-" &amp; TEXT(RANDBETWEEN(0,999),"000")</f>
        <v>2749-397</v>
      </c>
      <c r="I81" t="str" cm="1">
        <f t="array" aca="1" ref="I81" ca="1">INDEX(rua_cod!$B:$B,Médicos!X81)</f>
        <v>Queluz</v>
      </c>
      <c r="J81" t="s">
        <v>341</v>
      </c>
      <c r="K81" t="s">
        <v>225</v>
      </c>
      <c r="L81" t="s">
        <v>265</v>
      </c>
      <c r="M81" t="str">
        <f t="shared" ca="1" si="14"/>
        <v>27744918</v>
      </c>
      <c r="N81" t="str">
        <f t="shared" ca="1" si="15"/>
        <v>765772958</v>
      </c>
      <c r="O81" t="str">
        <f t="shared" ca="1" si="15"/>
        <v>537823136</v>
      </c>
      <c r="P81" t="str" cm="1">
        <f t="array" aca="1" ref="P81" ca="1">9 &amp; INDEX($AH$3:$AH$6,Y81)&amp; TEXT(RANDBETWEEN(0,9999999),"0000000")</f>
        <v>911659638</v>
      </c>
      <c r="Q81" t="str" cm="1">
        <f t="array" aca="1" ref="Q81" ca="1">LOWER(B81) &amp; INDEX($AH$9:$AH$11,Z81)</f>
        <v>med080@hospital.upskill.com</v>
      </c>
      <c r="R81" t="str">
        <f t="shared" si="16"/>
        <v>med080.jpg</v>
      </c>
      <c r="S81" s="8">
        <f t="shared" ca="1" si="17"/>
        <v>6919599507912881</v>
      </c>
      <c r="T81" t="s">
        <v>341</v>
      </c>
      <c r="V81" s="4"/>
      <c r="X81">
        <f ca="1">RANDBETWEEN(2,COUNTA(rua_cod!A:A))</f>
        <v>91</v>
      </c>
      <c r="Y81">
        <f t="shared" ca="1" si="18"/>
        <v>1</v>
      </c>
      <c r="Z81">
        <f t="shared" ca="1" si="19"/>
        <v>3</v>
      </c>
      <c r="AA81">
        <f t="shared" ca="1" si="20"/>
        <v>1951</v>
      </c>
      <c r="AB81">
        <f t="shared" ca="1" si="21"/>
        <v>11</v>
      </c>
      <c r="AC81">
        <f t="shared" ca="1" si="22"/>
        <v>24</v>
      </c>
      <c r="AD81">
        <f t="shared" ca="1" si="23"/>
        <v>69</v>
      </c>
    </row>
    <row r="82" spans="1:30" x14ac:dyDescent="0.25">
      <c r="A82">
        <v>81</v>
      </c>
      <c r="B82" t="str">
        <f t="shared" si="12"/>
        <v>med081</v>
      </c>
      <c r="C82" t="str">
        <f t="shared" si="13"/>
        <v>pswmed081</v>
      </c>
      <c r="D82" t="str">
        <f ca="1">Nomes!T83</f>
        <v>Duarte Daniela Henriques Almeida</v>
      </c>
      <c r="E82" t="str">
        <f ca="1">Nomes!S83</f>
        <v>Masculino</v>
      </c>
      <c r="F82" s="2">
        <v>12686</v>
      </c>
      <c r="G82" t="str" cm="1">
        <f t="array" aca="1" ref="G82" ca="1">INDEX(rua_cod!$F:$F,RANDBETWEEN(2,COUNTA(rua_cod!F:F)))</f>
        <v>Calçada do Moinho de Vento</v>
      </c>
      <c r="H82" t="str" cm="1">
        <f t="array" aca="1" ref="H82" ca="1">INDEX(rua_cod!$A:$A,Médicos!X82) &amp; "-" &amp; TEXT(RANDBETWEEN(0,999),"000")</f>
        <v>2710-863</v>
      </c>
      <c r="I82" t="str" cm="1">
        <f t="array" aca="1" ref="I82" ca="1">INDEX(rua_cod!$B:$B,Médicos!X82)</f>
        <v>Sintra</v>
      </c>
      <c r="J82" t="s">
        <v>341</v>
      </c>
      <c r="K82" t="s">
        <v>225</v>
      </c>
      <c r="L82" t="s">
        <v>265</v>
      </c>
      <c r="M82" t="str">
        <f t="shared" ca="1" si="14"/>
        <v>51649305</v>
      </c>
      <c r="N82" t="str">
        <f t="shared" ca="1" si="15"/>
        <v>549777578</v>
      </c>
      <c r="O82" t="str">
        <f t="shared" ca="1" si="15"/>
        <v>252792471</v>
      </c>
      <c r="P82" t="str" cm="1">
        <f t="array" aca="1" ref="P82" ca="1">9 &amp; INDEX($AH$3:$AH$6,Y82)&amp; TEXT(RANDBETWEEN(0,9999999),"0000000")</f>
        <v>926724206</v>
      </c>
      <c r="Q82" t="str" cm="1">
        <f t="array" aca="1" ref="Q82" ca="1">LOWER(B82) &amp; INDEX($AH$9:$AH$11,Z82)</f>
        <v>med081@hospital.upskill.com</v>
      </c>
      <c r="R82" t="str">
        <f t="shared" si="16"/>
        <v>med081.jpg</v>
      </c>
      <c r="S82" s="8">
        <f t="shared" ca="1" si="17"/>
        <v>1277473833987083</v>
      </c>
      <c r="T82" t="s">
        <v>341</v>
      </c>
      <c r="V82" s="4"/>
      <c r="X82">
        <f ca="1">RANDBETWEEN(2,COUNTA(rua_cod!A:A))</f>
        <v>100</v>
      </c>
      <c r="Y82">
        <f t="shared" ca="1" si="18"/>
        <v>2</v>
      </c>
      <c r="Z82">
        <f t="shared" ca="1" si="19"/>
        <v>3</v>
      </c>
      <c r="AA82">
        <f t="shared" ca="1" si="20"/>
        <v>1981</v>
      </c>
      <c r="AB82">
        <f t="shared" ca="1" si="21"/>
        <v>3</v>
      </c>
      <c r="AC82">
        <f t="shared" ca="1" si="22"/>
        <v>16</v>
      </c>
      <c r="AD82">
        <f t="shared" ca="1" si="23"/>
        <v>39</v>
      </c>
    </row>
    <row r="83" spans="1:30" x14ac:dyDescent="0.25">
      <c r="A83">
        <v>82</v>
      </c>
      <c r="B83" t="str">
        <f t="shared" si="12"/>
        <v>med082</v>
      </c>
      <c r="C83" t="str">
        <f t="shared" si="13"/>
        <v>pswmed082</v>
      </c>
      <c r="D83" t="str">
        <f ca="1">Nomes!T84</f>
        <v>Luís Mariana Costa Leite</v>
      </c>
      <c r="E83" t="str">
        <f ca="1">Nomes!S84</f>
        <v>Masculino</v>
      </c>
      <c r="F83" s="2">
        <v>36263</v>
      </c>
      <c r="G83" t="str" cm="1">
        <f t="array" aca="1" ref="G83" ca="1">INDEX(rua_cod!$F:$F,RANDBETWEEN(2,COUNTA(rua_cod!F:F)))</f>
        <v>Rua de São Julião</v>
      </c>
      <c r="H83" t="str" cm="1">
        <f t="array" aca="1" ref="H83" ca="1">INDEX(rua_cod!$A:$A,Médicos!X83) &amp; "-" &amp; TEXT(RANDBETWEEN(0,999),"000")</f>
        <v>2810-628</v>
      </c>
      <c r="I83" t="str" cm="1">
        <f t="array" aca="1" ref="I83" ca="1">INDEX(rua_cod!$B:$B,Médicos!X83)</f>
        <v>Almada</v>
      </c>
      <c r="J83" t="s">
        <v>341</v>
      </c>
      <c r="K83" t="s">
        <v>225</v>
      </c>
      <c r="L83" t="s">
        <v>265</v>
      </c>
      <c r="M83" t="str">
        <f t="shared" ca="1" si="14"/>
        <v>49124231</v>
      </c>
      <c r="N83" t="str">
        <f t="shared" ca="1" si="15"/>
        <v>498875725</v>
      </c>
      <c r="O83" t="str">
        <f t="shared" ca="1" si="15"/>
        <v>570150194</v>
      </c>
      <c r="P83" t="str" cm="1">
        <f t="array" aca="1" ref="P83" ca="1">9 &amp; INDEX($AH$3:$AH$6,Y83)&amp; TEXT(RANDBETWEEN(0,9999999),"0000000")</f>
        <v>939794216</v>
      </c>
      <c r="Q83" t="str" cm="1">
        <f t="array" aca="1" ref="Q83" ca="1">LOWER(B83) &amp; INDEX($AH$9:$AH$11,Z83)</f>
        <v>med082@hospital.upskill.com</v>
      </c>
      <c r="R83" t="str">
        <f t="shared" si="16"/>
        <v>med082.jpg</v>
      </c>
      <c r="S83" s="8">
        <f t="shared" ca="1" si="17"/>
        <v>7747867034942915</v>
      </c>
      <c r="T83" t="s">
        <v>341</v>
      </c>
      <c r="V83" s="4"/>
      <c r="X83">
        <f ca="1">RANDBETWEEN(2,COUNTA(rua_cod!A:A))</f>
        <v>3</v>
      </c>
      <c r="Y83">
        <f t="shared" ca="1" si="18"/>
        <v>3</v>
      </c>
      <c r="Z83">
        <f t="shared" ca="1" si="19"/>
        <v>1</v>
      </c>
      <c r="AA83">
        <f t="shared" ca="1" si="20"/>
        <v>1953</v>
      </c>
      <c r="AB83">
        <f t="shared" ca="1" si="21"/>
        <v>5</v>
      </c>
      <c r="AC83">
        <f t="shared" ca="1" si="22"/>
        <v>11</v>
      </c>
      <c r="AD83">
        <f t="shared" ca="1" si="23"/>
        <v>67</v>
      </c>
    </row>
    <row r="84" spans="1:30" x14ac:dyDescent="0.25">
      <c r="A84">
        <v>83</v>
      </c>
      <c r="B84" t="str">
        <f t="shared" si="12"/>
        <v>med083</v>
      </c>
      <c r="C84" t="str">
        <f t="shared" si="13"/>
        <v>pswmed083</v>
      </c>
      <c r="D84" t="str">
        <f ca="1">Nomes!T85</f>
        <v>Luís Catarina Azevedo Cunha</v>
      </c>
      <c r="E84" t="str">
        <f ca="1">Nomes!S85</f>
        <v>Masculino</v>
      </c>
      <c r="F84" s="2">
        <v>13617</v>
      </c>
      <c r="G84" t="str" cm="1">
        <f t="array" aca="1" ref="G84" ca="1">INDEX(rua_cod!$F:$F,RANDBETWEEN(2,COUNTA(rua_cod!F:F)))</f>
        <v>Calçada do Moinho de Vento</v>
      </c>
      <c r="H84" t="str" cm="1">
        <f t="array" aca="1" ref="H84" ca="1">INDEX(rua_cod!$A:$A,Médicos!X84) &amp; "-" &amp; TEXT(RANDBETWEEN(0,999),"000")</f>
        <v>2670-303</v>
      </c>
      <c r="I84" t="str" cm="1">
        <f t="array" aca="1" ref="I84" ca="1">INDEX(rua_cod!$B:$B,Médicos!X84)</f>
        <v>Loures</v>
      </c>
      <c r="J84" t="s">
        <v>341</v>
      </c>
      <c r="K84" t="s">
        <v>225</v>
      </c>
      <c r="L84" t="s">
        <v>265</v>
      </c>
      <c r="M84" t="str">
        <f t="shared" ca="1" si="14"/>
        <v>70150253</v>
      </c>
      <c r="N84" t="str">
        <f t="shared" ca="1" si="15"/>
        <v>720859726</v>
      </c>
      <c r="O84" t="str">
        <f t="shared" ca="1" si="15"/>
        <v>987019055</v>
      </c>
      <c r="P84" t="str" cm="1">
        <f t="array" aca="1" ref="P84" ca="1">9 &amp; INDEX($AH$3:$AH$6,Y84)&amp; TEXT(RANDBETWEEN(0,9999999),"0000000")</f>
        <v>938113111</v>
      </c>
      <c r="Q84" t="str" cm="1">
        <f t="array" aca="1" ref="Q84" ca="1">LOWER(B84) &amp; INDEX($AH$9:$AH$11,Z84)</f>
        <v>med083@hospital.upskill.com</v>
      </c>
      <c r="R84" t="str">
        <f t="shared" si="16"/>
        <v>med083.jpg</v>
      </c>
      <c r="S84" s="8">
        <f t="shared" ca="1" si="17"/>
        <v>9272409005113288</v>
      </c>
      <c r="T84" t="s">
        <v>341</v>
      </c>
      <c r="V84" s="4"/>
      <c r="X84">
        <f ca="1">RANDBETWEEN(2,COUNTA(rua_cod!A:A))</f>
        <v>83</v>
      </c>
      <c r="Y84">
        <f t="shared" ca="1" si="18"/>
        <v>3</v>
      </c>
      <c r="Z84">
        <f t="shared" ca="1" si="19"/>
        <v>2</v>
      </c>
      <c r="AA84">
        <f t="shared" ca="1" si="20"/>
        <v>1985</v>
      </c>
      <c r="AB84">
        <f t="shared" ca="1" si="21"/>
        <v>12</v>
      </c>
      <c r="AC84">
        <f t="shared" ca="1" si="22"/>
        <v>6</v>
      </c>
      <c r="AD84">
        <f t="shared" ca="1" si="23"/>
        <v>35</v>
      </c>
    </row>
    <row r="85" spans="1:30" x14ac:dyDescent="0.25">
      <c r="A85">
        <v>84</v>
      </c>
      <c r="B85" t="str">
        <f t="shared" si="12"/>
        <v>med084</v>
      </c>
      <c r="C85" t="str">
        <f t="shared" si="13"/>
        <v>pswmed084</v>
      </c>
      <c r="D85" t="str">
        <f ca="1">Nomes!T86</f>
        <v>Carolina Leonor Mendes Barbosa</v>
      </c>
      <c r="E85" t="str">
        <f ca="1">Nomes!S86</f>
        <v>Feminino</v>
      </c>
      <c r="F85" s="2">
        <v>41552</v>
      </c>
      <c r="G85" t="str" cm="1">
        <f t="array" aca="1" ref="G85" ca="1">INDEX(rua_cod!$F:$F,RANDBETWEEN(2,COUNTA(rua_cod!F:F)))</f>
        <v>Travessa de São João da Praça</v>
      </c>
      <c r="H85" t="str" cm="1">
        <f t="array" aca="1" ref="H85" ca="1">INDEX(rua_cod!$A:$A,Médicos!X85) &amp; "-" &amp; TEXT(RANDBETWEEN(0,999),"000")</f>
        <v>2794-490</v>
      </c>
      <c r="I85" t="str" cm="1">
        <f t="array" aca="1" ref="I85" ca="1">INDEX(rua_cod!$B:$B,Médicos!X85)</f>
        <v>Carnaxide</v>
      </c>
      <c r="J85" t="s">
        <v>341</v>
      </c>
      <c r="K85" t="s">
        <v>225</v>
      </c>
      <c r="L85" t="s">
        <v>265</v>
      </c>
      <c r="M85" t="str">
        <f t="shared" ca="1" si="14"/>
        <v>27938253</v>
      </c>
      <c r="N85" t="str">
        <f t="shared" ca="1" si="15"/>
        <v>407625349</v>
      </c>
      <c r="O85" t="str">
        <f t="shared" ca="1" si="15"/>
        <v>355569730</v>
      </c>
      <c r="P85" t="str" cm="1">
        <f t="array" aca="1" ref="P85" ca="1">9 &amp; INDEX($AH$3:$AH$6,Y85)&amp; TEXT(RANDBETWEEN(0,9999999),"0000000")</f>
        <v>928858600</v>
      </c>
      <c r="Q85" t="str" cm="1">
        <f t="array" aca="1" ref="Q85" ca="1">LOWER(B85) &amp; INDEX($AH$9:$AH$11,Z85)</f>
        <v>med084@hospital.upskill.com</v>
      </c>
      <c r="R85" t="str">
        <f t="shared" si="16"/>
        <v>med084.jpg</v>
      </c>
      <c r="S85" s="8">
        <f t="shared" ca="1" si="17"/>
        <v>5619397930766743</v>
      </c>
      <c r="T85" t="s">
        <v>341</v>
      </c>
      <c r="V85" s="4"/>
      <c r="X85">
        <f ca="1">RANDBETWEEN(2,COUNTA(rua_cod!A:A))</f>
        <v>23</v>
      </c>
      <c r="Y85">
        <f t="shared" ca="1" si="18"/>
        <v>2</v>
      </c>
      <c r="Z85">
        <f t="shared" ca="1" si="19"/>
        <v>2</v>
      </c>
      <c r="AA85">
        <f t="shared" ca="1" si="20"/>
        <v>1971</v>
      </c>
      <c r="AB85">
        <f t="shared" ca="1" si="21"/>
        <v>7</v>
      </c>
      <c r="AC85">
        <f t="shared" ca="1" si="22"/>
        <v>17</v>
      </c>
      <c r="AD85">
        <f t="shared" ca="1" si="23"/>
        <v>49</v>
      </c>
    </row>
    <row r="86" spans="1:30" x14ac:dyDescent="0.25">
      <c r="A86">
        <v>85</v>
      </c>
      <c r="B86" t="str">
        <f t="shared" si="12"/>
        <v>med085</v>
      </c>
      <c r="C86" t="str">
        <f t="shared" si="13"/>
        <v>pswmed085</v>
      </c>
      <c r="D86" t="str">
        <f ca="1">Nomes!T87</f>
        <v>Miguel Laura Machado Maia</v>
      </c>
      <c r="E86" t="str">
        <f ca="1">Nomes!S87</f>
        <v>Masculino</v>
      </c>
      <c r="F86" s="2">
        <v>27773</v>
      </c>
      <c r="G86" t="str" cm="1">
        <f t="array" aca="1" ref="G86" ca="1">INDEX(rua_cod!$F:$F,RANDBETWEEN(2,COUNTA(rua_cod!F:F)))</f>
        <v>Rua do Arsenal</v>
      </c>
      <c r="H86" t="str" cm="1">
        <f t="array" aca="1" ref="H86" ca="1">INDEX(rua_cod!$A:$A,Médicos!X86) &amp; "-" &amp; TEXT(RANDBETWEEN(0,999),"000")</f>
        <v>1900-861</v>
      </c>
      <c r="I86" t="str" cm="1">
        <f t="array" aca="1" ref="I86" ca="1">INDEX(rua_cod!$B:$B,Médicos!X86)</f>
        <v>Lisboa</v>
      </c>
      <c r="J86" t="s">
        <v>341</v>
      </c>
      <c r="K86" t="s">
        <v>225</v>
      </c>
      <c r="L86" t="s">
        <v>265</v>
      </c>
      <c r="M86" t="str">
        <f t="shared" ca="1" si="14"/>
        <v>12492173</v>
      </c>
      <c r="N86" t="str">
        <f t="shared" ca="1" si="15"/>
        <v>402103870</v>
      </c>
      <c r="O86" t="str">
        <f t="shared" ca="1" si="15"/>
        <v>238526123</v>
      </c>
      <c r="P86" t="str" cm="1">
        <f t="array" aca="1" ref="P86" ca="1">9 &amp; INDEX($AH$3:$AH$6,Y86)&amp; TEXT(RANDBETWEEN(0,9999999),"0000000")</f>
        <v>919600793</v>
      </c>
      <c r="Q86" t="str" cm="1">
        <f t="array" aca="1" ref="Q86" ca="1">LOWER(B86) &amp; INDEX($AH$9:$AH$11,Z86)</f>
        <v>med085@hospital.upskill.com</v>
      </c>
      <c r="R86" t="str">
        <f t="shared" si="16"/>
        <v>med085.jpg</v>
      </c>
      <c r="S86" s="8">
        <f t="shared" ca="1" si="17"/>
        <v>6948468371976493</v>
      </c>
      <c r="T86" t="s">
        <v>341</v>
      </c>
      <c r="V86" s="4"/>
      <c r="X86">
        <f ca="1">RANDBETWEEN(2,COUNTA(rua_cod!A:A))</f>
        <v>42</v>
      </c>
      <c r="Y86">
        <f t="shared" ca="1" si="18"/>
        <v>1</v>
      </c>
      <c r="Z86">
        <f t="shared" ca="1" si="19"/>
        <v>3</v>
      </c>
      <c r="AA86">
        <f t="shared" ca="1" si="20"/>
        <v>1957</v>
      </c>
      <c r="AB86">
        <f t="shared" ca="1" si="21"/>
        <v>9</v>
      </c>
      <c r="AC86">
        <f t="shared" ca="1" si="22"/>
        <v>24</v>
      </c>
      <c r="AD86">
        <f t="shared" ca="1" si="23"/>
        <v>63</v>
      </c>
    </row>
    <row r="87" spans="1:30" x14ac:dyDescent="0.25">
      <c r="A87">
        <v>86</v>
      </c>
      <c r="B87" t="str">
        <f t="shared" si="12"/>
        <v>med086</v>
      </c>
      <c r="C87" t="str">
        <f t="shared" si="13"/>
        <v>pswmed086</v>
      </c>
      <c r="D87" t="str">
        <f ca="1">Nomes!T88</f>
        <v>Maria João Martins Mota</v>
      </c>
      <c r="E87" t="str">
        <f ca="1">Nomes!S88</f>
        <v>Feminino</v>
      </c>
      <c r="F87" s="2">
        <v>27273</v>
      </c>
      <c r="G87" t="str" cm="1">
        <f t="array" aca="1" ref="G87" ca="1">INDEX(rua_cod!$F:$F,RANDBETWEEN(2,COUNTA(rua_cod!F:F)))</f>
        <v>Estrada das Laranjeiras</v>
      </c>
      <c r="H87" t="str" cm="1">
        <f t="array" aca="1" ref="H87" ca="1">INDEX(rua_cod!$A:$A,Médicos!X87) &amp; "-" &amp; TEXT(RANDBETWEEN(0,999),"000")</f>
        <v>2714-246</v>
      </c>
      <c r="I87" t="str" cm="1">
        <f t="array" aca="1" ref="I87" ca="1">INDEX(rua_cod!$B:$B,Médicos!X87)</f>
        <v>Sintra</v>
      </c>
      <c r="J87" t="s">
        <v>341</v>
      </c>
      <c r="K87" t="s">
        <v>225</v>
      </c>
      <c r="L87" t="s">
        <v>265</v>
      </c>
      <c r="M87" t="str">
        <f t="shared" ca="1" si="14"/>
        <v>32129950</v>
      </c>
      <c r="N87" t="str">
        <f t="shared" ca="1" si="15"/>
        <v>359788883</v>
      </c>
      <c r="O87" t="str">
        <f t="shared" ca="1" si="15"/>
        <v>598443785</v>
      </c>
      <c r="P87" t="str" cm="1">
        <f t="array" aca="1" ref="P87" ca="1">9 &amp; INDEX($AH$3:$AH$6,Y87)&amp; TEXT(RANDBETWEEN(0,9999999),"0000000")</f>
        <v>918459788</v>
      </c>
      <c r="Q87" t="str" cm="1">
        <f t="array" aca="1" ref="Q87" ca="1">LOWER(B87) &amp; INDEX($AH$9:$AH$11,Z87)</f>
        <v>med086@hospital.upskill.com</v>
      </c>
      <c r="R87" t="str">
        <f t="shared" si="16"/>
        <v>med086.jpg</v>
      </c>
      <c r="S87" s="8">
        <f t="shared" ca="1" si="17"/>
        <v>5745900525515061</v>
      </c>
      <c r="T87" t="s">
        <v>341</v>
      </c>
      <c r="V87" s="4"/>
      <c r="X87">
        <f ca="1">RANDBETWEEN(2,COUNTA(rua_cod!A:A))</f>
        <v>101</v>
      </c>
      <c r="Y87">
        <f t="shared" ca="1" si="18"/>
        <v>1</v>
      </c>
      <c r="Z87">
        <f t="shared" ca="1" si="19"/>
        <v>1</v>
      </c>
      <c r="AA87">
        <f t="shared" ca="1" si="20"/>
        <v>1957</v>
      </c>
      <c r="AB87">
        <f t="shared" ca="1" si="21"/>
        <v>10</v>
      </c>
      <c r="AC87">
        <f t="shared" ca="1" si="22"/>
        <v>15</v>
      </c>
      <c r="AD87">
        <f t="shared" ca="1" si="23"/>
        <v>63</v>
      </c>
    </row>
    <row r="88" spans="1:30" x14ac:dyDescent="0.25">
      <c r="A88">
        <v>87</v>
      </c>
      <c r="B88" t="str">
        <f t="shared" si="12"/>
        <v>med087</v>
      </c>
      <c r="C88" t="str">
        <f t="shared" si="13"/>
        <v>pswmed087</v>
      </c>
      <c r="D88" t="str">
        <f ca="1">Nomes!T89</f>
        <v>Tomás Sofia Lopes Antunes</v>
      </c>
      <c r="E88" t="str">
        <f ca="1">Nomes!S89</f>
        <v>Masculino</v>
      </c>
      <c r="F88" s="2">
        <v>33962</v>
      </c>
      <c r="G88" t="str" cm="1">
        <f t="array" aca="1" ref="G88" ca="1">INDEX(rua_cod!$F:$F,RANDBETWEEN(2,COUNTA(rua_cod!F:F)))</f>
        <v>Travessa de São João da Praça</v>
      </c>
      <c r="H88" t="str" cm="1">
        <f t="array" aca="1" ref="H88" ca="1">INDEX(rua_cod!$A:$A,Médicos!X88) &amp; "-" &amp; TEXT(RANDBETWEEN(0,999),"000")</f>
        <v>2000-034</v>
      </c>
      <c r="I88" t="str" cm="1">
        <f t="array" aca="1" ref="I88" ca="1">INDEX(rua_cod!$B:$B,Médicos!X88)</f>
        <v>Santarém</v>
      </c>
      <c r="J88" t="s">
        <v>341</v>
      </c>
      <c r="K88" t="s">
        <v>225</v>
      </c>
      <c r="L88" t="s">
        <v>265</v>
      </c>
      <c r="M88" t="str">
        <f t="shared" ca="1" si="14"/>
        <v>75171979</v>
      </c>
      <c r="N88" t="str">
        <f t="shared" ca="1" si="15"/>
        <v>213927750</v>
      </c>
      <c r="O88" t="str">
        <f t="shared" ca="1" si="15"/>
        <v>943945220</v>
      </c>
      <c r="P88" t="str" cm="1">
        <f t="array" aca="1" ref="P88" ca="1">9 &amp; INDEX($AH$3:$AH$6,Y88)&amp; TEXT(RANDBETWEEN(0,9999999),"0000000")</f>
        <v>917807773</v>
      </c>
      <c r="Q88" t="str" cm="1">
        <f t="array" aca="1" ref="Q88" ca="1">LOWER(B88) &amp; INDEX($AH$9:$AH$11,Z88)</f>
        <v>med087@hospital.upskill.com</v>
      </c>
      <c r="R88" t="str">
        <f t="shared" si="16"/>
        <v>med087.jpg</v>
      </c>
      <c r="S88" s="8">
        <f t="shared" ca="1" si="17"/>
        <v>4914609918822426</v>
      </c>
      <c r="T88" t="s">
        <v>341</v>
      </c>
      <c r="V88" s="4"/>
      <c r="X88">
        <f ca="1">RANDBETWEEN(2,COUNTA(rua_cod!A:A))</f>
        <v>93</v>
      </c>
      <c r="Y88">
        <f t="shared" ca="1" si="18"/>
        <v>1</v>
      </c>
      <c r="Z88">
        <f t="shared" ca="1" si="19"/>
        <v>3</v>
      </c>
      <c r="AA88">
        <f t="shared" ca="1" si="20"/>
        <v>1980</v>
      </c>
      <c r="AB88">
        <f t="shared" ca="1" si="21"/>
        <v>1</v>
      </c>
      <c r="AC88">
        <f t="shared" ca="1" si="22"/>
        <v>15</v>
      </c>
      <c r="AD88">
        <f t="shared" ca="1" si="23"/>
        <v>40</v>
      </c>
    </row>
    <row r="89" spans="1:30" x14ac:dyDescent="0.25">
      <c r="A89">
        <v>88</v>
      </c>
      <c r="B89" t="str">
        <f t="shared" si="12"/>
        <v>med088</v>
      </c>
      <c r="C89" t="str">
        <f t="shared" si="13"/>
        <v>pswmed088</v>
      </c>
      <c r="D89" t="str">
        <f ca="1">Nomes!T90</f>
        <v>Luís Catarina Silva Amaral</v>
      </c>
      <c r="E89" t="str">
        <f ca="1">Nomes!S90</f>
        <v>Masculino</v>
      </c>
      <c r="F89" s="2">
        <v>16313</v>
      </c>
      <c r="G89" t="str" cm="1">
        <f t="array" aca="1" ref="G89" ca="1">INDEX(rua_cod!$F:$F,RANDBETWEEN(2,COUNTA(rua_cod!F:F)))</f>
        <v>Rua de São Mamede</v>
      </c>
      <c r="H89" t="str" cm="1">
        <f t="array" aca="1" ref="H89" ca="1">INDEX(rua_cod!$A:$A,Médicos!X89) &amp; "-" &amp; TEXT(RANDBETWEEN(0,999),"000")</f>
        <v>2334-703</v>
      </c>
      <c r="I89" t="str" cm="1">
        <f t="array" aca="1" ref="I89" ca="1">INDEX(rua_cod!$B:$B,Médicos!X89)</f>
        <v>Entroncamento</v>
      </c>
      <c r="J89" t="s">
        <v>341</v>
      </c>
      <c r="K89" t="s">
        <v>225</v>
      </c>
      <c r="L89" t="s">
        <v>265</v>
      </c>
      <c r="M89" t="str">
        <f t="shared" ca="1" si="14"/>
        <v>90537485</v>
      </c>
      <c r="N89" t="str">
        <f t="shared" ca="1" si="15"/>
        <v>517195850</v>
      </c>
      <c r="O89" t="str">
        <f t="shared" ca="1" si="15"/>
        <v>994183468</v>
      </c>
      <c r="P89" t="str" cm="1">
        <f t="array" aca="1" ref="P89" ca="1">9 &amp; INDEX($AH$3:$AH$6,Y89)&amp; TEXT(RANDBETWEEN(0,9999999),"0000000")</f>
        <v>934464802</v>
      </c>
      <c r="Q89" t="str" cm="1">
        <f t="array" aca="1" ref="Q89" ca="1">LOWER(B89) &amp; INDEX($AH$9:$AH$11,Z89)</f>
        <v>med088@hospital.upskill.com</v>
      </c>
      <c r="R89" t="str">
        <f t="shared" si="16"/>
        <v>med088.jpg</v>
      </c>
      <c r="S89" s="8">
        <f t="shared" ca="1" si="17"/>
        <v>1671379710927278</v>
      </c>
      <c r="T89" t="s">
        <v>341</v>
      </c>
      <c r="V89" s="4"/>
      <c r="X89">
        <f ca="1">RANDBETWEEN(2,COUNTA(rua_cod!A:A))</f>
        <v>30</v>
      </c>
      <c r="Y89">
        <f t="shared" ca="1" si="18"/>
        <v>3</v>
      </c>
      <c r="Z89">
        <f t="shared" ca="1" si="19"/>
        <v>1</v>
      </c>
      <c r="AA89">
        <f t="shared" ca="1" si="20"/>
        <v>1979</v>
      </c>
      <c r="AB89">
        <f t="shared" ca="1" si="21"/>
        <v>5</v>
      </c>
      <c r="AC89">
        <f t="shared" ca="1" si="22"/>
        <v>5</v>
      </c>
      <c r="AD89">
        <f t="shared" ca="1" si="23"/>
        <v>41</v>
      </c>
    </row>
    <row r="90" spans="1:30" x14ac:dyDescent="0.25">
      <c r="A90">
        <v>89</v>
      </c>
      <c r="B90" t="str">
        <f t="shared" si="12"/>
        <v>med089</v>
      </c>
      <c r="C90" t="str">
        <f t="shared" si="13"/>
        <v>pswmed089</v>
      </c>
      <c r="D90" t="str">
        <f ca="1">Nomes!T91</f>
        <v>Mariana Lara Barbosa Tavares</v>
      </c>
      <c r="E90" t="str">
        <f ca="1">Nomes!S91</f>
        <v>Feminino</v>
      </c>
      <c r="F90" s="2">
        <v>40133</v>
      </c>
      <c r="G90" t="str" cm="1">
        <f t="array" aca="1" ref="G90" ca="1">INDEX(rua_cod!$F:$F,RANDBETWEEN(2,COUNTA(rua_cod!F:F)))</f>
        <v>Estrada das Laranjeiras</v>
      </c>
      <c r="H90" t="str" cm="1">
        <f t="array" aca="1" ref="H90" ca="1">INDEX(rua_cod!$A:$A,Médicos!X90) &amp; "-" &amp; TEXT(RANDBETWEEN(0,999),"000")</f>
        <v>1269-704</v>
      </c>
      <c r="I90" t="str" cm="1">
        <f t="array" aca="1" ref="I90" ca="1">INDEX(rua_cod!$B:$B,Médicos!X90)</f>
        <v>Lisboa</v>
      </c>
      <c r="J90" t="s">
        <v>341</v>
      </c>
      <c r="K90" t="s">
        <v>225</v>
      </c>
      <c r="L90" t="s">
        <v>265</v>
      </c>
      <c r="M90" t="str">
        <f t="shared" ca="1" si="14"/>
        <v>32014664</v>
      </c>
      <c r="N90" t="str">
        <f t="shared" ca="1" si="15"/>
        <v>919573296</v>
      </c>
      <c r="O90" t="str">
        <f t="shared" ca="1" si="15"/>
        <v>579379199</v>
      </c>
      <c r="P90" t="str" cm="1">
        <f t="array" aca="1" ref="P90" ca="1">9 &amp; INDEX($AH$3:$AH$6,Y90)&amp; TEXT(RANDBETWEEN(0,9999999),"0000000")</f>
        <v>923862392</v>
      </c>
      <c r="Q90" t="str" cm="1">
        <f t="array" aca="1" ref="Q90" ca="1">LOWER(B90) &amp; INDEX($AH$9:$AH$11,Z90)</f>
        <v>med089@hospital.upskill.com</v>
      </c>
      <c r="R90" t="str">
        <f t="shared" si="16"/>
        <v>med089.jpg</v>
      </c>
      <c r="S90" s="8">
        <f t="shared" ca="1" si="17"/>
        <v>3235126074752691</v>
      </c>
      <c r="T90" t="s">
        <v>341</v>
      </c>
      <c r="V90" s="4"/>
      <c r="X90">
        <f ca="1">RANDBETWEEN(2,COUNTA(rua_cod!A:A))</f>
        <v>52</v>
      </c>
      <c r="Y90">
        <f t="shared" ca="1" si="18"/>
        <v>2</v>
      </c>
      <c r="Z90">
        <f t="shared" ca="1" si="19"/>
        <v>1</v>
      </c>
      <c r="AA90">
        <f t="shared" ca="1" si="20"/>
        <v>1966</v>
      </c>
      <c r="AB90">
        <f t="shared" ca="1" si="21"/>
        <v>5</v>
      </c>
      <c r="AC90">
        <f t="shared" ca="1" si="22"/>
        <v>11</v>
      </c>
      <c r="AD90">
        <f t="shared" ca="1" si="23"/>
        <v>54</v>
      </c>
    </row>
    <row r="91" spans="1:30" x14ac:dyDescent="0.25">
      <c r="A91">
        <v>90</v>
      </c>
      <c r="B91" t="str">
        <f t="shared" si="12"/>
        <v>med090</v>
      </c>
      <c r="C91" t="str">
        <f t="shared" si="13"/>
        <v>pswmed090</v>
      </c>
      <c r="D91" t="str">
        <f ca="1">Nomes!T92</f>
        <v>Sofia Catarina Vieira Domingues</v>
      </c>
      <c r="E91" t="str">
        <f ca="1">Nomes!S92</f>
        <v>Feminino</v>
      </c>
      <c r="F91" s="2">
        <v>16302</v>
      </c>
      <c r="G91" t="str" cm="1">
        <f t="array" aca="1" ref="G91" ca="1">INDEX(rua_cod!$F:$F,RANDBETWEEN(2,COUNTA(rua_cod!F:F)))</f>
        <v>Rua dos Fanqueiros</v>
      </c>
      <c r="H91" t="str" cm="1">
        <f t="array" aca="1" ref="H91" ca="1">INDEX(rua_cod!$A:$A,Médicos!X91) &amp; "-" &amp; TEXT(RANDBETWEEN(0,999),"000")</f>
        <v>2000-576</v>
      </c>
      <c r="I91" t="str" cm="1">
        <f t="array" aca="1" ref="I91" ca="1">INDEX(rua_cod!$B:$B,Médicos!X91)</f>
        <v>Santarém</v>
      </c>
      <c r="J91" t="s">
        <v>341</v>
      </c>
      <c r="K91" t="s">
        <v>225</v>
      </c>
      <c r="L91" t="s">
        <v>265</v>
      </c>
      <c r="M91" t="str">
        <f t="shared" ca="1" si="14"/>
        <v>98990247</v>
      </c>
      <c r="N91" t="str">
        <f t="shared" ca="1" si="15"/>
        <v>858007920</v>
      </c>
      <c r="O91" t="str">
        <f t="shared" ca="1" si="15"/>
        <v>298049669</v>
      </c>
      <c r="P91" t="str" cm="1">
        <f t="array" aca="1" ref="P91" ca="1">9 &amp; INDEX($AH$3:$AH$6,Y91)&amp; TEXT(RANDBETWEEN(0,9999999),"0000000")</f>
        <v>916403993</v>
      </c>
      <c r="Q91" t="str" cm="1">
        <f t="array" aca="1" ref="Q91" ca="1">LOWER(B91) &amp; INDEX($AH$9:$AH$11,Z91)</f>
        <v>med090@hospital.upskill.com</v>
      </c>
      <c r="R91" t="str">
        <f t="shared" si="16"/>
        <v>med090.jpg</v>
      </c>
      <c r="S91" s="8">
        <f t="shared" ca="1" si="17"/>
        <v>6870230903441956</v>
      </c>
      <c r="T91" t="s">
        <v>341</v>
      </c>
      <c r="V91" s="4"/>
      <c r="X91">
        <f ca="1">RANDBETWEEN(2,COUNTA(rua_cod!A:A))</f>
        <v>93</v>
      </c>
      <c r="Y91">
        <f t="shared" ca="1" si="18"/>
        <v>1</v>
      </c>
      <c r="Z91">
        <f t="shared" ca="1" si="19"/>
        <v>3</v>
      </c>
      <c r="AA91">
        <f t="shared" ca="1" si="20"/>
        <v>1973</v>
      </c>
      <c r="AB91">
        <f t="shared" ca="1" si="21"/>
        <v>11</v>
      </c>
      <c r="AC91">
        <f t="shared" ca="1" si="22"/>
        <v>24</v>
      </c>
      <c r="AD91">
        <f t="shared" ca="1" si="23"/>
        <v>47</v>
      </c>
    </row>
    <row r="92" spans="1:30" x14ac:dyDescent="0.25">
      <c r="A92">
        <v>91</v>
      </c>
      <c r="B92" t="str">
        <f t="shared" si="12"/>
        <v>med091</v>
      </c>
      <c r="C92" t="str">
        <f t="shared" si="13"/>
        <v>pswmed091</v>
      </c>
      <c r="D92" t="str">
        <f ca="1">Nomes!T93</f>
        <v>Carolina Rodrigo Gaspar Abreu</v>
      </c>
      <c r="E92" t="str">
        <f ca="1">Nomes!S93</f>
        <v>Feminino</v>
      </c>
      <c r="F92" s="2">
        <v>15230</v>
      </c>
      <c r="G92" t="str" cm="1">
        <f t="array" aca="1" ref="G92" ca="1">INDEX(rua_cod!$F:$F,RANDBETWEEN(2,COUNTA(rua_cod!F:F)))</f>
        <v>Rua da Oliveira ao Carmo</v>
      </c>
      <c r="H92" t="str" cm="1">
        <f t="array" aca="1" ref="H92" ca="1">INDEX(rua_cod!$A:$A,Médicos!X92) &amp; "-" &amp; TEXT(RANDBETWEEN(0,999),"000")</f>
        <v>2724-209</v>
      </c>
      <c r="I92" t="str" cm="1">
        <f t="array" aca="1" ref="I92" ca="1">INDEX(rua_cod!$B:$B,Médicos!X92)</f>
        <v>Amadora</v>
      </c>
      <c r="J92" t="s">
        <v>341</v>
      </c>
      <c r="K92" t="s">
        <v>225</v>
      </c>
      <c r="L92" t="s">
        <v>265</v>
      </c>
      <c r="M92" t="str">
        <f t="shared" ca="1" si="14"/>
        <v>73799926</v>
      </c>
      <c r="N92" t="str">
        <f t="shared" ca="1" si="15"/>
        <v>420170206</v>
      </c>
      <c r="O92" t="str">
        <f t="shared" ca="1" si="15"/>
        <v>791216413</v>
      </c>
      <c r="P92" t="str" cm="1">
        <f t="array" aca="1" ref="P92" ca="1">9 &amp; INDEX($AH$3:$AH$6,Y92)&amp; TEXT(RANDBETWEEN(0,9999999),"0000000")</f>
        <v>926706625</v>
      </c>
      <c r="Q92" t="str" cm="1">
        <f t="array" aca="1" ref="Q92" ca="1">LOWER(B92) &amp; INDEX($AH$9:$AH$11,Z92)</f>
        <v>med091@hospital.upskill.com</v>
      </c>
      <c r="R92" t="str">
        <f t="shared" si="16"/>
        <v>med091.jpg</v>
      </c>
      <c r="S92" s="8">
        <f t="shared" ca="1" si="17"/>
        <v>2993048787831596</v>
      </c>
      <c r="T92" t="s">
        <v>341</v>
      </c>
      <c r="V92" s="4"/>
      <c r="X92">
        <f ca="1">RANDBETWEEN(2,COUNTA(rua_cod!A:A))</f>
        <v>13</v>
      </c>
      <c r="Y92">
        <f t="shared" ca="1" si="18"/>
        <v>2</v>
      </c>
      <c r="Z92">
        <f t="shared" ca="1" si="19"/>
        <v>2</v>
      </c>
      <c r="AA92">
        <f t="shared" ca="1" si="20"/>
        <v>1966</v>
      </c>
      <c r="AB92">
        <f t="shared" ca="1" si="21"/>
        <v>9</v>
      </c>
      <c r="AC92">
        <f t="shared" ca="1" si="22"/>
        <v>13</v>
      </c>
      <c r="AD92">
        <f t="shared" ca="1" si="23"/>
        <v>54</v>
      </c>
    </row>
    <row r="93" spans="1:30" x14ac:dyDescent="0.25">
      <c r="A93">
        <v>92</v>
      </c>
      <c r="B93" t="str">
        <f t="shared" si="12"/>
        <v>med092</v>
      </c>
      <c r="C93" t="str">
        <f t="shared" si="13"/>
        <v>pswmed092</v>
      </c>
      <c r="D93" t="str">
        <f ca="1">Nomes!T94</f>
        <v>Daniela Matilde Antunes Almeida</v>
      </c>
      <c r="E93" t="str">
        <f ca="1">Nomes!S94</f>
        <v>Feminino</v>
      </c>
      <c r="F93" s="2">
        <v>33682</v>
      </c>
      <c r="G93" t="str" cm="1">
        <f t="array" aca="1" ref="G93" ca="1">INDEX(rua_cod!$F:$F,RANDBETWEEN(2,COUNTA(rua_cod!F:F)))</f>
        <v>Rua do Carmo</v>
      </c>
      <c r="H93" t="str" cm="1">
        <f t="array" aca="1" ref="H93" ca="1">INDEX(rua_cod!$A:$A,Médicos!X93) &amp; "-" &amp; TEXT(RANDBETWEEN(0,999),"000")</f>
        <v>1769-208</v>
      </c>
      <c r="I93" t="str" cm="1">
        <f t="array" aca="1" ref="I93" ca="1">INDEX(rua_cod!$B:$B,Médicos!X93)</f>
        <v>Lisboa</v>
      </c>
      <c r="J93" t="s">
        <v>341</v>
      </c>
      <c r="K93" t="s">
        <v>225</v>
      </c>
      <c r="L93" t="s">
        <v>265</v>
      </c>
      <c r="M93" t="str">
        <f t="shared" ca="1" si="14"/>
        <v>38484606</v>
      </c>
      <c r="N93" t="str">
        <f t="shared" ca="1" si="15"/>
        <v>485409382</v>
      </c>
      <c r="O93" t="str">
        <f t="shared" ca="1" si="15"/>
        <v>924382619</v>
      </c>
      <c r="P93" t="str" cm="1">
        <f t="array" aca="1" ref="P93" ca="1">9 &amp; INDEX($AH$3:$AH$6,Y93)&amp; TEXT(RANDBETWEEN(0,9999999),"0000000")</f>
        <v>921841734</v>
      </c>
      <c r="Q93" t="str" cm="1">
        <f t="array" aca="1" ref="Q93" ca="1">LOWER(B93) &amp; INDEX($AH$9:$AH$11,Z93)</f>
        <v>med092@hospital.upskill.com</v>
      </c>
      <c r="R93" t="str">
        <f t="shared" si="16"/>
        <v>med092.jpg</v>
      </c>
      <c r="S93" s="8">
        <f t="shared" ca="1" si="17"/>
        <v>3389003281362374</v>
      </c>
      <c r="T93" t="s">
        <v>341</v>
      </c>
      <c r="V93" s="4"/>
      <c r="X93">
        <f ca="1">RANDBETWEEN(2,COUNTA(rua_cod!A:A))</f>
        <v>74</v>
      </c>
      <c r="Y93">
        <f t="shared" ca="1" si="18"/>
        <v>2</v>
      </c>
      <c r="Z93">
        <f t="shared" ca="1" si="19"/>
        <v>3</v>
      </c>
      <c r="AA93">
        <f t="shared" ca="1" si="20"/>
        <v>1974</v>
      </c>
      <c r="AB93">
        <f t="shared" ca="1" si="21"/>
        <v>2</v>
      </c>
      <c r="AC93">
        <f t="shared" ca="1" si="22"/>
        <v>19</v>
      </c>
      <c r="AD93">
        <f t="shared" ca="1" si="23"/>
        <v>46</v>
      </c>
    </row>
    <row r="94" spans="1:30" x14ac:dyDescent="0.25">
      <c r="A94">
        <v>93</v>
      </c>
      <c r="B94" t="str">
        <f t="shared" si="12"/>
        <v>med093</v>
      </c>
      <c r="C94" t="str">
        <f t="shared" si="13"/>
        <v>pswmed093</v>
      </c>
      <c r="D94" t="str">
        <f ca="1">Nomes!T95</f>
        <v>Diana Marco Leite Jesus</v>
      </c>
      <c r="E94" t="str">
        <f ca="1">Nomes!S95</f>
        <v>Feminino</v>
      </c>
      <c r="F94" s="2">
        <v>19081</v>
      </c>
      <c r="G94" t="str" cm="1">
        <f t="array" aca="1" ref="G94" ca="1">INDEX(rua_cod!$F:$F,RANDBETWEEN(2,COUNTA(rua_cod!F:F)))</f>
        <v>Rua General Morais Sarmento</v>
      </c>
      <c r="H94" t="str" cm="1">
        <f t="array" aca="1" ref="H94" ca="1">INDEX(rua_cod!$A:$A,Médicos!X94) &amp; "-" &amp; TEXT(RANDBETWEEN(0,999),"000")</f>
        <v>1998-138</v>
      </c>
      <c r="I94" t="str" cm="1">
        <f t="array" aca="1" ref="I94" ca="1">INDEX(rua_cod!$B:$B,Médicos!X94)</f>
        <v>Lisboa</v>
      </c>
      <c r="J94" t="s">
        <v>341</v>
      </c>
      <c r="K94" t="s">
        <v>225</v>
      </c>
      <c r="L94" t="s">
        <v>265</v>
      </c>
      <c r="M94" t="str">
        <f t="shared" ca="1" si="14"/>
        <v>41732542</v>
      </c>
      <c r="N94" t="str">
        <f t="shared" ca="1" si="15"/>
        <v>789813460</v>
      </c>
      <c r="O94" t="str">
        <f t="shared" ca="1" si="15"/>
        <v>234811273</v>
      </c>
      <c r="P94" t="str" cm="1">
        <f t="array" aca="1" ref="P94" ca="1">9 &amp; INDEX($AH$3:$AH$6,Y94)&amp; TEXT(RANDBETWEEN(0,9999999),"0000000")</f>
        <v>969318624</v>
      </c>
      <c r="Q94" t="str" cm="1">
        <f t="array" aca="1" ref="Q94" ca="1">LOWER(B94) &amp; INDEX($AH$9:$AH$11,Z94)</f>
        <v>med093@hospital.upskill.com</v>
      </c>
      <c r="R94" t="str">
        <f t="shared" si="16"/>
        <v>med093.jpg</v>
      </c>
      <c r="S94" s="8">
        <f t="shared" ca="1" si="17"/>
        <v>2471123981966709</v>
      </c>
      <c r="T94" t="s">
        <v>341</v>
      </c>
      <c r="V94" s="4"/>
      <c r="X94">
        <f ca="1">RANDBETWEEN(2,COUNTA(rua_cod!A:A))</f>
        <v>78</v>
      </c>
      <c r="Y94">
        <f t="shared" ca="1" si="18"/>
        <v>4</v>
      </c>
      <c r="Z94">
        <f t="shared" ca="1" si="19"/>
        <v>3</v>
      </c>
      <c r="AA94">
        <f t="shared" ca="1" si="20"/>
        <v>1967</v>
      </c>
      <c r="AB94">
        <f t="shared" ca="1" si="21"/>
        <v>7</v>
      </c>
      <c r="AC94">
        <f t="shared" ca="1" si="22"/>
        <v>28</v>
      </c>
      <c r="AD94">
        <f t="shared" ca="1" si="23"/>
        <v>53</v>
      </c>
    </row>
    <row r="95" spans="1:30" x14ac:dyDescent="0.25">
      <c r="A95">
        <v>94</v>
      </c>
      <c r="B95" t="str">
        <f t="shared" si="12"/>
        <v>med094</v>
      </c>
      <c r="C95" t="str">
        <f t="shared" si="13"/>
        <v>pswmed094</v>
      </c>
      <c r="D95" t="str">
        <f ca="1">Nomes!T96</f>
        <v>Miguel Lurdes Ribeiro Reis</v>
      </c>
      <c r="E95" t="str">
        <f ca="1">Nomes!S96</f>
        <v>Masculino</v>
      </c>
      <c r="F95" s="2">
        <v>28822</v>
      </c>
      <c r="G95" t="str" cm="1">
        <f t="array" aca="1" ref="G95" ca="1">INDEX(rua_cod!$F:$F,RANDBETWEEN(2,COUNTA(rua_cod!F:F)))</f>
        <v>Rua dos Heróis de Quionga</v>
      </c>
      <c r="H95" t="str" cm="1">
        <f t="array" aca="1" ref="H95" ca="1">INDEX(rua_cod!$A:$A,Médicos!X95) &amp; "-" &amp; TEXT(RANDBETWEEN(0,999),"000")</f>
        <v>2900-609</v>
      </c>
      <c r="I95" t="str" cm="1">
        <f t="array" aca="1" ref="I95" ca="1">INDEX(rua_cod!$B:$B,Médicos!X95)</f>
        <v>Setúbal</v>
      </c>
      <c r="J95" t="s">
        <v>341</v>
      </c>
      <c r="K95" t="s">
        <v>225</v>
      </c>
      <c r="L95" t="s">
        <v>265</v>
      </c>
      <c r="M95" t="str">
        <f t="shared" ca="1" si="14"/>
        <v>92518123</v>
      </c>
      <c r="N95" t="str">
        <f t="shared" ca="1" si="15"/>
        <v>164375843</v>
      </c>
      <c r="O95" t="str">
        <f t="shared" ca="1" si="15"/>
        <v>857724009</v>
      </c>
      <c r="P95" t="str" cm="1">
        <f t="array" aca="1" ref="P95" ca="1">9 &amp; INDEX($AH$3:$AH$6,Y95)&amp; TEXT(RANDBETWEEN(0,9999999),"0000000")</f>
        <v>968579414</v>
      </c>
      <c r="Q95" t="str" cm="1">
        <f t="array" aca="1" ref="Q95" ca="1">LOWER(B95) &amp; INDEX($AH$9:$AH$11,Z95)</f>
        <v>med094@hospital.upskill.com</v>
      </c>
      <c r="R95" t="str">
        <f t="shared" si="16"/>
        <v>med094.jpg</v>
      </c>
      <c r="S95" s="8">
        <f t="shared" ca="1" si="17"/>
        <v>7753613898118035</v>
      </c>
      <c r="T95" t="s">
        <v>341</v>
      </c>
      <c r="V95" s="4"/>
      <c r="X95">
        <f ca="1">RANDBETWEEN(2,COUNTA(rua_cod!A:A))</f>
        <v>96</v>
      </c>
      <c r="Y95">
        <f t="shared" ca="1" si="18"/>
        <v>4</v>
      </c>
      <c r="Z95">
        <f t="shared" ca="1" si="19"/>
        <v>3</v>
      </c>
      <c r="AA95">
        <f t="shared" ca="1" si="20"/>
        <v>1975</v>
      </c>
      <c r="AB95">
        <f t="shared" ca="1" si="21"/>
        <v>2</v>
      </c>
      <c r="AC95">
        <f t="shared" ca="1" si="22"/>
        <v>12</v>
      </c>
      <c r="AD95">
        <f t="shared" ca="1" si="23"/>
        <v>45</v>
      </c>
    </row>
    <row r="96" spans="1:30" x14ac:dyDescent="0.25">
      <c r="A96">
        <v>95</v>
      </c>
      <c r="B96" t="str">
        <f t="shared" si="12"/>
        <v>med095</v>
      </c>
      <c r="C96" t="str">
        <f t="shared" si="13"/>
        <v>pswmed095</v>
      </c>
      <c r="D96" t="str">
        <f ca="1">Nomes!T97</f>
        <v>Afonso André Neto Reis</v>
      </c>
      <c r="E96" t="str">
        <f ca="1">Nomes!S97</f>
        <v>Masculino</v>
      </c>
      <c r="F96" s="2">
        <v>23243</v>
      </c>
      <c r="G96" t="str" cm="1">
        <f t="array" aca="1" ref="G96" ca="1">INDEX(rua_cod!$F:$F,RANDBETWEEN(2,COUNTA(rua_cod!F:F)))</f>
        <v>Rua Roberto Duarte Silva</v>
      </c>
      <c r="H96" t="str" cm="1">
        <f t="array" aca="1" ref="H96" ca="1">INDEX(rua_cod!$A:$A,Médicos!X96) &amp; "-" &amp; TEXT(RANDBETWEEN(0,999),"000")</f>
        <v>1349-611</v>
      </c>
      <c r="I96" t="str" cm="1">
        <f t="array" aca="1" ref="I96" ca="1">INDEX(rua_cod!$B:$B,Médicos!X96)</f>
        <v>Lisboa</v>
      </c>
      <c r="J96" t="s">
        <v>341</v>
      </c>
      <c r="K96" t="s">
        <v>225</v>
      </c>
      <c r="L96" t="s">
        <v>265</v>
      </c>
      <c r="M96" t="str">
        <f t="shared" ca="1" si="14"/>
        <v>54370725</v>
      </c>
      <c r="N96" t="str">
        <f t="shared" ca="1" si="15"/>
        <v>652091337</v>
      </c>
      <c r="O96" t="str">
        <f t="shared" ca="1" si="15"/>
        <v>652672462</v>
      </c>
      <c r="P96" t="str" cm="1">
        <f t="array" aca="1" ref="P96" ca="1">9 &amp; INDEX($AH$3:$AH$6,Y96)&amp; TEXT(RANDBETWEEN(0,9999999),"0000000")</f>
        <v>914622024</v>
      </c>
      <c r="Q96" t="str" cm="1">
        <f t="array" aca="1" ref="Q96" ca="1">LOWER(B96) &amp; INDEX($AH$9:$AH$11,Z96)</f>
        <v>med095@hospital.upskill.com</v>
      </c>
      <c r="R96" t="str">
        <f t="shared" si="16"/>
        <v>med095.jpg</v>
      </c>
      <c r="S96" s="8">
        <f t="shared" ca="1" si="17"/>
        <v>1034154458551083</v>
      </c>
      <c r="T96" t="s">
        <v>341</v>
      </c>
      <c r="V96" s="4"/>
      <c r="X96">
        <f ca="1">RANDBETWEEN(2,COUNTA(rua_cod!A:A))</f>
        <v>71</v>
      </c>
      <c r="Y96">
        <f t="shared" ca="1" si="18"/>
        <v>1</v>
      </c>
      <c r="Z96">
        <f t="shared" ca="1" si="19"/>
        <v>1</v>
      </c>
      <c r="AA96">
        <f t="shared" ca="1" si="20"/>
        <v>1991</v>
      </c>
      <c r="AB96">
        <f t="shared" ca="1" si="21"/>
        <v>12</v>
      </c>
      <c r="AC96">
        <f t="shared" ca="1" si="22"/>
        <v>18</v>
      </c>
      <c r="AD96">
        <f t="shared" ca="1" si="23"/>
        <v>29</v>
      </c>
    </row>
    <row r="97" spans="1:30" x14ac:dyDescent="0.25">
      <c r="A97">
        <v>96</v>
      </c>
      <c r="B97" t="str">
        <f t="shared" si="12"/>
        <v>med096</v>
      </c>
      <c r="C97" t="str">
        <f t="shared" si="13"/>
        <v>pswmed096</v>
      </c>
      <c r="D97" t="str">
        <f ca="1">Nomes!T98</f>
        <v>Diana José Maia Pinho</v>
      </c>
      <c r="E97" t="str">
        <f ca="1">Nomes!S98</f>
        <v>Feminino</v>
      </c>
      <c r="F97" s="2">
        <v>18576</v>
      </c>
      <c r="G97" t="str" cm="1">
        <f t="array" aca="1" ref="G97" ca="1">INDEX(rua_cod!$F:$F,RANDBETWEEN(2,COUNTA(rua_cod!F:F)))</f>
        <v>Rua de São Mamede</v>
      </c>
      <c r="H97" t="str" cm="1">
        <f t="array" aca="1" ref="H97" ca="1">INDEX(rua_cod!$A:$A,Médicos!X97) &amp; "-" &amp; TEXT(RANDBETWEEN(0,999),"000")</f>
        <v>2655-838</v>
      </c>
      <c r="I97" t="str" cm="1">
        <f t="array" aca="1" ref="I97" ca="1">INDEX(rua_cod!$B:$B,Médicos!X97)</f>
        <v>Ericeira</v>
      </c>
      <c r="J97" t="s">
        <v>341</v>
      </c>
      <c r="K97" t="s">
        <v>225</v>
      </c>
      <c r="L97" t="s">
        <v>265</v>
      </c>
      <c r="M97" t="str">
        <f t="shared" ca="1" si="14"/>
        <v>66592396</v>
      </c>
      <c r="N97" t="str">
        <f t="shared" ca="1" si="15"/>
        <v>663270748</v>
      </c>
      <c r="O97" t="str">
        <f t="shared" ca="1" si="15"/>
        <v>841009754</v>
      </c>
      <c r="P97" t="str" cm="1">
        <f t="array" aca="1" ref="P97" ca="1">9 &amp; INDEX($AH$3:$AH$6,Y97)&amp; TEXT(RANDBETWEEN(0,9999999),"0000000")</f>
        <v>963516445</v>
      </c>
      <c r="Q97" t="str" cm="1">
        <f t="array" aca="1" ref="Q97" ca="1">LOWER(B97) &amp; INDEX($AH$9:$AH$11,Z97)</f>
        <v>med096@hospital.upskill.com</v>
      </c>
      <c r="R97" t="str">
        <f t="shared" si="16"/>
        <v>med096.jpg</v>
      </c>
      <c r="S97" s="8">
        <f t="shared" ca="1" si="17"/>
        <v>7471499081012710</v>
      </c>
      <c r="T97" t="s">
        <v>341</v>
      </c>
      <c r="V97" s="4"/>
      <c r="X97">
        <f ca="1">RANDBETWEEN(2,COUNTA(rua_cod!A:A))</f>
        <v>31</v>
      </c>
      <c r="Y97">
        <f t="shared" ca="1" si="18"/>
        <v>4</v>
      </c>
      <c r="Z97">
        <f t="shared" ca="1" si="19"/>
        <v>3</v>
      </c>
      <c r="AA97">
        <f t="shared" ca="1" si="20"/>
        <v>1975</v>
      </c>
      <c r="AB97">
        <f t="shared" ca="1" si="21"/>
        <v>5</v>
      </c>
      <c r="AC97">
        <f t="shared" ca="1" si="22"/>
        <v>26</v>
      </c>
      <c r="AD97">
        <f t="shared" ca="1" si="23"/>
        <v>45</v>
      </c>
    </row>
    <row r="98" spans="1:30" x14ac:dyDescent="0.25">
      <c r="A98">
        <v>97</v>
      </c>
      <c r="B98" t="str">
        <f t="shared" si="12"/>
        <v>med097</v>
      </c>
      <c r="C98" t="str">
        <f t="shared" si="13"/>
        <v>pswmed097</v>
      </c>
      <c r="D98" t="str">
        <f ca="1">Nomes!T99</f>
        <v>Pedro Lurdes Monteiro Campos</v>
      </c>
      <c r="E98" t="str">
        <f ca="1">Nomes!S99</f>
        <v>Masculino</v>
      </c>
      <c r="F98" s="2">
        <v>36577</v>
      </c>
      <c r="G98" t="str" cm="1">
        <f t="array" aca="1" ref="G98" ca="1">INDEX(rua_cod!$F:$F,RANDBETWEEN(2,COUNTA(rua_cod!F:F)))</f>
        <v>Calçada de Carriche</v>
      </c>
      <c r="H98" t="str" cm="1">
        <f t="array" aca="1" ref="H98" ca="1">INDEX(rua_cod!$A:$A,Médicos!X98) &amp; "-" &amp; TEXT(RANDBETWEEN(0,999),"000")</f>
        <v>1999-555</v>
      </c>
      <c r="I98" t="str" cm="1">
        <f t="array" aca="1" ref="I98" ca="1">INDEX(rua_cod!$B:$B,Médicos!X98)</f>
        <v>Lisboa</v>
      </c>
      <c r="J98" t="s">
        <v>341</v>
      </c>
      <c r="K98" t="s">
        <v>225</v>
      </c>
      <c r="L98" t="s">
        <v>265</v>
      </c>
      <c r="M98" t="str">
        <f t="shared" ca="1" si="14"/>
        <v>63306698</v>
      </c>
      <c r="N98" t="str">
        <f t="shared" ca="1" si="15"/>
        <v>169071501</v>
      </c>
      <c r="O98" t="str">
        <f t="shared" ca="1" si="15"/>
        <v>905312165</v>
      </c>
      <c r="P98" t="str" cm="1">
        <f t="array" aca="1" ref="P98" ca="1">9 &amp; INDEX($AH$3:$AH$6,Y98)&amp; TEXT(RANDBETWEEN(0,9999999),"0000000")</f>
        <v>910202499</v>
      </c>
      <c r="Q98" t="str" cm="1">
        <f t="array" aca="1" ref="Q98" ca="1">LOWER(B98) &amp; INDEX($AH$9:$AH$11,Z98)</f>
        <v>med097@hospital.upskill.com</v>
      </c>
      <c r="R98" t="str">
        <f t="shared" si="16"/>
        <v>med097.jpg</v>
      </c>
      <c r="S98" s="8">
        <f t="shared" ca="1" si="17"/>
        <v>1438847265398715</v>
      </c>
      <c r="T98" t="s">
        <v>341</v>
      </c>
      <c r="V98" s="4"/>
      <c r="X98">
        <f ca="1">RANDBETWEEN(2,COUNTA(rua_cod!A:A))</f>
        <v>79</v>
      </c>
      <c r="Y98">
        <f t="shared" ca="1" si="18"/>
        <v>1</v>
      </c>
      <c r="Z98">
        <f t="shared" ca="1" si="19"/>
        <v>1</v>
      </c>
      <c r="AA98">
        <f t="shared" ca="1" si="20"/>
        <v>1958</v>
      </c>
      <c r="AB98">
        <f t="shared" ca="1" si="21"/>
        <v>10</v>
      </c>
      <c r="AC98">
        <f t="shared" ca="1" si="22"/>
        <v>18</v>
      </c>
      <c r="AD98">
        <f t="shared" ca="1" si="23"/>
        <v>62</v>
      </c>
    </row>
    <row r="99" spans="1:30" x14ac:dyDescent="0.25">
      <c r="A99">
        <v>98</v>
      </c>
      <c r="B99" t="str">
        <f t="shared" si="12"/>
        <v>med098</v>
      </c>
      <c r="C99" t="str">
        <f t="shared" si="13"/>
        <v>pswmed098</v>
      </c>
      <c r="D99" t="str">
        <f ca="1">Nomes!T100</f>
        <v>Pedro José Nunes Amaral</v>
      </c>
      <c r="E99" t="str">
        <f ca="1">Nomes!S100</f>
        <v>Masculino</v>
      </c>
      <c r="F99" s="2">
        <v>18365</v>
      </c>
      <c r="G99" t="str" cm="1">
        <f t="array" aca="1" ref="G99" ca="1">INDEX(rua_cod!$F:$F,RANDBETWEEN(2,COUNTA(rua_cod!F:F)))</f>
        <v>Rua da Prata</v>
      </c>
      <c r="H99" t="str" cm="1">
        <f t="array" aca="1" ref="H99" ca="1">INDEX(rua_cod!$A:$A,Médicos!X99) &amp; "-" &amp; TEXT(RANDBETWEEN(0,999),"000")</f>
        <v>2779-678</v>
      </c>
      <c r="I99" t="str" cm="1">
        <f t="array" aca="1" ref="I99" ca="1">INDEX(rua_cod!$B:$B,Médicos!X99)</f>
        <v>Carcavelos</v>
      </c>
      <c r="J99" t="s">
        <v>341</v>
      </c>
      <c r="K99" t="s">
        <v>225</v>
      </c>
      <c r="L99" t="s">
        <v>265</v>
      </c>
      <c r="M99" t="str">
        <f t="shared" ca="1" si="14"/>
        <v>27092739</v>
      </c>
      <c r="N99" t="str">
        <f t="shared" ca="1" si="15"/>
        <v>533415926</v>
      </c>
      <c r="O99" t="str">
        <f t="shared" ca="1" si="15"/>
        <v>916087767</v>
      </c>
      <c r="P99" t="str" cm="1">
        <f t="array" aca="1" ref="P99" ca="1">9 &amp; INDEX($AH$3:$AH$6,Y99)&amp; TEXT(RANDBETWEEN(0,9999999),"0000000")</f>
        <v>924766848</v>
      </c>
      <c r="Q99" t="str" cm="1">
        <f t="array" aca="1" ref="Q99" ca="1">LOWER(B99) &amp; INDEX($AH$9:$AH$11,Z99)</f>
        <v>med098@hospital.upskill.com</v>
      </c>
      <c r="R99" t="str">
        <f t="shared" si="16"/>
        <v>med098.jpg</v>
      </c>
      <c r="S99" s="8">
        <f t="shared" ca="1" si="17"/>
        <v>1764743392496286</v>
      </c>
      <c r="T99" t="s">
        <v>341</v>
      </c>
      <c r="V99" s="4"/>
      <c r="X99">
        <f ca="1">RANDBETWEEN(2,COUNTA(rua_cod!A:A))</f>
        <v>21</v>
      </c>
      <c r="Y99">
        <f t="shared" ca="1" si="18"/>
        <v>2</v>
      </c>
      <c r="Z99">
        <f t="shared" ca="1" si="19"/>
        <v>2</v>
      </c>
      <c r="AA99">
        <f t="shared" ca="1" si="20"/>
        <v>1977</v>
      </c>
      <c r="AB99">
        <f t="shared" ca="1" si="21"/>
        <v>6</v>
      </c>
      <c r="AC99">
        <f t="shared" ca="1" si="22"/>
        <v>31</v>
      </c>
      <c r="AD99">
        <f t="shared" ca="1" si="23"/>
        <v>43</v>
      </c>
    </row>
    <row r="100" spans="1:30" x14ac:dyDescent="0.25">
      <c r="A100">
        <v>99</v>
      </c>
      <c r="B100" t="str">
        <f t="shared" si="12"/>
        <v>med099</v>
      </c>
      <c r="C100" t="str">
        <f t="shared" si="13"/>
        <v>pswmed099</v>
      </c>
      <c r="D100" t="str">
        <f ca="1">Nomes!T101</f>
        <v>Afonso Sofia Ferreira Soares</v>
      </c>
      <c r="E100" t="str">
        <f ca="1">Nomes!S101</f>
        <v>Masculino</v>
      </c>
      <c r="F100" s="2">
        <v>31062</v>
      </c>
      <c r="G100" t="str" cm="1">
        <f t="array" aca="1" ref="G100" ca="1">INDEX(rua_cod!$F:$F,RANDBETWEEN(2,COUNTA(rua_cod!F:F)))</f>
        <v>Rua do Comércio</v>
      </c>
      <c r="H100" t="str" cm="1">
        <f t="array" aca="1" ref="H100" ca="1">INDEX(rua_cod!$A:$A,Médicos!X100) &amp; "-" &amp; TEXT(RANDBETWEEN(0,999),"000")</f>
        <v>2749-801</v>
      </c>
      <c r="I100" t="str" cm="1">
        <f t="array" aca="1" ref="I100" ca="1">INDEX(rua_cod!$B:$B,Médicos!X100)</f>
        <v>Queluz</v>
      </c>
      <c r="J100" t="s">
        <v>341</v>
      </c>
      <c r="K100" t="s">
        <v>225</v>
      </c>
      <c r="L100" t="s">
        <v>265</v>
      </c>
      <c r="M100" t="str">
        <f t="shared" ca="1" si="14"/>
        <v>85528431</v>
      </c>
      <c r="N100" t="str">
        <f t="shared" ca="1" si="15"/>
        <v>281485465</v>
      </c>
      <c r="O100" t="str">
        <f t="shared" ca="1" si="15"/>
        <v>992511873</v>
      </c>
      <c r="P100" t="str" cm="1">
        <f t="array" aca="1" ref="P100" ca="1">9 &amp; INDEX($AH$3:$AH$6,Y100)&amp; TEXT(RANDBETWEEN(0,9999999),"0000000")</f>
        <v>932448306</v>
      </c>
      <c r="Q100" t="str" cm="1">
        <f t="array" aca="1" ref="Q100" ca="1">LOWER(B100) &amp; INDEX($AH$9:$AH$11,Z100)</f>
        <v>med099@hospital.upskill.com</v>
      </c>
      <c r="R100" t="str">
        <f t="shared" si="16"/>
        <v>med099.jpg</v>
      </c>
      <c r="S100" s="8">
        <f t="shared" ca="1" si="17"/>
        <v>7274855684145787</v>
      </c>
      <c r="T100" t="s">
        <v>341</v>
      </c>
      <c r="V100" s="4"/>
      <c r="X100">
        <f ca="1">RANDBETWEEN(2,COUNTA(rua_cod!A:A))</f>
        <v>91</v>
      </c>
      <c r="Y100">
        <f t="shared" ca="1" si="18"/>
        <v>3</v>
      </c>
      <c r="Z100">
        <f t="shared" ca="1" si="19"/>
        <v>3</v>
      </c>
      <c r="AA100">
        <f t="shared" ca="1" si="20"/>
        <v>1990</v>
      </c>
      <c r="AB100">
        <f t="shared" ca="1" si="21"/>
        <v>9</v>
      </c>
      <c r="AC100">
        <f t="shared" ca="1" si="22"/>
        <v>17</v>
      </c>
      <c r="AD100">
        <f t="shared" ca="1" si="23"/>
        <v>30</v>
      </c>
    </row>
    <row r="101" spans="1:30" x14ac:dyDescent="0.25">
      <c r="A101">
        <v>100</v>
      </c>
      <c r="B101" t="str">
        <f t="shared" si="12"/>
        <v>med100</v>
      </c>
      <c r="C101" t="str">
        <f t="shared" si="13"/>
        <v>pswmed100</v>
      </c>
      <c r="D101" t="str">
        <f ca="1">Nomes!T102</f>
        <v>Vera Gabriel Martins Soares</v>
      </c>
      <c r="E101" t="str">
        <f ca="1">Nomes!S102</f>
        <v>Feminino</v>
      </c>
      <c r="F101" s="2">
        <v>37490</v>
      </c>
      <c r="G101" t="str" cm="1">
        <f t="array" aca="1" ref="G101" ca="1">INDEX(rua_cod!$F:$F,RANDBETWEEN(2,COUNTA(rua_cod!F:F)))</f>
        <v>Rua Garrett</v>
      </c>
      <c r="H101" t="str" cm="1">
        <f t="array" aca="1" ref="H101" ca="1">INDEX(rua_cod!$A:$A,Médicos!X101) &amp; "-" &amp; TEXT(RANDBETWEEN(0,999),"000")</f>
        <v>1749-402</v>
      </c>
      <c r="I101" t="str" cm="1">
        <f t="array" aca="1" ref="I101" ca="1">INDEX(rua_cod!$B:$B,Médicos!X101)</f>
        <v>Lisboa</v>
      </c>
      <c r="J101" t="s">
        <v>341</v>
      </c>
      <c r="K101" t="s">
        <v>225</v>
      </c>
      <c r="L101" t="s">
        <v>265</v>
      </c>
      <c r="M101" t="str">
        <f t="shared" ca="1" si="14"/>
        <v>56871831</v>
      </c>
      <c r="N101" t="str">
        <f t="shared" ca="1" si="15"/>
        <v>200498907</v>
      </c>
      <c r="O101" t="str">
        <f t="shared" ca="1" si="15"/>
        <v>708610809</v>
      </c>
      <c r="P101" t="str" cm="1">
        <f t="array" aca="1" ref="P101" ca="1">9 &amp; INDEX($AH$3:$AH$6,Y101)&amp; TEXT(RANDBETWEEN(0,9999999),"0000000")</f>
        <v>969921422</v>
      </c>
      <c r="Q101" t="str" cm="1">
        <f t="array" aca="1" ref="Q101" ca="1">LOWER(B101) &amp; INDEX($AH$9:$AH$11,Z101)</f>
        <v>med100@hospital.upskill.com</v>
      </c>
      <c r="R101" t="str">
        <f t="shared" si="16"/>
        <v>med100.jpg</v>
      </c>
      <c r="S101" s="8">
        <f t="shared" ca="1" si="17"/>
        <v>6972640242109811</v>
      </c>
      <c r="T101" t="s">
        <v>341</v>
      </c>
      <c r="V101" s="4"/>
      <c r="X101">
        <f ca="1">RANDBETWEEN(2,COUNTA(rua_cod!A:A))</f>
        <v>61</v>
      </c>
      <c r="Y101">
        <f t="shared" ca="1" si="18"/>
        <v>4</v>
      </c>
      <c r="Z101">
        <f t="shared" ca="1" si="19"/>
        <v>3</v>
      </c>
      <c r="AA101">
        <f t="shared" ca="1" si="20"/>
        <v>1965</v>
      </c>
      <c r="AB101">
        <f t="shared" ca="1" si="21"/>
        <v>10</v>
      </c>
      <c r="AC101">
        <f t="shared" ca="1" si="22"/>
        <v>26</v>
      </c>
      <c r="AD101">
        <f t="shared" ca="1" si="23"/>
        <v>55</v>
      </c>
    </row>
    <row r="102" spans="1:30" x14ac:dyDescent="0.25">
      <c r="A102">
        <v>101</v>
      </c>
      <c r="B102" t="str">
        <f t="shared" si="12"/>
        <v>med101</v>
      </c>
      <c r="C102" t="str">
        <f t="shared" si="13"/>
        <v>pswmed101</v>
      </c>
      <c r="D102" t="str">
        <f ca="1">Nomes!T103</f>
        <v>Sara Diogo Cunha Valente</v>
      </c>
      <c r="E102" t="str">
        <f ca="1">Nomes!S103</f>
        <v>Feminino</v>
      </c>
      <c r="F102" s="2">
        <v>23523</v>
      </c>
      <c r="G102" t="str" cm="1">
        <f t="array" aca="1" ref="G102" ca="1">INDEX(rua_cod!$F:$F,RANDBETWEEN(2,COUNTA(rua_cod!F:F)))</f>
        <v>Rua do Carmo</v>
      </c>
      <c r="H102" t="str" cm="1">
        <f t="array" aca="1" ref="H102" ca="1">INDEX(rua_cod!$A:$A,Médicos!X102) &amp; "-" &amp; TEXT(RANDBETWEEN(0,999),"000")</f>
        <v>2410-805</v>
      </c>
      <c r="I102" t="str" cm="1">
        <f t="array" aca="1" ref="I102" ca="1">INDEX(rua_cod!$B:$B,Médicos!X102)</f>
        <v>Leiria</v>
      </c>
      <c r="J102" t="s">
        <v>341</v>
      </c>
      <c r="K102" t="s">
        <v>225</v>
      </c>
      <c r="L102" t="s">
        <v>265</v>
      </c>
      <c r="M102" t="str">
        <f t="shared" ca="1" si="14"/>
        <v>73904208</v>
      </c>
      <c r="N102" t="str">
        <f t="shared" ca="1" si="15"/>
        <v>524801237</v>
      </c>
      <c r="O102" t="str">
        <f t="shared" ca="1" si="15"/>
        <v>829134845</v>
      </c>
      <c r="P102" t="str" cm="1">
        <f t="array" aca="1" ref="P102" ca="1">9 &amp; INDEX($AH$3:$AH$6,Y102)&amp; TEXT(RANDBETWEEN(0,9999999),"0000000")</f>
        <v>927514236</v>
      </c>
      <c r="Q102" t="str" cm="1">
        <f t="array" aca="1" ref="Q102" ca="1">LOWER(B102) &amp; INDEX($AH$9:$AH$11,Z102)</f>
        <v>med101@hospital.upskill.com</v>
      </c>
      <c r="R102" t="str">
        <f t="shared" si="16"/>
        <v>med101.jpg</v>
      </c>
      <c r="S102" s="8">
        <f t="shared" ca="1" si="17"/>
        <v>9046684411964776</v>
      </c>
      <c r="T102" t="s">
        <v>341</v>
      </c>
      <c r="V102" s="4"/>
      <c r="X102">
        <f ca="1">RANDBETWEEN(2,COUNTA(rua_cod!A:A))</f>
        <v>34</v>
      </c>
      <c r="Y102">
        <f t="shared" ca="1" si="18"/>
        <v>2</v>
      </c>
      <c r="Z102">
        <f t="shared" ca="1" si="19"/>
        <v>1</v>
      </c>
      <c r="AA102">
        <f t="shared" ca="1" si="20"/>
        <v>1982</v>
      </c>
      <c r="AB102">
        <f t="shared" ca="1" si="21"/>
        <v>6</v>
      </c>
      <c r="AC102">
        <f t="shared" ca="1" si="22"/>
        <v>29</v>
      </c>
      <c r="AD102">
        <f t="shared" ca="1" si="23"/>
        <v>38</v>
      </c>
    </row>
    <row r="103" spans="1:30" x14ac:dyDescent="0.25">
      <c r="A103">
        <v>102</v>
      </c>
      <c r="B103" t="str">
        <f t="shared" si="12"/>
        <v>med102</v>
      </c>
      <c r="C103" t="str">
        <f t="shared" si="13"/>
        <v>pswmed102</v>
      </c>
      <c r="D103" t="str">
        <f ca="1">Nomes!T104</f>
        <v>Bruno Sara Antunes Barbosa</v>
      </c>
      <c r="E103" t="str">
        <f ca="1">Nomes!S104</f>
        <v>Masculino</v>
      </c>
      <c r="F103" s="2">
        <v>43571</v>
      </c>
      <c r="G103" t="str" cm="1">
        <f t="array" aca="1" ref="G103" ca="1">INDEX(rua_cod!$F:$F,RANDBETWEEN(2,COUNTA(rua_cod!F:F)))</f>
        <v>Rua Nova do Almada</v>
      </c>
      <c r="H103" t="str" cm="1">
        <f t="array" aca="1" ref="H103" ca="1">INDEX(rua_cod!$A:$A,Médicos!X103) &amp; "-" &amp; TEXT(RANDBETWEEN(0,999),"000")</f>
        <v>2910-406</v>
      </c>
      <c r="I103" t="str" cm="1">
        <f t="array" aca="1" ref="I103" ca="1">INDEX(rua_cod!$B:$B,Médicos!X103)</f>
        <v>Setúbal</v>
      </c>
      <c r="J103" t="s">
        <v>341</v>
      </c>
      <c r="K103" t="s">
        <v>225</v>
      </c>
      <c r="L103" t="s">
        <v>265</v>
      </c>
      <c r="M103" t="str">
        <f t="shared" ca="1" si="14"/>
        <v>83360866</v>
      </c>
      <c r="N103" t="str">
        <f t="shared" ca="1" si="15"/>
        <v>344631684</v>
      </c>
      <c r="O103" t="str">
        <f t="shared" ca="1" si="15"/>
        <v>331330037</v>
      </c>
      <c r="P103" t="str" cm="1">
        <f t="array" aca="1" ref="P103" ca="1">9 &amp; INDEX($AH$3:$AH$6,Y103)&amp; TEXT(RANDBETWEEN(0,9999999),"0000000")</f>
        <v>917615621</v>
      </c>
      <c r="Q103" t="str" cm="1">
        <f t="array" aca="1" ref="Q103" ca="1">LOWER(B103) &amp; INDEX($AH$9:$AH$11,Z103)</f>
        <v>med102@hospital.upskill.com</v>
      </c>
      <c r="R103" t="str">
        <f t="shared" si="16"/>
        <v>med102.jpg</v>
      </c>
      <c r="S103" s="8">
        <f t="shared" ca="1" si="17"/>
        <v>5538832303626364</v>
      </c>
      <c r="T103" t="s">
        <v>341</v>
      </c>
      <c r="V103" s="4"/>
      <c r="X103">
        <f ca="1">RANDBETWEEN(2,COUNTA(rua_cod!A:A))</f>
        <v>97</v>
      </c>
      <c r="Y103">
        <f t="shared" ca="1" si="18"/>
        <v>1</v>
      </c>
      <c r="Z103">
        <f t="shared" ca="1" si="19"/>
        <v>3</v>
      </c>
      <c r="AA103">
        <f t="shared" ca="1" si="20"/>
        <v>1957</v>
      </c>
      <c r="AB103">
        <f t="shared" ca="1" si="21"/>
        <v>8</v>
      </c>
      <c r="AC103">
        <f t="shared" ca="1" si="22"/>
        <v>19</v>
      </c>
      <c r="AD103">
        <f t="shared" ca="1" si="23"/>
        <v>63</v>
      </c>
    </row>
    <row r="104" spans="1:30" x14ac:dyDescent="0.25">
      <c r="A104">
        <v>103</v>
      </c>
      <c r="B104" t="str">
        <f t="shared" si="12"/>
        <v>med103</v>
      </c>
      <c r="C104" t="str">
        <f t="shared" si="13"/>
        <v>pswmed103</v>
      </c>
      <c r="D104" t="str">
        <f ca="1">Nomes!T105</f>
        <v>João Santiago Reis Soares</v>
      </c>
      <c r="E104" t="str">
        <f ca="1">Nomes!S105</f>
        <v>Masculino</v>
      </c>
      <c r="F104" s="2">
        <v>35936</v>
      </c>
      <c r="G104" t="str" cm="1">
        <f t="array" aca="1" ref="G104" ca="1">INDEX(rua_cod!$F:$F,RANDBETWEEN(2,COUNTA(rua_cod!F:F)))</f>
        <v>Rua Roberto Duarte Silva</v>
      </c>
      <c r="H104" t="str" cm="1">
        <f t="array" aca="1" ref="H104" ca="1">INDEX(rua_cod!$A:$A,Médicos!X104) &amp; "-" &amp; TEXT(RANDBETWEEN(0,999),"000")</f>
        <v>2334-287</v>
      </c>
      <c r="I104" t="str" cm="1">
        <f t="array" aca="1" ref="I104" ca="1">INDEX(rua_cod!$B:$B,Médicos!X104)</f>
        <v>Entroncamento</v>
      </c>
      <c r="J104" t="s">
        <v>341</v>
      </c>
      <c r="K104" t="s">
        <v>225</v>
      </c>
      <c r="L104" t="s">
        <v>265</v>
      </c>
      <c r="M104" t="str">
        <f t="shared" ca="1" si="14"/>
        <v>90523101</v>
      </c>
      <c r="N104" t="str">
        <f t="shared" ca="1" si="15"/>
        <v>691173957</v>
      </c>
      <c r="O104" t="str">
        <f t="shared" ca="1" si="15"/>
        <v>808508328</v>
      </c>
      <c r="P104" t="str" cm="1">
        <f t="array" aca="1" ref="P104" ca="1">9 &amp; INDEX($AH$3:$AH$6,Y104)&amp; TEXT(RANDBETWEEN(0,9999999),"0000000")</f>
        <v>926949031</v>
      </c>
      <c r="Q104" t="str" cm="1">
        <f t="array" aca="1" ref="Q104" ca="1">LOWER(B104) &amp; INDEX($AH$9:$AH$11,Z104)</f>
        <v>med103@hospital.upskill.com</v>
      </c>
      <c r="R104" t="str">
        <f t="shared" si="16"/>
        <v>med103.jpg</v>
      </c>
      <c r="S104" s="8">
        <f t="shared" ca="1" si="17"/>
        <v>1026724989603335</v>
      </c>
      <c r="T104" t="s">
        <v>341</v>
      </c>
      <c r="V104" s="4"/>
      <c r="X104">
        <f ca="1">RANDBETWEEN(2,COUNTA(rua_cod!A:A))</f>
        <v>30</v>
      </c>
      <c r="Y104">
        <f t="shared" ca="1" si="18"/>
        <v>2</v>
      </c>
      <c r="Z104">
        <f t="shared" ca="1" si="19"/>
        <v>2</v>
      </c>
      <c r="AA104">
        <f t="shared" ca="1" si="20"/>
        <v>1964</v>
      </c>
      <c r="AB104">
        <f t="shared" ca="1" si="21"/>
        <v>11</v>
      </c>
      <c r="AC104">
        <f t="shared" ca="1" si="22"/>
        <v>11</v>
      </c>
      <c r="AD104">
        <f t="shared" ca="1" si="23"/>
        <v>56</v>
      </c>
    </row>
    <row r="105" spans="1:30" x14ac:dyDescent="0.25">
      <c r="A105">
        <v>104</v>
      </c>
      <c r="B105" t="str">
        <f t="shared" si="12"/>
        <v>med104</v>
      </c>
      <c r="C105" t="str">
        <f t="shared" si="13"/>
        <v>pswmed104</v>
      </c>
      <c r="D105" t="str">
        <f ca="1">Nomes!T106</f>
        <v>Duarte Miguel Fonseca Leal</v>
      </c>
      <c r="E105" t="str">
        <f ca="1">Nomes!S106</f>
        <v>Masculino</v>
      </c>
      <c r="F105" s="2">
        <v>33299</v>
      </c>
      <c r="G105" t="str" cm="1">
        <f t="array" aca="1" ref="G105" ca="1">INDEX(rua_cod!$F:$F,RANDBETWEEN(2,COUNTA(rua_cod!F:F)))</f>
        <v>Avenida Ressano Garcia</v>
      </c>
      <c r="H105" t="str" cm="1">
        <f t="array" aca="1" ref="H105" ca="1">INDEX(rua_cod!$A:$A,Médicos!X105) &amp; "-" &amp; TEXT(RANDBETWEEN(0,999),"000")</f>
        <v>2784-553</v>
      </c>
      <c r="I105" t="str" cm="1">
        <f t="array" aca="1" ref="I105" ca="1">INDEX(rua_cod!$B:$B,Médicos!X105)</f>
        <v>Oeiras</v>
      </c>
      <c r="J105" t="s">
        <v>341</v>
      </c>
      <c r="K105" t="s">
        <v>225</v>
      </c>
      <c r="L105" t="s">
        <v>265</v>
      </c>
      <c r="M105" t="str">
        <f t="shared" ca="1" si="14"/>
        <v>10919587</v>
      </c>
      <c r="N105" t="str">
        <f t="shared" ca="1" si="15"/>
        <v>570786954</v>
      </c>
      <c r="O105" t="str">
        <f t="shared" ca="1" si="15"/>
        <v>344664793</v>
      </c>
      <c r="P105" t="str" cm="1">
        <f t="array" aca="1" ref="P105" ca="1">9 &amp; INDEX($AH$3:$AH$6,Y105)&amp; TEXT(RANDBETWEEN(0,9999999),"0000000")</f>
        <v>910629014</v>
      </c>
      <c r="Q105" t="str" cm="1">
        <f t="array" aca="1" ref="Q105" ca="1">LOWER(B105) &amp; INDEX($AH$9:$AH$11,Z105)</f>
        <v>med104@hospital.upskill.com</v>
      </c>
      <c r="R105" t="str">
        <f t="shared" si="16"/>
        <v>med104.jpg</v>
      </c>
      <c r="S105" s="8">
        <f t="shared" ca="1" si="17"/>
        <v>7865310407256485</v>
      </c>
      <c r="T105" t="s">
        <v>341</v>
      </c>
      <c r="V105" s="4"/>
      <c r="X105">
        <f ca="1">RANDBETWEEN(2,COUNTA(rua_cod!A:A))</f>
        <v>89</v>
      </c>
      <c r="Y105">
        <f t="shared" ca="1" si="18"/>
        <v>1</v>
      </c>
      <c r="Z105">
        <f t="shared" ca="1" si="19"/>
        <v>3</v>
      </c>
      <c r="AA105">
        <f t="shared" ca="1" si="20"/>
        <v>1981</v>
      </c>
      <c r="AB105">
        <f t="shared" ca="1" si="21"/>
        <v>9</v>
      </c>
      <c r="AC105">
        <f t="shared" ca="1" si="22"/>
        <v>10</v>
      </c>
      <c r="AD105">
        <f t="shared" ca="1" si="23"/>
        <v>39</v>
      </c>
    </row>
    <row r="106" spans="1:30" x14ac:dyDescent="0.25">
      <c r="A106">
        <v>105</v>
      </c>
      <c r="B106" t="str">
        <f t="shared" si="12"/>
        <v>med105</v>
      </c>
      <c r="C106" t="str">
        <f t="shared" si="13"/>
        <v>pswmed105</v>
      </c>
      <c r="D106" t="str">
        <f ca="1">Nomes!T107</f>
        <v>Matilde André Coelho Barros</v>
      </c>
      <c r="E106" t="str">
        <f ca="1">Nomes!S107</f>
        <v>Feminino</v>
      </c>
      <c r="F106" s="2">
        <v>12890</v>
      </c>
      <c r="G106" t="str" cm="1">
        <f t="array" aca="1" ref="G106" ca="1">INDEX(rua_cod!$F:$F,RANDBETWEEN(2,COUNTA(rua_cod!F:F)))</f>
        <v>Rua do Sol a Santana</v>
      </c>
      <c r="H106" t="str" cm="1">
        <f t="array" aca="1" ref="H106" ca="1">INDEX(rua_cod!$A:$A,Médicos!X106) &amp; "-" &amp; TEXT(RANDBETWEEN(0,999),"000")</f>
        <v>2825-448</v>
      </c>
      <c r="I106" t="str" cm="1">
        <f t="array" aca="1" ref="I106" ca="1">INDEX(rua_cod!$B:$B,Médicos!X106)</f>
        <v>Caparica</v>
      </c>
      <c r="J106" t="s">
        <v>341</v>
      </c>
      <c r="K106" t="s">
        <v>225</v>
      </c>
      <c r="L106" t="s">
        <v>265</v>
      </c>
      <c r="M106" t="str">
        <f t="shared" ca="1" si="14"/>
        <v>29402718</v>
      </c>
      <c r="N106" t="str">
        <f t="shared" ca="1" si="15"/>
        <v>171812737</v>
      </c>
      <c r="O106" t="str">
        <f t="shared" ca="1" si="15"/>
        <v>623832756</v>
      </c>
      <c r="P106" t="str" cm="1">
        <f t="array" aca="1" ref="P106" ca="1">9 &amp; INDEX($AH$3:$AH$6,Y106)&amp; TEXT(RANDBETWEEN(0,9999999),"0000000")</f>
        <v>933254317</v>
      </c>
      <c r="Q106" t="str" cm="1">
        <f t="array" aca="1" ref="Q106" ca="1">LOWER(B106) &amp; INDEX($AH$9:$AH$11,Z106)</f>
        <v>med105@hospital.upskill.com</v>
      </c>
      <c r="R106" t="str">
        <f t="shared" si="16"/>
        <v>med105.jpg</v>
      </c>
      <c r="S106" s="8">
        <f t="shared" ca="1" si="17"/>
        <v>6748866809433252</v>
      </c>
      <c r="T106" t="s">
        <v>341</v>
      </c>
      <c r="V106" s="4"/>
      <c r="X106">
        <f ca="1">RANDBETWEEN(2,COUNTA(rua_cod!A:A))</f>
        <v>18</v>
      </c>
      <c r="Y106">
        <f t="shared" ca="1" si="18"/>
        <v>3</v>
      </c>
      <c r="Z106">
        <f t="shared" ca="1" si="19"/>
        <v>1</v>
      </c>
      <c r="AA106">
        <f t="shared" ca="1" si="20"/>
        <v>1953</v>
      </c>
      <c r="AB106">
        <f t="shared" ca="1" si="21"/>
        <v>6</v>
      </c>
      <c r="AC106">
        <f t="shared" ca="1" si="22"/>
        <v>5</v>
      </c>
      <c r="AD106">
        <f t="shared" ca="1" si="23"/>
        <v>67</v>
      </c>
    </row>
    <row r="107" spans="1:30" x14ac:dyDescent="0.25">
      <c r="A107">
        <v>106</v>
      </c>
      <c r="B107" t="str">
        <f t="shared" si="12"/>
        <v>med106</v>
      </c>
      <c r="C107" t="str">
        <f t="shared" si="13"/>
        <v>pswmed106</v>
      </c>
      <c r="D107" t="str">
        <f ca="1">Nomes!T108</f>
        <v>Francisca Pedro Borges Neto</v>
      </c>
      <c r="E107" t="str">
        <f ca="1">Nomes!S108</f>
        <v>Feminino</v>
      </c>
      <c r="F107" s="2">
        <v>39911</v>
      </c>
      <c r="G107" t="str" cm="1">
        <f t="array" aca="1" ref="G107" ca="1">INDEX(rua_cod!$F:$F,RANDBETWEEN(2,COUNTA(rua_cod!F:F)))</f>
        <v>Rua do Instituto Bacteriológico</v>
      </c>
      <c r="H107" t="str" cm="1">
        <f t="array" aca="1" ref="H107" ca="1">INDEX(rua_cod!$A:$A,Médicos!X107) &amp; "-" &amp; TEXT(RANDBETWEEN(0,999),"000")</f>
        <v>2415-448</v>
      </c>
      <c r="I107" t="str" cm="1">
        <f t="array" aca="1" ref="I107" ca="1">INDEX(rua_cod!$B:$B,Médicos!X107)</f>
        <v>Leiria</v>
      </c>
      <c r="J107" t="s">
        <v>341</v>
      </c>
      <c r="K107" t="s">
        <v>225</v>
      </c>
      <c r="L107" t="s">
        <v>265</v>
      </c>
      <c r="M107" t="str">
        <f t="shared" ca="1" si="14"/>
        <v>54398020</v>
      </c>
      <c r="N107" t="str">
        <f t="shared" ca="1" si="15"/>
        <v>277113054</v>
      </c>
      <c r="O107" t="str">
        <f t="shared" ca="1" si="15"/>
        <v>399472540</v>
      </c>
      <c r="P107" t="str" cm="1">
        <f t="array" aca="1" ref="P107" ca="1">9 &amp; INDEX($AH$3:$AH$6,Y107)&amp; TEXT(RANDBETWEEN(0,9999999),"0000000")</f>
        <v>917445344</v>
      </c>
      <c r="Q107" t="str" cm="1">
        <f t="array" aca="1" ref="Q107" ca="1">LOWER(B107) &amp; INDEX($AH$9:$AH$11,Z107)</f>
        <v>med106@hospital.upskill.com</v>
      </c>
      <c r="R107" t="str">
        <f t="shared" si="16"/>
        <v>med106.jpg</v>
      </c>
      <c r="S107" s="8">
        <f t="shared" ca="1" si="17"/>
        <v>9561094204039794</v>
      </c>
      <c r="T107" t="s">
        <v>341</v>
      </c>
      <c r="V107" s="4"/>
      <c r="X107">
        <f ca="1">RANDBETWEEN(2,COUNTA(rua_cod!A:A))</f>
        <v>35</v>
      </c>
      <c r="Y107">
        <f t="shared" ca="1" si="18"/>
        <v>1</v>
      </c>
      <c r="Z107">
        <f t="shared" ca="1" si="19"/>
        <v>1</v>
      </c>
      <c r="AA107">
        <f t="shared" ca="1" si="20"/>
        <v>1981</v>
      </c>
      <c r="AB107">
        <f t="shared" ca="1" si="21"/>
        <v>6</v>
      </c>
      <c r="AC107">
        <f t="shared" ca="1" si="22"/>
        <v>17</v>
      </c>
      <c r="AD107">
        <f t="shared" ca="1" si="23"/>
        <v>39</v>
      </c>
    </row>
    <row r="108" spans="1:30" x14ac:dyDescent="0.25">
      <c r="A108">
        <v>107</v>
      </c>
      <c r="B108" t="str">
        <f t="shared" si="12"/>
        <v>med107</v>
      </c>
      <c r="C108" t="str">
        <f t="shared" si="13"/>
        <v>pswmed107</v>
      </c>
      <c r="D108" t="str">
        <f ca="1">Nomes!T109</f>
        <v>Ana Luís Sá Domingues</v>
      </c>
      <c r="E108" t="str">
        <f ca="1">Nomes!S109</f>
        <v>Feminino</v>
      </c>
      <c r="F108" s="2">
        <v>24416</v>
      </c>
      <c r="G108" t="str" cm="1">
        <f t="array" aca="1" ref="G108" ca="1">INDEX(rua_cod!$F:$F,RANDBETWEEN(2,COUNTA(rua_cod!F:F)))</f>
        <v>Estrada da Circunvalação de Lisboa</v>
      </c>
      <c r="H108" t="str" cm="1">
        <f t="array" aca="1" ref="H108" ca="1">INDEX(rua_cod!$A:$A,Médicos!X108) &amp; "-" &amp; TEXT(RANDBETWEEN(0,999),"000")</f>
        <v>2720-638</v>
      </c>
      <c r="I108" t="str" cm="1">
        <f t="array" aca="1" ref="I108" ca="1">INDEX(rua_cod!$B:$B,Médicos!X108)</f>
        <v>Amadora</v>
      </c>
      <c r="J108" t="s">
        <v>341</v>
      </c>
      <c r="K108" t="s">
        <v>225</v>
      </c>
      <c r="L108" t="s">
        <v>265</v>
      </c>
      <c r="M108" t="str">
        <f t="shared" ca="1" si="14"/>
        <v>26920044</v>
      </c>
      <c r="N108" t="str">
        <f t="shared" ca="1" si="15"/>
        <v>501085671</v>
      </c>
      <c r="O108" t="str">
        <f t="shared" ca="1" si="15"/>
        <v>758196491</v>
      </c>
      <c r="P108" t="str" cm="1">
        <f t="array" aca="1" ref="P108" ca="1">9 &amp; INDEX($AH$3:$AH$6,Y108)&amp; TEXT(RANDBETWEEN(0,9999999),"0000000")</f>
        <v>964958597</v>
      </c>
      <c r="Q108" t="str" cm="1">
        <f t="array" aca="1" ref="Q108" ca="1">LOWER(B108) &amp; INDEX($AH$9:$AH$11,Z108)</f>
        <v>med107@hospital.upskill.com</v>
      </c>
      <c r="R108" t="str">
        <f t="shared" si="16"/>
        <v>med107.jpg</v>
      </c>
      <c r="S108" s="8">
        <f t="shared" ca="1" si="17"/>
        <v>2011213206212619</v>
      </c>
      <c r="T108" t="s">
        <v>341</v>
      </c>
      <c r="V108" s="4"/>
      <c r="X108">
        <f ca="1">RANDBETWEEN(2,COUNTA(rua_cod!A:A))</f>
        <v>8</v>
      </c>
      <c r="Y108">
        <f t="shared" ca="1" si="18"/>
        <v>4</v>
      </c>
      <c r="Z108">
        <f t="shared" ca="1" si="19"/>
        <v>1</v>
      </c>
      <c r="AA108">
        <f t="shared" ca="1" si="20"/>
        <v>1954</v>
      </c>
      <c r="AB108">
        <f t="shared" ca="1" si="21"/>
        <v>12</v>
      </c>
      <c r="AC108">
        <f t="shared" ca="1" si="22"/>
        <v>27</v>
      </c>
      <c r="AD108">
        <f t="shared" ca="1" si="23"/>
        <v>66</v>
      </c>
    </row>
    <row r="109" spans="1:30" x14ac:dyDescent="0.25">
      <c r="A109">
        <v>108</v>
      </c>
      <c r="B109" t="str">
        <f t="shared" si="12"/>
        <v>med108</v>
      </c>
      <c r="C109" t="str">
        <f t="shared" si="13"/>
        <v>pswmed108</v>
      </c>
      <c r="D109" t="str">
        <f ca="1">Nomes!T110</f>
        <v>Marco Joana Matos Simões</v>
      </c>
      <c r="E109" t="str">
        <f ca="1">Nomes!S110</f>
        <v>Masculino</v>
      </c>
      <c r="F109" s="2">
        <v>33423</v>
      </c>
      <c r="G109" t="str" cm="1">
        <f t="array" aca="1" ref="G109" ca="1">INDEX(rua_cod!$F:$F,RANDBETWEEN(2,COUNTA(rua_cod!F:F)))</f>
        <v>Rua do Arsenal</v>
      </c>
      <c r="H109" t="str" cm="1">
        <f t="array" aca="1" ref="H109" ca="1">INDEX(rua_cod!$A:$A,Médicos!X109) &amp; "-" &amp; TEXT(RANDBETWEEN(0,999),"000")</f>
        <v>1050-545</v>
      </c>
      <c r="I109" t="str" cm="1">
        <f t="array" aca="1" ref="I109" ca="1">INDEX(rua_cod!$B:$B,Médicos!X109)</f>
        <v>Lisboa</v>
      </c>
      <c r="J109" t="s">
        <v>341</v>
      </c>
      <c r="K109" t="s">
        <v>225</v>
      </c>
      <c r="L109" t="s">
        <v>265</v>
      </c>
      <c r="M109" t="str">
        <f t="shared" ca="1" si="14"/>
        <v>46963574</v>
      </c>
      <c r="N109" t="str">
        <f t="shared" ca="1" si="15"/>
        <v>840245459</v>
      </c>
      <c r="O109" t="str">
        <f t="shared" ca="1" si="15"/>
        <v>404133574</v>
      </c>
      <c r="P109" t="str" cm="1">
        <f t="array" aca="1" ref="P109" ca="1">9 &amp; INDEX($AH$3:$AH$6,Y109)&amp; TEXT(RANDBETWEEN(0,9999999),"0000000")</f>
        <v>916706393</v>
      </c>
      <c r="Q109" t="str" cm="1">
        <f t="array" aca="1" ref="Q109" ca="1">LOWER(B109) &amp; INDEX($AH$9:$AH$11,Z109)</f>
        <v>med108@hospital.upskill.com</v>
      </c>
      <c r="R109" t="str">
        <f t="shared" si="16"/>
        <v>med108.jpg</v>
      </c>
      <c r="S109" s="8">
        <f t="shared" ca="1" si="17"/>
        <v>6630802856291775</v>
      </c>
      <c r="T109" t="s">
        <v>341</v>
      </c>
      <c r="V109" s="4"/>
      <c r="X109">
        <f ca="1">RANDBETWEEN(2,COUNTA(rua_cod!A:A))</f>
        <v>66</v>
      </c>
      <c r="Y109">
        <f t="shared" ca="1" si="18"/>
        <v>1</v>
      </c>
      <c r="Z109">
        <f t="shared" ca="1" si="19"/>
        <v>2</v>
      </c>
      <c r="AA109">
        <f t="shared" ca="1" si="20"/>
        <v>1994</v>
      </c>
      <c r="AB109">
        <f t="shared" ca="1" si="21"/>
        <v>11</v>
      </c>
      <c r="AC109">
        <f t="shared" ca="1" si="22"/>
        <v>15</v>
      </c>
      <c r="AD109">
        <f t="shared" ca="1" si="23"/>
        <v>26</v>
      </c>
    </row>
    <row r="110" spans="1:30" x14ac:dyDescent="0.25">
      <c r="A110">
        <v>109</v>
      </c>
      <c r="B110" t="str">
        <f t="shared" si="12"/>
        <v>med109</v>
      </c>
      <c r="C110" t="str">
        <f t="shared" si="13"/>
        <v>pswmed109</v>
      </c>
      <c r="D110" t="str">
        <f ca="1">Nomes!T111</f>
        <v>Joaquim Pedro Rodrigues Neto</v>
      </c>
      <c r="E110" t="str">
        <f ca="1">Nomes!S111</f>
        <v>Masculino</v>
      </c>
      <c r="F110" s="2">
        <v>9013</v>
      </c>
      <c r="G110" t="str" cm="1">
        <f t="array" aca="1" ref="G110" ca="1">INDEX(rua_cod!$F:$F,RANDBETWEEN(2,COUNTA(rua_cod!F:F)))</f>
        <v>Rua do Arsenal</v>
      </c>
      <c r="H110" t="str" cm="1">
        <f t="array" aca="1" ref="H110" ca="1">INDEX(rua_cod!$A:$A,Médicos!X110) &amp; "-" &amp; TEXT(RANDBETWEEN(0,999),"000")</f>
        <v>2784-210</v>
      </c>
      <c r="I110" t="str" cm="1">
        <f t="array" aca="1" ref="I110" ca="1">INDEX(rua_cod!$B:$B,Médicos!X110)</f>
        <v>Oeiras</v>
      </c>
      <c r="J110" t="s">
        <v>341</v>
      </c>
      <c r="K110" t="s">
        <v>225</v>
      </c>
      <c r="L110" t="s">
        <v>265</v>
      </c>
      <c r="M110" t="str">
        <f t="shared" ca="1" si="14"/>
        <v>42372646</v>
      </c>
      <c r="N110" t="str">
        <f t="shared" ca="1" si="15"/>
        <v>930428154</v>
      </c>
      <c r="O110" t="str">
        <f t="shared" ca="1" si="15"/>
        <v>751735262</v>
      </c>
      <c r="P110" t="str" cm="1">
        <f t="array" aca="1" ref="P110" ca="1">9 &amp; INDEX($AH$3:$AH$6,Y110)&amp; TEXT(RANDBETWEEN(0,9999999),"0000000")</f>
        <v>927407169</v>
      </c>
      <c r="Q110" t="str" cm="1">
        <f t="array" aca="1" ref="Q110" ca="1">LOWER(B110) &amp; INDEX($AH$9:$AH$11,Z110)</f>
        <v>med109@hospital.upskill.com</v>
      </c>
      <c r="R110" t="str">
        <f t="shared" si="16"/>
        <v>med109.jpg</v>
      </c>
      <c r="S110" s="8">
        <f t="shared" ca="1" si="17"/>
        <v>5008761913073025</v>
      </c>
      <c r="T110" t="s">
        <v>341</v>
      </c>
      <c r="V110" s="4"/>
      <c r="X110">
        <f ca="1">RANDBETWEEN(2,COUNTA(rua_cod!A:A))</f>
        <v>89</v>
      </c>
      <c r="Y110">
        <f t="shared" ca="1" si="18"/>
        <v>2</v>
      </c>
      <c r="Z110">
        <f t="shared" ca="1" si="19"/>
        <v>2</v>
      </c>
      <c r="AA110">
        <f t="shared" ca="1" si="20"/>
        <v>1961</v>
      </c>
      <c r="AB110">
        <f t="shared" ca="1" si="21"/>
        <v>10</v>
      </c>
      <c r="AC110">
        <f t="shared" ca="1" si="22"/>
        <v>31</v>
      </c>
      <c r="AD110">
        <f t="shared" ca="1" si="23"/>
        <v>59</v>
      </c>
    </row>
    <row r="111" spans="1:30" x14ac:dyDescent="0.25">
      <c r="A111">
        <v>110</v>
      </c>
      <c r="B111" t="str">
        <f t="shared" si="12"/>
        <v>med110</v>
      </c>
      <c r="C111" t="str">
        <f t="shared" si="13"/>
        <v>pswmed110</v>
      </c>
      <c r="D111" t="str">
        <f ca="1">Nomes!T112</f>
        <v>Sara Bruno Alves Nunes</v>
      </c>
      <c r="E111" t="str">
        <f ca="1">Nomes!S112</f>
        <v>Feminino</v>
      </c>
      <c r="F111" s="2">
        <v>34653</v>
      </c>
      <c r="G111" t="str" cm="1">
        <f t="array" aca="1" ref="G111" ca="1">INDEX(rua_cod!$F:$F,RANDBETWEEN(2,COUNTA(rua_cod!F:F)))</f>
        <v>Rua do Instituto Bacteriológico</v>
      </c>
      <c r="H111" t="str" cm="1">
        <f t="array" aca="1" ref="H111" ca="1">INDEX(rua_cod!$A:$A,Médicos!X111) &amp; "-" &amp; TEXT(RANDBETWEEN(0,999),"000")</f>
        <v>1399-795</v>
      </c>
      <c r="I111" t="str" cm="1">
        <f t="array" aca="1" ref="I111" ca="1">INDEX(rua_cod!$B:$B,Médicos!X111)</f>
        <v>Lisboa</v>
      </c>
      <c r="J111" t="s">
        <v>341</v>
      </c>
      <c r="K111" t="s">
        <v>225</v>
      </c>
      <c r="L111" t="s">
        <v>265</v>
      </c>
      <c r="M111" t="str">
        <f t="shared" ca="1" si="14"/>
        <v>68693840</v>
      </c>
      <c r="N111" t="str">
        <f t="shared" ca="1" si="15"/>
        <v>722761781</v>
      </c>
      <c r="O111" t="str">
        <f t="shared" ca="1" si="15"/>
        <v>473400736</v>
      </c>
      <c r="P111" t="str" cm="1">
        <f t="array" aca="1" ref="P111" ca="1">9 &amp; INDEX($AH$3:$AH$6,Y111)&amp; TEXT(RANDBETWEEN(0,9999999),"0000000")</f>
        <v>965044555</v>
      </c>
      <c r="Q111" t="str" cm="1">
        <f t="array" aca="1" ref="Q111" ca="1">LOWER(B111) &amp; INDEX($AH$9:$AH$11,Z111)</f>
        <v>med110@hospital.upskill.com</v>
      </c>
      <c r="R111" t="str">
        <f t="shared" si="16"/>
        <v>med110.jpg</v>
      </c>
      <c r="S111" s="8">
        <f t="shared" ca="1" si="17"/>
        <v>3469504458675968</v>
      </c>
      <c r="T111" t="s">
        <v>341</v>
      </c>
      <c r="V111" s="4"/>
      <c r="X111">
        <f ca="1">RANDBETWEEN(2,COUNTA(rua_cod!A:A))</f>
        <v>55</v>
      </c>
      <c r="Y111">
        <f t="shared" ca="1" si="18"/>
        <v>4</v>
      </c>
      <c r="Z111">
        <f t="shared" ca="1" si="19"/>
        <v>3</v>
      </c>
      <c r="AA111">
        <f t="shared" ca="1" si="20"/>
        <v>1982</v>
      </c>
      <c r="AB111">
        <f t="shared" ca="1" si="21"/>
        <v>2</v>
      </c>
      <c r="AC111">
        <f t="shared" ca="1" si="22"/>
        <v>18</v>
      </c>
      <c r="AD111">
        <f t="shared" ca="1" si="23"/>
        <v>38</v>
      </c>
    </row>
    <row r="112" spans="1:30" x14ac:dyDescent="0.25">
      <c r="A112">
        <v>111</v>
      </c>
      <c r="B112" t="str">
        <f t="shared" si="12"/>
        <v>med111</v>
      </c>
      <c r="C112" t="str">
        <f t="shared" si="13"/>
        <v>pswmed111</v>
      </c>
      <c r="D112" t="str">
        <f ca="1">Nomes!T113</f>
        <v>Francisco Duarte Leal Magalhães</v>
      </c>
      <c r="E112" t="str">
        <f ca="1">Nomes!S113</f>
        <v>Masculino</v>
      </c>
      <c r="F112" s="2">
        <v>11305</v>
      </c>
      <c r="G112" t="str" cm="1">
        <f t="array" aca="1" ref="G112" ca="1">INDEX(rua_cod!$F:$F,RANDBETWEEN(2,COUNTA(rua_cod!F:F)))</f>
        <v>Travessa de São João da Praça</v>
      </c>
      <c r="H112" t="str" cm="1">
        <f t="array" aca="1" ref="H112" ca="1">INDEX(rua_cod!$A:$A,Médicos!X112) &amp; "-" &amp; TEXT(RANDBETWEEN(0,999),"000")</f>
        <v>1098-332</v>
      </c>
      <c r="I112" t="str" cm="1">
        <f t="array" aca="1" ref="I112" ca="1">INDEX(rua_cod!$B:$B,Médicos!X112)</f>
        <v>Lisboa</v>
      </c>
      <c r="J112" t="s">
        <v>341</v>
      </c>
      <c r="K112" t="s">
        <v>225</v>
      </c>
      <c r="L112" t="s">
        <v>265</v>
      </c>
      <c r="M112" t="str">
        <f t="shared" ca="1" si="14"/>
        <v>54725442</v>
      </c>
      <c r="N112" t="str">
        <f t="shared" ca="1" si="15"/>
        <v>227611306</v>
      </c>
      <c r="O112" t="str">
        <f t="shared" ca="1" si="15"/>
        <v>889664785</v>
      </c>
      <c r="P112" t="str" cm="1">
        <f t="array" aca="1" ref="P112" ca="1">9 &amp; INDEX($AH$3:$AH$6,Y112)&amp; TEXT(RANDBETWEEN(0,9999999),"0000000")</f>
        <v>937480710</v>
      </c>
      <c r="Q112" t="str" cm="1">
        <f t="array" aca="1" ref="Q112" ca="1">LOWER(B112) &amp; INDEX($AH$9:$AH$11,Z112)</f>
        <v>med111@hospital.upskill.com</v>
      </c>
      <c r="R112" t="str">
        <f t="shared" si="16"/>
        <v>med111.jpg</v>
      </c>
      <c r="S112" s="8">
        <f t="shared" ca="1" si="17"/>
        <v>9711418628833200</v>
      </c>
      <c r="T112" t="s">
        <v>341</v>
      </c>
      <c r="V112" s="4"/>
      <c r="X112">
        <f ca="1">RANDBETWEEN(2,COUNTA(rua_cod!A:A))</f>
        <v>80</v>
      </c>
      <c r="Y112">
        <f t="shared" ca="1" si="18"/>
        <v>3</v>
      </c>
      <c r="Z112">
        <f t="shared" ca="1" si="19"/>
        <v>3</v>
      </c>
      <c r="AA112">
        <f t="shared" ca="1" si="20"/>
        <v>1985</v>
      </c>
      <c r="AB112">
        <f t="shared" ca="1" si="21"/>
        <v>9</v>
      </c>
      <c r="AC112">
        <f t="shared" ca="1" si="22"/>
        <v>14</v>
      </c>
      <c r="AD112">
        <f t="shared" ca="1" si="23"/>
        <v>35</v>
      </c>
    </row>
    <row r="113" spans="1:30" x14ac:dyDescent="0.25">
      <c r="A113">
        <v>112</v>
      </c>
      <c r="B113" t="str">
        <f t="shared" si="12"/>
        <v>med112</v>
      </c>
      <c r="C113" t="str">
        <f t="shared" si="13"/>
        <v>pswmed112</v>
      </c>
      <c r="D113" t="str">
        <f ca="1">Nomes!T114</f>
        <v>Tomás Mariana Cruz Alves</v>
      </c>
      <c r="E113" t="str">
        <f ca="1">Nomes!S114</f>
        <v>Masculino</v>
      </c>
      <c r="F113" s="2">
        <v>13043</v>
      </c>
      <c r="G113" t="str" cm="1">
        <f t="array" aca="1" ref="G113" ca="1">INDEX(rua_cod!$F:$F,RANDBETWEEN(2,COUNTA(rua_cod!F:F)))</f>
        <v>Rua do Comércio</v>
      </c>
      <c r="H113" t="str" cm="1">
        <f t="array" aca="1" ref="H113" ca="1">INDEX(rua_cod!$A:$A,Médicos!X113) &amp; "-" &amp; TEXT(RANDBETWEEN(0,999),"000")</f>
        <v>2825-224</v>
      </c>
      <c r="I113" t="str" cm="1">
        <f t="array" aca="1" ref="I113" ca="1">INDEX(rua_cod!$B:$B,Médicos!X113)</f>
        <v>Costa de Caparica</v>
      </c>
      <c r="J113" t="s">
        <v>341</v>
      </c>
      <c r="K113" t="s">
        <v>225</v>
      </c>
      <c r="L113" t="s">
        <v>265</v>
      </c>
      <c r="M113" t="str">
        <f t="shared" ca="1" si="14"/>
        <v>68040891</v>
      </c>
      <c r="N113" t="str">
        <f t="shared" ca="1" si="15"/>
        <v>662985455</v>
      </c>
      <c r="O113" t="str">
        <f t="shared" ca="1" si="15"/>
        <v>561480481</v>
      </c>
      <c r="P113" t="str" cm="1">
        <f t="array" aca="1" ref="P113" ca="1">9 &amp; INDEX($AH$3:$AH$6,Y113)&amp; TEXT(RANDBETWEEN(0,9999999),"0000000")</f>
        <v>929970712</v>
      </c>
      <c r="Q113" t="str" cm="1">
        <f t="array" aca="1" ref="Q113" ca="1">LOWER(B113) &amp; INDEX($AH$9:$AH$11,Z113)</f>
        <v>med112@hospital.upskill.com</v>
      </c>
      <c r="R113" t="str">
        <f t="shared" si="16"/>
        <v>med112.jpg</v>
      </c>
      <c r="S113" s="8">
        <f t="shared" ca="1" si="17"/>
        <v>5907745510293320</v>
      </c>
      <c r="T113" t="s">
        <v>341</v>
      </c>
      <c r="V113" s="4"/>
      <c r="X113">
        <f ca="1">RANDBETWEEN(2,COUNTA(rua_cod!A:A))</f>
        <v>27</v>
      </c>
      <c r="Y113">
        <f t="shared" ca="1" si="18"/>
        <v>2</v>
      </c>
      <c r="Z113">
        <f t="shared" ca="1" si="19"/>
        <v>3</v>
      </c>
      <c r="AA113">
        <f t="shared" ca="1" si="20"/>
        <v>1989</v>
      </c>
      <c r="AB113">
        <f t="shared" ca="1" si="21"/>
        <v>6</v>
      </c>
      <c r="AC113">
        <f t="shared" ca="1" si="22"/>
        <v>17</v>
      </c>
      <c r="AD113">
        <f t="shared" ca="1" si="23"/>
        <v>31</v>
      </c>
    </row>
    <row r="114" spans="1:30" x14ac:dyDescent="0.25">
      <c r="A114">
        <v>113</v>
      </c>
      <c r="B114" t="str">
        <f t="shared" si="12"/>
        <v>med113</v>
      </c>
      <c r="C114" t="str">
        <f t="shared" si="13"/>
        <v>pswmed113</v>
      </c>
      <c r="D114" t="str">
        <f ca="1">Nomes!T115</f>
        <v>Santiago Francisco Andrade Amaral</v>
      </c>
      <c r="E114" t="str">
        <f ca="1">Nomes!S115</f>
        <v>Masculino</v>
      </c>
      <c r="F114" s="2">
        <v>43678</v>
      </c>
      <c r="G114" t="str" cm="1">
        <f t="array" aca="1" ref="G114" ca="1">INDEX(rua_cod!$F:$F,RANDBETWEEN(2,COUNTA(rua_cod!F:F)))</f>
        <v>Rua dos Heróis de Quionga</v>
      </c>
      <c r="H114" t="str" cm="1">
        <f t="array" aca="1" ref="H114" ca="1">INDEX(rua_cod!$A:$A,Médicos!X114) &amp; "-" &amp; TEXT(RANDBETWEEN(0,999),"000")</f>
        <v>2005-140</v>
      </c>
      <c r="I114" t="str" cm="1">
        <f t="array" aca="1" ref="I114" ca="1">INDEX(rua_cod!$B:$B,Médicos!X114)</f>
        <v>Santarém</v>
      </c>
      <c r="J114" t="s">
        <v>341</v>
      </c>
      <c r="K114" t="s">
        <v>225</v>
      </c>
      <c r="L114" t="s">
        <v>265</v>
      </c>
      <c r="M114" t="str">
        <f t="shared" ca="1" si="14"/>
        <v>66032860</v>
      </c>
      <c r="N114" t="str">
        <f t="shared" ca="1" si="15"/>
        <v>882864023</v>
      </c>
      <c r="O114" t="str">
        <f t="shared" ca="1" si="15"/>
        <v>223051858</v>
      </c>
      <c r="P114" t="str" cm="1">
        <f t="array" aca="1" ref="P114" ca="1">9 &amp; INDEX($AH$3:$AH$6,Y114)&amp; TEXT(RANDBETWEEN(0,9999999),"0000000")</f>
        <v>936934744</v>
      </c>
      <c r="Q114" t="str" cm="1">
        <f t="array" aca="1" ref="Q114" ca="1">LOWER(B114) &amp; INDEX($AH$9:$AH$11,Z114)</f>
        <v>med113@hospital.upskill.com</v>
      </c>
      <c r="R114" t="str">
        <f t="shared" si="16"/>
        <v>med113.jpg</v>
      </c>
      <c r="S114" s="8">
        <f t="shared" ca="1" si="17"/>
        <v>1019662509453967</v>
      </c>
      <c r="T114" t="s">
        <v>341</v>
      </c>
      <c r="V114" s="4"/>
      <c r="X114">
        <f ca="1">RANDBETWEEN(2,COUNTA(rua_cod!A:A))</f>
        <v>92</v>
      </c>
      <c r="Y114">
        <f t="shared" ca="1" si="18"/>
        <v>3</v>
      </c>
      <c r="Z114">
        <f t="shared" ca="1" si="19"/>
        <v>3</v>
      </c>
      <c r="AA114">
        <f t="shared" ca="1" si="20"/>
        <v>1985</v>
      </c>
      <c r="AB114">
        <f t="shared" ca="1" si="21"/>
        <v>1</v>
      </c>
      <c r="AC114">
        <f t="shared" ca="1" si="22"/>
        <v>29</v>
      </c>
      <c r="AD114">
        <f t="shared" ca="1" si="23"/>
        <v>35</v>
      </c>
    </row>
    <row r="115" spans="1:30" x14ac:dyDescent="0.25">
      <c r="A115">
        <v>114</v>
      </c>
      <c r="B115" t="str">
        <f t="shared" si="12"/>
        <v>med114</v>
      </c>
      <c r="C115" t="str">
        <f t="shared" si="13"/>
        <v>pswmed114</v>
      </c>
      <c r="D115" t="str">
        <f ca="1">Nomes!T116</f>
        <v>Tomás Mariana Garcia Cruz</v>
      </c>
      <c r="E115" t="str">
        <f ca="1">Nomes!S116</f>
        <v>Masculino</v>
      </c>
      <c r="F115" s="2">
        <v>16742</v>
      </c>
      <c r="G115" t="str" cm="1">
        <f t="array" aca="1" ref="G115" ca="1">INDEX(rua_cod!$F:$F,RANDBETWEEN(2,COUNTA(rua_cod!F:F)))</f>
        <v>Estrada das Laranjeiras</v>
      </c>
      <c r="H115" t="str" cm="1">
        <f t="array" aca="1" ref="H115" ca="1">INDEX(rua_cod!$A:$A,Médicos!X115) &amp; "-" &amp; TEXT(RANDBETWEEN(0,999),"000")</f>
        <v>1449-470</v>
      </c>
      <c r="I115" t="str" cm="1">
        <f t="array" aca="1" ref="I115" ca="1">INDEX(rua_cod!$B:$B,Médicos!X115)</f>
        <v>Lisboa</v>
      </c>
      <c r="J115" t="s">
        <v>341</v>
      </c>
      <c r="K115" t="s">
        <v>225</v>
      </c>
      <c r="L115" t="s">
        <v>265</v>
      </c>
      <c r="M115" t="str">
        <f t="shared" ca="1" si="14"/>
        <v>31816593</v>
      </c>
      <c r="N115" t="str">
        <f t="shared" ca="1" si="15"/>
        <v>596460059</v>
      </c>
      <c r="O115" t="str">
        <f t="shared" ca="1" si="15"/>
        <v>745285601</v>
      </c>
      <c r="P115" t="str" cm="1">
        <f t="array" aca="1" ref="P115" ca="1">9 &amp; INDEX($AH$3:$AH$6,Y115)&amp; TEXT(RANDBETWEEN(0,9999999),"0000000")</f>
        <v>965696379</v>
      </c>
      <c r="Q115" t="str" cm="1">
        <f t="array" aca="1" ref="Q115" ca="1">LOWER(B115) &amp; INDEX($AH$9:$AH$11,Z115)</f>
        <v>med114@hospital.upskill.com</v>
      </c>
      <c r="R115" t="str">
        <f t="shared" si="16"/>
        <v>med114.jpg</v>
      </c>
      <c r="S115" s="8">
        <f t="shared" ca="1" si="17"/>
        <v>5152968350354554</v>
      </c>
      <c r="T115" t="s">
        <v>341</v>
      </c>
      <c r="V115" s="4"/>
      <c r="X115">
        <f ca="1">RANDBETWEEN(2,COUNTA(rua_cod!A:A))</f>
        <v>73</v>
      </c>
      <c r="Y115">
        <f t="shared" ca="1" si="18"/>
        <v>4</v>
      </c>
      <c r="Z115">
        <f t="shared" ca="1" si="19"/>
        <v>1</v>
      </c>
      <c r="AA115">
        <f t="shared" ca="1" si="20"/>
        <v>1968</v>
      </c>
      <c r="AB115">
        <f t="shared" ca="1" si="21"/>
        <v>12</v>
      </c>
      <c r="AC115">
        <f t="shared" ca="1" si="22"/>
        <v>18</v>
      </c>
      <c r="AD115">
        <f t="shared" ca="1" si="23"/>
        <v>52</v>
      </c>
    </row>
    <row r="116" spans="1:30" x14ac:dyDescent="0.25">
      <c r="A116">
        <v>115</v>
      </c>
      <c r="B116" t="str">
        <f t="shared" si="12"/>
        <v>med115</v>
      </c>
      <c r="C116" t="str">
        <f t="shared" si="13"/>
        <v>pswmed115</v>
      </c>
      <c r="D116" t="str">
        <f ca="1">Nomes!T117</f>
        <v>Joana Inês Sá Pires</v>
      </c>
      <c r="E116" t="str">
        <f ca="1">Nomes!S117</f>
        <v>Feminino</v>
      </c>
      <c r="F116" s="2">
        <v>31845</v>
      </c>
      <c r="G116" t="str" cm="1">
        <f t="array" aca="1" ref="G116" ca="1">INDEX(rua_cod!$F:$F,RANDBETWEEN(2,COUNTA(rua_cod!F:F)))</f>
        <v>Rua da Betesga</v>
      </c>
      <c r="H116" t="str" cm="1">
        <f t="array" aca="1" ref="H116" ca="1">INDEX(rua_cod!$A:$A,Médicos!X116) &amp; "-" &amp; TEXT(RANDBETWEEN(0,999),"000")</f>
        <v>2350-729</v>
      </c>
      <c r="I116" t="str" cm="1">
        <f t="array" aca="1" ref="I116" ca="1">INDEX(rua_cod!$B:$B,Médicos!X116)</f>
        <v>Torres Novas</v>
      </c>
      <c r="J116" t="s">
        <v>341</v>
      </c>
      <c r="K116" t="s">
        <v>225</v>
      </c>
      <c r="L116" t="s">
        <v>265</v>
      </c>
      <c r="M116" t="str">
        <f t="shared" ca="1" si="14"/>
        <v>91552698</v>
      </c>
      <c r="N116" t="str">
        <f t="shared" ca="1" si="15"/>
        <v>719078565</v>
      </c>
      <c r="O116" t="str">
        <f t="shared" ca="1" si="15"/>
        <v>110670687</v>
      </c>
      <c r="P116" t="str" cm="1">
        <f t="array" aca="1" ref="P116" ca="1">9 &amp; INDEX($AH$3:$AH$6,Y116)&amp; TEXT(RANDBETWEEN(0,9999999),"0000000")</f>
        <v>922218089</v>
      </c>
      <c r="Q116" t="str" cm="1">
        <f t="array" aca="1" ref="Q116" ca="1">LOWER(B116) &amp; INDEX($AH$9:$AH$11,Z116)</f>
        <v>med115@hospital.upskill.com</v>
      </c>
      <c r="R116" t="str">
        <f t="shared" si="16"/>
        <v>med115.jpg</v>
      </c>
      <c r="S116" s="8">
        <f t="shared" ca="1" si="17"/>
        <v>9289821546888624</v>
      </c>
      <c r="T116" t="s">
        <v>341</v>
      </c>
      <c r="V116" s="4"/>
      <c r="X116">
        <f ca="1">RANDBETWEEN(2,COUNTA(rua_cod!A:A))</f>
        <v>103</v>
      </c>
      <c r="Y116">
        <f t="shared" ca="1" si="18"/>
        <v>2</v>
      </c>
      <c r="Z116">
        <f t="shared" ca="1" si="19"/>
        <v>2</v>
      </c>
      <c r="AA116">
        <f t="shared" ca="1" si="20"/>
        <v>1969</v>
      </c>
      <c r="AB116">
        <f t="shared" ca="1" si="21"/>
        <v>12</v>
      </c>
      <c r="AC116">
        <f t="shared" ca="1" si="22"/>
        <v>10</v>
      </c>
      <c r="AD116">
        <f t="shared" ca="1" si="23"/>
        <v>51</v>
      </c>
    </row>
    <row r="117" spans="1:30" x14ac:dyDescent="0.25">
      <c r="A117">
        <v>116</v>
      </c>
      <c r="B117" t="str">
        <f t="shared" si="12"/>
        <v>med116</v>
      </c>
      <c r="C117" t="str">
        <f t="shared" si="13"/>
        <v>pswmed116</v>
      </c>
      <c r="D117" t="str">
        <f ca="1">Nomes!T118</f>
        <v>Joana André Henriques Cunha</v>
      </c>
      <c r="E117" t="str">
        <f ca="1">Nomes!S118</f>
        <v>Feminino</v>
      </c>
      <c r="F117" s="2">
        <v>13451</v>
      </c>
      <c r="G117" t="str" cm="1">
        <f t="array" aca="1" ref="G117" ca="1">INDEX(rua_cod!$F:$F,RANDBETWEEN(2,COUNTA(rua_cod!F:F)))</f>
        <v>Rua Roberto Duarte Silva</v>
      </c>
      <c r="H117" t="str" cm="1">
        <f t="array" aca="1" ref="H117" ca="1">INDEX(rua_cod!$A:$A,Médicos!X117) &amp; "-" &amp; TEXT(RANDBETWEEN(0,999),"000")</f>
        <v>1049-806</v>
      </c>
      <c r="I117" t="str" cm="1">
        <f t="array" aca="1" ref="I117" ca="1">INDEX(rua_cod!$B:$B,Médicos!X117)</f>
        <v>Lisboa</v>
      </c>
      <c r="J117" t="s">
        <v>341</v>
      </c>
      <c r="K117" t="s">
        <v>225</v>
      </c>
      <c r="L117" t="s">
        <v>265</v>
      </c>
      <c r="M117" t="str">
        <f t="shared" ca="1" si="14"/>
        <v>99459555</v>
      </c>
      <c r="N117" t="str">
        <f t="shared" ca="1" si="15"/>
        <v>463125538</v>
      </c>
      <c r="O117" t="str">
        <f t="shared" ca="1" si="15"/>
        <v>538820260</v>
      </c>
      <c r="P117" t="str" cm="1">
        <f t="array" aca="1" ref="P117" ca="1">9 &amp; INDEX($AH$3:$AH$6,Y117)&amp; TEXT(RANDBETWEEN(0,9999999),"0000000")</f>
        <v>923166977</v>
      </c>
      <c r="Q117" t="str" cm="1">
        <f t="array" aca="1" ref="Q117" ca="1">LOWER(B117) &amp; INDEX($AH$9:$AH$11,Z117)</f>
        <v>med116@hospital.upskill.com</v>
      </c>
      <c r="R117" t="str">
        <f t="shared" si="16"/>
        <v>med116.jpg</v>
      </c>
      <c r="S117" s="8">
        <f t="shared" ca="1" si="17"/>
        <v>2111371574683585</v>
      </c>
      <c r="T117" t="s">
        <v>341</v>
      </c>
      <c r="V117" s="4"/>
      <c r="X117">
        <f ca="1">RANDBETWEEN(2,COUNTA(rua_cod!A:A))</f>
        <v>76</v>
      </c>
      <c r="Y117">
        <f t="shared" ca="1" si="18"/>
        <v>2</v>
      </c>
      <c r="Z117">
        <f t="shared" ca="1" si="19"/>
        <v>3</v>
      </c>
      <c r="AA117">
        <f t="shared" ca="1" si="20"/>
        <v>1984</v>
      </c>
      <c r="AB117">
        <f t="shared" ca="1" si="21"/>
        <v>9</v>
      </c>
      <c r="AC117">
        <f t="shared" ca="1" si="22"/>
        <v>30</v>
      </c>
      <c r="AD117">
        <f t="shared" ca="1" si="23"/>
        <v>36</v>
      </c>
    </row>
    <row r="118" spans="1:30" x14ac:dyDescent="0.25">
      <c r="A118">
        <v>117</v>
      </c>
      <c r="B118" t="str">
        <f t="shared" si="12"/>
        <v>med117</v>
      </c>
      <c r="C118" t="str">
        <f t="shared" si="13"/>
        <v>pswmed117</v>
      </c>
      <c r="D118" t="str">
        <f ca="1">Nomes!T119</f>
        <v>Leonor Lara Baptista Abreu</v>
      </c>
      <c r="E118" t="str">
        <f ca="1">Nomes!S119</f>
        <v>Feminino</v>
      </c>
      <c r="F118" s="2">
        <v>13647</v>
      </c>
      <c r="G118" t="str" cm="1">
        <f t="array" aca="1" ref="G118" ca="1">INDEX(rua_cod!$F:$F,RANDBETWEEN(2,COUNTA(rua_cod!F:F)))</f>
        <v>Rua do Guarda-Mor</v>
      </c>
      <c r="H118" t="str" cm="1">
        <f t="array" aca="1" ref="H118" ca="1">INDEX(rua_cod!$A:$A,Médicos!X118) &amp; "-" &amp; TEXT(RANDBETWEEN(0,999),"000")</f>
        <v>2350-790</v>
      </c>
      <c r="I118" t="str" cm="1">
        <f t="array" aca="1" ref="I118" ca="1">INDEX(rua_cod!$B:$B,Médicos!X118)</f>
        <v>Torres Novas</v>
      </c>
      <c r="J118" t="s">
        <v>341</v>
      </c>
      <c r="K118" t="s">
        <v>225</v>
      </c>
      <c r="L118" t="s">
        <v>265</v>
      </c>
      <c r="M118" t="str">
        <f t="shared" ca="1" si="14"/>
        <v>60389939</v>
      </c>
      <c r="N118" t="str">
        <f t="shared" ca="1" si="15"/>
        <v>410891903</v>
      </c>
      <c r="O118" t="str">
        <f t="shared" ca="1" si="15"/>
        <v>172600498</v>
      </c>
      <c r="P118" t="str" cm="1">
        <f t="array" aca="1" ref="P118" ca="1">9 &amp; INDEX($AH$3:$AH$6,Y118)&amp; TEXT(RANDBETWEEN(0,9999999),"0000000")</f>
        <v>919696794</v>
      </c>
      <c r="Q118" t="str" cm="1">
        <f t="array" aca="1" ref="Q118" ca="1">LOWER(B118) &amp; INDEX($AH$9:$AH$11,Z118)</f>
        <v>med117@hospital.upskill.com</v>
      </c>
      <c r="R118" t="str">
        <f t="shared" si="16"/>
        <v>med117.jpg</v>
      </c>
      <c r="S118" s="8">
        <f t="shared" ca="1" si="17"/>
        <v>2549928368964960</v>
      </c>
      <c r="T118" t="s">
        <v>341</v>
      </c>
      <c r="V118" s="4"/>
      <c r="X118">
        <f ca="1">RANDBETWEEN(2,COUNTA(rua_cod!A:A))</f>
        <v>103</v>
      </c>
      <c r="Y118">
        <f t="shared" ca="1" si="18"/>
        <v>1</v>
      </c>
      <c r="Z118">
        <f t="shared" ca="1" si="19"/>
        <v>3</v>
      </c>
      <c r="AA118">
        <f t="shared" ca="1" si="20"/>
        <v>1965</v>
      </c>
      <c r="AB118">
        <f t="shared" ca="1" si="21"/>
        <v>11</v>
      </c>
      <c r="AC118">
        <f t="shared" ca="1" si="22"/>
        <v>6</v>
      </c>
      <c r="AD118">
        <f t="shared" ca="1" si="23"/>
        <v>55</v>
      </c>
    </row>
    <row r="119" spans="1:30" x14ac:dyDescent="0.25">
      <c r="A119">
        <v>118</v>
      </c>
      <c r="B119" t="str">
        <f t="shared" si="12"/>
        <v>med118</v>
      </c>
      <c r="C119" t="str">
        <f t="shared" si="13"/>
        <v>pswmed118</v>
      </c>
      <c r="D119" t="str">
        <f ca="1">Nomes!T120</f>
        <v>Martim Martim Nogueira Moura</v>
      </c>
      <c r="E119" t="str">
        <f ca="1">Nomes!S120</f>
        <v>Masculino</v>
      </c>
      <c r="F119" s="2">
        <v>33045</v>
      </c>
      <c r="G119" t="str" cm="1">
        <f t="array" aca="1" ref="G119" ca="1">INDEX(rua_cod!$F:$F,RANDBETWEEN(2,COUNTA(rua_cod!F:F)))</f>
        <v>Rua Roberto Duarte Silva</v>
      </c>
      <c r="H119" t="str" cm="1">
        <f t="array" aca="1" ref="H119" ca="1">INDEX(rua_cod!$A:$A,Médicos!X119) &amp; "-" &amp; TEXT(RANDBETWEEN(0,999),"000")</f>
        <v>2720-612</v>
      </c>
      <c r="I119" t="str" cm="1">
        <f t="array" aca="1" ref="I119" ca="1">INDEX(rua_cod!$B:$B,Médicos!X119)</f>
        <v>Amadora</v>
      </c>
      <c r="J119" t="s">
        <v>341</v>
      </c>
      <c r="K119" t="s">
        <v>225</v>
      </c>
      <c r="L119" t="s">
        <v>265</v>
      </c>
      <c r="M119" t="str">
        <f t="shared" ca="1" si="14"/>
        <v>51809345</v>
      </c>
      <c r="N119" t="str">
        <f t="shared" ca="1" si="15"/>
        <v>937143139</v>
      </c>
      <c r="O119" t="str">
        <f t="shared" ca="1" si="15"/>
        <v>905662862</v>
      </c>
      <c r="P119" t="str" cm="1">
        <f t="array" aca="1" ref="P119" ca="1">9 &amp; INDEX($AH$3:$AH$6,Y119)&amp; TEXT(RANDBETWEEN(0,9999999),"0000000")</f>
        <v>921332185</v>
      </c>
      <c r="Q119" t="str" cm="1">
        <f t="array" aca="1" ref="Q119" ca="1">LOWER(B119) &amp; INDEX($AH$9:$AH$11,Z119)</f>
        <v>med118@hospital.upskill.com</v>
      </c>
      <c r="R119" t="str">
        <f t="shared" si="16"/>
        <v>med118.jpg</v>
      </c>
      <c r="S119" s="8">
        <f t="shared" ca="1" si="17"/>
        <v>5625817319239237</v>
      </c>
      <c r="T119" t="s">
        <v>341</v>
      </c>
      <c r="V119" s="4"/>
      <c r="X119">
        <f ca="1">RANDBETWEEN(2,COUNTA(rua_cod!A:A))</f>
        <v>8</v>
      </c>
      <c r="Y119">
        <f t="shared" ca="1" si="18"/>
        <v>2</v>
      </c>
      <c r="Z119">
        <f t="shared" ca="1" si="19"/>
        <v>2</v>
      </c>
      <c r="AA119">
        <f t="shared" ca="1" si="20"/>
        <v>1979</v>
      </c>
      <c r="AB119">
        <f t="shared" ca="1" si="21"/>
        <v>7</v>
      </c>
      <c r="AC119">
        <f t="shared" ca="1" si="22"/>
        <v>22</v>
      </c>
      <c r="AD119">
        <f t="shared" ca="1" si="23"/>
        <v>41</v>
      </c>
    </row>
    <row r="120" spans="1:30" x14ac:dyDescent="0.25">
      <c r="A120">
        <v>119</v>
      </c>
      <c r="B120" t="str">
        <f t="shared" si="12"/>
        <v>med119</v>
      </c>
      <c r="C120" t="str">
        <f t="shared" si="13"/>
        <v>pswmed119</v>
      </c>
      <c r="D120" t="str">
        <f ca="1">Nomes!T121</f>
        <v>Mariana Diogo Costa Baptista</v>
      </c>
      <c r="E120" t="str">
        <f ca="1">Nomes!S121</f>
        <v>Feminino</v>
      </c>
      <c r="F120" s="2">
        <v>18446</v>
      </c>
      <c r="G120" t="str" cm="1">
        <f t="array" aca="1" ref="G120" ca="1">INDEX(rua_cod!$F:$F,RANDBETWEEN(2,COUNTA(rua_cod!F:F)))</f>
        <v>Rua Cidade de Bolama</v>
      </c>
      <c r="H120" t="str" cm="1">
        <f t="array" aca="1" ref="H120" ca="1">INDEX(rua_cod!$A:$A,Médicos!X120) &amp; "-" &amp; TEXT(RANDBETWEEN(0,999),"000")</f>
        <v>2829-870</v>
      </c>
      <c r="I120" t="str" cm="1">
        <f t="array" aca="1" ref="I120" ca="1">INDEX(rua_cod!$B:$B,Médicos!X120)</f>
        <v>Caparica</v>
      </c>
      <c r="J120" t="s">
        <v>341</v>
      </c>
      <c r="K120" t="s">
        <v>225</v>
      </c>
      <c r="L120" t="s">
        <v>265</v>
      </c>
      <c r="M120" t="str">
        <f t="shared" ca="1" si="14"/>
        <v>41168706</v>
      </c>
      <c r="N120" t="str">
        <f t="shared" ca="1" si="15"/>
        <v>369853145</v>
      </c>
      <c r="O120" t="str">
        <f t="shared" ca="1" si="15"/>
        <v>764165007</v>
      </c>
      <c r="P120" t="str" cm="1">
        <f t="array" aca="1" ref="P120" ca="1">9 &amp; INDEX($AH$3:$AH$6,Y120)&amp; TEXT(RANDBETWEEN(0,9999999),"0000000")</f>
        <v>935375506</v>
      </c>
      <c r="Q120" t="str" cm="1">
        <f t="array" aca="1" ref="Q120" ca="1">LOWER(B120) &amp; INDEX($AH$9:$AH$11,Z120)</f>
        <v>med119@hospital.upskill.com</v>
      </c>
      <c r="R120" t="str">
        <f t="shared" si="16"/>
        <v>med119.jpg</v>
      </c>
      <c r="S120" s="8">
        <f t="shared" ca="1" si="17"/>
        <v>8504384212085725</v>
      </c>
      <c r="T120" t="s">
        <v>341</v>
      </c>
      <c r="V120" s="4"/>
      <c r="X120">
        <f ca="1">RANDBETWEEN(2,COUNTA(rua_cod!A:A))</f>
        <v>19</v>
      </c>
      <c r="Y120">
        <f t="shared" ca="1" si="18"/>
        <v>3</v>
      </c>
      <c r="Z120">
        <f t="shared" ca="1" si="19"/>
        <v>1</v>
      </c>
      <c r="AA120">
        <f t="shared" ca="1" si="20"/>
        <v>1968</v>
      </c>
      <c r="AB120">
        <f t="shared" ca="1" si="21"/>
        <v>1</v>
      </c>
      <c r="AC120">
        <f t="shared" ca="1" si="22"/>
        <v>29</v>
      </c>
      <c r="AD120">
        <f t="shared" ca="1" si="23"/>
        <v>52</v>
      </c>
    </row>
    <row r="121" spans="1:30" x14ac:dyDescent="0.25">
      <c r="A121">
        <v>120</v>
      </c>
      <c r="B121" t="str">
        <f t="shared" si="12"/>
        <v>med120</v>
      </c>
      <c r="C121" t="str">
        <f t="shared" si="13"/>
        <v>pswmed120</v>
      </c>
      <c r="D121" t="str">
        <f ca="1">Nomes!T122</f>
        <v>Joaquim Mariana Matos Vieira</v>
      </c>
      <c r="E121" t="str">
        <f ca="1">Nomes!S122</f>
        <v>Masculino</v>
      </c>
      <c r="F121" s="2">
        <v>28450</v>
      </c>
      <c r="G121" t="str" cm="1">
        <f t="array" aca="1" ref="G121" ca="1">INDEX(rua_cod!$F:$F,RANDBETWEEN(2,COUNTA(rua_cod!F:F)))</f>
        <v>Estrada das Laranjeiras</v>
      </c>
      <c r="H121" t="str" cm="1">
        <f t="array" aca="1" ref="H121" ca="1">INDEX(rua_cod!$A:$A,Médicos!X121) &amp; "-" &amp; TEXT(RANDBETWEEN(0,999),"000")</f>
        <v>2809-798</v>
      </c>
      <c r="I121" t="str" cm="1">
        <f t="array" aca="1" ref="I121" ca="1">INDEX(rua_cod!$B:$B,Médicos!X121)</f>
        <v>Almada</v>
      </c>
      <c r="J121" t="s">
        <v>341</v>
      </c>
      <c r="K121" t="s">
        <v>225</v>
      </c>
      <c r="L121" t="s">
        <v>265</v>
      </c>
      <c r="M121" t="str">
        <f t="shared" ca="1" si="14"/>
        <v>77617081</v>
      </c>
      <c r="N121" t="str">
        <f t="shared" ca="1" si="15"/>
        <v>342669266</v>
      </c>
      <c r="O121" t="str">
        <f t="shared" ca="1" si="15"/>
        <v>626049913</v>
      </c>
      <c r="P121" t="str" cm="1">
        <f t="array" aca="1" ref="P121" ca="1">9 &amp; INDEX($AH$3:$AH$6,Y121)&amp; TEXT(RANDBETWEEN(0,9999999),"0000000")</f>
        <v>910203836</v>
      </c>
      <c r="Q121" t="str" cm="1">
        <f t="array" aca="1" ref="Q121" ca="1">LOWER(B121) &amp; INDEX($AH$9:$AH$11,Z121)</f>
        <v>med120@hospital.upskill.com</v>
      </c>
      <c r="R121" t="str">
        <f t="shared" si="16"/>
        <v>med120.jpg</v>
      </c>
      <c r="S121" s="8">
        <f t="shared" ca="1" si="17"/>
        <v>1817477942446336</v>
      </c>
      <c r="T121" t="s">
        <v>341</v>
      </c>
      <c r="V121" s="4"/>
      <c r="X121">
        <f ca="1">RANDBETWEEN(2,COUNTA(rua_cod!A:A))</f>
        <v>5</v>
      </c>
      <c r="Y121">
        <f t="shared" ca="1" si="18"/>
        <v>1</v>
      </c>
      <c r="Z121">
        <f t="shared" ca="1" si="19"/>
        <v>3</v>
      </c>
      <c r="AA121">
        <f t="shared" ca="1" si="20"/>
        <v>1992</v>
      </c>
      <c r="AB121">
        <f t="shared" ca="1" si="21"/>
        <v>7</v>
      </c>
      <c r="AC121">
        <f t="shared" ca="1" si="22"/>
        <v>9</v>
      </c>
      <c r="AD121">
        <f t="shared" ca="1" si="23"/>
        <v>28</v>
      </c>
    </row>
    <row r="122" spans="1:30" x14ac:dyDescent="0.25">
      <c r="A122">
        <v>121</v>
      </c>
      <c r="B122" t="str">
        <f t="shared" si="12"/>
        <v>med121</v>
      </c>
      <c r="C122" t="str">
        <f t="shared" si="13"/>
        <v>pswmed121</v>
      </c>
      <c r="D122" t="str">
        <f ca="1">Nomes!T123</f>
        <v>Tomás Inês Loureiro Fernandes</v>
      </c>
      <c r="E122" t="str">
        <f ca="1">Nomes!S123</f>
        <v>Masculino</v>
      </c>
      <c r="F122" s="2">
        <v>42428</v>
      </c>
      <c r="G122" t="str" cm="1">
        <f t="array" aca="1" ref="G122" ca="1">INDEX(rua_cod!$F:$F,RANDBETWEEN(2,COUNTA(rua_cod!F:F)))</f>
        <v>Rua de São Mamede</v>
      </c>
      <c r="H122" t="str" cm="1">
        <f t="array" aca="1" ref="H122" ca="1">INDEX(rua_cod!$A:$A,Médicos!X122) &amp; "-" &amp; TEXT(RANDBETWEEN(0,999),"000")</f>
        <v>2825-709</v>
      </c>
      <c r="I122" t="str" cm="1">
        <f t="array" aca="1" ref="I122" ca="1">INDEX(rua_cod!$B:$B,Médicos!X122)</f>
        <v>Costa de Caparica</v>
      </c>
      <c r="J122" t="s">
        <v>341</v>
      </c>
      <c r="K122" t="s">
        <v>225</v>
      </c>
      <c r="L122" t="s">
        <v>265</v>
      </c>
      <c r="M122" t="str">
        <f t="shared" ca="1" si="14"/>
        <v>65376821</v>
      </c>
      <c r="N122" t="str">
        <f t="shared" ca="1" si="15"/>
        <v>192515501</v>
      </c>
      <c r="O122" t="str">
        <f t="shared" ca="1" si="15"/>
        <v>539683677</v>
      </c>
      <c r="P122" t="str" cm="1">
        <f t="array" aca="1" ref="P122" ca="1">9 &amp; INDEX($AH$3:$AH$6,Y122)&amp; TEXT(RANDBETWEEN(0,9999999),"0000000")</f>
        <v>921724142</v>
      </c>
      <c r="Q122" t="str" cm="1">
        <f t="array" aca="1" ref="Q122" ca="1">LOWER(B122) &amp; INDEX($AH$9:$AH$11,Z122)</f>
        <v>med121@hospital.upskill.com</v>
      </c>
      <c r="R122" t="str">
        <f t="shared" si="16"/>
        <v>med121.jpg</v>
      </c>
      <c r="S122" s="8">
        <f t="shared" ca="1" si="17"/>
        <v>8375795729692951</v>
      </c>
      <c r="T122" t="s">
        <v>341</v>
      </c>
      <c r="V122" s="4"/>
      <c r="X122">
        <f ca="1">RANDBETWEEN(2,COUNTA(rua_cod!A:A))</f>
        <v>27</v>
      </c>
      <c r="Y122">
        <f t="shared" ca="1" si="18"/>
        <v>2</v>
      </c>
      <c r="Z122">
        <f t="shared" ca="1" si="19"/>
        <v>2</v>
      </c>
      <c r="AA122">
        <f t="shared" ca="1" si="20"/>
        <v>1950</v>
      </c>
      <c r="AB122">
        <f t="shared" ca="1" si="21"/>
        <v>10</v>
      </c>
      <c r="AC122">
        <f t="shared" ca="1" si="22"/>
        <v>9</v>
      </c>
      <c r="AD122">
        <f t="shared" ca="1" si="23"/>
        <v>70</v>
      </c>
    </row>
    <row r="123" spans="1:30" x14ac:dyDescent="0.25">
      <c r="A123">
        <v>122</v>
      </c>
      <c r="B123" t="str">
        <f t="shared" si="12"/>
        <v>med122</v>
      </c>
      <c r="C123" t="str">
        <f t="shared" si="13"/>
        <v>pswmed122</v>
      </c>
      <c r="D123" t="str">
        <f ca="1">Nomes!T124</f>
        <v>Afonso Inês Lourenço Jesus</v>
      </c>
      <c r="E123" t="str">
        <f ca="1">Nomes!S124</f>
        <v>Masculino</v>
      </c>
      <c r="F123" s="2">
        <v>43463</v>
      </c>
      <c r="G123" t="str" cm="1">
        <f t="array" aca="1" ref="G123" ca="1">INDEX(rua_cod!$F:$F,RANDBETWEEN(2,COUNTA(rua_cod!F:F)))</f>
        <v>Rua dos Fanqueiros</v>
      </c>
      <c r="H123" t="str" cm="1">
        <f t="array" aca="1" ref="H123" ca="1">INDEX(rua_cod!$A:$A,Médicos!X123) &amp; "-" &amp; TEXT(RANDBETWEEN(0,999),"000")</f>
        <v>2830-708</v>
      </c>
      <c r="I123" t="str" cm="1">
        <f t="array" aca="1" ref="I123" ca="1">INDEX(rua_cod!$B:$B,Médicos!X123)</f>
        <v>Barreiro</v>
      </c>
      <c r="J123" t="s">
        <v>341</v>
      </c>
      <c r="K123" t="s">
        <v>225</v>
      </c>
      <c r="L123" t="s">
        <v>265</v>
      </c>
      <c r="M123" t="str">
        <f t="shared" ca="1" si="14"/>
        <v>45878842</v>
      </c>
      <c r="N123" t="str">
        <f t="shared" ca="1" si="15"/>
        <v>483943709</v>
      </c>
      <c r="O123" t="str">
        <f t="shared" ca="1" si="15"/>
        <v>274678060</v>
      </c>
      <c r="P123" t="str" cm="1">
        <f t="array" aca="1" ref="P123" ca="1">9 &amp; INDEX($AH$3:$AH$6,Y123)&amp; TEXT(RANDBETWEEN(0,9999999),"0000000")</f>
        <v>915040833</v>
      </c>
      <c r="Q123" t="str" cm="1">
        <f t="array" aca="1" ref="Q123" ca="1">LOWER(B123) &amp; INDEX($AH$9:$AH$11,Z123)</f>
        <v>med122@hospital.upskill.com</v>
      </c>
      <c r="R123" t="str">
        <f t="shared" si="16"/>
        <v>med122.jpg</v>
      </c>
      <c r="S123" s="8">
        <f t="shared" ca="1" si="17"/>
        <v>2970509971416866</v>
      </c>
      <c r="T123" t="s">
        <v>341</v>
      </c>
      <c r="V123" s="4"/>
      <c r="X123">
        <f ca="1">RANDBETWEEN(2,COUNTA(rua_cod!A:A))</f>
        <v>16</v>
      </c>
      <c r="Y123">
        <f t="shared" ca="1" si="18"/>
        <v>1</v>
      </c>
      <c r="Z123">
        <f t="shared" ca="1" si="19"/>
        <v>2</v>
      </c>
      <c r="AA123">
        <f t="shared" ca="1" si="20"/>
        <v>1982</v>
      </c>
      <c r="AB123">
        <f t="shared" ca="1" si="21"/>
        <v>10</v>
      </c>
      <c r="AC123">
        <f t="shared" ca="1" si="22"/>
        <v>21</v>
      </c>
      <c r="AD123">
        <f t="shared" ca="1" si="23"/>
        <v>38</v>
      </c>
    </row>
    <row r="124" spans="1:30" x14ac:dyDescent="0.25">
      <c r="A124">
        <v>123</v>
      </c>
      <c r="B124" t="str">
        <f t="shared" si="12"/>
        <v>med123</v>
      </c>
      <c r="C124" t="str">
        <f t="shared" si="13"/>
        <v>pswmed123</v>
      </c>
      <c r="D124" t="str">
        <f ca="1">Nomes!T125</f>
        <v>Sofia Laura Lima Barros</v>
      </c>
      <c r="E124" t="str">
        <f ca="1">Nomes!S125</f>
        <v>Feminino</v>
      </c>
      <c r="F124" s="2">
        <v>8971</v>
      </c>
      <c r="G124" t="str" cm="1">
        <f t="array" aca="1" ref="G124" ca="1">INDEX(rua_cod!$F:$F,RANDBETWEEN(2,COUNTA(rua_cod!F:F)))</f>
        <v>Estrada da Circunvalação de Lisboa</v>
      </c>
      <c r="H124" t="str" cm="1">
        <f t="array" aca="1" ref="H124" ca="1">INDEX(rua_cod!$A:$A,Médicos!X124) &amp; "-" &amp; TEXT(RANDBETWEEN(0,999),"000")</f>
        <v>2334-911</v>
      </c>
      <c r="I124" t="str" cm="1">
        <f t="array" aca="1" ref="I124" ca="1">INDEX(rua_cod!$B:$B,Médicos!X124)</f>
        <v>Entroncamento</v>
      </c>
      <c r="J124" t="s">
        <v>341</v>
      </c>
      <c r="K124" t="s">
        <v>225</v>
      </c>
      <c r="L124" t="s">
        <v>265</v>
      </c>
      <c r="M124" t="str">
        <f t="shared" ca="1" si="14"/>
        <v>91391496</v>
      </c>
      <c r="N124" t="str">
        <f t="shared" ca="1" si="15"/>
        <v>649709525</v>
      </c>
      <c r="O124" t="str">
        <f t="shared" ca="1" si="15"/>
        <v>860945920</v>
      </c>
      <c r="P124" t="str" cm="1">
        <f t="array" aca="1" ref="P124" ca="1">9 &amp; INDEX($AH$3:$AH$6,Y124)&amp; TEXT(RANDBETWEEN(0,9999999),"0000000")</f>
        <v>923118689</v>
      </c>
      <c r="Q124" t="str" cm="1">
        <f t="array" aca="1" ref="Q124" ca="1">LOWER(B124) &amp; INDEX($AH$9:$AH$11,Z124)</f>
        <v>med123@hospital.upskill.com</v>
      </c>
      <c r="R124" t="str">
        <f t="shared" si="16"/>
        <v>med123.jpg</v>
      </c>
      <c r="S124" s="8">
        <f t="shared" ca="1" si="17"/>
        <v>9311684434992492</v>
      </c>
      <c r="T124" t="s">
        <v>341</v>
      </c>
      <c r="V124" s="4"/>
      <c r="X124">
        <f ca="1">RANDBETWEEN(2,COUNTA(rua_cod!A:A))</f>
        <v>30</v>
      </c>
      <c r="Y124">
        <f t="shared" ca="1" si="18"/>
        <v>2</v>
      </c>
      <c r="Z124">
        <f t="shared" ca="1" si="19"/>
        <v>2</v>
      </c>
      <c r="AA124">
        <f t="shared" ca="1" si="20"/>
        <v>1952</v>
      </c>
      <c r="AB124">
        <f t="shared" ca="1" si="21"/>
        <v>12</v>
      </c>
      <c r="AC124">
        <f t="shared" ca="1" si="22"/>
        <v>14</v>
      </c>
      <c r="AD124">
        <f t="shared" ca="1" si="23"/>
        <v>68</v>
      </c>
    </row>
    <row r="125" spans="1:30" x14ac:dyDescent="0.25">
      <c r="A125">
        <v>124</v>
      </c>
      <c r="B125" t="str">
        <f t="shared" si="12"/>
        <v>med124</v>
      </c>
      <c r="C125" t="str">
        <f t="shared" si="13"/>
        <v>pswmed124</v>
      </c>
      <c r="D125" t="str">
        <f ca="1">Nomes!T126</f>
        <v>Francisca Laura Oliveira Sá</v>
      </c>
      <c r="E125" t="str">
        <f ca="1">Nomes!S126</f>
        <v>Feminino</v>
      </c>
      <c r="F125" s="2">
        <v>13497</v>
      </c>
      <c r="G125" t="str" cm="1">
        <f t="array" aca="1" ref="G125" ca="1">INDEX(rua_cod!$F:$F,RANDBETWEEN(2,COUNTA(rua_cod!F:F)))</f>
        <v>Travessa de São João da Praça</v>
      </c>
      <c r="H125" t="str" cm="1">
        <f t="array" aca="1" ref="H125" ca="1">INDEX(rua_cod!$A:$A,Médicos!X125) &amp; "-" &amp; TEXT(RANDBETWEEN(0,999),"000")</f>
        <v>2560-938</v>
      </c>
      <c r="I125" t="str" cm="1">
        <f t="array" aca="1" ref="I125" ca="1">INDEX(rua_cod!$B:$B,Médicos!X125)</f>
        <v>Torres Vedras</v>
      </c>
      <c r="J125" t="s">
        <v>341</v>
      </c>
      <c r="K125" t="s">
        <v>225</v>
      </c>
      <c r="L125" t="s">
        <v>265</v>
      </c>
      <c r="M125" t="str">
        <f t="shared" ca="1" si="14"/>
        <v>27523177</v>
      </c>
      <c r="N125" t="str">
        <f t="shared" ca="1" si="15"/>
        <v>305976402</v>
      </c>
      <c r="O125" t="str">
        <f t="shared" ca="1" si="15"/>
        <v>212716171</v>
      </c>
      <c r="P125" t="str" cm="1">
        <f t="array" aca="1" ref="P125" ca="1">9 &amp; INDEX($AH$3:$AH$6,Y125)&amp; TEXT(RANDBETWEEN(0,9999999),"0000000")</f>
        <v>924465405</v>
      </c>
      <c r="Q125" t="str" cm="1">
        <f t="array" aca="1" ref="Q125" ca="1">LOWER(B125) &amp; INDEX($AH$9:$AH$11,Z125)</f>
        <v>med124@hospital.upskill.com</v>
      </c>
      <c r="R125" t="str">
        <f t="shared" si="16"/>
        <v>med124.jpg</v>
      </c>
      <c r="S125" s="8">
        <f t="shared" ca="1" si="17"/>
        <v>9692609267976052</v>
      </c>
      <c r="T125" t="s">
        <v>341</v>
      </c>
      <c r="V125" s="4"/>
      <c r="X125">
        <f ca="1">RANDBETWEEN(2,COUNTA(rua_cod!A:A))</f>
        <v>104</v>
      </c>
      <c r="Y125">
        <f t="shared" ca="1" si="18"/>
        <v>2</v>
      </c>
      <c r="Z125">
        <f t="shared" ca="1" si="19"/>
        <v>2</v>
      </c>
      <c r="AA125">
        <f t="shared" ca="1" si="20"/>
        <v>1963</v>
      </c>
      <c r="AB125">
        <f t="shared" ca="1" si="21"/>
        <v>6</v>
      </c>
      <c r="AC125">
        <f t="shared" ca="1" si="22"/>
        <v>6</v>
      </c>
      <c r="AD125">
        <f t="shared" ca="1" si="23"/>
        <v>57</v>
      </c>
    </row>
    <row r="126" spans="1:30" x14ac:dyDescent="0.25">
      <c r="A126">
        <v>125</v>
      </c>
      <c r="B126" t="str">
        <f t="shared" si="12"/>
        <v>med125</v>
      </c>
      <c r="C126" t="str">
        <f t="shared" si="13"/>
        <v>pswmed125</v>
      </c>
      <c r="D126" t="str">
        <f ca="1">Nomes!T127</f>
        <v>Santiago Lara Martins Maia</v>
      </c>
      <c r="E126" t="str">
        <f ca="1">Nomes!S127</f>
        <v>Masculino</v>
      </c>
      <c r="F126" s="2">
        <v>25240</v>
      </c>
      <c r="G126" t="str" cm="1">
        <f t="array" aca="1" ref="G126" ca="1">INDEX(rua_cod!$F:$F,RANDBETWEEN(2,COUNTA(rua_cod!F:F)))</f>
        <v>Rua do Salitre</v>
      </c>
      <c r="H126" t="str" cm="1">
        <f t="array" aca="1" ref="H126" ca="1">INDEX(rua_cod!$A:$A,Médicos!X126) &amp; "-" &amp; TEXT(RANDBETWEEN(0,999),"000")</f>
        <v>1000-548</v>
      </c>
      <c r="I126" t="str" cm="1">
        <f t="array" aca="1" ref="I126" ca="1">INDEX(rua_cod!$B:$B,Médicos!X126)</f>
        <v>Lisboa</v>
      </c>
      <c r="J126" t="s">
        <v>341</v>
      </c>
      <c r="K126" t="s">
        <v>225</v>
      </c>
      <c r="L126" t="s">
        <v>265</v>
      </c>
      <c r="M126" t="str">
        <f t="shared" ca="1" si="14"/>
        <v>36251613</v>
      </c>
      <c r="N126" t="str">
        <f t="shared" ca="1" si="15"/>
        <v>636576520</v>
      </c>
      <c r="O126" t="str">
        <f t="shared" ca="1" si="15"/>
        <v>189642561</v>
      </c>
      <c r="P126" t="str" cm="1">
        <f t="array" aca="1" ref="P126" ca="1">9 &amp; INDEX($AH$3:$AH$6,Y126)&amp; TEXT(RANDBETWEEN(0,9999999),"0000000")</f>
        <v>969612513</v>
      </c>
      <c r="Q126" t="str" cm="1">
        <f t="array" aca="1" ref="Q126" ca="1">LOWER(B126) &amp; INDEX($AH$9:$AH$11,Z126)</f>
        <v>med125@hospital.upskill.com</v>
      </c>
      <c r="R126" t="str">
        <f t="shared" si="16"/>
        <v>med125.jpg</v>
      </c>
      <c r="S126" s="8">
        <f t="shared" ca="1" si="17"/>
        <v>1531253185904926</v>
      </c>
      <c r="T126" t="s">
        <v>341</v>
      </c>
      <c r="V126" s="4"/>
      <c r="X126">
        <f ca="1">RANDBETWEEN(2,COUNTA(rua_cod!A:A))</f>
        <v>62</v>
      </c>
      <c r="Y126">
        <f t="shared" ca="1" si="18"/>
        <v>4</v>
      </c>
      <c r="Z126">
        <f t="shared" ca="1" si="19"/>
        <v>2</v>
      </c>
      <c r="AA126">
        <f t="shared" ca="1" si="20"/>
        <v>1989</v>
      </c>
      <c r="AB126">
        <f t="shared" ca="1" si="21"/>
        <v>8</v>
      </c>
      <c r="AC126">
        <f t="shared" ca="1" si="22"/>
        <v>11</v>
      </c>
      <c r="AD126">
        <f t="shared" ca="1" si="23"/>
        <v>31</v>
      </c>
    </row>
    <row r="127" spans="1:30" x14ac:dyDescent="0.25">
      <c r="A127">
        <v>126</v>
      </c>
      <c r="B127" t="str">
        <f t="shared" si="12"/>
        <v>med126</v>
      </c>
      <c r="C127" t="str">
        <f t="shared" si="13"/>
        <v>pswmed126</v>
      </c>
      <c r="D127" t="str">
        <f ca="1">Nomes!T128</f>
        <v>José André Marques Almeida</v>
      </c>
      <c r="E127" t="str">
        <f ca="1">Nomes!S128</f>
        <v>Masculino</v>
      </c>
      <c r="F127" s="2">
        <v>16827</v>
      </c>
      <c r="G127" t="str" cm="1">
        <f t="array" aca="1" ref="G127" ca="1">INDEX(rua_cod!$F:$F,RANDBETWEEN(2,COUNTA(rua_cod!F:F)))</f>
        <v>Rua da Prata</v>
      </c>
      <c r="H127" t="str" cm="1">
        <f t="array" aca="1" ref="H127" ca="1">INDEX(rua_cod!$A:$A,Médicos!X127) &amp; "-" &amp; TEXT(RANDBETWEEN(0,999),"000")</f>
        <v>1350-891</v>
      </c>
      <c r="I127" t="str" cm="1">
        <f t="array" aca="1" ref="I127" ca="1">INDEX(rua_cod!$B:$B,Médicos!X127)</f>
        <v>Lisboa</v>
      </c>
      <c r="J127" t="s">
        <v>341</v>
      </c>
      <c r="K127" t="s">
        <v>225</v>
      </c>
      <c r="L127" t="s">
        <v>265</v>
      </c>
      <c r="M127" t="str">
        <f t="shared" ca="1" si="14"/>
        <v>53116991</v>
      </c>
      <c r="N127" t="str">
        <f t="shared" ca="1" si="15"/>
        <v>126588407</v>
      </c>
      <c r="O127" t="str">
        <f t="shared" ca="1" si="15"/>
        <v>532559417</v>
      </c>
      <c r="P127" t="str" cm="1">
        <f t="array" aca="1" ref="P127" ca="1">9 &amp; INDEX($AH$3:$AH$6,Y127)&amp; TEXT(RANDBETWEEN(0,9999999),"0000000")</f>
        <v>917514228</v>
      </c>
      <c r="Q127" t="str" cm="1">
        <f t="array" aca="1" ref="Q127" ca="1">LOWER(B127) &amp; INDEX($AH$9:$AH$11,Z127)</f>
        <v>med126@hospital.upskill.com</v>
      </c>
      <c r="R127" t="str">
        <f t="shared" si="16"/>
        <v>med126.jpg</v>
      </c>
      <c r="S127" s="8">
        <f t="shared" ca="1" si="17"/>
        <v>8878278244385689</v>
      </c>
      <c r="T127" t="s">
        <v>341</v>
      </c>
      <c r="V127" s="4"/>
      <c r="X127">
        <f ca="1">RANDBETWEEN(2,COUNTA(rua_cod!A:A))</f>
        <v>54</v>
      </c>
      <c r="Y127">
        <f t="shared" ca="1" si="18"/>
        <v>1</v>
      </c>
      <c r="Z127">
        <f t="shared" ca="1" si="19"/>
        <v>1</v>
      </c>
      <c r="AA127">
        <f t="shared" ca="1" si="20"/>
        <v>1950</v>
      </c>
      <c r="AB127">
        <f t="shared" ca="1" si="21"/>
        <v>12</v>
      </c>
      <c r="AC127">
        <f t="shared" ca="1" si="22"/>
        <v>13</v>
      </c>
      <c r="AD127">
        <f t="shared" ca="1" si="23"/>
        <v>70</v>
      </c>
    </row>
    <row r="128" spans="1:30" x14ac:dyDescent="0.25">
      <c r="A128">
        <v>127</v>
      </c>
      <c r="B128" t="str">
        <f t="shared" si="12"/>
        <v>med127</v>
      </c>
      <c r="C128" t="str">
        <f t="shared" si="13"/>
        <v>pswmed127</v>
      </c>
      <c r="D128" t="str">
        <f ca="1">Nomes!T129</f>
        <v>Diana Francisco Batista Araújo</v>
      </c>
      <c r="E128" t="str">
        <f ca="1">Nomes!S129</f>
        <v>Feminino</v>
      </c>
      <c r="F128" s="2">
        <v>14246</v>
      </c>
      <c r="G128" t="str" cm="1">
        <f t="array" aca="1" ref="G128" ca="1">INDEX(rua_cod!$F:$F,RANDBETWEEN(2,COUNTA(rua_cod!F:F)))</f>
        <v>Rua do Comércio</v>
      </c>
      <c r="H128" t="str" cm="1">
        <f t="array" aca="1" ref="H128" ca="1">INDEX(rua_cod!$A:$A,Médicos!X128) &amp; "-" &amp; TEXT(RANDBETWEEN(0,999),"000")</f>
        <v>1700-751</v>
      </c>
      <c r="I128" t="str" cm="1">
        <f t="array" aca="1" ref="I128" ca="1">INDEX(rua_cod!$B:$B,Médicos!X128)</f>
        <v>Lisboa</v>
      </c>
      <c r="J128" t="s">
        <v>341</v>
      </c>
      <c r="K128" t="s">
        <v>225</v>
      </c>
      <c r="L128" t="s">
        <v>265</v>
      </c>
      <c r="M128" t="str">
        <f t="shared" ca="1" si="14"/>
        <v>23281515</v>
      </c>
      <c r="N128" t="str">
        <f t="shared" ca="1" si="15"/>
        <v>733069469</v>
      </c>
      <c r="O128" t="str">
        <f t="shared" ca="1" si="15"/>
        <v>743299292</v>
      </c>
      <c r="P128" t="str" cm="1">
        <f t="array" aca="1" ref="P128" ca="1">9 &amp; INDEX($AH$3:$AH$6,Y128)&amp; TEXT(RANDBETWEEN(0,9999999),"0000000")</f>
        <v>962343550</v>
      </c>
      <c r="Q128" t="str" cm="1">
        <f t="array" aca="1" ref="Q128" ca="1">LOWER(B128) &amp; INDEX($AH$9:$AH$11,Z128)</f>
        <v>med127@hospital.upskill.com</v>
      </c>
      <c r="R128" t="str">
        <f t="shared" si="16"/>
        <v>med127.jpg</v>
      </c>
      <c r="S128" s="8">
        <f t="shared" ca="1" si="17"/>
        <v>2341348034425089</v>
      </c>
      <c r="T128" t="s">
        <v>341</v>
      </c>
      <c r="V128" s="4"/>
      <c r="X128">
        <f ca="1">RANDBETWEEN(2,COUNTA(rua_cod!A:A))</f>
        <v>40</v>
      </c>
      <c r="Y128">
        <f t="shared" ca="1" si="18"/>
        <v>4</v>
      </c>
      <c r="Z128">
        <f t="shared" ca="1" si="19"/>
        <v>1</v>
      </c>
      <c r="AA128">
        <f t="shared" ca="1" si="20"/>
        <v>1968</v>
      </c>
      <c r="AB128">
        <f t="shared" ca="1" si="21"/>
        <v>5</v>
      </c>
      <c r="AC128">
        <f t="shared" ca="1" si="22"/>
        <v>31</v>
      </c>
      <c r="AD128">
        <f t="shared" ca="1" si="23"/>
        <v>52</v>
      </c>
    </row>
    <row r="129" spans="1:30" x14ac:dyDescent="0.25">
      <c r="A129">
        <v>128</v>
      </c>
      <c r="B129" t="str">
        <f t="shared" si="12"/>
        <v>med128</v>
      </c>
      <c r="C129" t="str">
        <f t="shared" si="13"/>
        <v>pswmed128</v>
      </c>
      <c r="D129" t="str">
        <f ca="1">Nomes!T130</f>
        <v>Bruno Joaquim Sousa Coelho</v>
      </c>
      <c r="E129" t="str">
        <f ca="1">Nomes!S130</f>
        <v>Masculino</v>
      </c>
      <c r="F129" s="2">
        <v>43342</v>
      </c>
      <c r="G129" t="str" cm="1">
        <f t="array" aca="1" ref="G129" ca="1">INDEX(rua_cod!$F:$F,RANDBETWEEN(2,COUNTA(rua_cod!F:F)))</f>
        <v>Rua General Morais Sarmento</v>
      </c>
      <c r="H129" t="str" cm="1">
        <f t="array" aca="1" ref="H129" ca="1">INDEX(rua_cod!$A:$A,Médicos!X129) &amp; "-" &amp; TEXT(RANDBETWEEN(0,999),"000")</f>
        <v>2745-211</v>
      </c>
      <c r="I129" t="str" cm="1">
        <f t="array" aca="1" ref="I129" ca="1">INDEX(rua_cod!$B:$B,Médicos!X129)</f>
        <v>Queluz</v>
      </c>
      <c r="J129" t="s">
        <v>341</v>
      </c>
      <c r="K129" t="s">
        <v>225</v>
      </c>
      <c r="L129" t="s">
        <v>265</v>
      </c>
      <c r="M129" t="str">
        <f t="shared" ca="1" si="14"/>
        <v>17297411</v>
      </c>
      <c r="N129" t="str">
        <f t="shared" ca="1" si="15"/>
        <v>606222576</v>
      </c>
      <c r="O129" t="str">
        <f t="shared" ca="1" si="15"/>
        <v>796949190</v>
      </c>
      <c r="P129" t="str" cm="1">
        <f t="array" aca="1" ref="P129" ca="1">9 &amp; INDEX($AH$3:$AH$6,Y129)&amp; TEXT(RANDBETWEEN(0,9999999),"0000000")</f>
        <v>915151426</v>
      </c>
      <c r="Q129" t="str" cm="1">
        <f t="array" aca="1" ref="Q129" ca="1">LOWER(B129) &amp; INDEX($AH$9:$AH$11,Z129)</f>
        <v>med128@hospital.upskill.com</v>
      </c>
      <c r="R129" t="str">
        <f t="shared" si="16"/>
        <v>med128.jpg</v>
      </c>
      <c r="S129" s="8">
        <f t="shared" ca="1" si="17"/>
        <v>8674134395257838</v>
      </c>
      <c r="T129" t="s">
        <v>341</v>
      </c>
      <c r="V129" s="4"/>
      <c r="X129">
        <f ca="1">RANDBETWEEN(2,COUNTA(rua_cod!A:A))</f>
        <v>90</v>
      </c>
      <c r="Y129">
        <f t="shared" ca="1" si="18"/>
        <v>1</v>
      </c>
      <c r="Z129">
        <f t="shared" ca="1" si="19"/>
        <v>1</v>
      </c>
      <c r="AA129">
        <f t="shared" ca="1" si="20"/>
        <v>1976</v>
      </c>
      <c r="AB129">
        <f t="shared" ca="1" si="21"/>
        <v>7</v>
      </c>
      <c r="AC129">
        <f t="shared" ca="1" si="22"/>
        <v>5</v>
      </c>
      <c r="AD129">
        <f t="shared" ca="1" si="23"/>
        <v>44</v>
      </c>
    </row>
    <row r="130" spans="1:30" x14ac:dyDescent="0.25">
      <c r="A130">
        <v>129</v>
      </c>
      <c r="B130" t="str">
        <f t="shared" si="12"/>
        <v>med129</v>
      </c>
      <c r="C130" t="str">
        <f t="shared" si="13"/>
        <v>pswmed129</v>
      </c>
      <c r="D130" t="str">
        <f ca="1">Nomes!T131</f>
        <v>Rodrigo Miguel Tavares Torres</v>
      </c>
      <c r="E130" t="str">
        <f ca="1">Nomes!S131</f>
        <v>Masculino</v>
      </c>
      <c r="F130" s="2">
        <v>37343</v>
      </c>
      <c r="G130" t="str" cm="1">
        <f t="array" aca="1" ref="G130" ca="1">INDEX(rua_cod!$F:$F,RANDBETWEEN(2,COUNTA(rua_cod!F:F)))</f>
        <v>Rua do Sol a Santana</v>
      </c>
      <c r="H130" t="str" cm="1">
        <f t="array" aca="1" ref="H130" ca="1">INDEX(rua_cod!$A:$A,Médicos!X130) &amp; "-" &amp; TEXT(RANDBETWEEN(0,999),"000")</f>
        <v>2825-843</v>
      </c>
      <c r="I130" t="str" cm="1">
        <f t="array" aca="1" ref="I130" ca="1">INDEX(rua_cod!$B:$B,Médicos!X130)</f>
        <v>Caparica</v>
      </c>
      <c r="J130" t="s">
        <v>341</v>
      </c>
      <c r="K130" t="s">
        <v>225</v>
      </c>
      <c r="L130" t="s">
        <v>265</v>
      </c>
      <c r="M130" t="str">
        <f t="shared" ca="1" si="14"/>
        <v>58230739</v>
      </c>
      <c r="N130" t="str">
        <f t="shared" ca="1" si="15"/>
        <v>749118517</v>
      </c>
      <c r="O130" t="str">
        <f t="shared" ca="1" si="15"/>
        <v>189942032</v>
      </c>
      <c r="P130" t="str" cm="1">
        <f t="array" aca="1" ref="P130" ca="1">9 &amp; INDEX($AH$3:$AH$6,Y130)&amp; TEXT(RANDBETWEEN(0,9999999),"0000000")</f>
        <v>925667648</v>
      </c>
      <c r="Q130" t="str" cm="1">
        <f t="array" aca="1" ref="Q130" ca="1">LOWER(B130) &amp; INDEX($AH$9:$AH$11,Z130)</f>
        <v>med129@hospital.upskill.com</v>
      </c>
      <c r="R130" t="str">
        <f t="shared" si="16"/>
        <v>med129.jpg</v>
      </c>
      <c r="S130" s="8">
        <f t="shared" ca="1" si="17"/>
        <v>7912601397275728</v>
      </c>
      <c r="T130" t="s">
        <v>341</v>
      </c>
      <c r="V130" s="4"/>
      <c r="X130">
        <f ca="1">RANDBETWEEN(2,COUNTA(rua_cod!A:A))</f>
        <v>18</v>
      </c>
      <c r="Y130">
        <f t="shared" ca="1" si="18"/>
        <v>2</v>
      </c>
      <c r="Z130">
        <f t="shared" ca="1" si="19"/>
        <v>3</v>
      </c>
      <c r="AA130">
        <f t="shared" ca="1" si="20"/>
        <v>1955</v>
      </c>
      <c r="AB130">
        <f t="shared" ca="1" si="21"/>
        <v>3</v>
      </c>
      <c r="AC130">
        <f t="shared" ca="1" si="22"/>
        <v>28</v>
      </c>
      <c r="AD130">
        <f t="shared" ca="1" si="23"/>
        <v>65</v>
      </c>
    </row>
    <row r="131" spans="1:30" x14ac:dyDescent="0.25">
      <c r="A131">
        <v>130</v>
      </c>
      <c r="B131" t="str">
        <f t="shared" ref="B131:B194" si="24">"med" &amp; TEXT(A131,"000")</f>
        <v>med130</v>
      </c>
      <c r="C131" t="str">
        <f t="shared" ref="C131:C194" si="25">"psw" &amp; B131</f>
        <v>pswmed130</v>
      </c>
      <c r="D131" t="str">
        <f ca="1">Nomes!T132</f>
        <v>Martim Francisca Abreu Alves</v>
      </c>
      <c r="E131" t="str">
        <f ca="1">Nomes!S132</f>
        <v>Masculino</v>
      </c>
      <c r="F131" s="2">
        <v>35503</v>
      </c>
      <c r="G131" t="str" cm="1">
        <f t="array" aca="1" ref="G131" ca="1">INDEX(rua_cod!$F:$F,RANDBETWEEN(2,COUNTA(rua_cod!F:F)))</f>
        <v>Estrada das Laranjeiras</v>
      </c>
      <c r="H131" t="str" cm="1">
        <f t="array" aca="1" ref="H131" ca="1">INDEX(rua_cod!$A:$A,Médicos!X131) &amp; "-" &amp; TEXT(RANDBETWEEN(0,999),"000")</f>
        <v>2779-392</v>
      </c>
      <c r="I131" t="str" cm="1">
        <f t="array" aca="1" ref="I131" ca="1">INDEX(rua_cod!$B:$B,Médicos!X131)</f>
        <v>Carcavelos</v>
      </c>
      <c r="J131" t="s">
        <v>341</v>
      </c>
      <c r="K131" t="s">
        <v>225</v>
      </c>
      <c r="L131" t="s">
        <v>265</v>
      </c>
      <c r="M131" t="str">
        <f t="shared" ref="M131:M194" ca="1" si="26">TEXT(RANDBETWEEN(10000000,99999999),"00000000")</f>
        <v>80381486</v>
      </c>
      <c r="N131" t="str">
        <f t="shared" ref="N131:O194" ca="1" si="27">TEXT(RANDBETWEEN(100000000,999999999),"000000000")</f>
        <v>203010858</v>
      </c>
      <c r="O131" t="str">
        <f t="shared" ca="1" si="27"/>
        <v>550294725</v>
      </c>
      <c r="P131" t="str" cm="1">
        <f t="array" aca="1" ref="P131" ca="1">9 &amp; INDEX($AH$3:$AH$6,Y131)&amp; TEXT(RANDBETWEEN(0,9999999),"0000000")</f>
        <v>961016464</v>
      </c>
      <c r="Q131" t="str" cm="1">
        <f t="array" aca="1" ref="Q131" ca="1">LOWER(B131) &amp; INDEX($AH$9:$AH$11,Z131)</f>
        <v>med130@hospital.upskill.com</v>
      </c>
      <c r="R131" t="str">
        <f t="shared" ref="R131:R194" si="28">B131 &amp; ".jpg"</f>
        <v>med130.jpg</v>
      </c>
      <c r="S131" s="8">
        <f t="shared" ref="S131:S194" ca="1" si="29" xml:space="preserve"> RANDBETWEEN(1000000000000000,9999999999999990)</f>
        <v>9732386805044882</v>
      </c>
      <c r="T131" t="s">
        <v>341</v>
      </c>
      <c r="V131" s="4"/>
      <c r="X131">
        <f ca="1">RANDBETWEEN(2,COUNTA(rua_cod!A:A))</f>
        <v>21</v>
      </c>
      <c r="Y131">
        <f t="shared" ref="Y131:Y194" ca="1" si="30">RANDBETWEEN(1,4)</f>
        <v>4</v>
      </c>
      <c r="Z131">
        <f t="shared" ref="Z131:Z194" ca="1" si="31">RANDBETWEEN(1,3)</f>
        <v>3</v>
      </c>
      <c r="AA131">
        <f t="shared" ref="AA131:AA194" ca="1" si="32">RANDBETWEEN(1950,1994)</f>
        <v>1962</v>
      </c>
      <c r="AB131">
        <f t="shared" ref="AB131:AB194" ca="1" si="33">RANDBETWEEN(1,12)</f>
        <v>3</v>
      </c>
      <c r="AC131">
        <f t="shared" ref="AC131:AC194" ca="1" si="34">RANDBETWEEN(1,31)</f>
        <v>4</v>
      </c>
      <c r="AD131">
        <f t="shared" ref="AD131:AD194" ca="1" si="35">2020-AA131</f>
        <v>58</v>
      </c>
    </row>
    <row r="132" spans="1:30" x14ac:dyDescent="0.25">
      <c r="A132">
        <v>131</v>
      </c>
      <c r="B132" t="str">
        <f t="shared" si="24"/>
        <v>med131</v>
      </c>
      <c r="C132" t="str">
        <f t="shared" si="25"/>
        <v>pswmed131</v>
      </c>
      <c r="D132" t="str">
        <f ca="1">Nomes!T133</f>
        <v>Mariana Joana Amorim Coelho</v>
      </c>
      <c r="E132" t="str">
        <f ca="1">Nomes!S133</f>
        <v>Feminino</v>
      </c>
      <c r="F132" s="2">
        <v>10487</v>
      </c>
      <c r="G132" t="str" cm="1">
        <f t="array" aca="1" ref="G132" ca="1">INDEX(rua_cod!$F:$F,RANDBETWEEN(2,COUNTA(rua_cod!F:F)))</f>
        <v>Calçada do Poço dos Mouros</v>
      </c>
      <c r="H132" t="str" cm="1">
        <f t="array" aca="1" ref="H132" ca="1">INDEX(rua_cod!$A:$A,Médicos!X132) &amp; "-" &amp; TEXT(RANDBETWEEN(0,999),"000")</f>
        <v>2415-100</v>
      </c>
      <c r="I132" t="str" cm="1">
        <f t="array" aca="1" ref="I132" ca="1">INDEX(rua_cod!$B:$B,Médicos!X132)</f>
        <v>Leiria</v>
      </c>
      <c r="J132" t="s">
        <v>341</v>
      </c>
      <c r="K132" t="s">
        <v>225</v>
      </c>
      <c r="L132" t="s">
        <v>265</v>
      </c>
      <c r="M132" t="str">
        <f t="shared" ca="1" si="26"/>
        <v>24997668</v>
      </c>
      <c r="N132" t="str">
        <f t="shared" ca="1" si="27"/>
        <v>314892194</v>
      </c>
      <c r="O132" t="str">
        <f t="shared" ca="1" si="27"/>
        <v>235528021</v>
      </c>
      <c r="P132" t="str" cm="1">
        <f t="array" aca="1" ref="P132" ca="1">9 &amp; INDEX($AH$3:$AH$6,Y132)&amp; TEXT(RANDBETWEEN(0,9999999),"0000000")</f>
        <v>937305159</v>
      </c>
      <c r="Q132" t="str" cm="1">
        <f t="array" aca="1" ref="Q132" ca="1">LOWER(B132) &amp; INDEX($AH$9:$AH$11,Z132)</f>
        <v>med131@hospital.upskill.com</v>
      </c>
      <c r="R132" t="str">
        <f t="shared" si="28"/>
        <v>med131.jpg</v>
      </c>
      <c r="S132" s="8">
        <f t="shared" ca="1" si="29"/>
        <v>9141616324511978</v>
      </c>
      <c r="T132" t="s">
        <v>341</v>
      </c>
      <c r="V132" s="4"/>
      <c r="X132">
        <f ca="1">RANDBETWEEN(2,COUNTA(rua_cod!A:A))</f>
        <v>35</v>
      </c>
      <c r="Y132">
        <f t="shared" ca="1" si="30"/>
        <v>3</v>
      </c>
      <c r="Z132">
        <f t="shared" ca="1" si="31"/>
        <v>1</v>
      </c>
      <c r="AA132">
        <f t="shared" ca="1" si="32"/>
        <v>1965</v>
      </c>
      <c r="AB132">
        <f t="shared" ca="1" si="33"/>
        <v>7</v>
      </c>
      <c r="AC132">
        <f t="shared" ca="1" si="34"/>
        <v>20</v>
      </c>
      <c r="AD132">
        <f t="shared" ca="1" si="35"/>
        <v>55</v>
      </c>
    </row>
    <row r="133" spans="1:30" x14ac:dyDescent="0.25">
      <c r="A133">
        <v>132</v>
      </c>
      <c r="B133" t="str">
        <f t="shared" si="24"/>
        <v>med132</v>
      </c>
      <c r="C133" t="str">
        <f t="shared" si="25"/>
        <v>pswmed132</v>
      </c>
      <c r="D133" t="str">
        <f ca="1">Nomes!T134</f>
        <v>Maria André Moura Lopes</v>
      </c>
      <c r="E133" t="str">
        <f ca="1">Nomes!S134</f>
        <v>Feminino</v>
      </c>
      <c r="F133" s="2">
        <v>20453</v>
      </c>
      <c r="G133" t="str" cm="1">
        <f t="array" aca="1" ref="G133" ca="1">INDEX(rua_cod!$F:$F,RANDBETWEEN(2,COUNTA(rua_cod!F:F)))</f>
        <v>Rua do Salitre</v>
      </c>
      <c r="H133" t="str" cm="1">
        <f t="array" aca="1" ref="H133" ca="1">INDEX(rua_cod!$A:$A,Médicos!X133) &amp; "-" &amp; TEXT(RANDBETWEEN(0,999),"000")</f>
        <v>2423-033</v>
      </c>
      <c r="I133" t="str" cm="1">
        <f t="array" aca="1" ref="I133" ca="1">INDEX(rua_cod!$B:$B,Médicos!X133)</f>
        <v>Leiria</v>
      </c>
      <c r="J133" t="s">
        <v>341</v>
      </c>
      <c r="K133" t="s">
        <v>225</v>
      </c>
      <c r="L133" t="s">
        <v>265</v>
      </c>
      <c r="M133" t="str">
        <f t="shared" ca="1" si="26"/>
        <v>22632685</v>
      </c>
      <c r="N133" t="str">
        <f t="shared" ca="1" si="27"/>
        <v>303379426</v>
      </c>
      <c r="O133" t="str">
        <f t="shared" ca="1" si="27"/>
        <v>696311132</v>
      </c>
      <c r="P133" t="str" cm="1">
        <f t="array" aca="1" ref="P133" ca="1">9 &amp; INDEX($AH$3:$AH$6,Y133)&amp; TEXT(RANDBETWEEN(0,9999999),"0000000")</f>
        <v>934871244</v>
      </c>
      <c r="Q133" t="str" cm="1">
        <f t="array" aca="1" ref="Q133" ca="1">LOWER(B133) &amp; INDEX($AH$9:$AH$11,Z133)</f>
        <v>med132@hospital.upskill.com</v>
      </c>
      <c r="R133" t="str">
        <f t="shared" si="28"/>
        <v>med132.jpg</v>
      </c>
      <c r="S133" s="8">
        <f t="shared" ca="1" si="29"/>
        <v>9825434306725184</v>
      </c>
      <c r="T133" t="s">
        <v>341</v>
      </c>
      <c r="V133" s="4"/>
      <c r="X133">
        <f ca="1">RANDBETWEEN(2,COUNTA(rua_cod!A:A))</f>
        <v>38</v>
      </c>
      <c r="Y133">
        <f t="shared" ca="1" si="30"/>
        <v>3</v>
      </c>
      <c r="Z133">
        <f t="shared" ca="1" si="31"/>
        <v>2</v>
      </c>
      <c r="AA133">
        <f t="shared" ca="1" si="32"/>
        <v>1975</v>
      </c>
      <c r="AB133">
        <f t="shared" ca="1" si="33"/>
        <v>7</v>
      </c>
      <c r="AC133">
        <f t="shared" ca="1" si="34"/>
        <v>27</v>
      </c>
      <c r="AD133">
        <f t="shared" ca="1" si="35"/>
        <v>45</v>
      </c>
    </row>
    <row r="134" spans="1:30" x14ac:dyDescent="0.25">
      <c r="A134">
        <v>133</v>
      </c>
      <c r="B134" t="str">
        <f t="shared" si="24"/>
        <v>med133</v>
      </c>
      <c r="C134" t="str">
        <f t="shared" si="25"/>
        <v>pswmed133</v>
      </c>
      <c r="D134" t="str">
        <f ca="1">Nomes!T135</f>
        <v>Lara Martim Ferreira Ribeiro</v>
      </c>
      <c r="E134" t="str">
        <f ca="1">Nomes!S135</f>
        <v>Feminino</v>
      </c>
      <c r="F134" s="2">
        <v>43922</v>
      </c>
      <c r="G134" t="str" cm="1">
        <f t="array" aca="1" ref="G134" ca="1">INDEX(rua_cod!$F:$F,RANDBETWEEN(2,COUNTA(rua_cod!F:F)))</f>
        <v>Calçada do Moinho de Vento</v>
      </c>
      <c r="H134" t="str" cm="1">
        <f t="array" aca="1" ref="H134" ca="1">INDEX(rua_cod!$A:$A,Médicos!X134) &amp; "-" &amp; TEXT(RANDBETWEEN(0,999),"000")</f>
        <v>2724-618</v>
      </c>
      <c r="I134" t="str" cm="1">
        <f t="array" aca="1" ref="I134" ca="1">INDEX(rua_cod!$B:$B,Médicos!X134)</f>
        <v>Amadora</v>
      </c>
      <c r="J134" t="s">
        <v>341</v>
      </c>
      <c r="K134" t="s">
        <v>225</v>
      </c>
      <c r="L134" t="s">
        <v>265</v>
      </c>
      <c r="M134" t="str">
        <f t="shared" ca="1" si="26"/>
        <v>69087309</v>
      </c>
      <c r="N134" t="str">
        <f t="shared" ca="1" si="27"/>
        <v>731725453</v>
      </c>
      <c r="O134" t="str">
        <f t="shared" ca="1" si="27"/>
        <v>262549167</v>
      </c>
      <c r="P134" t="str" cm="1">
        <f t="array" aca="1" ref="P134" ca="1">9 &amp; INDEX($AH$3:$AH$6,Y134)&amp; TEXT(RANDBETWEEN(0,9999999),"0000000")</f>
        <v>917724915</v>
      </c>
      <c r="Q134" t="str" cm="1">
        <f t="array" aca="1" ref="Q134" ca="1">LOWER(B134) &amp; INDEX($AH$9:$AH$11,Z134)</f>
        <v>med133@hospital.upskill.com</v>
      </c>
      <c r="R134" t="str">
        <f t="shared" si="28"/>
        <v>med133.jpg</v>
      </c>
      <c r="S134" s="8">
        <f t="shared" ca="1" si="29"/>
        <v>7364297851218230</v>
      </c>
      <c r="T134" t="s">
        <v>341</v>
      </c>
      <c r="V134" s="4"/>
      <c r="X134">
        <f ca="1">RANDBETWEEN(2,COUNTA(rua_cod!A:A))</f>
        <v>13</v>
      </c>
      <c r="Y134">
        <f t="shared" ca="1" si="30"/>
        <v>1</v>
      </c>
      <c r="Z134">
        <f t="shared" ca="1" si="31"/>
        <v>3</v>
      </c>
      <c r="AA134">
        <f t="shared" ca="1" si="32"/>
        <v>1968</v>
      </c>
      <c r="AB134">
        <f t="shared" ca="1" si="33"/>
        <v>5</v>
      </c>
      <c r="AC134">
        <f t="shared" ca="1" si="34"/>
        <v>1</v>
      </c>
      <c r="AD134">
        <f t="shared" ca="1" si="35"/>
        <v>52</v>
      </c>
    </row>
    <row r="135" spans="1:30" x14ac:dyDescent="0.25">
      <c r="A135">
        <v>134</v>
      </c>
      <c r="B135" t="str">
        <f t="shared" si="24"/>
        <v>med134</v>
      </c>
      <c r="C135" t="str">
        <f t="shared" si="25"/>
        <v>pswmed134</v>
      </c>
      <c r="D135" t="str">
        <f ca="1">Nomes!T136</f>
        <v>Joana Diana Abreu Barbosa</v>
      </c>
      <c r="E135" t="str">
        <f ca="1">Nomes!S136</f>
        <v>Feminino</v>
      </c>
      <c r="F135" s="2">
        <v>25320</v>
      </c>
      <c r="G135" t="str" cm="1">
        <f t="array" aca="1" ref="G135" ca="1">INDEX(rua_cod!$F:$F,RANDBETWEEN(2,COUNTA(rua_cod!F:F)))</f>
        <v>Calçada do Moinho de Vento</v>
      </c>
      <c r="H135" t="str" cm="1">
        <f t="array" aca="1" ref="H135" ca="1">INDEX(rua_cod!$A:$A,Médicos!X135) &amp; "-" &amp; TEXT(RANDBETWEEN(0,999),"000")</f>
        <v>1800-195</v>
      </c>
      <c r="I135" t="str" cm="1">
        <f t="array" aca="1" ref="I135" ca="1">INDEX(rua_cod!$B:$B,Médicos!X135)</f>
        <v>Lisboa</v>
      </c>
      <c r="J135" t="s">
        <v>341</v>
      </c>
      <c r="K135" t="s">
        <v>225</v>
      </c>
      <c r="L135" t="s">
        <v>265</v>
      </c>
      <c r="M135" t="str">
        <f t="shared" ca="1" si="26"/>
        <v>56718104</v>
      </c>
      <c r="N135" t="str">
        <f t="shared" ca="1" si="27"/>
        <v>587579172</v>
      </c>
      <c r="O135" t="str">
        <f t="shared" ca="1" si="27"/>
        <v>806404700</v>
      </c>
      <c r="P135" t="str" cm="1">
        <f t="array" aca="1" ref="P135" ca="1">9 &amp; INDEX($AH$3:$AH$6,Y135)&amp; TEXT(RANDBETWEEN(0,9999999),"0000000")</f>
        <v>928343502</v>
      </c>
      <c r="Q135" t="str" cm="1">
        <f t="array" aca="1" ref="Q135" ca="1">LOWER(B135) &amp; INDEX($AH$9:$AH$11,Z135)</f>
        <v>med134@hospital.upskill.com</v>
      </c>
      <c r="R135" t="str">
        <f t="shared" si="28"/>
        <v>med134.jpg</v>
      </c>
      <c r="S135" s="8">
        <f t="shared" ca="1" si="29"/>
        <v>8020330625339846</v>
      </c>
      <c r="T135" t="s">
        <v>341</v>
      </c>
      <c r="V135" s="4"/>
      <c r="X135">
        <f ca="1">RANDBETWEEN(2,COUNTA(rua_cod!A:A))</f>
        <v>56</v>
      </c>
      <c r="Y135">
        <f t="shared" ca="1" si="30"/>
        <v>2</v>
      </c>
      <c r="Z135">
        <f t="shared" ca="1" si="31"/>
        <v>3</v>
      </c>
      <c r="AA135">
        <f t="shared" ca="1" si="32"/>
        <v>1984</v>
      </c>
      <c r="AB135">
        <f t="shared" ca="1" si="33"/>
        <v>3</v>
      </c>
      <c r="AC135">
        <f t="shared" ca="1" si="34"/>
        <v>16</v>
      </c>
      <c r="AD135">
        <f t="shared" ca="1" si="35"/>
        <v>36</v>
      </c>
    </row>
    <row r="136" spans="1:30" x14ac:dyDescent="0.25">
      <c r="A136">
        <v>135</v>
      </c>
      <c r="B136" t="str">
        <f t="shared" si="24"/>
        <v>med135</v>
      </c>
      <c r="C136" t="str">
        <f t="shared" si="25"/>
        <v>pswmed135</v>
      </c>
      <c r="D136" t="str">
        <f ca="1">Nomes!T137</f>
        <v>José Martim Garcia Anjos</v>
      </c>
      <c r="E136" t="str">
        <f ca="1">Nomes!S137</f>
        <v>Masculino</v>
      </c>
      <c r="F136" s="2">
        <v>20063</v>
      </c>
      <c r="G136" t="str" cm="1">
        <f t="array" aca="1" ref="G136" ca="1">INDEX(rua_cod!$F:$F,RANDBETWEEN(2,COUNTA(rua_cod!F:F)))</f>
        <v>Travessa de São João da Praça</v>
      </c>
      <c r="H136" t="str" cm="1">
        <f t="array" aca="1" ref="H136" ca="1">INDEX(rua_cod!$A:$A,Médicos!X136) &amp; "-" &amp; TEXT(RANDBETWEEN(0,999),"000")</f>
        <v>1900-905</v>
      </c>
      <c r="I136" t="str" cm="1">
        <f t="array" aca="1" ref="I136" ca="1">INDEX(rua_cod!$B:$B,Médicos!X136)</f>
        <v>Lisboa</v>
      </c>
      <c r="J136" t="s">
        <v>341</v>
      </c>
      <c r="K136" t="s">
        <v>225</v>
      </c>
      <c r="L136" t="s">
        <v>265</v>
      </c>
      <c r="M136" t="str">
        <f t="shared" ca="1" si="26"/>
        <v>35881635</v>
      </c>
      <c r="N136" t="str">
        <f t="shared" ca="1" si="27"/>
        <v>187892849</v>
      </c>
      <c r="O136" t="str">
        <f t="shared" ca="1" si="27"/>
        <v>855226096</v>
      </c>
      <c r="P136" t="str" cm="1">
        <f t="array" aca="1" ref="P136" ca="1">9 &amp; INDEX($AH$3:$AH$6,Y136)&amp; TEXT(RANDBETWEEN(0,9999999),"0000000")</f>
        <v>965244401</v>
      </c>
      <c r="Q136" t="str" cm="1">
        <f t="array" aca="1" ref="Q136" ca="1">LOWER(B136) &amp; INDEX($AH$9:$AH$11,Z136)</f>
        <v>med135@hospital.upskill.com</v>
      </c>
      <c r="R136" t="str">
        <f t="shared" si="28"/>
        <v>med135.jpg</v>
      </c>
      <c r="S136" s="8">
        <f t="shared" ca="1" si="29"/>
        <v>6872115237607145</v>
      </c>
      <c r="T136" t="s">
        <v>341</v>
      </c>
      <c r="V136" s="4"/>
      <c r="X136">
        <f ca="1">RANDBETWEEN(2,COUNTA(rua_cod!A:A))</f>
        <v>42</v>
      </c>
      <c r="Y136">
        <f t="shared" ca="1" si="30"/>
        <v>4</v>
      </c>
      <c r="Z136">
        <f t="shared" ca="1" si="31"/>
        <v>2</v>
      </c>
      <c r="AA136">
        <f t="shared" ca="1" si="32"/>
        <v>1972</v>
      </c>
      <c r="AB136">
        <f t="shared" ca="1" si="33"/>
        <v>7</v>
      </c>
      <c r="AC136">
        <f t="shared" ca="1" si="34"/>
        <v>13</v>
      </c>
      <c r="AD136">
        <f t="shared" ca="1" si="35"/>
        <v>48</v>
      </c>
    </row>
    <row r="137" spans="1:30" x14ac:dyDescent="0.25">
      <c r="A137">
        <v>136</v>
      </c>
      <c r="B137" t="str">
        <f t="shared" si="24"/>
        <v>med136</v>
      </c>
      <c r="C137" t="str">
        <f t="shared" si="25"/>
        <v>pswmed136</v>
      </c>
      <c r="D137" t="str">
        <f ca="1">Nomes!T138</f>
        <v>Sara Ana Morais Domingues</v>
      </c>
      <c r="E137" t="str">
        <f ca="1">Nomes!S138</f>
        <v>Feminino</v>
      </c>
      <c r="F137" s="2">
        <v>34756</v>
      </c>
      <c r="G137" t="str" cm="1">
        <f t="array" aca="1" ref="G137" ca="1">INDEX(rua_cod!$F:$F,RANDBETWEEN(2,COUNTA(rua_cod!F:F)))</f>
        <v>Rua Júlio César Machado</v>
      </c>
      <c r="H137" t="str" cm="1">
        <f t="array" aca="1" ref="H137" ca="1">INDEX(rua_cod!$A:$A,Médicos!X137) &amp; "-" &amp; TEXT(RANDBETWEEN(0,999),"000")</f>
        <v>2419-208</v>
      </c>
      <c r="I137" t="str" cm="1">
        <f t="array" aca="1" ref="I137" ca="1">INDEX(rua_cod!$B:$B,Médicos!X137)</f>
        <v>Leiria</v>
      </c>
      <c r="J137" t="s">
        <v>341</v>
      </c>
      <c r="K137" t="s">
        <v>225</v>
      </c>
      <c r="L137" t="s">
        <v>265</v>
      </c>
      <c r="M137" t="str">
        <f t="shared" ca="1" si="26"/>
        <v>82284529</v>
      </c>
      <c r="N137" t="str">
        <f t="shared" ca="1" si="27"/>
        <v>343909356</v>
      </c>
      <c r="O137" t="str">
        <f t="shared" ca="1" si="27"/>
        <v>510519881</v>
      </c>
      <c r="P137" t="str" cm="1">
        <f t="array" aca="1" ref="P137" ca="1">9 &amp; INDEX($AH$3:$AH$6,Y137)&amp; TEXT(RANDBETWEEN(0,9999999),"0000000")</f>
        <v>964745988</v>
      </c>
      <c r="Q137" t="str" cm="1">
        <f t="array" aca="1" ref="Q137" ca="1">LOWER(B137) &amp; INDEX($AH$9:$AH$11,Z137)</f>
        <v>med136@hospital.upskill.com</v>
      </c>
      <c r="R137" t="str">
        <f t="shared" si="28"/>
        <v>med136.jpg</v>
      </c>
      <c r="S137" s="8">
        <f t="shared" ca="1" si="29"/>
        <v>6993229996051798</v>
      </c>
      <c r="T137" t="s">
        <v>341</v>
      </c>
      <c r="V137" s="4"/>
      <c r="X137">
        <f ca="1">RANDBETWEEN(2,COUNTA(rua_cod!A:A))</f>
        <v>37</v>
      </c>
      <c r="Y137">
        <f t="shared" ca="1" si="30"/>
        <v>4</v>
      </c>
      <c r="Z137">
        <f t="shared" ca="1" si="31"/>
        <v>2</v>
      </c>
      <c r="AA137">
        <f t="shared" ca="1" si="32"/>
        <v>1987</v>
      </c>
      <c r="AB137">
        <f t="shared" ca="1" si="33"/>
        <v>1</v>
      </c>
      <c r="AC137">
        <f t="shared" ca="1" si="34"/>
        <v>20</v>
      </c>
      <c r="AD137">
        <f t="shared" ca="1" si="35"/>
        <v>33</v>
      </c>
    </row>
    <row r="138" spans="1:30" x14ac:dyDescent="0.25">
      <c r="A138">
        <v>137</v>
      </c>
      <c r="B138" t="str">
        <f t="shared" si="24"/>
        <v>med137</v>
      </c>
      <c r="C138" t="str">
        <f t="shared" si="25"/>
        <v>pswmed137</v>
      </c>
      <c r="D138" t="str">
        <f ca="1">Nomes!T139</f>
        <v>Bruno Pedro Leal Fonseca</v>
      </c>
      <c r="E138" t="str">
        <f ca="1">Nomes!S139</f>
        <v>Masculino</v>
      </c>
      <c r="F138" s="2">
        <v>14392</v>
      </c>
      <c r="G138" t="str" cm="1">
        <f t="array" aca="1" ref="G138" ca="1">INDEX(rua_cod!$F:$F,RANDBETWEEN(2,COUNTA(rua_cod!F:F)))</f>
        <v>Calçada do Poço dos Mouros</v>
      </c>
      <c r="H138" t="str" cm="1">
        <f t="array" aca="1" ref="H138" ca="1">INDEX(rua_cod!$A:$A,Médicos!X138) &amp; "-" &amp; TEXT(RANDBETWEEN(0,999),"000")</f>
        <v>2423-974</v>
      </c>
      <c r="I138" t="str" cm="1">
        <f t="array" aca="1" ref="I138" ca="1">INDEX(rua_cod!$B:$B,Médicos!X138)</f>
        <v>Leiria</v>
      </c>
      <c r="J138" t="s">
        <v>341</v>
      </c>
      <c r="K138" t="s">
        <v>225</v>
      </c>
      <c r="L138" t="s">
        <v>265</v>
      </c>
      <c r="M138" t="str">
        <f t="shared" ca="1" si="26"/>
        <v>77475818</v>
      </c>
      <c r="N138" t="str">
        <f t="shared" ca="1" si="27"/>
        <v>710407845</v>
      </c>
      <c r="O138" t="str">
        <f t="shared" ca="1" si="27"/>
        <v>446921178</v>
      </c>
      <c r="P138" t="str" cm="1">
        <f t="array" aca="1" ref="P138" ca="1">9 &amp; INDEX($AH$3:$AH$6,Y138)&amp; TEXT(RANDBETWEEN(0,9999999),"0000000")</f>
        <v>912968540</v>
      </c>
      <c r="Q138" t="str" cm="1">
        <f t="array" aca="1" ref="Q138" ca="1">LOWER(B138) &amp; INDEX($AH$9:$AH$11,Z138)</f>
        <v>med137@hospital.upskill.com</v>
      </c>
      <c r="R138" t="str">
        <f t="shared" si="28"/>
        <v>med137.jpg</v>
      </c>
      <c r="S138" s="8">
        <f t="shared" ca="1" si="29"/>
        <v>5382515159004375</v>
      </c>
      <c r="T138" t="s">
        <v>341</v>
      </c>
      <c r="V138" s="4"/>
      <c r="X138">
        <f ca="1">RANDBETWEEN(2,COUNTA(rua_cod!A:A))</f>
        <v>38</v>
      </c>
      <c r="Y138">
        <f t="shared" ca="1" si="30"/>
        <v>1</v>
      </c>
      <c r="Z138">
        <f t="shared" ca="1" si="31"/>
        <v>3</v>
      </c>
      <c r="AA138">
        <f t="shared" ca="1" si="32"/>
        <v>1951</v>
      </c>
      <c r="AB138">
        <f t="shared" ca="1" si="33"/>
        <v>6</v>
      </c>
      <c r="AC138">
        <f t="shared" ca="1" si="34"/>
        <v>27</v>
      </c>
      <c r="AD138">
        <f t="shared" ca="1" si="35"/>
        <v>69</v>
      </c>
    </row>
    <row r="139" spans="1:30" x14ac:dyDescent="0.25">
      <c r="A139">
        <v>138</v>
      </c>
      <c r="B139" t="str">
        <f t="shared" si="24"/>
        <v>med138</v>
      </c>
      <c r="C139" t="str">
        <f t="shared" si="25"/>
        <v>pswmed138</v>
      </c>
      <c r="D139" t="str">
        <f ca="1">Nomes!T140</f>
        <v>Miguel Luís Sousa Mendes</v>
      </c>
      <c r="E139" t="str">
        <f ca="1">Nomes!S140</f>
        <v>Masculino</v>
      </c>
      <c r="F139" s="2">
        <v>17070</v>
      </c>
      <c r="G139" t="str" cm="1">
        <f t="array" aca="1" ref="G139" ca="1">INDEX(rua_cod!$F:$F,RANDBETWEEN(2,COUNTA(rua_cod!F:F)))</f>
        <v>Calçada Marquês de Abrantes</v>
      </c>
      <c r="H139" t="str" cm="1">
        <f t="array" aca="1" ref="H139" ca="1">INDEX(rua_cod!$A:$A,Médicos!X139) &amp; "-" &amp; TEXT(RANDBETWEEN(0,999),"000")</f>
        <v>2914-145</v>
      </c>
      <c r="I139" t="str" cm="1">
        <f t="array" aca="1" ref="I139" ca="1">INDEX(rua_cod!$B:$B,Médicos!X139)</f>
        <v>Setúbal</v>
      </c>
      <c r="J139" t="s">
        <v>341</v>
      </c>
      <c r="K139" t="s">
        <v>225</v>
      </c>
      <c r="L139" t="s">
        <v>265</v>
      </c>
      <c r="M139" t="str">
        <f t="shared" ca="1" si="26"/>
        <v>92671166</v>
      </c>
      <c r="N139" t="str">
        <f t="shared" ca="1" si="27"/>
        <v>413088475</v>
      </c>
      <c r="O139" t="str">
        <f t="shared" ca="1" si="27"/>
        <v>471654684</v>
      </c>
      <c r="P139" t="str" cm="1">
        <f t="array" aca="1" ref="P139" ca="1">9 &amp; INDEX($AH$3:$AH$6,Y139)&amp; TEXT(RANDBETWEEN(0,9999999),"0000000")</f>
        <v>929018021</v>
      </c>
      <c r="Q139" t="str" cm="1">
        <f t="array" aca="1" ref="Q139" ca="1">LOWER(B139) &amp; INDEX($AH$9:$AH$11,Z139)</f>
        <v>med138@hospital.upskill.com</v>
      </c>
      <c r="R139" t="str">
        <f t="shared" si="28"/>
        <v>med138.jpg</v>
      </c>
      <c r="S139" s="8">
        <f t="shared" ca="1" si="29"/>
        <v>4631503562048478</v>
      </c>
      <c r="T139" t="s">
        <v>341</v>
      </c>
      <c r="V139" s="4"/>
      <c r="X139">
        <f ca="1">RANDBETWEEN(2,COUNTA(rua_cod!A:A))</f>
        <v>98</v>
      </c>
      <c r="Y139">
        <f t="shared" ca="1" si="30"/>
        <v>2</v>
      </c>
      <c r="Z139">
        <f t="shared" ca="1" si="31"/>
        <v>3</v>
      </c>
      <c r="AA139">
        <f t="shared" ca="1" si="32"/>
        <v>1968</v>
      </c>
      <c r="AB139">
        <f t="shared" ca="1" si="33"/>
        <v>8</v>
      </c>
      <c r="AC139">
        <f t="shared" ca="1" si="34"/>
        <v>23</v>
      </c>
      <c r="AD139">
        <f t="shared" ca="1" si="35"/>
        <v>52</v>
      </c>
    </row>
    <row r="140" spans="1:30" x14ac:dyDescent="0.25">
      <c r="A140">
        <v>139</v>
      </c>
      <c r="B140" t="str">
        <f t="shared" si="24"/>
        <v>med139</v>
      </c>
      <c r="C140" t="str">
        <f t="shared" si="25"/>
        <v>pswmed139</v>
      </c>
      <c r="D140" t="str">
        <f ca="1">Nomes!T141</f>
        <v>Tomás Diana Ramos Faria</v>
      </c>
      <c r="E140" t="str">
        <f ca="1">Nomes!S141</f>
        <v>Masculino</v>
      </c>
      <c r="F140" s="2">
        <v>18282</v>
      </c>
      <c r="G140" t="str" cm="1">
        <f t="array" aca="1" ref="G140" ca="1">INDEX(rua_cod!$F:$F,RANDBETWEEN(2,COUNTA(rua_cod!F:F)))</f>
        <v>Rua dos Heróis de Quionga</v>
      </c>
      <c r="H140" t="str" cm="1">
        <f t="array" aca="1" ref="H140" ca="1">INDEX(rua_cod!$A:$A,Médicos!X140) &amp; "-" &amp; TEXT(RANDBETWEEN(0,999),"000")</f>
        <v>2414-922</v>
      </c>
      <c r="I140" t="str" cm="1">
        <f t="array" aca="1" ref="I140" ca="1">INDEX(rua_cod!$B:$B,Médicos!X140)</f>
        <v>Leiria</v>
      </c>
      <c r="J140" t="s">
        <v>341</v>
      </c>
      <c r="K140" t="s">
        <v>225</v>
      </c>
      <c r="L140" t="s">
        <v>265</v>
      </c>
      <c r="M140" t="str">
        <f t="shared" ca="1" si="26"/>
        <v>66344225</v>
      </c>
      <c r="N140" t="str">
        <f t="shared" ca="1" si="27"/>
        <v>557259657</v>
      </c>
      <c r="O140" t="str">
        <f t="shared" ca="1" si="27"/>
        <v>165422587</v>
      </c>
      <c r="P140" t="str" cm="1">
        <f t="array" aca="1" ref="P140" ca="1">9 &amp; INDEX($AH$3:$AH$6,Y140)&amp; TEXT(RANDBETWEEN(0,9999999),"0000000")</f>
        <v>920278556</v>
      </c>
      <c r="Q140" t="str" cm="1">
        <f t="array" aca="1" ref="Q140" ca="1">LOWER(B140) &amp; INDEX($AH$9:$AH$11,Z140)</f>
        <v>med139@hospital.upskill.com</v>
      </c>
      <c r="R140" t="str">
        <f t="shared" si="28"/>
        <v>med139.jpg</v>
      </c>
      <c r="S140" s="8">
        <f t="shared" ca="1" si="29"/>
        <v>6803494639301237</v>
      </c>
      <c r="T140" t="s">
        <v>341</v>
      </c>
      <c r="V140" s="4"/>
      <c r="X140">
        <f ca="1">RANDBETWEEN(2,COUNTA(rua_cod!A:A))</f>
        <v>36</v>
      </c>
      <c r="Y140">
        <f t="shared" ca="1" si="30"/>
        <v>2</v>
      </c>
      <c r="Z140">
        <f t="shared" ca="1" si="31"/>
        <v>3</v>
      </c>
      <c r="AA140">
        <f t="shared" ca="1" si="32"/>
        <v>1988</v>
      </c>
      <c r="AB140">
        <f t="shared" ca="1" si="33"/>
        <v>7</v>
      </c>
      <c r="AC140">
        <f t="shared" ca="1" si="34"/>
        <v>21</v>
      </c>
      <c r="AD140">
        <f t="shared" ca="1" si="35"/>
        <v>32</v>
      </c>
    </row>
    <row r="141" spans="1:30" x14ac:dyDescent="0.25">
      <c r="A141">
        <v>140</v>
      </c>
      <c r="B141" t="str">
        <f t="shared" si="24"/>
        <v>med140</v>
      </c>
      <c r="C141" t="str">
        <f t="shared" si="25"/>
        <v>pswmed140</v>
      </c>
      <c r="D141" t="str">
        <f ca="1">Nomes!T142</f>
        <v>Sara André Campos Cruz</v>
      </c>
      <c r="E141" t="str">
        <f ca="1">Nomes!S142</f>
        <v>Feminino</v>
      </c>
      <c r="F141" s="2">
        <v>9562</v>
      </c>
      <c r="G141" t="str" cm="1">
        <f t="array" aca="1" ref="G141" ca="1">INDEX(rua_cod!$F:$F,RANDBETWEEN(2,COUNTA(rua_cod!F:F)))</f>
        <v>Rua dos Fanqueiros</v>
      </c>
      <c r="H141" t="str" cm="1">
        <f t="array" aca="1" ref="H141" ca="1">INDEX(rua_cod!$A:$A,Médicos!X141) &amp; "-" &amp; TEXT(RANDBETWEEN(0,999),"000")</f>
        <v>2754-284</v>
      </c>
      <c r="I141" t="str" cm="1">
        <f t="array" aca="1" ref="I141" ca="1">INDEX(rua_cod!$B:$B,Médicos!X141)</f>
        <v>Cascais</v>
      </c>
      <c r="J141" t="s">
        <v>341</v>
      </c>
      <c r="K141" t="s">
        <v>225</v>
      </c>
      <c r="L141" t="s">
        <v>265</v>
      </c>
      <c r="M141" t="str">
        <f t="shared" ca="1" si="26"/>
        <v>75264158</v>
      </c>
      <c r="N141" t="str">
        <f t="shared" ca="1" si="27"/>
        <v>644080529</v>
      </c>
      <c r="O141" t="str">
        <f t="shared" ca="1" si="27"/>
        <v>790209681</v>
      </c>
      <c r="P141" t="str" cm="1">
        <f t="array" aca="1" ref="P141" ca="1">9 &amp; INDEX($AH$3:$AH$6,Y141)&amp; TEXT(RANDBETWEEN(0,9999999),"0000000")</f>
        <v>939300901</v>
      </c>
      <c r="Q141" t="str" cm="1">
        <f t="array" aca="1" ref="Q141" ca="1">LOWER(B141) &amp; INDEX($AH$9:$AH$11,Z141)</f>
        <v>med140@hospital.upskill.com</v>
      </c>
      <c r="R141" t="str">
        <f t="shared" si="28"/>
        <v>med140.jpg</v>
      </c>
      <c r="S141" s="8">
        <f t="shared" ca="1" si="29"/>
        <v>6501910993691046</v>
      </c>
      <c r="T141" t="s">
        <v>341</v>
      </c>
      <c r="V141" s="4"/>
      <c r="X141">
        <f ca="1">RANDBETWEEN(2,COUNTA(rua_cod!A:A))</f>
        <v>25</v>
      </c>
      <c r="Y141">
        <f t="shared" ca="1" si="30"/>
        <v>3</v>
      </c>
      <c r="Z141">
        <f t="shared" ca="1" si="31"/>
        <v>2</v>
      </c>
      <c r="AA141">
        <f t="shared" ca="1" si="32"/>
        <v>1951</v>
      </c>
      <c r="AB141">
        <f t="shared" ca="1" si="33"/>
        <v>4</v>
      </c>
      <c r="AC141">
        <f t="shared" ca="1" si="34"/>
        <v>3</v>
      </c>
      <c r="AD141">
        <f t="shared" ca="1" si="35"/>
        <v>69</v>
      </c>
    </row>
    <row r="142" spans="1:30" x14ac:dyDescent="0.25">
      <c r="A142">
        <v>141</v>
      </c>
      <c r="B142" t="str">
        <f t="shared" si="24"/>
        <v>med141</v>
      </c>
      <c r="C142" t="str">
        <f t="shared" si="25"/>
        <v>pswmed141</v>
      </c>
      <c r="D142" t="str">
        <f ca="1">Nomes!T143</f>
        <v>Mariana Martim Simões Pinheiro</v>
      </c>
      <c r="E142" t="str">
        <f ca="1">Nomes!S143</f>
        <v>Feminino</v>
      </c>
      <c r="F142" s="2">
        <v>10733</v>
      </c>
      <c r="G142" t="str" cm="1">
        <f t="array" aca="1" ref="G142" ca="1">INDEX(rua_cod!$F:$F,RANDBETWEEN(2,COUNTA(rua_cod!F:F)))</f>
        <v>Rua dos Fanqueiros</v>
      </c>
      <c r="H142" t="str" cm="1">
        <f t="array" aca="1" ref="H142" ca="1">INDEX(rua_cod!$A:$A,Médicos!X142) &amp; "-" &amp; TEXT(RANDBETWEEN(0,999),"000")</f>
        <v>1600-432</v>
      </c>
      <c r="I142" t="str" cm="1">
        <f t="array" aca="1" ref="I142" ca="1">INDEX(rua_cod!$B:$B,Médicos!X142)</f>
        <v>Lisboa</v>
      </c>
      <c r="J142" t="s">
        <v>341</v>
      </c>
      <c r="K142" t="s">
        <v>225</v>
      </c>
      <c r="L142" t="s">
        <v>265</v>
      </c>
      <c r="M142" t="str">
        <f t="shared" ca="1" si="26"/>
        <v>91727525</v>
      </c>
      <c r="N142" t="str">
        <f t="shared" ca="1" si="27"/>
        <v>271014917</v>
      </c>
      <c r="O142" t="str">
        <f t="shared" ca="1" si="27"/>
        <v>158712087</v>
      </c>
      <c r="P142" t="str" cm="1">
        <f t="array" aca="1" ref="P142" ca="1">9 &amp; INDEX($AH$3:$AH$6,Y142)&amp; TEXT(RANDBETWEEN(0,9999999),"0000000")</f>
        <v>911217732</v>
      </c>
      <c r="Q142" t="str" cm="1">
        <f t="array" aca="1" ref="Q142" ca="1">LOWER(B142) &amp; INDEX($AH$9:$AH$11,Z142)</f>
        <v>med141@hospital.upskill.com</v>
      </c>
      <c r="R142" t="str">
        <f t="shared" si="28"/>
        <v>med141.jpg</v>
      </c>
      <c r="S142" s="8">
        <f t="shared" ca="1" si="29"/>
        <v>4459327737406097</v>
      </c>
      <c r="T142" t="s">
        <v>341</v>
      </c>
      <c r="V142" s="4"/>
      <c r="X142">
        <f ca="1">RANDBETWEEN(2,COUNTA(rua_cod!A:A))</f>
        <v>60</v>
      </c>
      <c r="Y142">
        <f t="shared" ca="1" si="30"/>
        <v>1</v>
      </c>
      <c r="Z142">
        <f t="shared" ca="1" si="31"/>
        <v>1</v>
      </c>
      <c r="AA142">
        <f t="shared" ca="1" si="32"/>
        <v>1970</v>
      </c>
      <c r="AB142">
        <f t="shared" ca="1" si="33"/>
        <v>2</v>
      </c>
      <c r="AC142">
        <f t="shared" ca="1" si="34"/>
        <v>11</v>
      </c>
      <c r="AD142">
        <f t="shared" ca="1" si="35"/>
        <v>50</v>
      </c>
    </row>
    <row r="143" spans="1:30" x14ac:dyDescent="0.25">
      <c r="A143">
        <v>142</v>
      </c>
      <c r="B143" t="str">
        <f t="shared" si="24"/>
        <v>med142</v>
      </c>
      <c r="C143" t="str">
        <f t="shared" si="25"/>
        <v>pswmed142</v>
      </c>
      <c r="D143" t="str">
        <f ca="1">Nomes!T144</f>
        <v>Joana Diana Morais Vaz</v>
      </c>
      <c r="E143" t="str">
        <f ca="1">Nomes!S144</f>
        <v>Feminino</v>
      </c>
      <c r="F143" s="2">
        <v>43003</v>
      </c>
      <c r="G143" t="str" cm="1">
        <f t="array" aca="1" ref="G143" ca="1">INDEX(rua_cod!$F:$F,RANDBETWEEN(2,COUNTA(rua_cod!F:F)))</f>
        <v>Rua do Instituto Bacteriológico</v>
      </c>
      <c r="H143" t="str" cm="1">
        <f t="array" aca="1" ref="H143" ca="1">INDEX(rua_cod!$A:$A,Médicos!X143) &amp; "-" &amp; TEXT(RANDBETWEEN(0,999),"000")</f>
        <v>2009-337</v>
      </c>
      <c r="I143" t="str" cm="1">
        <f t="array" aca="1" ref="I143" ca="1">INDEX(rua_cod!$B:$B,Médicos!X143)</f>
        <v>Santarém</v>
      </c>
      <c r="J143" t="s">
        <v>341</v>
      </c>
      <c r="K143" t="s">
        <v>225</v>
      </c>
      <c r="L143" t="s">
        <v>265</v>
      </c>
      <c r="M143" t="str">
        <f t="shared" ca="1" si="26"/>
        <v>52191917</v>
      </c>
      <c r="N143" t="str">
        <f t="shared" ca="1" si="27"/>
        <v>958713880</v>
      </c>
      <c r="O143" t="str">
        <f t="shared" ca="1" si="27"/>
        <v>354245574</v>
      </c>
      <c r="P143" t="str" cm="1">
        <f t="array" aca="1" ref="P143" ca="1">9 &amp; INDEX($AH$3:$AH$6,Y143)&amp; TEXT(RANDBETWEEN(0,9999999),"0000000")</f>
        <v>932096934</v>
      </c>
      <c r="Q143" t="str" cm="1">
        <f t="array" aca="1" ref="Q143" ca="1">LOWER(B143) &amp; INDEX($AH$9:$AH$11,Z143)</f>
        <v>med142@hospital.upskill.com</v>
      </c>
      <c r="R143" t="str">
        <f t="shared" si="28"/>
        <v>med142.jpg</v>
      </c>
      <c r="S143" s="8">
        <f t="shared" ca="1" si="29"/>
        <v>7636914709793033</v>
      </c>
      <c r="T143" t="s">
        <v>341</v>
      </c>
      <c r="V143" s="4"/>
      <c r="X143">
        <f ca="1">RANDBETWEEN(2,COUNTA(rua_cod!A:A))</f>
        <v>95</v>
      </c>
      <c r="Y143">
        <f t="shared" ca="1" si="30"/>
        <v>3</v>
      </c>
      <c r="Z143">
        <f t="shared" ca="1" si="31"/>
        <v>2</v>
      </c>
      <c r="AA143">
        <f t="shared" ca="1" si="32"/>
        <v>1970</v>
      </c>
      <c r="AB143">
        <f t="shared" ca="1" si="33"/>
        <v>11</v>
      </c>
      <c r="AC143">
        <f t="shared" ca="1" si="34"/>
        <v>5</v>
      </c>
      <c r="AD143">
        <f t="shared" ca="1" si="35"/>
        <v>50</v>
      </c>
    </row>
    <row r="144" spans="1:30" x14ac:dyDescent="0.25">
      <c r="A144">
        <v>143</v>
      </c>
      <c r="B144" t="str">
        <f t="shared" si="24"/>
        <v>med143</v>
      </c>
      <c r="C144" t="str">
        <f t="shared" si="25"/>
        <v>pswmed143</v>
      </c>
      <c r="D144" t="str">
        <f ca="1">Nomes!T145</f>
        <v>Laura Maria Guerreiro Martins</v>
      </c>
      <c r="E144" t="str">
        <f ca="1">Nomes!S145</f>
        <v>Feminino</v>
      </c>
      <c r="F144" s="2">
        <v>29468</v>
      </c>
      <c r="G144" t="str" cm="1">
        <f t="array" aca="1" ref="G144" ca="1">INDEX(rua_cod!$F:$F,RANDBETWEEN(2,COUNTA(rua_cod!F:F)))</f>
        <v>Calçada de Carriche</v>
      </c>
      <c r="H144" t="str" cm="1">
        <f t="array" aca="1" ref="H144" ca="1">INDEX(rua_cod!$A:$A,Médicos!X144) &amp; "-" &amp; TEXT(RANDBETWEEN(0,999),"000")</f>
        <v>1500-744</v>
      </c>
      <c r="I144" t="str" cm="1">
        <f t="array" aca="1" ref="I144" ca="1">INDEX(rua_cod!$B:$B,Médicos!X144)</f>
        <v>Lisboa</v>
      </c>
      <c r="J144" t="s">
        <v>341</v>
      </c>
      <c r="K144" t="s">
        <v>225</v>
      </c>
      <c r="L144" t="s">
        <v>265</v>
      </c>
      <c r="M144" t="str">
        <f t="shared" ca="1" si="26"/>
        <v>13394409</v>
      </c>
      <c r="N144" t="str">
        <f t="shared" ca="1" si="27"/>
        <v>234428572</v>
      </c>
      <c r="O144" t="str">
        <f t="shared" ca="1" si="27"/>
        <v>532016614</v>
      </c>
      <c r="P144" t="str" cm="1">
        <f t="array" aca="1" ref="P144" ca="1">9 &amp; INDEX($AH$3:$AH$6,Y144)&amp; TEXT(RANDBETWEEN(0,9999999),"0000000")</f>
        <v>920579064</v>
      </c>
      <c r="Q144" t="str" cm="1">
        <f t="array" aca="1" ref="Q144" ca="1">LOWER(B144) &amp; INDEX($AH$9:$AH$11,Z144)</f>
        <v>med143@hospital.upskill.com</v>
      </c>
      <c r="R144" t="str">
        <f t="shared" si="28"/>
        <v>med143.jpg</v>
      </c>
      <c r="S144" s="8">
        <f t="shared" ca="1" si="29"/>
        <v>8805903278150184</v>
      </c>
      <c r="T144" t="s">
        <v>341</v>
      </c>
      <c r="V144" s="4"/>
      <c r="X144">
        <f ca="1">RANDBETWEEN(2,COUNTA(rua_cod!A:A))</f>
        <v>43</v>
      </c>
      <c r="Y144">
        <f t="shared" ca="1" si="30"/>
        <v>2</v>
      </c>
      <c r="Z144">
        <f t="shared" ca="1" si="31"/>
        <v>1</v>
      </c>
      <c r="AA144">
        <f t="shared" ca="1" si="32"/>
        <v>1960</v>
      </c>
      <c r="AB144">
        <f t="shared" ca="1" si="33"/>
        <v>8</v>
      </c>
      <c r="AC144">
        <f t="shared" ca="1" si="34"/>
        <v>1</v>
      </c>
      <c r="AD144">
        <f t="shared" ca="1" si="35"/>
        <v>60</v>
      </c>
    </row>
    <row r="145" spans="1:30" x14ac:dyDescent="0.25">
      <c r="A145">
        <v>144</v>
      </c>
      <c r="B145" t="str">
        <f t="shared" si="24"/>
        <v>med144</v>
      </c>
      <c r="C145" t="str">
        <f t="shared" si="25"/>
        <v>pswmed144</v>
      </c>
      <c r="D145" t="str">
        <f ca="1">Nomes!T146</f>
        <v>Leonor Miguel Pacheco Oliveira</v>
      </c>
      <c r="E145" t="str">
        <f ca="1">Nomes!S146</f>
        <v>Feminino</v>
      </c>
      <c r="F145" s="2">
        <v>26648</v>
      </c>
      <c r="G145" t="str" cm="1">
        <f t="array" aca="1" ref="G145" ca="1">INDEX(rua_cod!$F:$F,RANDBETWEEN(2,COUNTA(rua_cod!F:F)))</f>
        <v>Rua Augusta</v>
      </c>
      <c r="H145" t="str" cm="1">
        <f t="array" aca="1" ref="H145" ca="1">INDEX(rua_cod!$A:$A,Médicos!X145) &amp; "-" &amp; TEXT(RANDBETWEEN(0,999),"000")</f>
        <v>2794-874</v>
      </c>
      <c r="I145" t="str" cm="1">
        <f t="array" aca="1" ref="I145" ca="1">INDEX(rua_cod!$B:$B,Médicos!X145)</f>
        <v>Carnaxide</v>
      </c>
      <c r="J145" t="s">
        <v>341</v>
      </c>
      <c r="K145" t="s">
        <v>225</v>
      </c>
      <c r="L145" t="s">
        <v>265</v>
      </c>
      <c r="M145" t="str">
        <f t="shared" ca="1" si="26"/>
        <v>67601609</v>
      </c>
      <c r="N145" t="str">
        <f t="shared" ca="1" si="27"/>
        <v>499638061</v>
      </c>
      <c r="O145" t="str">
        <f t="shared" ca="1" si="27"/>
        <v>684310969</v>
      </c>
      <c r="P145" t="str" cm="1">
        <f t="array" aca="1" ref="P145" ca="1">9 &amp; INDEX($AH$3:$AH$6,Y145)&amp; TEXT(RANDBETWEEN(0,9999999),"0000000")</f>
        <v>918770100</v>
      </c>
      <c r="Q145" t="str" cm="1">
        <f t="array" aca="1" ref="Q145" ca="1">LOWER(B145) &amp; INDEX($AH$9:$AH$11,Z145)</f>
        <v>med144@hospital.upskill.com</v>
      </c>
      <c r="R145" t="str">
        <f t="shared" si="28"/>
        <v>med144.jpg</v>
      </c>
      <c r="S145" s="8">
        <f t="shared" ca="1" si="29"/>
        <v>3829766801453353</v>
      </c>
      <c r="T145" t="s">
        <v>341</v>
      </c>
      <c r="V145" s="4"/>
      <c r="X145">
        <f ca="1">RANDBETWEEN(2,COUNTA(rua_cod!A:A))</f>
        <v>23</v>
      </c>
      <c r="Y145">
        <f t="shared" ca="1" si="30"/>
        <v>1</v>
      </c>
      <c r="Z145">
        <f t="shared" ca="1" si="31"/>
        <v>3</v>
      </c>
      <c r="AA145">
        <f t="shared" ca="1" si="32"/>
        <v>1952</v>
      </c>
      <c r="AB145">
        <f t="shared" ca="1" si="33"/>
        <v>7</v>
      </c>
      <c r="AC145">
        <f t="shared" ca="1" si="34"/>
        <v>29</v>
      </c>
      <c r="AD145">
        <f t="shared" ca="1" si="35"/>
        <v>68</v>
      </c>
    </row>
    <row r="146" spans="1:30" x14ac:dyDescent="0.25">
      <c r="A146">
        <v>145</v>
      </c>
      <c r="B146" t="str">
        <f t="shared" si="24"/>
        <v>med145</v>
      </c>
      <c r="C146" t="str">
        <f t="shared" si="25"/>
        <v>pswmed145</v>
      </c>
      <c r="D146" t="str">
        <f ca="1">Nomes!T147</f>
        <v>Luís Ana Antunes Morais</v>
      </c>
      <c r="E146" t="str">
        <f ca="1">Nomes!S147</f>
        <v>Masculino</v>
      </c>
      <c r="F146" s="2">
        <v>12366</v>
      </c>
      <c r="G146" t="str" cm="1">
        <f t="array" aca="1" ref="G146" ca="1">INDEX(rua_cod!$F:$F,RANDBETWEEN(2,COUNTA(rua_cod!F:F)))</f>
        <v>Estrada Militar</v>
      </c>
      <c r="H146" t="str" cm="1">
        <f t="array" aca="1" ref="H146" ca="1">INDEX(rua_cod!$A:$A,Médicos!X146) &amp; "-" &amp; TEXT(RANDBETWEEN(0,999),"000")</f>
        <v>2300-677</v>
      </c>
      <c r="I146" t="str" cm="1">
        <f t="array" aca="1" ref="I146" ca="1">INDEX(rua_cod!$B:$B,Médicos!X146)</f>
        <v>Tomar</v>
      </c>
      <c r="J146" t="s">
        <v>341</v>
      </c>
      <c r="K146" t="s">
        <v>225</v>
      </c>
      <c r="L146" t="s">
        <v>265</v>
      </c>
      <c r="M146" t="str">
        <f t="shared" ca="1" si="26"/>
        <v>25261131</v>
      </c>
      <c r="N146" t="str">
        <f t="shared" ca="1" si="27"/>
        <v>890166044</v>
      </c>
      <c r="O146" t="str">
        <f t="shared" ca="1" si="27"/>
        <v>473734294</v>
      </c>
      <c r="P146" t="str" cm="1">
        <f t="array" aca="1" ref="P146" ca="1">9 &amp; INDEX($AH$3:$AH$6,Y146)&amp; TEXT(RANDBETWEEN(0,9999999),"0000000")</f>
        <v>964092819</v>
      </c>
      <c r="Q146" t="str" cm="1">
        <f t="array" aca="1" ref="Q146" ca="1">LOWER(B146) &amp; INDEX($AH$9:$AH$11,Z146)</f>
        <v>med145@hospital.upskill.com</v>
      </c>
      <c r="R146" t="str">
        <f t="shared" si="28"/>
        <v>med145.jpg</v>
      </c>
      <c r="S146" s="8">
        <f t="shared" ca="1" si="29"/>
        <v>2019544602509694</v>
      </c>
      <c r="T146" t="s">
        <v>341</v>
      </c>
      <c r="V146" s="4"/>
      <c r="X146">
        <f ca="1">RANDBETWEEN(2,COUNTA(rua_cod!A:A))</f>
        <v>102</v>
      </c>
      <c r="Y146">
        <f t="shared" ca="1" si="30"/>
        <v>4</v>
      </c>
      <c r="Z146">
        <f t="shared" ca="1" si="31"/>
        <v>2</v>
      </c>
      <c r="AA146">
        <f t="shared" ca="1" si="32"/>
        <v>1967</v>
      </c>
      <c r="AB146">
        <f t="shared" ca="1" si="33"/>
        <v>11</v>
      </c>
      <c r="AC146">
        <f t="shared" ca="1" si="34"/>
        <v>8</v>
      </c>
      <c r="AD146">
        <f t="shared" ca="1" si="35"/>
        <v>53</v>
      </c>
    </row>
    <row r="147" spans="1:30" x14ac:dyDescent="0.25">
      <c r="A147">
        <v>146</v>
      </c>
      <c r="B147" t="str">
        <f t="shared" si="24"/>
        <v>med146</v>
      </c>
      <c r="C147" t="str">
        <f t="shared" si="25"/>
        <v>pswmed146</v>
      </c>
      <c r="D147" t="str">
        <f ca="1">Nomes!T148</f>
        <v>Maria Francisco Torres Henriques</v>
      </c>
      <c r="E147" t="str">
        <f ca="1">Nomes!S148</f>
        <v>Feminino</v>
      </c>
      <c r="F147" s="2">
        <v>15788</v>
      </c>
      <c r="G147" t="str" cm="1">
        <f t="array" aca="1" ref="G147" ca="1">INDEX(rua_cod!$F:$F,RANDBETWEEN(2,COUNTA(rua_cod!F:F)))</f>
        <v>Rua Nova do Almada</v>
      </c>
      <c r="H147" t="str" cm="1">
        <f t="array" aca="1" ref="H147" ca="1">INDEX(rua_cod!$A:$A,Médicos!X147) &amp; "-" &amp; TEXT(RANDBETWEEN(0,999),"000")</f>
        <v>1100-729</v>
      </c>
      <c r="I147" t="str" cm="1">
        <f t="array" aca="1" ref="I147" ca="1">INDEX(rua_cod!$B:$B,Médicos!X147)</f>
        <v>Lisboa</v>
      </c>
      <c r="J147" t="s">
        <v>341</v>
      </c>
      <c r="K147" t="s">
        <v>225</v>
      </c>
      <c r="L147" t="s">
        <v>265</v>
      </c>
      <c r="M147" t="str">
        <f t="shared" ca="1" si="26"/>
        <v>86431630</v>
      </c>
      <c r="N147" t="str">
        <f t="shared" ca="1" si="27"/>
        <v>112064321</v>
      </c>
      <c r="O147" t="str">
        <f t="shared" ca="1" si="27"/>
        <v>438693560</v>
      </c>
      <c r="P147" t="str" cm="1">
        <f t="array" aca="1" ref="P147" ca="1">9 &amp; INDEX($AH$3:$AH$6,Y147)&amp; TEXT(RANDBETWEEN(0,9999999),"0000000")</f>
        <v>936759050</v>
      </c>
      <c r="Q147" t="str" cm="1">
        <f t="array" aca="1" ref="Q147" ca="1">LOWER(B147) &amp; INDEX($AH$9:$AH$11,Z147)</f>
        <v>med146@hospital.upskill.com</v>
      </c>
      <c r="R147" t="str">
        <f t="shared" si="28"/>
        <v>med146.jpg</v>
      </c>
      <c r="S147" s="8">
        <f t="shared" ca="1" si="29"/>
        <v>8011501512083086</v>
      </c>
      <c r="T147" t="s">
        <v>341</v>
      </c>
      <c r="V147" s="4"/>
      <c r="X147">
        <f ca="1">RANDBETWEEN(2,COUNTA(rua_cod!A:A))</f>
        <v>46</v>
      </c>
      <c r="Y147">
        <f t="shared" ca="1" si="30"/>
        <v>3</v>
      </c>
      <c r="Z147">
        <f t="shared" ca="1" si="31"/>
        <v>2</v>
      </c>
      <c r="AA147">
        <f t="shared" ca="1" si="32"/>
        <v>1979</v>
      </c>
      <c r="AB147">
        <f t="shared" ca="1" si="33"/>
        <v>10</v>
      </c>
      <c r="AC147">
        <f t="shared" ca="1" si="34"/>
        <v>28</v>
      </c>
      <c r="AD147">
        <f t="shared" ca="1" si="35"/>
        <v>41</v>
      </c>
    </row>
    <row r="148" spans="1:30" x14ac:dyDescent="0.25">
      <c r="A148">
        <v>147</v>
      </c>
      <c r="B148" t="str">
        <f t="shared" si="24"/>
        <v>med147</v>
      </c>
      <c r="C148" t="str">
        <f t="shared" si="25"/>
        <v>pswmed147</v>
      </c>
      <c r="D148" t="str">
        <f ca="1">Nomes!T149</f>
        <v>Marco Catarina Barbosa Miranda</v>
      </c>
      <c r="E148" t="str">
        <f ca="1">Nomes!S149</f>
        <v>Masculino</v>
      </c>
      <c r="F148" s="2">
        <v>37028</v>
      </c>
      <c r="G148" t="str" cm="1">
        <f t="array" aca="1" ref="G148" ca="1">INDEX(rua_cod!$F:$F,RANDBETWEEN(2,COUNTA(rua_cod!F:F)))</f>
        <v>Rua do Carmo</v>
      </c>
      <c r="H148" t="str" cm="1">
        <f t="array" aca="1" ref="H148" ca="1">INDEX(rua_cod!$A:$A,Médicos!X148) &amp; "-" &amp; TEXT(RANDBETWEEN(0,999),"000")</f>
        <v>1100-242</v>
      </c>
      <c r="I148" t="str" cm="1">
        <f t="array" aca="1" ref="I148" ca="1">INDEX(rua_cod!$B:$B,Médicos!X148)</f>
        <v>Lisboa</v>
      </c>
      <c r="J148" t="s">
        <v>341</v>
      </c>
      <c r="K148" t="s">
        <v>225</v>
      </c>
      <c r="L148" t="s">
        <v>265</v>
      </c>
      <c r="M148" t="str">
        <f t="shared" ca="1" si="26"/>
        <v>17585919</v>
      </c>
      <c r="N148" t="str">
        <f t="shared" ca="1" si="27"/>
        <v>196373944</v>
      </c>
      <c r="O148" t="str">
        <f t="shared" ca="1" si="27"/>
        <v>568892868</v>
      </c>
      <c r="P148" t="str" cm="1">
        <f t="array" aca="1" ref="P148" ca="1">9 &amp; INDEX($AH$3:$AH$6,Y148)&amp; TEXT(RANDBETWEEN(0,9999999),"0000000")</f>
        <v>912923743</v>
      </c>
      <c r="Q148" t="str" cm="1">
        <f t="array" aca="1" ref="Q148" ca="1">LOWER(B148) &amp; INDEX($AH$9:$AH$11,Z148)</f>
        <v>med147@hospital.upskill.com</v>
      </c>
      <c r="R148" t="str">
        <f t="shared" si="28"/>
        <v>med147.jpg</v>
      </c>
      <c r="S148" s="8">
        <f t="shared" ca="1" si="29"/>
        <v>1067753804498847</v>
      </c>
      <c r="T148" t="s">
        <v>341</v>
      </c>
      <c r="V148" s="4"/>
      <c r="X148">
        <f ca="1">RANDBETWEEN(2,COUNTA(rua_cod!A:A))</f>
        <v>46</v>
      </c>
      <c r="Y148">
        <f t="shared" ca="1" si="30"/>
        <v>1</v>
      </c>
      <c r="Z148">
        <f t="shared" ca="1" si="31"/>
        <v>1</v>
      </c>
      <c r="AA148">
        <f t="shared" ca="1" si="32"/>
        <v>1992</v>
      </c>
      <c r="AB148">
        <f t="shared" ca="1" si="33"/>
        <v>9</v>
      </c>
      <c r="AC148">
        <f t="shared" ca="1" si="34"/>
        <v>20</v>
      </c>
      <c r="AD148">
        <f t="shared" ca="1" si="35"/>
        <v>28</v>
      </c>
    </row>
    <row r="149" spans="1:30" x14ac:dyDescent="0.25">
      <c r="A149">
        <v>148</v>
      </c>
      <c r="B149" t="str">
        <f t="shared" si="24"/>
        <v>med148</v>
      </c>
      <c r="C149" t="str">
        <f t="shared" si="25"/>
        <v>pswmed148</v>
      </c>
      <c r="D149" t="str">
        <f ca="1">Nomes!T150</f>
        <v>Laura Afonso Pereira Matias</v>
      </c>
      <c r="E149" t="str">
        <f ca="1">Nomes!S150</f>
        <v>Feminino</v>
      </c>
      <c r="F149" s="2">
        <v>36735</v>
      </c>
      <c r="G149" t="str" cm="1">
        <f t="array" aca="1" ref="G149" ca="1">INDEX(rua_cod!$F:$F,RANDBETWEEN(2,COUNTA(rua_cod!F:F)))</f>
        <v>Rua do Instituto Bacteriológico</v>
      </c>
      <c r="H149" t="str" cm="1">
        <f t="array" aca="1" ref="H149" ca="1">INDEX(rua_cod!$A:$A,Médicos!X149) &amp; "-" &amp; TEXT(RANDBETWEEN(0,999),"000")</f>
        <v>2419-586</v>
      </c>
      <c r="I149" t="str" cm="1">
        <f t="array" aca="1" ref="I149" ca="1">INDEX(rua_cod!$B:$B,Médicos!X149)</f>
        <v>Leiria</v>
      </c>
      <c r="J149" t="s">
        <v>341</v>
      </c>
      <c r="K149" t="s">
        <v>225</v>
      </c>
      <c r="L149" t="s">
        <v>265</v>
      </c>
      <c r="M149" t="str">
        <f t="shared" ca="1" si="26"/>
        <v>95919554</v>
      </c>
      <c r="N149" t="str">
        <f t="shared" ca="1" si="27"/>
        <v>164138053</v>
      </c>
      <c r="O149" t="str">
        <f t="shared" ca="1" si="27"/>
        <v>319845718</v>
      </c>
      <c r="P149" t="str" cm="1">
        <f t="array" aca="1" ref="P149" ca="1">9 &amp; INDEX($AH$3:$AH$6,Y149)&amp; TEXT(RANDBETWEEN(0,9999999),"0000000")</f>
        <v>939058025</v>
      </c>
      <c r="Q149" t="str" cm="1">
        <f t="array" aca="1" ref="Q149" ca="1">LOWER(B149) &amp; INDEX($AH$9:$AH$11,Z149)</f>
        <v>med148@hospital.upskill.com</v>
      </c>
      <c r="R149" t="str">
        <f t="shared" si="28"/>
        <v>med148.jpg</v>
      </c>
      <c r="S149" s="8">
        <f t="shared" ca="1" si="29"/>
        <v>4925349082865288</v>
      </c>
      <c r="T149" t="s">
        <v>341</v>
      </c>
      <c r="V149" s="4"/>
      <c r="X149">
        <f ca="1">RANDBETWEEN(2,COUNTA(rua_cod!A:A))</f>
        <v>37</v>
      </c>
      <c r="Y149">
        <f t="shared" ca="1" si="30"/>
        <v>3</v>
      </c>
      <c r="Z149">
        <f t="shared" ca="1" si="31"/>
        <v>3</v>
      </c>
      <c r="AA149">
        <f t="shared" ca="1" si="32"/>
        <v>1953</v>
      </c>
      <c r="AB149">
        <f t="shared" ca="1" si="33"/>
        <v>2</v>
      </c>
      <c r="AC149">
        <f t="shared" ca="1" si="34"/>
        <v>19</v>
      </c>
      <c r="AD149">
        <f t="shared" ca="1" si="35"/>
        <v>67</v>
      </c>
    </row>
    <row r="150" spans="1:30" x14ac:dyDescent="0.25">
      <c r="A150">
        <v>149</v>
      </c>
      <c r="B150" t="str">
        <f t="shared" si="24"/>
        <v>med149</v>
      </c>
      <c r="C150" t="str">
        <f t="shared" si="25"/>
        <v>pswmed149</v>
      </c>
      <c r="D150" t="str">
        <f ca="1">Nomes!T151</f>
        <v>Pedro Marco Melo Cunha</v>
      </c>
      <c r="E150" t="str">
        <f ca="1">Nomes!S151</f>
        <v>Masculino</v>
      </c>
      <c r="F150" s="2">
        <v>29002</v>
      </c>
      <c r="G150" t="str" cm="1">
        <f t="array" aca="1" ref="G150" ca="1">INDEX(rua_cod!$F:$F,RANDBETWEEN(2,COUNTA(rua_cod!F:F)))</f>
        <v>Rua da Junqueira</v>
      </c>
      <c r="H150" t="str" cm="1">
        <f t="array" aca="1" ref="H150" ca="1">INDEX(rua_cod!$A:$A,Médicos!X150) &amp; "-" &amp; TEXT(RANDBETWEEN(0,999),"000")</f>
        <v>1199-651</v>
      </c>
      <c r="I150" t="str" cm="1">
        <f t="array" aca="1" ref="I150" ca="1">INDEX(rua_cod!$B:$B,Médicos!X150)</f>
        <v>Lisboa</v>
      </c>
      <c r="J150" t="s">
        <v>341</v>
      </c>
      <c r="K150" t="s">
        <v>225</v>
      </c>
      <c r="L150" t="s">
        <v>265</v>
      </c>
      <c r="M150" t="str">
        <f t="shared" ca="1" si="26"/>
        <v>68530051</v>
      </c>
      <c r="N150" t="str">
        <f t="shared" ca="1" si="27"/>
        <v>241710771</v>
      </c>
      <c r="O150" t="str">
        <f t="shared" ca="1" si="27"/>
        <v>134626186</v>
      </c>
      <c r="P150" t="str" cm="1">
        <f t="array" aca="1" ref="P150" ca="1">9 &amp; INDEX($AH$3:$AH$6,Y150)&amp; TEXT(RANDBETWEEN(0,9999999),"0000000")</f>
        <v>939745502</v>
      </c>
      <c r="Q150" t="str" cm="1">
        <f t="array" aca="1" ref="Q150" ca="1">LOWER(B150) &amp; INDEX($AH$9:$AH$11,Z150)</f>
        <v>med149@hospital.upskill.com</v>
      </c>
      <c r="R150" t="str">
        <f t="shared" si="28"/>
        <v>med149.jpg</v>
      </c>
      <c r="S150" s="8">
        <f t="shared" ca="1" si="29"/>
        <v>6622307133496382</v>
      </c>
      <c r="T150" t="s">
        <v>341</v>
      </c>
      <c r="V150" s="4"/>
      <c r="X150">
        <f ca="1">RANDBETWEEN(2,COUNTA(rua_cod!A:A))</f>
        <v>65</v>
      </c>
      <c r="Y150">
        <f t="shared" ca="1" si="30"/>
        <v>3</v>
      </c>
      <c r="Z150">
        <f t="shared" ca="1" si="31"/>
        <v>3</v>
      </c>
      <c r="AA150">
        <f t="shared" ca="1" si="32"/>
        <v>1961</v>
      </c>
      <c r="AB150">
        <f t="shared" ca="1" si="33"/>
        <v>7</v>
      </c>
      <c r="AC150">
        <f t="shared" ca="1" si="34"/>
        <v>5</v>
      </c>
      <c r="AD150">
        <f t="shared" ca="1" si="35"/>
        <v>59</v>
      </c>
    </row>
    <row r="151" spans="1:30" x14ac:dyDescent="0.25">
      <c r="A151">
        <v>150</v>
      </c>
      <c r="B151" t="str">
        <f t="shared" si="24"/>
        <v>med150</v>
      </c>
      <c r="C151" t="str">
        <f t="shared" si="25"/>
        <v>pswmed150</v>
      </c>
      <c r="D151" t="str">
        <f ca="1">Nomes!T152</f>
        <v>Matilde Lurdes Gomes Sousa</v>
      </c>
      <c r="E151" t="str">
        <f ca="1">Nomes!S152</f>
        <v>Feminino</v>
      </c>
      <c r="F151" s="2">
        <v>41285</v>
      </c>
      <c r="G151" t="str" cm="1">
        <f t="array" aca="1" ref="G151" ca="1">INDEX(rua_cod!$F:$F,RANDBETWEEN(2,COUNTA(rua_cod!F:F)))</f>
        <v>Rua do Sol a Santana</v>
      </c>
      <c r="H151" t="str" cm="1">
        <f t="array" aca="1" ref="H151" ca="1">INDEX(rua_cod!$A:$A,Médicos!X151) &amp; "-" &amp; TEXT(RANDBETWEEN(0,999),"000")</f>
        <v>1070-984</v>
      </c>
      <c r="I151" t="str" cm="1">
        <f t="array" aca="1" ref="I151" ca="1">INDEX(rua_cod!$B:$B,Médicos!X151)</f>
        <v>Lisboa</v>
      </c>
      <c r="J151" t="s">
        <v>341</v>
      </c>
      <c r="K151" t="s">
        <v>225</v>
      </c>
      <c r="L151" t="s">
        <v>265</v>
      </c>
      <c r="M151" t="str">
        <f t="shared" ca="1" si="26"/>
        <v>97487528</v>
      </c>
      <c r="N151" t="str">
        <f t="shared" ca="1" si="27"/>
        <v>919798444</v>
      </c>
      <c r="O151" t="str">
        <f t="shared" ca="1" si="27"/>
        <v>418529127</v>
      </c>
      <c r="P151" t="str" cm="1">
        <f t="array" aca="1" ref="P151" ca="1">9 &amp; INDEX($AH$3:$AH$6,Y151)&amp; TEXT(RANDBETWEEN(0,9999999),"0000000")</f>
        <v>961725229</v>
      </c>
      <c r="Q151" t="str" cm="1">
        <f t="array" aca="1" ref="Q151" ca="1">LOWER(B151) &amp; INDEX($AH$9:$AH$11,Z151)</f>
        <v>med150@hospital.upskill.com</v>
      </c>
      <c r="R151" t="str">
        <f t="shared" si="28"/>
        <v>med150.jpg</v>
      </c>
      <c r="S151" s="8">
        <f t="shared" ca="1" si="29"/>
        <v>9135562375374004</v>
      </c>
      <c r="T151" t="s">
        <v>341</v>
      </c>
      <c r="V151" s="4"/>
      <c r="X151">
        <f ca="1">RANDBETWEEN(2,COUNTA(rua_cod!A:A))</f>
        <v>51</v>
      </c>
      <c r="Y151">
        <f t="shared" ca="1" si="30"/>
        <v>4</v>
      </c>
      <c r="Z151">
        <f t="shared" ca="1" si="31"/>
        <v>1</v>
      </c>
      <c r="AA151">
        <f t="shared" ca="1" si="32"/>
        <v>1968</v>
      </c>
      <c r="AB151">
        <f t="shared" ca="1" si="33"/>
        <v>5</v>
      </c>
      <c r="AC151">
        <f t="shared" ca="1" si="34"/>
        <v>20</v>
      </c>
      <c r="AD151">
        <f t="shared" ca="1" si="35"/>
        <v>52</v>
      </c>
    </row>
    <row r="152" spans="1:30" x14ac:dyDescent="0.25">
      <c r="A152">
        <v>151</v>
      </c>
      <c r="B152" t="str">
        <f t="shared" si="24"/>
        <v>med151</v>
      </c>
      <c r="C152" t="str">
        <f t="shared" si="25"/>
        <v>pswmed151</v>
      </c>
      <c r="D152" t="str">
        <f ca="1">Nomes!T153</f>
        <v>Catarina Lurdes Leite Vaz</v>
      </c>
      <c r="E152" t="str">
        <f ca="1">Nomes!S153</f>
        <v>Feminino</v>
      </c>
      <c r="F152" s="2">
        <v>27590</v>
      </c>
      <c r="G152" t="str" cm="1">
        <f t="array" aca="1" ref="G152" ca="1">INDEX(rua_cod!$F:$F,RANDBETWEEN(2,COUNTA(rua_cod!F:F)))</f>
        <v>Rua da Prata</v>
      </c>
      <c r="H152" t="str" cm="1">
        <f t="array" aca="1" ref="H152" ca="1">INDEX(rua_cod!$A:$A,Médicos!X152) &amp; "-" &amp; TEXT(RANDBETWEEN(0,999),"000")</f>
        <v>2829-054</v>
      </c>
      <c r="I152" t="str" cm="1">
        <f t="array" aca="1" ref="I152" ca="1">INDEX(rua_cod!$B:$B,Médicos!X152)</f>
        <v>Costa de Caparica</v>
      </c>
      <c r="J152" t="s">
        <v>341</v>
      </c>
      <c r="K152" t="s">
        <v>225</v>
      </c>
      <c r="L152" t="s">
        <v>265</v>
      </c>
      <c r="M152" t="str">
        <f t="shared" ca="1" si="26"/>
        <v>42473663</v>
      </c>
      <c r="N152" t="str">
        <f t="shared" ca="1" si="27"/>
        <v>399136643</v>
      </c>
      <c r="O152" t="str">
        <f t="shared" ca="1" si="27"/>
        <v>617347887</v>
      </c>
      <c r="P152" t="str" cm="1">
        <f t="array" aca="1" ref="P152" ca="1">9 &amp; INDEX($AH$3:$AH$6,Y152)&amp; TEXT(RANDBETWEEN(0,9999999),"0000000")</f>
        <v>926346363</v>
      </c>
      <c r="Q152" t="str" cm="1">
        <f t="array" aca="1" ref="Q152" ca="1">LOWER(B152) &amp; INDEX($AH$9:$AH$11,Z152)</f>
        <v>med151@hospital.upskill.com</v>
      </c>
      <c r="R152" t="str">
        <f t="shared" si="28"/>
        <v>med151.jpg</v>
      </c>
      <c r="S152" s="8">
        <f t="shared" ca="1" si="29"/>
        <v>5879106755392149</v>
      </c>
      <c r="T152" t="s">
        <v>341</v>
      </c>
      <c r="V152" s="4"/>
      <c r="X152">
        <f ca="1">RANDBETWEEN(2,COUNTA(rua_cod!A:A))</f>
        <v>28</v>
      </c>
      <c r="Y152">
        <f t="shared" ca="1" si="30"/>
        <v>2</v>
      </c>
      <c r="Z152">
        <f t="shared" ca="1" si="31"/>
        <v>1</v>
      </c>
      <c r="AA152">
        <f t="shared" ca="1" si="32"/>
        <v>1983</v>
      </c>
      <c r="AB152">
        <f t="shared" ca="1" si="33"/>
        <v>2</v>
      </c>
      <c r="AC152">
        <f t="shared" ca="1" si="34"/>
        <v>24</v>
      </c>
      <c r="AD152">
        <f t="shared" ca="1" si="35"/>
        <v>37</v>
      </c>
    </row>
    <row r="153" spans="1:30" x14ac:dyDescent="0.25">
      <c r="A153">
        <v>152</v>
      </c>
      <c r="B153" t="str">
        <f t="shared" si="24"/>
        <v>med152</v>
      </c>
      <c r="C153" t="str">
        <f t="shared" si="25"/>
        <v>pswmed152</v>
      </c>
      <c r="D153" t="str">
        <f ca="1">Nomes!T154</f>
        <v>Joana Matilde Silva Lopes</v>
      </c>
      <c r="E153" t="str">
        <f ca="1">Nomes!S154</f>
        <v>Feminino</v>
      </c>
      <c r="F153" s="2">
        <v>30972</v>
      </c>
      <c r="G153" t="str" cm="1">
        <f t="array" aca="1" ref="G153" ca="1">INDEX(rua_cod!$F:$F,RANDBETWEEN(2,COUNTA(rua_cod!F:F)))</f>
        <v>Calçada do Poço dos Mouros</v>
      </c>
      <c r="H153" t="str" cm="1">
        <f t="array" aca="1" ref="H153" ca="1">INDEX(rua_cod!$A:$A,Médicos!X153) &amp; "-" &amp; TEXT(RANDBETWEEN(0,999),"000")</f>
        <v>2794-846</v>
      </c>
      <c r="I153" t="str" cm="1">
        <f t="array" aca="1" ref="I153" ca="1">INDEX(rua_cod!$B:$B,Médicos!X153)</f>
        <v>Carnaxide</v>
      </c>
      <c r="J153" t="s">
        <v>341</v>
      </c>
      <c r="K153" t="s">
        <v>225</v>
      </c>
      <c r="L153" t="s">
        <v>265</v>
      </c>
      <c r="M153" t="str">
        <f t="shared" ca="1" si="26"/>
        <v>71551171</v>
      </c>
      <c r="N153" t="str">
        <f t="shared" ca="1" si="27"/>
        <v>492982516</v>
      </c>
      <c r="O153" t="str">
        <f t="shared" ca="1" si="27"/>
        <v>410209672</v>
      </c>
      <c r="P153" t="str" cm="1">
        <f t="array" aca="1" ref="P153" ca="1">9 &amp; INDEX($AH$3:$AH$6,Y153)&amp; TEXT(RANDBETWEEN(0,9999999),"0000000")</f>
        <v>933437274</v>
      </c>
      <c r="Q153" t="str" cm="1">
        <f t="array" aca="1" ref="Q153" ca="1">LOWER(B153) &amp; INDEX($AH$9:$AH$11,Z153)</f>
        <v>med152@hospital.upskill.com</v>
      </c>
      <c r="R153" t="str">
        <f t="shared" si="28"/>
        <v>med152.jpg</v>
      </c>
      <c r="S153" s="8">
        <f t="shared" ca="1" si="29"/>
        <v>8992022616419508</v>
      </c>
      <c r="T153" t="s">
        <v>341</v>
      </c>
      <c r="V153" s="4"/>
      <c r="X153">
        <f ca="1">RANDBETWEEN(2,COUNTA(rua_cod!A:A))</f>
        <v>23</v>
      </c>
      <c r="Y153">
        <f t="shared" ca="1" si="30"/>
        <v>3</v>
      </c>
      <c r="Z153">
        <f t="shared" ca="1" si="31"/>
        <v>2</v>
      </c>
      <c r="AA153">
        <f t="shared" ca="1" si="32"/>
        <v>1977</v>
      </c>
      <c r="AB153">
        <f t="shared" ca="1" si="33"/>
        <v>10</v>
      </c>
      <c r="AC153">
        <f t="shared" ca="1" si="34"/>
        <v>21</v>
      </c>
      <c r="AD153">
        <f t="shared" ca="1" si="35"/>
        <v>43</v>
      </c>
    </row>
    <row r="154" spans="1:30" x14ac:dyDescent="0.25">
      <c r="A154">
        <v>153</v>
      </c>
      <c r="B154" t="str">
        <f t="shared" si="24"/>
        <v>med153</v>
      </c>
      <c r="C154" t="str">
        <f t="shared" si="25"/>
        <v>pswmed153</v>
      </c>
      <c r="D154" t="str">
        <f ca="1">Nomes!T155</f>
        <v>Lurdes Laura Simões Simões</v>
      </c>
      <c r="E154" t="str">
        <f ca="1">Nomes!S155</f>
        <v>Feminino</v>
      </c>
      <c r="F154" s="2">
        <v>9540</v>
      </c>
      <c r="G154" t="str" cm="1">
        <f t="array" aca="1" ref="G154" ca="1">INDEX(rua_cod!$F:$F,RANDBETWEEN(2,COUNTA(rua_cod!F:F)))</f>
        <v>Rua do Sol a Santana</v>
      </c>
      <c r="H154" t="str" cm="1">
        <f t="array" aca="1" ref="H154" ca="1">INDEX(rua_cod!$A:$A,Médicos!X154) &amp; "-" &amp; TEXT(RANDBETWEEN(0,999),"000")</f>
        <v>2644-191</v>
      </c>
      <c r="I154" t="str" cm="1">
        <f t="array" aca="1" ref="I154" ca="1">INDEX(rua_cod!$B:$B,Médicos!X154)</f>
        <v>Mafra</v>
      </c>
      <c r="J154" t="s">
        <v>341</v>
      </c>
      <c r="K154" t="s">
        <v>225</v>
      </c>
      <c r="L154" t="s">
        <v>265</v>
      </c>
      <c r="M154" t="str">
        <f t="shared" ca="1" si="26"/>
        <v>70139596</v>
      </c>
      <c r="N154" t="str">
        <f t="shared" ca="1" si="27"/>
        <v>278777883</v>
      </c>
      <c r="O154" t="str">
        <f t="shared" ca="1" si="27"/>
        <v>421346610</v>
      </c>
      <c r="P154" t="str" cm="1">
        <f t="array" aca="1" ref="P154" ca="1">9 &amp; INDEX($AH$3:$AH$6,Y154)&amp; TEXT(RANDBETWEEN(0,9999999),"0000000")</f>
        <v>963175456</v>
      </c>
      <c r="Q154" t="str" cm="1">
        <f t="array" aca="1" ref="Q154" ca="1">LOWER(B154) &amp; INDEX($AH$9:$AH$11,Z154)</f>
        <v>med153@hospital.upskill.com</v>
      </c>
      <c r="R154" t="str">
        <f t="shared" si="28"/>
        <v>med153.jpg</v>
      </c>
      <c r="S154" s="8">
        <f t="shared" ca="1" si="29"/>
        <v>1237255109623206</v>
      </c>
      <c r="T154" t="s">
        <v>341</v>
      </c>
      <c r="V154" s="4"/>
      <c r="X154">
        <f ca="1">RANDBETWEEN(2,COUNTA(rua_cod!A:A))</f>
        <v>86</v>
      </c>
      <c r="Y154">
        <f t="shared" ca="1" si="30"/>
        <v>4</v>
      </c>
      <c r="Z154">
        <f t="shared" ca="1" si="31"/>
        <v>3</v>
      </c>
      <c r="AA154">
        <f t="shared" ca="1" si="32"/>
        <v>1965</v>
      </c>
      <c r="AB154">
        <f t="shared" ca="1" si="33"/>
        <v>12</v>
      </c>
      <c r="AC154">
        <f t="shared" ca="1" si="34"/>
        <v>17</v>
      </c>
      <c r="AD154">
        <f t="shared" ca="1" si="35"/>
        <v>55</v>
      </c>
    </row>
    <row r="155" spans="1:30" x14ac:dyDescent="0.25">
      <c r="A155">
        <v>154</v>
      </c>
      <c r="B155" t="str">
        <f t="shared" si="24"/>
        <v>med154</v>
      </c>
      <c r="C155" t="str">
        <f t="shared" si="25"/>
        <v>pswmed154</v>
      </c>
      <c r="D155" t="str">
        <f ca="1">Nomes!T156</f>
        <v>Leonor Marco Matos Teixeira</v>
      </c>
      <c r="E155" t="str">
        <f ca="1">Nomes!S156</f>
        <v>Feminino</v>
      </c>
      <c r="F155" s="2">
        <v>9785</v>
      </c>
      <c r="G155" t="str" cm="1">
        <f t="array" aca="1" ref="G155" ca="1">INDEX(rua_cod!$F:$F,RANDBETWEEN(2,COUNTA(rua_cod!F:F)))</f>
        <v>Rua Garrett</v>
      </c>
      <c r="H155" t="str" cm="1">
        <f t="array" aca="1" ref="H155" ca="1">INDEX(rua_cod!$A:$A,Médicos!X155) &amp; "-" &amp; TEXT(RANDBETWEEN(0,999),"000")</f>
        <v>2000-535</v>
      </c>
      <c r="I155" t="str" cm="1">
        <f t="array" aca="1" ref="I155" ca="1">INDEX(rua_cod!$B:$B,Médicos!X155)</f>
        <v>Santarém</v>
      </c>
      <c r="J155" t="s">
        <v>341</v>
      </c>
      <c r="K155" t="s">
        <v>225</v>
      </c>
      <c r="L155" t="s">
        <v>265</v>
      </c>
      <c r="M155" t="str">
        <f t="shared" ca="1" si="26"/>
        <v>82930566</v>
      </c>
      <c r="N155" t="str">
        <f t="shared" ca="1" si="27"/>
        <v>501667324</v>
      </c>
      <c r="O155" t="str">
        <f t="shared" ca="1" si="27"/>
        <v>176015182</v>
      </c>
      <c r="P155" t="str" cm="1">
        <f t="array" aca="1" ref="P155" ca="1">9 &amp; INDEX($AH$3:$AH$6,Y155)&amp; TEXT(RANDBETWEEN(0,9999999),"0000000")</f>
        <v>962709346</v>
      </c>
      <c r="Q155" t="str" cm="1">
        <f t="array" aca="1" ref="Q155" ca="1">LOWER(B155) &amp; INDEX($AH$9:$AH$11,Z155)</f>
        <v>med154@hospital.upskill.com</v>
      </c>
      <c r="R155" t="str">
        <f t="shared" si="28"/>
        <v>med154.jpg</v>
      </c>
      <c r="S155" s="8">
        <f t="shared" ca="1" si="29"/>
        <v>3151529591885782</v>
      </c>
      <c r="T155" t="s">
        <v>341</v>
      </c>
      <c r="V155" s="4"/>
      <c r="X155">
        <f ca="1">RANDBETWEEN(2,COUNTA(rua_cod!A:A))</f>
        <v>93</v>
      </c>
      <c r="Y155">
        <f t="shared" ca="1" si="30"/>
        <v>4</v>
      </c>
      <c r="Z155">
        <f t="shared" ca="1" si="31"/>
        <v>1</v>
      </c>
      <c r="AA155">
        <f t="shared" ca="1" si="32"/>
        <v>1978</v>
      </c>
      <c r="AB155">
        <f t="shared" ca="1" si="33"/>
        <v>11</v>
      </c>
      <c r="AC155">
        <f t="shared" ca="1" si="34"/>
        <v>11</v>
      </c>
      <c r="AD155">
        <f t="shared" ca="1" si="35"/>
        <v>42</v>
      </c>
    </row>
    <row r="156" spans="1:30" x14ac:dyDescent="0.25">
      <c r="A156">
        <v>155</v>
      </c>
      <c r="B156" t="str">
        <f t="shared" si="24"/>
        <v>med155</v>
      </c>
      <c r="C156" t="str">
        <f t="shared" si="25"/>
        <v>pswmed155</v>
      </c>
      <c r="D156" t="str">
        <f ca="1">Nomes!T157</f>
        <v>Tiago Joana Cunha Barbosa</v>
      </c>
      <c r="E156" t="str">
        <f ca="1">Nomes!S157</f>
        <v>Masculino</v>
      </c>
      <c r="F156" s="2">
        <v>26847</v>
      </c>
      <c r="G156" t="str" cm="1">
        <f t="array" aca="1" ref="G156" ca="1">INDEX(rua_cod!$F:$F,RANDBETWEEN(2,COUNTA(rua_cod!F:F)))</f>
        <v>Rua de São Mamede</v>
      </c>
      <c r="H156" t="str" cm="1">
        <f t="array" aca="1" ref="H156" ca="1">INDEX(rua_cod!$A:$A,Médicos!X156) &amp; "-" &amp; TEXT(RANDBETWEEN(0,999),"000")</f>
        <v>1000-355</v>
      </c>
      <c r="I156" t="str" cm="1">
        <f t="array" aca="1" ref="I156" ca="1">INDEX(rua_cod!$B:$B,Médicos!X156)</f>
        <v>Lisboa</v>
      </c>
      <c r="J156" t="s">
        <v>341</v>
      </c>
      <c r="K156" t="s">
        <v>225</v>
      </c>
      <c r="L156" t="s">
        <v>265</v>
      </c>
      <c r="M156" t="str">
        <f t="shared" ca="1" si="26"/>
        <v>77052147</v>
      </c>
      <c r="N156" t="str">
        <f t="shared" ca="1" si="27"/>
        <v>725715688</v>
      </c>
      <c r="O156" t="str">
        <f t="shared" ca="1" si="27"/>
        <v>726172065</v>
      </c>
      <c r="P156" t="str" cm="1">
        <f t="array" aca="1" ref="P156" ca="1">9 &amp; INDEX($AH$3:$AH$6,Y156)&amp; TEXT(RANDBETWEEN(0,9999999),"0000000")</f>
        <v>912465233</v>
      </c>
      <c r="Q156" t="str" cm="1">
        <f t="array" aca="1" ref="Q156" ca="1">LOWER(B156) &amp; INDEX($AH$9:$AH$11,Z156)</f>
        <v>med155@hospital.upskill.com</v>
      </c>
      <c r="R156" t="str">
        <f t="shared" si="28"/>
        <v>med155.jpg</v>
      </c>
      <c r="S156" s="8">
        <f t="shared" ca="1" si="29"/>
        <v>8269959876152121</v>
      </c>
      <c r="T156" t="s">
        <v>341</v>
      </c>
      <c r="V156" s="4"/>
      <c r="X156">
        <f ca="1">RANDBETWEEN(2,COUNTA(rua_cod!A:A))</f>
        <v>62</v>
      </c>
      <c r="Y156">
        <f t="shared" ca="1" si="30"/>
        <v>1</v>
      </c>
      <c r="Z156">
        <f t="shared" ca="1" si="31"/>
        <v>3</v>
      </c>
      <c r="AA156">
        <f t="shared" ca="1" si="32"/>
        <v>1975</v>
      </c>
      <c r="AB156">
        <f t="shared" ca="1" si="33"/>
        <v>12</v>
      </c>
      <c r="AC156">
        <f t="shared" ca="1" si="34"/>
        <v>3</v>
      </c>
      <c r="AD156">
        <f t="shared" ca="1" si="35"/>
        <v>45</v>
      </c>
    </row>
    <row r="157" spans="1:30" x14ac:dyDescent="0.25">
      <c r="A157">
        <v>156</v>
      </c>
      <c r="B157" t="str">
        <f t="shared" si="24"/>
        <v>med156</v>
      </c>
      <c r="C157" t="str">
        <f t="shared" si="25"/>
        <v>pswmed156</v>
      </c>
      <c r="D157" t="str">
        <f ca="1">Nomes!T158</f>
        <v>Carolina Luís Teixeira Freitas</v>
      </c>
      <c r="E157" t="str">
        <f ca="1">Nomes!S158</f>
        <v>Feminino</v>
      </c>
      <c r="F157" s="2">
        <v>44029</v>
      </c>
      <c r="G157" t="str" cm="1">
        <f t="array" aca="1" ref="G157" ca="1">INDEX(rua_cod!$F:$F,RANDBETWEEN(2,COUNTA(rua_cod!F:F)))</f>
        <v>Rua do Sol a Santana</v>
      </c>
      <c r="H157" t="str" cm="1">
        <f t="array" aca="1" ref="H157" ca="1">INDEX(rua_cod!$A:$A,Médicos!X157) &amp; "-" &amp; TEXT(RANDBETWEEN(0,999),"000")</f>
        <v>1250-123</v>
      </c>
      <c r="I157" t="str" cm="1">
        <f t="array" aca="1" ref="I157" ca="1">INDEX(rua_cod!$B:$B,Médicos!X157)</f>
        <v>Lisboa</v>
      </c>
      <c r="J157" t="s">
        <v>341</v>
      </c>
      <c r="K157" t="s">
        <v>225</v>
      </c>
      <c r="L157" t="s">
        <v>265</v>
      </c>
      <c r="M157" t="str">
        <f t="shared" ca="1" si="26"/>
        <v>15702572</v>
      </c>
      <c r="N157" t="str">
        <f t="shared" ca="1" si="27"/>
        <v>330977729</v>
      </c>
      <c r="O157" t="str">
        <f t="shared" ca="1" si="27"/>
        <v>763318430</v>
      </c>
      <c r="P157" t="str" cm="1">
        <f t="array" aca="1" ref="P157" ca="1">9 &amp; INDEX($AH$3:$AH$6,Y157)&amp; TEXT(RANDBETWEEN(0,9999999),"0000000")</f>
        <v>923045311</v>
      </c>
      <c r="Q157" t="str" cm="1">
        <f t="array" aca="1" ref="Q157" ca="1">LOWER(B157) &amp; INDEX($AH$9:$AH$11,Z157)</f>
        <v>med156@hospital.upskill.com</v>
      </c>
      <c r="R157" t="str">
        <f t="shared" si="28"/>
        <v>med156.jpg</v>
      </c>
      <c r="S157" s="8">
        <f t="shared" ca="1" si="29"/>
        <v>2132288660893862</v>
      </c>
      <c r="T157" t="s">
        <v>341</v>
      </c>
      <c r="V157" s="4"/>
      <c r="X157">
        <f ca="1">RANDBETWEEN(2,COUNTA(rua_cod!A:A))</f>
        <v>50</v>
      </c>
      <c r="Y157">
        <f t="shared" ca="1" si="30"/>
        <v>2</v>
      </c>
      <c r="Z157">
        <f t="shared" ca="1" si="31"/>
        <v>3</v>
      </c>
      <c r="AA157">
        <f t="shared" ca="1" si="32"/>
        <v>1992</v>
      </c>
      <c r="AB157">
        <f t="shared" ca="1" si="33"/>
        <v>2</v>
      </c>
      <c r="AC157">
        <f t="shared" ca="1" si="34"/>
        <v>25</v>
      </c>
      <c r="AD157">
        <f t="shared" ca="1" si="35"/>
        <v>28</v>
      </c>
    </row>
    <row r="158" spans="1:30" x14ac:dyDescent="0.25">
      <c r="A158">
        <v>157</v>
      </c>
      <c r="B158" t="str">
        <f t="shared" si="24"/>
        <v>med157</v>
      </c>
      <c r="C158" t="str">
        <f t="shared" si="25"/>
        <v>pswmed157</v>
      </c>
      <c r="D158" t="str">
        <f ca="1">Nomes!T159</f>
        <v>Joaquim Gabriel Vieira Magalhães</v>
      </c>
      <c r="E158" t="str">
        <f ca="1">Nomes!S159</f>
        <v>Masculino</v>
      </c>
      <c r="F158" s="2">
        <v>11043</v>
      </c>
      <c r="G158" t="str" cm="1">
        <f t="array" aca="1" ref="G158" ca="1">INDEX(rua_cod!$F:$F,RANDBETWEEN(2,COUNTA(rua_cod!F:F)))</f>
        <v>Rua do Carmo</v>
      </c>
      <c r="H158" t="str" cm="1">
        <f t="array" aca="1" ref="H158" ca="1">INDEX(rua_cod!$A:$A,Médicos!X158) &amp; "-" &amp; TEXT(RANDBETWEEN(0,999),"000")</f>
        <v>2670-689</v>
      </c>
      <c r="I158" t="str" cm="1">
        <f t="array" aca="1" ref="I158" ca="1">INDEX(rua_cod!$B:$B,Médicos!X158)</f>
        <v>Loures</v>
      </c>
      <c r="J158" t="s">
        <v>341</v>
      </c>
      <c r="K158" t="s">
        <v>225</v>
      </c>
      <c r="L158" t="s">
        <v>265</v>
      </c>
      <c r="M158" t="str">
        <f t="shared" ca="1" si="26"/>
        <v>16751198</v>
      </c>
      <c r="N158" t="str">
        <f t="shared" ca="1" si="27"/>
        <v>615274154</v>
      </c>
      <c r="O158" t="str">
        <f t="shared" ca="1" si="27"/>
        <v>698468539</v>
      </c>
      <c r="P158" t="str" cm="1">
        <f t="array" aca="1" ref="P158" ca="1">9 &amp; INDEX($AH$3:$AH$6,Y158)&amp; TEXT(RANDBETWEEN(0,9999999),"0000000")</f>
        <v>964995306</v>
      </c>
      <c r="Q158" t="str" cm="1">
        <f t="array" aca="1" ref="Q158" ca="1">LOWER(B158) &amp; INDEX($AH$9:$AH$11,Z158)</f>
        <v>med157@hospital.upskill.com</v>
      </c>
      <c r="R158" t="str">
        <f t="shared" si="28"/>
        <v>med157.jpg</v>
      </c>
      <c r="S158" s="8">
        <f t="shared" ca="1" si="29"/>
        <v>4009346083441639</v>
      </c>
      <c r="T158" t="s">
        <v>341</v>
      </c>
      <c r="V158" s="4"/>
      <c r="X158">
        <f ca="1">RANDBETWEEN(2,COUNTA(rua_cod!A:A))</f>
        <v>83</v>
      </c>
      <c r="Y158">
        <f t="shared" ca="1" si="30"/>
        <v>4</v>
      </c>
      <c r="Z158">
        <f t="shared" ca="1" si="31"/>
        <v>2</v>
      </c>
      <c r="AA158">
        <f t="shared" ca="1" si="32"/>
        <v>1975</v>
      </c>
      <c r="AB158">
        <f t="shared" ca="1" si="33"/>
        <v>11</v>
      </c>
      <c r="AC158">
        <f t="shared" ca="1" si="34"/>
        <v>19</v>
      </c>
      <c r="AD158">
        <f t="shared" ca="1" si="35"/>
        <v>45</v>
      </c>
    </row>
    <row r="159" spans="1:30" x14ac:dyDescent="0.25">
      <c r="A159">
        <v>158</v>
      </c>
      <c r="B159" t="str">
        <f t="shared" si="24"/>
        <v>med158</v>
      </c>
      <c r="C159" t="str">
        <f t="shared" si="25"/>
        <v>pswmed158</v>
      </c>
      <c r="D159" t="str">
        <f ca="1">Nomes!T160</f>
        <v>Tomás Duarte Figueiredo Santos</v>
      </c>
      <c r="E159" t="str">
        <f ca="1">Nomes!S160</f>
        <v>Masculino</v>
      </c>
      <c r="F159" s="2">
        <v>28184</v>
      </c>
      <c r="G159" t="str" cm="1">
        <f t="array" aca="1" ref="G159" ca="1">INDEX(rua_cod!$F:$F,RANDBETWEEN(2,COUNTA(rua_cod!F:F)))</f>
        <v>Rua dos Heróis de Quionga</v>
      </c>
      <c r="H159" t="str" cm="1">
        <f t="array" aca="1" ref="H159" ca="1">INDEX(rua_cod!$A:$A,Médicos!X159) &amp; "-" &amp; TEXT(RANDBETWEEN(0,999),"000")</f>
        <v>2830-166</v>
      </c>
      <c r="I159" t="str" cm="1">
        <f t="array" aca="1" ref="I159" ca="1">INDEX(rua_cod!$B:$B,Médicos!X159)</f>
        <v>Barreiro</v>
      </c>
      <c r="J159" t="s">
        <v>341</v>
      </c>
      <c r="K159" t="s">
        <v>225</v>
      </c>
      <c r="L159" t="s">
        <v>265</v>
      </c>
      <c r="M159" t="str">
        <f t="shared" ca="1" si="26"/>
        <v>53827756</v>
      </c>
      <c r="N159" t="str">
        <f t="shared" ca="1" si="27"/>
        <v>804930349</v>
      </c>
      <c r="O159" t="str">
        <f t="shared" ca="1" si="27"/>
        <v>483399305</v>
      </c>
      <c r="P159" t="str" cm="1">
        <f t="array" aca="1" ref="P159" ca="1">9 &amp; INDEX($AH$3:$AH$6,Y159)&amp; TEXT(RANDBETWEEN(0,9999999),"0000000")</f>
        <v>935825176</v>
      </c>
      <c r="Q159" t="str" cm="1">
        <f t="array" aca="1" ref="Q159" ca="1">LOWER(B159) &amp; INDEX($AH$9:$AH$11,Z159)</f>
        <v>med158@hospital.upskill.com</v>
      </c>
      <c r="R159" t="str">
        <f t="shared" si="28"/>
        <v>med158.jpg</v>
      </c>
      <c r="S159" s="8">
        <f t="shared" ca="1" si="29"/>
        <v>6987019647540144</v>
      </c>
      <c r="T159" t="s">
        <v>341</v>
      </c>
      <c r="V159" s="4"/>
      <c r="X159">
        <f ca="1">RANDBETWEEN(2,COUNTA(rua_cod!A:A))</f>
        <v>16</v>
      </c>
      <c r="Y159">
        <f t="shared" ca="1" si="30"/>
        <v>3</v>
      </c>
      <c r="Z159">
        <f t="shared" ca="1" si="31"/>
        <v>2</v>
      </c>
      <c r="AA159">
        <f t="shared" ca="1" si="32"/>
        <v>1984</v>
      </c>
      <c r="AB159">
        <f t="shared" ca="1" si="33"/>
        <v>12</v>
      </c>
      <c r="AC159">
        <f t="shared" ca="1" si="34"/>
        <v>9</v>
      </c>
      <c r="AD159">
        <f t="shared" ca="1" si="35"/>
        <v>36</v>
      </c>
    </row>
    <row r="160" spans="1:30" x14ac:dyDescent="0.25">
      <c r="A160">
        <v>159</v>
      </c>
      <c r="B160" t="str">
        <f t="shared" si="24"/>
        <v>med159</v>
      </c>
      <c r="C160" t="str">
        <f t="shared" si="25"/>
        <v>pswmed159</v>
      </c>
      <c r="D160" t="str">
        <f ca="1">Nomes!T161</f>
        <v>Santiago Duarte Machado Macedo</v>
      </c>
      <c r="E160" t="str">
        <f ca="1">Nomes!S161</f>
        <v>Masculino</v>
      </c>
      <c r="F160" s="2">
        <v>20148</v>
      </c>
      <c r="G160" t="str" cm="1">
        <f t="array" aca="1" ref="G160" ca="1">INDEX(rua_cod!$F:$F,RANDBETWEEN(2,COUNTA(rua_cod!F:F)))</f>
        <v>Rua do Salitre</v>
      </c>
      <c r="H160" t="str" cm="1">
        <f t="array" aca="1" ref="H160" ca="1">INDEX(rua_cod!$A:$A,Médicos!X160) &amp; "-" &amp; TEXT(RANDBETWEEN(0,999),"000")</f>
        <v>1649-249</v>
      </c>
      <c r="I160" t="str" cm="1">
        <f t="array" aca="1" ref="I160" ca="1">INDEX(rua_cod!$B:$B,Médicos!X160)</f>
        <v>Lisboa</v>
      </c>
      <c r="J160" t="s">
        <v>341</v>
      </c>
      <c r="K160" t="s">
        <v>225</v>
      </c>
      <c r="L160" t="s">
        <v>265</v>
      </c>
      <c r="M160" t="str">
        <f t="shared" ca="1" si="26"/>
        <v>14717222</v>
      </c>
      <c r="N160" t="str">
        <f t="shared" ca="1" si="27"/>
        <v>896852672</v>
      </c>
      <c r="O160" t="str">
        <f t="shared" ca="1" si="27"/>
        <v>495497023</v>
      </c>
      <c r="P160" t="str" cm="1">
        <f t="array" aca="1" ref="P160" ca="1">9 &amp; INDEX($AH$3:$AH$6,Y160)&amp; TEXT(RANDBETWEEN(0,9999999),"0000000")</f>
        <v>967355465</v>
      </c>
      <c r="Q160" t="str" cm="1">
        <f t="array" aca="1" ref="Q160" ca="1">LOWER(B160) &amp; INDEX($AH$9:$AH$11,Z160)</f>
        <v>med159@hospital.upskill.com</v>
      </c>
      <c r="R160" t="str">
        <f t="shared" si="28"/>
        <v>med159.jpg</v>
      </c>
      <c r="S160" s="8">
        <f t="shared" ca="1" si="29"/>
        <v>8706140033613526</v>
      </c>
      <c r="T160" t="s">
        <v>341</v>
      </c>
      <c r="V160" s="4"/>
      <c r="X160">
        <f ca="1">RANDBETWEEN(2,COUNTA(rua_cod!A:A))</f>
        <v>68</v>
      </c>
      <c r="Y160">
        <f t="shared" ca="1" si="30"/>
        <v>4</v>
      </c>
      <c r="Z160">
        <f t="shared" ca="1" si="31"/>
        <v>2</v>
      </c>
      <c r="AA160">
        <f t="shared" ca="1" si="32"/>
        <v>1951</v>
      </c>
      <c r="AB160">
        <f t="shared" ca="1" si="33"/>
        <v>9</v>
      </c>
      <c r="AC160">
        <f t="shared" ca="1" si="34"/>
        <v>25</v>
      </c>
      <c r="AD160">
        <f t="shared" ca="1" si="35"/>
        <v>69</v>
      </c>
    </row>
    <row r="161" spans="1:30" x14ac:dyDescent="0.25">
      <c r="A161">
        <v>160</v>
      </c>
      <c r="B161" t="str">
        <f t="shared" si="24"/>
        <v>med160</v>
      </c>
      <c r="C161" t="str">
        <f t="shared" si="25"/>
        <v>pswmed160</v>
      </c>
      <c r="D161" t="str">
        <f ca="1">Nomes!T162</f>
        <v>Santiago Daniela Moreira Oliveira</v>
      </c>
      <c r="E161" t="str">
        <f ca="1">Nomes!S162</f>
        <v>Masculino</v>
      </c>
      <c r="F161" s="2">
        <v>40822</v>
      </c>
      <c r="G161" t="str" cm="1">
        <f t="array" aca="1" ref="G161" ca="1">INDEX(rua_cod!$F:$F,RANDBETWEEN(2,COUNTA(rua_cod!F:F)))</f>
        <v>Rua do Instituto Bacteriológico</v>
      </c>
      <c r="H161" t="str" cm="1">
        <f t="array" aca="1" ref="H161" ca="1">INDEX(rua_cod!$A:$A,Médicos!X161) &amp; "-" &amp; TEXT(RANDBETWEEN(0,999),"000")</f>
        <v>2904-319</v>
      </c>
      <c r="I161" t="str" cm="1">
        <f t="array" aca="1" ref="I161" ca="1">INDEX(rua_cod!$B:$B,Médicos!X161)</f>
        <v>Setúbal</v>
      </c>
      <c r="J161" t="s">
        <v>341</v>
      </c>
      <c r="K161" t="s">
        <v>225</v>
      </c>
      <c r="L161" t="s">
        <v>265</v>
      </c>
      <c r="M161" t="str">
        <f t="shared" ca="1" si="26"/>
        <v>41715066</v>
      </c>
      <c r="N161" t="str">
        <f t="shared" ca="1" si="27"/>
        <v>617582747</v>
      </c>
      <c r="O161" t="str">
        <f t="shared" ca="1" si="27"/>
        <v>881878256</v>
      </c>
      <c r="P161" t="str" cm="1">
        <f t="array" aca="1" ref="P161" ca="1">9 &amp; INDEX($AH$3:$AH$6,Y161)&amp; TEXT(RANDBETWEEN(0,9999999),"0000000")</f>
        <v>967341041</v>
      </c>
      <c r="Q161" t="str" cm="1">
        <f t="array" aca="1" ref="Q161" ca="1">LOWER(B161) &amp; INDEX($AH$9:$AH$11,Z161)</f>
        <v>med160@hospital.upskill.com</v>
      </c>
      <c r="R161" t="str">
        <f t="shared" si="28"/>
        <v>med160.jpg</v>
      </c>
      <c r="S161" s="8">
        <f t="shared" ca="1" si="29"/>
        <v>3233074400397527</v>
      </c>
      <c r="T161" t="s">
        <v>341</v>
      </c>
      <c r="V161" s="4"/>
      <c r="X161">
        <f ca="1">RANDBETWEEN(2,COUNTA(rua_cod!A:A))</f>
        <v>99</v>
      </c>
      <c r="Y161">
        <f t="shared" ca="1" si="30"/>
        <v>4</v>
      </c>
      <c r="Z161">
        <f t="shared" ca="1" si="31"/>
        <v>1</v>
      </c>
      <c r="AA161">
        <f t="shared" ca="1" si="32"/>
        <v>1978</v>
      </c>
      <c r="AB161">
        <f t="shared" ca="1" si="33"/>
        <v>4</v>
      </c>
      <c r="AC161">
        <f t="shared" ca="1" si="34"/>
        <v>18</v>
      </c>
      <c r="AD161">
        <f t="shared" ca="1" si="35"/>
        <v>42</v>
      </c>
    </row>
    <row r="162" spans="1:30" x14ac:dyDescent="0.25">
      <c r="A162">
        <v>161</v>
      </c>
      <c r="B162" t="str">
        <f t="shared" si="24"/>
        <v>med161</v>
      </c>
      <c r="C162" t="str">
        <f t="shared" si="25"/>
        <v>pswmed161</v>
      </c>
      <c r="D162" t="str">
        <f ca="1">Nomes!T163</f>
        <v>Tiago Lurdes Gomes Borges</v>
      </c>
      <c r="E162" t="str">
        <f ca="1">Nomes!S163</f>
        <v>Masculino</v>
      </c>
      <c r="F162" s="2">
        <v>24061</v>
      </c>
      <c r="G162" t="str" cm="1">
        <f t="array" aca="1" ref="G162" ca="1">INDEX(rua_cod!$F:$F,RANDBETWEEN(2,COUNTA(rua_cod!F:F)))</f>
        <v>Rua de São Bento</v>
      </c>
      <c r="H162" t="str" cm="1">
        <f t="array" aca="1" ref="H162" ca="1">INDEX(rua_cod!$A:$A,Médicos!X162) &amp; "-" &amp; TEXT(RANDBETWEEN(0,999),"000")</f>
        <v>1800-706</v>
      </c>
      <c r="I162" t="str" cm="1">
        <f t="array" aca="1" ref="I162" ca="1">INDEX(rua_cod!$B:$B,Médicos!X162)</f>
        <v>Lisboa</v>
      </c>
      <c r="J162" t="s">
        <v>341</v>
      </c>
      <c r="K162" t="s">
        <v>225</v>
      </c>
      <c r="L162" t="s">
        <v>265</v>
      </c>
      <c r="M162" t="str">
        <f t="shared" ca="1" si="26"/>
        <v>48696858</v>
      </c>
      <c r="N162" t="str">
        <f t="shared" ca="1" si="27"/>
        <v>426166358</v>
      </c>
      <c r="O162" t="str">
        <f t="shared" ca="1" si="27"/>
        <v>756532019</v>
      </c>
      <c r="P162" t="str" cm="1">
        <f t="array" aca="1" ref="P162" ca="1">9 &amp; INDEX($AH$3:$AH$6,Y162)&amp; TEXT(RANDBETWEEN(0,9999999),"0000000")</f>
        <v>931455914</v>
      </c>
      <c r="Q162" t="str" cm="1">
        <f t="array" aca="1" ref="Q162" ca="1">LOWER(B162) &amp; INDEX($AH$9:$AH$11,Z162)</f>
        <v>med161@hospital.upskill.com</v>
      </c>
      <c r="R162" t="str">
        <f t="shared" si="28"/>
        <v>med161.jpg</v>
      </c>
      <c r="S162" s="8">
        <f t="shared" ca="1" si="29"/>
        <v>3448583387906034</v>
      </c>
      <c r="T162" t="s">
        <v>341</v>
      </c>
      <c r="V162" s="4"/>
      <c r="X162">
        <f ca="1">RANDBETWEEN(2,COUNTA(rua_cod!A:A))</f>
        <v>56</v>
      </c>
      <c r="Y162">
        <f t="shared" ca="1" si="30"/>
        <v>3</v>
      </c>
      <c r="Z162">
        <f t="shared" ca="1" si="31"/>
        <v>3</v>
      </c>
      <c r="AA162">
        <f t="shared" ca="1" si="32"/>
        <v>1994</v>
      </c>
      <c r="AB162">
        <f t="shared" ca="1" si="33"/>
        <v>11</v>
      </c>
      <c r="AC162">
        <f t="shared" ca="1" si="34"/>
        <v>6</v>
      </c>
      <c r="AD162">
        <f t="shared" ca="1" si="35"/>
        <v>26</v>
      </c>
    </row>
    <row r="163" spans="1:30" x14ac:dyDescent="0.25">
      <c r="A163">
        <v>162</v>
      </c>
      <c r="B163" t="str">
        <f t="shared" si="24"/>
        <v>med162</v>
      </c>
      <c r="C163" t="str">
        <f t="shared" si="25"/>
        <v>pswmed162</v>
      </c>
      <c r="D163" t="str">
        <f ca="1">Nomes!T164</f>
        <v>Francisco Catarina Mendes Vieira</v>
      </c>
      <c r="E163" t="str">
        <f ca="1">Nomes!S164</f>
        <v>Masculino</v>
      </c>
      <c r="F163" s="2">
        <v>29777</v>
      </c>
      <c r="G163" t="str" cm="1">
        <f t="array" aca="1" ref="G163" ca="1">INDEX(rua_cod!$F:$F,RANDBETWEEN(2,COUNTA(rua_cod!F:F)))</f>
        <v>Rua Nova do Almada</v>
      </c>
      <c r="H163" t="str" cm="1">
        <f t="array" aca="1" ref="H163" ca="1">INDEX(rua_cod!$A:$A,Médicos!X163) &amp; "-" &amp; TEXT(RANDBETWEEN(0,999),"000")</f>
        <v>2900-780</v>
      </c>
      <c r="I163" t="str" cm="1">
        <f t="array" aca="1" ref="I163" ca="1">INDEX(rua_cod!$B:$B,Médicos!X163)</f>
        <v>Setúbal</v>
      </c>
      <c r="J163" t="s">
        <v>341</v>
      </c>
      <c r="K163" t="s">
        <v>225</v>
      </c>
      <c r="L163" t="s">
        <v>265</v>
      </c>
      <c r="M163" t="str">
        <f t="shared" ca="1" si="26"/>
        <v>91029396</v>
      </c>
      <c r="N163" t="str">
        <f t="shared" ca="1" si="27"/>
        <v>951579283</v>
      </c>
      <c r="O163" t="str">
        <f t="shared" ca="1" si="27"/>
        <v>382870600</v>
      </c>
      <c r="P163" t="str" cm="1">
        <f t="array" aca="1" ref="P163" ca="1">9 &amp; INDEX($AH$3:$AH$6,Y163)&amp; TEXT(RANDBETWEEN(0,9999999),"0000000")</f>
        <v>923084641</v>
      </c>
      <c r="Q163" t="str" cm="1">
        <f t="array" aca="1" ref="Q163" ca="1">LOWER(B163) &amp; INDEX($AH$9:$AH$11,Z163)</f>
        <v>med162@hospital.upskill.com</v>
      </c>
      <c r="R163" t="str">
        <f t="shared" si="28"/>
        <v>med162.jpg</v>
      </c>
      <c r="S163" s="8">
        <f t="shared" ca="1" si="29"/>
        <v>8733740638069262</v>
      </c>
      <c r="T163" t="s">
        <v>341</v>
      </c>
      <c r="V163" s="4"/>
      <c r="X163">
        <f ca="1">RANDBETWEEN(2,COUNTA(rua_cod!A:A))</f>
        <v>96</v>
      </c>
      <c r="Y163">
        <f t="shared" ca="1" si="30"/>
        <v>2</v>
      </c>
      <c r="Z163">
        <f t="shared" ca="1" si="31"/>
        <v>2</v>
      </c>
      <c r="AA163">
        <f t="shared" ca="1" si="32"/>
        <v>1964</v>
      </c>
      <c r="AB163">
        <f t="shared" ca="1" si="33"/>
        <v>7</v>
      </c>
      <c r="AC163">
        <f t="shared" ca="1" si="34"/>
        <v>4</v>
      </c>
      <c r="AD163">
        <f t="shared" ca="1" si="35"/>
        <v>56</v>
      </c>
    </row>
    <row r="164" spans="1:30" x14ac:dyDescent="0.25">
      <c r="A164">
        <v>163</v>
      </c>
      <c r="B164" t="str">
        <f t="shared" si="24"/>
        <v>med163</v>
      </c>
      <c r="C164" t="str">
        <f t="shared" si="25"/>
        <v>pswmed163</v>
      </c>
      <c r="D164" t="str">
        <f ca="1">Nomes!T165</f>
        <v>Sofia Martim Domingues Melo</v>
      </c>
      <c r="E164" t="str">
        <f ca="1">Nomes!S165</f>
        <v>Feminino</v>
      </c>
      <c r="F164" s="2">
        <v>22302</v>
      </c>
      <c r="G164" t="str" cm="1">
        <f t="array" aca="1" ref="G164" ca="1">INDEX(rua_cod!$F:$F,RANDBETWEEN(2,COUNTA(rua_cod!F:F)))</f>
        <v>Travessa de São João da Praça</v>
      </c>
      <c r="H164" t="str" cm="1">
        <f t="array" aca="1" ref="H164" ca="1">INDEX(rua_cod!$A:$A,Médicos!X164) &amp; "-" &amp; TEXT(RANDBETWEEN(0,999),"000")</f>
        <v>2654-348</v>
      </c>
      <c r="I164" t="str" cm="1">
        <f t="array" aca="1" ref="I164" ca="1">INDEX(rua_cod!$B:$B,Médicos!X164)</f>
        <v>Amadora</v>
      </c>
      <c r="J164" t="s">
        <v>341</v>
      </c>
      <c r="K164" t="s">
        <v>225</v>
      </c>
      <c r="L164" t="s">
        <v>265</v>
      </c>
      <c r="M164" t="str">
        <f t="shared" ca="1" si="26"/>
        <v>80810399</v>
      </c>
      <c r="N164" t="str">
        <f t="shared" ca="1" si="27"/>
        <v>445757452</v>
      </c>
      <c r="O164" t="str">
        <f t="shared" ca="1" si="27"/>
        <v>263162365</v>
      </c>
      <c r="P164" t="str" cm="1">
        <f t="array" aca="1" ref="P164" ca="1">9 &amp; INDEX($AH$3:$AH$6,Y164)&amp; TEXT(RANDBETWEEN(0,9999999),"0000000")</f>
        <v>912105161</v>
      </c>
      <c r="Q164" t="str" cm="1">
        <f t="array" aca="1" ref="Q164" ca="1">LOWER(B164) &amp; INDEX($AH$9:$AH$11,Z164)</f>
        <v>med163@hospital.upskill.com</v>
      </c>
      <c r="R164" t="str">
        <f t="shared" si="28"/>
        <v>med163.jpg</v>
      </c>
      <c r="S164" s="8">
        <f t="shared" ca="1" si="29"/>
        <v>7174920221523654</v>
      </c>
      <c r="T164" t="s">
        <v>341</v>
      </c>
      <c r="V164" s="4"/>
      <c r="X164">
        <f ca="1">RANDBETWEEN(2,COUNTA(rua_cod!A:A))</f>
        <v>14</v>
      </c>
      <c r="Y164">
        <f t="shared" ca="1" si="30"/>
        <v>1</v>
      </c>
      <c r="Z164">
        <f t="shared" ca="1" si="31"/>
        <v>3</v>
      </c>
      <c r="AA164">
        <f t="shared" ca="1" si="32"/>
        <v>1956</v>
      </c>
      <c r="AB164">
        <f t="shared" ca="1" si="33"/>
        <v>11</v>
      </c>
      <c r="AC164">
        <f t="shared" ca="1" si="34"/>
        <v>3</v>
      </c>
      <c r="AD164">
        <f t="shared" ca="1" si="35"/>
        <v>64</v>
      </c>
    </row>
    <row r="165" spans="1:30" x14ac:dyDescent="0.25">
      <c r="A165">
        <v>164</v>
      </c>
      <c r="B165" t="str">
        <f t="shared" si="24"/>
        <v>med164</v>
      </c>
      <c r="C165" t="str">
        <f t="shared" si="25"/>
        <v>pswmed164</v>
      </c>
      <c r="D165" t="str">
        <f ca="1">Nomes!T166</f>
        <v>Marco Mariana Pires Rocha</v>
      </c>
      <c r="E165" t="str">
        <f ca="1">Nomes!S166</f>
        <v>Masculino</v>
      </c>
      <c r="F165" s="2">
        <v>44419</v>
      </c>
      <c r="G165" t="str" cm="1">
        <f t="array" aca="1" ref="G165" ca="1">INDEX(rua_cod!$F:$F,RANDBETWEEN(2,COUNTA(rua_cod!F:F)))</f>
        <v>Rua Roberto Duarte Silva</v>
      </c>
      <c r="H165" t="str" cm="1">
        <f t="array" aca="1" ref="H165" ca="1">INDEX(rua_cod!$A:$A,Médicos!X165) &amp; "-" &amp; TEXT(RANDBETWEEN(0,999),"000")</f>
        <v>1170-595</v>
      </c>
      <c r="I165" t="str" cm="1">
        <f t="array" aca="1" ref="I165" ca="1">INDEX(rua_cod!$B:$B,Médicos!X165)</f>
        <v>Lisboa</v>
      </c>
      <c r="J165" t="s">
        <v>341</v>
      </c>
      <c r="K165" t="s">
        <v>225</v>
      </c>
      <c r="L165" t="s">
        <v>265</v>
      </c>
      <c r="M165" t="str">
        <f t="shared" ca="1" si="26"/>
        <v>49636438</v>
      </c>
      <c r="N165" t="str">
        <f t="shared" ca="1" si="27"/>
        <v>541935183</v>
      </c>
      <c r="O165" t="str">
        <f t="shared" ca="1" si="27"/>
        <v>840021944</v>
      </c>
      <c r="P165" t="str" cm="1">
        <f t="array" aca="1" ref="P165" ca="1">9 &amp; INDEX($AH$3:$AH$6,Y165)&amp; TEXT(RANDBETWEEN(0,9999999),"0000000")</f>
        <v>963308786</v>
      </c>
      <c r="Q165" t="str" cm="1">
        <f t="array" aca="1" ref="Q165" ca="1">LOWER(B165) &amp; INDEX($AH$9:$AH$11,Z165)</f>
        <v>med164@hospital.upskill.com</v>
      </c>
      <c r="R165" t="str">
        <f t="shared" si="28"/>
        <v>med164.jpg</v>
      </c>
      <c r="S165" s="8">
        <f t="shared" ca="1" si="29"/>
        <v>8971716567213357</v>
      </c>
      <c r="T165" t="s">
        <v>341</v>
      </c>
      <c r="V165" s="4"/>
      <c r="X165">
        <f ca="1">RANDBETWEEN(2,COUNTA(rua_cod!A:A))</f>
        <v>47</v>
      </c>
      <c r="Y165">
        <f t="shared" ca="1" si="30"/>
        <v>4</v>
      </c>
      <c r="Z165">
        <f t="shared" ca="1" si="31"/>
        <v>1</v>
      </c>
      <c r="AA165">
        <f t="shared" ca="1" si="32"/>
        <v>1993</v>
      </c>
      <c r="AB165">
        <f t="shared" ca="1" si="33"/>
        <v>7</v>
      </c>
      <c r="AC165">
        <f t="shared" ca="1" si="34"/>
        <v>13</v>
      </c>
      <c r="AD165">
        <f t="shared" ca="1" si="35"/>
        <v>27</v>
      </c>
    </row>
    <row r="166" spans="1:30" x14ac:dyDescent="0.25">
      <c r="A166">
        <v>165</v>
      </c>
      <c r="B166" t="str">
        <f t="shared" si="24"/>
        <v>med165</v>
      </c>
      <c r="C166" t="str">
        <f t="shared" si="25"/>
        <v>pswmed165</v>
      </c>
      <c r="D166" t="str">
        <f ca="1">Nomes!T167</f>
        <v>Duarte Luís Coelho Gonçalves</v>
      </c>
      <c r="E166" t="str">
        <f ca="1">Nomes!S167</f>
        <v>Masculino</v>
      </c>
      <c r="F166" s="2">
        <v>11307</v>
      </c>
      <c r="G166" t="str" cm="1">
        <f t="array" aca="1" ref="G166" ca="1">INDEX(rua_cod!$F:$F,RANDBETWEEN(2,COUNTA(rua_cod!F:F)))</f>
        <v>Rua do Instituto Bacteriológico</v>
      </c>
      <c r="H166" t="str" cm="1">
        <f t="array" aca="1" ref="H166" ca="1">INDEX(rua_cod!$A:$A,Médicos!X166) &amp; "-" &amp; TEXT(RANDBETWEEN(0,999),"000")</f>
        <v>1250-382</v>
      </c>
      <c r="I166" t="str" cm="1">
        <f t="array" aca="1" ref="I166" ca="1">INDEX(rua_cod!$B:$B,Médicos!X166)</f>
        <v>Lisboa</v>
      </c>
      <c r="J166" t="s">
        <v>341</v>
      </c>
      <c r="K166" t="s">
        <v>225</v>
      </c>
      <c r="L166" t="s">
        <v>265</v>
      </c>
      <c r="M166" t="str">
        <f t="shared" ca="1" si="26"/>
        <v>58013664</v>
      </c>
      <c r="N166" t="str">
        <f t="shared" ca="1" si="27"/>
        <v>497282010</v>
      </c>
      <c r="O166" t="str">
        <f t="shared" ca="1" si="27"/>
        <v>944845750</v>
      </c>
      <c r="P166" t="str" cm="1">
        <f t="array" aca="1" ref="P166" ca="1">9 &amp; INDEX($AH$3:$AH$6,Y166)&amp; TEXT(RANDBETWEEN(0,9999999),"0000000")</f>
        <v>938992168</v>
      </c>
      <c r="Q166" t="str" cm="1">
        <f t="array" aca="1" ref="Q166" ca="1">LOWER(B166) &amp; INDEX($AH$9:$AH$11,Z166)</f>
        <v>med165@hospital.upskill.com</v>
      </c>
      <c r="R166" t="str">
        <f t="shared" si="28"/>
        <v>med165.jpg</v>
      </c>
      <c r="S166" s="8">
        <f t="shared" ca="1" si="29"/>
        <v>7306891143474750</v>
      </c>
      <c r="T166" t="s">
        <v>341</v>
      </c>
      <c r="V166" s="4"/>
      <c r="X166">
        <f ca="1">RANDBETWEEN(2,COUNTA(rua_cod!A:A))</f>
        <v>50</v>
      </c>
      <c r="Y166">
        <f t="shared" ca="1" si="30"/>
        <v>3</v>
      </c>
      <c r="Z166">
        <f t="shared" ca="1" si="31"/>
        <v>1</v>
      </c>
      <c r="AA166">
        <f t="shared" ca="1" si="32"/>
        <v>1968</v>
      </c>
      <c r="AB166">
        <f t="shared" ca="1" si="33"/>
        <v>8</v>
      </c>
      <c r="AC166">
        <f t="shared" ca="1" si="34"/>
        <v>4</v>
      </c>
      <c r="AD166">
        <f t="shared" ca="1" si="35"/>
        <v>52</v>
      </c>
    </row>
    <row r="167" spans="1:30" x14ac:dyDescent="0.25">
      <c r="A167">
        <v>166</v>
      </c>
      <c r="B167" t="str">
        <f t="shared" si="24"/>
        <v>med166</v>
      </c>
      <c r="C167" t="str">
        <f t="shared" si="25"/>
        <v>pswmed166</v>
      </c>
      <c r="D167" t="str">
        <f ca="1">Nomes!T168</f>
        <v>Maria José Gonçalves Ramos</v>
      </c>
      <c r="E167" t="str">
        <f ca="1">Nomes!S168</f>
        <v>Feminino</v>
      </c>
      <c r="F167" s="2">
        <v>31637</v>
      </c>
      <c r="G167" t="str" cm="1">
        <f t="array" aca="1" ref="G167" ca="1">INDEX(rua_cod!$F:$F,RANDBETWEEN(2,COUNTA(rua_cod!F:F)))</f>
        <v>Rua da Junqueira</v>
      </c>
      <c r="H167" t="str" cm="1">
        <f t="array" aca="1" ref="H167" ca="1">INDEX(rua_cod!$A:$A,Médicos!X167) &amp; "-" &amp; TEXT(RANDBETWEEN(0,999),"000")</f>
        <v>2794-118</v>
      </c>
      <c r="I167" t="str" cm="1">
        <f t="array" aca="1" ref="I167" ca="1">INDEX(rua_cod!$B:$B,Médicos!X167)</f>
        <v>Carnaxide</v>
      </c>
      <c r="J167" t="s">
        <v>341</v>
      </c>
      <c r="K167" t="s">
        <v>225</v>
      </c>
      <c r="L167" t="s">
        <v>265</v>
      </c>
      <c r="M167" t="str">
        <f t="shared" ca="1" si="26"/>
        <v>95073470</v>
      </c>
      <c r="N167" t="str">
        <f t="shared" ca="1" si="27"/>
        <v>160688574</v>
      </c>
      <c r="O167" t="str">
        <f t="shared" ca="1" si="27"/>
        <v>843143304</v>
      </c>
      <c r="P167" t="str" cm="1">
        <f t="array" aca="1" ref="P167" ca="1">9 &amp; INDEX($AH$3:$AH$6,Y167)&amp; TEXT(RANDBETWEEN(0,9999999),"0000000")</f>
        <v>933802824</v>
      </c>
      <c r="Q167" t="str" cm="1">
        <f t="array" aca="1" ref="Q167" ca="1">LOWER(B167) &amp; INDEX($AH$9:$AH$11,Z167)</f>
        <v>med166@hospital.upskill.com</v>
      </c>
      <c r="R167" t="str">
        <f t="shared" si="28"/>
        <v>med166.jpg</v>
      </c>
      <c r="S167" s="8">
        <f t="shared" ca="1" si="29"/>
        <v>6135180236061232</v>
      </c>
      <c r="T167" t="s">
        <v>341</v>
      </c>
      <c r="V167" s="4"/>
      <c r="X167">
        <f ca="1">RANDBETWEEN(2,COUNTA(rua_cod!A:A))</f>
        <v>23</v>
      </c>
      <c r="Y167">
        <f t="shared" ca="1" si="30"/>
        <v>3</v>
      </c>
      <c r="Z167">
        <f t="shared" ca="1" si="31"/>
        <v>2</v>
      </c>
      <c r="AA167">
        <f t="shared" ca="1" si="32"/>
        <v>1955</v>
      </c>
      <c r="AB167">
        <f t="shared" ca="1" si="33"/>
        <v>6</v>
      </c>
      <c r="AC167">
        <f t="shared" ca="1" si="34"/>
        <v>29</v>
      </c>
      <c r="AD167">
        <f t="shared" ca="1" si="35"/>
        <v>65</v>
      </c>
    </row>
    <row r="168" spans="1:30" x14ac:dyDescent="0.25">
      <c r="A168">
        <v>167</v>
      </c>
      <c r="B168" t="str">
        <f t="shared" si="24"/>
        <v>med167</v>
      </c>
      <c r="C168" t="str">
        <f t="shared" si="25"/>
        <v>pswmed167</v>
      </c>
      <c r="D168" t="str">
        <f ca="1">Nomes!T169</f>
        <v>André Ana Barbosa Coelho</v>
      </c>
      <c r="E168" t="str">
        <f ca="1">Nomes!S169</f>
        <v>Masculino</v>
      </c>
      <c r="F168" s="2">
        <v>42520</v>
      </c>
      <c r="G168" t="str" cm="1">
        <f t="array" aca="1" ref="G168" ca="1">INDEX(rua_cod!$F:$F,RANDBETWEEN(2,COUNTA(rua_cod!F:F)))</f>
        <v>Estrada das Laranjeiras</v>
      </c>
      <c r="H168" t="str" cm="1">
        <f t="array" aca="1" ref="H168" ca="1">INDEX(rua_cod!$A:$A,Médicos!X168) &amp; "-" &amp; TEXT(RANDBETWEEN(0,999),"000")</f>
        <v>1350-903</v>
      </c>
      <c r="I168" t="str" cm="1">
        <f t="array" aca="1" ref="I168" ca="1">INDEX(rua_cod!$B:$B,Médicos!X168)</f>
        <v>Lisboa</v>
      </c>
      <c r="J168" t="s">
        <v>341</v>
      </c>
      <c r="K168" t="s">
        <v>225</v>
      </c>
      <c r="L168" t="s">
        <v>265</v>
      </c>
      <c r="M168" t="str">
        <f t="shared" ca="1" si="26"/>
        <v>48749892</v>
      </c>
      <c r="N168" t="str">
        <f t="shared" ca="1" si="27"/>
        <v>924999128</v>
      </c>
      <c r="O168" t="str">
        <f t="shared" ca="1" si="27"/>
        <v>141556737</v>
      </c>
      <c r="P168" t="str" cm="1">
        <f t="array" aca="1" ref="P168" ca="1">9 &amp; INDEX($AH$3:$AH$6,Y168)&amp; TEXT(RANDBETWEEN(0,9999999),"0000000")</f>
        <v>964276664</v>
      </c>
      <c r="Q168" t="str" cm="1">
        <f t="array" aca="1" ref="Q168" ca="1">LOWER(B168) &amp; INDEX($AH$9:$AH$11,Z168)</f>
        <v>med167@hospital.upskill.com</v>
      </c>
      <c r="R168" t="str">
        <f t="shared" si="28"/>
        <v>med167.jpg</v>
      </c>
      <c r="S168" s="8">
        <f t="shared" ca="1" si="29"/>
        <v>2771483092479314</v>
      </c>
      <c r="T168" t="s">
        <v>341</v>
      </c>
      <c r="V168" s="4"/>
      <c r="X168">
        <f ca="1">RANDBETWEEN(2,COUNTA(rua_cod!A:A))</f>
        <v>54</v>
      </c>
      <c r="Y168">
        <f t="shared" ca="1" si="30"/>
        <v>4</v>
      </c>
      <c r="Z168">
        <f t="shared" ca="1" si="31"/>
        <v>3</v>
      </c>
      <c r="AA168">
        <f t="shared" ca="1" si="32"/>
        <v>1975</v>
      </c>
      <c r="AB168">
        <f t="shared" ca="1" si="33"/>
        <v>3</v>
      </c>
      <c r="AC168">
        <f t="shared" ca="1" si="34"/>
        <v>23</v>
      </c>
      <c r="AD168">
        <f t="shared" ca="1" si="35"/>
        <v>45</v>
      </c>
    </row>
    <row r="169" spans="1:30" x14ac:dyDescent="0.25">
      <c r="A169">
        <v>168</v>
      </c>
      <c r="B169" t="str">
        <f t="shared" si="24"/>
        <v>med168</v>
      </c>
      <c r="C169" t="str">
        <f t="shared" si="25"/>
        <v>pswmed168</v>
      </c>
      <c r="D169" t="str">
        <f ca="1">Nomes!T170</f>
        <v>Laura Afonso Branco Pinto</v>
      </c>
      <c r="E169" t="str">
        <f ca="1">Nomes!S170</f>
        <v>Feminino</v>
      </c>
      <c r="F169" s="2">
        <v>37371</v>
      </c>
      <c r="G169" t="str" cm="1">
        <f t="array" aca="1" ref="G169" ca="1">INDEX(rua_cod!$F:$F,RANDBETWEEN(2,COUNTA(rua_cod!F:F)))</f>
        <v>Estrada Militar</v>
      </c>
      <c r="H169" t="str" cm="1">
        <f t="array" aca="1" ref="H169" ca="1">INDEX(rua_cod!$A:$A,Médicos!X169) &amp; "-" &amp; TEXT(RANDBETWEEN(0,999),"000")</f>
        <v>2749-841</v>
      </c>
      <c r="I169" t="str" cm="1">
        <f t="array" aca="1" ref="I169" ca="1">INDEX(rua_cod!$B:$B,Médicos!X169)</f>
        <v>Queluz</v>
      </c>
      <c r="J169" t="s">
        <v>341</v>
      </c>
      <c r="K169" t="s">
        <v>225</v>
      </c>
      <c r="L169" t="s">
        <v>265</v>
      </c>
      <c r="M169" t="str">
        <f t="shared" ca="1" si="26"/>
        <v>80722578</v>
      </c>
      <c r="N169" t="str">
        <f t="shared" ca="1" si="27"/>
        <v>717316380</v>
      </c>
      <c r="O169" t="str">
        <f t="shared" ca="1" si="27"/>
        <v>931241289</v>
      </c>
      <c r="P169" t="str" cm="1">
        <f t="array" aca="1" ref="P169" ca="1">9 &amp; INDEX($AH$3:$AH$6,Y169)&amp; TEXT(RANDBETWEEN(0,9999999),"0000000")</f>
        <v>920798700</v>
      </c>
      <c r="Q169" t="str" cm="1">
        <f t="array" aca="1" ref="Q169" ca="1">LOWER(B169) &amp; INDEX($AH$9:$AH$11,Z169)</f>
        <v>med168@hospital.upskill.com</v>
      </c>
      <c r="R169" t="str">
        <f t="shared" si="28"/>
        <v>med168.jpg</v>
      </c>
      <c r="S169" s="8">
        <f t="shared" ca="1" si="29"/>
        <v>6986858540822466</v>
      </c>
      <c r="T169" t="s">
        <v>341</v>
      </c>
      <c r="V169" s="4"/>
      <c r="X169">
        <f ca="1">RANDBETWEEN(2,COUNTA(rua_cod!A:A))</f>
        <v>91</v>
      </c>
      <c r="Y169">
        <f t="shared" ca="1" si="30"/>
        <v>2</v>
      </c>
      <c r="Z169">
        <f t="shared" ca="1" si="31"/>
        <v>1</v>
      </c>
      <c r="AA169">
        <f t="shared" ca="1" si="32"/>
        <v>1966</v>
      </c>
      <c r="AB169">
        <f t="shared" ca="1" si="33"/>
        <v>2</v>
      </c>
      <c r="AC169">
        <f t="shared" ca="1" si="34"/>
        <v>8</v>
      </c>
      <c r="AD169">
        <f t="shared" ca="1" si="35"/>
        <v>54</v>
      </c>
    </row>
    <row r="170" spans="1:30" x14ac:dyDescent="0.25">
      <c r="A170">
        <v>169</v>
      </c>
      <c r="B170" t="str">
        <f t="shared" si="24"/>
        <v>med169</v>
      </c>
      <c r="C170" t="str">
        <f t="shared" si="25"/>
        <v>pswmed169</v>
      </c>
      <c r="D170" t="str">
        <f ca="1">Nomes!T171</f>
        <v>Beatriz Gabriel Assunção Vicente</v>
      </c>
      <c r="E170" t="str">
        <f ca="1">Nomes!S171</f>
        <v>Feminino</v>
      </c>
      <c r="F170" s="2">
        <v>19794</v>
      </c>
      <c r="G170" t="str" cm="1">
        <f t="array" aca="1" ref="G170" ca="1">INDEX(rua_cod!$F:$F,RANDBETWEEN(2,COUNTA(rua_cod!F:F)))</f>
        <v>Rua de São Mamede</v>
      </c>
      <c r="H170" t="str" cm="1">
        <f t="array" aca="1" ref="H170" ca="1">INDEX(rua_cod!$A:$A,Médicos!X170) &amp; "-" &amp; TEXT(RANDBETWEEN(0,999),"000")</f>
        <v>2000-298</v>
      </c>
      <c r="I170" t="str" cm="1">
        <f t="array" aca="1" ref="I170" ca="1">INDEX(rua_cod!$B:$B,Médicos!X170)</f>
        <v>Santarém</v>
      </c>
      <c r="J170" t="s">
        <v>341</v>
      </c>
      <c r="K170" t="s">
        <v>225</v>
      </c>
      <c r="L170" t="s">
        <v>265</v>
      </c>
      <c r="M170" t="str">
        <f t="shared" ca="1" si="26"/>
        <v>45252423</v>
      </c>
      <c r="N170" t="str">
        <f t="shared" ca="1" si="27"/>
        <v>557728324</v>
      </c>
      <c r="O170" t="str">
        <f t="shared" ca="1" si="27"/>
        <v>324442192</v>
      </c>
      <c r="P170" t="str" cm="1">
        <f t="array" aca="1" ref="P170" ca="1">9 &amp; INDEX($AH$3:$AH$6,Y170)&amp; TEXT(RANDBETWEEN(0,9999999),"0000000")</f>
        <v>937961478</v>
      </c>
      <c r="Q170" t="str" cm="1">
        <f t="array" aca="1" ref="Q170" ca="1">LOWER(B170) &amp; INDEX($AH$9:$AH$11,Z170)</f>
        <v>med169@hospital.upskill.com</v>
      </c>
      <c r="R170" t="str">
        <f t="shared" si="28"/>
        <v>med169.jpg</v>
      </c>
      <c r="S170" s="8">
        <f t="shared" ca="1" si="29"/>
        <v>3372108556561222</v>
      </c>
      <c r="T170" t="s">
        <v>341</v>
      </c>
      <c r="V170" s="4"/>
      <c r="X170">
        <f ca="1">RANDBETWEEN(2,COUNTA(rua_cod!A:A))</f>
        <v>93</v>
      </c>
      <c r="Y170">
        <f t="shared" ca="1" si="30"/>
        <v>3</v>
      </c>
      <c r="Z170">
        <f t="shared" ca="1" si="31"/>
        <v>1</v>
      </c>
      <c r="AA170">
        <f t="shared" ca="1" si="32"/>
        <v>1971</v>
      </c>
      <c r="AB170">
        <f t="shared" ca="1" si="33"/>
        <v>8</v>
      </c>
      <c r="AC170">
        <f t="shared" ca="1" si="34"/>
        <v>19</v>
      </c>
      <c r="AD170">
        <f t="shared" ca="1" si="35"/>
        <v>49</v>
      </c>
    </row>
    <row r="171" spans="1:30" x14ac:dyDescent="0.25">
      <c r="A171">
        <v>170</v>
      </c>
      <c r="B171" t="str">
        <f t="shared" si="24"/>
        <v>med170</v>
      </c>
      <c r="C171" t="str">
        <f t="shared" si="25"/>
        <v>pswmed170</v>
      </c>
      <c r="D171" t="str">
        <f ca="1">Nomes!T172</f>
        <v>Martim Carolina Araújo Ferreira</v>
      </c>
      <c r="E171" t="str">
        <f ca="1">Nomes!S172</f>
        <v>Masculino</v>
      </c>
      <c r="F171" s="2">
        <v>18245</v>
      </c>
      <c r="G171" t="str" cm="1">
        <f t="array" aca="1" ref="G171" ca="1">INDEX(rua_cod!$F:$F,RANDBETWEEN(2,COUNTA(rua_cod!F:F)))</f>
        <v>Calçada Marquês de Abrantes</v>
      </c>
      <c r="H171" t="str" cm="1">
        <f t="array" aca="1" ref="H171" ca="1">INDEX(rua_cod!$A:$A,Médicos!X171) &amp; "-" &amp; TEXT(RANDBETWEEN(0,999),"000")</f>
        <v>1700-061</v>
      </c>
      <c r="I171" t="str" cm="1">
        <f t="array" aca="1" ref="I171" ca="1">INDEX(rua_cod!$B:$B,Médicos!X171)</f>
        <v>Lisboa</v>
      </c>
      <c r="J171" t="s">
        <v>341</v>
      </c>
      <c r="K171" t="s">
        <v>225</v>
      </c>
      <c r="L171" t="s">
        <v>265</v>
      </c>
      <c r="M171" t="str">
        <f t="shared" ca="1" si="26"/>
        <v>48123971</v>
      </c>
      <c r="N171" t="str">
        <f t="shared" ca="1" si="27"/>
        <v>337799775</v>
      </c>
      <c r="O171" t="str">
        <f t="shared" ca="1" si="27"/>
        <v>209748429</v>
      </c>
      <c r="P171" t="str" cm="1">
        <f t="array" aca="1" ref="P171" ca="1">9 &amp; INDEX($AH$3:$AH$6,Y171)&amp; TEXT(RANDBETWEEN(0,9999999),"0000000")</f>
        <v>917477984</v>
      </c>
      <c r="Q171" t="str" cm="1">
        <f t="array" aca="1" ref="Q171" ca="1">LOWER(B171) &amp; INDEX($AH$9:$AH$11,Z171)</f>
        <v>med170@hospital.upskill.com</v>
      </c>
      <c r="R171" t="str">
        <f t="shared" si="28"/>
        <v>med170.jpg</v>
      </c>
      <c r="S171" s="8">
        <f t="shared" ca="1" si="29"/>
        <v>4898097378776757</v>
      </c>
      <c r="T171" t="s">
        <v>341</v>
      </c>
      <c r="V171" s="4"/>
      <c r="X171">
        <f ca="1">RANDBETWEEN(2,COUNTA(rua_cod!A:A))</f>
        <v>40</v>
      </c>
      <c r="Y171">
        <f t="shared" ca="1" si="30"/>
        <v>1</v>
      </c>
      <c r="Z171">
        <f t="shared" ca="1" si="31"/>
        <v>1</v>
      </c>
      <c r="AA171">
        <f t="shared" ca="1" si="32"/>
        <v>1979</v>
      </c>
      <c r="AB171">
        <f t="shared" ca="1" si="33"/>
        <v>2</v>
      </c>
      <c r="AC171">
        <f t="shared" ca="1" si="34"/>
        <v>21</v>
      </c>
      <c r="AD171">
        <f t="shared" ca="1" si="35"/>
        <v>41</v>
      </c>
    </row>
    <row r="172" spans="1:30" x14ac:dyDescent="0.25">
      <c r="A172">
        <v>171</v>
      </c>
      <c r="B172" t="str">
        <f t="shared" si="24"/>
        <v>med171</v>
      </c>
      <c r="C172" t="str">
        <f t="shared" si="25"/>
        <v>pswmed171</v>
      </c>
      <c r="D172" t="str">
        <f ca="1">Nomes!T173</f>
        <v>Catarina Matilde Nunes Valente</v>
      </c>
      <c r="E172" t="str">
        <f ca="1">Nomes!S173</f>
        <v>Feminino</v>
      </c>
      <c r="F172" s="2">
        <v>36726</v>
      </c>
      <c r="G172" t="str" cm="1">
        <f t="array" aca="1" ref="G172" ca="1">INDEX(rua_cod!$F:$F,RANDBETWEEN(2,COUNTA(rua_cod!F:F)))</f>
        <v>Rua do Arsenal</v>
      </c>
      <c r="H172" t="str" cm="1">
        <f t="array" aca="1" ref="H172" ca="1">INDEX(rua_cod!$A:$A,Médicos!X172) &amp; "-" &amp; TEXT(RANDBETWEEN(0,999),"000")</f>
        <v>1069-653</v>
      </c>
      <c r="I172" t="str" cm="1">
        <f t="array" aca="1" ref="I172" ca="1">INDEX(rua_cod!$B:$B,Médicos!X172)</f>
        <v>Lisboa</v>
      </c>
      <c r="J172" t="s">
        <v>341</v>
      </c>
      <c r="K172" t="s">
        <v>225</v>
      </c>
      <c r="L172" t="s">
        <v>265</v>
      </c>
      <c r="M172" t="str">
        <f t="shared" ca="1" si="26"/>
        <v>30261399</v>
      </c>
      <c r="N172" t="str">
        <f t="shared" ca="1" si="27"/>
        <v>185398247</v>
      </c>
      <c r="O172" t="str">
        <f t="shared" ca="1" si="27"/>
        <v>612437495</v>
      </c>
      <c r="P172" t="str" cm="1">
        <f t="array" aca="1" ref="P172" ca="1">9 &amp; INDEX($AH$3:$AH$6,Y172)&amp; TEXT(RANDBETWEEN(0,9999999),"0000000")</f>
        <v>925169392</v>
      </c>
      <c r="Q172" t="str" cm="1">
        <f t="array" aca="1" ref="Q172" ca="1">LOWER(B172) &amp; INDEX($AH$9:$AH$11,Z172)</f>
        <v>med171@hospital.upskill.com</v>
      </c>
      <c r="R172" t="str">
        <f t="shared" si="28"/>
        <v>med171.jpg</v>
      </c>
      <c r="S172" s="8">
        <f t="shared" ca="1" si="29"/>
        <v>1570308265336967</v>
      </c>
      <c r="T172" t="s">
        <v>341</v>
      </c>
      <c r="V172" s="4"/>
      <c r="X172">
        <f ca="1">RANDBETWEEN(2,COUNTA(rua_cod!A:A))</f>
        <v>67</v>
      </c>
      <c r="Y172">
        <f t="shared" ca="1" si="30"/>
        <v>2</v>
      </c>
      <c r="Z172">
        <f t="shared" ca="1" si="31"/>
        <v>3</v>
      </c>
      <c r="AA172">
        <f t="shared" ca="1" si="32"/>
        <v>1953</v>
      </c>
      <c r="AB172">
        <f t="shared" ca="1" si="33"/>
        <v>11</v>
      </c>
      <c r="AC172">
        <f t="shared" ca="1" si="34"/>
        <v>11</v>
      </c>
      <c r="AD172">
        <f t="shared" ca="1" si="35"/>
        <v>67</v>
      </c>
    </row>
    <row r="173" spans="1:30" x14ac:dyDescent="0.25">
      <c r="A173">
        <v>172</v>
      </c>
      <c r="B173" t="str">
        <f t="shared" si="24"/>
        <v>med172</v>
      </c>
      <c r="C173" t="str">
        <f t="shared" si="25"/>
        <v>pswmed172</v>
      </c>
      <c r="D173" t="str">
        <f ca="1">Nomes!T174</f>
        <v>Sofia Tiago Azevedo Matias</v>
      </c>
      <c r="E173" t="str">
        <f ca="1">Nomes!S174</f>
        <v>Feminino</v>
      </c>
      <c r="F173" s="2">
        <v>21504</v>
      </c>
      <c r="G173" t="str" cm="1">
        <f t="array" aca="1" ref="G173" ca="1">INDEX(rua_cod!$F:$F,RANDBETWEEN(2,COUNTA(rua_cod!F:F)))</f>
        <v>Rua do Sacramento à Lapa</v>
      </c>
      <c r="H173" t="str" cm="1">
        <f t="array" aca="1" ref="H173" ca="1">INDEX(rua_cod!$A:$A,Médicos!X173) &amp; "-" &amp; TEXT(RANDBETWEEN(0,999),"000")</f>
        <v>1849-668</v>
      </c>
      <c r="I173" t="str" cm="1">
        <f t="array" aca="1" ref="I173" ca="1">INDEX(rua_cod!$B:$B,Médicos!X173)</f>
        <v>Lisboa</v>
      </c>
      <c r="J173" t="s">
        <v>341</v>
      </c>
      <c r="K173" t="s">
        <v>225</v>
      </c>
      <c r="L173" t="s">
        <v>265</v>
      </c>
      <c r="M173" t="str">
        <f t="shared" ca="1" si="26"/>
        <v>76908949</v>
      </c>
      <c r="N173" t="str">
        <f t="shared" ca="1" si="27"/>
        <v>882561926</v>
      </c>
      <c r="O173" t="str">
        <f t="shared" ca="1" si="27"/>
        <v>279214910</v>
      </c>
      <c r="P173" t="str" cm="1">
        <f t="array" aca="1" ref="P173" ca="1">9 &amp; INDEX($AH$3:$AH$6,Y173)&amp; TEXT(RANDBETWEEN(0,9999999),"0000000")</f>
        <v>937834686</v>
      </c>
      <c r="Q173" t="str" cm="1">
        <f t="array" aca="1" ref="Q173" ca="1">LOWER(B173) &amp; INDEX($AH$9:$AH$11,Z173)</f>
        <v>med172@hospital.upskill.com</v>
      </c>
      <c r="R173" t="str">
        <f t="shared" si="28"/>
        <v>med172.jpg</v>
      </c>
      <c r="S173" s="8">
        <f t="shared" ca="1" si="29"/>
        <v>1429758784426986</v>
      </c>
      <c r="T173" t="s">
        <v>341</v>
      </c>
      <c r="V173" s="4"/>
      <c r="X173">
        <f ca="1">RANDBETWEEN(2,COUNTA(rua_cod!A:A))</f>
        <v>64</v>
      </c>
      <c r="Y173">
        <f t="shared" ca="1" si="30"/>
        <v>3</v>
      </c>
      <c r="Z173">
        <f t="shared" ca="1" si="31"/>
        <v>2</v>
      </c>
      <c r="AA173">
        <f t="shared" ca="1" si="32"/>
        <v>1982</v>
      </c>
      <c r="AB173">
        <f t="shared" ca="1" si="33"/>
        <v>11</v>
      </c>
      <c r="AC173">
        <f t="shared" ca="1" si="34"/>
        <v>8</v>
      </c>
      <c r="AD173">
        <f t="shared" ca="1" si="35"/>
        <v>38</v>
      </c>
    </row>
    <row r="174" spans="1:30" x14ac:dyDescent="0.25">
      <c r="A174">
        <v>173</v>
      </c>
      <c r="B174" t="str">
        <f t="shared" si="24"/>
        <v>med173</v>
      </c>
      <c r="C174" t="str">
        <f t="shared" si="25"/>
        <v>pswmed173</v>
      </c>
      <c r="D174" t="str">
        <f ca="1">Nomes!T175</f>
        <v>Diogo Afonso Araújo Garcia</v>
      </c>
      <c r="E174" t="str">
        <f ca="1">Nomes!S175</f>
        <v>Masculino</v>
      </c>
      <c r="F174" s="2">
        <v>20070</v>
      </c>
      <c r="G174" t="str" cm="1">
        <f t="array" aca="1" ref="G174" ca="1">INDEX(rua_cod!$F:$F,RANDBETWEEN(2,COUNTA(rua_cod!F:F)))</f>
        <v>Rua do Salitre</v>
      </c>
      <c r="H174" t="str" cm="1">
        <f t="array" aca="1" ref="H174" ca="1">INDEX(rua_cod!$A:$A,Médicos!X174) &amp; "-" &amp; TEXT(RANDBETWEEN(0,999),"000")</f>
        <v>2350-147</v>
      </c>
      <c r="I174" t="str" cm="1">
        <f t="array" aca="1" ref="I174" ca="1">INDEX(rua_cod!$B:$B,Médicos!X174)</f>
        <v>Torres Novas</v>
      </c>
      <c r="J174" t="s">
        <v>341</v>
      </c>
      <c r="K174" t="s">
        <v>225</v>
      </c>
      <c r="L174" t="s">
        <v>265</v>
      </c>
      <c r="M174" t="str">
        <f t="shared" ca="1" si="26"/>
        <v>67860942</v>
      </c>
      <c r="N174" t="str">
        <f t="shared" ca="1" si="27"/>
        <v>944386529</v>
      </c>
      <c r="O174" t="str">
        <f t="shared" ca="1" si="27"/>
        <v>912154007</v>
      </c>
      <c r="P174" t="str" cm="1">
        <f t="array" aca="1" ref="P174" ca="1">9 &amp; INDEX($AH$3:$AH$6,Y174)&amp; TEXT(RANDBETWEEN(0,9999999),"0000000")</f>
        <v>961340509</v>
      </c>
      <c r="Q174" t="str" cm="1">
        <f t="array" aca="1" ref="Q174" ca="1">LOWER(B174) &amp; INDEX($AH$9:$AH$11,Z174)</f>
        <v>med173@hospital.upskill.com</v>
      </c>
      <c r="R174" t="str">
        <f t="shared" si="28"/>
        <v>med173.jpg</v>
      </c>
      <c r="S174" s="8">
        <f t="shared" ca="1" si="29"/>
        <v>4104783242906012</v>
      </c>
      <c r="T174" t="s">
        <v>341</v>
      </c>
      <c r="V174" s="4"/>
      <c r="X174">
        <f ca="1">RANDBETWEEN(2,COUNTA(rua_cod!A:A))</f>
        <v>103</v>
      </c>
      <c r="Y174">
        <f t="shared" ca="1" si="30"/>
        <v>4</v>
      </c>
      <c r="Z174">
        <f t="shared" ca="1" si="31"/>
        <v>3</v>
      </c>
      <c r="AA174">
        <f t="shared" ca="1" si="32"/>
        <v>1957</v>
      </c>
      <c r="AB174">
        <f t="shared" ca="1" si="33"/>
        <v>12</v>
      </c>
      <c r="AC174">
        <f t="shared" ca="1" si="34"/>
        <v>23</v>
      </c>
      <c r="AD174">
        <f t="shared" ca="1" si="35"/>
        <v>63</v>
      </c>
    </row>
    <row r="175" spans="1:30" x14ac:dyDescent="0.25">
      <c r="A175">
        <v>174</v>
      </c>
      <c r="B175" t="str">
        <f t="shared" si="24"/>
        <v>med174</v>
      </c>
      <c r="C175" t="str">
        <f t="shared" si="25"/>
        <v>pswmed174</v>
      </c>
      <c r="D175" t="str">
        <f ca="1">Nomes!T176</f>
        <v>Afonso Bruno Vaz Alves</v>
      </c>
      <c r="E175" t="str">
        <f ca="1">Nomes!S176</f>
        <v>Masculino</v>
      </c>
      <c r="F175" s="2">
        <v>24653</v>
      </c>
      <c r="G175" t="str" cm="1">
        <f t="array" aca="1" ref="G175" ca="1">INDEX(rua_cod!$F:$F,RANDBETWEEN(2,COUNTA(rua_cod!F:F)))</f>
        <v>Rua do Arsenal</v>
      </c>
      <c r="H175" t="str" cm="1">
        <f t="array" aca="1" ref="H175" ca="1">INDEX(rua_cod!$A:$A,Médicos!X175) &amp; "-" &amp; TEXT(RANDBETWEEN(0,999),"000")</f>
        <v>2784-500</v>
      </c>
      <c r="I175" t="str" cm="1">
        <f t="array" aca="1" ref="I175" ca="1">INDEX(rua_cod!$B:$B,Médicos!X175)</f>
        <v>Oeiras</v>
      </c>
      <c r="J175" t="s">
        <v>341</v>
      </c>
      <c r="K175" t="s">
        <v>225</v>
      </c>
      <c r="L175" t="s">
        <v>265</v>
      </c>
      <c r="M175" t="str">
        <f t="shared" ca="1" si="26"/>
        <v>65510763</v>
      </c>
      <c r="N175" t="str">
        <f t="shared" ca="1" si="27"/>
        <v>478358055</v>
      </c>
      <c r="O175" t="str">
        <f t="shared" ca="1" si="27"/>
        <v>995590749</v>
      </c>
      <c r="P175" t="str" cm="1">
        <f t="array" aca="1" ref="P175" ca="1">9 &amp; INDEX($AH$3:$AH$6,Y175)&amp; TEXT(RANDBETWEEN(0,9999999),"0000000")</f>
        <v>934524989</v>
      </c>
      <c r="Q175" t="str" cm="1">
        <f t="array" aca="1" ref="Q175" ca="1">LOWER(B175) &amp; INDEX($AH$9:$AH$11,Z175)</f>
        <v>med174@hospital.upskill.com</v>
      </c>
      <c r="R175" t="str">
        <f t="shared" si="28"/>
        <v>med174.jpg</v>
      </c>
      <c r="S175" s="8">
        <f t="shared" ca="1" si="29"/>
        <v>7000186199800484</v>
      </c>
      <c r="T175" t="s">
        <v>341</v>
      </c>
      <c r="V175" s="4"/>
      <c r="X175">
        <f ca="1">RANDBETWEEN(2,COUNTA(rua_cod!A:A))</f>
        <v>89</v>
      </c>
      <c r="Y175">
        <f t="shared" ca="1" si="30"/>
        <v>3</v>
      </c>
      <c r="Z175">
        <f t="shared" ca="1" si="31"/>
        <v>2</v>
      </c>
      <c r="AA175">
        <f t="shared" ca="1" si="32"/>
        <v>1987</v>
      </c>
      <c r="AB175">
        <f t="shared" ca="1" si="33"/>
        <v>4</v>
      </c>
      <c r="AC175">
        <f t="shared" ca="1" si="34"/>
        <v>7</v>
      </c>
      <c r="AD175">
        <f t="shared" ca="1" si="35"/>
        <v>33</v>
      </c>
    </row>
    <row r="176" spans="1:30" x14ac:dyDescent="0.25">
      <c r="A176">
        <v>175</v>
      </c>
      <c r="B176" t="str">
        <f t="shared" si="24"/>
        <v>med175</v>
      </c>
      <c r="C176" t="str">
        <f t="shared" si="25"/>
        <v>pswmed175</v>
      </c>
      <c r="D176" t="str">
        <f ca="1">Nomes!T177</f>
        <v>Diogo Catarina Monteiro Guerreiro</v>
      </c>
      <c r="E176" t="str">
        <f ca="1">Nomes!S177</f>
        <v>Masculino</v>
      </c>
      <c r="F176" s="2">
        <v>43783</v>
      </c>
      <c r="G176" t="str" cm="1">
        <f t="array" aca="1" ref="G176" ca="1">INDEX(rua_cod!$F:$F,RANDBETWEEN(2,COUNTA(rua_cod!F:F)))</f>
        <v>Rua do Guarda-Mor</v>
      </c>
      <c r="H176" t="str" cm="1">
        <f t="array" aca="1" ref="H176" ca="1">INDEX(rua_cod!$A:$A,Médicos!X176) &amp; "-" &amp; TEXT(RANDBETWEEN(0,999),"000")</f>
        <v>2330-922</v>
      </c>
      <c r="I176" t="str" cm="1">
        <f t="array" aca="1" ref="I176" ca="1">INDEX(rua_cod!$B:$B,Médicos!X176)</f>
        <v>Entroncamento</v>
      </c>
      <c r="J176" t="s">
        <v>341</v>
      </c>
      <c r="K176" t="s">
        <v>225</v>
      </c>
      <c r="L176" t="s">
        <v>265</v>
      </c>
      <c r="M176" t="str">
        <f t="shared" ca="1" si="26"/>
        <v>16344431</v>
      </c>
      <c r="N176" t="str">
        <f t="shared" ca="1" si="27"/>
        <v>793538457</v>
      </c>
      <c r="O176" t="str">
        <f t="shared" ca="1" si="27"/>
        <v>982966219</v>
      </c>
      <c r="P176" t="str" cm="1">
        <f t="array" aca="1" ref="P176" ca="1">9 &amp; INDEX($AH$3:$AH$6,Y176)&amp; TEXT(RANDBETWEEN(0,9999999),"0000000")</f>
        <v>968164360</v>
      </c>
      <c r="Q176" t="str" cm="1">
        <f t="array" aca="1" ref="Q176" ca="1">LOWER(B176) &amp; INDEX($AH$9:$AH$11,Z176)</f>
        <v>med175@hospital.upskill.com</v>
      </c>
      <c r="R176" t="str">
        <f t="shared" si="28"/>
        <v>med175.jpg</v>
      </c>
      <c r="S176" s="8">
        <f t="shared" ca="1" si="29"/>
        <v>6830883759233884</v>
      </c>
      <c r="T176" t="s">
        <v>341</v>
      </c>
      <c r="V176" s="4"/>
      <c r="X176">
        <f ca="1">RANDBETWEEN(2,COUNTA(rua_cod!A:A))</f>
        <v>29</v>
      </c>
      <c r="Y176">
        <f t="shared" ca="1" si="30"/>
        <v>4</v>
      </c>
      <c r="Z176">
        <f t="shared" ca="1" si="31"/>
        <v>3</v>
      </c>
      <c r="AA176">
        <f t="shared" ca="1" si="32"/>
        <v>1952</v>
      </c>
      <c r="AB176">
        <f t="shared" ca="1" si="33"/>
        <v>4</v>
      </c>
      <c r="AC176">
        <f t="shared" ca="1" si="34"/>
        <v>14</v>
      </c>
      <c r="AD176">
        <f t="shared" ca="1" si="35"/>
        <v>68</v>
      </c>
    </row>
    <row r="177" spans="1:30" x14ac:dyDescent="0.25">
      <c r="A177">
        <v>176</v>
      </c>
      <c r="B177" t="str">
        <f t="shared" si="24"/>
        <v>med176</v>
      </c>
      <c r="C177" t="str">
        <f t="shared" si="25"/>
        <v>pswmed176</v>
      </c>
      <c r="D177" t="str">
        <f ca="1">Nomes!T178</f>
        <v>Beatriz Matilde Almeida Moreira</v>
      </c>
      <c r="E177" t="str">
        <f ca="1">Nomes!S178</f>
        <v>Feminino</v>
      </c>
      <c r="F177" s="2">
        <v>36076</v>
      </c>
      <c r="G177" t="str" cm="1">
        <f t="array" aca="1" ref="G177" ca="1">INDEX(rua_cod!$F:$F,RANDBETWEEN(2,COUNTA(rua_cod!F:F)))</f>
        <v>Estrada das Laranjeiras</v>
      </c>
      <c r="H177" t="str" cm="1">
        <f t="array" aca="1" ref="H177" ca="1">INDEX(rua_cod!$A:$A,Médicos!X177) &amp; "-" &amp; TEXT(RANDBETWEEN(0,999),"000")</f>
        <v>1849-164</v>
      </c>
      <c r="I177" t="str" cm="1">
        <f t="array" aca="1" ref="I177" ca="1">INDEX(rua_cod!$B:$B,Médicos!X177)</f>
        <v>Lisboa</v>
      </c>
      <c r="J177" t="s">
        <v>341</v>
      </c>
      <c r="K177" t="s">
        <v>225</v>
      </c>
      <c r="L177" t="s">
        <v>265</v>
      </c>
      <c r="M177" t="str">
        <f t="shared" ca="1" si="26"/>
        <v>70803595</v>
      </c>
      <c r="N177" t="str">
        <f t="shared" ca="1" si="27"/>
        <v>488856300</v>
      </c>
      <c r="O177" t="str">
        <f t="shared" ca="1" si="27"/>
        <v>500270178</v>
      </c>
      <c r="P177" t="str" cm="1">
        <f t="array" aca="1" ref="P177" ca="1">9 &amp; INDEX($AH$3:$AH$6,Y177)&amp; TEXT(RANDBETWEEN(0,9999999),"0000000")</f>
        <v>925772602</v>
      </c>
      <c r="Q177" t="str" cm="1">
        <f t="array" aca="1" ref="Q177" ca="1">LOWER(B177) &amp; INDEX($AH$9:$AH$11,Z177)</f>
        <v>med176@hospital.upskill.com</v>
      </c>
      <c r="R177" t="str">
        <f t="shared" si="28"/>
        <v>med176.jpg</v>
      </c>
      <c r="S177" s="8">
        <f t="shared" ca="1" si="29"/>
        <v>1696099111353623</v>
      </c>
      <c r="T177" t="s">
        <v>341</v>
      </c>
      <c r="V177" s="4"/>
      <c r="X177">
        <f ca="1">RANDBETWEEN(2,COUNTA(rua_cod!A:A))</f>
        <v>64</v>
      </c>
      <c r="Y177">
        <f t="shared" ca="1" si="30"/>
        <v>2</v>
      </c>
      <c r="Z177">
        <f t="shared" ca="1" si="31"/>
        <v>2</v>
      </c>
      <c r="AA177">
        <f t="shared" ca="1" si="32"/>
        <v>1963</v>
      </c>
      <c r="AB177">
        <f t="shared" ca="1" si="33"/>
        <v>2</v>
      </c>
      <c r="AC177">
        <f t="shared" ca="1" si="34"/>
        <v>15</v>
      </c>
      <c r="AD177">
        <f t="shared" ca="1" si="35"/>
        <v>57</v>
      </c>
    </row>
    <row r="178" spans="1:30" x14ac:dyDescent="0.25">
      <c r="A178">
        <v>177</v>
      </c>
      <c r="B178" t="str">
        <f t="shared" si="24"/>
        <v>med177</v>
      </c>
      <c r="C178" t="str">
        <f t="shared" si="25"/>
        <v>pswmed177</v>
      </c>
      <c r="D178" t="str">
        <f ca="1">Nomes!T179</f>
        <v>Francisco Rodrigo Ramos Mendes</v>
      </c>
      <c r="E178" t="str">
        <f ca="1">Nomes!S179</f>
        <v>Masculino</v>
      </c>
      <c r="F178" s="2">
        <v>25872</v>
      </c>
      <c r="G178" t="str" cm="1">
        <f t="array" aca="1" ref="G178" ca="1">INDEX(rua_cod!$F:$F,RANDBETWEEN(2,COUNTA(rua_cod!F:F)))</f>
        <v>Rua Ferreira Lapa</v>
      </c>
      <c r="H178" t="str" cm="1">
        <f t="array" aca="1" ref="H178" ca="1">INDEX(rua_cod!$A:$A,Médicos!X178) &amp; "-" &amp; TEXT(RANDBETWEEN(0,999),"000")</f>
        <v>2350-593</v>
      </c>
      <c r="I178" t="str" cm="1">
        <f t="array" aca="1" ref="I178" ca="1">INDEX(rua_cod!$B:$B,Médicos!X178)</f>
        <v>Torres Novas</v>
      </c>
      <c r="J178" t="s">
        <v>341</v>
      </c>
      <c r="K178" t="s">
        <v>225</v>
      </c>
      <c r="L178" t="s">
        <v>265</v>
      </c>
      <c r="M178" t="str">
        <f t="shared" ca="1" si="26"/>
        <v>69894714</v>
      </c>
      <c r="N178" t="str">
        <f t="shared" ca="1" si="27"/>
        <v>756208348</v>
      </c>
      <c r="O178" t="str">
        <f t="shared" ca="1" si="27"/>
        <v>753405917</v>
      </c>
      <c r="P178" t="str" cm="1">
        <f t="array" aca="1" ref="P178" ca="1">9 &amp; INDEX($AH$3:$AH$6,Y178)&amp; TEXT(RANDBETWEEN(0,9999999),"0000000")</f>
        <v>928293880</v>
      </c>
      <c r="Q178" t="str" cm="1">
        <f t="array" aca="1" ref="Q178" ca="1">LOWER(B178) &amp; INDEX($AH$9:$AH$11,Z178)</f>
        <v>med177@hospital.upskill.com</v>
      </c>
      <c r="R178" t="str">
        <f t="shared" si="28"/>
        <v>med177.jpg</v>
      </c>
      <c r="S178" s="8">
        <f t="shared" ca="1" si="29"/>
        <v>6528021183923063</v>
      </c>
      <c r="T178" t="s">
        <v>341</v>
      </c>
      <c r="V178" s="4"/>
      <c r="X178">
        <f ca="1">RANDBETWEEN(2,COUNTA(rua_cod!A:A))</f>
        <v>103</v>
      </c>
      <c r="Y178">
        <f t="shared" ca="1" si="30"/>
        <v>2</v>
      </c>
      <c r="Z178">
        <f t="shared" ca="1" si="31"/>
        <v>3</v>
      </c>
      <c r="AA178">
        <f t="shared" ca="1" si="32"/>
        <v>1979</v>
      </c>
      <c r="AB178">
        <f t="shared" ca="1" si="33"/>
        <v>1</v>
      </c>
      <c r="AC178">
        <f t="shared" ca="1" si="34"/>
        <v>26</v>
      </c>
      <c r="AD178">
        <f t="shared" ca="1" si="35"/>
        <v>41</v>
      </c>
    </row>
    <row r="179" spans="1:30" x14ac:dyDescent="0.25">
      <c r="A179">
        <v>178</v>
      </c>
      <c r="B179" t="str">
        <f t="shared" si="24"/>
        <v>med178</v>
      </c>
      <c r="C179" t="str">
        <f t="shared" si="25"/>
        <v>pswmed178</v>
      </c>
      <c r="D179" t="str">
        <f ca="1">Nomes!T180</f>
        <v>Beatriz Daniela Gomes Pereira</v>
      </c>
      <c r="E179" t="str">
        <f ca="1">Nomes!S180</f>
        <v>Feminino</v>
      </c>
      <c r="F179" s="2">
        <v>30608</v>
      </c>
      <c r="G179" t="str" cm="1">
        <f t="array" aca="1" ref="G179" ca="1">INDEX(rua_cod!$F:$F,RANDBETWEEN(2,COUNTA(rua_cod!F:F)))</f>
        <v>Rua da Oliveira ao Carmo</v>
      </c>
      <c r="H179" t="str" cm="1">
        <f t="array" aca="1" ref="H179" ca="1">INDEX(rua_cod!$A:$A,Médicos!X179) &amp; "-" &amp; TEXT(RANDBETWEEN(0,999),"000")</f>
        <v>2805-555</v>
      </c>
      <c r="I179" t="str" cm="1">
        <f t="array" aca="1" ref="I179" ca="1">INDEX(rua_cod!$B:$B,Médicos!X179)</f>
        <v>Almada</v>
      </c>
      <c r="J179" t="s">
        <v>341</v>
      </c>
      <c r="K179" t="s">
        <v>225</v>
      </c>
      <c r="L179" t="s">
        <v>265</v>
      </c>
      <c r="M179" t="str">
        <f t="shared" ca="1" si="26"/>
        <v>91270149</v>
      </c>
      <c r="N179" t="str">
        <f t="shared" ca="1" si="27"/>
        <v>230039391</v>
      </c>
      <c r="O179" t="str">
        <f t="shared" ca="1" si="27"/>
        <v>136257320</v>
      </c>
      <c r="P179" t="str" cm="1">
        <f t="array" aca="1" ref="P179" ca="1">9 &amp; INDEX($AH$3:$AH$6,Y179)&amp; TEXT(RANDBETWEEN(0,9999999),"0000000")</f>
        <v>962810055</v>
      </c>
      <c r="Q179" t="str" cm="1">
        <f t="array" aca="1" ref="Q179" ca="1">LOWER(B179) &amp; INDEX($AH$9:$AH$11,Z179)</f>
        <v>med178@hospital.upskill.com</v>
      </c>
      <c r="R179" t="str">
        <f t="shared" si="28"/>
        <v>med178.jpg</v>
      </c>
      <c r="S179" s="8">
        <f t="shared" ca="1" si="29"/>
        <v>9979473918492564</v>
      </c>
      <c r="T179" t="s">
        <v>341</v>
      </c>
      <c r="V179" s="4"/>
      <c r="X179">
        <f ca="1">RANDBETWEEN(2,COUNTA(rua_cod!A:A))</f>
        <v>4</v>
      </c>
      <c r="Y179">
        <f t="shared" ca="1" si="30"/>
        <v>4</v>
      </c>
      <c r="Z179">
        <f t="shared" ca="1" si="31"/>
        <v>3</v>
      </c>
      <c r="AA179">
        <f t="shared" ca="1" si="32"/>
        <v>1984</v>
      </c>
      <c r="AB179">
        <f t="shared" ca="1" si="33"/>
        <v>3</v>
      </c>
      <c r="AC179">
        <f t="shared" ca="1" si="34"/>
        <v>27</v>
      </c>
      <c r="AD179">
        <f t="shared" ca="1" si="35"/>
        <v>36</v>
      </c>
    </row>
    <row r="180" spans="1:30" x14ac:dyDescent="0.25">
      <c r="A180">
        <v>179</v>
      </c>
      <c r="B180" t="str">
        <f t="shared" si="24"/>
        <v>med179</v>
      </c>
      <c r="C180" t="str">
        <f t="shared" si="25"/>
        <v>pswmed179</v>
      </c>
      <c r="D180" t="str">
        <f ca="1">Nomes!T181</f>
        <v>Carolina Carolina Loureiro Henriques</v>
      </c>
      <c r="E180" t="str">
        <f ca="1">Nomes!S181</f>
        <v>Feminino</v>
      </c>
      <c r="F180" s="2">
        <v>22927</v>
      </c>
      <c r="G180" t="str" cm="1">
        <f t="array" aca="1" ref="G180" ca="1">INDEX(rua_cod!$F:$F,RANDBETWEEN(2,COUNTA(rua_cod!F:F)))</f>
        <v>Rua do Sacramento à Lapa</v>
      </c>
      <c r="H180" t="str" cm="1">
        <f t="array" aca="1" ref="H180" ca="1">INDEX(rua_cod!$A:$A,Médicos!X180) &amp; "-" &amp; TEXT(RANDBETWEEN(0,999),"000")</f>
        <v>2300-013</v>
      </c>
      <c r="I180" t="str" cm="1">
        <f t="array" aca="1" ref="I180" ca="1">INDEX(rua_cod!$B:$B,Médicos!X180)</f>
        <v>Tomar</v>
      </c>
      <c r="J180" t="s">
        <v>341</v>
      </c>
      <c r="K180" t="s">
        <v>225</v>
      </c>
      <c r="L180" t="s">
        <v>265</v>
      </c>
      <c r="M180" t="str">
        <f t="shared" ca="1" si="26"/>
        <v>47627325</v>
      </c>
      <c r="N180" t="str">
        <f t="shared" ca="1" si="27"/>
        <v>789794800</v>
      </c>
      <c r="O180" t="str">
        <f t="shared" ca="1" si="27"/>
        <v>893767858</v>
      </c>
      <c r="P180" t="str" cm="1">
        <f t="array" aca="1" ref="P180" ca="1">9 &amp; INDEX($AH$3:$AH$6,Y180)&amp; TEXT(RANDBETWEEN(0,9999999),"0000000")</f>
        <v>937910223</v>
      </c>
      <c r="Q180" t="str" cm="1">
        <f t="array" aca="1" ref="Q180" ca="1">LOWER(B180) &amp; INDEX($AH$9:$AH$11,Z180)</f>
        <v>med179@hospital.upskill.com</v>
      </c>
      <c r="R180" t="str">
        <f t="shared" si="28"/>
        <v>med179.jpg</v>
      </c>
      <c r="S180" s="8">
        <f t="shared" ca="1" si="29"/>
        <v>4066019514122492</v>
      </c>
      <c r="T180" t="s">
        <v>341</v>
      </c>
      <c r="V180" s="4"/>
      <c r="X180">
        <f ca="1">RANDBETWEEN(2,COUNTA(rua_cod!A:A))</f>
        <v>102</v>
      </c>
      <c r="Y180">
        <f t="shared" ca="1" si="30"/>
        <v>3</v>
      </c>
      <c r="Z180">
        <f t="shared" ca="1" si="31"/>
        <v>3</v>
      </c>
      <c r="AA180">
        <f t="shared" ca="1" si="32"/>
        <v>1977</v>
      </c>
      <c r="AB180">
        <f t="shared" ca="1" si="33"/>
        <v>9</v>
      </c>
      <c r="AC180">
        <f t="shared" ca="1" si="34"/>
        <v>29</v>
      </c>
      <c r="AD180">
        <f t="shared" ca="1" si="35"/>
        <v>43</v>
      </c>
    </row>
    <row r="181" spans="1:30" x14ac:dyDescent="0.25">
      <c r="A181">
        <v>180</v>
      </c>
      <c r="B181" t="str">
        <f t="shared" si="24"/>
        <v>med180</v>
      </c>
      <c r="C181" t="str">
        <f t="shared" si="25"/>
        <v>pswmed180</v>
      </c>
      <c r="D181" t="str">
        <f ca="1">Nomes!T182</f>
        <v>Bruno Diana Loureiro Gaspar</v>
      </c>
      <c r="E181" t="str">
        <f ca="1">Nomes!S182</f>
        <v>Masculino</v>
      </c>
      <c r="F181" s="2">
        <v>42761</v>
      </c>
      <c r="G181" t="str" cm="1">
        <f t="array" aca="1" ref="G181" ca="1">INDEX(rua_cod!$F:$F,RANDBETWEEN(2,COUNTA(rua_cod!F:F)))</f>
        <v>Rua Roberto Duarte Silva</v>
      </c>
      <c r="H181" t="str" cm="1">
        <f t="array" aca="1" ref="H181" ca="1">INDEX(rua_cod!$A:$A,Médicos!X181) &amp; "-" &amp; TEXT(RANDBETWEEN(0,999),"000")</f>
        <v>2809-269</v>
      </c>
      <c r="I181" t="str" cm="1">
        <f t="array" aca="1" ref="I181" ca="1">INDEX(rua_cod!$B:$B,Médicos!X181)</f>
        <v>Almada</v>
      </c>
      <c r="J181" t="s">
        <v>341</v>
      </c>
      <c r="K181" t="s">
        <v>225</v>
      </c>
      <c r="L181" t="s">
        <v>265</v>
      </c>
      <c r="M181" t="str">
        <f t="shared" ca="1" si="26"/>
        <v>66281224</v>
      </c>
      <c r="N181" t="str">
        <f t="shared" ca="1" si="27"/>
        <v>598646985</v>
      </c>
      <c r="O181" t="str">
        <f t="shared" ca="1" si="27"/>
        <v>902580540</v>
      </c>
      <c r="P181" t="str" cm="1">
        <f t="array" aca="1" ref="P181" ca="1">9 &amp; INDEX($AH$3:$AH$6,Y181)&amp; TEXT(RANDBETWEEN(0,9999999),"0000000")</f>
        <v>914987559</v>
      </c>
      <c r="Q181" t="str" cm="1">
        <f t="array" aca="1" ref="Q181" ca="1">LOWER(B181) &amp; INDEX($AH$9:$AH$11,Z181)</f>
        <v>med180@hospital.upskill.com</v>
      </c>
      <c r="R181" t="str">
        <f t="shared" si="28"/>
        <v>med180.jpg</v>
      </c>
      <c r="S181" s="8">
        <f t="shared" ca="1" si="29"/>
        <v>3928721175659024</v>
      </c>
      <c r="T181" t="s">
        <v>341</v>
      </c>
      <c r="V181" s="4"/>
      <c r="X181">
        <f ca="1">RANDBETWEEN(2,COUNTA(rua_cod!A:A))</f>
        <v>5</v>
      </c>
      <c r="Y181">
        <f t="shared" ca="1" si="30"/>
        <v>1</v>
      </c>
      <c r="Z181">
        <f t="shared" ca="1" si="31"/>
        <v>2</v>
      </c>
      <c r="AA181">
        <f t="shared" ca="1" si="32"/>
        <v>1988</v>
      </c>
      <c r="AB181">
        <f t="shared" ca="1" si="33"/>
        <v>1</v>
      </c>
      <c r="AC181">
        <f t="shared" ca="1" si="34"/>
        <v>8</v>
      </c>
      <c r="AD181">
        <f t="shared" ca="1" si="35"/>
        <v>32</v>
      </c>
    </row>
    <row r="182" spans="1:30" x14ac:dyDescent="0.25">
      <c r="A182">
        <v>181</v>
      </c>
      <c r="B182" t="str">
        <f t="shared" si="24"/>
        <v>med181</v>
      </c>
      <c r="C182" t="str">
        <f t="shared" si="25"/>
        <v>pswmed181</v>
      </c>
      <c r="D182" t="str">
        <f ca="1">Nomes!T183</f>
        <v>Matilde Bruno Anjos Neto</v>
      </c>
      <c r="E182" t="str">
        <f ca="1">Nomes!S183</f>
        <v>Feminino</v>
      </c>
      <c r="F182" s="2">
        <v>13720</v>
      </c>
      <c r="G182" t="str" cm="1">
        <f t="array" aca="1" ref="G182" ca="1">INDEX(rua_cod!$F:$F,RANDBETWEEN(2,COUNTA(rua_cod!F:F)))</f>
        <v>Calçada do Poço dos Mouros</v>
      </c>
      <c r="H182" t="str" cm="1">
        <f t="array" aca="1" ref="H182" ca="1">INDEX(rua_cod!$A:$A,Médicos!X182) &amp; "-" &amp; TEXT(RANDBETWEEN(0,999),"000")</f>
        <v>2914-523</v>
      </c>
      <c r="I182" t="str" cm="1">
        <f t="array" aca="1" ref="I182" ca="1">INDEX(rua_cod!$B:$B,Médicos!X182)</f>
        <v>Setúbal</v>
      </c>
      <c r="J182" t="s">
        <v>341</v>
      </c>
      <c r="K182" t="s">
        <v>225</v>
      </c>
      <c r="L182" t="s">
        <v>265</v>
      </c>
      <c r="M182" t="str">
        <f t="shared" ca="1" si="26"/>
        <v>24771202</v>
      </c>
      <c r="N182" t="str">
        <f t="shared" ca="1" si="27"/>
        <v>608521562</v>
      </c>
      <c r="O182" t="str">
        <f t="shared" ca="1" si="27"/>
        <v>320977693</v>
      </c>
      <c r="P182" t="str" cm="1">
        <f t="array" aca="1" ref="P182" ca="1">9 &amp; INDEX($AH$3:$AH$6,Y182)&amp; TEXT(RANDBETWEEN(0,9999999),"0000000")</f>
        <v>925625961</v>
      </c>
      <c r="Q182" t="str" cm="1">
        <f t="array" aca="1" ref="Q182" ca="1">LOWER(B182) &amp; INDEX($AH$9:$AH$11,Z182)</f>
        <v>med181@hospital.upskill.com</v>
      </c>
      <c r="R182" t="str">
        <f t="shared" si="28"/>
        <v>med181.jpg</v>
      </c>
      <c r="S182" s="8">
        <f t="shared" ca="1" si="29"/>
        <v>6008914178095440</v>
      </c>
      <c r="T182" t="s">
        <v>341</v>
      </c>
      <c r="V182" s="4"/>
      <c r="X182">
        <f ca="1">RANDBETWEEN(2,COUNTA(rua_cod!A:A))</f>
        <v>98</v>
      </c>
      <c r="Y182">
        <f t="shared" ca="1" si="30"/>
        <v>2</v>
      </c>
      <c r="Z182">
        <f t="shared" ca="1" si="31"/>
        <v>1</v>
      </c>
      <c r="AA182">
        <f t="shared" ca="1" si="32"/>
        <v>1956</v>
      </c>
      <c r="AB182">
        <f t="shared" ca="1" si="33"/>
        <v>1</v>
      </c>
      <c r="AC182">
        <f t="shared" ca="1" si="34"/>
        <v>3</v>
      </c>
      <c r="AD182">
        <f t="shared" ca="1" si="35"/>
        <v>64</v>
      </c>
    </row>
    <row r="183" spans="1:30" x14ac:dyDescent="0.25">
      <c r="A183">
        <v>182</v>
      </c>
      <c r="B183" t="str">
        <f t="shared" si="24"/>
        <v>med182</v>
      </c>
      <c r="C183" t="str">
        <f t="shared" si="25"/>
        <v>pswmed182</v>
      </c>
      <c r="D183" t="str">
        <f ca="1">Nomes!T184</f>
        <v>Catarina Rodrigo Pereira Azevedo</v>
      </c>
      <c r="E183" t="str">
        <f ca="1">Nomes!S184</f>
        <v>Feminino</v>
      </c>
      <c r="F183" s="2">
        <v>31325</v>
      </c>
      <c r="G183" t="str" cm="1">
        <f t="array" aca="1" ref="G183" ca="1">INDEX(rua_cod!$F:$F,RANDBETWEEN(2,COUNTA(rua_cod!F:F)))</f>
        <v>Rua do Arsenal</v>
      </c>
      <c r="H183" t="str" cm="1">
        <f t="array" aca="1" ref="H183" ca="1">INDEX(rua_cod!$A:$A,Médicos!X183) &amp; "-" &amp; TEXT(RANDBETWEEN(0,999),"000")</f>
        <v>2410-372</v>
      </c>
      <c r="I183" t="str" cm="1">
        <f t="array" aca="1" ref="I183" ca="1">INDEX(rua_cod!$B:$B,Médicos!X183)</f>
        <v>Leiria</v>
      </c>
      <c r="J183" t="s">
        <v>341</v>
      </c>
      <c r="K183" t="s">
        <v>225</v>
      </c>
      <c r="L183" t="s">
        <v>265</v>
      </c>
      <c r="M183" t="str">
        <f t="shared" ca="1" si="26"/>
        <v>44807516</v>
      </c>
      <c r="N183" t="str">
        <f t="shared" ca="1" si="27"/>
        <v>940813966</v>
      </c>
      <c r="O183" t="str">
        <f t="shared" ca="1" si="27"/>
        <v>610462444</v>
      </c>
      <c r="P183" t="str" cm="1">
        <f t="array" aca="1" ref="P183" ca="1">9 &amp; INDEX($AH$3:$AH$6,Y183)&amp; TEXT(RANDBETWEEN(0,9999999),"0000000")</f>
        <v>966154142</v>
      </c>
      <c r="Q183" t="str" cm="1">
        <f t="array" aca="1" ref="Q183" ca="1">LOWER(B183) &amp; INDEX($AH$9:$AH$11,Z183)</f>
        <v>med182@hospital.upskill.com</v>
      </c>
      <c r="R183" t="str">
        <f t="shared" si="28"/>
        <v>med182.jpg</v>
      </c>
      <c r="S183" s="8">
        <f t="shared" ca="1" si="29"/>
        <v>9045534365502676</v>
      </c>
      <c r="T183" t="s">
        <v>341</v>
      </c>
      <c r="V183" s="4"/>
      <c r="X183">
        <f ca="1">RANDBETWEEN(2,COUNTA(rua_cod!A:A))</f>
        <v>34</v>
      </c>
      <c r="Y183">
        <f t="shared" ca="1" si="30"/>
        <v>4</v>
      </c>
      <c r="Z183">
        <f t="shared" ca="1" si="31"/>
        <v>3</v>
      </c>
      <c r="AA183">
        <f t="shared" ca="1" si="32"/>
        <v>1989</v>
      </c>
      <c r="AB183">
        <f t="shared" ca="1" si="33"/>
        <v>6</v>
      </c>
      <c r="AC183">
        <f t="shared" ca="1" si="34"/>
        <v>22</v>
      </c>
      <c r="AD183">
        <f t="shared" ca="1" si="35"/>
        <v>31</v>
      </c>
    </row>
    <row r="184" spans="1:30" x14ac:dyDescent="0.25">
      <c r="A184">
        <v>183</v>
      </c>
      <c r="B184" t="str">
        <f t="shared" si="24"/>
        <v>med183</v>
      </c>
      <c r="C184" t="str">
        <f t="shared" si="25"/>
        <v>pswmed183</v>
      </c>
      <c r="D184" t="str">
        <f ca="1">Nomes!T185</f>
        <v>André Marco Tavares Batista</v>
      </c>
      <c r="E184" t="str">
        <f ca="1">Nomes!S185</f>
        <v>Masculino</v>
      </c>
      <c r="F184" s="2">
        <v>21600</v>
      </c>
      <c r="G184" t="str" cm="1">
        <f t="array" aca="1" ref="G184" ca="1">INDEX(rua_cod!$F:$F,RANDBETWEEN(2,COUNTA(rua_cod!F:F)))</f>
        <v>Rua dos Fanqueiros</v>
      </c>
      <c r="H184" t="str" cm="1">
        <f t="array" aca="1" ref="H184" ca="1">INDEX(rua_cod!$A:$A,Médicos!X184) &amp; "-" &amp; TEXT(RANDBETWEEN(0,999),"000")</f>
        <v>1949-869</v>
      </c>
      <c r="I184" t="str" cm="1">
        <f t="array" aca="1" ref="I184" ca="1">INDEX(rua_cod!$B:$B,Médicos!X184)</f>
        <v>Lisboa</v>
      </c>
      <c r="J184" t="s">
        <v>341</v>
      </c>
      <c r="K184" t="s">
        <v>225</v>
      </c>
      <c r="L184" t="s">
        <v>265</v>
      </c>
      <c r="M184" t="str">
        <f t="shared" ca="1" si="26"/>
        <v>71051125</v>
      </c>
      <c r="N184" t="str">
        <f t="shared" ca="1" si="27"/>
        <v>491949156</v>
      </c>
      <c r="O184" t="str">
        <f t="shared" ca="1" si="27"/>
        <v>818657254</v>
      </c>
      <c r="P184" t="str" cm="1">
        <f t="array" aca="1" ref="P184" ca="1">9 &amp; INDEX($AH$3:$AH$6,Y184)&amp; TEXT(RANDBETWEEN(0,9999999),"0000000")</f>
        <v>923385686</v>
      </c>
      <c r="Q184" t="str" cm="1">
        <f t="array" aca="1" ref="Q184" ca="1">LOWER(B184) &amp; INDEX($AH$9:$AH$11,Z184)</f>
        <v>med183@hospital.upskill.com</v>
      </c>
      <c r="R184" t="str">
        <f t="shared" si="28"/>
        <v>med183.jpg</v>
      </c>
      <c r="S184" s="8">
        <f t="shared" ca="1" si="29"/>
        <v>4638227674351759</v>
      </c>
      <c r="T184" t="s">
        <v>341</v>
      </c>
      <c r="V184" s="4"/>
      <c r="X184">
        <f ca="1">RANDBETWEEN(2,COUNTA(rua_cod!A:A))</f>
        <v>45</v>
      </c>
      <c r="Y184">
        <f t="shared" ca="1" si="30"/>
        <v>2</v>
      </c>
      <c r="Z184">
        <f t="shared" ca="1" si="31"/>
        <v>1</v>
      </c>
      <c r="AA184">
        <f t="shared" ca="1" si="32"/>
        <v>1953</v>
      </c>
      <c r="AB184">
        <f t="shared" ca="1" si="33"/>
        <v>2</v>
      </c>
      <c r="AC184">
        <f t="shared" ca="1" si="34"/>
        <v>3</v>
      </c>
      <c r="AD184">
        <f t="shared" ca="1" si="35"/>
        <v>67</v>
      </c>
    </row>
    <row r="185" spans="1:30" x14ac:dyDescent="0.25">
      <c r="A185">
        <v>184</v>
      </c>
      <c r="B185" t="str">
        <f t="shared" si="24"/>
        <v>med184</v>
      </c>
      <c r="C185" t="str">
        <f t="shared" si="25"/>
        <v>pswmed184</v>
      </c>
      <c r="D185" t="str">
        <f ca="1">Nomes!T186</f>
        <v>Vera Tomás Gonçalves Faria</v>
      </c>
      <c r="E185" t="str">
        <f ca="1">Nomes!S186</f>
        <v>Feminino</v>
      </c>
      <c r="F185" s="2">
        <v>42111</v>
      </c>
      <c r="G185" t="str" cm="1">
        <f t="array" aca="1" ref="G185" ca="1">INDEX(rua_cod!$F:$F,RANDBETWEEN(2,COUNTA(rua_cod!F:F)))</f>
        <v>Rua do Arsenal</v>
      </c>
      <c r="H185" t="str" cm="1">
        <f t="array" aca="1" ref="H185" ca="1">INDEX(rua_cod!$A:$A,Médicos!X185) &amp; "-" &amp; TEXT(RANDBETWEEN(0,999),"000")</f>
        <v>2650-727</v>
      </c>
      <c r="I185" t="str" cm="1">
        <f t="array" aca="1" ref="I185" ca="1">INDEX(rua_cod!$B:$B,Médicos!X185)</f>
        <v>Amadora</v>
      </c>
      <c r="J185" t="s">
        <v>341</v>
      </c>
      <c r="K185" t="s">
        <v>225</v>
      </c>
      <c r="L185" t="s">
        <v>265</v>
      </c>
      <c r="M185" t="str">
        <f t="shared" ca="1" si="26"/>
        <v>26414203</v>
      </c>
      <c r="N185" t="str">
        <f t="shared" ca="1" si="27"/>
        <v>560420997</v>
      </c>
      <c r="O185" t="str">
        <f t="shared" ca="1" si="27"/>
        <v>849922297</v>
      </c>
      <c r="P185" t="str" cm="1">
        <f t="array" aca="1" ref="P185" ca="1">9 &amp; INDEX($AH$3:$AH$6,Y185)&amp; TEXT(RANDBETWEEN(0,9999999),"0000000")</f>
        <v>935306333</v>
      </c>
      <c r="Q185" t="str" cm="1">
        <f t="array" aca="1" ref="Q185" ca="1">LOWER(B185) &amp; INDEX($AH$9:$AH$11,Z185)</f>
        <v>med184@hospital.upskill.com</v>
      </c>
      <c r="R185" t="str">
        <f t="shared" si="28"/>
        <v>med184.jpg</v>
      </c>
      <c r="S185" s="8">
        <f t="shared" ca="1" si="29"/>
        <v>3791460906085022</v>
      </c>
      <c r="T185" t="s">
        <v>341</v>
      </c>
      <c r="V185" s="4"/>
      <c r="X185">
        <f ca="1">RANDBETWEEN(2,COUNTA(rua_cod!A:A))</f>
        <v>9</v>
      </c>
      <c r="Y185">
        <f t="shared" ca="1" si="30"/>
        <v>3</v>
      </c>
      <c r="Z185">
        <f t="shared" ca="1" si="31"/>
        <v>3</v>
      </c>
      <c r="AA185">
        <f t="shared" ca="1" si="32"/>
        <v>1950</v>
      </c>
      <c r="AB185">
        <f t="shared" ca="1" si="33"/>
        <v>9</v>
      </c>
      <c r="AC185">
        <f t="shared" ca="1" si="34"/>
        <v>16</v>
      </c>
      <c r="AD185">
        <f t="shared" ca="1" si="35"/>
        <v>70</v>
      </c>
    </row>
    <row r="186" spans="1:30" x14ac:dyDescent="0.25">
      <c r="A186">
        <v>185</v>
      </c>
      <c r="B186" t="str">
        <f t="shared" si="24"/>
        <v>med185</v>
      </c>
      <c r="C186" t="str">
        <f t="shared" si="25"/>
        <v>pswmed185</v>
      </c>
      <c r="D186" t="str">
        <f ca="1">Nomes!T187</f>
        <v>Tomás Ricardo Correia Guerreiro</v>
      </c>
      <c r="E186" t="str">
        <f ca="1">Nomes!S187</f>
        <v>Masculino</v>
      </c>
      <c r="F186" s="2">
        <v>30832</v>
      </c>
      <c r="G186" t="str" cm="1">
        <f t="array" aca="1" ref="G186" ca="1">INDEX(rua_cod!$F:$F,RANDBETWEEN(2,COUNTA(rua_cod!F:F)))</f>
        <v>Calçada de Carriche</v>
      </c>
      <c r="H186" t="str" cm="1">
        <f t="array" aca="1" ref="H186" ca="1">INDEX(rua_cod!$A:$A,Médicos!X186) &amp; "-" &amp; TEXT(RANDBETWEEN(0,999),"000")</f>
        <v>2814-307</v>
      </c>
      <c r="I186" t="str" cm="1">
        <f t="array" aca="1" ref="I186" ca="1">INDEX(rua_cod!$B:$B,Médicos!X186)</f>
        <v>Almada</v>
      </c>
      <c r="J186" t="s">
        <v>341</v>
      </c>
      <c r="K186" t="s">
        <v>225</v>
      </c>
      <c r="L186" t="s">
        <v>265</v>
      </c>
      <c r="M186" t="str">
        <f t="shared" ca="1" si="26"/>
        <v>29946248</v>
      </c>
      <c r="N186" t="str">
        <f t="shared" ca="1" si="27"/>
        <v>721322792</v>
      </c>
      <c r="O186" t="str">
        <f t="shared" ca="1" si="27"/>
        <v>389647829</v>
      </c>
      <c r="P186" t="str" cm="1">
        <f t="array" aca="1" ref="P186" ca="1">9 &amp; INDEX($AH$3:$AH$6,Y186)&amp; TEXT(RANDBETWEEN(0,9999999),"0000000")</f>
        <v>916850918</v>
      </c>
      <c r="Q186" t="str" cm="1">
        <f t="array" aca="1" ref="Q186" ca="1">LOWER(B186) &amp; INDEX($AH$9:$AH$11,Z186)</f>
        <v>med185@hospital.upskill.com</v>
      </c>
      <c r="R186" t="str">
        <f t="shared" si="28"/>
        <v>med185.jpg</v>
      </c>
      <c r="S186" s="8">
        <f t="shared" ca="1" si="29"/>
        <v>6080048524047191</v>
      </c>
      <c r="T186" t="s">
        <v>341</v>
      </c>
      <c r="V186" s="4"/>
      <c r="X186">
        <f ca="1">RANDBETWEEN(2,COUNTA(rua_cod!A:A))</f>
        <v>6</v>
      </c>
      <c r="Y186">
        <f t="shared" ca="1" si="30"/>
        <v>1</v>
      </c>
      <c r="Z186">
        <f t="shared" ca="1" si="31"/>
        <v>3</v>
      </c>
      <c r="AA186">
        <f t="shared" ca="1" si="32"/>
        <v>1990</v>
      </c>
      <c r="AB186">
        <f t="shared" ca="1" si="33"/>
        <v>8</v>
      </c>
      <c r="AC186">
        <f t="shared" ca="1" si="34"/>
        <v>11</v>
      </c>
      <c r="AD186">
        <f t="shared" ca="1" si="35"/>
        <v>30</v>
      </c>
    </row>
    <row r="187" spans="1:30" x14ac:dyDescent="0.25">
      <c r="A187">
        <v>186</v>
      </c>
      <c r="B187" t="str">
        <f t="shared" si="24"/>
        <v>med186</v>
      </c>
      <c r="C187" t="str">
        <f t="shared" si="25"/>
        <v>pswmed186</v>
      </c>
      <c r="D187" t="str">
        <f ca="1">Nomes!T188</f>
        <v>Inês Sofia Barbosa Matias</v>
      </c>
      <c r="E187" t="str">
        <f ca="1">Nomes!S188</f>
        <v>Feminino</v>
      </c>
      <c r="F187" s="2">
        <v>39033</v>
      </c>
      <c r="G187" t="str" cm="1">
        <f t="array" aca="1" ref="G187" ca="1">INDEX(rua_cod!$F:$F,RANDBETWEEN(2,COUNTA(rua_cod!F:F)))</f>
        <v>Rua dos Heróis de Quionga</v>
      </c>
      <c r="H187" t="str" cm="1">
        <f t="array" aca="1" ref="H187" ca="1">INDEX(rua_cod!$A:$A,Médicos!X187) &amp; "-" &amp; TEXT(RANDBETWEEN(0,999),"000")</f>
        <v>1998-407</v>
      </c>
      <c r="I187" t="str" cm="1">
        <f t="array" aca="1" ref="I187" ca="1">INDEX(rua_cod!$B:$B,Médicos!X187)</f>
        <v>Lisboa</v>
      </c>
      <c r="J187" t="s">
        <v>341</v>
      </c>
      <c r="K187" t="s">
        <v>225</v>
      </c>
      <c r="L187" t="s">
        <v>265</v>
      </c>
      <c r="M187" t="str">
        <f t="shared" ca="1" si="26"/>
        <v>17061640</v>
      </c>
      <c r="N187" t="str">
        <f t="shared" ca="1" si="27"/>
        <v>339269159</v>
      </c>
      <c r="O187" t="str">
        <f t="shared" ca="1" si="27"/>
        <v>563554191</v>
      </c>
      <c r="P187" t="str" cm="1">
        <f t="array" aca="1" ref="P187" ca="1">9 &amp; INDEX($AH$3:$AH$6,Y187)&amp; TEXT(RANDBETWEEN(0,9999999),"0000000")</f>
        <v>932461522</v>
      </c>
      <c r="Q187" t="str" cm="1">
        <f t="array" aca="1" ref="Q187" ca="1">LOWER(B187) &amp; INDEX($AH$9:$AH$11,Z187)</f>
        <v>med186@hospital.upskill.com</v>
      </c>
      <c r="R187" t="str">
        <f t="shared" si="28"/>
        <v>med186.jpg</v>
      </c>
      <c r="S187" s="8">
        <f t="shared" ca="1" si="29"/>
        <v>1414812025449266</v>
      </c>
      <c r="T187" t="s">
        <v>341</v>
      </c>
      <c r="V187" s="4"/>
      <c r="X187">
        <f ca="1">RANDBETWEEN(2,COUNTA(rua_cod!A:A))</f>
        <v>78</v>
      </c>
      <c r="Y187">
        <f t="shared" ca="1" si="30"/>
        <v>3</v>
      </c>
      <c r="Z187">
        <f t="shared" ca="1" si="31"/>
        <v>3</v>
      </c>
      <c r="AA187">
        <f t="shared" ca="1" si="32"/>
        <v>1966</v>
      </c>
      <c r="AB187">
        <f t="shared" ca="1" si="33"/>
        <v>7</v>
      </c>
      <c r="AC187">
        <f t="shared" ca="1" si="34"/>
        <v>11</v>
      </c>
      <c r="AD187">
        <f t="shared" ca="1" si="35"/>
        <v>54</v>
      </c>
    </row>
    <row r="188" spans="1:30" x14ac:dyDescent="0.25">
      <c r="A188">
        <v>187</v>
      </c>
      <c r="B188" t="str">
        <f t="shared" si="24"/>
        <v>med187</v>
      </c>
      <c r="C188" t="str">
        <f t="shared" si="25"/>
        <v>pswmed187</v>
      </c>
      <c r="D188" t="str">
        <f ca="1">Nomes!T189</f>
        <v>Lara Francisca Moreira Assunção</v>
      </c>
      <c r="E188" t="str">
        <f ca="1">Nomes!S189</f>
        <v>Feminino</v>
      </c>
      <c r="F188" s="2">
        <v>27447</v>
      </c>
      <c r="G188" t="str" cm="1">
        <f t="array" aca="1" ref="G188" ca="1">INDEX(rua_cod!$F:$F,RANDBETWEEN(2,COUNTA(rua_cod!F:F)))</f>
        <v>Rua do Instituto Bacteriológico</v>
      </c>
      <c r="H188" t="str" cm="1">
        <f t="array" aca="1" ref="H188" ca="1">INDEX(rua_cod!$A:$A,Médicos!X188) &amp; "-" &amp; TEXT(RANDBETWEEN(0,999),"000")</f>
        <v>2780-063</v>
      </c>
      <c r="I188" t="str" cm="1">
        <f t="array" aca="1" ref="I188" ca="1">INDEX(rua_cod!$B:$B,Médicos!X188)</f>
        <v>Oeiras</v>
      </c>
      <c r="J188" t="s">
        <v>341</v>
      </c>
      <c r="K188" t="s">
        <v>225</v>
      </c>
      <c r="L188" t="s">
        <v>265</v>
      </c>
      <c r="M188" t="str">
        <f t="shared" ca="1" si="26"/>
        <v>26497179</v>
      </c>
      <c r="N188" t="str">
        <f t="shared" ca="1" si="27"/>
        <v>208465824</v>
      </c>
      <c r="O188" t="str">
        <f t="shared" ca="1" si="27"/>
        <v>743715268</v>
      </c>
      <c r="P188" t="str" cm="1">
        <f t="array" aca="1" ref="P188" ca="1">9 &amp; INDEX($AH$3:$AH$6,Y188)&amp; TEXT(RANDBETWEEN(0,9999999),"0000000")</f>
        <v>966709218</v>
      </c>
      <c r="Q188" t="str" cm="1">
        <f t="array" aca="1" ref="Q188" ca="1">LOWER(B188) &amp; INDEX($AH$9:$AH$11,Z188)</f>
        <v>med187@hospital.upskill.com</v>
      </c>
      <c r="R188" t="str">
        <f t="shared" si="28"/>
        <v>med187.jpg</v>
      </c>
      <c r="S188" s="8">
        <f t="shared" ca="1" si="29"/>
        <v>5765883062149894</v>
      </c>
      <c r="T188" t="s">
        <v>341</v>
      </c>
      <c r="V188" s="4"/>
      <c r="X188">
        <f ca="1">RANDBETWEEN(2,COUNTA(rua_cod!A:A))</f>
        <v>88</v>
      </c>
      <c r="Y188">
        <f t="shared" ca="1" si="30"/>
        <v>4</v>
      </c>
      <c r="Z188">
        <f t="shared" ca="1" si="31"/>
        <v>1</v>
      </c>
      <c r="AA188">
        <f t="shared" ca="1" si="32"/>
        <v>1986</v>
      </c>
      <c r="AB188">
        <f t="shared" ca="1" si="33"/>
        <v>4</v>
      </c>
      <c r="AC188">
        <f t="shared" ca="1" si="34"/>
        <v>15</v>
      </c>
      <c r="AD188">
        <f t="shared" ca="1" si="35"/>
        <v>34</v>
      </c>
    </row>
    <row r="189" spans="1:30" x14ac:dyDescent="0.25">
      <c r="A189">
        <v>188</v>
      </c>
      <c r="B189" t="str">
        <f t="shared" si="24"/>
        <v>med188</v>
      </c>
      <c r="C189" t="str">
        <f t="shared" si="25"/>
        <v>pswmed188</v>
      </c>
      <c r="D189" t="str">
        <f ca="1">Nomes!T190</f>
        <v>Duarte Ana Pacheco Barros</v>
      </c>
      <c r="E189" t="str">
        <f ca="1">Nomes!S190</f>
        <v>Masculino</v>
      </c>
      <c r="F189" s="2">
        <v>19510</v>
      </c>
      <c r="G189" t="str" cm="1">
        <f t="array" aca="1" ref="G189" ca="1">INDEX(rua_cod!$F:$F,RANDBETWEEN(2,COUNTA(rua_cod!F:F)))</f>
        <v>Rua da Junqueira</v>
      </c>
      <c r="H189" t="str" cm="1">
        <f t="array" aca="1" ref="H189" ca="1">INDEX(rua_cod!$A:$A,Médicos!X189) &amp; "-" &amp; TEXT(RANDBETWEEN(0,999),"000")</f>
        <v>2420-909</v>
      </c>
      <c r="I189" t="str" cm="1">
        <f t="array" aca="1" ref="I189" ca="1">INDEX(rua_cod!$B:$B,Médicos!X189)</f>
        <v>Leiria</v>
      </c>
      <c r="J189" t="s">
        <v>341</v>
      </c>
      <c r="K189" t="s">
        <v>225</v>
      </c>
      <c r="L189" t="s">
        <v>265</v>
      </c>
      <c r="M189" t="str">
        <f t="shared" ca="1" si="26"/>
        <v>88069803</v>
      </c>
      <c r="N189" t="str">
        <f t="shared" ca="1" si="27"/>
        <v>219085825</v>
      </c>
      <c r="O189" t="str">
        <f t="shared" ca="1" si="27"/>
        <v>272519012</v>
      </c>
      <c r="P189" t="str" cm="1">
        <f t="array" aca="1" ref="P189" ca="1">9 &amp; INDEX($AH$3:$AH$6,Y189)&amp; TEXT(RANDBETWEEN(0,9999999),"0000000")</f>
        <v>925349350</v>
      </c>
      <c r="Q189" t="str" cm="1">
        <f t="array" aca="1" ref="Q189" ca="1">LOWER(B189) &amp; INDEX($AH$9:$AH$11,Z189)</f>
        <v>med188@hospital.upskill.com</v>
      </c>
      <c r="R189" t="str">
        <f t="shared" si="28"/>
        <v>med188.jpg</v>
      </c>
      <c r="S189" s="8">
        <f t="shared" ca="1" si="29"/>
        <v>6282887353036541</v>
      </c>
      <c r="T189" t="s">
        <v>341</v>
      </c>
      <c r="V189" s="4"/>
      <c r="X189">
        <f ca="1">RANDBETWEEN(2,COUNTA(rua_cod!A:A))</f>
        <v>33</v>
      </c>
      <c r="Y189">
        <f t="shared" ca="1" si="30"/>
        <v>2</v>
      </c>
      <c r="Z189">
        <f t="shared" ca="1" si="31"/>
        <v>3</v>
      </c>
      <c r="AA189">
        <f t="shared" ca="1" si="32"/>
        <v>1960</v>
      </c>
      <c r="AB189">
        <f t="shared" ca="1" si="33"/>
        <v>3</v>
      </c>
      <c r="AC189">
        <f t="shared" ca="1" si="34"/>
        <v>6</v>
      </c>
      <c r="AD189">
        <f t="shared" ca="1" si="35"/>
        <v>60</v>
      </c>
    </row>
    <row r="190" spans="1:30" x14ac:dyDescent="0.25">
      <c r="A190">
        <v>189</v>
      </c>
      <c r="B190" t="str">
        <f t="shared" si="24"/>
        <v>med189</v>
      </c>
      <c r="C190" t="str">
        <f t="shared" si="25"/>
        <v>pswmed189</v>
      </c>
      <c r="D190" t="str">
        <f ca="1">Nomes!T191</f>
        <v>Daniela Sara Ramos Torres</v>
      </c>
      <c r="E190" t="str">
        <f ca="1">Nomes!S191</f>
        <v>Feminino</v>
      </c>
      <c r="F190" s="2">
        <v>35493</v>
      </c>
      <c r="G190" t="str" cm="1">
        <f t="array" aca="1" ref="G190" ca="1">INDEX(rua_cod!$F:$F,RANDBETWEEN(2,COUNTA(rua_cod!F:F)))</f>
        <v>Rua da Betesga</v>
      </c>
      <c r="H190" t="str" cm="1">
        <f t="array" aca="1" ref="H190" ca="1">INDEX(rua_cod!$A:$A,Médicos!X190) &amp; "-" &amp; TEXT(RANDBETWEEN(0,999),"000")</f>
        <v>2910-430</v>
      </c>
      <c r="I190" t="str" cm="1">
        <f t="array" aca="1" ref="I190" ca="1">INDEX(rua_cod!$B:$B,Médicos!X190)</f>
        <v>Setúbal</v>
      </c>
      <c r="J190" t="s">
        <v>341</v>
      </c>
      <c r="K190" t="s">
        <v>225</v>
      </c>
      <c r="L190" t="s">
        <v>265</v>
      </c>
      <c r="M190" t="str">
        <f t="shared" ca="1" si="26"/>
        <v>71345575</v>
      </c>
      <c r="N190" t="str">
        <f t="shared" ca="1" si="27"/>
        <v>127256429</v>
      </c>
      <c r="O190" t="str">
        <f t="shared" ca="1" si="27"/>
        <v>583711325</v>
      </c>
      <c r="P190" t="str" cm="1">
        <f t="array" aca="1" ref="P190" ca="1">9 &amp; INDEX($AH$3:$AH$6,Y190)&amp; TEXT(RANDBETWEEN(0,9999999),"0000000")</f>
        <v>962643416</v>
      </c>
      <c r="Q190" t="str" cm="1">
        <f t="array" aca="1" ref="Q190" ca="1">LOWER(B190) &amp; INDEX($AH$9:$AH$11,Z190)</f>
        <v>med189@hospital.upskill.com</v>
      </c>
      <c r="R190" t="str">
        <f t="shared" si="28"/>
        <v>med189.jpg</v>
      </c>
      <c r="S190" s="8">
        <f t="shared" ca="1" si="29"/>
        <v>2797577290207933</v>
      </c>
      <c r="T190" t="s">
        <v>341</v>
      </c>
      <c r="V190" s="4"/>
      <c r="X190">
        <f ca="1">RANDBETWEEN(2,COUNTA(rua_cod!A:A))</f>
        <v>97</v>
      </c>
      <c r="Y190">
        <f t="shared" ca="1" si="30"/>
        <v>4</v>
      </c>
      <c r="Z190">
        <f t="shared" ca="1" si="31"/>
        <v>2</v>
      </c>
      <c r="AA190">
        <f t="shared" ca="1" si="32"/>
        <v>1980</v>
      </c>
      <c r="AB190">
        <f t="shared" ca="1" si="33"/>
        <v>1</v>
      </c>
      <c r="AC190">
        <f t="shared" ca="1" si="34"/>
        <v>19</v>
      </c>
      <c r="AD190">
        <f t="shared" ca="1" si="35"/>
        <v>40</v>
      </c>
    </row>
    <row r="191" spans="1:30" x14ac:dyDescent="0.25">
      <c r="A191">
        <v>190</v>
      </c>
      <c r="B191" t="str">
        <f t="shared" si="24"/>
        <v>med190</v>
      </c>
      <c r="C191" t="str">
        <f t="shared" si="25"/>
        <v>pswmed190</v>
      </c>
      <c r="D191" t="str">
        <f ca="1">Nomes!T192</f>
        <v>Ana Santiago Faria Cunha</v>
      </c>
      <c r="E191" t="str">
        <f ca="1">Nomes!S192</f>
        <v>Feminino</v>
      </c>
      <c r="F191" s="2">
        <v>40749</v>
      </c>
      <c r="G191" t="str" cm="1">
        <f t="array" aca="1" ref="G191" ca="1">INDEX(rua_cod!$F:$F,RANDBETWEEN(2,COUNTA(rua_cod!F:F)))</f>
        <v>Rua do Arsenal</v>
      </c>
      <c r="H191" t="str" cm="1">
        <f t="array" aca="1" ref="H191" ca="1">INDEX(rua_cod!$A:$A,Médicos!X191) &amp; "-" &amp; TEXT(RANDBETWEEN(0,999),"000")</f>
        <v>2830-471</v>
      </c>
      <c r="I191" t="str" cm="1">
        <f t="array" aca="1" ref="I191" ca="1">INDEX(rua_cod!$B:$B,Médicos!X191)</f>
        <v>Barreiro</v>
      </c>
      <c r="J191" t="s">
        <v>341</v>
      </c>
      <c r="K191" t="s">
        <v>225</v>
      </c>
      <c r="L191" t="s">
        <v>265</v>
      </c>
      <c r="M191" t="str">
        <f t="shared" ca="1" si="26"/>
        <v>87081356</v>
      </c>
      <c r="N191" t="str">
        <f t="shared" ca="1" si="27"/>
        <v>199531861</v>
      </c>
      <c r="O191" t="str">
        <f t="shared" ca="1" si="27"/>
        <v>977169877</v>
      </c>
      <c r="P191" t="str" cm="1">
        <f t="array" aca="1" ref="P191" ca="1">9 &amp; INDEX($AH$3:$AH$6,Y191)&amp; TEXT(RANDBETWEEN(0,9999999),"0000000")</f>
        <v>964193757</v>
      </c>
      <c r="Q191" t="str" cm="1">
        <f t="array" aca="1" ref="Q191" ca="1">LOWER(B191) &amp; INDEX($AH$9:$AH$11,Z191)</f>
        <v>med190@hospital.upskill.com</v>
      </c>
      <c r="R191" t="str">
        <f t="shared" si="28"/>
        <v>med190.jpg</v>
      </c>
      <c r="S191" s="8">
        <f t="shared" ca="1" si="29"/>
        <v>4915941077627117</v>
      </c>
      <c r="T191" t="s">
        <v>341</v>
      </c>
      <c r="V191" s="4"/>
      <c r="X191">
        <f ca="1">RANDBETWEEN(2,COUNTA(rua_cod!A:A))</f>
        <v>16</v>
      </c>
      <c r="Y191">
        <f t="shared" ca="1" si="30"/>
        <v>4</v>
      </c>
      <c r="Z191">
        <f t="shared" ca="1" si="31"/>
        <v>1</v>
      </c>
      <c r="AA191">
        <f t="shared" ca="1" si="32"/>
        <v>1961</v>
      </c>
      <c r="AB191">
        <f t="shared" ca="1" si="33"/>
        <v>9</v>
      </c>
      <c r="AC191">
        <f t="shared" ca="1" si="34"/>
        <v>30</v>
      </c>
      <c r="AD191">
        <f t="shared" ca="1" si="35"/>
        <v>59</v>
      </c>
    </row>
    <row r="192" spans="1:30" x14ac:dyDescent="0.25">
      <c r="A192">
        <v>191</v>
      </c>
      <c r="B192" t="str">
        <f t="shared" si="24"/>
        <v>med191</v>
      </c>
      <c r="C192" t="str">
        <f t="shared" si="25"/>
        <v>pswmed191</v>
      </c>
      <c r="D192" t="str">
        <f ca="1">Nomes!T193</f>
        <v>André Miguel Guerreiro Neves</v>
      </c>
      <c r="E192" t="str">
        <f ca="1">Nomes!S193</f>
        <v>Masculino</v>
      </c>
      <c r="F192" s="2">
        <v>14252</v>
      </c>
      <c r="G192" t="str" cm="1">
        <f t="array" aca="1" ref="G192" ca="1">INDEX(rua_cod!$F:$F,RANDBETWEEN(2,COUNTA(rua_cod!F:F)))</f>
        <v>Calçada do Moinho de Vento</v>
      </c>
      <c r="H192" t="str" cm="1">
        <f t="array" aca="1" ref="H192" ca="1">INDEX(rua_cod!$A:$A,Médicos!X192) &amp; "-" &amp; TEXT(RANDBETWEEN(0,999),"000")</f>
        <v>1399-390</v>
      </c>
      <c r="I192" t="str" cm="1">
        <f t="array" aca="1" ref="I192" ca="1">INDEX(rua_cod!$B:$B,Médicos!X192)</f>
        <v>Lisboa</v>
      </c>
      <c r="J192" t="s">
        <v>341</v>
      </c>
      <c r="K192" t="s">
        <v>225</v>
      </c>
      <c r="L192" t="s">
        <v>265</v>
      </c>
      <c r="M192" t="str">
        <f t="shared" ca="1" si="26"/>
        <v>50423947</v>
      </c>
      <c r="N192" t="str">
        <f t="shared" ca="1" si="27"/>
        <v>318227233</v>
      </c>
      <c r="O192" t="str">
        <f t="shared" ca="1" si="27"/>
        <v>508570385</v>
      </c>
      <c r="P192" t="str" cm="1">
        <f t="array" aca="1" ref="P192" ca="1">9 &amp; INDEX($AH$3:$AH$6,Y192)&amp; TEXT(RANDBETWEEN(0,9999999),"0000000")</f>
        <v>916432496</v>
      </c>
      <c r="Q192" t="str" cm="1">
        <f t="array" aca="1" ref="Q192" ca="1">LOWER(B192) &amp; INDEX($AH$9:$AH$11,Z192)</f>
        <v>med191@hospital.upskill.com</v>
      </c>
      <c r="R192" t="str">
        <f t="shared" si="28"/>
        <v>med191.jpg</v>
      </c>
      <c r="S192" s="8">
        <f t="shared" ca="1" si="29"/>
        <v>2340684411843617</v>
      </c>
      <c r="T192" t="s">
        <v>341</v>
      </c>
      <c r="V192" s="4"/>
      <c r="X192">
        <f ca="1">RANDBETWEEN(2,COUNTA(rua_cod!A:A))</f>
        <v>55</v>
      </c>
      <c r="Y192">
        <f t="shared" ca="1" si="30"/>
        <v>1</v>
      </c>
      <c r="Z192">
        <f t="shared" ca="1" si="31"/>
        <v>1</v>
      </c>
      <c r="AA192">
        <f t="shared" ca="1" si="32"/>
        <v>1988</v>
      </c>
      <c r="AB192">
        <f t="shared" ca="1" si="33"/>
        <v>10</v>
      </c>
      <c r="AC192">
        <f t="shared" ca="1" si="34"/>
        <v>28</v>
      </c>
      <c r="AD192">
        <f t="shared" ca="1" si="35"/>
        <v>32</v>
      </c>
    </row>
    <row r="193" spans="1:30" x14ac:dyDescent="0.25">
      <c r="A193">
        <v>192</v>
      </c>
      <c r="B193" t="str">
        <f t="shared" si="24"/>
        <v>med192</v>
      </c>
      <c r="C193" t="str">
        <f t="shared" si="25"/>
        <v>pswmed192</v>
      </c>
      <c r="D193" t="str">
        <f ca="1">Nomes!T194</f>
        <v>Catarina José Vieira Lima</v>
      </c>
      <c r="E193" t="str">
        <f ca="1">Nomes!S194</f>
        <v>Feminino</v>
      </c>
      <c r="F193" s="2">
        <v>31720</v>
      </c>
      <c r="G193" t="str" cm="1">
        <f t="array" aca="1" ref="G193" ca="1">INDEX(rua_cod!$F:$F,RANDBETWEEN(2,COUNTA(rua_cod!F:F)))</f>
        <v>Rua da Alfândega</v>
      </c>
      <c r="H193" t="str" cm="1">
        <f t="array" aca="1" ref="H193" ca="1">INDEX(rua_cod!$A:$A,Médicos!X193) &amp; "-" &amp; TEXT(RANDBETWEEN(0,999),"000")</f>
        <v>2650-465</v>
      </c>
      <c r="I193" t="str" cm="1">
        <f t="array" aca="1" ref="I193" ca="1">INDEX(rua_cod!$B:$B,Médicos!X193)</f>
        <v>Amadora</v>
      </c>
      <c r="J193" t="s">
        <v>341</v>
      </c>
      <c r="K193" t="s">
        <v>225</v>
      </c>
      <c r="L193" t="s">
        <v>265</v>
      </c>
      <c r="M193" t="str">
        <f t="shared" ca="1" si="26"/>
        <v>24916866</v>
      </c>
      <c r="N193" t="str">
        <f t="shared" ca="1" si="27"/>
        <v>474641744</v>
      </c>
      <c r="O193" t="str">
        <f t="shared" ca="1" si="27"/>
        <v>719149837</v>
      </c>
      <c r="P193" t="str" cm="1">
        <f t="array" aca="1" ref="P193" ca="1">9 &amp; INDEX($AH$3:$AH$6,Y193)&amp; TEXT(RANDBETWEEN(0,9999999),"0000000")</f>
        <v>936367565</v>
      </c>
      <c r="Q193" t="str" cm="1">
        <f t="array" aca="1" ref="Q193" ca="1">LOWER(B193) &amp; INDEX($AH$9:$AH$11,Z193)</f>
        <v>med192@hospital.upskill.com</v>
      </c>
      <c r="R193" t="str">
        <f t="shared" si="28"/>
        <v>med192.jpg</v>
      </c>
      <c r="S193" s="8">
        <f t="shared" ca="1" si="29"/>
        <v>4690257663127388</v>
      </c>
      <c r="T193" t="s">
        <v>341</v>
      </c>
      <c r="V193" s="4"/>
      <c r="X193">
        <f ca="1">RANDBETWEEN(2,COUNTA(rua_cod!A:A))</f>
        <v>9</v>
      </c>
      <c r="Y193">
        <f t="shared" ca="1" si="30"/>
        <v>3</v>
      </c>
      <c r="Z193">
        <f t="shared" ca="1" si="31"/>
        <v>3</v>
      </c>
      <c r="AA193">
        <f t="shared" ca="1" si="32"/>
        <v>1992</v>
      </c>
      <c r="AB193">
        <f t="shared" ca="1" si="33"/>
        <v>12</v>
      </c>
      <c r="AC193">
        <f t="shared" ca="1" si="34"/>
        <v>25</v>
      </c>
      <c r="AD193">
        <f t="shared" ca="1" si="35"/>
        <v>28</v>
      </c>
    </row>
    <row r="194" spans="1:30" x14ac:dyDescent="0.25">
      <c r="A194">
        <v>193</v>
      </c>
      <c r="B194" t="str">
        <f t="shared" si="24"/>
        <v>med193</v>
      </c>
      <c r="C194" t="str">
        <f t="shared" si="25"/>
        <v>pswmed193</v>
      </c>
      <c r="D194" t="str">
        <f ca="1">Nomes!T195</f>
        <v>Catarina Sara Gonçalves Barros</v>
      </c>
      <c r="E194" t="str">
        <f ca="1">Nomes!S195</f>
        <v>Feminino</v>
      </c>
      <c r="F194" s="2">
        <v>32584</v>
      </c>
      <c r="G194" t="str" cm="1">
        <f t="array" aca="1" ref="G194" ca="1">INDEX(rua_cod!$F:$F,RANDBETWEEN(2,COUNTA(rua_cod!F:F)))</f>
        <v>Rua Ferreira Lapa</v>
      </c>
      <c r="H194" t="str" cm="1">
        <f t="array" aca="1" ref="H194" ca="1">INDEX(rua_cod!$A:$A,Médicos!X194) &amp; "-" &amp; TEXT(RANDBETWEEN(0,999),"000")</f>
        <v>1099-425</v>
      </c>
      <c r="I194" t="str" cm="1">
        <f t="array" aca="1" ref="I194" ca="1">INDEX(rua_cod!$B:$B,Médicos!X194)</f>
        <v>Lisboa</v>
      </c>
      <c r="J194" t="s">
        <v>341</v>
      </c>
      <c r="K194" t="s">
        <v>225</v>
      </c>
      <c r="L194" t="s">
        <v>265</v>
      </c>
      <c r="M194" t="str">
        <f t="shared" ca="1" si="26"/>
        <v>86980259</v>
      </c>
      <c r="N194" t="str">
        <f t="shared" ca="1" si="27"/>
        <v>620593208</v>
      </c>
      <c r="O194" t="str">
        <f t="shared" ca="1" si="27"/>
        <v>607170015</v>
      </c>
      <c r="P194" t="str" cm="1">
        <f t="array" aca="1" ref="P194" ca="1">9 &amp; INDEX($AH$3:$AH$6,Y194)&amp; TEXT(RANDBETWEEN(0,9999999),"0000000")</f>
        <v>926151790</v>
      </c>
      <c r="Q194" t="str" cm="1">
        <f t="array" aca="1" ref="Q194" ca="1">LOWER(B194) &amp; INDEX($AH$9:$AH$11,Z194)</f>
        <v>med193@hospital.upskill.com</v>
      </c>
      <c r="R194" t="str">
        <f t="shared" si="28"/>
        <v>med193.jpg</v>
      </c>
      <c r="S194" s="8">
        <f t="shared" ca="1" si="29"/>
        <v>6107610465580331</v>
      </c>
      <c r="T194" t="s">
        <v>341</v>
      </c>
      <c r="V194" s="4"/>
      <c r="X194">
        <f ca="1">RANDBETWEEN(2,COUNTA(rua_cod!A:A))</f>
        <v>53</v>
      </c>
      <c r="Y194">
        <f t="shared" ca="1" si="30"/>
        <v>2</v>
      </c>
      <c r="Z194">
        <f t="shared" ca="1" si="31"/>
        <v>2</v>
      </c>
      <c r="AA194">
        <f t="shared" ca="1" si="32"/>
        <v>1958</v>
      </c>
      <c r="AB194">
        <f t="shared" ca="1" si="33"/>
        <v>3</v>
      </c>
      <c r="AC194">
        <f t="shared" ca="1" si="34"/>
        <v>13</v>
      </c>
      <c r="AD194">
        <f t="shared" ca="1" si="35"/>
        <v>62</v>
      </c>
    </row>
    <row r="195" spans="1:30" x14ac:dyDescent="0.25">
      <c r="A195">
        <v>194</v>
      </c>
      <c r="B195" t="str">
        <f t="shared" ref="B195:B199" si="36">"med" &amp; TEXT(A195,"000")</f>
        <v>med194</v>
      </c>
      <c r="C195" t="str">
        <f t="shared" ref="C195:C199" si="37">"psw" &amp; B195</f>
        <v>pswmed194</v>
      </c>
      <c r="D195" t="str">
        <f ca="1">Nomes!T196</f>
        <v>Sara Martim Raposo Nunes</v>
      </c>
      <c r="E195" t="str">
        <f ca="1">Nomes!S196</f>
        <v>Feminino</v>
      </c>
      <c r="F195" s="2">
        <v>23808</v>
      </c>
      <c r="G195" t="str" cm="1">
        <f t="array" aca="1" ref="G195" ca="1">INDEX(rua_cod!$F:$F,RANDBETWEEN(2,COUNTA(rua_cod!F:F)))</f>
        <v>Rua da Oliveira ao Carmo</v>
      </c>
      <c r="H195" t="str" cm="1">
        <f t="array" aca="1" ref="H195" ca="1">INDEX(rua_cod!$A:$A,Médicos!X195) &amp; "-" &amp; TEXT(RANDBETWEEN(0,999),"000")</f>
        <v>2904-861</v>
      </c>
      <c r="I195" t="str" cm="1">
        <f t="array" aca="1" ref="I195" ca="1">INDEX(rua_cod!$B:$B,Médicos!X195)</f>
        <v>Setúbal</v>
      </c>
      <c r="J195" t="s">
        <v>341</v>
      </c>
      <c r="K195" t="s">
        <v>225</v>
      </c>
      <c r="L195" t="s">
        <v>265</v>
      </c>
      <c r="M195" t="str">
        <f t="shared" ref="M195:M199" ca="1" si="38">TEXT(RANDBETWEEN(10000000,99999999),"00000000")</f>
        <v>61099477</v>
      </c>
      <c r="N195" t="str">
        <f t="shared" ref="N195:O199" ca="1" si="39">TEXT(RANDBETWEEN(100000000,999999999),"000000000")</f>
        <v>192016409</v>
      </c>
      <c r="O195" t="str">
        <f t="shared" ca="1" si="39"/>
        <v>801971748</v>
      </c>
      <c r="P195" t="str" cm="1">
        <f t="array" aca="1" ref="P195" ca="1">9 &amp; INDEX($AH$3:$AH$6,Y195)&amp; TEXT(RANDBETWEEN(0,9999999),"0000000")</f>
        <v>961180280</v>
      </c>
      <c r="Q195" t="str" cm="1">
        <f t="array" aca="1" ref="Q195" ca="1">LOWER(B195) &amp; INDEX($AH$9:$AH$11,Z195)</f>
        <v>med194@hospital.upskill.com</v>
      </c>
      <c r="R195" t="str">
        <f t="shared" ref="R195:R199" si="40">B195 &amp; ".jpg"</f>
        <v>med194.jpg</v>
      </c>
      <c r="S195" s="8">
        <f t="shared" ref="S195:S199" ca="1" si="41" xml:space="preserve"> RANDBETWEEN(1000000000000000,9999999999999990)</f>
        <v>3115525036921165</v>
      </c>
      <c r="T195" t="s">
        <v>341</v>
      </c>
      <c r="V195" s="4"/>
      <c r="X195">
        <f ca="1">RANDBETWEEN(2,COUNTA(rua_cod!A:A))</f>
        <v>99</v>
      </c>
      <c r="Y195">
        <f t="shared" ref="Y195:Y199" ca="1" si="42">RANDBETWEEN(1,4)</f>
        <v>4</v>
      </c>
      <c r="Z195">
        <f t="shared" ref="Z195:Z199" ca="1" si="43">RANDBETWEEN(1,3)</f>
        <v>2</v>
      </c>
      <c r="AA195">
        <f t="shared" ref="AA195:AA199" ca="1" si="44">RANDBETWEEN(1950,1994)</f>
        <v>1976</v>
      </c>
      <c r="AB195">
        <f t="shared" ref="AB195:AB199" ca="1" si="45">RANDBETWEEN(1,12)</f>
        <v>5</v>
      </c>
      <c r="AC195">
        <f t="shared" ref="AC195:AC199" ca="1" si="46">RANDBETWEEN(1,31)</f>
        <v>21</v>
      </c>
      <c r="AD195">
        <f t="shared" ref="AD195:AD199" ca="1" si="47">2020-AA195</f>
        <v>44</v>
      </c>
    </row>
    <row r="196" spans="1:30" x14ac:dyDescent="0.25">
      <c r="A196">
        <v>195</v>
      </c>
      <c r="B196" t="str">
        <f t="shared" si="36"/>
        <v>med195</v>
      </c>
      <c r="C196" t="str">
        <f t="shared" si="37"/>
        <v>pswmed195</v>
      </c>
      <c r="D196" t="str">
        <f ca="1">Nomes!T197</f>
        <v>José Santiago Cardoso Santos</v>
      </c>
      <c r="E196" t="str">
        <f ca="1">Nomes!S197</f>
        <v>Masculino</v>
      </c>
      <c r="F196" s="2">
        <v>38168</v>
      </c>
      <c r="G196" t="str" cm="1">
        <f t="array" aca="1" ref="G196" ca="1">INDEX(rua_cod!$F:$F,RANDBETWEEN(2,COUNTA(rua_cod!F:F)))</f>
        <v>Calçada do Moinho de Vento</v>
      </c>
      <c r="H196" t="str" cm="1">
        <f t="array" aca="1" ref="H196" ca="1">INDEX(rua_cod!$A:$A,Médicos!X196) &amp; "-" &amp; TEXT(RANDBETWEEN(0,999),"000")</f>
        <v>2809-487</v>
      </c>
      <c r="I196" t="str" cm="1">
        <f t="array" aca="1" ref="I196" ca="1">INDEX(rua_cod!$B:$B,Médicos!X196)</f>
        <v>Almada</v>
      </c>
      <c r="J196" t="s">
        <v>341</v>
      </c>
      <c r="K196" t="s">
        <v>225</v>
      </c>
      <c r="L196" t="s">
        <v>265</v>
      </c>
      <c r="M196" t="str">
        <f t="shared" ca="1" si="38"/>
        <v>96990032</v>
      </c>
      <c r="N196" t="str">
        <f t="shared" ca="1" si="39"/>
        <v>980984989</v>
      </c>
      <c r="O196" t="str">
        <f t="shared" ca="1" si="39"/>
        <v>488911245</v>
      </c>
      <c r="P196" t="str" cm="1">
        <f t="array" aca="1" ref="P196" ca="1">9 &amp; INDEX($AH$3:$AH$6,Y196)&amp; TEXT(RANDBETWEEN(0,9999999),"0000000")</f>
        <v>939923456</v>
      </c>
      <c r="Q196" t="str" cm="1">
        <f t="array" aca="1" ref="Q196" ca="1">LOWER(B196) &amp; INDEX($AH$9:$AH$11,Z196)</f>
        <v>med195@hospital.upskill.com</v>
      </c>
      <c r="R196" t="str">
        <f t="shared" si="40"/>
        <v>med195.jpg</v>
      </c>
      <c r="S196" s="8">
        <f t="shared" ca="1" si="41"/>
        <v>3328573838269056</v>
      </c>
      <c r="T196" t="s">
        <v>341</v>
      </c>
      <c r="V196" s="4"/>
      <c r="X196">
        <f ca="1">RANDBETWEEN(2,COUNTA(rua_cod!A:A))</f>
        <v>5</v>
      </c>
      <c r="Y196">
        <f t="shared" ca="1" si="42"/>
        <v>3</v>
      </c>
      <c r="Z196">
        <f t="shared" ca="1" si="43"/>
        <v>1</v>
      </c>
      <c r="AA196">
        <f t="shared" ca="1" si="44"/>
        <v>1973</v>
      </c>
      <c r="AB196">
        <f t="shared" ca="1" si="45"/>
        <v>4</v>
      </c>
      <c r="AC196">
        <f t="shared" ca="1" si="46"/>
        <v>3</v>
      </c>
      <c r="AD196">
        <f t="shared" ca="1" si="47"/>
        <v>47</v>
      </c>
    </row>
    <row r="197" spans="1:30" x14ac:dyDescent="0.25">
      <c r="A197">
        <v>196</v>
      </c>
      <c r="B197" t="str">
        <f t="shared" si="36"/>
        <v>med196</v>
      </c>
      <c r="C197" t="str">
        <f t="shared" si="37"/>
        <v>pswmed196</v>
      </c>
      <c r="D197" t="str">
        <f ca="1">Nomes!T198</f>
        <v>Lurdes Beatriz Machado Miranda</v>
      </c>
      <c r="E197" t="str">
        <f ca="1">Nomes!S198</f>
        <v>Feminino</v>
      </c>
      <c r="F197" s="2">
        <v>44443</v>
      </c>
      <c r="G197" t="str" cm="1">
        <f t="array" aca="1" ref="G197" ca="1">INDEX(rua_cod!$F:$F,RANDBETWEEN(2,COUNTA(rua_cod!F:F)))</f>
        <v>Rua da Prata</v>
      </c>
      <c r="H197" t="str" cm="1">
        <f t="array" aca="1" ref="H197" ca="1">INDEX(rua_cod!$A:$A,Médicos!X197) &amp; "-" &amp; TEXT(RANDBETWEEN(0,999),"000")</f>
        <v>1950-842</v>
      </c>
      <c r="I197" t="str" cm="1">
        <f t="array" aca="1" ref="I197" ca="1">INDEX(rua_cod!$B:$B,Médicos!X197)</f>
        <v>Lisboa</v>
      </c>
      <c r="J197" t="s">
        <v>341</v>
      </c>
      <c r="K197" t="s">
        <v>225</v>
      </c>
      <c r="L197" t="s">
        <v>265</v>
      </c>
      <c r="M197" t="str">
        <f t="shared" ca="1" si="38"/>
        <v>54701942</v>
      </c>
      <c r="N197" t="str">
        <f t="shared" ca="1" si="39"/>
        <v>809229730</v>
      </c>
      <c r="O197" t="str">
        <f t="shared" ca="1" si="39"/>
        <v>171607635</v>
      </c>
      <c r="P197" t="str" cm="1">
        <f t="array" aca="1" ref="P197" ca="1">9 &amp; INDEX($AH$3:$AH$6,Y197)&amp; TEXT(RANDBETWEEN(0,9999999),"0000000")</f>
        <v>914902572</v>
      </c>
      <c r="Q197" t="str" cm="1">
        <f t="array" aca="1" ref="Q197" ca="1">LOWER(B197) &amp; INDEX($AH$9:$AH$11,Z197)</f>
        <v>med196@hospital.upskill.com</v>
      </c>
      <c r="R197" t="str">
        <f t="shared" si="40"/>
        <v>med196.jpg</v>
      </c>
      <c r="S197" s="8">
        <f t="shared" ca="1" si="41"/>
        <v>6365869140040318</v>
      </c>
      <c r="T197" t="s">
        <v>341</v>
      </c>
      <c r="V197" s="4"/>
      <c r="X197">
        <f ca="1">RANDBETWEEN(2,COUNTA(rua_cod!A:A))</f>
        <v>41</v>
      </c>
      <c r="Y197">
        <f t="shared" ca="1" si="42"/>
        <v>1</v>
      </c>
      <c r="Z197">
        <f t="shared" ca="1" si="43"/>
        <v>1</v>
      </c>
      <c r="AA197">
        <f t="shared" ca="1" si="44"/>
        <v>1991</v>
      </c>
      <c r="AB197">
        <f t="shared" ca="1" si="45"/>
        <v>12</v>
      </c>
      <c r="AC197">
        <f t="shared" ca="1" si="46"/>
        <v>20</v>
      </c>
      <c r="AD197">
        <f t="shared" ca="1" si="47"/>
        <v>29</v>
      </c>
    </row>
    <row r="198" spans="1:30" x14ac:dyDescent="0.25">
      <c r="A198">
        <v>197</v>
      </c>
      <c r="B198" t="str">
        <f t="shared" si="36"/>
        <v>med197</v>
      </c>
      <c r="C198" t="str">
        <f t="shared" si="37"/>
        <v>pswmed197</v>
      </c>
      <c r="D198" t="str">
        <f ca="1">Nomes!T199</f>
        <v>Laura Daniela Raposo Oliveira</v>
      </c>
      <c r="E198" t="str">
        <f ca="1">Nomes!S199</f>
        <v>Feminino</v>
      </c>
      <c r="F198" s="2">
        <v>14423</v>
      </c>
      <c r="G198" t="str" cm="1">
        <f t="array" aca="1" ref="G198" ca="1">INDEX(rua_cod!$F:$F,RANDBETWEEN(2,COUNTA(rua_cod!F:F)))</f>
        <v>Rua do Sol a Santana</v>
      </c>
      <c r="H198" t="str" cm="1">
        <f t="array" aca="1" ref="H198" ca="1">INDEX(rua_cod!$A:$A,Médicos!X198) &amp; "-" &amp; TEXT(RANDBETWEEN(0,999),"000")</f>
        <v>1169-916</v>
      </c>
      <c r="I198" t="str" cm="1">
        <f t="array" aca="1" ref="I198" ca="1">INDEX(rua_cod!$B:$B,Médicos!X198)</f>
        <v>Lisboa</v>
      </c>
      <c r="J198" t="s">
        <v>341</v>
      </c>
      <c r="K198" t="s">
        <v>225</v>
      </c>
      <c r="L198" t="s">
        <v>265</v>
      </c>
      <c r="M198" t="str">
        <f t="shared" ca="1" si="38"/>
        <v>76253558</v>
      </c>
      <c r="N198" t="str">
        <f t="shared" ca="1" si="39"/>
        <v>394278982</v>
      </c>
      <c r="O198" t="str">
        <f t="shared" ca="1" si="39"/>
        <v>296454135</v>
      </c>
      <c r="P198" t="str" cm="1">
        <f t="array" aca="1" ref="P198" ca="1">9 &amp; INDEX($AH$3:$AH$6,Y198)&amp; TEXT(RANDBETWEEN(0,9999999),"0000000")</f>
        <v>919432283</v>
      </c>
      <c r="Q198" t="str" cm="1">
        <f t="array" aca="1" ref="Q198" ca="1">LOWER(B198) &amp; INDEX($AH$9:$AH$11,Z198)</f>
        <v>med197@hospital.upskill.com</v>
      </c>
      <c r="R198" t="str">
        <f t="shared" si="40"/>
        <v>med197.jpg</v>
      </c>
      <c r="S198" s="8">
        <f t="shared" ca="1" si="41"/>
        <v>3573090891912282</v>
      </c>
      <c r="T198" t="s">
        <v>341</v>
      </c>
      <c r="V198" s="4"/>
      <c r="X198">
        <f ca="1">RANDBETWEEN(2,COUNTA(rua_cod!A:A))</f>
        <v>70</v>
      </c>
      <c r="Y198">
        <f t="shared" ca="1" si="42"/>
        <v>1</v>
      </c>
      <c r="Z198">
        <f t="shared" ca="1" si="43"/>
        <v>3</v>
      </c>
      <c r="AA198">
        <f t="shared" ca="1" si="44"/>
        <v>1991</v>
      </c>
      <c r="AB198">
        <f t="shared" ca="1" si="45"/>
        <v>1</v>
      </c>
      <c r="AC198">
        <f t="shared" ca="1" si="46"/>
        <v>5</v>
      </c>
      <c r="AD198">
        <f t="shared" ca="1" si="47"/>
        <v>29</v>
      </c>
    </row>
    <row r="199" spans="1:30" x14ac:dyDescent="0.25">
      <c r="A199">
        <v>198</v>
      </c>
      <c r="B199" t="str">
        <f t="shared" si="36"/>
        <v>med198</v>
      </c>
      <c r="C199" t="str">
        <f t="shared" si="37"/>
        <v>pswmed198</v>
      </c>
      <c r="D199" t="str">
        <f ca="1">Nomes!T200</f>
        <v>Joana Catarina Oliveira Amaral</v>
      </c>
      <c r="E199" t="str">
        <f ca="1">Nomes!S200</f>
        <v>Feminino</v>
      </c>
      <c r="F199" s="2">
        <v>12035</v>
      </c>
      <c r="G199" t="str" cm="1">
        <f t="array" aca="1" ref="G199" ca="1">INDEX(rua_cod!$F:$F,RANDBETWEEN(2,COUNTA(rua_cod!F:F)))</f>
        <v>Calçada do Moinho de Vento</v>
      </c>
      <c r="H199" t="str" cm="1">
        <f t="array" aca="1" ref="H199" ca="1">INDEX(rua_cod!$A:$A,Médicos!X199) &amp; "-" &amp; TEXT(RANDBETWEEN(0,999),"000")</f>
        <v>2560-339</v>
      </c>
      <c r="I199" t="str" cm="1">
        <f t="array" aca="1" ref="I199" ca="1">INDEX(rua_cod!$B:$B,Médicos!X199)</f>
        <v>Torres Vedras</v>
      </c>
      <c r="J199" t="s">
        <v>341</v>
      </c>
      <c r="K199" t="s">
        <v>225</v>
      </c>
      <c r="L199" t="s">
        <v>265</v>
      </c>
      <c r="M199" t="str">
        <f t="shared" ca="1" si="38"/>
        <v>53986808</v>
      </c>
      <c r="N199" t="str">
        <f t="shared" ca="1" si="39"/>
        <v>510413005</v>
      </c>
      <c r="O199" t="str">
        <f t="shared" ca="1" si="39"/>
        <v>134994254</v>
      </c>
      <c r="P199" t="str" cm="1">
        <f t="array" aca="1" ref="P199" ca="1">9 &amp; INDEX($AH$3:$AH$6,Y199)&amp; TEXT(RANDBETWEEN(0,9999999),"0000000")</f>
        <v>963127080</v>
      </c>
      <c r="Q199" t="str" cm="1">
        <f t="array" aca="1" ref="Q199" ca="1">LOWER(B199) &amp; INDEX($AH$9:$AH$11,Z199)</f>
        <v>med198@hospital.upskill.com</v>
      </c>
      <c r="R199" t="str">
        <f t="shared" si="40"/>
        <v>med198.jpg</v>
      </c>
      <c r="S199" s="8">
        <f t="shared" ca="1" si="41"/>
        <v>7634373426051388</v>
      </c>
      <c r="T199" t="s">
        <v>341</v>
      </c>
      <c r="V199" s="4"/>
      <c r="X199">
        <f ca="1">RANDBETWEEN(2,COUNTA(rua_cod!A:A))</f>
        <v>104</v>
      </c>
      <c r="Y199">
        <f t="shared" ca="1" si="42"/>
        <v>4</v>
      </c>
      <c r="Z199">
        <f t="shared" ca="1" si="43"/>
        <v>1</v>
      </c>
      <c r="AA199">
        <f t="shared" ca="1" si="44"/>
        <v>1990</v>
      </c>
      <c r="AB199">
        <f t="shared" ca="1" si="45"/>
        <v>2</v>
      </c>
      <c r="AC199">
        <f t="shared" ca="1" si="46"/>
        <v>11</v>
      </c>
      <c r="AD199">
        <f t="shared" ca="1" si="47"/>
        <v>30</v>
      </c>
    </row>
    <row r="200" spans="1:30" x14ac:dyDescent="0.25">
      <c r="F200" s="2"/>
      <c r="V200" s="4"/>
    </row>
    <row r="201" spans="1:30" x14ac:dyDescent="0.25">
      <c r="V201" s="4"/>
    </row>
    <row r="202" spans="1:30" x14ac:dyDescent="0.25">
      <c r="V202" s="4"/>
    </row>
    <row r="203" spans="1:30" x14ac:dyDescent="0.25">
      <c r="V203" s="4"/>
    </row>
    <row r="204" spans="1:30" x14ac:dyDescent="0.25">
      <c r="V204" s="4"/>
    </row>
    <row r="205" spans="1:30" x14ac:dyDescent="0.25">
      <c r="V205" s="4"/>
    </row>
    <row r="206" spans="1:30" x14ac:dyDescent="0.25">
      <c r="V206" s="4"/>
    </row>
    <row r="207" spans="1:30" x14ac:dyDescent="0.25">
      <c r="V207" s="4"/>
    </row>
    <row r="208" spans="1:30" x14ac:dyDescent="0.25">
      <c r="V208" s="4"/>
    </row>
    <row r="209" spans="22:22" x14ac:dyDescent="0.25">
      <c r="V209" s="4"/>
    </row>
    <row r="210" spans="22:22" x14ac:dyDescent="0.25">
      <c r="V210" s="4"/>
    </row>
    <row r="211" spans="22:22" x14ac:dyDescent="0.25">
      <c r="V211" s="4"/>
    </row>
    <row r="212" spans="22:22" x14ac:dyDescent="0.25">
      <c r="V212" s="4"/>
    </row>
    <row r="213" spans="22:22" x14ac:dyDescent="0.25">
      <c r="V213" s="4"/>
    </row>
    <row r="214" spans="22:22" x14ac:dyDescent="0.25">
      <c r="V214" s="4"/>
    </row>
    <row r="215" spans="22:22" x14ac:dyDescent="0.25">
      <c r="V215" s="4"/>
    </row>
    <row r="216" spans="22:22" x14ac:dyDescent="0.25">
      <c r="V216" s="4"/>
    </row>
    <row r="217" spans="22:22" x14ac:dyDescent="0.25">
      <c r="V217" s="4"/>
    </row>
    <row r="218" spans="22:22" x14ac:dyDescent="0.25">
      <c r="V218" s="4"/>
    </row>
    <row r="219" spans="22:22" x14ac:dyDescent="0.25">
      <c r="V219" s="4"/>
    </row>
    <row r="220" spans="22:22" x14ac:dyDescent="0.25">
      <c r="V220" s="4"/>
    </row>
    <row r="221" spans="22:22" x14ac:dyDescent="0.25">
      <c r="V221" s="4"/>
    </row>
    <row r="222" spans="22:22" x14ac:dyDescent="0.25">
      <c r="V222" s="4"/>
    </row>
    <row r="223" spans="22:22" x14ac:dyDescent="0.25">
      <c r="V223" s="4"/>
    </row>
    <row r="224" spans="22:22" x14ac:dyDescent="0.25">
      <c r="V224" s="4"/>
    </row>
    <row r="225" spans="22:22" x14ac:dyDescent="0.25">
      <c r="V225" s="4"/>
    </row>
    <row r="226" spans="22:22" x14ac:dyDescent="0.25">
      <c r="V226" s="4"/>
    </row>
    <row r="227" spans="22:22" x14ac:dyDescent="0.25">
      <c r="V227" s="4"/>
    </row>
    <row r="228" spans="22:22" x14ac:dyDescent="0.25">
      <c r="V228" s="4"/>
    </row>
    <row r="229" spans="22:22" x14ac:dyDescent="0.25">
      <c r="V229" s="4"/>
    </row>
    <row r="230" spans="22:22" x14ac:dyDescent="0.25">
      <c r="V230" s="4"/>
    </row>
    <row r="231" spans="22:22" x14ac:dyDescent="0.25">
      <c r="V231" s="4"/>
    </row>
    <row r="232" spans="22:22" x14ac:dyDescent="0.25">
      <c r="V232" s="4"/>
    </row>
    <row r="233" spans="22:22" x14ac:dyDescent="0.25">
      <c r="V233" s="4"/>
    </row>
  </sheetData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40273-2B31-46D9-B547-D7BB85CA0133}">
  <sheetPr codeName="Sheet7"/>
  <dimension ref="A1:AH45"/>
  <sheetViews>
    <sheetView topLeftCell="K1" workbookViewId="0">
      <selection sqref="A1:R11"/>
    </sheetView>
  </sheetViews>
  <sheetFormatPr defaultRowHeight="15" x14ac:dyDescent="0.25"/>
  <cols>
    <col min="2" max="2" width="11.85546875" bestFit="1" customWidth="1"/>
    <col min="3" max="3" width="15.42578125" customWidth="1"/>
    <col min="4" max="4" width="36.28515625" bestFit="1" customWidth="1"/>
    <col min="5" max="5" width="11.7109375" customWidth="1"/>
    <col min="6" max="6" width="10.7109375" bestFit="1" customWidth="1"/>
    <col min="7" max="7" width="32" bestFit="1" customWidth="1"/>
    <col min="11" max="11" width="11.28515625" customWidth="1"/>
    <col min="12" max="12" width="20.5703125" bestFit="1" customWidth="1"/>
    <col min="13" max="13" width="18.140625" bestFit="1" customWidth="1"/>
    <col min="14" max="14" width="10" bestFit="1" customWidth="1"/>
    <col min="15" max="15" width="15.7109375" customWidth="1"/>
    <col min="16" max="16" width="10" bestFit="1" customWidth="1"/>
    <col min="17" max="17" width="25.140625" bestFit="1" customWidth="1"/>
    <col min="18" max="18" width="15.42578125" bestFit="1" customWidth="1"/>
    <col min="19" max="19" width="18.28515625" customWidth="1"/>
    <col min="20" max="20" width="15.42578125" customWidth="1"/>
  </cols>
  <sheetData>
    <row r="1" spans="1:34" x14ac:dyDescent="0.2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t="s">
        <v>187</v>
      </c>
      <c r="G1" t="s">
        <v>277</v>
      </c>
      <c r="H1" t="s">
        <v>2025</v>
      </c>
      <c r="I1" t="s">
        <v>334</v>
      </c>
      <c r="J1" t="s">
        <v>278</v>
      </c>
      <c r="K1" t="s">
        <v>279</v>
      </c>
      <c r="L1" t="s">
        <v>337</v>
      </c>
      <c r="M1" t="s">
        <v>335</v>
      </c>
      <c r="N1" t="s">
        <v>280</v>
      </c>
      <c r="O1" t="s">
        <v>336</v>
      </c>
      <c r="P1" t="s">
        <v>266</v>
      </c>
      <c r="Q1" t="s">
        <v>282</v>
      </c>
      <c r="R1" t="s">
        <v>283</v>
      </c>
      <c r="V1" s="4" t="s">
        <v>224</v>
      </c>
      <c r="X1" t="s">
        <v>264</v>
      </c>
      <c r="Y1" t="s">
        <v>270</v>
      </c>
      <c r="Z1" t="s">
        <v>271</v>
      </c>
      <c r="AA1" t="s">
        <v>188</v>
      </c>
      <c r="AB1" t="s">
        <v>190</v>
      </c>
      <c r="AC1" t="s">
        <v>189</v>
      </c>
    </row>
    <row r="2" spans="1:34" x14ac:dyDescent="0.25">
      <c r="A2">
        <v>1</v>
      </c>
      <c r="B2" t="str">
        <f>"rec" &amp; TEXT(A2,"000")</f>
        <v>rec001</v>
      </c>
      <c r="C2" t="str">
        <f>"psw" &amp; B2</f>
        <v>pswrec001</v>
      </c>
      <c r="D2" t="str">
        <f ca="1">Nomes!T50</f>
        <v>Tiago Paiva Guerreiro</v>
      </c>
      <c r="E2" t="str">
        <f ca="1">Nomes!S50</f>
        <v>Masculino</v>
      </c>
      <c r="F2" s="2">
        <f ca="1">DATE(AA2,AB2,AC2)</f>
        <v>18863</v>
      </c>
      <c r="G2" t="str" cm="1">
        <f t="array" aca="1" ref="G2" ca="1">INDEX(rua_cod!$F:$F,RANDBETWEEN(2,COUNTA(rua_cod!F:F)))</f>
        <v>Rua Garrett</v>
      </c>
      <c r="H2" t="str" cm="1">
        <f t="array" aca="1" ref="H2" ca="1">INDEX(rua_cod!$A:$A,Receptionist!X2) &amp; "-" &amp; TEXT(RANDBETWEEN(0,999),"000")</f>
        <v>2300-761</v>
      </c>
      <c r="I2" t="str" cm="1">
        <f t="array" aca="1" ref="I2" ca="1">INDEX(rua_cod!$B:$B,Receptionist!X2)</f>
        <v>Tomar</v>
      </c>
      <c r="J2" t="s">
        <v>3742</v>
      </c>
      <c r="K2" t="s">
        <v>225</v>
      </c>
      <c r="L2" t="s">
        <v>265</v>
      </c>
      <c r="M2" t="str">
        <f ca="1">TEXT(RANDBETWEEN(10000000,99999999),"00000000")</f>
        <v>73314604</v>
      </c>
      <c r="N2" t="str">
        <f ca="1">TEXT(RANDBETWEEN(100000000,999999999),"000000000")</f>
        <v>833928642</v>
      </c>
      <c r="O2" t="str">
        <f ca="1">TEXT(RANDBETWEEN(100000000,999999999),"000000000")</f>
        <v>146450660</v>
      </c>
      <c r="P2" t="str" cm="1">
        <f t="array" aca="1" ref="P2" ca="1">9 &amp; INDEX($AH$3:$AH$6,Y2)&amp; TEXT(RANDBETWEEN(0,9999999),"0000000")</f>
        <v>910395624</v>
      </c>
      <c r="Q2" t="str" cm="1">
        <f t="array" aca="1" ref="Q2" ca="1">LOWER(B2) &amp; INDEX($AH$9:$AH$11,Z2)</f>
        <v>rec001@hospital.upskill.com</v>
      </c>
      <c r="R2" t="str">
        <f>B2 &amp; ".jpg"</f>
        <v>rec001.jpg</v>
      </c>
      <c r="S2" s="8"/>
      <c r="V2" s="4"/>
      <c r="X2">
        <f ca="1">RANDBETWEEN(2,COUNTA(rua_cod!A:A))</f>
        <v>102</v>
      </c>
      <c r="Y2">
        <f ca="1">RANDBETWEEN(1,4)</f>
        <v>1</v>
      </c>
      <c r="Z2">
        <f ca="1">RANDBETWEEN(1,3)</f>
        <v>1</v>
      </c>
      <c r="AA2">
        <f ca="1">RANDBETWEEN(1950,1994)</f>
        <v>1951</v>
      </c>
      <c r="AB2">
        <f ca="1">RANDBETWEEN(1,12)</f>
        <v>8</v>
      </c>
      <c r="AC2">
        <f ca="1">RANDBETWEEN(1,31)</f>
        <v>23</v>
      </c>
      <c r="AD2">
        <f ca="1">2020-AA2</f>
        <v>69</v>
      </c>
      <c r="AH2" t="s">
        <v>266</v>
      </c>
    </row>
    <row r="3" spans="1:34" x14ac:dyDescent="0.25">
      <c r="A3">
        <v>2</v>
      </c>
      <c r="B3" t="str">
        <f t="shared" ref="B3:B11" si="0">"rec" &amp; TEXT(A3,"000")</f>
        <v>rec002</v>
      </c>
      <c r="C3" t="str">
        <f t="shared" ref="C3:C11" si="1">"psw" &amp; B3</f>
        <v>pswrec002</v>
      </c>
      <c r="D3" t="str">
        <f ca="1">Nomes!T51</f>
        <v>Martim Abreu Rocha</v>
      </c>
      <c r="E3" t="str">
        <f ca="1">Nomes!S51</f>
        <v>Masculino</v>
      </c>
      <c r="F3" s="2">
        <f t="shared" ref="F3:F11" ca="1" si="2">DATE(AA3,AB3,AC3)</f>
        <v>33132</v>
      </c>
      <c r="G3" t="str" cm="1">
        <f t="array" aca="1" ref="G3" ca="1">INDEX(rua_cod!$F:$F,RANDBETWEEN(2,COUNTA(rua_cod!F:F)))</f>
        <v>Rua Júlio César Machado</v>
      </c>
      <c r="H3" t="str" cm="1">
        <f t="array" aca="1" ref="H3" ca="1">INDEX(rua_cod!$A:$A,Receptionist!X3) &amp; "-" &amp; TEXT(RANDBETWEEN(0,999),"000")</f>
        <v>1749-782</v>
      </c>
      <c r="I3" t="str" cm="1">
        <f t="array" aca="1" ref="I3" ca="1">INDEX(rua_cod!$B:$B,Receptionist!X3)</f>
        <v>Lisboa</v>
      </c>
      <c r="J3" t="s">
        <v>3742</v>
      </c>
      <c r="K3" t="s">
        <v>225</v>
      </c>
      <c r="L3" t="s">
        <v>265</v>
      </c>
      <c r="M3" t="str">
        <f t="shared" ref="M3:M11" ca="1" si="3">TEXT(RANDBETWEEN(10000000,99999999),"00000000")</f>
        <v>98739470</v>
      </c>
      <c r="N3" t="str">
        <f t="shared" ref="N3:O11" ca="1" si="4">TEXT(RANDBETWEEN(100000000,999999999),"000000000")</f>
        <v>475237191</v>
      </c>
      <c r="O3" t="str">
        <f t="shared" ca="1" si="4"/>
        <v>137919623</v>
      </c>
      <c r="P3" t="str" cm="1">
        <f t="array" aca="1" ref="P3" ca="1">9 &amp; INDEX($AH$3:$AH$6,Y3)&amp; TEXT(RANDBETWEEN(0,9999999),"0000000")</f>
        <v>915804293</v>
      </c>
      <c r="Q3" t="str" cm="1">
        <f t="array" aca="1" ref="Q3" ca="1">LOWER(B3) &amp; INDEX($AH$9:$AH$11,Z3)</f>
        <v>rec002@hospital.upskill.com</v>
      </c>
      <c r="R3" t="str">
        <f t="shared" ref="R3:R11" si="5">B3 &amp; ".jpg"</f>
        <v>rec002.jpg</v>
      </c>
      <c r="S3" s="8"/>
      <c r="V3" s="4"/>
      <c r="X3">
        <f ca="1">RANDBETWEEN(2,COUNTA(rua_cod!A:A))</f>
        <v>61</v>
      </c>
      <c r="Y3">
        <f t="shared" ref="Y3:Y11" ca="1" si="6">RANDBETWEEN(1,4)</f>
        <v>1</v>
      </c>
      <c r="Z3">
        <f t="shared" ref="Z3:Z11" ca="1" si="7">RANDBETWEEN(1,3)</f>
        <v>2</v>
      </c>
      <c r="AA3">
        <f t="shared" ref="AA3:AA11" ca="1" si="8">RANDBETWEEN(1950,1994)</f>
        <v>1990</v>
      </c>
      <c r="AB3">
        <f t="shared" ref="AB3:AB11" ca="1" si="9">RANDBETWEEN(1,12)</f>
        <v>9</v>
      </c>
      <c r="AC3">
        <f t="shared" ref="AC3:AC11" ca="1" si="10">RANDBETWEEN(1,31)</f>
        <v>16</v>
      </c>
      <c r="AD3">
        <f t="shared" ref="AD3:AD11" ca="1" si="11">2020-AA3</f>
        <v>30</v>
      </c>
      <c r="AH3">
        <v>1</v>
      </c>
    </row>
    <row r="4" spans="1:34" x14ac:dyDescent="0.25">
      <c r="A4">
        <v>3</v>
      </c>
      <c r="B4" t="str">
        <f t="shared" si="0"/>
        <v>rec003</v>
      </c>
      <c r="C4" t="str">
        <f t="shared" si="1"/>
        <v>pswrec003</v>
      </c>
      <c r="D4" t="str">
        <f ca="1">Nomes!T52</f>
        <v>Matilde Tomás Antunes Oliveira</v>
      </c>
      <c r="E4" t="str">
        <f ca="1">Nomes!S52</f>
        <v>Feminino</v>
      </c>
      <c r="F4" s="2">
        <f t="shared" ca="1" si="2"/>
        <v>19777</v>
      </c>
      <c r="G4" t="str" cm="1">
        <f t="array" aca="1" ref="G4" ca="1">INDEX(rua_cod!$F:$F,RANDBETWEEN(2,COUNTA(rua_cod!F:F)))</f>
        <v>Rua da Madalena</v>
      </c>
      <c r="H4" t="str" cm="1">
        <f t="array" aca="1" ref="H4" ca="1">INDEX(rua_cod!$A:$A,Receptionist!X4) &amp; "-" &amp; TEXT(RANDBETWEEN(0,999),"000")</f>
        <v>2005-568</v>
      </c>
      <c r="I4" t="str" cm="1">
        <f t="array" aca="1" ref="I4" ca="1">INDEX(rua_cod!$B:$B,Receptionist!X4)</f>
        <v>Santarém</v>
      </c>
      <c r="J4" t="s">
        <v>3742</v>
      </c>
      <c r="K4" t="s">
        <v>225</v>
      </c>
      <c r="L4" t="s">
        <v>265</v>
      </c>
      <c r="M4" t="str">
        <f t="shared" ca="1" si="3"/>
        <v>76689590</v>
      </c>
      <c r="N4" t="str">
        <f t="shared" ca="1" si="4"/>
        <v>687899195</v>
      </c>
      <c r="O4" t="str">
        <f t="shared" ca="1" si="4"/>
        <v>923248138</v>
      </c>
      <c r="P4" t="str" cm="1">
        <f t="array" aca="1" ref="P4" ca="1">9 &amp; INDEX($AH$3:$AH$6,Y4)&amp; TEXT(RANDBETWEEN(0,9999999),"0000000")</f>
        <v>920257555</v>
      </c>
      <c r="Q4" t="str" cm="1">
        <f t="array" aca="1" ref="Q4" ca="1">LOWER(B4) &amp; INDEX($AH$9:$AH$11,Z4)</f>
        <v>rec003@hospital.upskill.com</v>
      </c>
      <c r="R4" t="str">
        <f t="shared" si="5"/>
        <v>rec003.jpg</v>
      </c>
      <c r="S4" s="8"/>
      <c r="V4" s="4"/>
      <c r="X4">
        <f ca="1">RANDBETWEEN(2,COUNTA(rua_cod!A:A))</f>
        <v>92</v>
      </c>
      <c r="Y4">
        <f t="shared" ca="1" si="6"/>
        <v>2</v>
      </c>
      <c r="Z4">
        <f t="shared" ca="1" si="7"/>
        <v>3</v>
      </c>
      <c r="AA4">
        <f t="shared" ca="1" si="8"/>
        <v>1954</v>
      </c>
      <c r="AB4">
        <f t="shared" ca="1" si="9"/>
        <v>2</v>
      </c>
      <c r="AC4">
        <f t="shared" ca="1" si="10"/>
        <v>22</v>
      </c>
      <c r="AD4">
        <f t="shared" ca="1" si="11"/>
        <v>66</v>
      </c>
      <c r="AH4">
        <v>2</v>
      </c>
    </row>
    <row r="5" spans="1:34" x14ac:dyDescent="0.25">
      <c r="A5">
        <v>4</v>
      </c>
      <c r="B5" t="str">
        <f t="shared" si="0"/>
        <v>rec004</v>
      </c>
      <c r="C5" t="str">
        <f t="shared" si="1"/>
        <v>pswrec004</v>
      </c>
      <c r="D5" t="str">
        <f ca="1">Nomes!T53</f>
        <v>Duarte Pedro Lourenço Machado</v>
      </c>
      <c r="E5" t="str">
        <f ca="1">Nomes!S53</f>
        <v>Masculino</v>
      </c>
      <c r="F5" s="2">
        <f t="shared" ca="1" si="2"/>
        <v>30691</v>
      </c>
      <c r="G5" t="str" cm="1">
        <f t="array" aca="1" ref="G5" ca="1">INDEX(rua_cod!$F:$F,RANDBETWEEN(2,COUNTA(rua_cod!F:F)))</f>
        <v>Rua do Comércio</v>
      </c>
      <c r="H5" t="str" cm="1">
        <f t="array" aca="1" ref="H5" ca="1">INDEX(rua_cod!$A:$A,Receptionist!X5) &amp; "-" &amp; TEXT(RANDBETWEEN(0,999),"000")</f>
        <v>2659-689</v>
      </c>
      <c r="I5" t="str" cm="1">
        <f t="array" aca="1" ref="I5" ca="1">INDEX(rua_cod!$B:$B,Receptionist!X5)</f>
        <v>Ericeira</v>
      </c>
      <c r="J5" t="s">
        <v>3742</v>
      </c>
      <c r="K5" t="s">
        <v>225</v>
      </c>
      <c r="L5" t="s">
        <v>265</v>
      </c>
      <c r="M5" t="str">
        <f t="shared" ca="1" si="3"/>
        <v>70353598</v>
      </c>
      <c r="N5" t="str">
        <f t="shared" ca="1" si="4"/>
        <v>401140000</v>
      </c>
      <c r="O5" t="str">
        <f t="shared" ca="1" si="4"/>
        <v>642396903</v>
      </c>
      <c r="P5" t="str" cm="1">
        <f t="array" aca="1" ref="P5" ca="1">9 &amp; INDEX($AH$3:$AH$6,Y5)&amp; TEXT(RANDBETWEEN(0,9999999),"0000000")</f>
        <v>965614288</v>
      </c>
      <c r="Q5" t="str" cm="1">
        <f t="array" aca="1" ref="Q5" ca="1">LOWER(B5) &amp; INDEX($AH$9:$AH$11,Z5)</f>
        <v>rec004@hospital.upskill.com</v>
      </c>
      <c r="R5" t="str">
        <f t="shared" si="5"/>
        <v>rec004.jpg</v>
      </c>
      <c r="S5" s="8"/>
      <c r="V5" s="4"/>
      <c r="X5">
        <f ca="1">RANDBETWEEN(2,COUNTA(rua_cod!A:A))</f>
        <v>32</v>
      </c>
      <c r="Y5">
        <f t="shared" ca="1" si="6"/>
        <v>4</v>
      </c>
      <c r="Z5">
        <f t="shared" ca="1" si="7"/>
        <v>2</v>
      </c>
      <c r="AA5">
        <f t="shared" ca="1" si="8"/>
        <v>1984</v>
      </c>
      <c r="AB5">
        <f t="shared" ca="1" si="9"/>
        <v>1</v>
      </c>
      <c r="AC5">
        <f t="shared" ca="1" si="10"/>
        <v>10</v>
      </c>
      <c r="AD5">
        <f t="shared" ca="1" si="11"/>
        <v>36</v>
      </c>
      <c r="AH5">
        <v>3</v>
      </c>
    </row>
    <row r="6" spans="1:34" x14ac:dyDescent="0.25">
      <c r="A6">
        <v>5</v>
      </c>
      <c r="B6" t="str">
        <f t="shared" si="0"/>
        <v>rec005</v>
      </c>
      <c r="C6" t="str">
        <f t="shared" si="1"/>
        <v>pswrec005</v>
      </c>
      <c r="D6" t="str">
        <f ca="1">Nomes!T54</f>
        <v>Miguel Luís Domingues Coelho</v>
      </c>
      <c r="E6" t="str">
        <f ca="1">Nomes!S54</f>
        <v>Masculino</v>
      </c>
      <c r="F6" s="2">
        <f t="shared" ca="1" si="2"/>
        <v>21999</v>
      </c>
      <c r="G6" t="str" cm="1">
        <f t="array" aca="1" ref="G6" ca="1">INDEX(rua_cod!$F:$F,RANDBETWEEN(2,COUNTA(rua_cod!F:F)))</f>
        <v>Rua Cidade de Bolama</v>
      </c>
      <c r="H6" t="str" cm="1">
        <f t="array" aca="1" ref="H6" ca="1">INDEX(rua_cod!$A:$A,Receptionist!X6) &amp; "-" &amp; TEXT(RANDBETWEEN(0,999),"000")</f>
        <v>2423-959</v>
      </c>
      <c r="I6" t="str" cm="1">
        <f t="array" aca="1" ref="I6" ca="1">INDEX(rua_cod!$B:$B,Receptionist!X6)</f>
        <v>Leiria</v>
      </c>
      <c r="J6" t="s">
        <v>3742</v>
      </c>
      <c r="K6" t="s">
        <v>225</v>
      </c>
      <c r="L6" t="s">
        <v>265</v>
      </c>
      <c r="M6" t="str">
        <f t="shared" ca="1" si="3"/>
        <v>93866958</v>
      </c>
      <c r="N6" t="str">
        <f t="shared" ca="1" si="4"/>
        <v>479290422</v>
      </c>
      <c r="O6" t="str">
        <f t="shared" ca="1" si="4"/>
        <v>852899367</v>
      </c>
      <c r="P6" t="str" cm="1">
        <f t="array" aca="1" ref="P6" ca="1">9 &amp; INDEX($AH$3:$AH$6,Y6)&amp; TEXT(RANDBETWEEN(0,9999999),"0000000")</f>
        <v>967419277</v>
      </c>
      <c r="Q6" t="str" cm="1">
        <f t="array" aca="1" ref="Q6" ca="1">LOWER(B6) &amp; INDEX($AH$9:$AH$11,Z6)</f>
        <v>rec005@hospital.upskill.com</v>
      </c>
      <c r="R6" t="str">
        <f t="shared" si="5"/>
        <v>rec005.jpg</v>
      </c>
      <c r="S6" s="8"/>
      <c r="V6" s="4"/>
      <c r="X6">
        <f ca="1">RANDBETWEEN(2,COUNTA(rua_cod!A:A))</f>
        <v>38</v>
      </c>
      <c r="Y6">
        <f t="shared" ca="1" si="6"/>
        <v>4</v>
      </c>
      <c r="Z6">
        <f t="shared" ca="1" si="7"/>
        <v>3</v>
      </c>
      <c r="AA6">
        <f t="shared" ca="1" si="8"/>
        <v>1960</v>
      </c>
      <c r="AB6">
        <f t="shared" ca="1" si="9"/>
        <v>3</v>
      </c>
      <c r="AC6">
        <f t="shared" ca="1" si="10"/>
        <v>24</v>
      </c>
      <c r="AD6">
        <f t="shared" ca="1" si="11"/>
        <v>60</v>
      </c>
      <c r="AH6">
        <v>6</v>
      </c>
    </row>
    <row r="7" spans="1:34" x14ac:dyDescent="0.25">
      <c r="A7">
        <v>6</v>
      </c>
      <c r="B7" t="str">
        <f t="shared" si="0"/>
        <v>rec006</v>
      </c>
      <c r="C7" t="str">
        <f t="shared" si="1"/>
        <v>pswrec006</v>
      </c>
      <c r="D7" t="str">
        <f ca="1">Nomes!T55</f>
        <v>Ricardo Diana Ferreira Neves</v>
      </c>
      <c r="E7" t="str">
        <f ca="1">Nomes!S55</f>
        <v>Masculino</v>
      </c>
      <c r="F7" s="2">
        <f t="shared" ca="1" si="2"/>
        <v>31601</v>
      </c>
      <c r="G7" t="str" cm="1">
        <f t="array" aca="1" ref="G7" ca="1">INDEX(rua_cod!$F:$F,RANDBETWEEN(2,COUNTA(rua_cod!F:F)))</f>
        <v>Rua dos Heróis de Quionga</v>
      </c>
      <c r="H7" t="str" cm="1">
        <f t="array" aca="1" ref="H7" ca="1">INDEX(rua_cod!$A:$A,Receptionist!X7) &amp; "-" &amp; TEXT(RANDBETWEEN(0,999),"000")</f>
        <v>2745-034</v>
      </c>
      <c r="I7" t="str" cm="1">
        <f t="array" aca="1" ref="I7" ca="1">INDEX(rua_cod!$B:$B,Receptionist!X7)</f>
        <v>Queluz</v>
      </c>
      <c r="J7" t="s">
        <v>3742</v>
      </c>
      <c r="K7" t="s">
        <v>225</v>
      </c>
      <c r="L7" t="s">
        <v>265</v>
      </c>
      <c r="M7" t="str">
        <f t="shared" ca="1" si="3"/>
        <v>54505977</v>
      </c>
      <c r="N7" t="str">
        <f t="shared" ca="1" si="4"/>
        <v>353884618</v>
      </c>
      <c r="O7" t="str">
        <f t="shared" ca="1" si="4"/>
        <v>573108817</v>
      </c>
      <c r="P7" t="str" cm="1">
        <f t="array" aca="1" ref="P7" ca="1">9 &amp; INDEX($AH$3:$AH$6,Y7)&amp; TEXT(RANDBETWEEN(0,9999999),"0000000")</f>
        <v>933733050</v>
      </c>
      <c r="Q7" t="str" cm="1">
        <f t="array" aca="1" ref="Q7" ca="1">LOWER(B7) &amp; INDEX($AH$9:$AH$11,Z7)</f>
        <v>rec006@hospital.upskill.com</v>
      </c>
      <c r="R7" t="str">
        <f t="shared" si="5"/>
        <v>rec006.jpg</v>
      </c>
      <c r="S7" s="8"/>
      <c r="V7" s="4"/>
      <c r="X7">
        <f ca="1">RANDBETWEEN(2,COUNTA(rua_cod!A:A))</f>
        <v>90</v>
      </c>
      <c r="Y7">
        <f t="shared" ca="1" si="6"/>
        <v>3</v>
      </c>
      <c r="Z7">
        <f t="shared" ca="1" si="7"/>
        <v>2</v>
      </c>
      <c r="AA7">
        <f t="shared" ca="1" si="8"/>
        <v>1986</v>
      </c>
      <c r="AB7">
        <f t="shared" ca="1" si="9"/>
        <v>7</v>
      </c>
      <c r="AC7">
        <f t="shared" ca="1" si="10"/>
        <v>8</v>
      </c>
      <c r="AD7">
        <f t="shared" ca="1" si="11"/>
        <v>34</v>
      </c>
    </row>
    <row r="8" spans="1:34" x14ac:dyDescent="0.25">
      <c r="A8">
        <v>7</v>
      </c>
      <c r="B8" t="str">
        <f t="shared" si="0"/>
        <v>rec007</v>
      </c>
      <c r="C8" t="str">
        <f t="shared" si="1"/>
        <v>pswrec007</v>
      </c>
      <c r="D8" t="str">
        <f ca="1">Nomes!T56</f>
        <v>Bruno Gabriel Baptista Brito</v>
      </c>
      <c r="E8" t="str">
        <f ca="1">Nomes!S56</f>
        <v>Masculino</v>
      </c>
      <c r="F8" s="2">
        <f t="shared" ca="1" si="2"/>
        <v>27853</v>
      </c>
      <c r="G8" t="str" cm="1">
        <f t="array" aca="1" ref="G8" ca="1">INDEX(rua_cod!$F:$F,RANDBETWEEN(2,COUNTA(rua_cod!F:F)))</f>
        <v>Rua dos Bacalhoeiros</v>
      </c>
      <c r="H8" t="str" cm="1">
        <f t="array" aca="1" ref="H8" ca="1">INDEX(rua_cod!$A:$A,Receptionist!X8) &amp; "-" &amp; TEXT(RANDBETWEEN(0,999),"000")</f>
        <v>2825-113</v>
      </c>
      <c r="I8" t="str" cm="1">
        <f t="array" aca="1" ref="I8" ca="1">INDEX(rua_cod!$B:$B,Receptionist!X8)</f>
        <v>Caparica</v>
      </c>
      <c r="J8" t="s">
        <v>3742</v>
      </c>
      <c r="K8" t="s">
        <v>225</v>
      </c>
      <c r="L8" t="s">
        <v>265</v>
      </c>
      <c r="M8" t="str">
        <f t="shared" ca="1" si="3"/>
        <v>33842040</v>
      </c>
      <c r="N8" t="str">
        <f t="shared" ca="1" si="4"/>
        <v>793960653</v>
      </c>
      <c r="O8" t="str">
        <f t="shared" ca="1" si="4"/>
        <v>631801211</v>
      </c>
      <c r="P8" t="str" cm="1">
        <f t="array" aca="1" ref="P8" ca="1">9 &amp; INDEX($AH$3:$AH$6,Y8)&amp; TEXT(RANDBETWEEN(0,9999999),"0000000")</f>
        <v>934052645</v>
      </c>
      <c r="Q8" t="str" cm="1">
        <f t="array" aca="1" ref="Q8" ca="1">LOWER(B8) &amp; INDEX($AH$9:$AH$11,Z8)</f>
        <v>rec007@hospital.upskill.com</v>
      </c>
      <c r="R8" t="str">
        <f t="shared" si="5"/>
        <v>rec007.jpg</v>
      </c>
      <c r="S8" s="8"/>
      <c r="V8" s="4"/>
      <c r="X8">
        <f ca="1">RANDBETWEEN(2,COUNTA(rua_cod!A:A))</f>
        <v>18</v>
      </c>
      <c r="Y8">
        <f t="shared" ca="1" si="6"/>
        <v>3</v>
      </c>
      <c r="Z8">
        <f t="shared" ca="1" si="7"/>
        <v>1</v>
      </c>
      <c r="AA8">
        <f t="shared" ca="1" si="8"/>
        <v>1976</v>
      </c>
      <c r="AB8">
        <f t="shared" ca="1" si="9"/>
        <v>4</v>
      </c>
      <c r="AC8">
        <f t="shared" ca="1" si="10"/>
        <v>3</v>
      </c>
      <c r="AD8">
        <f t="shared" ca="1" si="11"/>
        <v>44</v>
      </c>
    </row>
    <row r="9" spans="1:34" x14ac:dyDescent="0.25">
      <c r="A9">
        <v>8</v>
      </c>
      <c r="B9" t="str">
        <f t="shared" si="0"/>
        <v>rec008</v>
      </c>
      <c r="C9" t="str">
        <f t="shared" si="1"/>
        <v>pswrec008</v>
      </c>
      <c r="D9" t="str">
        <f ca="1">Nomes!T57</f>
        <v>Luís Pedro Leal Brito</v>
      </c>
      <c r="E9" t="str">
        <f ca="1">Nomes!S57</f>
        <v>Masculino</v>
      </c>
      <c r="F9" s="2">
        <f t="shared" ca="1" si="2"/>
        <v>24533</v>
      </c>
      <c r="G9" t="str" cm="1">
        <f t="array" aca="1" ref="G9" ca="1">INDEX(rua_cod!$F:$F,RANDBETWEEN(2,COUNTA(rua_cod!F:F)))</f>
        <v>Rua do Guarda-Mor</v>
      </c>
      <c r="H9" t="str" cm="1">
        <f t="array" aca="1" ref="H9" ca="1">INDEX(rua_cod!$A:$A,Receptionist!X9) &amp; "-" &amp; TEXT(RANDBETWEEN(0,999),"000")</f>
        <v>2829-514</v>
      </c>
      <c r="I9" t="str" cm="1">
        <f t="array" aca="1" ref="I9" ca="1">INDEX(rua_cod!$B:$B,Receptionist!X9)</f>
        <v>Caparica</v>
      </c>
      <c r="J9" t="s">
        <v>3742</v>
      </c>
      <c r="K9" t="s">
        <v>225</v>
      </c>
      <c r="L9" t="s">
        <v>265</v>
      </c>
      <c r="M9" t="str">
        <f t="shared" ca="1" si="3"/>
        <v>95836154</v>
      </c>
      <c r="N9" t="str">
        <f t="shared" ca="1" si="4"/>
        <v>134076711</v>
      </c>
      <c r="O9" t="str">
        <f t="shared" ca="1" si="4"/>
        <v>413552061</v>
      </c>
      <c r="P9" t="str" cm="1">
        <f t="array" aca="1" ref="P9" ca="1">9 &amp; INDEX($AH$3:$AH$6,Y9)&amp; TEXT(RANDBETWEEN(0,9999999),"0000000")</f>
        <v>915951988</v>
      </c>
      <c r="Q9" t="str" cm="1">
        <f t="array" aca="1" ref="Q9" ca="1">LOWER(B9) &amp; INDEX($AH$9:$AH$11,Z9)</f>
        <v>rec008@hospital.upskill.com</v>
      </c>
      <c r="R9" t="str">
        <f t="shared" si="5"/>
        <v>rec008.jpg</v>
      </c>
      <c r="S9" s="8"/>
      <c r="V9" s="4"/>
      <c r="X9">
        <f ca="1">RANDBETWEEN(2,COUNTA(rua_cod!A:A))</f>
        <v>19</v>
      </c>
      <c r="Y9">
        <f t="shared" ca="1" si="6"/>
        <v>1</v>
      </c>
      <c r="Z9">
        <f t="shared" ca="1" si="7"/>
        <v>2</v>
      </c>
      <c r="AA9">
        <f t="shared" ca="1" si="8"/>
        <v>1967</v>
      </c>
      <c r="AB9">
        <f t="shared" ca="1" si="9"/>
        <v>3</v>
      </c>
      <c r="AC9">
        <f t="shared" ca="1" si="10"/>
        <v>2</v>
      </c>
      <c r="AD9">
        <f t="shared" ca="1" si="11"/>
        <v>53</v>
      </c>
      <c r="AH9" s="5" t="s">
        <v>340</v>
      </c>
    </row>
    <row r="10" spans="1:34" x14ac:dyDescent="0.25">
      <c r="A10">
        <v>9</v>
      </c>
      <c r="B10" t="str">
        <f t="shared" si="0"/>
        <v>rec009</v>
      </c>
      <c r="C10" t="str">
        <f t="shared" si="1"/>
        <v>pswrec009</v>
      </c>
      <c r="D10" t="str">
        <f ca="1">Nomes!T58</f>
        <v>Rodrigo Marco Alves Amaral</v>
      </c>
      <c r="E10" t="str">
        <f ca="1">Nomes!S58</f>
        <v>Masculino</v>
      </c>
      <c r="F10" s="2">
        <f t="shared" ca="1" si="2"/>
        <v>24636</v>
      </c>
      <c r="G10" t="str" cm="1">
        <f t="array" aca="1" ref="G10" ca="1">INDEX(rua_cod!$F:$F,RANDBETWEEN(2,COUNTA(rua_cod!F:F)))</f>
        <v>Rua do Sol a Santana</v>
      </c>
      <c r="H10" t="str" cm="1">
        <f t="array" aca="1" ref="H10" ca="1">INDEX(rua_cod!$A:$A,Receptionist!X10) &amp; "-" &amp; TEXT(RANDBETWEEN(0,999),"000")</f>
        <v>2790-615</v>
      </c>
      <c r="I10" t="str" cm="1">
        <f t="array" aca="1" ref="I10" ca="1">INDEX(rua_cod!$B:$B,Receptionist!X10)</f>
        <v>Carnaxide</v>
      </c>
      <c r="J10" t="s">
        <v>3742</v>
      </c>
      <c r="K10" t="s">
        <v>225</v>
      </c>
      <c r="L10" t="s">
        <v>265</v>
      </c>
      <c r="M10" t="str">
        <f t="shared" ca="1" si="3"/>
        <v>32363740</v>
      </c>
      <c r="N10" t="str">
        <f t="shared" ca="1" si="4"/>
        <v>988491741</v>
      </c>
      <c r="O10" t="str">
        <f t="shared" ca="1" si="4"/>
        <v>401492586</v>
      </c>
      <c r="P10" t="str" cm="1">
        <f t="array" aca="1" ref="P10" ca="1">9 &amp; INDEX($AH$3:$AH$6,Y10)&amp; TEXT(RANDBETWEEN(0,9999999),"0000000")</f>
        <v>934949034</v>
      </c>
      <c r="Q10" t="str" cm="1">
        <f t="array" aca="1" ref="Q10" ca="1">LOWER(B10) &amp; INDEX($AH$9:$AH$11,Z10)</f>
        <v>rec009@hospital.upskill.com</v>
      </c>
      <c r="R10" t="str">
        <f t="shared" si="5"/>
        <v>rec009.jpg</v>
      </c>
      <c r="S10" s="8"/>
      <c r="V10" s="4"/>
      <c r="X10">
        <f ca="1">RANDBETWEEN(2,COUNTA(rua_cod!A:A))</f>
        <v>22</v>
      </c>
      <c r="Y10">
        <f t="shared" ca="1" si="6"/>
        <v>3</v>
      </c>
      <c r="Z10">
        <f t="shared" ca="1" si="7"/>
        <v>3</v>
      </c>
      <c r="AA10">
        <f t="shared" ca="1" si="8"/>
        <v>1967</v>
      </c>
      <c r="AB10">
        <f t="shared" ca="1" si="9"/>
        <v>6</v>
      </c>
      <c r="AC10">
        <f t="shared" ca="1" si="10"/>
        <v>13</v>
      </c>
      <c r="AD10">
        <f t="shared" ca="1" si="11"/>
        <v>53</v>
      </c>
      <c r="AH10" s="5" t="s">
        <v>340</v>
      </c>
    </row>
    <row r="11" spans="1:34" x14ac:dyDescent="0.25">
      <c r="A11">
        <v>10</v>
      </c>
      <c r="B11" t="str">
        <f t="shared" si="0"/>
        <v>rec010</v>
      </c>
      <c r="C11" t="str">
        <f t="shared" si="1"/>
        <v>pswrec010</v>
      </c>
      <c r="D11" t="str">
        <f ca="1">Nomes!T59</f>
        <v>Ricardo José Jesus Monteiro</v>
      </c>
      <c r="E11" t="str">
        <f ca="1">Nomes!S59</f>
        <v>Masculino</v>
      </c>
      <c r="F11" s="2">
        <f t="shared" ca="1" si="2"/>
        <v>33088</v>
      </c>
      <c r="G11" t="str" cm="1">
        <f t="array" aca="1" ref="G11" ca="1">INDEX(rua_cod!$F:$F,RANDBETWEEN(2,COUNTA(rua_cod!F:F)))</f>
        <v>Rua dos Bacalhoeiros</v>
      </c>
      <c r="H11" t="str" cm="1">
        <f t="array" aca="1" ref="H11" ca="1">INDEX(rua_cod!$A:$A,Receptionist!X11) &amp; "-" &amp; TEXT(RANDBETWEEN(0,999),"000")</f>
        <v>1350-533</v>
      </c>
      <c r="I11" t="str" cm="1">
        <f t="array" aca="1" ref="I11" ca="1">INDEX(rua_cod!$B:$B,Receptionist!X11)</f>
        <v>Lisboa</v>
      </c>
      <c r="J11" t="s">
        <v>3742</v>
      </c>
      <c r="K11" t="s">
        <v>225</v>
      </c>
      <c r="L11" t="s">
        <v>265</v>
      </c>
      <c r="M11" t="str">
        <f t="shared" ca="1" si="3"/>
        <v>34351517</v>
      </c>
      <c r="N11" t="str">
        <f t="shared" ca="1" si="4"/>
        <v>193934150</v>
      </c>
      <c r="O11" t="str">
        <f t="shared" ca="1" si="4"/>
        <v>584075237</v>
      </c>
      <c r="P11" t="str" cm="1">
        <f t="array" aca="1" ref="P11" ca="1">9 &amp; INDEX($AH$3:$AH$6,Y11)&amp; TEXT(RANDBETWEEN(0,9999999),"0000000")</f>
        <v>966446486</v>
      </c>
      <c r="Q11" t="str" cm="1">
        <f t="array" aca="1" ref="Q11" ca="1">LOWER(B11) &amp; INDEX($AH$9:$AH$11,Z11)</f>
        <v>rec010@hospital.upskill.com</v>
      </c>
      <c r="R11" t="str">
        <f t="shared" si="5"/>
        <v>rec010.jpg</v>
      </c>
      <c r="S11" s="8"/>
      <c r="V11" s="4"/>
      <c r="X11">
        <f ca="1">RANDBETWEEN(2,COUNTA(rua_cod!A:A))</f>
        <v>54</v>
      </c>
      <c r="Y11">
        <f t="shared" ca="1" si="6"/>
        <v>4</v>
      </c>
      <c r="Z11">
        <f t="shared" ca="1" si="7"/>
        <v>3</v>
      </c>
      <c r="AA11">
        <f t="shared" ca="1" si="8"/>
        <v>1990</v>
      </c>
      <c r="AB11">
        <f t="shared" ca="1" si="9"/>
        <v>8</v>
      </c>
      <c r="AC11">
        <f t="shared" ca="1" si="10"/>
        <v>3</v>
      </c>
      <c r="AD11">
        <f t="shared" ca="1" si="11"/>
        <v>30</v>
      </c>
      <c r="AH11" s="5" t="s">
        <v>340</v>
      </c>
    </row>
    <row r="12" spans="1:34" x14ac:dyDescent="0.25">
      <c r="F12" s="2"/>
      <c r="V12" s="4"/>
    </row>
    <row r="13" spans="1:34" x14ac:dyDescent="0.25">
      <c r="V13" s="4"/>
    </row>
    <row r="14" spans="1:34" x14ac:dyDescent="0.25">
      <c r="V14" s="4"/>
    </row>
    <row r="15" spans="1:34" x14ac:dyDescent="0.25">
      <c r="V15" s="4"/>
    </row>
    <row r="16" spans="1:34" x14ac:dyDescent="0.25">
      <c r="V16" s="4"/>
    </row>
    <row r="17" spans="22:22" x14ac:dyDescent="0.25">
      <c r="V17" s="4"/>
    </row>
    <row r="18" spans="22:22" x14ac:dyDescent="0.25">
      <c r="V18" s="4"/>
    </row>
    <row r="19" spans="22:22" x14ac:dyDescent="0.25">
      <c r="V19" s="4"/>
    </row>
    <row r="20" spans="22:22" x14ac:dyDescent="0.25">
      <c r="V20" s="4"/>
    </row>
    <row r="21" spans="22:22" x14ac:dyDescent="0.25">
      <c r="V21" s="4"/>
    </row>
    <row r="22" spans="22:22" x14ac:dyDescent="0.25">
      <c r="V22" s="4"/>
    </row>
    <row r="23" spans="22:22" x14ac:dyDescent="0.25">
      <c r="V23" s="4"/>
    </row>
    <row r="24" spans="22:22" x14ac:dyDescent="0.25">
      <c r="V24" s="4"/>
    </row>
    <row r="25" spans="22:22" x14ac:dyDescent="0.25">
      <c r="V25" s="4"/>
    </row>
    <row r="26" spans="22:22" x14ac:dyDescent="0.25">
      <c r="V26" s="4"/>
    </row>
    <row r="27" spans="22:22" x14ac:dyDescent="0.25">
      <c r="V27" s="4"/>
    </row>
    <row r="28" spans="22:22" x14ac:dyDescent="0.25">
      <c r="V28" s="4"/>
    </row>
    <row r="29" spans="22:22" x14ac:dyDescent="0.25">
      <c r="V29" s="4"/>
    </row>
    <row r="30" spans="22:22" x14ac:dyDescent="0.25">
      <c r="V30" s="4"/>
    </row>
    <row r="31" spans="22:22" x14ac:dyDescent="0.25">
      <c r="V31" s="4"/>
    </row>
    <row r="32" spans="22:22" x14ac:dyDescent="0.25">
      <c r="V32" s="4"/>
    </row>
    <row r="33" spans="22:22" x14ac:dyDescent="0.25">
      <c r="V33" s="4"/>
    </row>
    <row r="34" spans="22:22" x14ac:dyDescent="0.25">
      <c r="V34" s="4"/>
    </row>
    <row r="35" spans="22:22" x14ac:dyDescent="0.25">
      <c r="V35" s="4"/>
    </row>
    <row r="36" spans="22:22" x14ac:dyDescent="0.25">
      <c r="V36" s="4"/>
    </row>
    <row r="37" spans="22:22" x14ac:dyDescent="0.25">
      <c r="V37" s="4"/>
    </row>
    <row r="38" spans="22:22" x14ac:dyDescent="0.25">
      <c r="V38" s="4"/>
    </row>
    <row r="39" spans="22:22" x14ac:dyDescent="0.25">
      <c r="V39" s="4"/>
    </row>
    <row r="40" spans="22:22" x14ac:dyDescent="0.25">
      <c r="V40" s="4"/>
    </row>
    <row r="41" spans="22:22" x14ac:dyDescent="0.25">
      <c r="V41" s="4"/>
    </row>
    <row r="42" spans="22:22" x14ac:dyDescent="0.25">
      <c r="V42" s="4"/>
    </row>
    <row r="43" spans="22:22" x14ac:dyDescent="0.25">
      <c r="V43" s="4"/>
    </row>
    <row r="44" spans="22:22" x14ac:dyDescent="0.25">
      <c r="V44" s="4"/>
    </row>
    <row r="45" spans="22:22" x14ac:dyDescent="0.25">
      <c r="V45" s="4"/>
    </row>
  </sheetData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65253-D333-46F6-8CAA-3DE07225AB3A}">
  <dimension ref="A4:D191"/>
  <sheetViews>
    <sheetView workbookViewId="0">
      <selection activeCell="B154" sqref="B4:B154"/>
    </sheetView>
  </sheetViews>
  <sheetFormatPr defaultRowHeight="15" x14ac:dyDescent="0.25"/>
  <sheetData>
    <row r="4" spans="1:4" x14ac:dyDescent="0.25">
      <c r="A4" t="s">
        <v>3723</v>
      </c>
      <c r="B4" t="s">
        <v>3724</v>
      </c>
      <c r="D4" s="5" t="s">
        <v>3725</v>
      </c>
    </row>
    <row r="5" spans="1:4" x14ac:dyDescent="0.25">
      <c r="A5">
        <v>1</v>
      </c>
      <c r="B5">
        <v>1</v>
      </c>
      <c r="D5" t="str">
        <f>"VALUES ('"&amp;A5&amp;"', '"&amp;B5&amp;"'),"</f>
        <v>VALUES ('1', '1'),</v>
      </c>
    </row>
    <row r="6" spans="1:4" x14ac:dyDescent="0.25">
      <c r="A6">
        <v>2</v>
      </c>
      <c r="B6">
        <v>2</v>
      </c>
      <c r="D6" t="str">
        <f>"('"&amp;A6&amp;"', '"&amp;B6&amp;"'),"</f>
        <v>('2', '2'),</v>
      </c>
    </row>
    <row r="7" spans="1:4" x14ac:dyDescent="0.25">
      <c r="A7">
        <v>3</v>
      </c>
      <c r="B7">
        <v>3</v>
      </c>
      <c r="D7" t="str">
        <f t="shared" ref="D7:D70" si="0">"('"&amp;A7&amp;"', '"&amp;B7&amp;"'),"</f>
        <v>('3', '3'),</v>
      </c>
    </row>
    <row r="8" spans="1:4" x14ac:dyDescent="0.25">
      <c r="A8">
        <v>4</v>
      </c>
      <c r="B8">
        <v>4</v>
      </c>
      <c r="D8" t="str">
        <f t="shared" si="0"/>
        <v>('4', '4'),</v>
      </c>
    </row>
    <row r="9" spans="1:4" x14ac:dyDescent="0.25">
      <c r="A9">
        <v>5</v>
      </c>
      <c r="B9">
        <v>5</v>
      </c>
      <c r="D9" t="str">
        <f t="shared" si="0"/>
        <v>('5', '5'),</v>
      </c>
    </row>
    <row r="10" spans="1:4" x14ac:dyDescent="0.25">
      <c r="A10">
        <v>6</v>
      </c>
      <c r="B10">
        <v>6</v>
      </c>
      <c r="D10" t="str">
        <f t="shared" si="0"/>
        <v>('6', '6'),</v>
      </c>
    </row>
    <row r="11" spans="1:4" x14ac:dyDescent="0.25">
      <c r="A11">
        <v>7</v>
      </c>
      <c r="B11">
        <v>7</v>
      </c>
      <c r="D11" t="str">
        <f t="shared" si="0"/>
        <v>('7', '7'),</v>
      </c>
    </row>
    <row r="12" spans="1:4" x14ac:dyDescent="0.25">
      <c r="A12">
        <v>8</v>
      </c>
      <c r="B12">
        <v>8</v>
      </c>
      <c r="D12" t="str">
        <f t="shared" si="0"/>
        <v>('8', '8'),</v>
      </c>
    </row>
    <row r="13" spans="1:4" x14ac:dyDescent="0.25">
      <c r="A13">
        <v>9</v>
      </c>
      <c r="B13">
        <v>9</v>
      </c>
      <c r="D13" t="str">
        <f t="shared" si="0"/>
        <v>('9', '9'),</v>
      </c>
    </row>
    <row r="14" spans="1:4" x14ac:dyDescent="0.25">
      <c r="A14">
        <v>10</v>
      </c>
      <c r="B14">
        <v>10</v>
      </c>
      <c r="D14" t="str">
        <f t="shared" si="0"/>
        <v>('10', '10'),</v>
      </c>
    </row>
    <row r="15" spans="1:4" x14ac:dyDescent="0.25">
      <c r="A15">
        <v>11</v>
      </c>
      <c r="B15">
        <v>11</v>
      </c>
      <c r="D15" t="str">
        <f t="shared" si="0"/>
        <v>('11', '11'),</v>
      </c>
    </row>
    <row r="16" spans="1:4" x14ac:dyDescent="0.25">
      <c r="A16">
        <v>12</v>
      </c>
      <c r="B16">
        <v>12</v>
      </c>
      <c r="D16" t="str">
        <f t="shared" si="0"/>
        <v>('12', '12'),</v>
      </c>
    </row>
    <row r="17" spans="1:4" x14ac:dyDescent="0.25">
      <c r="A17">
        <v>13</v>
      </c>
      <c r="B17">
        <v>13</v>
      </c>
      <c r="D17" t="str">
        <f t="shared" si="0"/>
        <v>('13', '13'),</v>
      </c>
    </row>
    <row r="18" spans="1:4" x14ac:dyDescent="0.25">
      <c r="A18">
        <v>14</v>
      </c>
      <c r="B18">
        <v>14</v>
      </c>
      <c r="D18" t="str">
        <f t="shared" si="0"/>
        <v>('14', '14'),</v>
      </c>
    </row>
    <row r="19" spans="1:4" x14ac:dyDescent="0.25">
      <c r="A19">
        <v>15</v>
      </c>
      <c r="B19">
        <v>15</v>
      </c>
      <c r="D19" t="str">
        <f t="shared" si="0"/>
        <v>('15', '15'),</v>
      </c>
    </row>
    <row r="20" spans="1:4" x14ac:dyDescent="0.25">
      <c r="A20">
        <v>16</v>
      </c>
      <c r="B20">
        <v>16</v>
      </c>
      <c r="D20" t="str">
        <f t="shared" si="0"/>
        <v>('16', '16'),</v>
      </c>
    </row>
    <row r="21" spans="1:4" x14ac:dyDescent="0.25">
      <c r="A21">
        <v>17</v>
      </c>
      <c r="B21">
        <v>17</v>
      </c>
      <c r="D21" t="str">
        <f t="shared" si="0"/>
        <v>('17', '17'),</v>
      </c>
    </row>
    <row r="22" spans="1:4" x14ac:dyDescent="0.25">
      <c r="A22">
        <v>18</v>
      </c>
      <c r="B22">
        <v>18</v>
      </c>
      <c r="D22" t="str">
        <f t="shared" si="0"/>
        <v>('18', '18'),</v>
      </c>
    </row>
    <row r="23" spans="1:4" x14ac:dyDescent="0.25">
      <c r="A23">
        <v>19</v>
      </c>
      <c r="B23">
        <v>19</v>
      </c>
      <c r="D23" t="str">
        <f t="shared" si="0"/>
        <v>('19', '19'),</v>
      </c>
    </row>
    <row r="24" spans="1:4" x14ac:dyDescent="0.25">
      <c r="A24">
        <v>20</v>
      </c>
      <c r="B24">
        <v>20</v>
      </c>
      <c r="D24" t="str">
        <f t="shared" si="0"/>
        <v>('20', '20'),</v>
      </c>
    </row>
    <row r="25" spans="1:4" x14ac:dyDescent="0.25">
      <c r="A25">
        <v>21</v>
      </c>
      <c r="B25">
        <v>21</v>
      </c>
      <c r="D25" t="str">
        <f t="shared" si="0"/>
        <v>('21', '21'),</v>
      </c>
    </row>
    <row r="26" spans="1:4" x14ac:dyDescent="0.25">
      <c r="A26">
        <v>22</v>
      </c>
      <c r="B26">
        <v>22</v>
      </c>
      <c r="D26" t="str">
        <f t="shared" si="0"/>
        <v>('22', '22'),</v>
      </c>
    </row>
    <row r="27" spans="1:4" x14ac:dyDescent="0.25">
      <c r="A27">
        <v>23</v>
      </c>
      <c r="B27">
        <v>23</v>
      </c>
      <c r="D27" t="str">
        <f t="shared" si="0"/>
        <v>('23', '23'),</v>
      </c>
    </row>
    <row r="28" spans="1:4" x14ac:dyDescent="0.25">
      <c r="A28">
        <v>24</v>
      </c>
      <c r="B28">
        <v>24</v>
      </c>
      <c r="D28" t="str">
        <f t="shared" si="0"/>
        <v>('24', '24'),</v>
      </c>
    </row>
    <row r="29" spans="1:4" x14ac:dyDescent="0.25">
      <c r="A29">
        <v>25</v>
      </c>
      <c r="B29">
        <v>25</v>
      </c>
      <c r="D29" t="str">
        <f t="shared" si="0"/>
        <v>('25', '25'),</v>
      </c>
    </row>
    <row r="30" spans="1:4" x14ac:dyDescent="0.25">
      <c r="A30">
        <v>26</v>
      </c>
      <c r="B30">
        <v>26</v>
      </c>
      <c r="D30" t="str">
        <f t="shared" si="0"/>
        <v>('26', '26'),</v>
      </c>
    </row>
    <row r="31" spans="1:4" x14ac:dyDescent="0.25">
      <c r="A31">
        <v>27</v>
      </c>
      <c r="B31">
        <v>27</v>
      </c>
      <c r="D31" t="str">
        <f t="shared" si="0"/>
        <v>('27', '27'),</v>
      </c>
    </row>
    <row r="32" spans="1:4" x14ac:dyDescent="0.25">
      <c r="A32">
        <v>28</v>
      </c>
      <c r="B32">
        <v>28</v>
      </c>
      <c r="D32" t="str">
        <f t="shared" si="0"/>
        <v>('28', '28'),</v>
      </c>
    </row>
    <row r="33" spans="1:4" x14ac:dyDescent="0.25">
      <c r="A33">
        <v>29</v>
      </c>
      <c r="B33">
        <v>29</v>
      </c>
      <c r="D33" t="str">
        <f t="shared" si="0"/>
        <v>('29', '29'),</v>
      </c>
    </row>
    <row r="34" spans="1:4" x14ac:dyDescent="0.25">
      <c r="A34">
        <v>30</v>
      </c>
      <c r="B34">
        <v>30</v>
      </c>
      <c r="D34" t="str">
        <f t="shared" si="0"/>
        <v>('30', '30'),</v>
      </c>
    </row>
    <row r="35" spans="1:4" x14ac:dyDescent="0.25">
      <c r="A35">
        <v>31</v>
      </c>
      <c r="B35">
        <v>31</v>
      </c>
      <c r="D35" t="str">
        <f t="shared" si="0"/>
        <v>('31', '31'),</v>
      </c>
    </row>
    <row r="36" spans="1:4" x14ac:dyDescent="0.25">
      <c r="A36">
        <v>32</v>
      </c>
      <c r="B36">
        <v>32</v>
      </c>
      <c r="D36" t="str">
        <f t="shared" si="0"/>
        <v>('32', '32'),</v>
      </c>
    </row>
    <row r="37" spans="1:4" x14ac:dyDescent="0.25">
      <c r="A37">
        <v>33</v>
      </c>
      <c r="B37">
        <v>33</v>
      </c>
      <c r="D37" t="str">
        <f t="shared" si="0"/>
        <v>('33', '33'),</v>
      </c>
    </row>
    <row r="38" spans="1:4" x14ac:dyDescent="0.25">
      <c r="A38">
        <v>34</v>
      </c>
      <c r="B38">
        <v>34</v>
      </c>
      <c r="D38" t="str">
        <f t="shared" si="0"/>
        <v>('34', '34'),</v>
      </c>
    </row>
    <row r="39" spans="1:4" x14ac:dyDescent="0.25">
      <c r="A39">
        <v>35</v>
      </c>
      <c r="B39">
        <v>35</v>
      </c>
      <c r="D39" t="str">
        <f t="shared" si="0"/>
        <v>('35', '35'),</v>
      </c>
    </row>
    <row r="40" spans="1:4" x14ac:dyDescent="0.25">
      <c r="A40">
        <v>36</v>
      </c>
      <c r="B40">
        <v>36</v>
      </c>
      <c r="D40" t="str">
        <f t="shared" si="0"/>
        <v>('36', '36'),</v>
      </c>
    </row>
    <row r="41" spans="1:4" x14ac:dyDescent="0.25">
      <c r="A41">
        <v>37</v>
      </c>
      <c r="B41">
        <v>37</v>
      </c>
      <c r="D41" t="str">
        <f t="shared" si="0"/>
        <v>('37', '37'),</v>
      </c>
    </row>
    <row r="42" spans="1:4" x14ac:dyDescent="0.25">
      <c r="A42">
        <v>38</v>
      </c>
      <c r="B42">
        <v>38</v>
      </c>
      <c r="D42" t="str">
        <f t="shared" si="0"/>
        <v>('38', '38'),</v>
      </c>
    </row>
    <row r="43" spans="1:4" x14ac:dyDescent="0.25">
      <c r="A43">
        <v>39</v>
      </c>
      <c r="B43">
        <v>39</v>
      </c>
      <c r="D43" t="str">
        <f t="shared" si="0"/>
        <v>('39', '39'),</v>
      </c>
    </row>
    <row r="44" spans="1:4" x14ac:dyDescent="0.25">
      <c r="A44">
        <v>40</v>
      </c>
      <c r="B44">
        <v>40</v>
      </c>
      <c r="D44" t="str">
        <f t="shared" si="0"/>
        <v>('40', '40'),</v>
      </c>
    </row>
    <row r="45" spans="1:4" x14ac:dyDescent="0.25">
      <c r="A45">
        <v>41</v>
      </c>
      <c r="B45">
        <v>41</v>
      </c>
      <c r="D45" t="str">
        <f t="shared" si="0"/>
        <v>('41', '41'),</v>
      </c>
    </row>
    <row r="46" spans="1:4" x14ac:dyDescent="0.25">
      <c r="A46">
        <v>42</v>
      </c>
      <c r="B46">
        <v>42</v>
      </c>
      <c r="D46" t="str">
        <f t="shared" si="0"/>
        <v>('42', '42'),</v>
      </c>
    </row>
    <row r="47" spans="1:4" x14ac:dyDescent="0.25">
      <c r="A47">
        <v>43</v>
      </c>
      <c r="B47">
        <v>43</v>
      </c>
      <c r="D47" t="str">
        <f t="shared" si="0"/>
        <v>('43', '43'),</v>
      </c>
    </row>
    <row r="48" spans="1:4" x14ac:dyDescent="0.25">
      <c r="A48">
        <v>44</v>
      </c>
      <c r="B48">
        <v>44</v>
      </c>
      <c r="D48" t="str">
        <f t="shared" si="0"/>
        <v>('44', '44'),</v>
      </c>
    </row>
    <row r="49" spans="1:4" x14ac:dyDescent="0.25">
      <c r="A49">
        <v>45</v>
      </c>
      <c r="B49">
        <v>45</v>
      </c>
      <c r="D49" t="str">
        <f t="shared" si="0"/>
        <v>('45', '45'),</v>
      </c>
    </row>
    <row r="50" spans="1:4" x14ac:dyDescent="0.25">
      <c r="A50">
        <v>46</v>
      </c>
      <c r="B50">
        <v>46</v>
      </c>
      <c r="D50" t="str">
        <f t="shared" si="0"/>
        <v>('46', '46'),</v>
      </c>
    </row>
    <row r="51" spans="1:4" x14ac:dyDescent="0.25">
      <c r="A51">
        <v>47</v>
      </c>
      <c r="B51">
        <v>47</v>
      </c>
      <c r="D51" t="str">
        <f t="shared" si="0"/>
        <v>('47', '47'),</v>
      </c>
    </row>
    <row r="52" spans="1:4" x14ac:dyDescent="0.25">
      <c r="A52">
        <v>48</v>
      </c>
      <c r="B52">
        <v>48</v>
      </c>
      <c r="D52" t="str">
        <f t="shared" si="0"/>
        <v>('48', '48'),</v>
      </c>
    </row>
    <row r="53" spans="1:4" x14ac:dyDescent="0.25">
      <c r="A53">
        <v>49</v>
      </c>
      <c r="B53">
        <v>49</v>
      </c>
      <c r="D53" t="str">
        <f t="shared" si="0"/>
        <v>('49', '49'),</v>
      </c>
    </row>
    <row r="54" spans="1:4" x14ac:dyDescent="0.25">
      <c r="A54">
        <v>50</v>
      </c>
      <c r="B54">
        <v>50</v>
      </c>
      <c r="D54" t="str">
        <f t="shared" si="0"/>
        <v>('50', '50'),</v>
      </c>
    </row>
    <row r="55" spans="1:4" x14ac:dyDescent="0.25">
      <c r="A55">
        <v>51</v>
      </c>
      <c r="B55">
        <v>1</v>
      </c>
      <c r="D55" t="str">
        <f t="shared" si="0"/>
        <v>('51', '1'),</v>
      </c>
    </row>
    <row r="56" spans="1:4" x14ac:dyDescent="0.25">
      <c r="A56">
        <v>52</v>
      </c>
      <c r="B56">
        <v>2</v>
      </c>
      <c r="D56" t="str">
        <f t="shared" si="0"/>
        <v>('52', '2'),</v>
      </c>
    </row>
    <row r="57" spans="1:4" x14ac:dyDescent="0.25">
      <c r="A57">
        <v>53</v>
      </c>
      <c r="B57">
        <v>3</v>
      </c>
      <c r="D57" t="str">
        <f t="shared" si="0"/>
        <v>('53', '3'),</v>
      </c>
    </row>
    <row r="58" spans="1:4" x14ac:dyDescent="0.25">
      <c r="A58">
        <v>54</v>
      </c>
      <c r="B58">
        <v>4</v>
      </c>
      <c r="D58" t="str">
        <f t="shared" si="0"/>
        <v>('54', '4'),</v>
      </c>
    </row>
    <row r="59" spans="1:4" x14ac:dyDescent="0.25">
      <c r="A59">
        <v>55</v>
      </c>
      <c r="B59">
        <v>5</v>
      </c>
      <c r="D59" t="str">
        <f t="shared" si="0"/>
        <v>('55', '5'),</v>
      </c>
    </row>
    <row r="60" spans="1:4" x14ac:dyDescent="0.25">
      <c r="A60">
        <v>56</v>
      </c>
      <c r="B60">
        <v>6</v>
      </c>
      <c r="D60" t="str">
        <f t="shared" si="0"/>
        <v>('56', '6'),</v>
      </c>
    </row>
    <row r="61" spans="1:4" x14ac:dyDescent="0.25">
      <c r="A61">
        <v>57</v>
      </c>
      <c r="B61">
        <v>7</v>
      </c>
      <c r="D61" t="str">
        <f t="shared" si="0"/>
        <v>('57', '7'),</v>
      </c>
    </row>
    <row r="62" spans="1:4" x14ac:dyDescent="0.25">
      <c r="A62">
        <v>58</v>
      </c>
      <c r="B62">
        <v>8</v>
      </c>
      <c r="D62" t="str">
        <f t="shared" si="0"/>
        <v>('58', '8'),</v>
      </c>
    </row>
    <row r="63" spans="1:4" x14ac:dyDescent="0.25">
      <c r="A63">
        <v>59</v>
      </c>
      <c r="B63">
        <v>9</v>
      </c>
      <c r="D63" t="str">
        <f t="shared" si="0"/>
        <v>('59', '9'),</v>
      </c>
    </row>
    <row r="64" spans="1:4" x14ac:dyDescent="0.25">
      <c r="A64">
        <v>60</v>
      </c>
      <c r="B64">
        <v>10</v>
      </c>
      <c r="D64" t="str">
        <f t="shared" si="0"/>
        <v>('60', '10'),</v>
      </c>
    </row>
    <row r="65" spans="1:4" x14ac:dyDescent="0.25">
      <c r="A65">
        <v>61</v>
      </c>
      <c r="B65">
        <v>11</v>
      </c>
      <c r="D65" t="str">
        <f t="shared" si="0"/>
        <v>('61', '11'),</v>
      </c>
    </row>
    <row r="66" spans="1:4" x14ac:dyDescent="0.25">
      <c r="A66">
        <v>62</v>
      </c>
      <c r="B66">
        <v>12</v>
      </c>
      <c r="D66" t="str">
        <f t="shared" si="0"/>
        <v>('62', '12'),</v>
      </c>
    </row>
    <row r="67" spans="1:4" x14ac:dyDescent="0.25">
      <c r="A67">
        <v>63</v>
      </c>
      <c r="B67">
        <v>13</v>
      </c>
      <c r="D67" t="str">
        <f t="shared" si="0"/>
        <v>('63', '13'),</v>
      </c>
    </row>
    <row r="68" spans="1:4" x14ac:dyDescent="0.25">
      <c r="A68">
        <v>64</v>
      </c>
      <c r="B68">
        <v>14</v>
      </c>
      <c r="D68" t="str">
        <f t="shared" si="0"/>
        <v>('64', '14'),</v>
      </c>
    </row>
    <row r="69" spans="1:4" x14ac:dyDescent="0.25">
      <c r="A69">
        <v>65</v>
      </c>
      <c r="B69">
        <v>15</v>
      </c>
      <c r="D69" t="str">
        <f t="shared" si="0"/>
        <v>('65', '15'),</v>
      </c>
    </row>
    <row r="70" spans="1:4" x14ac:dyDescent="0.25">
      <c r="A70">
        <v>66</v>
      </c>
      <c r="B70">
        <v>16</v>
      </c>
      <c r="D70" t="str">
        <f t="shared" si="0"/>
        <v>('66', '16'),</v>
      </c>
    </row>
    <row r="71" spans="1:4" x14ac:dyDescent="0.25">
      <c r="A71">
        <v>67</v>
      </c>
      <c r="B71">
        <v>17</v>
      </c>
      <c r="D71" t="str">
        <f t="shared" ref="D71:D134" si="1">"('"&amp;A71&amp;"', '"&amp;B71&amp;"'),"</f>
        <v>('67', '17'),</v>
      </c>
    </row>
    <row r="72" spans="1:4" x14ac:dyDescent="0.25">
      <c r="A72">
        <v>68</v>
      </c>
      <c r="B72">
        <v>18</v>
      </c>
      <c r="D72" t="str">
        <f t="shared" si="1"/>
        <v>('68', '18'),</v>
      </c>
    </row>
    <row r="73" spans="1:4" x14ac:dyDescent="0.25">
      <c r="A73">
        <v>69</v>
      </c>
      <c r="B73">
        <v>19</v>
      </c>
      <c r="D73" t="str">
        <f t="shared" si="1"/>
        <v>('69', '19'),</v>
      </c>
    </row>
    <row r="74" spans="1:4" x14ac:dyDescent="0.25">
      <c r="A74">
        <v>70</v>
      </c>
      <c r="B74">
        <v>20</v>
      </c>
      <c r="D74" t="str">
        <f t="shared" si="1"/>
        <v>('70', '20'),</v>
      </c>
    </row>
    <row r="75" spans="1:4" x14ac:dyDescent="0.25">
      <c r="A75">
        <v>71</v>
      </c>
      <c r="B75">
        <v>21</v>
      </c>
      <c r="D75" t="str">
        <f t="shared" si="1"/>
        <v>('71', '21'),</v>
      </c>
    </row>
    <row r="76" spans="1:4" x14ac:dyDescent="0.25">
      <c r="A76">
        <v>72</v>
      </c>
      <c r="B76">
        <v>22</v>
      </c>
      <c r="D76" t="str">
        <f t="shared" si="1"/>
        <v>('72', '22'),</v>
      </c>
    </row>
    <row r="77" spans="1:4" x14ac:dyDescent="0.25">
      <c r="A77">
        <v>73</v>
      </c>
      <c r="B77">
        <v>23</v>
      </c>
      <c r="D77" t="str">
        <f t="shared" si="1"/>
        <v>('73', '23'),</v>
      </c>
    </row>
    <row r="78" spans="1:4" x14ac:dyDescent="0.25">
      <c r="A78">
        <v>74</v>
      </c>
      <c r="B78">
        <v>24</v>
      </c>
      <c r="D78" t="str">
        <f t="shared" si="1"/>
        <v>('74', '24'),</v>
      </c>
    </row>
    <row r="79" spans="1:4" x14ac:dyDescent="0.25">
      <c r="A79">
        <v>75</v>
      </c>
      <c r="B79">
        <v>25</v>
      </c>
      <c r="D79" t="str">
        <f t="shared" si="1"/>
        <v>('75', '25'),</v>
      </c>
    </row>
    <row r="80" spans="1:4" x14ac:dyDescent="0.25">
      <c r="A80">
        <v>76</v>
      </c>
      <c r="B80">
        <v>26</v>
      </c>
      <c r="D80" t="str">
        <f t="shared" si="1"/>
        <v>('76', '26'),</v>
      </c>
    </row>
    <row r="81" spans="1:4" x14ac:dyDescent="0.25">
      <c r="A81">
        <v>77</v>
      </c>
      <c r="B81">
        <v>27</v>
      </c>
      <c r="D81" t="str">
        <f t="shared" si="1"/>
        <v>('77', '27'),</v>
      </c>
    </row>
    <row r="82" spans="1:4" x14ac:dyDescent="0.25">
      <c r="A82">
        <v>78</v>
      </c>
      <c r="B82">
        <v>28</v>
      </c>
      <c r="D82" t="str">
        <f t="shared" si="1"/>
        <v>('78', '28'),</v>
      </c>
    </row>
    <row r="83" spans="1:4" x14ac:dyDescent="0.25">
      <c r="A83">
        <v>79</v>
      </c>
      <c r="B83">
        <v>29</v>
      </c>
      <c r="D83" t="str">
        <f t="shared" si="1"/>
        <v>('79', '29'),</v>
      </c>
    </row>
    <row r="84" spans="1:4" x14ac:dyDescent="0.25">
      <c r="A84">
        <v>80</v>
      </c>
      <c r="B84">
        <v>30</v>
      </c>
      <c r="D84" t="str">
        <f t="shared" si="1"/>
        <v>('80', '30'),</v>
      </c>
    </row>
    <row r="85" spans="1:4" x14ac:dyDescent="0.25">
      <c r="A85">
        <v>81</v>
      </c>
      <c r="B85">
        <v>31</v>
      </c>
      <c r="D85" t="str">
        <f t="shared" si="1"/>
        <v>('81', '31'),</v>
      </c>
    </row>
    <row r="86" spans="1:4" x14ac:dyDescent="0.25">
      <c r="A86">
        <v>82</v>
      </c>
      <c r="B86">
        <v>32</v>
      </c>
      <c r="D86" t="str">
        <f t="shared" si="1"/>
        <v>('82', '32'),</v>
      </c>
    </row>
    <row r="87" spans="1:4" x14ac:dyDescent="0.25">
      <c r="A87">
        <v>83</v>
      </c>
      <c r="B87">
        <v>33</v>
      </c>
      <c r="D87" t="str">
        <f t="shared" si="1"/>
        <v>('83', '33'),</v>
      </c>
    </row>
    <row r="88" spans="1:4" x14ac:dyDescent="0.25">
      <c r="A88">
        <v>84</v>
      </c>
      <c r="B88">
        <v>34</v>
      </c>
      <c r="D88" t="str">
        <f t="shared" si="1"/>
        <v>('84', '34'),</v>
      </c>
    </row>
    <row r="89" spans="1:4" x14ac:dyDescent="0.25">
      <c r="A89">
        <v>85</v>
      </c>
      <c r="B89">
        <v>35</v>
      </c>
      <c r="D89" t="str">
        <f t="shared" si="1"/>
        <v>('85', '35'),</v>
      </c>
    </row>
    <row r="90" spans="1:4" x14ac:dyDescent="0.25">
      <c r="A90">
        <v>86</v>
      </c>
      <c r="B90">
        <v>36</v>
      </c>
      <c r="D90" t="str">
        <f t="shared" si="1"/>
        <v>('86', '36'),</v>
      </c>
    </row>
    <row r="91" spans="1:4" x14ac:dyDescent="0.25">
      <c r="A91">
        <v>87</v>
      </c>
      <c r="B91">
        <v>37</v>
      </c>
      <c r="D91" t="str">
        <f t="shared" si="1"/>
        <v>('87', '37'),</v>
      </c>
    </row>
    <row r="92" spans="1:4" x14ac:dyDescent="0.25">
      <c r="A92">
        <v>88</v>
      </c>
      <c r="B92">
        <v>38</v>
      </c>
      <c r="D92" t="str">
        <f t="shared" si="1"/>
        <v>('88', '38'),</v>
      </c>
    </row>
    <row r="93" spans="1:4" x14ac:dyDescent="0.25">
      <c r="A93">
        <v>89</v>
      </c>
      <c r="B93">
        <v>39</v>
      </c>
      <c r="D93" t="str">
        <f t="shared" si="1"/>
        <v>('89', '39'),</v>
      </c>
    </row>
    <row r="94" spans="1:4" x14ac:dyDescent="0.25">
      <c r="A94">
        <v>90</v>
      </c>
      <c r="B94">
        <v>40</v>
      </c>
      <c r="D94" t="str">
        <f t="shared" si="1"/>
        <v>('90', '40'),</v>
      </c>
    </row>
    <row r="95" spans="1:4" x14ac:dyDescent="0.25">
      <c r="A95">
        <v>91</v>
      </c>
      <c r="B95">
        <v>41</v>
      </c>
      <c r="D95" t="str">
        <f t="shared" si="1"/>
        <v>('91', '41'),</v>
      </c>
    </row>
    <row r="96" spans="1:4" x14ac:dyDescent="0.25">
      <c r="A96">
        <v>92</v>
      </c>
      <c r="B96">
        <v>42</v>
      </c>
      <c r="D96" t="str">
        <f t="shared" si="1"/>
        <v>('92', '42'),</v>
      </c>
    </row>
    <row r="97" spans="1:4" x14ac:dyDescent="0.25">
      <c r="A97">
        <v>93</v>
      </c>
      <c r="B97">
        <v>43</v>
      </c>
      <c r="D97" t="str">
        <f t="shared" si="1"/>
        <v>('93', '43'),</v>
      </c>
    </row>
    <row r="98" spans="1:4" x14ac:dyDescent="0.25">
      <c r="A98">
        <v>94</v>
      </c>
      <c r="B98">
        <v>44</v>
      </c>
      <c r="D98" t="str">
        <f t="shared" si="1"/>
        <v>('94', '44'),</v>
      </c>
    </row>
    <row r="99" spans="1:4" x14ac:dyDescent="0.25">
      <c r="A99">
        <v>95</v>
      </c>
      <c r="B99">
        <v>45</v>
      </c>
      <c r="D99" t="str">
        <f t="shared" si="1"/>
        <v>('95', '45'),</v>
      </c>
    </row>
    <row r="100" spans="1:4" x14ac:dyDescent="0.25">
      <c r="A100">
        <v>96</v>
      </c>
      <c r="B100">
        <v>46</v>
      </c>
      <c r="D100" t="str">
        <f t="shared" si="1"/>
        <v>('96', '46'),</v>
      </c>
    </row>
    <row r="101" spans="1:4" x14ac:dyDescent="0.25">
      <c r="A101">
        <v>97</v>
      </c>
      <c r="B101">
        <v>47</v>
      </c>
      <c r="D101" t="str">
        <f t="shared" si="1"/>
        <v>('97', '47'),</v>
      </c>
    </row>
    <row r="102" spans="1:4" x14ac:dyDescent="0.25">
      <c r="A102">
        <v>98</v>
      </c>
      <c r="B102">
        <v>48</v>
      </c>
      <c r="D102" t="str">
        <f t="shared" si="1"/>
        <v>('98', '48'),</v>
      </c>
    </row>
    <row r="103" spans="1:4" x14ac:dyDescent="0.25">
      <c r="A103">
        <v>99</v>
      </c>
      <c r="B103">
        <v>49</v>
      </c>
      <c r="D103" t="str">
        <f t="shared" si="1"/>
        <v>('99', '49'),</v>
      </c>
    </row>
    <row r="104" spans="1:4" x14ac:dyDescent="0.25">
      <c r="A104">
        <v>100</v>
      </c>
      <c r="B104">
        <v>50</v>
      </c>
      <c r="D104" t="str">
        <f t="shared" si="1"/>
        <v>('100', '50'),</v>
      </c>
    </row>
    <row r="105" spans="1:4" x14ac:dyDescent="0.25">
      <c r="A105">
        <v>101</v>
      </c>
      <c r="B105">
        <v>1</v>
      </c>
      <c r="D105" t="str">
        <f t="shared" si="1"/>
        <v>('101', '1'),</v>
      </c>
    </row>
    <row r="106" spans="1:4" x14ac:dyDescent="0.25">
      <c r="A106">
        <v>102</v>
      </c>
      <c r="B106">
        <v>2</v>
      </c>
      <c r="D106" t="str">
        <f t="shared" si="1"/>
        <v>('102', '2'),</v>
      </c>
    </row>
    <row r="107" spans="1:4" x14ac:dyDescent="0.25">
      <c r="A107">
        <v>103</v>
      </c>
      <c r="B107">
        <v>3</v>
      </c>
      <c r="D107" t="str">
        <f t="shared" si="1"/>
        <v>('103', '3'),</v>
      </c>
    </row>
    <row r="108" spans="1:4" x14ac:dyDescent="0.25">
      <c r="A108">
        <v>104</v>
      </c>
      <c r="B108">
        <v>4</v>
      </c>
      <c r="D108" t="str">
        <f t="shared" si="1"/>
        <v>('104', '4'),</v>
      </c>
    </row>
    <row r="109" spans="1:4" x14ac:dyDescent="0.25">
      <c r="A109">
        <v>105</v>
      </c>
      <c r="B109">
        <v>5</v>
      </c>
      <c r="D109" t="str">
        <f t="shared" si="1"/>
        <v>('105', '5'),</v>
      </c>
    </row>
    <row r="110" spans="1:4" x14ac:dyDescent="0.25">
      <c r="A110">
        <v>106</v>
      </c>
      <c r="B110">
        <v>6</v>
      </c>
      <c r="D110" t="str">
        <f t="shared" si="1"/>
        <v>('106', '6'),</v>
      </c>
    </row>
    <row r="111" spans="1:4" x14ac:dyDescent="0.25">
      <c r="A111">
        <v>107</v>
      </c>
      <c r="B111">
        <v>7</v>
      </c>
      <c r="D111" t="str">
        <f t="shared" si="1"/>
        <v>('107', '7'),</v>
      </c>
    </row>
    <row r="112" spans="1:4" x14ac:dyDescent="0.25">
      <c r="A112">
        <v>108</v>
      </c>
      <c r="B112">
        <v>8</v>
      </c>
      <c r="D112" t="str">
        <f t="shared" si="1"/>
        <v>('108', '8'),</v>
      </c>
    </row>
    <row r="113" spans="1:4" x14ac:dyDescent="0.25">
      <c r="A113">
        <v>109</v>
      </c>
      <c r="B113">
        <v>9</v>
      </c>
      <c r="D113" t="str">
        <f t="shared" si="1"/>
        <v>('109', '9'),</v>
      </c>
    </row>
    <row r="114" spans="1:4" x14ac:dyDescent="0.25">
      <c r="A114">
        <v>110</v>
      </c>
      <c r="B114">
        <v>10</v>
      </c>
      <c r="D114" t="str">
        <f t="shared" si="1"/>
        <v>('110', '10'),</v>
      </c>
    </row>
    <row r="115" spans="1:4" x14ac:dyDescent="0.25">
      <c r="A115">
        <v>111</v>
      </c>
      <c r="B115">
        <v>11</v>
      </c>
      <c r="D115" t="str">
        <f t="shared" si="1"/>
        <v>('111', '11'),</v>
      </c>
    </row>
    <row r="116" spans="1:4" x14ac:dyDescent="0.25">
      <c r="A116">
        <v>112</v>
      </c>
      <c r="B116">
        <v>12</v>
      </c>
      <c r="D116" t="str">
        <f t="shared" si="1"/>
        <v>('112', '12'),</v>
      </c>
    </row>
    <row r="117" spans="1:4" x14ac:dyDescent="0.25">
      <c r="A117">
        <v>113</v>
      </c>
      <c r="B117">
        <v>13</v>
      </c>
      <c r="D117" t="str">
        <f t="shared" si="1"/>
        <v>('113', '13'),</v>
      </c>
    </row>
    <row r="118" spans="1:4" x14ac:dyDescent="0.25">
      <c r="A118">
        <v>114</v>
      </c>
      <c r="B118">
        <v>14</v>
      </c>
      <c r="D118" t="str">
        <f t="shared" si="1"/>
        <v>('114', '14'),</v>
      </c>
    </row>
    <row r="119" spans="1:4" x14ac:dyDescent="0.25">
      <c r="A119">
        <v>115</v>
      </c>
      <c r="B119">
        <v>15</v>
      </c>
      <c r="D119" t="str">
        <f t="shared" si="1"/>
        <v>('115', '15'),</v>
      </c>
    </row>
    <row r="120" spans="1:4" x14ac:dyDescent="0.25">
      <c r="A120">
        <v>116</v>
      </c>
      <c r="B120">
        <v>16</v>
      </c>
      <c r="D120" t="str">
        <f t="shared" si="1"/>
        <v>('116', '16'),</v>
      </c>
    </row>
    <row r="121" spans="1:4" x14ac:dyDescent="0.25">
      <c r="A121">
        <v>117</v>
      </c>
      <c r="B121">
        <v>17</v>
      </c>
      <c r="D121" t="str">
        <f t="shared" si="1"/>
        <v>('117', '17'),</v>
      </c>
    </row>
    <row r="122" spans="1:4" x14ac:dyDescent="0.25">
      <c r="A122">
        <v>118</v>
      </c>
      <c r="B122">
        <v>18</v>
      </c>
      <c r="D122" t="str">
        <f t="shared" si="1"/>
        <v>('118', '18'),</v>
      </c>
    </row>
    <row r="123" spans="1:4" x14ac:dyDescent="0.25">
      <c r="A123">
        <v>119</v>
      </c>
      <c r="B123">
        <v>19</v>
      </c>
      <c r="D123" t="str">
        <f t="shared" si="1"/>
        <v>('119', '19'),</v>
      </c>
    </row>
    <row r="124" spans="1:4" x14ac:dyDescent="0.25">
      <c r="A124">
        <v>120</v>
      </c>
      <c r="B124">
        <v>20</v>
      </c>
      <c r="D124" t="str">
        <f t="shared" si="1"/>
        <v>('120', '20'),</v>
      </c>
    </row>
    <row r="125" spans="1:4" x14ac:dyDescent="0.25">
      <c r="A125">
        <v>121</v>
      </c>
      <c r="B125">
        <v>21</v>
      </c>
      <c r="D125" t="str">
        <f t="shared" si="1"/>
        <v>('121', '21'),</v>
      </c>
    </row>
    <row r="126" spans="1:4" x14ac:dyDescent="0.25">
      <c r="A126">
        <v>122</v>
      </c>
      <c r="B126">
        <v>22</v>
      </c>
      <c r="D126" t="str">
        <f t="shared" si="1"/>
        <v>('122', '22'),</v>
      </c>
    </row>
    <row r="127" spans="1:4" x14ac:dyDescent="0.25">
      <c r="A127">
        <v>123</v>
      </c>
      <c r="B127">
        <v>23</v>
      </c>
      <c r="D127" t="str">
        <f t="shared" si="1"/>
        <v>('123', '23'),</v>
      </c>
    </row>
    <row r="128" spans="1:4" x14ac:dyDescent="0.25">
      <c r="A128">
        <v>124</v>
      </c>
      <c r="B128">
        <v>24</v>
      </c>
      <c r="D128" t="str">
        <f t="shared" si="1"/>
        <v>('124', '24'),</v>
      </c>
    </row>
    <row r="129" spans="1:4" x14ac:dyDescent="0.25">
      <c r="A129">
        <v>125</v>
      </c>
      <c r="B129">
        <v>25</v>
      </c>
      <c r="D129" t="str">
        <f t="shared" si="1"/>
        <v>('125', '25'),</v>
      </c>
    </row>
    <row r="130" spans="1:4" x14ac:dyDescent="0.25">
      <c r="A130">
        <v>126</v>
      </c>
      <c r="B130">
        <v>26</v>
      </c>
      <c r="D130" t="str">
        <f t="shared" si="1"/>
        <v>('126', '26'),</v>
      </c>
    </row>
    <row r="131" spans="1:4" x14ac:dyDescent="0.25">
      <c r="A131">
        <v>127</v>
      </c>
      <c r="B131">
        <v>27</v>
      </c>
      <c r="D131" t="str">
        <f t="shared" si="1"/>
        <v>('127', '27'),</v>
      </c>
    </row>
    <row r="132" spans="1:4" x14ac:dyDescent="0.25">
      <c r="A132">
        <v>128</v>
      </c>
      <c r="B132">
        <v>28</v>
      </c>
      <c r="D132" t="str">
        <f t="shared" si="1"/>
        <v>('128', '28'),</v>
      </c>
    </row>
    <row r="133" spans="1:4" x14ac:dyDescent="0.25">
      <c r="A133">
        <v>129</v>
      </c>
      <c r="B133">
        <v>29</v>
      </c>
      <c r="D133" t="str">
        <f t="shared" si="1"/>
        <v>('129', '29'),</v>
      </c>
    </row>
    <row r="134" spans="1:4" x14ac:dyDescent="0.25">
      <c r="A134">
        <v>130</v>
      </c>
      <c r="B134">
        <v>30</v>
      </c>
      <c r="D134" t="str">
        <f t="shared" si="1"/>
        <v>('130', '30'),</v>
      </c>
    </row>
    <row r="135" spans="1:4" x14ac:dyDescent="0.25">
      <c r="A135">
        <v>131</v>
      </c>
      <c r="B135">
        <v>31</v>
      </c>
      <c r="D135" t="str">
        <f t="shared" ref="D135:D190" si="2">"('"&amp;A135&amp;"', '"&amp;B135&amp;"'),"</f>
        <v>('131', '31'),</v>
      </c>
    </row>
    <row r="136" spans="1:4" x14ac:dyDescent="0.25">
      <c r="A136">
        <v>132</v>
      </c>
      <c r="B136">
        <v>32</v>
      </c>
      <c r="D136" t="str">
        <f t="shared" si="2"/>
        <v>('132', '32'),</v>
      </c>
    </row>
    <row r="137" spans="1:4" x14ac:dyDescent="0.25">
      <c r="A137">
        <v>133</v>
      </c>
      <c r="B137">
        <v>33</v>
      </c>
      <c r="D137" t="str">
        <f t="shared" si="2"/>
        <v>('133', '33'),</v>
      </c>
    </row>
    <row r="138" spans="1:4" x14ac:dyDescent="0.25">
      <c r="A138">
        <v>134</v>
      </c>
      <c r="B138">
        <v>34</v>
      </c>
      <c r="D138" t="str">
        <f t="shared" si="2"/>
        <v>('134', '34'),</v>
      </c>
    </row>
    <row r="139" spans="1:4" x14ac:dyDescent="0.25">
      <c r="A139">
        <v>135</v>
      </c>
      <c r="B139">
        <v>35</v>
      </c>
      <c r="D139" t="str">
        <f t="shared" si="2"/>
        <v>('135', '35'),</v>
      </c>
    </row>
    <row r="140" spans="1:4" x14ac:dyDescent="0.25">
      <c r="A140">
        <v>136</v>
      </c>
      <c r="B140">
        <v>36</v>
      </c>
      <c r="D140" t="str">
        <f t="shared" si="2"/>
        <v>('136', '36'),</v>
      </c>
    </row>
    <row r="141" spans="1:4" x14ac:dyDescent="0.25">
      <c r="A141">
        <v>137</v>
      </c>
      <c r="B141">
        <v>37</v>
      </c>
      <c r="D141" t="str">
        <f t="shared" si="2"/>
        <v>('137', '37'),</v>
      </c>
    </row>
    <row r="142" spans="1:4" x14ac:dyDescent="0.25">
      <c r="A142">
        <v>138</v>
      </c>
      <c r="B142">
        <v>38</v>
      </c>
      <c r="D142" t="str">
        <f t="shared" si="2"/>
        <v>('138', '38'),</v>
      </c>
    </row>
    <row r="143" spans="1:4" x14ac:dyDescent="0.25">
      <c r="A143">
        <v>139</v>
      </c>
      <c r="B143">
        <v>39</v>
      </c>
      <c r="D143" t="str">
        <f t="shared" si="2"/>
        <v>('139', '39'),</v>
      </c>
    </row>
    <row r="144" spans="1:4" x14ac:dyDescent="0.25">
      <c r="A144">
        <v>140</v>
      </c>
      <c r="B144">
        <v>40</v>
      </c>
      <c r="D144" t="str">
        <f t="shared" si="2"/>
        <v>('140', '40'),</v>
      </c>
    </row>
    <row r="145" spans="1:4" x14ac:dyDescent="0.25">
      <c r="A145">
        <v>141</v>
      </c>
      <c r="B145">
        <v>41</v>
      </c>
      <c r="D145" t="str">
        <f t="shared" si="2"/>
        <v>('141', '41'),</v>
      </c>
    </row>
    <row r="146" spans="1:4" x14ac:dyDescent="0.25">
      <c r="A146">
        <v>142</v>
      </c>
      <c r="B146">
        <v>42</v>
      </c>
      <c r="D146" t="str">
        <f t="shared" si="2"/>
        <v>('142', '42'),</v>
      </c>
    </row>
    <row r="147" spans="1:4" x14ac:dyDescent="0.25">
      <c r="A147">
        <v>143</v>
      </c>
      <c r="B147">
        <v>43</v>
      </c>
      <c r="D147" t="str">
        <f t="shared" si="2"/>
        <v>('143', '43'),</v>
      </c>
    </row>
    <row r="148" spans="1:4" x14ac:dyDescent="0.25">
      <c r="A148">
        <v>144</v>
      </c>
      <c r="B148">
        <v>44</v>
      </c>
      <c r="D148" t="str">
        <f t="shared" si="2"/>
        <v>('144', '44'),</v>
      </c>
    </row>
    <row r="149" spans="1:4" x14ac:dyDescent="0.25">
      <c r="A149">
        <v>145</v>
      </c>
      <c r="B149">
        <v>45</v>
      </c>
      <c r="D149" t="str">
        <f t="shared" si="2"/>
        <v>('145', '45'),</v>
      </c>
    </row>
    <row r="150" spans="1:4" x14ac:dyDescent="0.25">
      <c r="A150">
        <v>146</v>
      </c>
      <c r="B150">
        <v>46</v>
      </c>
      <c r="D150" t="str">
        <f t="shared" si="2"/>
        <v>('146', '46'),</v>
      </c>
    </row>
    <row r="151" spans="1:4" x14ac:dyDescent="0.25">
      <c r="A151">
        <v>147</v>
      </c>
      <c r="B151">
        <v>47</v>
      </c>
      <c r="D151" t="str">
        <f t="shared" si="2"/>
        <v>('147', '47'),</v>
      </c>
    </row>
    <row r="152" spans="1:4" x14ac:dyDescent="0.25">
      <c r="A152">
        <v>148</v>
      </c>
      <c r="B152">
        <v>48</v>
      </c>
      <c r="D152" t="str">
        <f t="shared" si="2"/>
        <v>('148', '48'),</v>
      </c>
    </row>
    <row r="153" spans="1:4" x14ac:dyDescent="0.25">
      <c r="A153">
        <v>149</v>
      </c>
      <c r="B153">
        <v>49</v>
      </c>
      <c r="D153" t="str">
        <f t="shared" si="2"/>
        <v>('149', '49'),</v>
      </c>
    </row>
    <row r="154" spans="1:4" x14ac:dyDescent="0.25">
      <c r="A154">
        <v>150</v>
      </c>
      <c r="B154">
        <v>50</v>
      </c>
      <c r="D154" t="str">
        <f t="shared" si="2"/>
        <v>('150', '50'),</v>
      </c>
    </row>
    <row r="155" spans="1:4" x14ac:dyDescent="0.25">
      <c r="A155">
        <v>151</v>
      </c>
      <c r="B155">
        <v>1</v>
      </c>
      <c r="D155" t="str">
        <f t="shared" si="2"/>
        <v>('151', '1'),</v>
      </c>
    </row>
    <row r="156" spans="1:4" x14ac:dyDescent="0.25">
      <c r="A156">
        <v>152</v>
      </c>
      <c r="B156">
        <v>2</v>
      </c>
      <c r="D156" t="str">
        <f t="shared" si="2"/>
        <v>('152', '2'),</v>
      </c>
    </row>
    <row r="157" spans="1:4" x14ac:dyDescent="0.25">
      <c r="A157">
        <v>153</v>
      </c>
      <c r="B157">
        <v>3</v>
      </c>
      <c r="D157" t="str">
        <f t="shared" si="2"/>
        <v>('153', '3'),</v>
      </c>
    </row>
    <row r="158" spans="1:4" x14ac:dyDescent="0.25">
      <c r="A158">
        <v>154</v>
      </c>
      <c r="B158">
        <v>4</v>
      </c>
      <c r="D158" t="str">
        <f t="shared" si="2"/>
        <v>('154', '4'),</v>
      </c>
    </row>
    <row r="159" spans="1:4" x14ac:dyDescent="0.25">
      <c r="A159">
        <v>155</v>
      </c>
      <c r="B159">
        <v>5</v>
      </c>
      <c r="D159" t="str">
        <f t="shared" si="2"/>
        <v>('155', '5'),</v>
      </c>
    </row>
    <row r="160" spans="1:4" x14ac:dyDescent="0.25">
      <c r="A160">
        <v>156</v>
      </c>
      <c r="B160">
        <v>6</v>
      </c>
      <c r="D160" t="str">
        <f t="shared" si="2"/>
        <v>('156', '6'),</v>
      </c>
    </row>
    <row r="161" spans="1:4" x14ac:dyDescent="0.25">
      <c r="A161">
        <v>157</v>
      </c>
      <c r="B161">
        <v>7</v>
      </c>
      <c r="D161" t="str">
        <f t="shared" si="2"/>
        <v>('157', '7'),</v>
      </c>
    </row>
    <row r="162" spans="1:4" x14ac:dyDescent="0.25">
      <c r="A162">
        <v>158</v>
      </c>
      <c r="B162">
        <v>8</v>
      </c>
      <c r="D162" t="str">
        <f t="shared" si="2"/>
        <v>('158', '8'),</v>
      </c>
    </row>
    <row r="163" spans="1:4" x14ac:dyDescent="0.25">
      <c r="A163">
        <v>159</v>
      </c>
      <c r="B163">
        <v>9</v>
      </c>
      <c r="D163" t="str">
        <f t="shared" si="2"/>
        <v>('159', '9'),</v>
      </c>
    </row>
    <row r="164" spans="1:4" x14ac:dyDescent="0.25">
      <c r="A164">
        <v>160</v>
      </c>
      <c r="B164">
        <v>10</v>
      </c>
      <c r="D164" t="str">
        <f t="shared" si="2"/>
        <v>('160', '10'),</v>
      </c>
    </row>
    <row r="165" spans="1:4" x14ac:dyDescent="0.25">
      <c r="A165">
        <v>161</v>
      </c>
      <c r="B165">
        <v>11</v>
      </c>
      <c r="D165" t="str">
        <f t="shared" si="2"/>
        <v>('161', '11'),</v>
      </c>
    </row>
    <row r="166" spans="1:4" x14ac:dyDescent="0.25">
      <c r="A166">
        <v>162</v>
      </c>
      <c r="B166">
        <v>12</v>
      </c>
      <c r="D166" t="str">
        <f t="shared" si="2"/>
        <v>('162', '12'),</v>
      </c>
    </row>
    <row r="167" spans="1:4" x14ac:dyDescent="0.25">
      <c r="A167">
        <v>163</v>
      </c>
      <c r="B167">
        <v>13</v>
      </c>
      <c r="D167" t="str">
        <f t="shared" si="2"/>
        <v>('163', '13'),</v>
      </c>
    </row>
    <row r="168" spans="1:4" x14ac:dyDescent="0.25">
      <c r="A168">
        <v>164</v>
      </c>
      <c r="B168">
        <v>14</v>
      </c>
      <c r="D168" t="str">
        <f t="shared" si="2"/>
        <v>('164', '14'),</v>
      </c>
    </row>
    <row r="169" spans="1:4" x14ac:dyDescent="0.25">
      <c r="A169">
        <v>165</v>
      </c>
      <c r="B169">
        <v>15</v>
      </c>
      <c r="D169" t="str">
        <f t="shared" si="2"/>
        <v>('165', '15'),</v>
      </c>
    </row>
    <row r="170" spans="1:4" x14ac:dyDescent="0.25">
      <c r="A170">
        <v>166</v>
      </c>
      <c r="B170">
        <v>16</v>
      </c>
      <c r="D170" t="str">
        <f t="shared" si="2"/>
        <v>('166', '16'),</v>
      </c>
    </row>
    <row r="171" spans="1:4" x14ac:dyDescent="0.25">
      <c r="A171">
        <v>167</v>
      </c>
      <c r="B171">
        <v>17</v>
      </c>
      <c r="D171" t="str">
        <f t="shared" si="2"/>
        <v>('167', '17'),</v>
      </c>
    </row>
    <row r="172" spans="1:4" x14ac:dyDescent="0.25">
      <c r="A172">
        <v>168</v>
      </c>
      <c r="B172">
        <v>18</v>
      </c>
      <c r="D172" t="str">
        <f t="shared" si="2"/>
        <v>('168', '18'),</v>
      </c>
    </row>
    <row r="173" spans="1:4" x14ac:dyDescent="0.25">
      <c r="A173">
        <v>169</v>
      </c>
      <c r="B173">
        <v>19</v>
      </c>
      <c r="D173" t="str">
        <f t="shared" si="2"/>
        <v>('169', '19'),</v>
      </c>
    </row>
    <row r="174" spans="1:4" x14ac:dyDescent="0.25">
      <c r="A174">
        <v>170</v>
      </c>
      <c r="B174">
        <v>20</v>
      </c>
      <c r="D174" t="str">
        <f t="shared" si="2"/>
        <v>('170', '20'),</v>
      </c>
    </row>
    <row r="175" spans="1:4" x14ac:dyDescent="0.25">
      <c r="A175">
        <v>171</v>
      </c>
      <c r="B175">
        <v>21</v>
      </c>
      <c r="D175" t="str">
        <f t="shared" si="2"/>
        <v>('171', '21'),</v>
      </c>
    </row>
    <row r="176" spans="1:4" x14ac:dyDescent="0.25">
      <c r="A176">
        <v>172</v>
      </c>
      <c r="B176">
        <v>22</v>
      </c>
      <c r="D176" t="str">
        <f t="shared" si="2"/>
        <v>('172', '22'),</v>
      </c>
    </row>
    <row r="177" spans="1:4" x14ac:dyDescent="0.25">
      <c r="A177">
        <v>173</v>
      </c>
      <c r="B177">
        <v>23</v>
      </c>
      <c r="D177" t="str">
        <f t="shared" si="2"/>
        <v>('173', '23'),</v>
      </c>
    </row>
    <row r="178" spans="1:4" x14ac:dyDescent="0.25">
      <c r="A178">
        <v>174</v>
      </c>
      <c r="B178">
        <v>24</v>
      </c>
      <c r="D178" t="str">
        <f t="shared" si="2"/>
        <v>('174', '24'),</v>
      </c>
    </row>
    <row r="179" spans="1:4" x14ac:dyDescent="0.25">
      <c r="A179">
        <v>175</v>
      </c>
      <c r="B179">
        <v>25</v>
      </c>
      <c r="D179" t="str">
        <f t="shared" si="2"/>
        <v>('175', '25'),</v>
      </c>
    </row>
    <row r="180" spans="1:4" x14ac:dyDescent="0.25">
      <c r="A180">
        <v>176</v>
      </c>
      <c r="B180">
        <v>26</v>
      </c>
      <c r="D180" t="str">
        <f t="shared" si="2"/>
        <v>('176', '26'),</v>
      </c>
    </row>
    <row r="181" spans="1:4" x14ac:dyDescent="0.25">
      <c r="A181">
        <v>177</v>
      </c>
      <c r="B181">
        <v>27</v>
      </c>
      <c r="D181" t="str">
        <f t="shared" si="2"/>
        <v>('177', '27'),</v>
      </c>
    </row>
    <row r="182" spans="1:4" x14ac:dyDescent="0.25">
      <c r="A182">
        <v>178</v>
      </c>
      <c r="B182">
        <v>28</v>
      </c>
      <c r="D182" t="str">
        <f t="shared" si="2"/>
        <v>('178', '28'),</v>
      </c>
    </row>
    <row r="183" spans="1:4" x14ac:dyDescent="0.25">
      <c r="A183">
        <v>179</v>
      </c>
      <c r="B183">
        <v>29</v>
      </c>
      <c r="D183" t="str">
        <f t="shared" si="2"/>
        <v>('179', '29'),</v>
      </c>
    </row>
    <row r="184" spans="1:4" x14ac:dyDescent="0.25">
      <c r="A184">
        <v>180</v>
      </c>
      <c r="B184">
        <v>30</v>
      </c>
      <c r="D184" t="str">
        <f t="shared" si="2"/>
        <v>('180', '30'),</v>
      </c>
    </row>
    <row r="185" spans="1:4" x14ac:dyDescent="0.25">
      <c r="A185">
        <v>181</v>
      </c>
      <c r="B185">
        <v>31</v>
      </c>
      <c r="D185" t="str">
        <f t="shared" si="2"/>
        <v>('181', '31'),</v>
      </c>
    </row>
    <row r="186" spans="1:4" x14ac:dyDescent="0.25">
      <c r="A186">
        <v>182</v>
      </c>
      <c r="B186">
        <v>32</v>
      </c>
      <c r="D186" t="str">
        <f t="shared" si="2"/>
        <v>('182', '32'),</v>
      </c>
    </row>
    <row r="187" spans="1:4" x14ac:dyDescent="0.25">
      <c r="A187">
        <v>183</v>
      </c>
      <c r="B187">
        <v>33</v>
      </c>
      <c r="D187" t="str">
        <f t="shared" si="2"/>
        <v>('183', '33'),</v>
      </c>
    </row>
    <row r="188" spans="1:4" x14ac:dyDescent="0.25">
      <c r="A188">
        <v>184</v>
      </c>
      <c r="B188">
        <v>34</v>
      </c>
      <c r="D188" t="str">
        <f t="shared" si="2"/>
        <v>('184', '34'),</v>
      </c>
    </row>
    <row r="189" spans="1:4" x14ac:dyDescent="0.25">
      <c r="A189">
        <v>185</v>
      </c>
      <c r="B189">
        <v>35</v>
      </c>
      <c r="D189" t="str">
        <f t="shared" si="2"/>
        <v>('185', '35'),</v>
      </c>
    </row>
    <row r="190" spans="1:4" x14ac:dyDescent="0.25">
      <c r="A190">
        <v>186</v>
      </c>
      <c r="B190">
        <v>36</v>
      </c>
      <c r="D190" t="str">
        <f t="shared" si="2"/>
        <v>('186', '36'),</v>
      </c>
    </row>
    <row r="191" spans="1:4" x14ac:dyDescent="0.25">
      <c r="A191">
        <v>187</v>
      </c>
      <c r="B191">
        <v>37</v>
      </c>
      <c r="D191" t="str">
        <f>"('"&amp;A191&amp;"', '"&amp;B191&amp;"');"</f>
        <v>('187', '37');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F12AF-74ED-4EDB-8AB6-99D484B8D99C}">
  <dimension ref="A1:Z199"/>
  <sheetViews>
    <sheetView workbookViewId="0">
      <selection activeCell="V1" sqref="V1:W2"/>
    </sheetView>
  </sheetViews>
  <sheetFormatPr defaultRowHeight="15" x14ac:dyDescent="0.25"/>
  <cols>
    <col min="3" max="3" width="15.85546875" customWidth="1"/>
    <col min="6" max="6" width="10.7109375" bestFit="1" customWidth="1"/>
    <col min="18" max="18" width="15.28515625" bestFit="1" customWidth="1"/>
    <col min="19" max="22" width="15.28515625" style="6" customWidth="1"/>
  </cols>
  <sheetData>
    <row r="1" spans="1:26" x14ac:dyDescent="0.2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s="3" t="s">
        <v>187</v>
      </c>
      <c r="G1" s="3" t="s">
        <v>277</v>
      </c>
      <c r="H1" t="s">
        <v>338</v>
      </c>
      <c r="I1" s="3" t="s">
        <v>334</v>
      </c>
      <c r="J1" s="3" t="s">
        <v>278</v>
      </c>
      <c r="K1" t="s">
        <v>279</v>
      </c>
      <c r="L1" s="3" t="s">
        <v>337</v>
      </c>
      <c r="M1" s="3" t="s">
        <v>335</v>
      </c>
      <c r="N1" t="s">
        <v>280</v>
      </c>
      <c r="O1" t="s">
        <v>336</v>
      </c>
      <c r="P1" t="s">
        <v>266</v>
      </c>
      <c r="Q1" t="s">
        <v>282</v>
      </c>
      <c r="R1" t="s">
        <v>339</v>
      </c>
      <c r="V1" s="6" t="s">
        <v>4230</v>
      </c>
      <c r="W1" s="6" t="s">
        <v>4229</v>
      </c>
      <c r="Y1" s="5" t="s">
        <v>3734</v>
      </c>
      <c r="Z1" s="5" t="s">
        <v>3733</v>
      </c>
    </row>
    <row r="2" spans="1:26" x14ac:dyDescent="0.25">
      <c r="A2">
        <v>188</v>
      </c>
      <c r="B2" t="s">
        <v>2026</v>
      </c>
      <c r="C2" t="s">
        <v>2027</v>
      </c>
      <c r="D2" t="s">
        <v>69</v>
      </c>
      <c r="E2" t="s">
        <v>66</v>
      </c>
      <c r="F2" s="7">
        <v>34816</v>
      </c>
      <c r="G2" t="s">
        <v>254</v>
      </c>
      <c r="H2" t="s">
        <v>2028</v>
      </c>
      <c r="I2" t="s">
        <v>211</v>
      </c>
      <c r="J2" t="s">
        <v>3727</v>
      </c>
      <c r="K2" t="s">
        <v>225</v>
      </c>
      <c r="L2" t="s">
        <v>265</v>
      </c>
      <c r="M2" t="s">
        <v>2029</v>
      </c>
      <c r="N2" t="s">
        <v>2030</v>
      </c>
      <c r="O2" t="s">
        <v>2031</v>
      </c>
      <c r="P2" t="s">
        <v>2032</v>
      </c>
      <c r="Q2" t="s">
        <v>2033</v>
      </c>
      <c r="R2" s="3" t="s">
        <v>3730</v>
      </c>
      <c r="V2" s="6" t="str" cm="1">
        <f t="array" ref="V2">INDEX(Folha1!$C$2:$C$396,W2)</f>
        <v>$2a$10$R5j.1hPSu8o4Yuih/twgRubWlBC0j2RyiTckWxuUMEfZ9KCVSEHD2</v>
      </c>
      <c r="W2">
        <f>MATCH(C2,Folha1!$B$2:$B$396,0)</f>
        <v>188</v>
      </c>
      <c r="Y2" t="str">
        <f>"VALUES (" &amp; A2 &amp;",'" &amp; B2 &amp; "', '" &amp; V2 &amp; "', '" &amp; D2 &amp; "', '" &amp; E2 &amp; "', '" &amp; TEXT(F2, "yyyy-mm-dd") &amp; "', '" &amp; G2 &amp; "', '" &amp; H2 &amp; "', '" &amp; I2 &amp; "', '" &amp; J2 &amp; "', '" &amp; K2 &amp; "', '" &amp; L2 &amp; "', '" &amp; M2 &amp; "', '" &amp; N2 &amp; "', '" &amp; O2 &amp; "', '" &amp; P2 &amp; "', '" &amp; Q2 &amp; "', '" &amp; R2 &amp; "'),"</f>
        <v>VALUES (188,'matboa1998', '$2a$10$R5j.1hPSu8o4Yuih/twgRubWlBC0j2RyiTckWxuUMEfZ9KCVSEHD2', 'Matilde', 'Feminino', '1995-04-27', 'Rua do Sacramento à Lapa', '1998-797', 'Lisboa', 'Utente', 'Portuguesa', 'Bilhete de Identidade', '78624754', '451928972', '234765887', '968240344', 'matboa1998@outlook.com', 'matboa1998.jpg'),</v>
      </c>
      <c r="Z2" t="str">
        <f>"VALUES (" &amp; A2 &amp;"),"</f>
        <v>VALUES (188),</v>
      </c>
    </row>
    <row r="3" spans="1:26" x14ac:dyDescent="0.25">
      <c r="A3">
        <v>189</v>
      </c>
      <c r="B3" t="s">
        <v>2034</v>
      </c>
      <c r="C3" t="s">
        <v>2035</v>
      </c>
      <c r="D3" t="s">
        <v>76</v>
      </c>
      <c r="E3" t="s">
        <v>66</v>
      </c>
      <c r="F3" s="7">
        <v>23831</v>
      </c>
      <c r="G3" t="s">
        <v>249</v>
      </c>
      <c r="H3" t="s">
        <v>2036</v>
      </c>
      <c r="I3" t="s">
        <v>211</v>
      </c>
      <c r="J3" t="s">
        <v>3727</v>
      </c>
      <c r="K3" t="s">
        <v>225</v>
      </c>
      <c r="L3" t="s">
        <v>265</v>
      </c>
      <c r="M3" t="s">
        <v>2037</v>
      </c>
      <c r="N3" t="s">
        <v>2038</v>
      </c>
      <c r="O3" t="s">
        <v>2039</v>
      </c>
      <c r="P3" t="s">
        <v>2040</v>
      </c>
      <c r="Q3" t="s">
        <v>2041</v>
      </c>
      <c r="R3" t="str">
        <f t="shared" ref="R3:R66" si="0">IF(E3="Feminino","user-female.jpg","user-male.jpg")</f>
        <v>user-female.jpg</v>
      </c>
      <c r="V3" s="6" t="str" cm="1">
        <f t="array" ref="V3">INDEX(Folha1!$C$2:$C$396,W3)</f>
        <v>$2a$10$zybd/xlPvZOUL0u4CVCOP..vRHrbCB5lWzSmlerQBcEa.Oq3a0uey</v>
      </c>
      <c r="W3">
        <f>MATCH(C3,Folha1!$B$2:$B$396,0)</f>
        <v>189</v>
      </c>
      <c r="Y3" t="str">
        <f>"(" &amp; A3 &amp;",'" &amp; B3 &amp; "', '" &amp; V3 &amp; "', '" &amp; D3 &amp; "', '" &amp; E3 &amp; "', '" &amp; TEXT(F3, "yyyy-mm-dd") &amp; "', '" &amp; G3 &amp; "', '" &amp; H3 &amp; "', '" &amp; I3 &amp; "', '" &amp; J3 &amp; "', '" &amp; K3 &amp; "', '" &amp; L3 &amp; "', '" &amp; M3 &amp; "', '" &amp; N3 &amp; "', '" &amp; O3 &amp; "', '" &amp; P3 &amp; "', '" &amp; Q3 &amp; "', '" &amp; R3 &amp; "'),"</f>
        <v>(189,'ineboa1149', '$2a$10$zybd/xlPvZOUL0u4CVCOP..vRHrbCB5lWzSmlerQBcEa.Oq3a0uey', 'Inês', 'Feminino', '1965-03-30', 'Rua Júlio César Machado', '1149-717', 'Lisboa', 'Utente', 'Portuguesa', 'Bilhete de Identidade', '41331330', '663836367', '188647465', '933180718', 'ineboa1149@sapo.pt', 'user-female.jpg'),</v>
      </c>
      <c r="Z3" t="str">
        <f>"(" &amp; A3 &amp;"),"</f>
        <v>(189),</v>
      </c>
    </row>
    <row r="4" spans="1:26" x14ac:dyDescent="0.25">
      <c r="A4">
        <v>190</v>
      </c>
      <c r="B4" t="s">
        <v>2042</v>
      </c>
      <c r="C4" t="s">
        <v>2043</v>
      </c>
      <c r="D4" t="s">
        <v>85</v>
      </c>
      <c r="E4" t="s">
        <v>66</v>
      </c>
      <c r="F4" s="7">
        <v>26848</v>
      </c>
      <c r="G4" t="s">
        <v>255</v>
      </c>
      <c r="H4" t="s">
        <v>2044</v>
      </c>
      <c r="I4" t="s">
        <v>208</v>
      </c>
      <c r="J4" t="s">
        <v>3727</v>
      </c>
      <c r="K4" t="s">
        <v>225</v>
      </c>
      <c r="L4" t="s">
        <v>265</v>
      </c>
      <c r="M4" t="s">
        <v>2045</v>
      </c>
      <c r="N4" t="s">
        <v>2046</v>
      </c>
      <c r="O4" t="s">
        <v>2047</v>
      </c>
      <c r="P4" t="s">
        <v>2048</v>
      </c>
      <c r="Q4" t="s">
        <v>2049</v>
      </c>
      <c r="R4" t="str">
        <f t="shared" si="0"/>
        <v>user-female.jpg</v>
      </c>
      <c r="V4" s="6" t="str" cm="1">
        <f t="array" ref="V4">INDEX(Folha1!$C$2:$C$396,W4)</f>
        <v>$2a$10$avC5CD/v/eFQ474zv/K4V.ahNoqGnU.WZPGbddervzFNb5k2d1P.q</v>
      </c>
      <c r="W4">
        <f>MATCH(C4,Folha1!$B$2:$B$396,0)</f>
        <v>190</v>
      </c>
      <c r="Y4" t="str">
        <f t="shared" ref="Y4:Y67" si="1">"(" &amp; A4 &amp;",'" &amp; B4 &amp; "', '" &amp; V4 &amp; "', '" &amp; D4 &amp; "', '" &amp; E4 &amp; "', '" &amp; TEXT(F4, "yyyy-mm-dd") &amp; "', '" &amp; G4 &amp; "', '" &amp; H4 &amp; "', '" &amp; I4 &amp; "', '" &amp; J4 &amp; "', '" &amp; K4 &amp; "', '" &amp; L4 &amp; "', '" &amp; M4 &amp; "', '" &amp; N4 &amp; "', '" &amp; O4 &amp; "', '" &amp; P4 &amp; "', '" &amp; Q4 &amp; "', '" &amp; R4 &amp; "'),"</f>
        <v>(190,'catbal2900', '$2a$10$avC5CD/v/eFQ474zv/K4V.ahNoqGnU.WZPGbddervzFNb5k2d1P.q', 'Catarina', 'Feminino', '1973-07-03', 'Rua de São Bento', '2900-035', 'Setúbal', 'Utente', 'Portuguesa', 'Bilhete de Identidade', '33811622', '771288542', '593706337', '926958025', 'catbal2900@gmail.com', 'user-female.jpg'),</v>
      </c>
      <c r="Z4" t="str">
        <f t="shared" ref="Z4:Z67" si="2">"(" &amp; A4 &amp;"),"</f>
        <v>(190),</v>
      </c>
    </row>
    <row r="5" spans="1:26" x14ac:dyDescent="0.25">
      <c r="A5">
        <v>191</v>
      </c>
      <c r="B5" t="s">
        <v>2050</v>
      </c>
      <c r="C5" t="s">
        <v>2051</v>
      </c>
      <c r="D5" t="s">
        <v>54</v>
      </c>
      <c r="E5" t="s">
        <v>53</v>
      </c>
      <c r="F5" s="7">
        <v>34485</v>
      </c>
      <c r="G5" t="s">
        <v>250</v>
      </c>
      <c r="H5" t="s">
        <v>2052</v>
      </c>
      <c r="I5" t="s">
        <v>223</v>
      </c>
      <c r="J5" t="s">
        <v>3727</v>
      </c>
      <c r="K5" t="s">
        <v>225</v>
      </c>
      <c r="L5" t="s">
        <v>265</v>
      </c>
      <c r="M5" t="s">
        <v>2053</v>
      </c>
      <c r="N5" t="s">
        <v>2054</v>
      </c>
      <c r="O5" t="s">
        <v>2055</v>
      </c>
      <c r="P5" t="s">
        <v>2056</v>
      </c>
      <c r="Q5" t="s">
        <v>2057</v>
      </c>
      <c r="R5" t="str">
        <f t="shared" si="0"/>
        <v>user-male.jpg</v>
      </c>
      <c r="V5" s="6" t="str" cm="1">
        <f t="array" ref="V5">INDEX(Folha1!$C$2:$C$396,W5)</f>
        <v>$2a$10$g7F7kZTnzuSHbAnH62cHwu3/oWhuhllJ39TCtfg8A2iyyQNY..FJ2</v>
      </c>
      <c r="W5">
        <f>MATCH(C5,Folha1!$B$2:$B$396,0)</f>
        <v>191</v>
      </c>
      <c r="Y5" t="str">
        <f t="shared" si="1"/>
        <v>(191,'sanira2659', '$2a$10$g7F7kZTnzuSHbAnH62cHwu3/oWhuhllJ39TCtfg8A2iyyQNY..FJ2', 'Santiago', 'Masculino', '1994-05-31', 'Rua Nova do Almada', '2659-635', 'Ericeira', 'Utente', 'Portuguesa', 'Bilhete de Identidade', '50701579', '542975440', '356688422', '968126436', 'sanira2659@gmail.com', 'user-male.jpg'),</v>
      </c>
      <c r="Z5" t="str">
        <f t="shared" si="2"/>
        <v>(191),</v>
      </c>
    </row>
    <row r="6" spans="1:26" x14ac:dyDescent="0.25">
      <c r="A6">
        <v>192</v>
      </c>
      <c r="B6" t="s">
        <v>284</v>
      </c>
      <c r="C6" t="s">
        <v>285</v>
      </c>
      <c r="D6" t="s">
        <v>60</v>
      </c>
      <c r="E6" t="s">
        <v>53</v>
      </c>
      <c r="F6" s="7">
        <v>25317</v>
      </c>
      <c r="G6" t="s">
        <v>253</v>
      </c>
      <c r="H6" t="s">
        <v>2058</v>
      </c>
      <c r="I6" t="s">
        <v>211</v>
      </c>
      <c r="J6" t="s">
        <v>3727</v>
      </c>
      <c r="K6" t="s">
        <v>225</v>
      </c>
      <c r="L6" t="s">
        <v>265</v>
      </c>
      <c r="M6" t="s">
        <v>2059</v>
      </c>
      <c r="N6" t="s">
        <v>2060</v>
      </c>
      <c r="O6" t="s">
        <v>2061</v>
      </c>
      <c r="P6" t="s">
        <v>2062</v>
      </c>
      <c r="Q6" t="s">
        <v>2063</v>
      </c>
      <c r="R6" t="str">
        <f t="shared" si="0"/>
        <v>user-male.jpg</v>
      </c>
      <c r="V6" s="6" t="str" cm="1">
        <f t="array" ref="V6">INDEX(Folha1!$C$2:$C$396,W6)</f>
        <v>$2a$10$JVGtRSFWj4lJNcZOpC48LO/2JacEa0fe5cIXnSy7e61Ksm86/hZpq</v>
      </c>
      <c r="W6">
        <f>MATCH(C6,Folha1!$B$2:$B$396,0)</f>
        <v>192</v>
      </c>
      <c r="Y6" t="str">
        <f t="shared" si="1"/>
        <v>(192,'tomboa1199', '$2a$10$JVGtRSFWj4lJNcZOpC48LO/2JacEa0fe5cIXnSy7e61Ksm86/hZpq', 'Tomás', 'Masculino', '1969-04-24', 'Rua de São Mamede', '1199-516', 'Lisboa', 'Utente', 'Portuguesa', 'Bilhete de Identidade', '97453109', '176544640', '222840086', '966272040', 'tomboa1199@gmail.com', 'user-male.jpg'),</v>
      </c>
      <c r="Z6" t="str">
        <f t="shared" si="2"/>
        <v>(192),</v>
      </c>
    </row>
    <row r="7" spans="1:26" x14ac:dyDescent="0.25">
      <c r="A7">
        <v>193</v>
      </c>
      <c r="B7" t="s">
        <v>2064</v>
      </c>
      <c r="C7" t="s">
        <v>2065</v>
      </c>
      <c r="D7" t="s">
        <v>87</v>
      </c>
      <c r="E7" t="s">
        <v>66</v>
      </c>
      <c r="F7" s="7">
        <v>25448</v>
      </c>
      <c r="G7" t="s">
        <v>226</v>
      </c>
      <c r="H7" t="s">
        <v>2066</v>
      </c>
      <c r="I7" t="s">
        <v>211</v>
      </c>
      <c r="J7" t="s">
        <v>3727</v>
      </c>
      <c r="K7" t="s">
        <v>225</v>
      </c>
      <c r="L7" t="s">
        <v>265</v>
      </c>
      <c r="M7" t="s">
        <v>2067</v>
      </c>
      <c r="N7" t="s">
        <v>2068</v>
      </c>
      <c r="O7" t="s">
        <v>2069</v>
      </c>
      <c r="P7" t="s">
        <v>2070</v>
      </c>
      <c r="Q7" t="s">
        <v>2071</v>
      </c>
      <c r="R7" t="str">
        <f t="shared" si="0"/>
        <v>user-female.jpg</v>
      </c>
      <c r="V7" s="6" t="str" cm="1">
        <f t="array" ref="V7">INDEX(Folha1!$C$2:$C$396,W7)</f>
        <v>$2a$10$Fhc.yyizp4uB3PJmbkVWtO5HzkMDz3NC.LksVyYh9JIqbjAymtPJ.</v>
      </c>
      <c r="W7">
        <f>MATCH(C7,Folha1!$B$2:$B$396,0)</f>
        <v>193</v>
      </c>
      <c r="Y7" t="str">
        <f t="shared" si="1"/>
        <v>(193,'danboa1500', '$2a$10$Fhc.yyizp4uB3PJmbkVWtO5HzkMDz3NC.LksVyYh9JIqbjAymtPJ.', 'Daniela', 'Feminino', '1969-09-02', 'Rua do Arsenal', '1500-766', 'Lisboa', 'Utente', 'Portuguesa', 'Bilhete de Identidade', '40209340', '295159011', '349852642', '965184474', 'danboa1500@gmail.com', 'user-female.jpg'),</v>
      </c>
      <c r="Z7" t="str">
        <f t="shared" si="2"/>
        <v>(193),</v>
      </c>
    </row>
    <row r="8" spans="1:26" x14ac:dyDescent="0.25">
      <c r="A8">
        <v>194</v>
      </c>
      <c r="B8" t="s">
        <v>304</v>
      </c>
      <c r="C8" t="s">
        <v>305</v>
      </c>
      <c r="D8" t="s">
        <v>83</v>
      </c>
      <c r="E8" t="s">
        <v>53</v>
      </c>
      <c r="F8" s="7">
        <v>26214</v>
      </c>
      <c r="G8" t="s">
        <v>232</v>
      </c>
      <c r="H8" t="s">
        <v>2072</v>
      </c>
      <c r="I8" t="s">
        <v>211</v>
      </c>
      <c r="J8" t="s">
        <v>3727</v>
      </c>
      <c r="K8" t="s">
        <v>225</v>
      </c>
      <c r="L8" t="s">
        <v>265</v>
      </c>
      <c r="M8" t="s">
        <v>2073</v>
      </c>
      <c r="N8" t="s">
        <v>2074</v>
      </c>
      <c r="O8" t="s">
        <v>2075</v>
      </c>
      <c r="P8" t="s">
        <v>2076</v>
      </c>
      <c r="Q8" t="s">
        <v>2077</v>
      </c>
      <c r="R8" t="str">
        <f t="shared" si="0"/>
        <v>user-male.jpg</v>
      </c>
      <c r="V8" s="6" t="str" cm="1">
        <f t="array" ref="V8">INDEX(Folha1!$C$2:$C$396,W8)</f>
        <v>$2a$10$lWiW/S.QiMbcGTrauoMK6eIuBuLBiDaY7qVN9hO0.A.cjTj7opRCa</v>
      </c>
      <c r="W8">
        <f>MATCH(C8,Folha1!$B$2:$B$396,0)</f>
        <v>194</v>
      </c>
      <c r="Y8" t="str">
        <f t="shared" si="1"/>
        <v>(194,'luiboa1300', '$2a$10$lWiW/S.QiMbcGTrauoMK6eIuBuLBiDaY7qVN9hO0.A.cjTj7opRCa', 'Luís', 'Masculino', '1971-10-08', 'Rua Garrett', '1300-689', 'Lisboa', 'Utente', 'Portuguesa', 'Bilhete de Identidade', '85307322', '526431410', '409443020', '929766199', 'luiboa1300@gmail.com', 'user-male.jpg'),</v>
      </c>
      <c r="Z8" t="str">
        <f t="shared" si="2"/>
        <v>(194),</v>
      </c>
    </row>
    <row r="9" spans="1:26" x14ac:dyDescent="0.25">
      <c r="A9">
        <v>195</v>
      </c>
      <c r="B9" t="s">
        <v>2078</v>
      </c>
      <c r="C9" t="s">
        <v>2079</v>
      </c>
      <c r="D9" t="s">
        <v>87</v>
      </c>
      <c r="E9" t="s">
        <v>66</v>
      </c>
      <c r="F9" s="7">
        <v>41662</v>
      </c>
      <c r="G9" t="s">
        <v>246</v>
      </c>
      <c r="H9" t="s">
        <v>2080</v>
      </c>
      <c r="I9" t="s">
        <v>211</v>
      </c>
      <c r="J9" t="s">
        <v>3727</v>
      </c>
      <c r="K9" t="s">
        <v>225</v>
      </c>
      <c r="L9" t="s">
        <v>265</v>
      </c>
      <c r="M9" t="s">
        <v>2081</v>
      </c>
      <c r="N9" t="s">
        <v>2082</v>
      </c>
      <c r="O9" t="s">
        <v>2083</v>
      </c>
      <c r="P9" t="s">
        <v>2084</v>
      </c>
      <c r="Q9" t="s">
        <v>2085</v>
      </c>
      <c r="R9" t="str">
        <f t="shared" si="0"/>
        <v>user-female.jpg</v>
      </c>
      <c r="V9" s="6" t="str" cm="1">
        <f t="array" ref="V9">INDEX(Folha1!$C$2:$C$396,W9)</f>
        <v>$2a$10$wnr4iwS.C1GNWrvX67MqMONh/DVU9lSkhnSxrSrL7MlhOeMaAn6tW</v>
      </c>
      <c r="W9">
        <f>MATCH(C9,Folha1!$B$2:$B$396,0)</f>
        <v>195</v>
      </c>
      <c r="Y9" t="str">
        <f t="shared" si="1"/>
        <v>(195,'danboa1068', '$2a$10$wnr4iwS.C1GNWrvX67MqMONh/DVU9lSkhnSxrSrL7MlhOeMaAn6tW', 'Daniela', 'Feminino', '2014-01-23', 'Rua do Guarda-Mor', '1068-338', 'Lisboa', 'Utente', 'Portuguesa', 'Bilhete de Identidade', '21664050', '402086217', '186375197', '926770275', 'danboa1068@sapo.pt', 'user-female.jpg'),</v>
      </c>
      <c r="Z9" t="str">
        <f t="shared" si="2"/>
        <v>(195),</v>
      </c>
    </row>
    <row r="10" spans="1:26" x14ac:dyDescent="0.25">
      <c r="A10">
        <v>196</v>
      </c>
      <c r="B10" t="s">
        <v>2086</v>
      </c>
      <c r="C10" t="s">
        <v>2087</v>
      </c>
      <c r="D10" t="s">
        <v>78</v>
      </c>
      <c r="E10" t="s">
        <v>53</v>
      </c>
      <c r="F10" s="7">
        <v>28055</v>
      </c>
      <c r="G10" t="s">
        <v>238</v>
      </c>
      <c r="H10" t="s">
        <v>2088</v>
      </c>
      <c r="I10" t="s">
        <v>202</v>
      </c>
      <c r="J10" t="s">
        <v>3727</v>
      </c>
      <c r="K10" t="s">
        <v>225</v>
      </c>
      <c r="L10" t="s">
        <v>265</v>
      </c>
      <c r="M10" t="s">
        <v>2089</v>
      </c>
      <c r="N10" t="s">
        <v>2090</v>
      </c>
      <c r="O10" t="s">
        <v>2091</v>
      </c>
      <c r="P10" t="s">
        <v>2092</v>
      </c>
      <c r="Q10" t="s">
        <v>2093</v>
      </c>
      <c r="R10" t="str">
        <f t="shared" si="0"/>
        <v>user-male.jpg</v>
      </c>
      <c r="V10" s="6" t="str" cm="1">
        <f t="array" ref="V10">INDEX(Folha1!$C$2:$C$396,W10)</f>
        <v>$2a$10$Fk2K00RrSt1S3uXsLvjhKems7Sdy.o9CceMd4s2PYF3ZPvKLVvMDy</v>
      </c>
      <c r="W10">
        <f>MATCH(C10,Folha1!$B$2:$B$396,0)</f>
        <v>196</v>
      </c>
      <c r="Y10" t="str">
        <f t="shared" si="1"/>
        <v>(196,'tiamar2300', '$2a$10$Fk2K00RrSt1S3uXsLvjhKems7Sdy.o9CceMd4s2PYF3ZPvKLVvMDy', 'Tiago', 'Masculino', '1976-10-22', 'Calçada do Moinho de Vento', '2300-606', 'Tomar', 'Utente', 'Portuguesa', 'Bilhete de Identidade', '30377138', '725527120', '204508046', '928672436', 'tiamar2300@gmail.com', 'user-male.jpg'),</v>
      </c>
      <c r="Z10" t="str">
        <f t="shared" si="2"/>
        <v>(196),</v>
      </c>
    </row>
    <row r="11" spans="1:26" x14ac:dyDescent="0.25">
      <c r="A11">
        <v>197</v>
      </c>
      <c r="B11" t="s">
        <v>2094</v>
      </c>
      <c r="C11" t="s">
        <v>2095</v>
      </c>
      <c r="D11" t="s">
        <v>87</v>
      </c>
      <c r="E11" t="s">
        <v>66</v>
      </c>
      <c r="F11" s="7">
        <v>30531</v>
      </c>
      <c r="G11" t="s">
        <v>232</v>
      </c>
      <c r="H11" t="s">
        <v>2096</v>
      </c>
      <c r="I11" t="s">
        <v>201</v>
      </c>
      <c r="J11" t="s">
        <v>3727</v>
      </c>
      <c r="K11" t="s">
        <v>225</v>
      </c>
      <c r="L11" t="s">
        <v>265</v>
      </c>
      <c r="M11" t="s">
        <v>2097</v>
      </c>
      <c r="N11" t="s">
        <v>2098</v>
      </c>
      <c r="O11" t="s">
        <v>2099</v>
      </c>
      <c r="P11" t="s">
        <v>2100</v>
      </c>
      <c r="Q11" t="s">
        <v>2101</v>
      </c>
      <c r="R11" t="str">
        <f t="shared" si="0"/>
        <v>user-female.jpg</v>
      </c>
      <c r="V11" s="6" t="str" cm="1">
        <f t="array" ref="V11">INDEX(Folha1!$C$2:$C$396,W11)</f>
        <v>$2a$10$DOF.uLCEyU34xJ7f6bCGd.AcsSYR5GnpSA6avfUTenkkhghlR9o0.</v>
      </c>
      <c r="W11">
        <f>MATCH(C11,Folha1!$B$2:$B$396,0)</f>
        <v>197</v>
      </c>
      <c r="Y11" t="str">
        <f t="shared" si="1"/>
        <v>(197,'danria2410', '$2a$10$DOF.uLCEyU34xJ7f6bCGd.AcsSYR5GnpSA6avfUTenkkhghlR9o0.', 'Daniela', 'Feminino', '1983-08-03', 'Rua Garrett', '2410-777', 'Leiria', 'Utente', 'Portuguesa', 'Bilhete de Identidade', '53687911', '311877594', '697156304', '917651006', 'danria2410@gmail.com', 'user-female.jpg'),</v>
      </c>
      <c r="Z11" t="str">
        <f t="shared" si="2"/>
        <v>(197),</v>
      </c>
    </row>
    <row r="12" spans="1:26" x14ac:dyDescent="0.25">
      <c r="A12">
        <v>198</v>
      </c>
      <c r="B12" t="s">
        <v>3738</v>
      </c>
      <c r="C12" t="s">
        <v>2103</v>
      </c>
      <c r="D12" t="s">
        <v>76</v>
      </c>
      <c r="E12" t="s">
        <v>66</v>
      </c>
      <c r="F12" s="7">
        <v>10192</v>
      </c>
      <c r="G12" t="s">
        <v>237</v>
      </c>
      <c r="H12" t="s">
        <v>2104</v>
      </c>
      <c r="I12" t="s">
        <v>209</v>
      </c>
      <c r="J12" t="s">
        <v>3727</v>
      </c>
      <c r="K12" t="s">
        <v>225</v>
      </c>
      <c r="L12" t="s">
        <v>265</v>
      </c>
      <c r="M12" t="s">
        <v>2105</v>
      </c>
      <c r="N12" t="s">
        <v>2106</v>
      </c>
      <c r="O12" t="s">
        <v>2107</v>
      </c>
      <c r="P12" t="s">
        <v>2108</v>
      </c>
      <c r="Q12" t="s">
        <v>2109</v>
      </c>
      <c r="R12" t="str">
        <f t="shared" si="0"/>
        <v>user-female.jpg</v>
      </c>
      <c r="V12" s="6" t="str" cm="1">
        <f t="array" ref="V12">INDEX(Folha1!$C$2:$C$396,W12)</f>
        <v>$2a$10$J6y.Rhf2V.aEqkhfqdkOeOsaD6TX3v7jKYGM2iqzAGOPrGi93fUVC</v>
      </c>
      <c r="W12">
        <f>MATCH(C12,Folha1!$B$2:$B$396,0)</f>
        <v>198</v>
      </c>
      <c r="Y12" t="str">
        <f t="shared" si="1"/>
        <v>(198,'ineada2810w', '$2a$10$J6y.Rhf2V.aEqkhfqdkOeOsaD6TX3v7jKYGM2iqzAGOPrGi93fUVC', 'Inês', 'Feminino', '1927-11-26', 'Calçada Marquês de Abrantes', '2810-929', 'Almada', 'Utente', 'Portuguesa', 'Bilhete de Identidade', '97254696', '875221726', '236245090', '968453282', 'ineada2810@sapo.pt', 'user-female.jpg'),</v>
      </c>
      <c r="Z12" t="str">
        <f t="shared" si="2"/>
        <v>(198),</v>
      </c>
    </row>
    <row r="13" spans="1:26" x14ac:dyDescent="0.25">
      <c r="A13">
        <v>199</v>
      </c>
      <c r="B13" t="s">
        <v>2110</v>
      </c>
      <c r="C13" t="s">
        <v>2111</v>
      </c>
      <c r="D13" t="s">
        <v>2112</v>
      </c>
      <c r="E13" t="s">
        <v>53</v>
      </c>
      <c r="F13" s="7">
        <v>11987</v>
      </c>
      <c r="G13" t="s">
        <v>252</v>
      </c>
      <c r="H13" t="s">
        <v>2113</v>
      </c>
      <c r="I13" t="s">
        <v>223</v>
      </c>
      <c r="J13" t="s">
        <v>3727</v>
      </c>
      <c r="K13" t="s">
        <v>225</v>
      </c>
      <c r="L13" t="s">
        <v>265</v>
      </c>
      <c r="M13" t="s">
        <v>2114</v>
      </c>
      <c r="N13" t="s">
        <v>2115</v>
      </c>
      <c r="O13" t="s">
        <v>2116</v>
      </c>
      <c r="P13" t="s">
        <v>2117</v>
      </c>
      <c r="Q13" t="s">
        <v>2118</v>
      </c>
      <c r="R13" t="str">
        <f t="shared" si="0"/>
        <v>user-male.jpg</v>
      </c>
      <c r="V13" s="6" t="str" cm="1">
        <f t="array" ref="V13">INDEX(Folha1!$C$2:$C$396,W13)</f>
        <v>$2a$10$Ca7Ov.8J15js9u7eWTZuWuZDizZaR6PZmZejapOYYusOjttQ56S72</v>
      </c>
      <c r="W13">
        <f>MATCH(C13,Folha1!$B$2:$B$396,0)</f>
        <v>199</v>
      </c>
      <c r="Y13" t="str">
        <f t="shared" si="1"/>
        <v>(199,'tomira2659', '$2a$10$Ca7Ov.8J15js9u7eWTZuWuZDizZaR6PZmZejapOYYusOjttQ56S72', 'Tomás Alves', 'Masculino', '1932-10-25', 'Rua de São Julião', '2659-411', 'Ericeira', 'Utente', 'Portuguesa', 'Bilhete de Identidade', '49353265', '863169869', '662412241', '939034152', 'tomira2659@outlook.com', 'user-male.jpg'),</v>
      </c>
      <c r="Z13" t="str">
        <f t="shared" si="2"/>
        <v>(199),</v>
      </c>
    </row>
    <row r="14" spans="1:26" x14ac:dyDescent="0.25">
      <c r="A14">
        <v>200</v>
      </c>
      <c r="B14" t="s">
        <v>2119</v>
      </c>
      <c r="C14" t="s">
        <v>2120</v>
      </c>
      <c r="D14" t="s">
        <v>2121</v>
      </c>
      <c r="E14" t="s">
        <v>53</v>
      </c>
      <c r="F14" s="7">
        <v>28287</v>
      </c>
      <c r="G14" t="s">
        <v>241</v>
      </c>
      <c r="H14" t="s">
        <v>2122</v>
      </c>
      <c r="I14" t="s">
        <v>211</v>
      </c>
      <c r="J14" t="s">
        <v>3727</v>
      </c>
      <c r="K14" t="s">
        <v>225</v>
      </c>
      <c r="L14" t="s">
        <v>265</v>
      </c>
      <c r="M14" t="s">
        <v>2123</v>
      </c>
      <c r="N14" t="s">
        <v>2124</v>
      </c>
      <c r="O14" t="s">
        <v>2125</v>
      </c>
      <c r="P14" t="s">
        <v>2126</v>
      </c>
      <c r="Q14" t="s">
        <v>2127</v>
      </c>
      <c r="R14" t="str">
        <f t="shared" si="0"/>
        <v>user-male.jpg</v>
      </c>
      <c r="V14" s="6" t="str" cm="1">
        <f t="array" ref="V14">INDEX(Folha1!$C$2:$C$396,W14)</f>
        <v>$2a$10$n6EFI5bqYOzoBohG8GREr.f9UDDjAcx8IcHTdksXr3WjKgLaInoBO</v>
      </c>
      <c r="W14">
        <f>MATCH(C14,Folha1!$B$2:$B$396,0)</f>
        <v>200</v>
      </c>
      <c r="Y14" t="str">
        <f t="shared" si="1"/>
        <v>(200,'andboa1070', '$2a$10$n6EFI5bqYOzoBohG8GREr.f9UDDjAcx8IcHTdksXr3WjKgLaInoBO', 'André Fernandes', 'Masculino', '1977-06-11', 'Rua da Prata', '1070-732', 'Lisboa', 'Utente', 'Portuguesa', 'Bilhete de Identidade', '93244153', '323457686', '960855137', '961670040', 'andboa1070@gmail.com', 'user-male.jpg'),</v>
      </c>
      <c r="Z14" t="str">
        <f t="shared" si="2"/>
        <v>(200),</v>
      </c>
    </row>
    <row r="15" spans="1:26" x14ac:dyDescent="0.25">
      <c r="A15">
        <v>201</v>
      </c>
      <c r="B15" t="s">
        <v>2128</v>
      </c>
      <c r="C15" t="s">
        <v>2129</v>
      </c>
      <c r="D15" t="s">
        <v>2130</v>
      </c>
      <c r="E15" t="s">
        <v>66</v>
      </c>
      <c r="F15" s="7">
        <v>26925</v>
      </c>
      <c r="G15" t="s">
        <v>262</v>
      </c>
      <c r="H15" t="s">
        <v>2131</v>
      </c>
      <c r="I15" t="s">
        <v>211</v>
      </c>
      <c r="J15" t="s">
        <v>3727</v>
      </c>
      <c r="K15" t="s">
        <v>225</v>
      </c>
      <c r="L15" t="s">
        <v>265</v>
      </c>
      <c r="M15" t="s">
        <v>2132</v>
      </c>
      <c r="N15" t="s">
        <v>2133</v>
      </c>
      <c r="O15" t="s">
        <v>2134</v>
      </c>
      <c r="P15" t="s">
        <v>2135</v>
      </c>
      <c r="Q15" t="s">
        <v>2136</v>
      </c>
      <c r="R15" t="str">
        <f t="shared" si="0"/>
        <v>user-female.jpg</v>
      </c>
      <c r="V15" s="6" t="str" cm="1">
        <f t="array" ref="V15">INDEX(Folha1!$C$2:$C$396,W15)</f>
        <v>$2a$10$kv/AlfCVL77Bbg9fMhOybOOeKLRKHKGxQKzzAaRwdYh8ZKwXi0lgW</v>
      </c>
      <c r="W15">
        <f>MATCH(C15,Folha1!$B$2:$B$396,0)</f>
        <v>201</v>
      </c>
      <c r="Y15" t="str">
        <f t="shared" si="1"/>
        <v>(201,'sarboa1748', '$2a$10$kv/AlfCVL77Bbg9fMhOybOOeKLRKHKGxQKzzAaRwdYh8ZKwXi0lgW', 'Sara Fonseca', 'Feminino', '1973-09-18', 'Estrada Militar', '1748-007', 'Lisboa', 'Utente', 'Portuguesa', 'Bilhete de Identidade', '42668010', '447668216', '671355240', '917457301', 'sarboa1748@outlook.com', 'user-female.jpg'),</v>
      </c>
      <c r="Z15" t="str">
        <f t="shared" si="2"/>
        <v>(201),</v>
      </c>
    </row>
    <row r="16" spans="1:26" x14ac:dyDescent="0.25">
      <c r="A16">
        <v>202</v>
      </c>
      <c r="B16" t="s">
        <v>2137</v>
      </c>
      <c r="C16" t="s">
        <v>2138</v>
      </c>
      <c r="D16" t="s">
        <v>2139</v>
      </c>
      <c r="E16" t="s">
        <v>66</v>
      </c>
      <c r="F16" s="7">
        <v>21109</v>
      </c>
      <c r="G16" t="s">
        <v>257</v>
      </c>
      <c r="H16" t="s">
        <v>2140</v>
      </c>
      <c r="I16" t="s">
        <v>211</v>
      </c>
      <c r="J16" t="s">
        <v>3727</v>
      </c>
      <c r="K16" t="s">
        <v>225</v>
      </c>
      <c r="L16" t="s">
        <v>265</v>
      </c>
      <c r="M16" t="s">
        <v>2141</v>
      </c>
      <c r="N16" t="s">
        <v>2142</v>
      </c>
      <c r="O16" t="s">
        <v>2143</v>
      </c>
      <c r="P16" t="s">
        <v>2144</v>
      </c>
      <c r="Q16" t="s">
        <v>2145</v>
      </c>
      <c r="R16" t="str">
        <f t="shared" si="0"/>
        <v>user-female.jpg</v>
      </c>
      <c r="V16" s="6" t="str" cm="1">
        <f t="array" ref="V16">INDEX(Folha1!$C$2:$C$396,W16)</f>
        <v>$2a$10$qYdwlCJfdRcldXh6BnY7OO.jQY8Eg1eBWo03pyTPl4fMSErqLBoCm</v>
      </c>
      <c r="W16">
        <f>MATCH(C16,Folha1!$B$2:$B$396,0)</f>
        <v>202</v>
      </c>
      <c r="Y16" t="str">
        <f t="shared" si="1"/>
        <v>(202,'sofboa1149', '$2a$10$qYdwlCJfdRcldXh6BnY7OO.jQY8Eg1eBWo03pyTPl4fMSErqLBoCm', 'Sofia Monteiro', 'Feminino', '1957-10-16', 'Rua do Sol a Santana', '1149-593', 'Lisboa', 'Utente', 'Portuguesa', 'Bilhete de Identidade', '44704014', '972591702', '709129991', '969025575', 'sofboa1149@outlook.com', 'user-female.jpg'),</v>
      </c>
      <c r="Z16" t="str">
        <f t="shared" si="2"/>
        <v>(202),</v>
      </c>
    </row>
    <row r="17" spans="1:26" x14ac:dyDescent="0.25">
      <c r="A17">
        <v>203</v>
      </c>
      <c r="B17" t="s">
        <v>2146</v>
      </c>
      <c r="C17" t="s">
        <v>2147</v>
      </c>
      <c r="D17" t="s">
        <v>2148</v>
      </c>
      <c r="E17" t="s">
        <v>53</v>
      </c>
      <c r="F17" s="7">
        <v>31299</v>
      </c>
      <c r="G17" t="s">
        <v>244</v>
      </c>
      <c r="H17" t="s">
        <v>2149</v>
      </c>
      <c r="I17" t="s">
        <v>203</v>
      </c>
      <c r="J17" t="s">
        <v>3727</v>
      </c>
      <c r="K17" t="s">
        <v>225</v>
      </c>
      <c r="L17" t="s">
        <v>265</v>
      </c>
      <c r="M17" t="s">
        <v>2150</v>
      </c>
      <c r="N17" t="s">
        <v>2151</v>
      </c>
      <c r="O17" t="s">
        <v>2152</v>
      </c>
      <c r="P17" t="s">
        <v>2153</v>
      </c>
      <c r="Q17" t="s">
        <v>2154</v>
      </c>
      <c r="R17" t="str">
        <f t="shared" si="0"/>
        <v>user-male.jpg</v>
      </c>
      <c r="V17" s="6" t="str" cm="1">
        <f t="array" ref="V17">INDEX(Folha1!$C$2:$C$396,W17)</f>
        <v>$2a$10$DdWsHWHE1wyVY69tAigICOo5CjjrDLfsQNUDpERQQJyZwHQL7oxeK</v>
      </c>
      <c r="W17">
        <f>MATCH(C17,Folha1!$B$2:$B$396,0)</f>
        <v>203</v>
      </c>
      <c r="Y17" t="str">
        <f t="shared" si="1"/>
        <v>(203,'afovas2350', '$2a$10$DdWsHWHE1wyVY69tAigICOo5CjjrDLfsQNUDpERQQJyZwHQL7oxeK', 'Afonso Lopes', 'Masculino', '1985-09-09', 'Rua da Betesga', '2350-352', 'Torres Novas', 'Utente', 'Portuguesa', 'Bilhete de Identidade', '13602453', '428893392', '724663676', '966203362', 'afovas2350@gmail.com', 'user-male.jpg'),</v>
      </c>
      <c r="Z17" t="str">
        <f t="shared" si="2"/>
        <v>(203),</v>
      </c>
    </row>
    <row r="18" spans="1:26" x14ac:dyDescent="0.25">
      <c r="A18">
        <v>204</v>
      </c>
      <c r="B18" t="s">
        <v>2155</v>
      </c>
      <c r="C18" t="s">
        <v>2156</v>
      </c>
      <c r="D18" t="s">
        <v>2157</v>
      </c>
      <c r="E18" t="s">
        <v>66</v>
      </c>
      <c r="F18" s="7">
        <v>22764</v>
      </c>
      <c r="G18" t="s">
        <v>241</v>
      </c>
      <c r="H18" t="s">
        <v>2158</v>
      </c>
      <c r="I18" t="s">
        <v>210</v>
      </c>
      <c r="J18" t="s">
        <v>3727</v>
      </c>
      <c r="K18" t="s">
        <v>225</v>
      </c>
      <c r="L18" t="s">
        <v>265</v>
      </c>
      <c r="M18" t="s">
        <v>2159</v>
      </c>
      <c r="N18" t="s">
        <v>2160</v>
      </c>
      <c r="O18" t="s">
        <v>2161</v>
      </c>
      <c r="P18" t="s">
        <v>2162</v>
      </c>
      <c r="Q18" t="s">
        <v>2163</v>
      </c>
      <c r="R18" t="str">
        <f t="shared" si="0"/>
        <v>user-female.jpg</v>
      </c>
      <c r="V18" s="6" t="str" cm="1">
        <f t="array" ref="V18">INDEX(Folha1!$C$2:$C$396,W18)</f>
        <v>$2a$10$SX4ggNZhCwa.MBdgBXsNveUUDGDpdqnHesX3KL7haGH6w1E2N.zSW</v>
      </c>
      <c r="W18">
        <f>MATCH(C18,Folha1!$B$2:$B$396,0)</f>
        <v>204</v>
      </c>
      <c r="Y18" t="str">
        <f t="shared" si="1"/>
        <v>(204,'sofora2720', '$2a$10$SX4ggNZhCwa.MBdgBXsNveUUDGDpdqnHesX3KL7haGH6w1E2N.zSW', 'Sofia Araújo', 'Feminino', '1962-04-28', 'Rua da Prata', '2720-006', 'Amadora', 'Utente', 'Portuguesa', 'Bilhete de Identidade', '19962455', '250402701', '958712719', '939919167', 'sofora2720@sapo.pt', 'user-female.jpg'),</v>
      </c>
      <c r="Z18" t="str">
        <f t="shared" si="2"/>
        <v>(204),</v>
      </c>
    </row>
    <row r="19" spans="1:26" x14ac:dyDescent="0.25">
      <c r="A19">
        <v>205</v>
      </c>
      <c r="B19" t="s">
        <v>2164</v>
      </c>
      <c r="C19" t="s">
        <v>2165</v>
      </c>
      <c r="D19" t="s">
        <v>2166</v>
      </c>
      <c r="E19" t="s">
        <v>53</v>
      </c>
      <c r="F19" s="7">
        <v>23791</v>
      </c>
      <c r="G19" t="s">
        <v>234</v>
      </c>
      <c r="H19" t="s">
        <v>2167</v>
      </c>
      <c r="I19" t="s">
        <v>211</v>
      </c>
      <c r="J19" t="s">
        <v>3727</v>
      </c>
      <c r="K19" t="s">
        <v>225</v>
      </c>
      <c r="L19" t="s">
        <v>265</v>
      </c>
      <c r="M19" t="s">
        <v>2168</v>
      </c>
      <c r="N19" t="s">
        <v>2169</v>
      </c>
      <c r="O19" t="s">
        <v>2170</v>
      </c>
      <c r="P19" t="s">
        <v>2171</v>
      </c>
      <c r="Q19" t="s">
        <v>2172</v>
      </c>
      <c r="R19" s="3" t="s">
        <v>3729</v>
      </c>
      <c r="V19" s="6" t="str" cm="1">
        <f t="array" ref="V19">INDEX(Folha1!$C$2:$C$396,W19)</f>
        <v>$2a$10$UbImr0toa8CcdpEF9pS16u1EK3qQHJsEalakQS3qBMZfoytob9tZW</v>
      </c>
      <c r="W19">
        <f>MATCH(C19,Folha1!$B$2:$B$396,0)</f>
        <v>205</v>
      </c>
      <c r="Y19" t="str">
        <f t="shared" si="1"/>
        <v>(205,'dioboa1549', '$2a$10$UbImr0toa8CcdpEF9pS16u1EK3qQHJsEalakQS3qBMZfoytob9tZW', 'Diogo Marques', 'Masculino', '1965-02-18', 'Rua do Instituto Bacteriológico', '1549-225', 'Lisboa', 'Utente', 'Portuguesa', 'Bilhete de Identidade', '13530939', '514260555', '661991618', '929195602', 'dioboa1549@gmail.com', 'dioboa1549.jpg'),</v>
      </c>
      <c r="Z19" t="str">
        <f t="shared" si="2"/>
        <v>(205),</v>
      </c>
    </row>
    <row r="20" spans="1:26" x14ac:dyDescent="0.25">
      <c r="A20">
        <v>206</v>
      </c>
      <c r="B20" t="s">
        <v>2173</v>
      </c>
      <c r="C20" t="s">
        <v>2174</v>
      </c>
      <c r="D20" t="s">
        <v>2175</v>
      </c>
      <c r="E20" t="s">
        <v>66</v>
      </c>
      <c r="F20" s="7">
        <v>10827</v>
      </c>
      <c r="G20" t="s">
        <v>245</v>
      </c>
      <c r="H20" t="s">
        <v>2176</v>
      </c>
      <c r="I20" t="s">
        <v>211</v>
      </c>
      <c r="J20" t="s">
        <v>3727</v>
      </c>
      <c r="K20" t="s">
        <v>225</v>
      </c>
      <c r="L20" t="s">
        <v>265</v>
      </c>
      <c r="M20" t="s">
        <v>2177</v>
      </c>
      <c r="N20" t="s">
        <v>2178</v>
      </c>
      <c r="O20" t="s">
        <v>2179</v>
      </c>
      <c r="P20" t="s">
        <v>2180</v>
      </c>
      <c r="Q20" t="s">
        <v>2181</v>
      </c>
      <c r="R20" t="str">
        <f t="shared" si="0"/>
        <v>user-female.jpg</v>
      </c>
      <c r="V20" s="6" t="str" cm="1">
        <f t="array" ref="V20">INDEX(Folha1!$C$2:$C$396,W20)</f>
        <v>$2a$10$dtGl.ETVbcGlq/KKjplL6.XyX92N/udh2qsNc9eHoiRlrIo3iy3Pi</v>
      </c>
      <c r="W20">
        <f>MATCH(C20,Folha1!$B$2:$B$396,0)</f>
        <v>206</v>
      </c>
      <c r="Y20" t="str">
        <f t="shared" si="1"/>
        <v>(206,'verboa1449', '$2a$10$dtGl.ETVbcGlq/KKjplL6.XyX92N/udh2qsNc9eHoiRlrIo3iy3Pi', 'Vera Guerreiro', 'Feminino', '1929-08-22', 'Rua do Comércio', '1449-554', 'Lisboa', 'Utente', 'Portuguesa', 'Bilhete de Identidade', '99736925', '206120516', '654314148', '920829499', 'verboa1449@gmail.com', 'user-female.jpg'),</v>
      </c>
      <c r="Z20" t="str">
        <f t="shared" si="2"/>
        <v>(206),</v>
      </c>
    </row>
    <row r="21" spans="1:26" x14ac:dyDescent="0.25">
      <c r="A21">
        <v>207</v>
      </c>
      <c r="B21" t="s">
        <v>2182</v>
      </c>
      <c r="C21" t="s">
        <v>2183</v>
      </c>
      <c r="D21" t="s">
        <v>2184</v>
      </c>
      <c r="E21" t="s">
        <v>53</v>
      </c>
      <c r="F21" s="7">
        <v>29267</v>
      </c>
      <c r="G21" t="s">
        <v>262</v>
      </c>
      <c r="H21" t="s">
        <v>2185</v>
      </c>
      <c r="I21" t="s">
        <v>212</v>
      </c>
      <c r="J21" t="s">
        <v>3727</v>
      </c>
      <c r="K21" t="s">
        <v>225</v>
      </c>
      <c r="L21" t="s">
        <v>265</v>
      </c>
      <c r="M21" t="s">
        <v>2186</v>
      </c>
      <c r="N21" t="s">
        <v>2187</v>
      </c>
      <c r="O21" t="s">
        <v>2188</v>
      </c>
      <c r="P21" t="s">
        <v>2189</v>
      </c>
      <c r="Q21" t="s">
        <v>2190</v>
      </c>
      <c r="R21" t="str">
        <f t="shared" si="0"/>
        <v>user-male.jpg</v>
      </c>
      <c r="V21" s="6" t="str" cm="1">
        <f t="array" ref="V21">INDEX(Folha1!$C$2:$C$396,W21)</f>
        <v>$2a$10$IQdQk0Ge4ZMunMCXepfC8OhPNn4iOuNbh5L5NVZx8nJUsKel.YWwa</v>
      </c>
      <c r="W21">
        <f>MATCH(C21,Folha1!$B$2:$B$396,0)</f>
        <v>207</v>
      </c>
      <c r="Y21" t="str">
        <f t="shared" si="1"/>
        <v>(207,'luires2674', '$2a$10$IQdQk0Ge4ZMunMCXepfC8OhPNn4iOuNbh5L5NVZx8nJUsKel.YWwa', 'Luís Moura', 'Masculino', '1980-02-16', 'Estrada Militar', '2674-161', 'Loures', 'Utente', 'Portuguesa', 'Bilhete de Identidade', '48547393', '829232999', '742534559', '935089632', 'luires2674@outlook.com', 'user-male.jpg'),</v>
      </c>
      <c r="Z21" t="str">
        <f t="shared" si="2"/>
        <v>(207),</v>
      </c>
    </row>
    <row r="22" spans="1:26" x14ac:dyDescent="0.25">
      <c r="A22">
        <v>208</v>
      </c>
      <c r="B22" t="s">
        <v>2191</v>
      </c>
      <c r="C22" t="s">
        <v>2192</v>
      </c>
      <c r="D22" t="s">
        <v>2193</v>
      </c>
      <c r="E22" t="s">
        <v>66</v>
      </c>
      <c r="F22" s="7">
        <v>12111</v>
      </c>
      <c r="G22" t="s">
        <v>248</v>
      </c>
      <c r="H22" t="s">
        <v>2194</v>
      </c>
      <c r="I22" t="s">
        <v>211</v>
      </c>
      <c r="J22" t="s">
        <v>3727</v>
      </c>
      <c r="K22" t="s">
        <v>225</v>
      </c>
      <c r="L22" t="s">
        <v>265</v>
      </c>
      <c r="M22" t="s">
        <v>2195</v>
      </c>
      <c r="N22" t="s">
        <v>2196</v>
      </c>
      <c r="O22" t="s">
        <v>2197</v>
      </c>
      <c r="P22" t="s">
        <v>2198</v>
      </c>
      <c r="Q22" t="s">
        <v>2199</v>
      </c>
      <c r="R22" t="str">
        <f t="shared" si="0"/>
        <v>user-female.jpg</v>
      </c>
      <c r="V22" s="6" t="str" cm="1">
        <f t="array" ref="V22">INDEX(Folha1!$C$2:$C$396,W22)</f>
        <v>$2a$10$6SS0GkDqw9397doUe2mzcO.Dqh5tYx1s90Sg1/2owvELqclorPpY6</v>
      </c>
      <c r="W22">
        <f>MATCH(C22,Folha1!$B$2:$B$396,0)</f>
        <v>208</v>
      </c>
      <c r="Y22" t="str">
        <f t="shared" si="1"/>
        <v>(208,'beaboa1250', '$2a$10$6SS0GkDqw9397doUe2mzcO.Dqh5tYx1s90Sg1/2owvELqclorPpY6', 'Beatriz Rodrigues', 'Feminino', '1933-02-26', 'Rua General Morais Sarmento', '1250-099', 'Lisboa', 'Utente', 'Portuguesa', 'Bilhete de Identidade', '54553248', '787624174', '279413108', '933692996', 'beaboa1250@outlook.com', 'user-female.jpg'),</v>
      </c>
      <c r="Z22" t="str">
        <f t="shared" si="2"/>
        <v>(208),</v>
      </c>
    </row>
    <row r="23" spans="1:26" x14ac:dyDescent="0.25">
      <c r="A23">
        <v>209</v>
      </c>
      <c r="B23" t="s">
        <v>2200</v>
      </c>
      <c r="C23" t="s">
        <v>2201</v>
      </c>
      <c r="D23" t="s">
        <v>2202</v>
      </c>
      <c r="E23" t="s">
        <v>53</v>
      </c>
      <c r="F23" s="7">
        <v>22513</v>
      </c>
      <c r="G23" t="s">
        <v>241</v>
      </c>
      <c r="H23" t="s">
        <v>2203</v>
      </c>
      <c r="I23" t="s">
        <v>216</v>
      </c>
      <c r="J23" t="s">
        <v>3727</v>
      </c>
      <c r="K23" t="s">
        <v>225</v>
      </c>
      <c r="L23" t="s">
        <v>265</v>
      </c>
      <c r="M23" t="s">
        <v>2204</v>
      </c>
      <c r="N23" t="s">
        <v>2205</v>
      </c>
      <c r="O23" t="s">
        <v>2206</v>
      </c>
      <c r="P23" t="s">
        <v>2207</v>
      </c>
      <c r="Q23" t="s">
        <v>2208</v>
      </c>
      <c r="R23" t="str">
        <f t="shared" si="0"/>
        <v>user-male.jpg</v>
      </c>
      <c r="V23" s="6" t="str" cm="1">
        <f t="array" ref="V23">INDEX(Folha1!$C$2:$C$396,W23)</f>
        <v>$2a$10$7j/K7UV.o0YmOvw9I/aj7u4cE5ivsFslYtlHf/aqhSCPaUdj/iBs2</v>
      </c>
      <c r="W23">
        <f>MATCH(C23,Folha1!$B$2:$B$396,0)</f>
        <v>209</v>
      </c>
      <c r="Y23" t="str">
        <f t="shared" si="1"/>
        <v>(209,'tomiro2830', '$2a$10$7j/K7UV.o0YmOvw9I/aj7u4cE5ivsFslYtlHf/aqhSCPaUdj/iBs2', 'Tomás Antunes', 'Masculino', '1961-08-20', 'Rua da Prata', '2830-356', 'Barreiro', 'Utente', 'Portuguesa', 'Bilhete de Identidade', '83954885', '610817157', '131311426', '932240266', 'tomiro2830@gmail.com', 'user-male.jpg'),</v>
      </c>
      <c r="Z23" t="str">
        <f t="shared" si="2"/>
        <v>(209),</v>
      </c>
    </row>
    <row r="24" spans="1:26" x14ac:dyDescent="0.25">
      <c r="A24">
        <v>210</v>
      </c>
      <c r="B24" t="s">
        <v>2209</v>
      </c>
      <c r="C24" t="s">
        <v>2210</v>
      </c>
      <c r="D24" t="s">
        <v>2211</v>
      </c>
      <c r="E24" t="s">
        <v>66</v>
      </c>
      <c r="F24" s="7">
        <v>22253</v>
      </c>
      <c r="G24" t="s">
        <v>244</v>
      </c>
      <c r="H24" t="s">
        <v>2212</v>
      </c>
      <c r="I24" t="s">
        <v>211</v>
      </c>
      <c r="J24" t="s">
        <v>3727</v>
      </c>
      <c r="K24" t="s">
        <v>225</v>
      </c>
      <c r="L24" t="s">
        <v>265</v>
      </c>
      <c r="M24" t="s">
        <v>2213</v>
      </c>
      <c r="N24" t="s">
        <v>2214</v>
      </c>
      <c r="O24" t="s">
        <v>2215</v>
      </c>
      <c r="P24" t="s">
        <v>2216</v>
      </c>
      <c r="Q24" t="s">
        <v>2217</v>
      </c>
      <c r="R24" t="str">
        <f t="shared" si="0"/>
        <v>user-female.jpg</v>
      </c>
      <c r="V24" s="6" t="str" cm="1">
        <f t="array" ref="V24">INDEX(Folha1!$C$2:$C$396,W24)</f>
        <v>$2a$10$focR0/Za/EBZrRReiDrycOCNxrSzbOUmlSfQQ6f3fnhxLgM7M6vxu</v>
      </c>
      <c r="W24">
        <f>MATCH(C24,Folha1!$B$2:$B$396,0)</f>
        <v>210</v>
      </c>
      <c r="Y24" t="str">
        <f t="shared" si="1"/>
        <v>(210,'marboa1449', '$2a$10$focR0/Za/EBZrRReiDrycOCNxrSzbOUmlSfQQ6f3fnhxLgM7M6vxu', 'Maria Gonçalves', 'Feminino', '1960-12-03', 'Rua da Betesga', '1449-773', 'Lisboa', 'Utente', 'Portuguesa', 'Bilhete de Identidade', '97208417', '280167680', '841088729', '966458655', 'marboa1449@sapo.pt', 'user-female.jpg'),</v>
      </c>
      <c r="Z24" t="str">
        <f t="shared" si="2"/>
        <v>(210),</v>
      </c>
    </row>
    <row r="25" spans="1:26" x14ac:dyDescent="0.25">
      <c r="A25">
        <v>211</v>
      </c>
      <c r="B25" t="s">
        <v>2218</v>
      </c>
      <c r="C25" t="s">
        <v>2219</v>
      </c>
      <c r="D25" t="s">
        <v>2220</v>
      </c>
      <c r="E25" t="s">
        <v>66</v>
      </c>
      <c r="F25" s="7">
        <v>14100</v>
      </c>
      <c r="G25" t="s">
        <v>240</v>
      </c>
      <c r="H25" t="s">
        <v>2221</v>
      </c>
      <c r="I25" t="s">
        <v>210</v>
      </c>
      <c r="J25" t="s">
        <v>3727</v>
      </c>
      <c r="K25" t="s">
        <v>225</v>
      </c>
      <c r="L25" t="s">
        <v>265</v>
      </c>
      <c r="M25" t="s">
        <v>2222</v>
      </c>
      <c r="N25" t="s">
        <v>2223</v>
      </c>
      <c r="O25" t="s">
        <v>2224</v>
      </c>
      <c r="P25" t="s">
        <v>2225</v>
      </c>
      <c r="Q25" t="s">
        <v>2226</v>
      </c>
      <c r="R25" t="str">
        <f t="shared" si="0"/>
        <v>user-female.jpg</v>
      </c>
      <c r="V25" s="6" t="str" cm="1">
        <f t="array" ref="V25">INDEX(Folha1!$C$2:$C$396,W25)</f>
        <v>$2a$10$dXF5sCieZl8kghwjZ0z.G.ukOyXi5wwIJZqsVwWv4G9am3XZGNF.W</v>
      </c>
      <c r="W25">
        <f>MATCH(C25,Folha1!$B$2:$B$396,0)</f>
        <v>211</v>
      </c>
      <c r="Y25" t="str">
        <f t="shared" si="1"/>
        <v>(211,'lurora2614', '$2a$10$dXF5sCieZl8kghwjZ0z.G.ukOyXi5wwIJZqsVwWv4G9am3XZGNF.W', 'Lurdes Anjos', 'Feminino', '1938-08-08', 'Calçada do Poço dos Mouros', '2614-558', 'Amadora', 'Utente', 'Portuguesa', 'Bilhete de Identidade', '52766014', '587768332', '921851723', '963669868', 'lurora2614@gmail.com', 'user-female.jpg'),</v>
      </c>
      <c r="Z25" t="str">
        <f t="shared" si="2"/>
        <v>(211),</v>
      </c>
    </row>
    <row r="26" spans="1:26" x14ac:dyDescent="0.25">
      <c r="A26">
        <v>212</v>
      </c>
      <c r="B26" t="s">
        <v>2227</v>
      </c>
      <c r="C26" t="s">
        <v>2228</v>
      </c>
      <c r="D26" t="s">
        <v>2229</v>
      </c>
      <c r="E26" t="s">
        <v>53</v>
      </c>
      <c r="F26" s="7">
        <v>14176</v>
      </c>
      <c r="G26" t="s">
        <v>246</v>
      </c>
      <c r="H26" t="s">
        <v>2230</v>
      </c>
      <c r="I26" t="s">
        <v>202</v>
      </c>
      <c r="J26" t="s">
        <v>3727</v>
      </c>
      <c r="K26" t="s">
        <v>225</v>
      </c>
      <c r="L26" t="s">
        <v>265</v>
      </c>
      <c r="M26" t="s">
        <v>2231</v>
      </c>
      <c r="N26" t="s">
        <v>2232</v>
      </c>
      <c r="O26" t="s">
        <v>2233</v>
      </c>
      <c r="P26" t="s">
        <v>2234</v>
      </c>
      <c r="Q26" t="s">
        <v>2235</v>
      </c>
      <c r="R26" t="str">
        <f t="shared" si="0"/>
        <v>user-male.jpg</v>
      </c>
      <c r="V26" s="6" t="str" cm="1">
        <f t="array" ref="V26">INDEX(Folha1!$C$2:$C$396,W26)</f>
        <v>$2a$10$H2Kp14gSrhqgBZYtw5SrO.ddZPd4Yq6EGvOJdYdCM0MK7TidRrFr.</v>
      </c>
      <c r="W26">
        <f>MATCH(C26,Folha1!$B$2:$B$396,0)</f>
        <v>212</v>
      </c>
      <c r="Y26" t="str">
        <f t="shared" si="1"/>
        <v>(212,'brumar2300', '$2a$10$H2Kp14gSrhqgBZYtw5SrO.ddZPd4Yq6EGvOJdYdCM0MK7TidRrFr.', 'Bruno Cardoso', 'Masculino', '1938-10-23', 'Rua do Guarda-Mor', '2300-648', 'Tomar', 'Utente', 'Portuguesa', 'Bilhete de Identidade', '49434863', '901014406', '771910521', '911763111', 'brumar2300@gmail.com', 'user-male.jpg'),</v>
      </c>
      <c r="Z26" t="str">
        <f t="shared" si="2"/>
        <v>(212),</v>
      </c>
    </row>
    <row r="27" spans="1:26" x14ac:dyDescent="0.25">
      <c r="A27">
        <v>213</v>
      </c>
      <c r="B27" t="s">
        <v>2236</v>
      </c>
      <c r="C27" t="s">
        <v>2237</v>
      </c>
      <c r="D27" t="s">
        <v>2238</v>
      </c>
      <c r="E27" t="s">
        <v>53</v>
      </c>
      <c r="F27" s="7">
        <v>15060</v>
      </c>
      <c r="G27" t="s">
        <v>230</v>
      </c>
      <c r="H27" t="s">
        <v>2239</v>
      </c>
      <c r="I27" t="s">
        <v>208</v>
      </c>
      <c r="J27" t="s">
        <v>3727</v>
      </c>
      <c r="K27" t="s">
        <v>225</v>
      </c>
      <c r="L27" t="s">
        <v>265</v>
      </c>
      <c r="M27" t="s">
        <v>2240</v>
      </c>
      <c r="N27" t="s">
        <v>2241</v>
      </c>
      <c r="O27" t="s">
        <v>2242</v>
      </c>
      <c r="P27" t="s">
        <v>2243</v>
      </c>
      <c r="Q27" t="s">
        <v>2244</v>
      </c>
      <c r="R27" t="str">
        <f t="shared" si="0"/>
        <v>user-male.jpg</v>
      </c>
      <c r="V27" s="6" t="str" cm="1">
        <f t="array" ref="V27">INDEX(Folha1!$C$2:$C$396,W27)</f>
        <v>$2a$10$ppRQ3pgumLhJHuWNNYkR/elbkb.8UUajTqW/KuCjI7.0svwdWWpWS</v>
      </c>
      <c r="W27">
        <f>MATCH(C27,Folha1!$B$2:$B$396,0)</f>
        <v>213</v>
      </c>
      <c r="Y27" t="str">
        <f t="shared" si="1"/>
        <v>(213,'luibal2900', '$2a$10$ppRQ3pgumLhJHuWNNYkR/elbkb.8UUajTqW/KuCjI7.0svwdWWpWS', 'Luís Vaz', 'Masculino', '1941-03-25', 'Estrada da Circunvalação de Lisboa', '2900-389', 'Setúbal', 'Utente', 'Portuguesa', 'Bilhete de Identidade', '90881305', '871142470', '119341641', '912739528', 'luibal2900@gmail.com', 'user-male.jpg'),</v>
      </c>
      <c r="Z27" t="str">
        <f t="shared" si="2"/>
        <v>(213),</v>
      </c>
    </row>
    <row r="28" spans="1:26" x14ac:dyDescent="0.25">
      <c r="A28">
        <v>214</v>
      </c>
      <c r="B28" t="s">
        <v>2245</v>
      </c>
      <c r="C28" t="s">
        <v>2246</v>
      </c>
      <c r="D28" t="s">
        <v>2247</v>
      </c>
      <c r="E28" t="s">
        <v>53</v>
      </c>
      <c r="F28" s="7">
        <v>32317</v>
      </c>
      <c r="G28" t="s">
        <v>240</v>
      </c>
      <c r="H28" t="s">
        <v>2248</v>
      </c>
      <c r="I28" t="s">
        <v>211</v>
      </c>
      <c r="J28" t="s">
        <v>3727</v>
      </c>
      <c r="K28" t="s">
        <v>225</v>
      </c>
      <c r="L28" t="s">
        <v>265</v>
      </c>
      <c r="M28" t="s">
        <v>2249</v>
      </c>
      <c r="N28" t="s">
        <v>2250</v>
      </c>
      <c r="O28" t="s">
        <v>2251</v>
      </c>
      <c r="P28" t="s">
        <v>2252</v>
      </c>
      <c r="Q28" t="s">
        <v>2253</v>
      </c>
      <c r="R28" t="str">
        <f t="shared" si="0"/>
        <v>user-male.jpg</v>
      </c>
      <c r="V28" s="6" t="str" cm="1">
        <f t="array" ref="V28">INDEX(Folha1!$C$2:$C$396,W28)</f>
        <v>$2a$10$8TEfOZS/ig3M2SxLEKwQKucmu.sHhRUlz7ZzTdmwUOqtLa98s70dO</v>
      </c>
      <c r="W28">
        <f>MATCH(C28,Folha1!$B$2:$B$396,0)</f>
        <v>214</v>
      </c>
      <c r="Y28" t="str">
        <f t="shared" si="1"/>
        <v>(214,'migboa1069', '$2a$10$8TEfOZS/ig3M2SxLEKwQKucmu.sHhRUlz7ZzTdmwUOqtLa98s70dO', 'Miguel Henriques', 'Masculino', '1988-06-23', 'Calçada do Poço dos Mouros', '1069-220', 'Lisboa', 'Utente', 'Portuguesa', 'Bilhete de Identidade', '98240797', '748524936', '639542463', '913254788', 'migboa1069@gmail.com', 'user-male.jpg'),</v>
      </c>
      <c r="Z28" t="str">
        <f t="shared" si="2"/>
        <v>(214),</v>
      </c>
    </row>
    <row r="29" spans="1:26" x14ac:dyDescent="0.25">
      <c r="A29">
        <v>215</v>
      </c>
      <c r="B29" t="s">
        <v>2254</v>
      </c>
      <c r="C29" t="s">
        <v>2255</v>
      </c>
      <c r="D29" t="s">
        <v>2256</v>
      </c>
      <c r="E29" t="s">
        <v>66</v>
      </c>
      <c r="F29" s="7">
        <v>31298</v>
      </c>
      <c r="G29" t="s">
        <v>254</v>
      </c>
      <c r="H29" t="s">
        <v>2257</v>
      </c>
      <c r="I29" t="s">
        <v>211</v>
      </c>
      <c r="J29" t="s">
        <v>3727</v>
      </c>
      <c r="K29" t="s">
        <v>225</v>
      </c>
      <c r="L29" t="s">
        <v>265</v>
      </c>
      <c r="M29" t="s">
        <v>2258</v>
      </c>
      <c r="N29" t="s">
        <v>2259</v>
      </c>
      <c r="O29" t="s">
        <v>2260</v>
      </c>
      <c r="P29" t="s">
        <v>2261</v>
      </c>
      <c r="Q29" t="s">
        <v>2262</v>
      </c>
      <c r="R29" s="3" t="s">
        <v>3728</v>
      </c>
      <c r="V29" s="6" t="str" cm="1">
        <f t="array" ref="V29">INDEX(Folha1!$C$2:$C$396,W29)</f>
        <v>$2a$10$q8IYG8nDFJ4tyy5P75lI1enBcrRyvSo.U3PPn8QoUPlleSryISBBC</v>
      </c>
      <c r="W29">
        <f>MATCH(C29,Folha1!$B$2:$B$396,0)</f>
        <v>215</v>
      </c>
      <c r="Y29" t="str">
        <f t="shared" si="1"/>
        <v>(215,'anaboa1069', '$2a$10$q8IYG8nDFJ4tyy5P75lI1enBcrRyvSo.U3PPn8QoUPlleSryISBBC', 'Ana Ribeiro', 'Feminino', '1985-09-08', 'Rua do Sacramento à Lapa', '1069-339', 'Lisboa', 'Utente', 'Portuguesa', 'Bilhete de Identidade', '92832000', '764495194', '310908090', '964115155', 'anaboa1069@outlook.com', 'anaboa1069.jpg'),</v>
      </c>
      <c r="Z29" t="str">
        <f t="shared" si="2"/>
        <v>(215),</v>
      </c>
    </row>
    <row r="30" spans="1:26" x14ac:dyDescent="0.25">
      <c r="A30">
        <v>216</v>
      </c>
      <c r="B30" t="s">
        <v>296</v>
      </c>
      <c r="C30" t="s">
        <v>297</v>
      </c>
      <c r="D30" t="s">
        <v>2263</v>
      </c>
      <c r="E30" t="s">
        <v>66</v>
      </c>
      <c r="F30" s="7">
        <v>20622</v>
      </c>
      <c r="G30" t="s">
        <v>247</v>
      </c>
      <c r="H30" t="s">
        <v>2264</v>
      </c>
      <c r="I30" t="s">
        <v>220</v>
      </c>
      <c r="J30" t="s">
        <v>3727</v>
      </c>
      <c r="K30" t="s">
        <v>225</v>
      </c>
      <c r="L30" t="s">
        <v>265</v>
      </c>
      <c r="M30" t="s">
        <v>2265</v>
      </c>
      <c r="N30" t="s">
        <v>2266</v>
      </c>
      <c r="O30" t="s">
        <v>2267</v>
      </c>
      <c r="P30" t="s">
        <v>2268</v>
      </c>
      <c r="Q30" t="s">
        <v>317</v>
      </c>
      <c r="R30" t="str">
        <f t="shared" si="0"/>
        <v>user-female.jpg</v>
      </c>
      <c r="V30" s="6" t="str" cm="1">
        <f t="array" ref="V30">INDEX(Folha1!$C$2:$C$396,W30)</f>
        <v>$2a$10$XnRu4Frk20dZBCU7zv7aCOnnP9LXUD/vlBANqmyuY.IT7f0rSQReK</v>
      </c>
      <c r="W30">
        <f>MATCH(C30,Folha1!$B$2:$B$396,0)</f>
        <v>216</v>
      </c>
      <c r="Y30" t="str">
        <f t="shared" si="1"/>
        <v>(216,'marais2754', '$2a$10$XnRu4Frk20dZBCU7zv7aCOnnP9LXUD/vlBANqmyuY.IT7f0rSQReK', 'Maria Ferreira', 'Feminino', '1956-06-16', 'Rua Ferreira Lapa', '2754-094', 'Cascais', 'Utente', 'Portuguesa', 'Bilhete de Identidade', '71545317', '950173863', '332168392', '968892766', 'marais2754@gmail.com', 'user-female.jpg'),</v>
      </c>
      <c r="Z30" t="str">
        <f t="shared" si="2"/>
        <v>(216),</v>
      </c>
    </row>
    <row r="31" spans="1:26" x14ac:dyDescent="0.25">
      <c r="A31">
        <v>217</v>
      </c>
      <c r="B31" t="s">
        <v>2269</v>
      </c>
      <c r="C31" t="s">
        <v>2270</v>
      </c>
      <c r="D31" t="s">
        <v>2271</v>
      </c>
      <c r="E31" t="s">
        <v>66</v>
      </c>
      <c r="F31" s="7">
        <v>15242</v>
      </c>
      <c r="G31" t="s">
        <v>230</v>
      </c>
      <c r="H31" t="s">
        <v>2272</v>
      </c>
      <c r="I31" t="s">
        <v>219</v>
      </c>
      <c r="J31" t="s">
        <v>3727</v>
      </c>
      <c r="K31" t="s">
        <v>225</v>
      </c>
      <c r="L31" t="s">
        <v>265</v>
      </c>
      <c r="M31" t="s">
        <v>2273</v>
      </c>
      <c r="N31" t="s">
        <v>2274</v>
      </c>
      <c r="O31" t="s">
        <v>2275</v>
      </c>
      <c r="P31" t="s">
        <v>2276</v>
      </c>
      <c r="Q31" t="s">
        <v>2277</v>
      </c>
      <c r="R31" t="str">
        <f t="shared" si="0"/>
        <v>user-female.jpg</v>
      </c>
      <c r="V31" s="6" t="str" cm="1">
        <f t="array" ref="V31">INDEX(Folha1!$C$2:$C$396,W31)</f>
        <v>$2a$10$kHcAM.K/d/VVisHUy.7Nlua/EnTT0ZncO8AnQ801pU3cT5kP3KwZO</v>
      </c>
      <c r="W31">
        <f>MATCH(C31,Folha1!$B$2:$B$396,0)</f>
        <v>217</v>
      </c>
      <c r="Y31" t="str">
        <f t="shared" si="1"/>
        <v>(217,'fraide2794', '$2a$10$kHcAM.K/d/VVisHUy.7Nlua/EnTT0ZncO8AnQ801pU3cT5kP3KwZO', 'Francisca Raposo', 'Feminino', '1941-09-23', 'Estrada da Circunvalação de Lisboa', '2794-864', 'Carnaxide', 'Utente', 'Portuguesa', 'Bilhete de Identidade', '83796504', '120828074', '769360947', '915574498', 'fraide2794@outlook.com', 'user-female.jpg'),</v>
      </c>
      <c r="Z31" t="str">
        <f t="shared" si="2"/>
        <v>(217),</v>
      </c>
    </row>
    <row r="32" spans="1:26" x14ac:dyDescent="0.25">
      <c r="A32">
        <v>218</v>
      </c>
      <c r="B32" t="s">
        <v>2278</v>
      </c>
      <c r="C32" t="s">
        <v>2279</v>
      </c>
      <c r="D32" t="s">
        <v>2280</v>
      </c>
      <c r="E32" t="s">
        <v>53</v>
      </c>
      <c r="F32" s="7">
        <v>38538</v>
      </c>
      <c r="G32" t="s">
        <v>260</v>
      </c>
      <c r="H32" t="s">
        <v>2281</v>
      </c>
      <c r="I32" t="s">
        <v>211</v>
      </c>
      <c r="J32" t="s">
        <v>3727</v>
      </c>
      <c r="K32" t="s">
        <v>225</v>
      </c>
      <c r="L32" t="s">
        <v>265</v>
      </c>
      <c r="M32" t="s">
        <v>2282</v>
      </c>
      <c r="N32" t="s">
        <v>2283</v>
      </c>
      <c r="O32" t="s">
        <v>2284</v>
      </c>
      <c r="P32" t="s">
        <v>2285</v>
      </c>
      <c r="Q32" t="s">
        <v>2286</v>
      </c>
      <c r="R32" t="str">
        <f t="shared" si="0"/>
        <v>user-male.jpg</v>
      </c>
      <c r="V32" s="6" t="str" cm="1">
        <f t="array" ref="V32">INDEX(Folha1!$C$2:$C$396,W32)</f>
        <v>$2a$10$yFgq7zNhtZ7ToAz0MK84jOuWMvZ5Zoqgz8JC4q16yQ5TQnhz03BXS</v>
      </c>
      <c r="W32">
        <f>MATCH(C32,Folha1!$B$2:$B$396,0)</f>
        <v>218</v>
      </c>
      <c r="Y32" t="str">
        <f t="shared" si="1"/>
        <v>(218,'luiboa1200', '$2a$10$yFgq7zNhtZ7ToAz0MK84jOuWMvZ5Zoqgz8JC4q16yQ5TQnhz03BXS', 'Luís Lima', 'Masculino', '2005-07-05', 'Rua Augusta', '1200-936', 'Lisboa', 'Utente', 'Portuguesa', 'Bilhete de Identidade', '10780788', '629677497', '909190085', '936801172', 'luiboa1200@sapo.pt', 'user-male.jpg'),</v>
      </c>
      <c r="Z32" t="str">
        <f t="shared" si="2"/>
        <v>(218),</v>
      </c>
    </row>
    <row r="33" spans="1:26" x14ac:dyDescent="0.25">
      <c r="A33">
        <v>219</v>
      </c>
      <c r="B33" t="s">
        <v>2287</v>
      </c>
      <c r="C33" t="s">
        <v>2288</v>
      </c>
      <c r="D33" t="s">
        <v>2289</v>
      </c>
      <c r="E33" t="s">
        <v>66</v>
      </c>
      <c r="F33" s="7">
        <v>22147</v>
      </c>
      <c r="G33" t="s">
        <v>243</v>
      </c>
      <c r="H33" t="s">
        <v>2290</v>
      </c>
      <c r="I33" t="s">
        <v>211</v>
      </c>
      <c r="J33" t="s">
        <v>3727</v>
      </c>
      <c r="K33" t="s">
        <v>225</v>
      </c>
      <c r="L33" t="s">
        <v>265</v>
      </c>
      <c r="M33" t="s">
        <v>2291</v>
      </c>
      <c r="N33" t="s">
        <v>2292</v>
      </c>
      <c r="O33" t="s">
        <v>2293</v>
      </c>
      <c r="P33" t="s">
        <v>2294</v>
      </c>
      <c r="Q33" t="s">
        <v>2295</v>
      </c>
      <c r="R33" t="str">
        <f t="shared" si="0"/>
        <v>user-female.jpg</v>
      </c>
      <c r="V33" s="6" t="str" cm="1">
        <f t="array" ref="V33">INDEX(Folha1!$C$2:$C$396,W33)</f>
        <v>$2a$10$t.59cTuwbi7kfuH8pq4GTe5zmBmznS6vXUo9ciSQi10uN/S5NqGoa</v>
      </c>
      <c r="W33">
        <f>MATCH(C33,Folha1!$B$2:$B$396,0)</f>
        <v>219</v>
      </c>
      <c r="Y33" t="str">
        <f t="shared" si="1"/>
        <v>(219,'carboa1849', '$2a$10$t.59cTuwbi7kfuH8pq4GTe5zmBmznS6vXUo9ciSQi10uN/S5NqGoa', 'Carolina Ribeiro', 'Feminino', '1960-08-19', 'Rua Roberto Duarte Silva', '1849-970', 'Lisboa', 'Utente', 'Portuguesa', 'Bilhete de Identidade', '66745495', '333029176', '230345618', '915047705', 'carboa1849@sapo.pt', 'user-female.jpg'),</v>
      </c>
      <c r="Z33" t="str">
        <f t="shared" si="2"/>
        <v>(219),</v>
      </c>
    </row>
    <row r="34" spans="1:26" x14ac:dyDescent="0.25">
      <c r="A34">
        <v>220</v>
      </c>
      <c r="B34" t="s">
        <v>2296</v>
      </c>
      <c r="C34" t="s">
        <v>2297</v>
      </c>
      <c r="D34" t="s">
        <v>2298</v>
      </c>
      <c r="E34" t="s">
        <v>66</v>
      </c>
      <c r="F34" s="7">
        <v>26345</v>
      </c>
      <c r="G34" t="s">
        <v>241</v>
      </c>
      <c r="H34" t="s">
        <v>2299</v>
      </c>
      <c r="I34" t="s">
        <v>207</v>
      </c>
      <c r="J34" t="s">
        <v>3727</v>
      </c>
      <c r="K34" t="s">
        <v>225</v>
      </c>
      <c r="L34" t="s">
        <v>265</v>
      </c>
      <c r="M34" t="s">
        <v>2300</v>
      </c>
      <c r="N34" t="s">
        <v>2301</v>
      </c>
      <c r="O34" t="s">
        <v>2302</v>
      </c>
      <c r="P34" t="s">
        <v>2303</v>
      </c>
      <c r="Q34" t="s">
        <v>2304</v>
      </c>
      <c r="R34" t="str">
        <f t="shared" si="0"/>
        <v>user-female.jpg</v>
      </c>
      <c r="V34" s="6" t="str" cm="1">
        <f t="array" ref="V34">INDEX(Folha1!$C$2:$C$396,W34)</f>
        <v>$2a$10$n6FdSqUyxDuw.BGin1xOmutyHzLA9irUA9N5o8yOoR1b5eOoVQeca</v>
      </c>
      <c r="W34">
        <f>MATCH(C34,Folha1!$B$2:$B$396,0)</f>
        <v>220</v>
      </c>
      <c r="Y34" t="str">
        <f t="shared" si="1"/>
        <v>(220,'danluz2745', '$2a$10$n6FdSqUyxDuw.BGin1xOmutyHzLA9irUA9N5o8yOoR1b5eOoVQeca', 'Daniela Nascimento Oliveira', 'Feminino', '1972-02-16', 'Rua da Prata', '2745-127', 'Queluz', 'Utente', 'Portuguesa', 'Bilhete de Identidade', '42551173', '354429799', '778997333', '936973199', 'danluz2745@outlook.com', 'user-female.jpg'),</v>
      </c>
      <c r="Z34" t="str">
        <f t="shared" si="2"/>
        <v>(220),</v>
      </c>
    </row>
    <row r="35" spans="1:26" x14ac:dyDescent="0.25">
      <c r="A35">
        <v>221</v>
      </c>
      <c r="B35" t="s">
        <v>2305</v>
      </c>
      <c r="C35" t="s">
        <v>2306</v>
      </c>
      <c r="D35" t="s">
        <v>2307</v>
      </c>
      <c r="E35" t="s">
        <v>53</v>
      </c>
      <c r="F35" s="7">
        <v>24701</v>
      </c>
      <c r="G35" t="s">
        <v>256</v>
      </c>
      <c r="H35" t="s">
        <v>2308</v>
      </c>
      <c r="I35" t="s">
        <v>211</v>
      </c>
      <c r="J35" t="s">
        <v>3727</v>
      </c>
      <c r="K35" t="s">
        <v>225</v>
      </c>
      <c r="L35" t="s">
        <v>265</v>
      </c>
      <c r="M35" t="s">
        <v>2309</v>
      </c>
      <c r="N35" t="s">
        <v>2310</v>
      </c>
      <c r="O35" t="s">
        <v>2311</v>
      </c>
      <c r="P35" t="s">
        <v>2312</v>
      </c>
      <c r="Q35" t="s">
        <v>2313</v>
      </c>
      <c r="R35" t="str">
        <f t="shared" si="0"/>
        <v>user-male.jpg</v>
      </c>
      <c r="V35" s="6" t="str" cm="1">
        <f t="array" ref="V35">INDEX(Folha1!$C$2:$C$396,W35)</f>
        <v>$2a$10$tXU4o776RQYiKBbEReFr3uAXv8Dg0eph7vOLCFrOk9pSQmSLgLDd.</v>
      </c>
      <c r="W35">
        <f>MATCH(C35,Folha1!$B$2:$B$396,0)</f>
        <v>221</v>
      </c>
      <c r="Y35" t="str">
        <f t="shared" si="1"/>
        <v>(221,'luiboa1950', '$2a$10$tXU4o776RQYiKBbEReFr3uAXv8Dg0eph7vOLCFrOk9pSQmSLgLDd.', 'Luís Cruz Simões', 'Masculino', '1967-08-17', 'Travessa de São João da Praça', '1950-476', 'Lisboa', 'Utente', 'Portuguesa', 'Bilhete de Identidade', '13966838', '179399141', '100041004', '914502172', 'luiboa1950@sapo.pt', 'user-male.jpg'),</v>
      </c>
      <c r="Z35" t="str">
        <f t="shared" si="2"/>
        <v>(221),</v>
      </c>
    </row>
    <row r="36" spans="1:26" x14ac:dyDescent="0.25">
      <c r="A36">
        <v>222</v>
      </c>
      <c r="B36" t="s">
        <v>2314</v>
      </c>
      <c r="C36" t="s">
        <v>2315</v>
      </c>
      <c r="D36" t="s">
        <v>2316</v>
      </c>
      <c r="E36" t="s">
        <v>66</v>
      </c>
      <c r="F36" s="7">
        <v>36840</v>
      </c>
      <c r="G36" t="s">
        <v>246</v>
      </c>
      <c r="H36" t="s">
        <v>2317</v>
      </c>
      <c r="I36" t="s">
        <v>220</v>
      </c>
      <c r="J36" t="s">
        <v>3727</v>
      </c>
      <c r="K36" t="s">
        <v>225</v>
      </c>
      <c r="L36" t="s">
        <v>265</v>
      </c>
      <c r="M36" t="s">
        <v>2318</v>
      </c>
      <c r="N36" t="s">
        <v>2319</v>
      </c>
      <c r="O36" t="s">
        <v>2320</v>
      </c>
      <c r="P36" t="s">
        <v>2321</v>
      </c>
      <c r="Q36" t="s">
        <v>2322</v>
      </c>
      <c r="R36" t="str">
        <f t="shared" si="0"/>
        <v>user-female.jpg</v>
      </c>
      <c r="V36" s="6" t="str" cm="1">
        <f t="array" ref="V36">INDEX(Folha1!$C$2:$C$396,W36)</f>
        <v>$2a$10$BBjFLK/Eyivcpy4PT1h6xubC5W6VsXRKyVpHvvtxXe5xsIMJKonoS</v>
      </c>
      <c r="W36">
        <f>MATCH(C36,Folha1!$B$2:$B$396,0)</f>
        <v>222</v>
      </c>
      <c r="Y36" t="str">
        <f t="shared" si="1"/>
        <v>(222,'joaais2750', '$2a$10$BBjFLK/Eyivcpy4PT1h6xubC5W6VsXRKyVpHvvtxXe5xsIMJKonoS', 'Joana Pinho Rocha', 'Feminino', '2000-11-10', 'Rua do Guarda-Mor', '2750-029', 'Cascais', 'Utente', 'Portuguesa', 'Bilhete de Identidade', '92754268', '690270684', '140405514', '964111504', 'joaais2750@sapo.pt', 'user-female.jpg'),</v>
      </c>
      <c r="Z36" t="str">
        <f t="shared" si="2"/>
        <v>(222),</v>
      </c>
    </row>
    <row r="37" spans="1:26" x14ac:dyDescent="0.25">
      <c r="A37">
        <v>223</v>
      </c>
      <c r="B37" t="s">
        <v>2323</v>
      </c>
      <c r="C37" t="s">
        <v>2324</v>
      </c>
      <c r="D37" t="s">
        <v>2325</v>
      </c>
      <c r="E37" t="s">
        <v>53</v>
      </c>
      <c r="F37" s="7">
        <v>40951</v>
      </c>
      <c r="G37" t="s">
        <v>238</v>
      </c>
      <c r="H37" t="s">
        <v>2326</v>
      </c>
      <c r="I37" t="s">
        <v>211</v>
      </c>
      <c r="J37" t="s">
        <v>3727</v>
      </c>
      <c r="K37" t="s">
        <v>225</v>
      </c>
      <c r="L37" t="s">
        <v>265</v>
      </c>
      <c r="M37" t="s">
        <v>2327</v>
      </c>
      <c r="N37" t="s">
        <v>2328</v>
      </c>
      <c r="O37" t="s">
        <v>2329</v>
      </c>
      <c r="P37" t="s">
        <v>2330</v>
      </c>
      <c r="Q37" t="s">
        <v>2331</v>
      </c>
      <c r="R37" t="str">
        <f t="shared" si="0"/>
        <v>user-male.jpg</v>
      </c>
      <c r="V37" s="6" t="str" cm="1">
        <f t="array" ref="V37">INDEX(Folha1!$C$2:$C$396,W37)</f>
        <v>$2a$10$OJmDkRKig/THV5VXo0Mc2eHUenVwRe3foJw4IYVmPysyGSOm701pq</v>
      </c>
      <c r="W37">
        <f>MATCH(C37,Folha1!$B$2:$B$396,0)</f>
        <v>223</v>
      </c>
      <c r="Y37" t="str">
        <f t="shared" si="1"/>
        <v>(223,'josboa1350', '$2a$10$OJmDkRKig/THV5VXo0Mc2eHUenVwRe3foJw4IYVmPysyGSOm701pq', 'José Machado Anjos', 'Masculino', '2012-02-12', 'Calçada do Moinho de Vento', '1350-896', 'Lisboa', 'Utente', 'Portuguesa', 'Bilhete de Identidade', '44449557', '897333196', '879565568', '960006116', 'josboa1350@outlook.com', 'user-male.jpg'),</v>
      </c>
      <c r="Z37" t="str">
        <f t="shared" si="2"/>
        <v>(223),</v>
      </c>
    </row>
    <row r="38" spans="1:26" x14ac:dyDescent="0.25">
      <c r="A38">
        <v>224</v>
      </c>
      <c r="B38" t="s">
        <v>2332</v>
      </c>
      <c r="C38" t="s">
        <v>2333</v>
      </c>
      <c r="D38" t="s">
        <v>2334</v>
      </c>
      <c r="E38" t="s">
        <v>53</v>
      </c>
      <c r="F38" s="7">
        <v>43838</v>
      </c>
      <c r="G38" t="s">
        <v>257</v>
      </c>
      <c r="H38" t="s">
        <v>2335</v>
      </c>
      <c r="I38" t="s">
        <v>209</v>
      </c>
      <c r="J38" t="s">
        <v>3727</v>
      </c>
      <c r="K38" t="s">
        <v>225</v>
      </c>
      <c r="L38" t="s">
        <v>265</v>
      </c>
      <c r="M38" t="s">
        <v>2336</v>
      </c>
      <c r="N38" t="s">
        <v>2337</v>
      </c>
      <c r="O38" t="s">
        <v>2338</v>
      </c>
      <c r="P38" t="s">
        <v>2339</v>
      </c>
      <c r="Q38" t="s">
        <v>2340</v>
      </c>
      <c r="R38" t="str">
        <f t="shared" si="0"/>
        <v>user-male.jpg</v>
      </c>
      <c r="V38" s="6" t="str" cm="1">
        <f t="array" ref="V38">INDEX(Folha1!$C$2:$C$396,W38)</f>
        <v>$2a$10$dDBgyfw5hmMiDxnOwnljEeuwZGUfMT6DiPRSkf6Np.9l4.B0NnoQW</v>
      </c>
      <c r="W38">
        <f>MATCH(C38,Folha1!$B$2:$B$396,0)</f>
        <v>224</v>
      </c>
      <c r="Y38" t="str">
        <f t="shared" si="1"/>
        <v>(224,'afoada2800', '$2a$10$dDBgyfw5hmMiDxnOwnljEeuwZGUfMT6DiPRSkf6Np.9l4.B0NnoQW', 'Afonso Freitas Simões', 'Masculino', '2020-01-08', 'Rua do Sol a Santana', '2800-543', 'Almada', 'Utente', 'Portuguesa', 'Bilhete de Identidade', '48775692', '442766446', '168068537', '938282700', 'afoada2800@gmail.com', 'user-male.jpg'),</v>
      </c>
      <c r="Z38" t="str">
        <f t="shared" si="2"/>
        <v>(224),</v>
      </c>
    </row>
    <row r="39" spans="1:26" x14ac:dyDescent="0.25">
      <c r="A39">
        <v>225</v>
      </c>
      <c r="B39" t="s">
        <v>2341</v>
      </c>
      <c r="C39" t="s">
        <v>2342</v>
      </c>
      <c r="D39" t="s">
        <v>2343</v>
      </c>
      <c r="E39" t="s">
        <v>53</v>
      </c>
      <c r="F39" s="7">
        <v>13937</v>
      </c>
      <c r="G39" t="s">
        <v>245</v>
      </c>
      <c r="H39" t="s">
        <v>2344</v>
      </c>
      <c r="I39" t="s">
        <v>222</v>
      </c>
      <c r="J39" t="s">
        <v>3727</v>
      </c>
      <c r="K39" t="s">
        <v>225</v>
      </c>
      <c r="L39" t="s">
        <v>265</v>
      </c>
      <c r="M39" t="s">
        <v>2345</v>
      </c>
      <c r="N39" t="s">
        <v>2346</v>
      </c>
      <c r="O39" t="s">
        <v>2347</v>
      </c>
      <c r="P39" t="s">
        <v>2348</v>
      </c>
      <c r="Q39" t="s">
        <v>2349</v>
      </c>
      <c r="R39" t="str">
        <f t="shared" si="0"/>
        <v>user-male.jpg</v>
      </c>
      <c r="V39" s="6" t="str" cm="1">
        <f t="array" ref="V39">INDEX(Folha1!$C$2:$C$396,W39)</f>
        <v>$2a$10$Jyar1bcyFn9rLSwdPePyReq7aQc6eHfkfZjqxc1.LtfsZJpdF5wA.</v>
      </c>
      <c r="W39">
        <f>MATCH(C39,Folha1!$B$2:$B$396,0)</f>
        <v>225</v>
      </c>
      <c r="Y39" t="str">
        <f t="shared" si="1"/>
        <v>(225,'luinto2330', '$2a$10$Jyar1bcyFn9rLSwdPePyReq7aQc6eHfkfZjqxc1.LtfsZJpdF5wA.', 'Luís Campos Neto', 'Masculino', '1938-02-26', 'Rua do Comércio', '2330-347', 'Entroncamento', 'Utente', 'Portuguesa', 'Bilhete de Identidade', '19645770', '215593110', '740344092', '935815866', 'luinto2330@gmail.com', 'user-male.jpg'),</v>
      </c>
      <c r="Z39" t="str">
        <f t="shared" si="2"/>
        <v>(225),</v>
      </c>
    </row>
    <row r="40" spans="1:26" x14ac:dyDescent="0.25">
      <c r="A40">
        <v>226</v>
      </c>
      <c r="B40" t="s">
        <v>2350</v>
      </c>
      <c r="C40" t="s">
        <v>2351</v>
      </c>
      <c r="D40" t="s">
        <v>2352</v>
      </c>
      <c r="E40" t="s">
        <v>53</v>
      </c>
      <c r="F40" s="7">
        <v>32387</v>
      </c>
      <c r="G40" t="s">
        <v>254</v>
      </c>
      <c r="H40" t="s">
        <v>2353</v>
      </c>
      <c r="I40" t="s">
        <v>223</v>
      </c>
      <c r="J40" t="s">
        <v>3727</v>
      </c>
      <c r="K40" t="s">
        <v>225</v>
      </c>
      <c r="L40" t="s">
        <v>265</v>
      </c>
      <c r="M40" t="s">
        <v>2354</v>
      </c>
      <c r="N40" t="s">
        <v>2355</v>
      </c>
      <c r="O40" t="s">
        <v>2356</v>
      </c>
      <c r="P40" t="s">
        <v>2357</v>
      </c>
      <c r="Q40" t="s">
        <v>2358</v>
      </c>
      <c r="R40" t="str">
        <f t="shared" si="0"/>
        <v>user-male.jpg</v>
      </c>
      <c r="V40" s="6" t="str" cm="1">
        <f t="array" ref="V40">INDEX(Folha1!$C$2:$C$396,W40)</f>
        <v>$2a$10$tmQUgHRlvSA0zGjdj78H/um0RzfwUcvu1NgICTpp7W.7C2I.DIdWC</v>
      </c>
      <c r="W40">
        <f>MATCH(C40,Folha1!$B$2:$B$396,0)</f>
        <v>226</v>
      </c>
      <c r="Y40" t="str">
        <f t="shared" si="1"/>
        <v>(226,'josira2659', '$2a$10$tmQUgHRlvSA0zGjdj78H/um0RzfwUcvu1NgICTpp7W.7C2I.DIdWC', 'José Garcia Ribeiro', 'Masculino', '1988-09-01', 'Rua do Sacramento à Lapa', '2659-254', 'Ericeira', 'Utente', 'Portuguesa', 'Bilhete de Identidade', '33862797', '617202739', '442156607', '921610847', 'josira2659@outlook.com', 'user-male.jpg'),</v>
      </c>
      <c r="Z40" t="str">
        <f t="shared" si="2"/>
        <v>(226),</v>
      </c>
    </row>
    <row r="41" spans="1:26" x14ac:dyDescent="0.25">
      <c r="A41">
        <v>227</v>
      </c>
      <c r="B41" t="s">
        <v>2359</v>
      </c>
      <c r="C41" t="s">
        <v>2360</v>
      </c>
      <c r="D41" t="s">
        <v>2361</v>
      </c>
      <c r="E41" t="s">
        <v>53</v>
      </c>
      <c r="F41" s="7">
        <v>10615</v>
      </c>
      <c r="G41" t="s">
        <v>227</v>
      </c>
      <c r="H41" t="s">
        <v>2362</v>
      </c>
      <c r="I41" t="s">
        <v>200</v>
      </c>
      <c r="J41" t="s">
        <v>3727</v>
      </c>
      <c r="K41" t="s">
        <v>225</v>
      </c>
      <c r="L41" t="s">
        <v>265</v>
      </c>
      <c r="M41" t="s">
        <v>2363</v>
      </c>
      <c r="N41" t="s">
        <v>2364</v>
      </c>
      <c r="O41" t="s">
        <v>2365</v>
      </c>
      <c r="P41" t="s">
        <v>2366</v>
      </c>
      <c r="Q41" t="s">
        <v>2367</v>
      </c>
      <c r="R41" t="str">
        <f t="shared" si="0"/>
        <v>user-male.jpg</v>
      </c>
      <c r="V41" s="6" t="str" cm="1">
        <f t="array" ref="V41">INDEX(Folha1!$C$2:$C$396,W41)</f>
        <v>$2a$10$Xrm8HRK5v.PM/bip3FUVh.i025HbJuNI72eQIWAmrc1W8KF354iPa</v>
      </c>
      <c r="W41">
        <f>MATCH(C41,Folha1!$B$2:$B$396,0)</f>
        <v>227</v>
      </c>
      <c r="Y41" t="str">
        <f t="shared" si="1"/>
        <v>(227,'josbra3000', '$2a$10$Xrm8HRK5v.PM/bip3FUVh.i025HbJuNI72eQIWAmrc1W8KF354iPa', 'José Gonçalves Esteves', 'Masculino', '1929-01-22', 'Rua dos Bacalhoeiros', '3000-307', 'Coimbra', 'Utente', 'Portuguesa', 'Bilhete de Identidade', '57372394', '511532615', '173062103', '966368981', 'josbra3000@sapo.pt', 'user-male.jpg'),</v>
      </c>
      <c r="Z41" t="str">
        <f t="shared" si="2"/>
        <v>(227),</v>
      </c>
    </row>
    <row r="42" spans="1:26" x14ac:dyDescent="0.25">
      <c r="A42">
        <v>228</v>
      </c>
      <c r="B42" t="s">
        <v>2368</v>
      </c>
      <c r="C42" t="s">
        <v>2369</v>
      </c>
      <c r="D42" t="s">
        <v>2370</v>
      </c>
      <c r="E42" t="s">
        <v>53</v>
      </c>
      <c r="F42" s="7">
        <v>28753</v>
      </c>
      <c r="G42" t="s">
        <v>256</v>
      </c>
      <c r="H42" t="s">
        <v>2371</v>
      </c>
      <c r="I42" t="s">
        <v>211</v>
      </c>
      <c r="J42" t="s">
        <v>3727</v>
      </c>
      <c r="K42" t="s">
        <v>225</v>
      </c>
      <c r="L42" t="s">
        <v>265</v>
      </c>
      <c r="M42" t="s">
        <v>2372</v>
      </c>
      <c r="N42" t="s">
        <v>2373</v>
      </c>
      <c r="O42" t="s">
        <v>2374</v>
      </c>
      <c r="P42" t="s">
        <v>2375</v>
      </c>
      <c r="Q42" t="s">
        <v>2376</v>
      </c>
      <c r="R42" t="str">
        <f t="shared" si="0"/>
        <v>user-male.jpg</v>
      </c>
      <c r="V42" s="6" t="str" cm="1">
        <f t="array" ref="V42">INDEX(Folha1!$C$2:$C$396,W42)</f>
        <v>$2a$10$U9Yff27CyFUKxt5wDwPPJ.4olKM/FyXXMMrSS5QGZpR04B9v34GBK</v>
      </c>
      <c r="W42">
        <f>MATCH(C42,Folha1!$B$2:$B$396,0)</f>
        <v>228</v>
      </c>
      <c r="Y42" t="str">
        <f t="shared" si="1"/>
        <v>(228,'tiaboa1269', '$2a$10$U9Yff27CyFUKxt5wDwPPJ.4olKM/FyXXMMrSS5QGZpR04B9v34GBK', 'Tiago Sá Lourenço', 'Masculino', '1978-09-20', 'Travessa de São João da Praça', '1269-310', 'Lisboa', 'Utente', 'Portuguesa', 'Bilhete de Identidade', '71488926', '213552044', '186167308', '935138223', 'tiaboa1269@outlook.com', 'user-male.jpg'),</v>
      </c>
      <c r="Z42" t="str">
        <f t="shared" si="2"/>
        <v>(228),</v>
      </c>
    </row>
    <row r="43" spans="1:26" x14ac:dyDescent="0.25">
      <c r="A43">
        <v>229</v>
      </c>
      <c r="B43" t="s">
        <v>2377</v>
      </c>
      <c r="C43" t="s">
        <v>2378</v>
      </c>
      <c r="D43" t="s">
        <v>2379</v>
      </c>
      <c r="E43" t="s">
        <v>53</v>
      </c>
      <c r="F43" s="7">
        <v>20196</v>
      </c>
      <c r="G43" t="s">
        <v>246</v>
      </c>
      <c r="H43" t="s">
        <v>2380</v>
      </c>
      <c r="I43" t="s">
        <v>223</v>
      </c>
      <c r="J43" t="s">
        <v>3727</v>
      </c>
      <c r="K43" t="s">
        <v>225</v>
      </c>
      <c r="L43" t="s">
        <v>265</v>
      </c>
      <c r="M43" t="s">
        <v>2381</v>
      </c>
      <c r="N43" t="s">
        <v>2382</v>
      </c>
      <c r="O43" t="s">
        <v>2383</v>
      </c>
      <c r="P43" t="s">
        <v>2384</v>
      </c>
      <c r="Q43" t="s">
        <v>2385</v>
      </c>
      <c r="R43" t="str">
        <f t="shared" si="0"/>
        <v>user-male.jpg</v>
      </c>
      <c r="V43" s="6" t="str" cm="1">
        <f t="array" ref="V43">INDEX(Folha1!$C$2:$C$396,W43)</f>
        <v>$2a$10$Xtwf1h67T6SB2HamBYTp8.WACTF9hvPqb0uHW90oZh6c8KU7MEGF.</v>
      </c>
      <c r="W43">
        <f>MATCH(C43,Folha1!$B$2:$B$396,0)</f>
        <v>229</v>
      </c>
      <c r="Y43" t="str">
        <f t="shared" si="1"/>
        <v>(229,'gabira2655', '$2a$10$Xtwf1h67T6SB2HamBYTp8.WACTF9hvPqb0uHW90oZh6c8KU7MEGF.', 'Gabriel Ribeiro Tavares', 'Masculino', '1955-04-17', 'Rua do Guarda-Mor', '2655-193', 'Ericeira', 'Utente', 'Portuguesa', 'Bilhete de Identidade', '23463815', '539397928', '338201319', '934988076', 'gabira2655@gmail.com', 'user-male.jpg'),</v>
      </c>
      <c r="Z43" t="str">
        <f t="shared" si="2"/>
        <v>(229),</v>
      </c>
    </row>
    <row r="44" spans="1:26" x14ac:dyDescent="0.25">
      <c r="A44">
        <v>230</v>
      </c>
      <c r="B44" t="s">
        <v>2386</v>
      </c>
      <c r="C44" t="s">
        <v>2387</v>
      </c>
      <c r="D44" t="s">
        <v>2388</v>
      </c>
      <c r="E44" t="s">
        <v>53</v>
      </c>
      <c r="F44" s="7">
        <v>28461</v>
      </c>
      <c r="G44" t="s">
        <v>240</v>
      </c>
      <c r="H44" t="s">
        <v>2389</v>
      </c>
      <c r="I44" t="s">
        <v>211</v>
      </c>
      <c r="J44" t="s">
        <v>3727</v>
      </c>
      <c r="K44" t="s">
        <v>225</v>
      </c>
      <c r="L44" t="s">
        <v>265</v>
      </c>
      <c r="M44" t="s">
        <v>2390</v>
      </c>
      <c r="N44" t="s">
        <v>2391</v>
      </c>
      <c r="O44" t="s">
        <v>2392</v>
      </c>
      <c r="P44" t="s">
        <v>2393</v>
      </c>
      <c r="Q44" t="s">
        <v>2394</v>
      </c>
      <c r="R44" s="3" t="s">
        <v>3731</v>
      </c>
      <c r="V44" s="6" t="str" cm="1">
        <f t="array" ref="V44">INDEX(Folha1!$C$2:$C$396,W44)</f>
        <v>$2a$10$2a2EzEvuLWMVnh40xaSm8eK34WU/fuQ9xxB5nMxnx9eeOXeT6Ny2O</v>
      </c>
      <c r="W44">
        <f>MATCH(C44,Folha1!$B$2:$B$396,0)</f>
        <v>230</v>
      </c>
      <c r="Y44" t="str">
        <f t="shared" si="1"/>
        <v>(230,'migboa1900', '$2a$10$2a2EzEvuLWMVnh40xaSm8eK34WU/fuQ9xxB5nMxnx9eeOXeT6Ny2O', 'Miguel Pereira Morais', 'Masculino', '1977-12-02', 'Calçada do Poço dos Mouros', '1900-943', 'Lisboa', 'Utente', 'Portuguesa', 'Bilhete de Identidade', '68951616', '422440781', '354331457', '922667954', 'migboa1900@outlook.com', 'migboa1900.jpg'),</v>
      </c>
      <c r="Z44" t="str">
        <f t="shared" si="2"/>
        <v>(230),</v>
      </c>
    </row>
    <row r="45" spans="1:26" x14ac:dyDescent="0.25">
      <c r="A45">
        <v>231</v>
      </c>
      <c r="B45" t="s">
        <v>291</v>
      </c>
      <c r="C45" t="s">
        <v>292</v>
      </c>
      <c r="D45" t="s">
        <v>2395</v>
      </c>
      <c r="E45" t="s">
        <v>53</v>
      </c>
      <c r="F45" s="7">
        <v>36293</v>
      </c>
      <c r="G45" t="s">
        <v>259</v>
      </c>
      <c r="H45" t="s">
        <v>2396</v>
      </c>
      <c r="I45" t="s">
        <v>223</v>
      </c>
      <c r="J45" t="s">
        <v>3727</v>
      </c>
      <c r="K45" t="s">
        <v>225</v>
      </c>
      <c r="L45" t="s">
        <v>265</v>
      </c>
      <c r="M45" t="s">
        <v>2397</v>
      </c>
      <c r="N45" t="s">
        <v>2398</v>
      </c>
      <c r="O45" t="s">
        <v>2399</v>
      </c>
      <c r="P45" t="s">
        <v>2400</v>
      </c>
      <c r="Q45" t="s">
        <v>293</v>
      </c>
      <c r="R45" t="str">
        <f t="shared" si="0"/>
        <v>user-male.jpg</v>
      </c>
      <c r="V45" s="6" t="str" cm="1">
        <f t="array" ref="V45">INDEX(Folha1!$C$2:$C$396,W45)</f>
        <v>$2a$10$wWpkVay3IPJLhLPEf0gfyOiyztC.AD0oVb7HzI0pBYEUUwIzRP26a</v>
      </c>
      <c r="W45">
        <f>MATCH(C45,Folha1!$B$2:$B$396,0)</f>
        <v>231</v>
      </c>
      <c r="Y45" t="str">
        <f t="shared" si="1"/>
        <v>(231,'marira2655', '$2a$10$wWpkVay3IPJLhLPEf0gfyOiyztC.AD0oVb7HzI0pBYEUUwIzRP26a', 'Marco Ribeiro Valente', 'Masculino', '1999-05-13', 'Rua da Alfândega', '2655-578', 'Ericeira', 'Utente', 'Portuguesa', 'Bilhete de Identidade', '54893103', '306189858', '546065255', '919985800', 'marira2655@sapo.pt', 'user-male.jpg'),</v>
      </c>
      <c r="Z45" t="str">
        <f t="shared" si="2"/>
        <v>(231),</v>
      </c>
    </row>
    <row r="46" spans="1:26" x14ac:dyDescent="0.25">
      <c r="A46">
        <v>232</v>
      </c>
      <c r="B46" t="s">
        <v>2401</v>
      </c>
      <c r="C46" t="s">
        <v>2402</v>
      </c>
      <c r="D46" t="s">
        <v>2403</v>
      </c>
      <c r="E46" t="s">
        <v>53</v>
      </c>
      <c r="F46" s="7">
        <v>14532</v>
      </c>
      <c r="G46" t="s">
        <v>251</v>
      </c>
      <c r="H46" t="s">
        <v>2404</v>
      </c>
      <c r="I46" t="s">
        <v>223</v>
      </c>
      <c r="J46" t="s">
        <v>3727</v>
      </c>
      <c r="K46" t="s">
        <v>225</v>
      </c>
      <c r="L46" t="s">
        <v>265</v>
      </c>
      <c r="M46" t="s">
        <v>2405</v>
      </c>
      <c r="N46" t="s">
        <v>2406</v>
      </c>
      <c r="O46" t="s">
        <v>2407</v>
      </c>
      <c r="P46" t="s">
        <v>2408</v>
      </c>
      <c r="Q46" t="s">
        <v>2409</v>
      </c>
      <c r="R46" t="str">
        <f t="shared" si="0"/>
        <v>user-male.jpg</v>
      </c>
      <c r="V46" s="6" t="str" cm="1">
        <f t="array" ref="V46">INDEX(Folha1!$C$2:$C$396,W46)</f>
        <v>$2a$10$3l9vN2z7lYW5c19Q5895pO/kz.ZVcgIxQ8EWzbMOesV/1b3.M1906</v>
      </c>
      <c r="W46">
        <f>MATCH(C46,Folha1!$B$2:$B$396,0)</f>
        <v>232</v>
      </c>
      <c r="Y46" t="str">
        <f t="shared" si="1"/>
        <v>(232,'marira2659', '$2a$10$3l9vN2z7lYW5c19Q5895pO/kz.ZVcgIxQ8EWzbMOesV/1b3.M1906', 'Marco Ferreira Sá', 'Masculino', '1939-10-14', 'Rua do Salitre', '2659-641', 'Ericeira', 'Utente', 'Portuguesa', 'Bilhete de Identidade', '43097415', '397180680', '639860952', '934979602', 'marira2659@gmail.com', 'user-male.jpg'),</v>
      </c>
      <c r="Z46" t="str">
        <f t="shared" si="2"/>
        <v>(232),</v>
      </c>
    </row>
    <row r="47" spans="1:26" x14ac:dyDescent="0.25">
      <c r="A47">
        <v>233</v>
      </c>
      <c r="B47" t="s">
        <v>2410</v>
      </c>
      <c r="C47" t="s">
        <v>2411</v>
      </c>
      <c r="D47" t="s">
        <v>2412</v>
      </c>
      <c r="E47" t="s">
        <v>53</v>
      </c>
      <c r="F47" s="7">
        <v>41931</v>
      </c>
      <c r="G47" t="s">
        <v>243</v>
      </c>
      <c r="H47" t="s">
        <v>2413</v>
      </c>
      <c r="I47" t="s">
        <v>201</v>
      </c>
      <c r="J47" t="s">
        <v>3727</v>
      </c>
      <c r="K47" t="s">
        <v>225</v>
      </c>
      <c r="L47" t="s">
        <v>265</v>
      </c>
      <c r="M47" t="s">
        <v>2414</v>
      </c>
      <c r="N47" t="s">
        <v>2415</v>
      </c>
      <c r="O47" t="s">
        <v>2416</v>
      </c>
      <c r="P47" t="s">
        <v>2417</v>
      </c>
      <c r="Q47" t="s">
        <v>2418</v>
      </c>
      <c r="R47" t="str">
        <f t="shared" si="0"/>
        <v>user-male.jpg</v>
      </c>
      <c r="V47" s="6" t="str" cm="1">
        <f t="array" ref="V47">INDEX(Folha1!$C$2:$C$396,W47)</f>
        <v>$2a$10$XP39lYMXbbK97uaXWxQg7OL3P/UqsycFOXKUY4Rfow2UR3qkucX66</v>
      </c>
      <c r="W47">
        <f>MATCH(C47,Folha1!$B$2:$B$396,0)</f>
        <v>233</v>
      </c>
      <c r="Y47" t="str">
        <f t="shared" si="1"/>
        <v>(233,'aforia2419', '$2a$10$XP39lYMXbbK97uaXWxQg7OL3P/UqsycFOXKUY4Rfow2UR3qkucX66', 'Afonso Miranda Torres', 'Masculino', '2014-10-19', 'Rua Roberto Duarte Silva', '2419-959', 'Leiria', 'Utente', 'Portuguesa', 'Bilhete de Identidade', '20203894', '856997536', '361264062', '912840680', 'aforia2419@gmail.com', 'user-male.jpg'),</v>
      </c>
      <c r="Z47" t="str">
        <f t="shared" si="2"/>
        <v>(233),</v>
      </c>
    </row>
    <row r="48" spans="1:26" x14ac:dyDescent="0.25">
      <c r="A48">
        <v>234</v>
      </c>
      <c r="B48" t="s">
        <v>2419</v>
      </c>
      <c r="C48" t="s">
        <v>2420</v>
      </c>
      <c r="D48" t="s">
        <v>2421</v>
      </c>
      <c r="E48" t="s">
        <v>53</v>
      </c>
      <c r="F48" s="7">
        <v>42843</v>
      </c>
      <c r="G48" t="s">
        <v>254</v>
      </c>
      <c r="H48" t="s">
        <v>2422</v>
      </c>
      <c r="I48" t="s">
        <v>211</v>
      </c>
      <c r="J48" t="s">
        <v>3727</v>
      </c>
      <c r="K48" t="s">
        <v>225</v>
      </c>
      <c r="L48" t="s">
        <v>265</v>
      </c>
      <c r="M48" t="s">
        <v>2423</v>
      </c>
      <c r="N48" t="s">
        <v>2424</v>
      </c>
      <c r="O48" t="s">
        <v>2425</v>
      </c>
      <c r="P48" t="s">
        <v>2426</v>
      </c>
      <c r="Q48" t="s">
        <v>2427</v>
      </c>
      <c r="R48" t="str">
        <f t="shared" si="0"/>
        <v>user-male.jpg</v>
      </c>
      <c r="V48" s="6" t="str" cm="1">
        <f t="array" ref="V48">INDEX(Folha1!$C$2:$C$396,W48)</f>
        <v>$2a$10$FkMLx4wFmEqDT5pibRL./uwSfXtVI9w7W4TEcFOgAdUn90OhCdrwq</v>
      </c>
      <c r="W48">
        <f>MATCH(C48,Folha1!$B$2:$B$396,0)</f>
        <v>234</v>
      </c>
      <c r="Y48" t="str">
        <f t="shared" si="1"/>
        <v>(234,'sanboa1950', '$2a$10$FkMLx4wFmEqDT5pibRL./uwSfXtVI9w7W4TEcFOgAdUn90OhCdrwq', 'Santiago Leal Matias', 'Masculino', '2017-04-18', 'Rua do Sacramento à Lapa', '1950-487', 'Lisboa', 'Utente', 'Portuguesa', 'Bilhete de Identidade', '75538337', '984301341', '157425709', '918595256', 'sanboa1950@sapo.pt', 'user-male.jpg'),</v>
      </c>
      <c r="Z48" t="str">
        <f t="shared" si="2"/>
        <v>(234),</v>
      </c>
    </row>
    <row r="49" spans="1:26" x14ac:dyDescent="0.25">
      <c r="A49">
        <v>235</v>
      </c>
      <c r="B49" t="s">
        <v>2428</v>
      </c>
      <c r="C49" t="s">
        <v>2429</v>
      </c>
      <c r="D49" t="s">
        <v>2430</v>
      </c>
      <c r="E49" t="s">
        <v>66</v>
      </c>
      <c r="F49" s="7">
        <v>25752</v>
      </c>
      <c r="G49" t="s">
        <v>236</v>
      </c>
      <c r="H49" t="s">
        <v>2431</v>
      </c>
      <c r="I49" t="s">
        <v>211</v>
      </c>
      <c r="J49" t="s">
        <v>3727</v>
      </c>
      <c r="K49" t="s">
        <v>225</v>
      </c>
      <c r="L49" t="s">
        <v>265</v>
      </c>
      <c r="M49" t="s">
        <v>2432</v>
      </c>
      <c r="N49" t="s">
        <v>2433</v>
      </c>
      <c r="O49" t="s">
        <v>2434</v>
      </c>
      <c r="P49" t="s">
        <v>2435</v>
      </c>
      <c r="Q49" t="s">
        <v>2436</v>
      </c>
      <c r="R49" t="str">
        <f t="shared" si="0"/>
        <v>user-female.jpg</v>
      </c>
      <c r="V49" s="6" t="str" cm="1">
        <f t="array" ref="V49">INDEX(Folha1!$C$2:$C$396,W49)</f>
        <v>$2a$10$5QkvOPqtvFMbrgoUpMEEK.Nn1fWfSEcPRmFXQoH7xxoJRG9cB8tPm</v>
      </c>
      <c r="W49">
        <f>MATCH(C49,Folha1!$B$2:$B$396,0)</f>
        <v>235</v>
      </c>
      <c r="Y49" t="str">
        <f t="shared" si="1"/>
        <v>(235,'joaboa1067', '$2a$10$5QkvOPqtvFMbrgoUpMEEK.Nn1fWfSEcPRmFXQoH7xxoJRG9cB8tPm', 'Joana Campos Branco', 'Feminino', '1970-07-03', 'Rua da Madalena', '1067-714', 'Lisboa', 'Utente', 'Portuguesa', 'Bilhete de Identidade', '30500099', '427227460', '445110718', '964417168', 'joaboa1067@outlook.com', 'user-female.jpg'),</v>
      </c>
      <c r="Z49" t="str">
        <f t="shared" si="2"/>
        <v>(235),</v>
      </c>
    </row>
    <row r="50" spans="1:26" x14ac:dyDescent="0.25">
      <c r="A50">
        <v>236</v>
      </c>
      <c r="B50" t="s">
        <v>2437</v>
      </c>
      <c r="C50" t="s">
        <v>2438</v>
      </c>
      <c r="D50" t="s">
        <v>2439</v>
      </c>
      <c r="E50" t="s">
        <v>66</v>
      </c>
      <c r="F50" s="7">
        <v>23798</v>
      </c>
      <c r="G50" t="s">
        <v>237</v>
      </c>
      <c r="H50" t="s">
        <v>2440</v>
      </c>
      <c r="I50" t="s">
        <v>208</v>
      </c>
      <c r="J50" t="s">
        <v>3727</v>
      </c>
      <c r="K50" t="s">
        <v>225</v>
      </c>
      <c r="L50" t="s">
        <v>265</v>
      </c>
      <c r="M50" t="s">
        <v>2441</v>
      </c>
      <c r="N50" t="s">
        <v>2442</v>
      </c>
      <c r="O50" t="s">
        <v>2443</v>
      </c>
      <c r="P50" t="s">
        <v>2444</v>
      </c>
      <c r="Q50" t="s">
        <v>2445</v>
      </c>
      <c r="R50" t="str">
        <f t="shared" si="0"/>
        <v>user-female.jpg</v>
      </c>
      <c r="V50" s="6" t="str" cm="1">
        <f t="array" ref="V50">INDEX(Folha1!$C$2:$C$396,W50)</f>
        <v>$2a$10$YFH60CdG7W66bbKMnaoUwugBYZlg7kYKqje2hkSj1UkfoFQGWjESS</v>
      </c>
      <c r="W50">
        <f>MATCH(C50,Folha1!$B$2:$B$396,0)</f>
        <v>236</v>
      </c>
      <c r="Y50" t="str">
        <f t="shared" si="1"/>
        <v>(236,'beabal2914', '$2a$10$YFH60CdG7W66bbKMnaoUwugBYZlg7kYKqje2hkSj1UkfoFQGWjESS', 'Beatriz Baptista Campos', 'Feminino', '1965-02-25', 'Calçada Marquês de Abrantes', '2914-096', 'Setúbal', 'Utente', 'Portuguesa', 'Bilhete de Identidade', '83156191', '435528525', '820723227', '921681363', 'beabal2914@sapo.pt', 'user-female.jpg'),</v>
      </c>
      <c r="Z50" t="str">
        <f t="shared" si="2"/>
        <v>(236),</v>
      </c>
    </row>
    <row r="51" spans="1:26" x14ac:dyDescent="0.25">
      <c r="A51">
        <v>237</v>
      </c>
      <c r="B51" t="s">
        <v>2446</v>
      </c>
      <c r="C51" t="s">
        <v>2447</v>
      </c>
      <c r="D51" t="s">
        <v>2448</v>
      </c>
      <c r="E51" t="s">
        <v>53</v>
      </c>
      <c r="F51" s="7">
        <v>10175</v>
      </c>
      <c r="G51" t="s">
        <v>246</v>
      </c>
      <c r="H51" t="s">
        <v>2449</v>
      </c>
      <c r="I51" t="s">
        <v>221</v>
      </c>
      <c r="J51" t="s">
        <v>3727</v>
      </c>
      <c r="K51" t="s">
        <v>225</v>
      </c>
      <c r="L51" t="s">
        <v>265</v>
      </c>
      <c r="M51" t="s">
        <v>2450</v>
      </c>
      <c r="N51" t="s">
        <v>2451</v>
      </c>
      <c r="O51" t="s">
        <v>2452</v>
      </c>
      <c r="P51" t="s">
        <v>2453</v>
      </c>
      <c r="Q51" t="s">
        <v>2454</v>
      </c>
      <c r="R51" t="str">
        <f t="shared" si="0"/>
        <v>user-male.jpg</v>
      </c>
      <c r="V51" s="6" t="str" cm="1">
        <f t="array" ref="V51">INDEX(Folha1!$C$2:$C$396,W51)</f>
        <v>$2a$10$E8dV.0aigI/bUw9JqELgrehJgabOHKU/U80piYyQsaqqvFlaBwisy</v>
      </c>
      <c r="W51">
        <f>MATCH(C51,Folha1!$B$2:$B$396,0)</f>
        <v>237</v>
      </c>
      <c r="Y51" t="str">
        <f t="shared" si="1"/>
        <v>(237,'afoica2825', '$2a$10$E8dV.0aigI/bUw9JqELgrehJgabOHKU/U80piYyQsaqqvFlaBwisy', 'Afonso José Carvalho Costa', 'Masculino', '1927-11-09', 'Rua do Guarda-Mor', '2825-490', 'Costa de Caparica', 'Utente', 'Portuguesa', 'Bilhete de Identidade', '62799668', '641004413', '470837378', '937455457', 'afoica2825@sapo.pt', 'user-male.jpg'),</v>
      </c>
      <c r="Z51" t="str">
        <f t="shared" si="2"/>
        <v>(237),</v>
      </c>
    </row>
    <row r="52" spans="1:26" x14ac:dyDescent="0.25">
      <c r="A52">
        <v>238</v>
      </c>
      <c r="B52" t="s">
        <v>2455</v>
      </c>
      <c r="C52" t="s">
        <v>2456</v>
      </c>
      <c r="D52" t="s">
        <v>2457</v>
      </c>
      <c r="E52" t="s">
        <v>53</v>
      </c>
      <c r="F52" s="7">
        <v>16409</v>
      </c>
      <c r="G52" t="s">
        <v>252</v>
      </c>
      <c r="H52" t="s">
        <v>2458</v>
      </c>
      <c r="I52" t="s">
        <v>211</v>
      </c>
      <c r="J52" t="s">
        <v>3727</v>
      </c>
      <c r="K52" t="s">
        <v>225</v>
      </c>
      <c r="L52" t="s">
        <v>265</v>
      </c>
      <c r="M52" t="s">
        <v>2459</v>
      </c>
      <c r="N52" t="s">
        <v>2460</v>
      </c>
      <c r="O52" t="s">
        <v>2461</v>
      </c>
      <c r="P52" t="s">
        <v>2462</v>
      </c>
      <c r="Q52" t="s">
        <v>2463</v>
      </c>
      <c r="R52" t="str">
        <f t="shared" si="0"/>
        <v>user-male.jpg</v>
      </c>
      <c r="V52" s="6" t="str" cm="1">
        <f t="array" ref="V52">INDEX(Folha1!$C$2:$C$396,W52)</f>
        <v>$2a$10$DleKIpjt77jBlgg4AxsT7e0XlMyBiFUCzvDdFm1sqJ47RsVDQT2qC</v>
      </c>
      <c r="W52">
        <f>MATCH(C52,Folha1!$B$2:$B$396,0)</f>
        <v>238</v>
      </c>
      <c r="Y52" t="str">
        <f t="shared" si="1"/>
        <v>(238,'rodboa1349', '$2a$10$DleKIpjt77jBlgg4AxsT7e0XlMyBiFUCzvDdFm1sqJ47RsVDQT2qC', 'Rodrigo Mariana Esteves Ramos', 'Masculino', '1944-12-03', 'Rua de São Julião', '1349-048', 'Lisboa', 'Utente', 'Portuguesa', 'Bilhete de Identidade', '64868411', '337840802', '749755057', '918051060', 'rodboa1349@sapo.pt', 'user-male.jpg'),</v>
      </c>
      <c r="Z52" t="str">
        <f t="shared" si="2"/>
        <v>(238),</v>
      </c>
    </row>
    <row r="53" spans="1:26" x14ac:dyDescent="0.25">
      <c r="A53">
        <v>239</v>
      </c>
      <c r="B53" t="s">
        <v>2464</v>
      </c>
      <c r="C53" t="s">
        <v>2465</v>
      </c>
      <c r="D53" t="s">
        <v>2466</v>
      </c>
      <c r="E53" t="s">
        <v>66</v>
      </c>
      <c r="F53" s="7">
        <v>44012</v>
      </c>
      <c r="G53" t="s">
        <v>228</v>
      </c>
      <c r="H53" t="s">
        <v>2467</v>
      </c>
      <c r="I53" t="s">
        <v>211</v>
      </c>
      <c r="J53" t="s">
        <v>3727</v>
      </c>
      <c r="K53" t="s">
        <v>225</v>
      </c>
      <c r="L53" t="s">
        <v>265</v>
      </c>
      <c r="M53" t="s">
        <v>2468</v>
      </c>
      <c r="N53" t="s">
        <v>2469</v>
      </c>
      <c r="O53" t="s">
        <v>2470</v>
      </c>
      <c r="P53" t="s">
        <v>2471</v>
      </c>
      <c r="Q53" t="s">
        <v>2472</v>
      </c>
      <c r="R53" t="str">
        <f t="shared" si="0"/>
        <v>user-female.jpg</v>
      </c>
      <c r="V53" s="6" t="str" cm="1">
        <f t="array" ref="V53">INDEX(Folha1!$C$2:$C$396,W53)</f>
        <v>$2a$10$ebDKf7.2WGJwFpC2payvdO2Grp90.HktaBKZZmNFFt1I4IxCqYsbS</v>
      </c>
      <c r="W53">
        <f>MATCH(C53,Folha1!$B$2:$B$396,0)</f>
        <v>239</v>
      </c>
      <c r="Y53" t="str">
        <f t="shared" si="1"/>
        <v>(239,'matboa1200', '$2a$10$ebDKf7.2WGJwFpC2payvdO2Grp90.HktaBKZZmNFFt1I4IxCqYsbS', 'Matilde Sara Lourenço Baptista', 'Feminino', '2020-06-30', 'Calçada de Carriche', '1200-458', 'Lisboa', 'Utente', 'Portuguesa', 'Bilhete de Identidade', '69912205', '747613461', '234972868', '917611732', 'matboa1200@outlook.com', 'user-female.jpg'),</v>
      </c>
      <c r="Z53" t="str">
        <f t="shared" si="2"/>
        <v>(239),</v>
      </c>
    </row>
    <row r="54" spans="1:26" x14ac:dyDescent="0.25">
      <c r="A54">
        <v>240</v>
      </c>
      <c r="B54" t="s">
        <v>2473</v>
      </c>
      <c r="C54" t="s">
        <v>2474</v>
      </c>
      <c r="D54" t="s">
        <v>2475</v>
      </c>
      <c r="E54" t="s">
        <v>53</v>
      </c>
      <c r="F54" s="7">
        <v>21337</v>
      </c>
      <c r="G54" t="s">
        <v>244</v>
      </c>
      <c r="H54" t="s">
        <v>2476</v>
      </c>
      <c r="I54" t="s">
        <v>205</v>
      </c>
      <c r="J54" t="s">
        <v>3727</v>
      </c>
      <c r="K54" t="s">
        <v>225</v>
      </c>
      <c r="L54" t="s">
        <v>265</v>
      </c>
      <c r="M54" t="s">
        <v>2477</v>
      </c>
      <c r="N54" t="s">
        <v>2478</v>
      </c>
      <c r="O54" t="s">
        <v>2479</v>
      </c>
      <c r="P54" t="s">
        <v>2480</v>
      </c>
      <c r="Q54" t="s">
        <v>2481</v>
      </c>
      <c r="R54" t="str">
        <f t="shared" si="0"/>
        <v>user-male.jpg</v>
      </c>
      <c r="V54" s="6" t="str" cm="1">
        <f t="array" ref="V54">INDEX(Folha1!$C$2:$C$396,W54)</f>
        <v>$2a$10$.3GOY2kQUlzlCzeeiGDjFeFQkISe3FfmqJoytaTZVNulZThW2m/Rq</v>
      </c>
      <c r="W54">
        <f>MATCH(C54,Folha1!$B$2:$B$396,0)</f>
        <v>240</v>
      </c>
      <c r="Y54" t="str">
        <f t="shared" si="1"/>
        <v>(240,'frarem2000', '$2a$10$.3GOY2kQUlzlCzeeiGDjFeFQkISe3FfmqJoytaTZVNulZThW2m/Rq', 'Francisco Diogo Lourenço Mendes', 'Masculino', '1958-06-01', 'Rua da Betesga', '2000-828', 'Santarém', 'Utente', 'Portuguesa', 'Bilhete de Identidade', '33792897', '660525990', '207286044', '962900518', 'frarem2000@outlook.com', 'user-male.jpg'),</v>
      </c>
      <c r="Z54" t="str">
        <f t="shared" si="2"/>
        <v>(240),</v>
      </c>
    </row>
    <row r="55" spans="1:26" x14ac:dyDescent="0.25">
      <c r="A55">
        <v>241</v>
      </c>
      <c r="B55" t="s">
        <v>2482</v>
      </c>
      <c r="C55" t="s">
        <v>2483</v>
      </c>
      <c r="D55" t="s">
        <v>2484</v>
      </c>
      <c r="E55" t="s">
        <v>53</v>
      </c>
      <c r="F55" s="7">
        <v>35631</v>
      </c>
      <c r="G55" t="s">
        <v>255</v>
      </c>
      <c r="H55" t="s">
        <v>2485</v>
      </c>
      <c r="I55" t="s">
        <v>216</v>
      </c>
      <c r="J55" t="s">
        <v>3727</v>
      </c>
      <c r="K55" t="s">
        <v>225</v>
      </c>
      <c r="L55" t="s">
        <v>265</v>
      </c>
      <c r="M55" t="s">
        <v>2486</v>
      </c>
      <c r="N55" t="s">
        <v>2487</v>
      </c>
      <c r="O55" t="s">
        <v>2488</v>
      </c>
      <c r="P55" t="s">
        <v>2489</v>
      </c>
      <c r="Q55" t="s">
        <v>2490</v>
      </c>
      <c r="R55" t="str">
        <f t="shared" si="0"/>
        <v>user-male.jpg</v>
      </c>
      <c r="V55" s="6" t="str" cm="1">
        <f t="array" ref="V55">INDEX(Folha1!$C$2:$C$396,W55)</f>
        <v>$2a$10$quT33BwPG3XXw6kW8daxruSwG6Nqpc/UE.4CSr1ZmZFOwXA8rlVRW</v>
      </c>
      <c r="W55">
        <f>MATCH(C55,Folha1!$B$2:$B$396,0)</f>
        <v>241</v>
      </c>
      <c r="Y55" t="str">
        <f t="shared" si="1"/>
        <v>(241,'tiairo2834', '$2a$10$quT33BwPG3XXw6kW8daxruSwG6Nqpc/UE.4CSr1ZmZFOwXA8rlVRW', 'Tiago João Pereira Gomes', 'Masculino', '1997-07-20', 'Rua de São Bento', '2834-975', 'Barreiro', 'Utente', 'Portuguesa', 'Bilhete de Identidade', '10425363', '973493124', '886445606', '939819443', 'tiairo2834@outlook.com', 'user-male.jpg'),</v>
      </c>
      <c r="Z55" t="str">
        <f t="shared" si="2"/>
        <v>(241),</v>
      </c>
    </row>
    <row r="56" spans="1:26" x14ac:dyDescent="0.25">
      <c r="A56">
        <v>242</v>
      </c>
      <c r="B56" t="s">
        <v>2491</v>
      </c>
      <c r="C56" t="s">
        <v>2492</v>
      </c>
      <c r="D56" t="s">
        <v>2493</v>
      </c>
      <c r="E56" t="s">
        <v>53</v>
      </c>
      <c r="F56" s="7">
        <v>14541</v>
      </c>
      <c r="G56" t="s">
        <v>237</v>
      </c>
      <c r="H56" t="s">
        <v>2494</v>
      </c>
      <c r="I56" t="s">
        <v>222</v>
      </c>
      <c r="J56" t="s">
        <v>3727</v>
      </c>
      <c r="K56" t="s">
        <v>225</v>
      </c>
      <c r="L56" t="s">
        <v>265</v>
      </c>
      <c r="M56" t="s">
        <v>2495</v>
      </c>
      <c r="N56" t="s">
        <v>2496</v>
      </c>
      <c r="O56" t="s">
        <v>2497</v>
      </c>
      <c r="P56" t="s">
        <v>2498</v>
      </c>
      <c r="Q56" t="s">
        <v>2499</v>
      </c>
      <c r="R56" t="str">
        <f t="shared" si="0"/>
        <v>user-male.jpg</v>
      </c>
      <c r="V56" s="6" t="str" cm="1">
        <f t="array" ref="V56">INDEX(Folha1!$C$2:$C$396,W56)</f>
        <v>$2a$10$XpRBsDzIfmJUBHlOwyDkl.52NH6bp8ce16caRJxP2R7l.uR.sZlUC</v>
      </c>
      <c r="W56">
        <f>MATCH(C56,Folha1!$B$2:$B$396,0)</f>
        <v>242</v>
      </c>
      <c r="Y56" t="str">
        <f t="shared" si="1"/>
        <v>(242,'pednto2334', '$2a$10$XpRBsDzIfmJUBHlOwyDkl.52NH6bp8ce16caRJxP2R7l.uR.sZlUC', 'Pedro João Castro Rodrigues', 'Masculino', '1939-10-23', 'Calçada Marquês de Abrantes', '2334-340', 'Entroncamento', 'Utente', 'Portuguesa', 'Bilhete de Identidade', '59547809', '664564164', '518520759', '914035074', 'pednto2334@gmail.com', 'user-male.jpg'),</v>
      </c>
      <c r="Z56" t="str">
        <f t="shared" si="2"/>
        <v>(242),</v>
      </c>
    </row>
    <row r="57" spans="1:26" x14ac:dyDescent="0.25">
      <c r="A57">
        <v>243</v>
      </c>
      <c r="B57" t="s">
        <v>2500</v>
      </c>
      <c r="C57" t="s">
        <v>2501</v>
      </c>
      <c r="D57" t="s">
        <v>2502</v>
      </c>
      <c r="E57" t="s">
        <v>66</v>
      </c>
      <c r="F57" s="7">
        <v>10289</v>
      </c>
      <c r="G57" t="s">
        <v>252</v>
      </c>
      <c r="H57" t="s">
        <v>2503</v>
      </c>
      <c r="I57" t="s">
        <v>203</v>
      </c>
      <c r="J57" t="s">
        <v>3727</v>
      </c>
      <c r="K57" t="s">
        <v>225</v>
      </c>
      <c r="L57" t="s">
        <v>265</v>
      </c>
      <c r="M57" t="s">
        <v>2504</v>
      </c>
      <c r="N57" t="s">
        <v>2505</v>
      </c>
      <c r="O57" t="s">
        <v>2506</v>
      </c>
      <c r="P57" t="s">
        <v>2507</v>
      </c>
      <c r="Q57" t="s">
        <v>2508</v>
      </c>
      <c r="R57" t="str">
        <f t="shared" si="0"/>
        <v>user-female.jpg</v>
      </c>
      <c r="V57" s="6" t="str" cm="1">
        <f t="array" ref="V57">INDEX(Folha1!$C$2:$C$396,W57)</f>
        <v>$2a$10$RNXgLCHBleNBd6qkg2LRxu4eqi/XX9losyunnZ/NI4uZgr/LIxPEC</v>
      </c>
      <c r="W57">
        <f>MATCH(C57,Folha1!$B$2:$B$396,0)</f>
        <v>243</v>
      </c>
      <c r="Y57" t="str">
        <f t="shared" si="1"/>
        <v>(243,'fravas2350', '$2a$10$RNXgLCHBleNBd6qkg2LRxu4eqi/XX9losyunnZ/NI4uZgr/LIxPEC', 'Francisca João Machado Miranda', 'Feminino', '1928-03-02', 'Rua de São Julião', '2350-102', 'Torres Novas', 'Utente', 'Portuguesa', 'Bilhete de Identidade', '74854183', '469543594', '960999999', '911579295', 'fravas2350@gmail.com', 'user-female.jpg'),</v>
      </c>
      <c r="Z57" t="str">
        <f t="shared" si="2"/>
        <v>(243),</v>
      </c>
    </row>
    <row r="58" spans="1:26" x14ac:dyDescent="0.25">
      <c r="A58">
        <v>244</v>
      </c>
      <c r="B58" t="s">
        <v>2509</v>
      </c>
      <c r="C58" t="s">
        <v>2510</v>
      </c>
      <c r="D58" t="s">
        <v>2511</v>
      </c>
      <c r="E58" t="s">
        <v>53</v>
      </c>
      <c r="F58" s="7">
        <v>30780</v>
      </c>
      <c r="G58" t="s">
        <v>254</v>
      </c>
      <c r="H58" t="s">
        <v>2512</v>
      </c>
      <c r="I58" t="s">
        <v>209</v>
      </c>
      <c r="J58" t="s">
        <v>3727</v>
      </c>
      <c r="K58" t="s">
        <v>225</v>
      </c>
      <c r="L58" t="s">
        <v>265</v>
      </c>
      <c r="M58" t="s">
        <v>2513</v>
      </c>
      <c r="N58" t="s">
        <v>2514</v>
      </c>
      <c r="O58" t="s">
        <v>2515</v>
      </c>
      <c r="P58" t="s">
        <v>2516</v>
      </c>
      <c r="Q58" t="s">
        <v>2517</v>
      </c>
      <c r="R58" t="str">
        <f t="shared" si="0"/>
        <v>user-male.jpg</v>
      </c>
      <c r="V58" s="6" t="str" cm="1">
        <f t="array" ref="V58">INDEX(Folha1!$C$2:$C$396,W58)</f>
        <v>$2a$10$VCyglHvgn/rZT2dFvmPE3O1SVTu2dVa.KqnPnZyPWHjBrkJVreTYC</v>
      </c>
      <c r="W58">
        <f>MATCH(C58,Folha1!$B$2:$B$396,0)</f>
        <v>244</v>
      </c>
      <c r="Y58" t="str">
        <f t="shared" si="1"/>
        <v>(244,'joaada2814', '$2a$10$VCyglHvgn/rZT2dFvmPE3O1SVTu2dVa.KqnPnZyPWHjBrkJVreTYC', 'João Ana Lima Loureiro', 'Masculino', '1984-04-08', 'Rua do Sacramento à Lapa', '2814-011', 'Almada', 'Utente', 'Portuguesa', 'Bilhete de Identidade', '85830291', '493126874', '672575891', '922466068', 'joaada2814@outlook.com', 'user-male.jpg'),</v>
      </c>
      <c r="Z58" t="str">
        <f t="shared" si="2"/>
        <v>(244),</v>
      </c>
    </row>
    <row r="59" spans="1:26" x14ac:dyDescent="0.25">
      <c r="A59">
        <v>245</v>
      </c>
      <c r="B59" t="s">
        <v>2518</v>
      </c>
      <c r="C59" t="s">
        <v>2519</v>
      </c>
      <c r="D59" t="s">
        <v>2520</v>
      </c>
      <c r="E59" t="s">
        <v>53</v>
      </c>
      <c r="F59" s="7">
        <v>37531</v>
      </c>
      <c r="G59" t="s">
        <v>232</v>
      </c>
      <c r="H59" t="s">
        <v>2521</v>
      </c>
      <c r="I59" t="s">
        <v>205</v>
      </c>
      <c r="J59" t="s">
        <v>3727</v>
      </c>
      <c r="K59" t="s">
        <v>225</v>
      </c>
      <c r="L59" t="s">
        <v>265</v>
      </c>
      <c r="M59" t="s">
        <v>2522</v>
      </c>
      <c r="N59" t="s">
        <v>2523</v>
      </c>
      <c r="O59" t="s">
        <v>2524</v>
      </c>
      <c r="P59" t="s">
        <v>2525</v>
      </c>
      <c r="Q59" t="s">
        <v>2526</v>
      </c>
      <c r="R59" t="str">
        <f t="shared" si="0"/>
        <v>user-male.jpg</v>
      </c>
      <c r="V59" s="6" t="str" cm="1">
        <f t="array" ref="V59">INDEX(Folha1!$C$2:$C$396,W59)</f>
        <v>$2a$10$4e9qxU0GHltdU6IjHLMR2u5282YPyD9L754P6ssdhi0WFsU2rJdk2</v>
      </c>
      <c r="W59">
        <f>MATCH(C59,Folha1!$B$2:$B$396,0)</f>
        <v>245</v>
      </c>
      <c r="Y59" t="str">
        <f t="shared" si="1"/>
        <v>(245,'migrem2009', '$2a$10$4e9qxU0GHltdU6IjHLMR2u5282YPyD9L754P6ssdhi0WFsU2rJdk2', 'Miguel Leonor Domingues Magalhães', 'Masculino', '2002-10-02', 'Rua Garrett', '2009-064', 'Santarém', 'Utente', 'Portuguesa', 'Bilhete de Identidade', '21871432', '353531528', '119959009', '968897222', 'migrem2009@gmail.com', 'user-male.jpg'),</v>
      </c>
      <c r="Z59" t="str">
        <f t="shared" si="2"/>
        <v>(245),</v>
      </c>
    </row>
    <row r="60" spans="1:26" x14ac:dyDescent="0.25">
      <c r="A60">
        <v>246</v>
      </c>
      <c r="B60" t="s">
        <v>2527</v>
      </c>
      <c r="C60" t="s">
        <v>2528</v>
      </c>
      <c r="D60" t="s">
        <v>2529</v>
      </c>
      <c r="E60" t="s">
        <v>53</v>
      </c>
      <c r="F60" s="7">
        <v>43428</v>
      </c>
      <c r="G60" t="s">
        <v>232</v>
      </c>
      <c r="H60" t="s">
        <v>2530</v>
      </c>
      <c r="I60" t="s">
        <v>211</v>
      </c>
      <c r="J60" t="s">
        <v>3727</v>
      </c>
      <c r="K60" t="s">
        <v>225</v>
      </c>
      <c r="L60" t="s">
        <v>265</v>
      </c>
      <c r="M60" t="s">
        <v>2531</v>
      </c>
      <c r="N60" t="s">
        <v>2532</v>
      </c>
      <c r="O60" t="s">
        <v>2533</v>
      </c>
      <c r="P60" t="s">
        <v>2534</v>
      </c>
      <c r="Q60" t="s">
        <v>2535</v>
      </c>
      <c r="R60" t="str">
        <f t="shared" si="0"/>
        <v>user-male.jpg</v>
      </c>
      <c r="V60" s="6" t="str" cm="1">
        <f t="array" ref="V60">INDEX(Folha1!$C$2:$C$396,W60)</f>
        <v>$2a$10$BRTdXLMN223.hV9mEG/T6OaSSIL1uf/RICJi/bHfO27rYC4wkEQG.</v>
      </c>
      <c r="W60">
        <f>MATCH(C60,Folha1!$B$2:$B$396,0)</f>
        <v>246</v>
      </c>
      <c r="Y60" t="str">
        <f t="shared" si="1"/>
        <v>(246,'luiboa1350', '$2a$10$BRTdXLMN223.hV9mEG/T6OaSSIL1uf/RICJi/bHfO27rYC4wkEQG.', 'Luís Sofia Torres Lopes', 'Masculino', '2018-11-24', 'Rua Garrett', '1350-111', 'Lisboa', 'Utente', 'Portuguesa', 'Bilhete de Identidade', '69618503', '247460069', '532697613', '919441524', 'luiboa1350@sapo.pt', 'user-male.jpg'),</v>
      </c>
      <c r="Z60" t="str">
        <f t="shared" si="2"/>
        <v>(246),</v>
      </c>
    </row>
    <row r="61" spans="1:26" x14ac:dyDescent="0.25">
      <c r="A61">
        <v>247</v>
      </c>
      <c r="B61" t="s">
        <v>2536</v>
      </c>
      <c r="C61" t="s">
        <v>2537</v>
      </c>
      <c r="D61" t="s">
        <v>2538</v>
      </c>
      <c r="E61" t="s">
        <v>53</v>
      </c>
      <c r="F61" s="7">
        <v>27744</v>
      </c>
      <c r="G61" t="s">
        <v>250</v>
      </c>
      <c r="H61" t="s">
        <v>2539</v>
      </c>
      <c r="I61" t="s">
        <v>211</v>
      </c>
      <c r="J61" t="s">
        <v>3727</v>
      </c>
      <c r="K61" t="s">
        <v>225</v>
      </c>
      <c r="L61" t="s">
        <v>265</v>
      </c>
      <c r="M61" t="s">
        <v>2540</v>
      </c>
      <c r="N61" t="s">
        <v>2541</v>
      </c>
      <c r="O61" t="s">
        <v>2542</v>
      </c>
      <c r="P61" t="s">
        <v>2543</v>
      </c>
      <c r="Q61" t="s">
        <v>2544</v>
      </c>
      <c r="R61" t="str">
        <f t="shared" si="0"/>
        <v>user-male.jpg</v>
      </c>
      <c r="V61" s="6" t="str" cm="1">
        <f t="array" ref="V61">INDEX(Folha1!$C$2:$C$396,W61)</f>
        <v>$2a$10$XmKKAyD0toSqzGnqBSQT..RS826qf2rvedf8tcLwd5Bq9TRzCR3l.</v>
      </c>
      <c r="W61">
        <f>MATCH(C61,Folha1!$B$2:$B$396,0)</f>
        <v>247</v>
      </c>
      <c r="Y61" t="str">
        <f t="shared" si="1"/>
        <v>(247,'duaboa1959', '$2a$10$XmKKAyD0toSqzGnqBSQT..RS826qf2rvedf8tcLwd5Bq9TRzCR3l.', 'Duarte Luís Moura Rodrigues', 'Masculino', '1975-12-16', 'Rua Nova do Almada', '1959-924', 'Lisboa', 'Utente', 'Portuguesa', 'Bilhete de Identidade', '13218009', '232244867', '871297708', '929109147', 'duaboa1959@gmail.com', 'user-male.jpg'),</v>
      </c>
      <c r="Z61" t="str">
        <f t="shared" si="2"/>
        <v>(247),</v>
      </c>
    </row>
    <row r="62" spans="1:26" x14ac:dyDescent="0.25">
      <c r="A62">
        <v>248</v>
      </c>
      <c r="B62" t="s">
        <v>2545</v>
      </c>
      <c r="C62" t="s">
        <v>2546</v>
      </c>
      <c r="D62" t="s">
        <v>2547</v>
      </c>
      <c r="E62" t="s">
        <v>66</v>
      </c>
      <c r="F62" s="7">
        <v>39695</v>
      </c>
      <c r="G62" t="s">
        <v>257</v>
      </c>
      <c r="H62" t="s">
        <v>2548</v>
      </c>
      <c r="I62" t="s">
        <v>216</v>
      </c>
      <c r="J62" t="s">
        <v>3727</v>
      </c>
      <c r="K62" t="s">
        <v>225</v>
      </c>
      <c r="L62" t="s">
        <v>265</v>
      </c>
      <c r="M62" t="s">
        <v>2549</v>
      </c>
      <c r="N62" t="s">
        <v>2550</v>
      </c>
      <c r="O62" t="s">
        <v>2551</v>
      </c>
      <c r="P62" t="s">
        <v>2552</v>
      </c>
      <c r="Q62" t="s">
        <v>2553</v>
      </c>
      <c r="R62" t="str">
        <f t="shared" si="0"/>
        <v>user-female.jpg</v>
      </c>
      <c r="V62" s="6" t="str" cm="1">
        <f t="array" ref="V62">INDEX(Folha1!$C$2:$C$396,W62)</f>
        <v>$2a$10$//wFrIFItBcBBLYQAOAv.ugXtO5pktQqjcUevccUdiClsaPtt4IDu</v>
      </c>
      <c r="W62">
        <f>MATCH(C62,Folha1!$B$2:$B$396,0)</f>
        <v>248</v>
      </c>
      <c r="Y62" t="str">
        <f t="shared" si="1"/>
        <v>(248,'catiro2834', '$2a$10$//wFrIFItBcBBLYQAOAv.ugXtO5pktQqjcUevccUdiClsaPtt4IDu', 'Catarina Carolina Amaral Oliveira', 'Feminino', '2008-09-04', 'Rua do Sol a Santana', '2834-596', 'Barreiro', 'Utente', 'Portuguesa', 'Bilhete de Identidade', '34484776', '413715646', '168313102', '925246416', 'catiro2834@sapo.pt', 'user-female.jpg'),</v>
      </c>
      <c r="Z62" t="str">
        <f t="shared" si="2"/>
        <v>(248),</v>
      </c>
    </row>
    <row r="63" spans="1:26" x14ac:dyDescent="0.25">
      <c r="A63">
        <v>249</v>
      </c>
      <c r="B63" t="s">
        <v>2554</v>
      </c>
      <c r="C63" t="s">
        <v>2555</v>
      </c>
      <c r="D63" t="s">
        <v>2556</v>
      </c>
      <c r="E63" t="s">
        <v>53</v>
      </c>
      <c r="F63" s="7">
        <v>30630</v>
      </c>
      <c r="G63" t="s">
        <v>262</v>
      </c>
      <c r="H63" t="s">
        <v>2557</v>
      </c>
      <c r="I63" t="s">
        <v>211</v>
      </c>
      <c r="J63" t="s">
        <v>3727</v>
      </c>
      <c r="K63" t="s">
        <v>225</v>
      </c>
      <c r="L63" t="s">
        <v>265</v>
      </c>
      <c r="M63" t="s">
        <v>2558</v>
      </c>
      <c r="N63" t="s">
        <v>2559</v>
      </c>
      <c r="O63" t="s">
        <v>2560</v>
      </c>
      <c r="P63" t="s">
        <v>2561</v>
      </c>
      <c r="Q63" t="s">
        <v>2562</v>
      </c>
      <c r="R63" t="str">
        <f t="shared" si="0"/>
        <v>user-male.jpg</v>
      </c>
      <c r="V63" s="6" t="str" cm="1">
        <f t="array" ref="V63">INDEX(Folha1!$C$2:$C$396,W63)</f>
        <v>$2a$10$A9HAUZRc5RhOkPhJQmPG3.YT6iRmTLKMaQFj3c5vTrE3gREwDmE1S</v>
      </c>
      <c r="W63">
        <f>MATCH(C63,Folha1!$B$2:$B$396,0)</f>
        <v>249</v>
      </c>
      <c r="Y63" t="str">
        <f t="shared" si="1"/>
        <v>(249,'josboa1449', '$2a$10$A9HAUZRc5RhOkPhJQmPG3.YT6iRmTLKMaQFj3c5vTrE3gREwDmE1S', 'José Catarina Pinho Neves', 'Masculino', '1983-11-10', 'Estrada Militar', '1449-678', 'Lisboa', 'Utente', 'Portuguesa', 'Bilhete de Identidade', '65057586', '291257924', '509744507', '937693125', 'josboa1449@outlook.com', 'user-male.jpg'),</v>
      </c>
      <c r="Z63" t="str">
        <f t="shared" si="2"/>
        <v>(249),</v>
      </c>
    </row>
    <row r="64" spans="1:26" x14ac:dyDescent="0.25">
      <c r="A64">
        <v>250</v>
      </c>
      <c r="B64" t="s">
        <v>2563</v>
      </c>
      <c r="C64" t="s">
        <v>2564</v>
      </c>
      <c r="D64" t="s">
        <v>2565</v>
      </c>
      <c r="E64" t="s">
        <v>66</v>
      </c>
      <c r="F64" s="7">
        <v>12753</v>
      </c>
      <c r="G64" t="s">
        <v>238</v>
      </c>
      <c r="H64" t="s">
        <v>2566</v>
      </c>
      <c r="I64" t="s">
        <v>211</v>
      </c>
      <c r="J64" t="s">
        <v>3727</v>
      </c>
      <c r="K64" t="s">
        <v>225</v>
      </c>
      <c r="L64" t="s">
        <v>265</v>
      </c>
      <c r="M64" t="s">
        <v>2567</v>
      </c>
      <c r="N64" t="s">
        <v>2568</v>
      </c>
      <c r="O64" t="s">
        <v>2569</v>
      </c>
      <c r="P64" t="s">
        <v>2570</v>
      </c>
      <c r="Q64" t="s">
        <v>2571</v>
      </c>
      <c r="R64" t="str">
        <f t="shared" si="0"/>
        <v>user-female.jpg</v>
      </c>
      <c r="V64" s="6" t="str" cm="1">
        <f t="array" ref="V64">INDEX(Folha1!$C$2:$C$396,W64)</f>
        <v>$2a$10$giYNdzhy7NanlaSqWQRA4.MZ7rcjz/PgmWa9vkLaqu1y/uG3jvIiS</v>
      </c>
      <c r="W64">
        <f>MATCH(C64,Folha1!$B$2:$B$396,0)</f>
        <v>250</v>
      </c>
      <c r="Y64" t="str">
        <f t="shared" si="1"/>
        <v>(250,'marboa1200', '$2a$10$giYNdzhy7NanlaSqWQRA4.MZ7rcjz/PgmWa9vkLaqu1y/uG3jvIiS', 'Mariana Carolina Vicente Batista', 'Feminino', '1934-11-30', 'Calçada do Moinho de Vento', '1200-175', 'Lisboa', 'Utente', 'Portuguesa', 'Bilhete de Identidade', '45968953', '371761884', '684555582', '914412029', 'marboa1200@outlook.com', 'user-female.jpg'),</v>
      </c>
      <c r="Z64" t="str">
        <f t="shared" si="2"/>
        <v>(250),</v>
      </c>
    </row>
    <row r="65" spans="1:26" x14ac:dyDescent="0.25">
      <c r="A65">
        <v>251</v>
      </c>
      <c r="B65" t="s">
        <v>2572</v>
      </c>
      <c r="C65" t="s">
        <v>2573</v>
      </c>
      <c r="D65" t="s">
        <v>2574</v>
      </c>
      <c r="E65" t="s">
        <v>66</v>
      </c>
      <c r="F65" s="7">
        <v>13063</v>
      </c>
      <c r="G65" t="s">
        <v>256</v>
      </c>
      <c r="H65" t="s">
        <v>2575</v>
      </c>
      <c r="I65" t="s">
        <v>201</v>
      </c>
      <c r="J65" t="s">
        <v>3727</v>
      </c>
      <c r="K65" t="s">
        <v>225</v>
      </c>
      <c r="L65" t="s">
        <v>265</v>
      </c>
      <c r="M65" t="s">
        <v>2576</v>
      </c>
      <c r="N65" t="s">
        <v>2577</v>
      </c>
      <c r="O65" t="s">
        <v>2578</v>
      </c>
      <c r="P65" t="s">
        <v>2579</v>
      </c>
      <c r="Q65" t="s">
        <v>2580</v>
      </c>
      <c r="R65" t="str">
        <f t="shared" si="0"/>
        <v>user-female.jpg</v>
      </c>
      <c r="V65" s="6" t="str" cm="1">
        <f t="array" ref="V65">INDEX(Folha1!$C$2:$C$396,W65)</f>
        <v>$2a$10$aJ7ZSDOEDmpSLac.NaI6QudAj4zNnHQL1HCFEyCwwr13FnvC7cM7W</v>
      </c>
      <c r="W65">
        <f>MATCH(C65,Folha1!$B$2:$B$396,0)</f>
        <v>251</v>
      </c>
      <c r="Y65" t="str">
        <f t="shared" si="1"/>
        <v>(251,'fraria2410', '$2a$10$aJ7ZSDOEDmpSLac.NaI6QudAj4zNnHQL1HCFEyCwwr13FnvC7cM7W', 'Francisca Diana Abreu Ferreira', 'Feminino', '1935-10-06', 'Travessa de São João da Praça', '2410-428', 'Leiria', 'Utente', 'Portuguesa', 'Bilhete de Identidade', '39448996', '249003570', '797346733', '962988085', 'fraria2410@outlook.com', 'user-female.jpg'),</v>
      </c>
      <c r="Z65" t="str">
        <f t="shared" si="2"/>
        <v>(251),</v>
      </c>
    </row>
    <row r="66" spans="1:26" x14ac:dyDescent="0.25">
      <c r="A66">
        <v>252</v>
      </c>
      <c r="B66" t="s">
        <v>2581</v>
      </c>
      <c r="C66" t="s">
        <v>2582</v>
      </c>
      <c r="D66" t="s">
        <v>2583</v>
      </c>
      <c r="E66" t="s">
        <v>53</v>
      </c>
      <c r="F66" s="7">
        <v>37114</v>
      </c>
      <c r="G66" t="s">
        <v>241</v>
      </c>
      <c r="H66" t="s">
        <v>2584</v>
      </c>
      <c r="I66" t="s">
        <v>201</v>
      </c>
      <c r="J66" t="s">
        <v>3727</v>
      </c>
      <c r="K66" t="s">
        <v>225</v>
      </c>
      <c r="L66" t="s">
        <v>265</v>
      </c>
      <c r="M66" t="s">
        <v>2585</v>
      </c>
      <c r="N66" t="s">
        <v>2586</v>
      </c>
      <c r="O66" t="s">
        <v>2587</v>
      </c>
      <c r="P66" t="s">
        <v>2588</v>
      </c>
      <c r="Q66" t="s">
        <v>2589</v>
      </c>
      <c r="R66" t="str">
        <f t="shared" si="0"/>
        <v>user-male.jpg</v>
      </c>
      <c r="V66" s="6" t="str" cm="1">
        <f t="array" ref="V66">INDEX(Folha1!$C$2:$C$396,W66)</f>
        <v>$2a$10$NPYvTydZxfOxPCbTWGF32uhHLdpmuB8a3Zhl7l9Tju/oqDFqmZ9si</v>
      </c>
      <c r="W66">
        <f>MATCH(C66,Folha1!$B$2:$B$396,0)</f>
        <v>252</v>
      </c>
      <c r="Y66" t="str">
        <f t="shared" si="1"/>
        <v>(252,'rodria2415', '$2a$10$NPYvTydZxfOxPCbTWGF32uhHLdpmuB8a3Zhl7l9Tju/oqDFqmZ9si', 'Rodrigo Rodrigo Loureiro Teixeira', 'Masculino', '2001-08-11', 'Rua da Prata', '2415-072', 'Leiria', 'Utente', 'Portuguesa', 'Bilhete de Identidade', '53877334', '984350026', '793770092', '934540642', 'rodria2415@gmail.com', 'user-male.jpg'),</v>
      </c>
      <c r="Z66" t="str">
        <f t="shared" si="2"/>
        <v>(252),</v>
      </c>
    </row>
    <row r="67" spans="1:26" x14ac:dyDescent="0.25">
      <c r="A67">
        <v>253</v>
      </c>
      <c r="B67" t="s">
        <v>2590</v>
      </c>
      <c r="C67" t="s">
        <v>2591</v>
      </c>
      <c r="D67" t="s">
        <v>2592</v>
      </c>
      <c r="E67" t="s">
        <v>66</v>
      </c>
      <c r="F67" s="7">
        <v>19832</v>
      </c>
      <c r="G67" t="s">
        <v>253</v>
      </c>
      <c r="H67" t="s">
        <v>2593</v>
      </c>
      <c r="I67" t="s">
        <v>211</v>
      </c>
      <c r="J67" t="s">
        <v>3727</v>
      </c>
      <c r="K67" t="s">
        <v>225</v>
      </c>
      <c r="L67" t="s">
        <v>265</v>
      </c>
      <c r="M67" t="s">
        <v>2594</v>
      </c>
      <c r="N67" t="s">
        <v>2595</v>
      </c>
      <c r="O67" t="s">
        <v>2596</v>
      </c>
      <c r="P67" t="s">
        <v>2597</v>
      </c>
      <c r="Q67" t="s">
        <v>2598</v>
      </c>
      <c r="R67" t="str">
        <f t="shared" ref="R67:R130" si="3">IF(E67="Feminino","user-female.jpg","user-male.jpg")</f>
        <v>user-female.jpg</v>
      </c>
      <c r="V67" s="6" t="str" cm="1">
        <f t="array" ref="V67">INDEX(Folha1!$C$2:$C$396,W67)</f>
        <v>$2a$10$9q9JMi5LObCjaktgQPE43OeJ7GvNeUcLVTgmuY.199ZSHjVIaE24C</v>
      </c>
      <c r="W67">
        <f>MATCH(C67,Folha1!$B$2:$B$396,0)</f>
        <v>253</v>
      </c>
      <c r="Y67" t="str">
        <f t="shared" si="1"/>
        <v>(253,'carboa1700', '$2a$10$9q9JMi5LObCjaktgQPE43OeJ7GvNeUcLVTgmuY.199ZSHjVIaE24C', 'Carolina Catarina Araújo Mendes', 'Feminino', '1954-04-18', 'Rua de São Mamede', '1700-374', 'Lisboa', 'Utente', 'Portuguesa', 'Bilhete de Identidade', '29520487', '851741642', '368426765', '921433280', 'carboa1700@gmail.com', 'user-female.jpg'),</v>
      </c>
      <c r="Z67" t="str">
        <f t="shared" si="2"/>
        <v>(253),</v>
      </c>
    </row>
    <row r="68" spans="1:26" x14ac:dyDescent="0.25">
      <c r="A68">
        <v>254</v>
      </c>
      <c r="B68" t="s">
        <v>2599</v>
      </c>
      <c r="C68" t="s">
        <v>2600</v>
      </c>
      <c r="D68" t="s">
        <v>2601</v>
      </c>
      <c r="E68" t="s">
        <v>66</v>
      </c>
      <c r="F68" s="7">
        <v>11481</v>
      </c>
      <c r="G68" t="s">
        <v>259</v>
      </c>
      <c r="H68" t="s">
        <v>2602</v>
      </c>
      <c r="I68" t="s">
        <v>211</v>
      </c>
      <c r="J68" t="s">
        <v>3727</v>
      </c>
      <c r="K68" t="s">
        <v>225</v>
      </c>
      <c r="L68" t="s">
        <v>265</v>
      </c>
      <c r="M68" t="s">
        <v>2603</v>
      </c>
      <c r="N68" t="s">
        <v>2604</v>
      </c>
      <c r="O68" t="s">
        <v>2605</v>
      </c>
      <c r="P68" t="s">
        <v>2606</v>
      </c>
      <c r="Q68" t="s">
        <v>2607</v>
      </c>
      <c r="R68" t="str">
        <f t="shared" si="3"/>
        <v>user-female.jpg</v>
      </c>
      <c r="V68" s="6" t="str" cm="1">
        <f t="array" ref="V68">INDEX(Folha1!$C$2:$C$396,W68)</f>
        <v>$2a$10$2kXOedmL2SpLlQCfHO7ql.tRxnyiJXBNnQInqStzqd.Wmhd7ibm.K</v>
      </c>
      <c r="W68">
        <f>MATCH(C68,Folha1!$B$2:$B$396,0)</f>
        <v>254</v>
      </c>
      <c r="Y68" t="str">
        <f t="shared" ref="Y68:Y131" si="4">"(" &amp; A68 &amp;",'" &amp; B68 &amp; "', '" &amp; V68 &amp; "', '" &amp; D68 &amp; "', '" &amp; E68 &amp; "', '" &amp; TEXT(F68, "yyyy-mm-dd") &amp; "', '" &amp; G68 &amp; "', '" &amp; H68 &amp; "', '" &amp; I68 &amp; "', '" &amp; J68 &amp; "', '" &amp; K68 &amp; "', '" &amp; L68 &amp; "', '" &amp; M68 &amp; "', '" &amp; N68 &amp; "', '" &amp; O68 &amp; "', '" &amp; P68 &amp; "', '" &amp; Q68 &amp; "', '" &amp; R68 &amp; "'),"</f>
        <v>(254,'leoboa1949', '$2a$10$2kXOedmL2SpLlQCfHO7ql.tRxnyiJXBNnQInqStzqd.Wmhd7ibm.K', 'Leonor Rodrigo Rocha Vaz', 'Feminino', '1931-06-07', 'Rua da Alfândega', '1949-190', 'Lisboa', 'Utente', 'Portuguesa', 'Bilhete de Identidade', '65695082', '814800647', '744117582', '964307079', 'leoboa1949@gmail.com', 'user-female.jpg'),</v>
      </c>
      <c r="Z68" t="str">
        <f t="shared" ref="Z68:Z131" si="5">"(" &amp; A68 &amp;"),"</f>
        <v>(254),</v>
      </c>
    </row>
    <row r="69" spans="1:26" x14ac:dyDescent="0.25">
      <c r="A69">
        <v>255</v>
      </c>
      <c r="B69" t="s">
        <v>329</v>
      </c>
      <c r="C69" t="s">
        <v>330</v>
      </c>
      <c r="D69" t="s">
        <v>2608</v>
      </c>
      <c r="E69" t="s">
        <v>66</v>
      </c>
      <c r="F69" s="7">
        <v>19996</v>
      </c>
      <c r="G69" t="s">
        <v>255</v>
      </c>
      <c r="H69" t="s">
        <v>2609</v>
      </c>
      <c r="I69" t="s">
        <v>202</v>
      </c>
      <c r="J69" t="s">
        <v>3727</v>
      </c>
      <c r="K69" t="s">
        <v>225</v>
      </c>
      <c r="L69" t="s">
        <v>265</v>
      </c>
      <c r="M69" t="s">
        <v>2610</v>
      </c>
      <c r="N69" t="s">
        <v>2611</v>
      </c>
      <c r="O69" t="s">
        <v>2612</v>
      </c>
      <c r="P69" t="s">
        <v>2613</v>
      </c>
      <c r="Q69" t="s">
        <v>2614</v>
      </c>
      <c r="R69" t="str">
        <f t="shared" si="3"/>
        <v>user-female.jpg</v>
      </c>
      <c r="V69" s="6" t="str" cm="1">
        <f t="array" ref="V69">INDEX(Folha1!$C$2:$C$396,W69)</f>
        <v>$2a$10$8IoaWXH3vs5BIsOrsaV0h.Hjsvsv5MUzOwfmkLS3RA4GOGMnSFP0G</v>
      </c>
      <c r="W69">
        <f>MATCH(C69,Folha1!$B$2:$B$396,0)</f>
        <v>255</v>
      </c>
      <c r="Y69" t="str">
        <f t="shared" si="4"/>
        <v>(255,'marmar2300', '$2a$10$8IoaWXH3vs5BIsOrsaV0h.Hjsvsv5MUzOwfmkLS3RA4GOGMnSFP0G', 'Mariana Santiago Amorim Gomes', 'Feminino', '1954-09-29', 'Rua de São Bento', '2300-556', 'Tomar', 'Utente', 'Portuguesa', 'Bilhete de Identidade', '33595034', '686409605', '685186190', '966373581', 'marmar2300@gmail.com', 'user-female.jpg'),</v>
      </c>
      <c r="Z69" t="str">
        <f t="shared" si="5"/>
        <v>(255),</v>
      </c>
    </row>
    <row r="70" spans="1:26" x14ac:dyDescent="0.25">
      <c r="A70">
        <v>256</v>
      </c>
      <c r="B70" t="s">
        <v>2615</v>
      </c>
      <c r="C70" t="s">
        <v>2616</v>
      </c>
      <c r="D70" t="s">
        <v>2617</v>
      </c>
      <c r="E70" t="s">
        <v>66</v>
      </c>
      <c r="F70" s="7">
        <v>9739</v>
      </c>
      <c r="G70" t="s">
        <v>251</v>
      </c>
      <c r="H70" t="s">
        <v>2618</v>
      </c>
      <c r="I70" t="s">
        <v>217</v>
      </c>
      <c r="J70" t="s">
        <v>3727</v>
      </c>
      <c r="K70" t="s">
        <v>225</v>
      </c>
      <c r="L70" t="s">
        <v>265</v>
      </c>
      <c r="M70" t="s">
        <v>2619</v>
      </c>
      <c r="N70" t="s">
        <v>2620</v>
      </c>
      <c r="O70" t="s">
        <v>2621</v>
      </c>
      <c r="P70" t="s">
        <v>2622</v>
      </c>
      <c r="Q70" t="s">
        <v>2623</v>
      </c>
      <c r="R70" t="str">
        <f t="shared" si="3"/>
        <v>user-female.jpg</v>
      </c>
      <c r="V70" s="6" t="str" cm="1">
        <f t="array" ref="V70">INDEX(Folha1!$C$2:$C$396,W70)</f>
        <v>$2a$10$rGWd7ZwyNoTGOJF9GBLQTeLqqcTFcdDROU9Ya29xa75b.12/FJnOS</v>
      </c>
      <c r="W70">
        <f>MATCH(C70,Folha1!$B$2:$B$396,0)</f>
        <v>256</v>
      </c>
      <c r="Y70" t="str">
        <f t="shared" si="4"/>
        <v>(256,'catica2825', '$2a$10$rGWd7ZwyNoTGOJF9GBLQTeLqqcTFcdDROU9Ya29xa75b.12/FJnOS', 'Catarina Francisco Cruz Barbosa', 'Feminino', '1926-08-30', 'Rua do Salitre', '2825-147', 'Caparica', 'Utente', 'Portuguesa', 'Bilhete de Identidade', '78421506', '831345399', '570197220', '938165259', 'catica2825@outlook.com', 'user-female.jpg'),</v>
      </c>
      <c r="Z70" t="str">
        <f t="shared" si="5"/>
        <v>(256),</v>
      </c>
    </row>
    <row r="71" spans="1:26" x14ac:dyDescent="0.25">
      <c r="A71">
        <v>257</v>
      </c>
      <c r="B71" t="s">
        <v>2624</v>
      </c>
      <c r="C71" t="s">
        <v>2625</v>
      </c>
      <c r="D71" t="s">
        <v>2626</v>
      </c>
      <c r="E71" t="s">
        <v>66</v>
      </c>
      <c r="F71" s="7">
        <v>19419</v>
      </c>
      <c r="G71" t="s">
        <v>250</v>
      </c>
      <c r="H71" t="s">
        <v>2627</v>
      </c>
      <c r="I71" t="s">
        <v>211</v>
      </c>
      <c r="J71" t="s">
        <v>3727</v>
      </c>
      <c r="K71" t="s">
        <v>225</v>
      </c>
      <c r="L71" t="s">
        <v>265</v>
      </c>
      <c r="M71" t="s">
        <v>2628</v>
      </c>
      <c r="N71" t="s">
        <v>2629</v>
      </c>
      <c r="O71" t="s">
        <v>2630</v>
      </c>
      <c r="P71" t="s">
        <v>2631</v>
      </c>
      <c r="Q71" t="s">
        <v>2632</v>
      </c>
      <c r="R71" t="str">
        <f t="shared" si="3"/>
        <v>user-female.jpg</v>
      </c>
      <c r="V71" s="6" t="str" cm="1">
        <f t="array" ref="V71">INDEX(Folha1!$C$2:$C$396,W71)</f>
        <v>$2a$10$PE0W6GynWsEVKP79mi8ueewX60NnA7RjeS84BKvHqI/sKigLj9VIO</v>
      </c>
      <c r="W71">
        <f>MATCH(C71,Folha1!$B$2:$B$396,0)</f>
        <v>257</v>
      </c>
      <c r="Y71" t="str">
        <f t="shared" si="4"/>
        <v>(257,'matboa1950', '$2a$10$PE0W6GynWsEVKP79mi8ueewX60NnA7RjeS84BKvHqI/sKigLj9VIO', 'Matilde Lurdes Castro Loureiro', 'Feminino', '1953-03-01', 'Rua Nova do Almada', '1950-362', 'Lisboa', 'Utente', 'Portuguesa', 'Bilhete de Identidade', '34599081', '387905069', '673482981', '913492766', 'matboa1950@gmail.com', 'user-female.jpg'),</v>
      </c>
      <c r="Z71" t="str">
        <f t="shared" si="5"/>
        <v>(257),</v>
      </c>
    </row>
    <row r="72" spans="1:26" x14ac:dyDescent="0.25">
      <c r="A72">
        <v>258</v>
      </c>
      <c r="B72" t="s">
        <v>2633</v>
      </c>
      <c r="C72" t="s">
        <v>2634</v>
      </c>
      <c r="D72" t="s">
        <v>2635</v>
      </c>
      <c r="E72" t="s">
        <v>53</v>
      </c>
      <c r="F72" s="7">
        <v>36001</v>
      </c>
      <c r="G72" t="s">
        <v>230</v>
      </c>
      <c r="H72" t="s">
        <v>2636</v>
      </c>
      <c r="I72" t="s">
        <v>211</v>
      </c>
      <c r="J72" t="s">
        <v>3727</v>
      </c>
      <c r="K72" t="s">
        <v>225</v>
      </c>
      <c r="L72" t="s">
        <v>265</v>
      </c>
      <c r="M72" t="s">
        <v>2637</v>
      </c>
      <c r="N72" t="s">
        <v>2638</v>
      </c>
      <c r="O72" t="s">
        <v>2639</v>
      </c>
      <c r="P72" t="s">
        <v>2640</v>
      </c>
      <c r="Q72" t="s">
        <v>2641</v>
      </c>
      <c r="R72" t="str">
        <f t="shared" si="3"/>
        <v>user-male.jpg</v>
      </c>
      <c r="V72" s="6" t="str" cm="1">
        <f t="array" ref="V72">INDEX(Folha1!$C$2:$C$396,W72)</f>
        <v>$2a$10$VUMKBweqRTnL4PycLUY2V.ZqU5UAwZ.PBe8/ens1OeXUCHa8slLlu</v>
      </c>
      <c r="W72">
        <f>MATCH(C72,Folha1!$B$2:$B$396,0)</f>
        <v>258</v>
      </c>
      <c r="Y72" t="str">
        <f t="shared" si="4"/>
        <v>(258,'fraboa1950', '$2a$10$VUMKBweqRTnL4PycLUY2V.ZqU5UAwZ.PBe8/ens1OeXUCHa8slLlu', 'Francisco Tiago Cardoso Simões', 'Masculino', '1998-07-25', 'Estrada da Circunvalação de Lisboa', '1950-000', 'Lisboa', 'Utente', 'Portuguesa', 'Bilhete de Identidade', '50548726', '832091637', '292579801', '935848306', 'fraboa1950@sapo.pt', 'user-male.jpg'),</v>
      </c>
      <c r="Z72" t="str">
        <f t="shared" si="5"/>
        <v>(258),</v>
      </c>
    </row>
    <row r="73" spans="1:26" x14ac:dyDescent="0.25">
      <c r="A73">
        <v>259</v>
      </c>
      <c r="B73" t="s">
        <v>2642</v>
      </c>
      <c r="C73" t="s">
        <v>2643</v>
      </c>
      <c r="D73" t="s">
        <v>2644</v>
      </c>
      <c r="E73" t="s">
        <v>53</v>
      </c>
      <c r="F73" s="7">
        <v>42853</v>
      </c>
      <c r="G73" t="s">
        <v>227</v>
      </c>
      <c r="H73" t="s">
        <v>2645</v>
      </c>
      <c r="I73" t="s">
        <v>208</v>
      </c>
      <c r="J73" t="s">
        <v>3727</v>
      </c>
      <c r="K73" t="s">
        <v>225</v>
      </c>
      <c r="L73" t="s">
        <v>265</v>
      </c>
      <c r="M73" t="s">
        <v>2646</v>
      </c>
      <c r="N73" t="s">
        <v>2647</v>
      </c>
      <c r="O73" t="s">
        <v>2648</v>
      </c>
      <c r="P73" t="s">
        <v>2649</v>
      </c>
      <c r="Q73" t="s">
        <v>2650</v>
      </c>
      <c r="R73" t="str">
        <f t="shared" si="3"/>
        <v>user-male.jpg</v>
      </c>
      <c r="V73" s="6" t="str" cm="1">
        <f t="array" ref="V73">INDEX(Folha1!$C$2:$C$396,W73)</f>
        <v>$2a$10$63Jfa/vmDae/93QZGc6sZuqUtQRMG.6et8aLwJxcJHYBLUgEKnRLy</v>
      </c>
      <c r="W73">
        <f>MATCH(C73,Folha1!$B$2:$B$396,0)</f>
        <v>259</v>
      </c>
      <c r="Y73" t="str">
        <f t="shared" si="4"/>
        <v>(259,'migbal2914', '$2a$10$63Jfa/vmDae/93QZGc6sZuqUtQRMG.6et8aLwJxcJHYBLUgEKnRLy', 'Miguel Diogo Fernandes Pacheco', 'Masculino', '2017-04-28', 'Rua dos Bacalhoeiros', '2914-639', 'Setúbal', 'Utente', 'Portuguesa', 'Bilhete de Identidade', '30983600', '782031457', '987701621', '967137122', 'migbal2914@sapo.pt', 'user-male.jpg'),</v>
      </c>
      <c r="Z73" t="str">
        <f t="shared" si="5"/>
        <v>(259),</v>
      </c>
    </row>
    <row r="74" spans="1:26" x14ac:dyDescent="0.25">
      <c r="A74">
        <v>260</v>
      </c>
      <c r="B74" t="s">
        <v>2651</v>
      </c>
      <c r="C74" t="s">
        <v>2652</v>
      </c>
      <c r="D74" t="s">
        <v>2653</v>
      </c>
      <c r="E74" t="s">
        <v>53</v>
      </c>
      <c r="F74" s="7">
        <v>38941</v>
      </c>
      <c r="G74" t="s">
        <v>256</v>
      </c>
      <c r="H74" t="s">
        <v>2654</v>
      </c>
      <c r="I74" t="s">
        <v>223</v>
      </c>
      <c r="J74" t="s">
        <v>3727</v>
      </c>
      <c r="K74" t="s">
        <v>225</v>
      </c>
      <c r="L74" t="s">
        <v>265</v>
      </c>
      <c r="M74" t="s">
        <v>2655</v>
      </c>
      <c r="N74" t="s">
        <v>2656</v>
      </c>
      <c r="O74" t="s">
        <v>2657</v>
      </c>
      <c r="P74" t="s">
        <v>2658</v>
      </c>
      <c r="Q74" t="s">
        <v>2659</v>
      </c>
      <c r="R74" t="str">
        <f t="shared" si="3"/>
        <v>user-male.jpg</v>
      </c>
      <c r="V74" s="6" t="str" cm="1">
        <f t="array" ref="V74">INDEX(Folha1!$C$2:$C$396,W74)</f>
        <v>$2a$10$O9KmKsLG6jySm4JOF7g51uthbOZjkOj0mhgtC44aM3QbQrHpCNH7K</v>
      </c>
      <c r="W74">
        <f>MATCH(C74,Folha1!$B$2:$B$396,0)</f>
        <v>260</v>
      </c>
      <c r="Y74" t="str">
        <f t="shared" si="4"/>
        <v>(260,'tiaira2659', '$2a$10$O9KmKsLG6jySm4JOF7g51uthbOZjkOj0mhgtC44aM3QbQrHpCNH7K', 'Tiago André Carvalho Santos', 'Masculino', '2006-08-12', 'Travessa de São João da Praça', '2659-512', 'Ericeira', 'Utente', 'Portuguesa', 'Bilhete de Identidade', '89182166', '990347869', '274347664', '931766194', 'tiaira2659@gmail.com', 'user-male.jpg'),</v>
      </c>
      <c r="Z74" t="str">
        <f t="shared" si="5"/>
        <v>(260),</v>
      </c>
    </row>
    <row r="75" spans="1:26" x14ac:dyDescent="0.25">
      <c r="A75">
        <v>261</v>
      </c>
      <c r="B75" t="s">
        <v>2660</v>
      </c>
      <c r="C75" t="s">
        <v>2661</v>
      </c>
      <c r="D75" t="s">
        <v>2662</v>
      </c>
      <c r="E75" t="s">
        <v>53</v>
      </c>
      <c r="F75" s="7">
        <v>19821</v>
      </c>
      <c r="G75" t="s">
        <v>231</v>
      </c>
      <c r="H75" t="s">
        <v>2663</v>
      </c>
      <c r="I75" t="s">
        <v>211</v>
      </c>
      <c r="J75" t="s">
        <v>3727</v>
      </c>
      <c r="K75" t="s">
        <v>225</v>
      </c>
      <c r="L75" t="s">
        <v>265</v>
      </c>
      <c r="M75" t="s">
        <v>2664</v>
      </c>
      <c r="N75" t="s">
        <v>2665</v>
      </c>
      <c r="O75" t="s">
        <v>2666</v>
      </c>
      <c r="P75" t="s">
        <v>2667</v>
      </c>
      <c r="Q75" t="s">
        <v>2668</v>
      </c>
      <c r="R75" t="str">
        <f t="shared" si="3"/>
        <v>user-male.jpg</v>
      </c>
      <c r="V75" s="6" t="str" cm="1">
        <f t="array" ref="V75">INDEX(Folha1!$C$2:$C$396,W75)</f>
        <v>$2a$10$dtEDIBzoRac7a5BVvrIZv.AN/xpaicatXOhH4KPY0MhQDSKINczy6</v>
      </c>
      <c r="W75">
        <f>MATCH(C75,Folha1!$B$2:$B$396,0)</f>
        <v>261</v>
      </c>
      <c r="Y75" t="str">
        <f t="shared" si="4"/>
        <v>(261,'fraboa1349', '$2a$10$dtEDIBzoRac7a5BVvrIZv.AN/xpaicatXOhH4KPY0MhQDSKINczy6', 'Francisco Vera Melo Henriques', 'Masculino', '1954-04-07', 'Rua dos Fanqueiros', '1349-185', 'Lisboa', 'Utente', 'Portuguesa', 'Bilhete de Identidade', '11083959', '745670841', '991060898', '929725107', 'fraboa1349@outlook.com', 'user-male.jpg'),</v>
      </c>
      <c r="Z75" t="str">
        <f t="shared" si="5"/>
        <v>(261),</v>
      </c>
    </row>
    <row r="76" spans="1:26" x14ac:dyDescent="0.25">
      <c r="A76">
        <v>262</v>
      </c>
      <c r="B76" t="s">
        <v>2419</v>
      </c>
      <c r="C76" t="s">
        <v>2420</v>
      </c>
      <c r="D76" t="s">
        <v>2669</v>
      </c>
      <c r="E76" t="s">
        <v>53</v>
      </c>
      <c r="F76" s="7">
        <v>41522</v>
      </c>
      <c r="G76" t="s">
        <v>229</v>
      </c>
      <c r="H76" t="s">
        <v>2670</v>
      </c>
      <c r="I76" t="s">
        <v>211</v>
      </c>
      <c r="J76" t="s">
        <v>3727</v>
      </c>
      <c r="K76" t="s">
        <v>225</v>
      </c>
      <c r="L76" t="s">
        <v>265</v>
      </c>
      <c r="M76" t="s">
        <v>2671</v>
      </c>
      <c r="N76" t="s">
        <v>2672</v>
      </c>
      <c r="O76" t="s">
        <v>2673</v>
      </c>
      <c r="P76" t="s">
        <v>2674</v>
      </c>
      <c r="Q76" t="s">
        <v>2427</v>
      </c>
      <c r="R76" t="str">
        <f t="shared" si="3"/>
        <v>user-male.jpg</v>
      </c>
      <c r="V76" s="6" t="str" cm="1">
        <f t="array" ref="V76">INDEX(Folha1!$C$2:$C$396,W76)</f>
        <v>$2a$10$FkMLx4wFmEqDT5pibRL./uwSfXtVI9w7W4TEcFOgAdUn90OhCdrwq</v>
      </c>
      <c r="W76">
        <f>MATCH(C76,Folha1!$B$2:$B$396,0)</f>
        <v>234</v>
      </c>
      <c r="Y76" t="str">
        <f t="shared" si="4"/>
        <v>(262,'sanboa1950', '$2a$10$FkMLx4wFmEqDT5pibRL./uwSfXtVI9w7W4TEcFOgAdUn90OhCdrwq', 'Santiago Marco Cruz Nunes', 'Masculino', '2013-09-05', 'Rua Cidade de Bolama', '1950-801', 'Lisboa', 'Utente', 'Portuguesa', 'Bilhete de Identidade', '49137072', '140066375', '950365806', '965651052', 'sanboa1950@sapo.pt', 'user-male.jpg'),</v>
      </c>
      <c r="Z76" t="str">
        <f t="shared" si="5"/>
        <v>(262),</v>
      </c>
    </row>
    <row r="77" spans="1:26" x14ac:dyDescent="0.25">
      <c r="A77">
        <v>263</v>
      </c>
      <c r="B77" t="s">
        <v>2675</v>
      </c>
      <c r="C77" t="s">
        <v>2676</v>
      </c>
      <c r="D77" t="s">
        <v>2677</v>
      </c>
      <c r="E77" t="s">
        <v>66</v>
      </c>
      <c r="F77" s="7">
        <v>24620</v>
      </c>
      <c r="G77" t="s">
        <v>257</v>
      </c>
      <c r="H77" t="s">
        <v>2678</v>
      </c>
      <c r="I77" t="s">
        <v>211</v>
      </c>
      <c r="J77" t="s">
        <v>3727</v>
      </c>
      <c r="K77" t="s">
        <v>225</v>
      </c>
      <c r="L77" t="s">
        <v>265</v>
      </c>
      <c r="M77" t="s">
        <v>2679</v>
      </c>
      <c r="N77" t="s">
        <v>2680</v>
      </c>
      <c r="O77" t="s">
        <v>2681</v>
      </c>
      <c r="P77" t="s">
        <v>2682</v>
      </c>
      <c r="Q77" t="s">
        <v>2683</v>
      </c>
      <c r="R77" t="str">
        <f t="shared" si="3"/>
        <v>user-female.jpg</v>
      </c>
      <c r="V77" s="6" t="str" cm="1">
        <f t="array" ref="V77">INDEX(Folha1!$C$2:$C$396,W77)</f>
        <v>$2a$10$HIPr7x8YwGcxE2378A8lBu35BAzNZY0hLYiugAEUwsfkTUjannCN2</v>
      </c>
      <c r="W77">
        <f>MATCH(C77,Folha1!$B$2:$B$396,0)</f>
        <v>263</v>
      </c>
      <c r="Y77" t="str">
        <f t="shared" si="4"/>
        <v>(263,'leoboa1250', '$2a$10$HIPr7x8YwGcxE2378A8lBu35BAzNZY0hLYiugAEUwsfkTUjannCN2', 'Leonor Duarte Ramos Melo', 'Feminino', '1967-05-28', 'Rua do Sol a Santana', '1250-748', 'Lisboa', 'Utente', 'Portuguesa', 'Bilhete de Identidade', '31648782', '223691792', '765925446', '923596358', 'leoboa1250@sapo.pt', 'user-female.jpg'),</v>
      </c>
      <c r="Z77" t="str">
        <f t="shared" si="5"/>
        <v>(263),</v>
      </c>
    </row>
    <row r="78" spans="1:26" x14ac:dyDescent="0.25">
      <c r="A78">
        <v>264</v>
      </c>
      <c r="B78" t="s">
        <v>2684</v>
      </c>
      <c r="C78" t="s">
        <v>2685</v>
      </c>
      <c r="D78" t="s">
        <v>2686</v>
      </c>
      <c r="E78" t="s">
        <v>66</v>
      </c>
      <c r="F78" s="7">
        <v>24983</v>
      </c>
      <c r="G78" t="s">
        <v>238</v>
      </c>
      <c r="H78" t="s">
        <v>2687</v>
      </c>
      <c r="I78" t="s">
        <v>210</v>
      </c>
      <c r="J78" t="s">
        <v>3727</v>
      </c>
      <c r="K78" t="s">
        <v>225</v>
      </c>
      <c r="L78" t="s">
        <v>265</v>
      </c>
      <c r="M78" t="s">
        <v>2688</v>
      </c>
      <c r="N78" t="s">
        <v>2689</v>
      </c>
      <c r="O78" t="s">
        <v>2690</v>
      </c>
      <c r="P78" t="s">
        <v>2691</v>
      </c>
      <c r="Q78" t="s">
        <v>2692</v>
      </c>
      <c r="R78" t="str">
        <f t="shared" si="3"/>
        <v>user-female.jpg</v>
      </c>
      <c r="V78" s="6" t="str" cm="1">
        <f t="array" ref="V78">INDEX(Folha1!$C$2:$C$396,W78)</f>
        <v>$2a$10$IM0qe/Tmskg/24Hmninzh.Z9MordT73yvg2QjMYlXNeXoz5CwwZOy</v>
      </c>
      <c r="W78">
        <f>MATCH(C78,Folha1!$B$2:$B$396,0)</f>
        <v>264</v>
      </c>
      <c r="Y78" t="str">
        <f t="shared" si="4"/>
        <v>(264,'beaora2614', '$2a$10$IM0qe/Tmskg/24Hmninzh.Z9MordT73yvg2QjMYlXNeXoz5CwwZOy', 'Beatriz Diogo Cruz Ramos', 'Feminino', '1968-05-25', 'Calçada do Moinho de Vento', '2614-324', 'Amadora', 'Utente', 'Portuguesa', 'Bilhete de Identidade', '61347923', '756211029', '420846106', '934209642', 'beaora2614@outlook.com', 'user-female.jpg'),</v>
      </c>
      <c r="Z78" t="str">
        <f t="shared" si="5"/>
        <v>(264),</v>
      </c>
    </row>
    <row r="79" spans="1:26" x14ac:dyDescent="0.25">
      <c r="A79">
        <v>265</v>
      </c>
      <c r="B79" t="s">
        <v>2693</v>
      </c>
      <c r="C79" t="s">
        <v>2694</v>
      </c>
      <c r="D79" t="s">
        <v>2695</v>
      </c>
      <c r="E79" t="s">
        <v>66</v>
      </c>
      <c r="F79" s="7">
        <v>28641</v>
      </c>
      <c r="G79" t="s">
        <v>240</v>
      </c>
      <c r="H79" t="s">
        <v>2696</v>
      </c>
      <c r="I79" t="s">
        <v>211</v>
      </c>
      <c r="J79" t="s">
        <v>3727</v>
      </c>
      <c r="K79" t="s">
        <v>225</v>
      </c>
      <c r="L79" t="s">
        <v>265</v>
      </c>
      <c r="M79" t="s">
        <v>2697</v>
      </c>
      <c r="N79" t="s">
        <v>2698</v>
      </c>
      <c r="O79" t="s">
        <v>2699</v>
      </c>
      <c r="P79" t="s">
        <v>2700</v>
      </c>
      <c r="Q79" t="s">
        <v>2701</v>
      </c>
      <c r="R79" t="str">
        <f t="shared" si="3"/>
        <v>user-female.jpg</v>
      </c>
      <c r="V79" s="6" t="str" cm="1">
        <f t="array" ref="V79">INDEX(Folha1!$C$2:$C$396,W79)</f>
        <v>$2a$10$nduLEL4DhCkAF6T4WmsV5u1/2ajN7PTnFnI/ItUqCoyyF0gQhxNP.</v>
      </c>
      <c r="W79">
        <f>MATCH(C79,Folha1!$B$2:$B$396,0)</f>
        <v>265</v>
      </c>
      <c r="Y79" t="str">
        <f t="shared" si="4"/>
        <v>(265,'anaboa1998', '$2a$10$nduLEL4DhCkAF6T4WmsV5u1/2ajN7PTnFnI/ItUqCoyyF0gQhxNP.', 'Ana Tiago Barbosa Leal', 'Feminino', '1978-05-31', 'Calçada do Poço dos Mouros', '1998-961', 'Lisboa', 'Utente', 'Portuguesa', 'Bilhete de Identidade', '86981754', '379660272', '916521813', '914723656', 'anaboa1998@sapo.pt', 'user-female.jpg'),</v>
      </c>
      <c r="Z79" t="str">
        <f t="shared" si="5"/>
        <v>(265),</v>
      </c>
    </row>
    <row r="80" spans="1:26" x14ac:dyDescent="0.25">
      <c r="A80">
        <v>266</v>
      </c>
      <c r="B80" t="s">
        <v>2702</v>
      </c>
      <c r="C80" t="s">
        <v>2703</v>
      </c>
      <c r="D80" t="s">
        <v>2704</v>
      </c>
      <c r="E80" t="s">
        <v>66</v>
      </c>
      <c r="F80" s="7">
        <v>35043</v>
      </c>
      <c r="G80" t="s">
        <v>229</v>
      </c>
      <c r="H80" t="s">
        <v>2705</v>
      </c>
      <c r="I80" t="s">
        <v>211</v>
      </c>
      <c r="J80" t="s">
        <v>3727</v>
      </c>
      <c r="K80" t="s">
        <v>225</v>
      </c>
      <c r="L80" t="s">
        <v>265</v>
      </c>
      <c r="M80" t="s">
        <v>2706</v>
      </c>
      <c r="N80" t="s">
        <v>2707</v>
      </c>
      <c r="O80" t="s">
        <v>2708</v>
      </c>
      <c r="P80" t="s">
        <v>2709</v>
      </c>
      <c r="Q80" t="s">
        <v>2710</v>
      </c>
      <c r="R80" t="str">
        <f t="shared" si="3"/>
        <v>user-female.jpg</v>
      </c>
      <c r="V80" s="6" t="str" cm="1">
        <f t="array" ref="V80">INDEX(Folha1!$C$2:$C$396,W80)</f>
        <v>$2a$10$2fzerVSbKfifmsWIj/rIXulirwfbRLRF8CLwp90I0NMBsoR7yCKUW</v>
      </c>
      <c r="W80">
        <f>MATCH(C80,Folha1!$B$2:$B$396,0)</f>
        <v>266</v>
      </c>
      <c r="Y80" t="str">
        <f t="shared" si="4"/>
        <v>(266,'beaboa1649', '$2a$10$2fzerVSbKfifmsWIj/rIXulirwfbRLRF8CLwp90I0NMBsoR7yCKUW', 'Beatriz Mariana Matias Ribeiro', 'Feminino', '1995-12-10', 'Rua Cidade de Bolama', '1649-363', 'Lisboa', 'Utente', 'Portuguesa', 'Bilhete de Identidade', '82588701', '809412821', '261516683', '933312523', 'beaboa1649@sapo.pt', 'user-female.jpg'),</v>
      </c>
      <c r="Z80" t="str">
        <f t="shared" si="5"/>
        <v>(266),</v>
      </c>
    </row>
    <row r="81" spans="1:26" x14ac:dyDescent="0.25">
      <c r="A81">
        <v>267</v>
      </c>
      <c r="B81" t="s">
        <v>2711</v>
      </c>
      <c r="C81" t="s">
        <v>2712</v>
      </c>
      <c r="D81" t="s">
        <v>2713</v>
      </c>
      <c r="E81" t="s">
        <v>53</v>
      </c>
      <c r="F81" s="7">
        <v>22527</v>
      </c>
      <c r="G81" t="s">
        <v>240</v>
      </c>
      <c r="H81" t="s">
        <v>2714</v>
      </c>
      <c r="I81" t="s">
        <v>205</v>
      </c>
      <c r="J81" t="s">
        <v>3727</v>
      </c>
      <c r="K81" t="s">
        <v>225</v>
      </c>
      <c r="L81" t="s">
        <v>265</v>
      </c>
      <c r="M81" t="s">
        <v>2715</v>
      </c>
      <c r="N81" t="s">
        <v>2716</v>
      </c>
      <c r="O81" t="s">
        <v>2717</v>
      </c>
      <c r="P81" t="s">
        <v>2718</v>
      </c>
      <c r="Q81" t="s">
        <v>2719</v>
      </c>
      <c r="R81" t="str">
        <f t="shared" si="3"/>
        <v>user-male.jpg</v>
      </c>
      <c r="V81" s="6" t="str" cm="1">
        <f t="array" ref="V81">INDEX(Folha1!$C$2:$C$396,W81)</f>
        <v>$2a$10$WFS7nwncOuShSi5AnZYYXO5MhURC3Fj4GEO6ZzzAQSQKR0aeWl5QG</v>
      </c>
      <c r="W81">
        <f>MATCH(C81,Folha1!$B$2:$B$396,0)</f>
        <v>267</v>
      </c>
      <c r="Y81" t="str">
        <f t="shared" si="4"/>
        <v>(267,'rodrem2009', '$2a$10$WFS7nwncOuShSi5AnZYYXO5MhURC3Fj4GEO6ZzzAQSQKR0aeWl5QG', 'Rodrigo Diana Pires Neves', 'Masculino', '1961-09-03', 'Calçada do Poço dos Mouros', '2009-773', 'Santarém', 'Utente', 'Portuguesa', 'Bilhete de Identidade', '45090103', '369831948', '402334743', '932942747', 'rodrem2009@sapo.pt', 'user-male.jpg'),</v>
      </c>
      <c r="Z81" t="str">
        <f t="shared" si="5"/>
        <v>(267),</v>
      </c>
    </row>
    <row r="82" spans="1:26" x14ac:dyDescent="0.25">
      <c r="A82">
        <v>268</v>
      </c>
      <c r="B82" t="s">
        <v>2720</v>
      </c>
      <c r="C82" t="s">
        <v>2721</v>
      </c>
      <c r="D82" t="s">
        <v>2722</v>
      </c>
      <c r="E82" t="s">
        <v>53</v>
      </c>
      <c r="F82" s="7">
        <v>12686</v>
      </c>
      <c r="G82" t="s">
        <v>250</v>
      </c>
      <c r="H82" t="s">
        <v>2723</v>
      </c>
      <c r="I82" t="s">
        <v>211</v>
      </c>
      <c r="J82" t="s">
        <v>3727</v>
      </c>
      <c r="K82" t="s">
        <v>225</v>
      </c>
      <c r="L82" t="s">
        <v>265</v>
      </c>
      <c r="M82" t="s">
        <v>2724</v>
      </c>
      <c r="N82" t="s">
        <v>2725</v>
      </c>
      <c r="O82" t="s">
        <v>2726</v>
      </c>
      <c r="P82" t="s">
        <v>2727</v>
      </c>
      <c r="Q82" t="s">
        <v>2728</v>
      </c>
      <c r="R82" t="str">
        <f t="shared" si="3"/>
        <v>user-male.jpg</v>
      </c>
      <c r="V82" s="6" t="str" cm="1">
        <f t="array" ref="V82">INDEX(Folha1!$C$2:$C$396,W82)</f>
        <v>$2a$10$yhUpzX82jAYyR/FgYa91ueRN8UTygHZLOJ6wAxNKyQNPxB1gR959i</v>
      </c>
      <c r="W82">
        <f>MATCH(C82,Folha1!$B$2:$B$396,0)</f>
        <v>268</v>
      </c>
      <c r="Y82" t="str">
        <f t="shared" si="4"/>
        <v>(268,'bruboa1300', '$2a$10$yhUpzX82jAYyR/FgYa91ueRN8UTygHZLOJ6wAxNKyQNPxB1gR959i', 'Bruno Joana Gaspar Melo', 'Masculino', '1934-09-24', 'Rua Nova do Almada', '1300-732', 'Lisboa', 'Utente', 'Portuguesa', 'Bilhete de Identidade', '98303307', '240948186', '337872997', '968774378', 'bruboa1300@outlook.com', 'user-male.jpg'),</v>
      </c>
      <c r="Z82" t="str">
        <f t="shared" si="5"/>
        <v>(268),</v>
      </c>
    </row>
    <row r="83" spans="1:26" x14ac:dyDescent="0.25">
      <c r="A83">
        <v>269</v>
      </c>
      <c r="B83" t="s">
        <v>2729</v>
      </c>
      <c r="C83" t="s">
        <v>2730</v>
      </c>
      <c r="D83" t="s">
        <v>2731</v>
      </c>
      <c r="E83" t="s">
        <v>66</v>
      </c>
      <c r="F83" s="7">
        <v>36263</v>
      </c>
      <c r="G83" t="s">
        <v>241</v>
      </c>
      <c r="H83" t="s">
        <v>2732</v>
      </c>
      <c r="I83" t="s">
        <v>211</v>
      </c>
      <c r="J83" t="s">
        <v>3727</v>
      </c>
      <c r="K83" t="s">
        <v>225</v>
      </c>
      <c r="L83" t="s">
        <v>265</v>
      </c>
      <c r="M83" t="s">
        <v>2733</v>
      </c>
      <c r="N83" t="s">
        <v>2734</v>
      </c>
      <c r="O83" t="s">
        <v>2735</v>
      </c>
      <c r="P83" t="s">
        <v>2736</v>
      </c>
      <c r="Q83" t="s">
        <v>2737</v>
      </c>
      <c r="R83" t="str">
        <f t="shared" si="3"/>
        <v>user-female.jpg</v>
      </c>
      <c r="V83" s="6" t="str" cm="1">
        <f t="array" ref="V83">INDEX(Folha1!$C$2:$C$396,W83)</f>
        <v>$2a$10$g1arNf50n7/ho.HJVnsL1.AvIhj3RVnMXzFvxzgaHoj1KAje5cv92</v>
      </c>
      <c r="W83">
        <f>MATCH(C83,Folha1!$B$2:$B$396,0)</f>
        <v>269</v>
      </c>
      <c r="Y83" t="str">
        <f t="shared" si="4"/>
        <v>(269,'fraboa1050', '$2a$10$g1arNf50n7/ho.HJVnsL1.AvIhj3RVnMXzFvxzgaHoj1KAje5cv92', 'Francisca Mariana Coelho Marques', 'Feminino', '1999-04-13', 'Rua da Prata', '1050-941', 'Lisboa', 'Utente', 'Portuguesa', 'Bilhete de Identidade', '43492331', '431037997', '921083994', '963132795', 'fraboa1050@sapo.pt', 'user-female.jpg'),</v>
      </c>
      <c r="Z83" t="str">
        <f t="shared" si="5"/>
        <v>(269),</v>
      </c>
    </row>
    <row r="84" spans="1:26" x14ac:dyDescent="0.25">
      <c r="A84">
        <v>270</v>
      </c>
      <c r="B84" t="s">
        <v>326</v>
      </c>
      <c r="C84" t="s">
        <v>327</v>
      </c>
      <c r="D84" t="s">
        <v>2738</v>
      </c>
      <c r="E84" t="s">
        <v>53</v>
      </c>
      <c r="F84" s="7">
        <v>13617</v>
      </c>
      <c r="G84" t="s">
        <v>228</v>
      </c>
      <c r="H84" t="s">
        <v>2739</v>
      </c>
      <c r="I84" t="s">
        <v>218</v>
      </c>
      <c r="J84" t="s">
        <v>3727</v>
      </c>
      <c r="K84" t="s">
        <v>225</v>
      </c>
      <c r="L84" t="s">
        <v>265</v>
      </c>
      <c r="M84" t="s">
        <v>2740</v>
      </c>
      <c r="N84" t="s">
        <v>2741</v>
      </c>
      <c r="O84" t="s">
        <v>2742</v>
      </c>
      <c r="P84" t="s">
        <v>2743</v>
      </c>
      <c r="Q84" t="s">
        <v>2744</v>
      </c>
      <c r="R84" t="str">
        <f t="shared" si="3"/>
        <v>user-male.jpg</v>
      </c>
      <c r="V84" s="6" t="str" cm="1">
        <f t="array" ref="V84">INDEX(Folha1!$C$2:$C$396,W84)</f>
        <v>$2a$10$hwj4.7MLRGGpXbgjrsBgDe.NvIlEJe7Rz.HZyB8c9lgH2.fpR.9T2</v>
      </c>
      <c r="W84">
        <f>MATCH(C84,Folha1!$B$2:$B$396,0)</f>
        <v>270</v>
      </c>
      <c r="Y84" t="str">
        <f t="shared" si="4"/>
        <v>(270,'marlos2775', '$2a$10$hwj4.7MLRGGpXbgjrsBgDe.NvIlEJe7Rz.HZyB8c9lgH2.fpR.9T2', 'Martim Bruno Raposo Borges', 'Masculino', '1937-04-12', 'Calçada de Carriche', '2775-293', 'Carcavelos', 'Utente', 'Portuguesa', 'Bilhete de Identidade', '28171783', '488007815', '504591008', '920120892', 'marlos2775@outlook.com', 'user-male.jpg'),</v>
      </c>
      <c r="Z84" t="str">
        <f t="shared" si="5"/>
        <v>(270),</v>
      </c>
    </row>
    <row r="85" spans="1:26" x14ac:dyDescent="0.25">
      <c r="A85">
        <v>271</v>
      </c>
      <c r="B85" t="s">
        <v>2745</v>
      </c>
      <c r="C85" t="s">
        <v>2746</v>
      </c>
      <c r="D85" t="s">
        <v>2747</v>
      </c>
      <c r="E85" t="s">
        <v>53</v>
      </c>
      <c r="F85" s="7">
        <v>41552</v>
      </c>
      <c r="G85" t="s">
        <v>247</v>
      </c>
      <c r="H85" t="s">
        <v>2748</v>
      </c>
      <c r="I85" t="s">
        <v>222</v>
      </c>
      <c r="J85" t="s">
        <v>3727</v>
      </c>
      <c r="K85" t="s">
        <v>225</v>
      </c>
      <c r="L85" t="s">
        <v>265</v>
      </c>
      <c r="M85" t="s">
        <v>2749</v>
      </c>
      <c r="N85" t="s">
        <v>2750</v>
      </c>
      <c r="O85" t="s">
        <v>2751</v>
      </c>
      <c r="P85" t="s">
        <v>2752</v>
      </c>
      <c r="Q85" t="s">
        <v>2753</v>
      </c>
      <c r="R85" t="str">
        <f t="shared" si="3"/>
        <v>user-male.jpg</v>
      </c>
      <c r="V85" s="6" t="str" cm="1">
        <f t="array" ref="V85">INDEX(Folha1!$C$2:$C$396,W85)</f>
        <v>$2a$10$3QxZlJoVLMYyNg5.i4aVoet4Fn7QguROI3K69vlk6xiDOi20NSPWi</v>
      </c>
      <c r="W85">
        <f>MATCH(C85,Folha1!$B$2:$B$396,0)</f>
        <v>271</v>
      </c>
      <c r="Y85" t="str">
        <f t="shared" si="4"/>
        <v>(271,'gabnto2330', '$2a$10$3QxZlJoVLMYyNg5.i4aVoet4Fn7QguROI3K69vlk6xiDOi20NSPWi', 'Gabriel Sara Morais Leal', 'Masculino', '2013-10-05', 'Rua Ferreira Lapa', '2330-562', 'Entroncamento', 'Utente', 'Portuguesa', 'Bilhete de Identidade', '48786129', '352590238', '443229053', '965921199', 'gabnto2330@outlook.com', 'user-male.jpg'),</v>
      </c>
      <c r="Z85" t="str">
        <f t="shared" si="5"/>
        <v>(271),</v>
      </c>
    </row>
    <row r="86" spans="1:26" x14ac:dyDescent="0.25">
      <c r="A86">
        <v>272</v>
      </c>
      <c r="B86" t="s">
        <v>2754</v>
      </c>
      <c r="C86" t="s">
        <v>2755</v>
      </c>
      <c r="D86" t="s">
        <v>2756</v>
      </c>
      <c r="E86" t="s">
        <v>66</v>
      </c>
      <c r="F86" s="7">
        <v>27773</v>
      </c>
      <c r="G86" t="s">
        <v>242</v>
      </c>
      <c r="H86" t="s">
        <v>2757</v>
      </c>
      <c r="I86" t="s">
        <v>211</v>
      </c>
      <c r="J86" t="s">
        <v>3727</v>
      </c>
      <c r="K86" t="s">
        <v>225</v>
      </c>
      <c r="L86" t="s">
        <v>265</v>
      </c>
      <c r="M86" t="s">
        <v>2758</v>
      </c>
      <c r="N86" t="s">
        <v>2759</v>
      </c>
      <c r="O86" t="s">
        <v>2760</v>
      </c>
      <c r="P86" t="s">
        <v>2761</v>
      </c>
      <c r="Q86" t="s">
        <v>2762</v>
      </c>
      <c r="R86" t="str">
        <f t="shared" si="3"/>
        <v>user-female.jpg</v>
      </c>
      <c r="V86" s="6" t="str" cm="1">
        <f t="array" ref="V86">INDEX(Folha1!$C$2:$C$396,W86)</f>
        <v>$2a$10$GU7dbEU/yf49Axant2JJeOIgyGVGOPllnp4562/yAhz.bUhH2QOR.</v>
      </c>
      <c r="W86">
        <f>MATCH(C86,Folha1!$B$2:$B$396,0)</f>
        <v>272</v>
      </c>
      <c r="Y86" t="str">
        <f t="shared" si="4"/>
        <v>(272,'beaboa1098', '$2a$10$GU7dbEU/yf49Axant2JJeOIgyGVGOPllnp4562/yAhz.bUhH2QOR.', 'Beatriz Afonso Santos Ferreira', 'Feminino', '1976-01-14', 'Avenida Ressano Garcia', '1098-551', 'Lisboa', 'Utente', 'Portuguesa', 'Bilhete de Identidade', '48105884', '553368744', '518588077', '927776976', 'beaboa1098@outlook.com', 'user-female.jpg'),</v>
      </c>
      <c r="Z86" t="str">
        <f t="shared" si="5"/>
        <v>(272),</v>
      </c>
    </row>
    <row r="87" spans="1:26" x14ac:dyDescent="0.25">
      <c r="A87">
        <v>273</v>
      </c>
      <c r="B87" t="s">
        <v>2763</v>
      </c>
      <c r="C87" t="s">
        <v>2764</v>
      </c>
      <c r="D87" t="s">
        <v>2765</v>
      </c>
      <c r="E87" t="s">
        <v>53</v>
      </c>
      <c r="F87" s="7">
        <v>27273</v>
      </c>
      <c r="G87" t="s">
        <v>240</v>
      </c>
      <c r="H87" t="s">
        <v>2766</v>
      </c>
      <c r="I87" t="s">
        <v>205</v>
      </c>
      <c r="J87" t="s">
        <v>3727</v>
      </c>
      <c r="K87" t="s">
        <v>225</v>
      </c>
      <c r="L87" t="s">
        <v>265</v>
      </c>
      <c r="M87" t="s">
        <v>2767</v>
      </c>
      <c r="N87" t="s">
        <v>2768</v>
      </c>
      <c r="O87" t="s">
        <v>2769</v>
      </c>
      <c r="P87" t="s">
        <v>2770</v>
      </c>
      <c r="Q87" t="s">
        <v>2771</v>
      </c>
      <c r="R87" t="str">
        <f t="shared" si="3"/>
        <v>user-male.jpg</v>
      </c>
      <c r="V87" s="6" t="str" cm="1">
        <f t="array" ref="V87">INDEX(Folha1!$C$2:$C$396,W87)</f>
        <v>$2a$10$qb6zGhEIFKXIUZQzzxCkTOndoKTglUbc7b4ErFHGU2Rm.gXIUv04S</v>
      </c>
      <c r="W87">
        <f>MATCH(C87,Folha1!$B$2:$B$396,0)</f>
        <v>273</v>
      </c>
      <c r="Y87" t="str">
        <f t="shared" si="4"/>
        <v>(273,'gabrem2009', '$2a$10$qb6zGhEIFKXIUZQzzxCkTOndoKTglUbc7b4ErFHGU2Rm.gXIUv04S', 'Gabriel Duarte Pinto Amaral', 'Masculino', '1974-09-01', 'Calçada do Poço dos Mouros', '2009-265', 'Santarém', 'Utente', 'Portuguesa', 'Bilhete de Identidade', '68519616', '382546816', '227789291', '963869258', 'gabrem2009@sapo.pt', 'user-male.jpg'),</v>
      </c>
      <c r="Z87" t="str">
        <f t="shared" si="5"/>
        <v>(273),</v>
      </c>
    </row>
    <row r="88" spans="1:26" x14ac:dyDescent="0.25">
      <c r="A88">
        <v>274</v>
      </c>
      <c r="B88" t="s">
        <v>2772</v>
      </c>
      <c r="C88" t="s">
        <v>2773</v>
      </c>
      <c r="D88" t="s">
        <v>2774</v>
      </c>
      <c r="E88" t="s">
        <v>53</v>
      </c>
      <c r="F88" s="7">
        <v>33962</v>
      </c>
      <c r="G88" t="s">
        <v>239</v>
      </c>
      <c r="H88" t="s">
        <v>2775</v>
      </c>
      <c r="I88" t="s">
        <v>211</v>
      </c>
      <c r="J88" t="s">
        <v>3727</v>
      </c>
      <c r="K88" t="s">
        <v>225</v>
      </c>
      <c r="L88" t="s">
        <v>265</v>
      </c>
      <c r="M88" t="s">
        <v>2776</v>
      </c>
      <c r="N88" t="s">
        <v>2777</v>
      </c>
      <c r="O88" t="s">
        <v>2778</v>
      </c>
      <c r="P88" t="s">
        <v>2779</v>
      </c>
      <c r="Q88" t="s">
        <v>2780</v>
      </c>
      <c r="R88" t="str">
        <f t="shared" si="3"/>
        <v>user-male.jpg</v>
      </c>
      <c r="V88" s="6" t="str" cm="1">
        <f t="array" ref="V88">INDEX(Folha1!$C$2:$C$396,W88)</f>
        <v>$2a$10$ycfkuX45nxDwu1XoQf1cPuFi38JtJEK94fdK2aD0DhU7yaLCTAjGq</v>
      </c>
      <c r="W88">
        <f>MATCH(C88,Folha1!$B$2:$B$396,0)</f>
        <v>274</v>
      </c>
      <c r="Y88" t="str">
        <f t="shared" si="4"/>
        <v>(274,'fraboa1067', '$2a$10$ycfkuX45nxDwu1XoQf1cPuFi38JtJEK94fdK2aD0DhU7yaLCTAjGq', 'Francisco Mariana Matias Miranda', 'Masculino', '1992-12-24', 'Rua da Oliveira ao Carmo', '1067-738', 'Lisboa', 'Utente', 'Portuguesa', 'Bilhete de Identidade', '38012101', '634216481', '530225478', '963908101', 'fraboa1067@sapo.pt', 'user-male.jpg'),</v>
      </c>
      <c r="Z88" t="str">
        <f t="shared" si="5"/>
        <v>(274),</v>
      </c>
    </row>
    <row r="89" spans="1:26" x14ac:dyDescent="0.25">
      <c r="A89">
        <v>275</v>
      </c>
      <c r="B89" t="s">
        <v>2781</v>
      </c>
      <c r="C89" t="s">
        <v>2782</v>
      </c>
      <c r="D89" t="s">
        <v>2783</v>
      </c>
      <c r="E89" t="s">
        <v>66</v>
      </c>
      <c r="F89" s="7">
        <v>16313</v>
      </c>
      <c r="G89" t="s">
        <v>238</v>
      </c>
      <c r="H89" t="s">
        <v>2784</v>
      </c>
      <c r="I89" t="s">
        <v>218</v>
      </c>
      <c r="J89" t="s">
        <v>3727</v>
      </c>
      <c r="K89" t="s">
        <v>225</v>
      </c>
      <c r="L89" t="s">
        <v>265</v>
      </c>
      <c r="M89" t="s">
        <v>2785</v>
      </c>
      <c r="N89" t="s">
        <v>2786</v>
      </c>
      <c r="O89" t="s">
        <v>2787</v>
      </c>
      <c r="P89" t="s">
        <v>2788</v>
      </c>
      <c r="Q89" t="s">
        <v>2789</v>
      </c>
      <c r="R89" t="str">
        <f t="shared" si="3"/>
        <v>user-female.jpg</v>
      </c>
      <c r="V89" s="6" t="str" cm="1">
        <f t="array" ref="V89">INDEX(Folha1!$C$2:$C$396,W89)</f>
        <v>$2a$10$CTUvqEmkMGXUatbOdVcqvewzjWoisJk9UoHrcbcoouHXR2wKyE.hC</v>
      </c>
      <c r="W89">
        <f>MATCH(C89,Folha1!$B$2:$B$396,0)</f>
        <v>275</v>
      </c>
      <c r="Y89" t="str">
        <f t="shared" si="4"/>
        <v>(275,'carlos2775', '$2a$10$CTUvqEmkMGXUatbOdVcqvewzjWoisJk9UoHrcbcoouHXR2wKyE.hC', 'Carolina André Anjos Santos', 'Feminino', '1944-08-29', 'Calçada do Moinho de Vento', '2775-985', 'Carcavelos', 'Utente', 'Portuguesa', 'Bilhete de Identidade', '65809207', '717350049', '258512815', '936684178', 'carlos2775@outlook.com', 'user-female.jpg'),</v>
      </c>
      <c r="Z89" t="str">
        <f t="shared" si="5"/>
        <v>(275),</v>
      </c>
    </row>
    <row r="90" spans="1:26" x14ac:dyDescent="0.25">
      <c r="A90">
        <v>276</v>
      </c>
      <c r="B90" t="s">
        <v>294</v>
      </c>
      <c r="C90" t="s">
        <v>295</v>
      </c>
      <c r="D90" t="s">
        <v>2790</v>
      </c>
      <c r="E90" t="s">
        <v>53</v>
      </c>
      <c r="F90" s="7">
        <v>40133</v>
      </c>
      <c r="G90" t="s">
        <v>254</v>
      </c>
      <c r="H90" t="s">
        <v>2791</v>
      </c>
      <c r="I90" t="s">
        <v>211</v>
      </c>
      <c r="J90" t="s">
        <v>3727</v>
      </c>
      <c r="K90" t="s">
        <v>225</v>
      </c>
      <c r="L90" t="s">
        <v>265</v>
      </c>
      <c r="M90" t="s">
        <v>2792</v>
      </c>
      <c r="N90" t="s">
        <v>2793</v>
      </c>
      <c r="O90" t="s">
        <v>2794</v>
      </c>
      <c r="P90" t="s">
        <v>2795</v>
      </c>
      <c r="Q90" t="s">
        <v>2796</v>
      </c>
      <c r="R90" t="str">
        <f t="shared" si="3"/>
        <v>user-male.jpg</v>
      </c>
      <c r="V90" s="6" t="str" cm="1">
        <f t="array" ref="V90">INDEX(Folha1!$C$2:$C$396,W90)</f>
        <v>$2a$10$1g/RUY6a.8uK6l0BIsBWluxWBXz2mENwmVC68ekxsOwRY2CX3n/8m</v>
      </c>
      <c r="W90">
        <f>MATCH(C90,Folha1!$B$2:$B$396,0)</f>
        <v>276</v>
      </c>
      <c r="Y90" t="str">
        <f t="shared" si="4"/>
        <v>(276,'marboa1000', '$2a$10$1g/RUY6a.8uK6l0BIsBWluxWBXz2mENwmVC68ekxsOwRY2CX3n/8m', 'Martim Ana Baptista Azevedo', 'Masculino', '2009-11-16', 'Rua do Sacramento à Lapa', '1000-426', 'Lisboa', 'Utente', 'Portuguesa', 'Bilhete de Identidade', '15569997', '580040177', '446008100', '911166669', 'marboa1000@outlook.com', 'user-male.jpg'),</v>
      </c>
      <c r="Z90" t="str">
        <f t="shared" si="5"/>
        <v>(276),</v>
      </c>
    </row>
    <row r="91" spans="1:26" x14ac:dyDescent="0.25">
      <c r="A91">
        <v>277</v>
      </c>
      <c r="B91" t="s">
        <v>2797</v>
      </c>
      <c r="C91" t="s">
        <v>2798</v>
      </c>
      <c r="D91" t="s">
        <v>2799</v>
      </c>
      <c r="E91" t="s">
        <v>53</v>
      </c>
      <c r="F91" s="7">
        <v>16302</v>
      </c>
      <c r="G91" t="s">
        <v>236</v>
      </c>
      <c r="H91" t="s">
        <v>2800</v>
      </c>
      <c r="I91" t="s">
        <v>211</v>
      </c>
      <c r="J91" t="s">
        <v>3727</v>
      </c>
      <c r="K91" t="s">
        <v>225</v>
      </c>
      <c r="L91" t="s">
        <v>265</v>
      </c>
      <c r="M91" t="s">
        <v>2801</v>
      </c>
      <c r="N91" t="s">
        <v>2802</v>
      </c>
      <c r="O91" t="s">
        <v>2803</v>
      </c>
      <c r="P91" t="s">
        <v>2804</v>
      </c>
      <c r="Q91" t="s">
        <v>2805</v>
      </c>
      <c r="R91" t="str">
        <f t="shared" si="3"/>
        <v>user-male.jpg</v>
      </c>
      <c r="V91" s="6" t="str" cm="1">
        <f t="array" ref="V91">INDEX(Folha1!$C$2:$C$396,W91)</f>
        <v>$2a$10$ZZHbe80TZpHKUSMYIMiLVet0HmEf52jpWYJEG93.4TX7xB73XmGvK</v>
      </c>
      <c r="W91">
        <f>MATCH(C91,Folha1!$B$2:$B$396,0)</f>
        <v>277</v>
      </c>
      <c r="Y91" t="str">
        <f t="shared" si="4"/>
        <v>(277,'dioboa1700', '$2a$10$ZZHbe80TZpHKUSMYIMiLVet0HmEf52jpWYJEG93.4TX7xB73XmGvK', 'Diogo Maria Fonseca Simões', 'Masculino', '1944-08-18', 'Rua da Madalena', '1700-520', 'Lisboa', 'Utente', 'Portuguesa', 'Bilhete de Identidade', '67409293', '290784725', '388843721', '932975765', 'dioboa1700@outlook.com', 'user-male.jpg'),</v>
      </c>
      <c r="Z91" t="str">
        <f t="shared" si="5"/>
        <v>(277),</v>
      </c>
    </row>
    <row r="92" spans="1:26" x14ac:dyDescent="0.25">
      <c r="A92">
        <v>278</v>
      </c>
      <c r="B92" t="s">
        <v>2806</v>
      </c>
      <c r="C92" t="s">
        <v>2807</v>
      </c>
      <c r="D92" t="s">
        <v>2808</v>
      </c>
      <c r="E92" t="s">
        <v>53</v>
      </c>
      <c r="F92" s="7">
        <v>15230</v>
      </c>
      <c r="G92" t="s">
        <v>243</v>
      </c>
      <c r="H92" t="s">
        <v>2809</v>
      </c>
      <c r="I92" t="s">
        <v>211</v>
      </c>
      <c r="J92" t="s">
        <v>3727</v>
      </c>
      <c r="K92" t="s">
        <v>225</v>
      </c>
      <c r="L92" t="s">
        <v>265</v>
      </c>
      <c r="M92" t="s">
        <v>2810</v>
      </c>
      <c r="N92" t="s">
        <v>2811</v>
      </c>
      <c r="O92" t="s">
        <v>2812</v>
      </c>
      <c r="P92" t="s">
        <v>2813</v>
      </c>
      <c r="Q92" t="s">
        <v>2814</v>
      </c>
      <c r="R92" t="str">
        <f t="shared" si="3"/>
        <v>user-male.jpg</v>
      </c>
      <c r="V92" s="6" t="str" cm="1">
        <f t="array" ref="V92">INDEX(Folha1!$C$2:$C$396,W92)</f>
        <v>$2a$10$2hMvUkg1YsWCmaJYRvRNqun2W2kA5jCDPeGAjNBctjvvh4osqsiNW</v>
      </c>
      <c r="W92">
        <f>MATCH(C92,Folha1!$B$2:$B$396,0)</f>
        <v>278</v>
      </c>
      <c r="Y92" t="str">
        <f t="shared" si="4"/>
        <v>(278,'migboa1800', '$2a$10$2hMvUkg1YsWCmaJYRvRNqun2W2kA5jCDPeGAjNBctjvvh4osqsiNW', 'Miguel Daniela Magalhães Cunha', 'Masculino', '1941-09-11', 'Rua Roberto Duarte Silva', '1800-402', 'Lisboa', 'Utente', 'Portuguesa', 'Bilhete de Identidade', '47329405', '267283310', '894552170', '915242913', 'migboa1800@gmail.com', 'user-male.jpg'),</v>
      </c>
      <c r="Z92" t="str">
        <f t="shared" si="5"/>
        <v>(278),</v>
      </c>
    </row>
    <row r="93" spans="1:26" x14ac:dyDescent="0.25">
      <c r="A93">
        <v>279</v>
      </c>
      <c r="B93" t="s">
        <v>2815</v>
      </c>
      <c r="C93" t="s">
        <v>2816</v>
      </c>
      <c r="D93" t="s">
        <v>2817</v>
      </c>
      <c r="E93" t="s">
        <v>66</v>
      </c>
      <c r="F93" s="7">
        <v>33682</v>
      </c>
      <c r="G93" t="s">
        <v>261</v>
      </c>
      <c r="H93" t="s">
        <v>2818</v>
      </c>
      <c r="I93" t="s">
        <v>216</v>
      </c>
      <c r="J93" t="s">
        <v>3727</v>
      </c>
      <c r="K93" t="s">
        <v>225</v>
      </c>
      <c r="L93" t="s">
        <v>265</v>
      </c>
      <c r="M93" t="s">
        <v>2819</v>
      </c>
      <c r="N93" t="s">
        <v>2820</v>
      </c>
      <c r="O93" t="s">
        <v>2821</v>
      </c>
      <c r="P93" t="s">
        <v>2822</v>
      </c>
      <c r="Q93" t="s">
        <v>2823</v>
      </c>
      <c r="R93" t="str">
        <f t="shared" si="3"/>
        <v>user-female.jpg</v>
      </c>
      <c r="V93" s="6" t="str" cm="1">
        <f t="array" ref="V93">INDEX(Folha1!$C$2:$C$396,W93)</f>
        <v>$2a$10$qHfXMUHAPloTvPgJBx2jUuG1ILbH.WlqSoef1tOhEnlFc4CZ.jeHO</v>
      </c>
      <c r="W93">
        <f>MATCH(C93,Folha1!$B$2:$B$396,0)</f>
        <v>279</v>
      </c>
      <c r="Y93" t="str">
        <f t="shared" si="4"/>
        <v>(279,'daniro2830', '$2a$10$qHfXMUHAPloTvPgJBx2jUuG1ILbH.WlqSoef1tOhEnlFc4CZ.jeHO', 'Daniela Marco Baptista Amorim', 'Feminino', '1992-03-19', 'Rua do Carmo', '2830-495', 'Barreiro', 'Utente', 'Portuguesa', 'Bilhete de Identidade', '69916772', '503233287', '549369637', '928355989', 'daniro2830@outlook.com', 'user-female.jpg'),</v>
      </c>
      <c r="Z93" t="str">
        <f t="shared" si="5"/>
        <v>(279),</v>
      </c>
    </row>
    <row r="94" spans="1:26" x14ac:dyDescent="0.25">
      <c r="A94">
        <v>280</v>
      </c>
      <c r="B94" t="s">
        <v>332</v>
      </c>
      <c r="C94" t="s">
        <v>333</v>
      </c>
      <c r="D94" t="s">
        <v>2824</v>
      </c>
      <c r="E94" t="s">
        <v>53</v>
      </c>
      <c r="F94" s="7">
        <v>19081</v>
      </c>
      <c r="G94" t="s">
        <v>238</v>
      </c>
      <c r="H94" t="s">
        <v>2825</v>
      </c>
      <c r="I94" t="s">
        <v>205</v>
      </c>
      <c r="J94" t="s">
        <v>3727</v>
      </c>
      <c r="K94" t="s">
        <v>225</v>
      </c>
      <c r="L94" t="s">
        <v>265</v>
      </c>
      <c r="M94" t="s">
        <v>2826</v>
      </c>
      <c r="N94" t="s">
        <v>2827</v>
      </c>
      <c r="O94" t="s">
        <v>2828</v>
      </c>
      <c r="P94" t="s">
        <v>2829</v>
      </c>
      <c r="Q94" t="s">
        <v>2830</v>
      </c>
      <c r="R94" t="str">
        <f t="shared" si="3"/>
        <v>user-male.jpg</v>
      </c>
      <c r="V94" s="6" t="str" cm="1">
        <f t="array" ref="V94">INDEX(Folha1!$C$2:$C$396,W94)</f>
        <v>$2a$10$60.ZVhvix5UjyfjPb/i.ce8wsK8aTAXvDi.GfywBH15crIlpFMmMu</v>
      </c>
      <c r="W94">
        <f>MATCH(C94,Folha1!$B$2:$B$396,0)</f>
        <v>280</v>
      </c>
      <c r="Y94" t="str">
        <f t="shared" si="4"/>
        <v>(280,'aforem2009', '$2a$10$60.ZVhvix5UjyfjPb/i.ce8wsK8aTAXvDi.GfywBH15crIlpFMmMu', 'Afonso Luís Simões Carneiro', 'Masculino', '1952-03-28', 'Calçada do Moinho de Vento', '2009-419', 'Santarém', 'Utente', 'Portuguesa', 'Bilhete de Identidade', '26756588', '924103404', '672391278', '928000701', 'aforem2009@sapo.pt', 'user-male.jpg'),</v>
      </c>
      <c r="Z94" t="str">
        <f t="shared" si="5"/>
        <v>(280),</v>
      </c>
    </row>
    <row r="95" spans="1:26" x14ac:dyDescent="0.25">
      <c r="A95">
        <v>281</v>
      </c>
      <c r="B95" t="s">
        <v>2831</v>
      </c>
      <c r="C95" t="s">
        <v>2832</v>
      </c>
      <c r="D95" t="s">
        <v>2833</v>
      </c>
      <c r="E95" t="s">
        <v>53</v>
      </c>
      <c r="F95" s="7">
        <v>28822</v>
      </c>
      <c r="G95" t="s">
        <v>259</v>
      </c>
      <c r="H95" t="s">
        <v>2834</v>
      </c>
      <c r="I95" t="s">
        <v>222</v>
      </c>
      <c r="J95" t="s">
        <v>3727</v>
      </c>
      <c r="K95" t="s">
        <v>225</v>
      </c>
      <c r="L95" t="s">
        <v>265</v>
      </c>
      <c r="M95" t="s">
        <v>2835</v>
      </c>
      <c r="N95" t="s">
        <v>2836</v>
      </c>
      <c r="O95" t="s">
        <v>2837</v>
      </c>
      <c r="P95" t="s">
        <v>2838</v>
      </c>
      <c r="Q95" t="s">
        <v>2839</v>
      </c>
      <c r="R95" t="str">
        <f t="shared" si="3"/>
        <v>user-male.jpg</v>
      </c>
      <c r="V95" s="6" t="str" cm="1">
        <f t="array" ref="V95">INDEX(Folha1!$C$2:$C$396,W95)</f>
        <v>$2a$10$fM15KU7irLM7vu6Pqxu65u2nLpa0Z1htM9OeSHQtcOethZC39TCQ6</v>
      </c>
      <c r="W95">
        <f>MATCH(C95,Folha1!$B$2:$B$396,0)</f>
        <v>281</v>
      </c>
      <c r="Y95" t="str">
        <f t="shared" si="4"/>
        <v>(281,'dionto2334', '$2a$10$fM15KU7irLM7vu6Pqxu65u2nLpa0Z1htM9OeSHQtcOethZC39TCQ6', 'Diogo Gabriel Ramos Anjos', 'Masculino', '1978-11-28', 'Rua da Alfândega', '2334-315', 'Entroncamento', 'Utente', 'Portuguesa', 'Bilhete de Identidade', '62971663', '427176925', '667579135', '934951508', 'dionto2334@outlook.com', 'user-male.jpg'),</v>
      </c>
      <c r="Z95" t="str">
        <f t="shared" si="5"/>
        <v>(281),</v>
      </c>
    </row>
    <row r="96" spans="1:26" x14ac:dyDescent="0.25">
      <c r="A96">
        <v>282</v>
      </c>
      <c r="B96" t="s">
        <v>2840</v>
      </c>
      <c r="C96" t="s">
        <v>2841</v>
      </c>
      <c r="D96" t="s">
        <v>2842</v>
      </c>
      <c r="E96" t="s">
        <v>53</v>
      </c>
      <c r="F96" s="7">
        <v>23243</v>
      </c>
      <c r="G96" t="s">
        <v>256</v>
      </c>
      <c r="H96" t="s">
        <v>2843</v>
      </c>
      <c r="I96" t="s">
        <v>218</v>
      </c>
      <c r="J96" t="s">
        <v>3727</v>
      </c>
      <c r="K96" t="s">
        <v>225</v>
      </c>
      <c r="L96" t="s">
        <v>265</v>
      </c>
      <c r="M96" t="s">
        <v>2844</v>
      </c>
      <c r="N96" t="s">
        <v>2845</v>
      </c>
      <c r="O96" t="s">
        <v>2846</v>
      </c>
      <c r="P96" t="s">
        <v>2847</v>
      </c>
      <c r="Q96" t="s">
        <v>2848</v>
      </c>
      <c r="R96" t="str">
        <f t="shared" si="3"/>
        <v>user-male.jpg</v>
      </c>
      <c r="V96" s="6" t="str" cm="1">
        <f t="array" ref="V96">INDEX(Folha1!$C$2:$C$396,W96)</f>
        <v>$2a$10$A3N42rKmlZ2.2leg8SVs2ugOavS.D3j0M4OJr/dsIeCKzS1QeeKXK</v>
      </c>
      <c r="W96">
        <f>MATCH(C96,Folha1!$B$2:$B$396,0)</f>
        <v>282</v>
      </c>
      <c r="Y96" t="str">
        <f t="shared" si="4"/>
        <v>(282,'tomlos2779', '$2a$10$A3N42rKmlZ2.2leg8SVs2ugOavS.D3j0M4OJr/dsIeCKzS1QeeKXK', 'Tomás Francisca Neto Melo', 'Masculino', '1963-08-20', 'Travessa de São João da Praça', '2779-721', 'Carcavelos', 'Utente', 'Portuguesa', 'Bilhete de Identidade', '72149185', '450508641', '141310846', '920167738', 'tomlos2779@sapo.pt', 'user-male.jpg'),</v>
      </c>
      <c r="Z96" t="str">
        <f t="shared" si="5"/>
        <v>(282),</v>
      </c>
    </row>
    <row r="97" spans="1:26" x14ac:dyDescent="0.25">
      <c r="A97">
        <v>283</v>
      </c>
      <c r="B97" t="s">
        <v>2849</v>
      </c>
      <c r="C97" t="s">
        <v>2850</v>
      </c>
      <c r="D97" t="s">
        <v>2851</v>
      </c>
      <c r="E97" t="s">
        <v>53</v>
      </c>
      <c r="F97" s="7">
        <v>18576</v>
      </c>
      <c r="G97" t="s">
        <v>229</v>
      </c>
      <c r="H97" t="s">
        <v>2852</v>
      </c>
      <c r="I97" t="s">
        <v>211</v>
      </c>
      <c r="J97" t="s">
        <v>3727</v>
      </c>
      <c r="K97" t="s">
        <v>225</v>
      </c>
      <c r="L97" t="s">
        <v>265</v>
      </c>
      <c r="M97" t="s">
        <v>2853</v>
      </c>
      <c r="N97" t="s">
        <v>2854</v>
      </c>
      <c r="O97" t="s">
        <v>2855</v>
      </c>
      <c r="P97" t="s">
        <v>2856</v>
      </c>
      <c r="Q97" t="s">
        <v>2857</v>
      </c>
      <c r="R97" t="str">
        <f t="shared" si="3"/>
        <v>user-male.jpg</v>
      </c>
      <c r="V97" s="6" t="str" cm="1">
        <f t="array" ref="V97">INDEX(Folha1!$C$2:$C$396,W97)</f>
        <v>$2a$10$3Cgy2zN62Als2GeTW7eJiOMtu7QTqfwhtnN/oZzh4TpOfAx9P8tcu</v>
      </c>
      <c r="W97">
        <f>MATCH(C97,Folha1!$B$2:$B$396,0)</f>
        <v>283</v>
      </c>
      <c r="Y97" t="str">
        <f t="shared" si="4"/>
        <v>(283,'ricboa1748', '$2a$10$3Cgy2zN62Als2GeTW7eJiOMtu7QTqfwhtnN/oZzh4TpOfAx9P8tcu', 'Ricardo Carolina Guerreiro Castro', 'Masculino', '1950-11-09', 'Rua Cidade de Bolama', '1748-656', 'Lisboa', 'Utente', 'Portuguesa', 'Bilhete de Identidade', '20884004', '192156124', '610290081', '924488501', 'ricboa1748@outlook.com', 'user-male.jpg'),</v>
      </c>
      <c r="Z97" t="str">
        <f t="shared" si="5"/>
        <v>(283),</v>
      </c>
    </row>
    <row r="98" spans="1:26" x14ac:dyDescent="0.25">
      <c r="A98">
        <v>284</v>
      </c>
      <c r="B98" t="s">
        <v>2858</v>
      </c>
      <c r="C98" t="s">
        <v>2859</v>
      </c>
      <c r="D98" t="s">
        <v>2860</v>
      </c>
      <c r="E98" t="s">
        <v>66</v>
      </c>
      <c r="F98" s="7">
        <v>36577</v>
      </c>
      <c r="G98" t="s">
        <v>255</v>
      </c>
      <c r="H98" t="s">
        <v>2861</v>
      </c>
      <c r="I98" t="s">
        <v>210</v>
      </c>
      <c r="J98" t="s">
        <v>3727</v>
      </c>
      <c r="K98" t="s">
        <v>225</v>
      </c>
      <c r="L98" t="s">
        <v>265</v>
      </c>
      <c r="M98" t="s">
        <v>2862</v>
      </c>
      <c r="N98" t="s">
        <v>2863</v>
      </c>
      <c r="O98" t="s">
        <v>2864</v>
      </c>
      <c r="P98" t="s">
        <v>2865</v>
      </c>
      <c r="Q98" t="s">
        <v>2866</v>
      </c>
      <c r="R98" t="str">
        <f t="shared" si="3"/>
        <v>user-female.jpg</v>
      </c>
      <c r="V98" s="6" t="str" cm="1">
        <f t="array" ref="V98">INDEX(Folha1!$C$2:$C$396,W98)</f>
        <v>$2a$10$mywbtFr0EDwJ1fZIMuJvFeIHwIK23nolRO1XO3PvK5YtgD12SzmVW</v>
      </c>
      <c r="W98">
        <f>MATCH(C98,Folha1!$B$2:$B$396,0)</f>
        <v>284</v>
      </c>
      <c r="Y98" t="str">
        <f t="shared" si="4"/>
        <v>(284,'marora2654', '$2a$10$mywbtFr0EDwJ1fZIMuJvFeIHwIK23nolRO1XO3PvK5YtgD12SzmVW', 'Maria Martim Barbosa Esteves', 'Feminino', '2000-02-21', 'Rua de São Bento', '2654-424', 'Amadora', 'Utente', 'Portuguesa', 'Bilhete de Identidade', '74062576', '855669267', '444267404', '964648106', 'marora2654@sapo.pt', 'user-female.jpg'),</v>
      </c>
      <c r="Z98" t="str">
        <f t="shared" si="5"/>
        <v>(284),</v>
      </c>
    </row>
    <row r="99" spans="1:26" x14ac:dyDescent="0.25">
      <c r="A99">
        <v>285</v>
      </c>
      <c r="B99" t="s">
        <v>2867</v>
      </c>
      <c r="C99" t="s">
        <v>2868</v>
      </c>
      <c r="D99" t="s">
        <v>2869</v>
      </c>
      <c r="E99" t="s">
        <v>53</v>
      </c>
      <c r="F99" s="7">
        <v>18365</v>
      </c>
      <c r="G99" t="s">
        <v>241</v>
      </c>
      <c r="H99" t="s">
        <v>2870</v>
      </c>
      <c r="I99" t="s">
        <v>211</v>
      </c>
      <c r="J99" t="s">
        <v>3727</v>
      </c>
      <c r="K99" t="s">
        <v>225</v>
      </c>
      <c r="L99" t="s">
        <v>265</v>
      </c>
      <c r="M99" t="s">
        <v>2871</v>
      </c>
      <c r="N99" t="s">
        <v>2872</v>
      </c>
      <c r="O99" t="s">
        <v>2873</v>
      </c>
      <c r="P99" t="s">
        <v>2874</v>
      </c>
      <c r="Q99" t="s">
        <v>2875</v>
      </c>
      <c r="R99" t="str">
        <f t="shared" si="3"/>
        <v>user-male.jpg</v>
      </c>
      <c r="V99" s="6" t="str" cm="1">
        <f t="array" ref="V99">INDEX(Folha1!$C$2:$C$396,W99)</f>
        <v>$2a$10$DuchHh8vHXSXbJAVQTP/n.0RjQgGtT8gkDIDkUSYjhDavJsX2dcXC</v>
      </c>
      <c r="W99">
        <f>MATCH(C99,Folha1!$B$2:$B$396,0)</f>
        <v>285</v>
      </c>
      <c r="Y99" t="str">
        <f t="shared" si="4"/>
        <v>(285,'migboa1150', '$2a$10$DuchHh8vHXSXbJAVQTP/n.0RjQgGtT8gkDIDkUSYjhDavJsX2dcXC', 'Miguel Santiago Henriques Lourenço', 'Masculino', '1950-04-12', 'Rua da Prata', '1150-942', 'Lisboa', 'Utente', 'Portuguesa', 'Bilhete de Identidade', '90593281', '117590197', '191079042', '934524575', 'migboa1150@sapo.pt', 'user-male.jpg'),</v>
      </c>
      <c r="Z99" t="str">
        <f t="shared" si="5"/>
        <v>(285),</v>
      </c>
    </row>
    <row r="100" spans="1:26" x14ac:dyDescent="0.25">
      <c r="A100">
        <v>286</v>
      </c>
      <c r="B100" t="s">
        <v>2876</v>
      </c>
      <c r="C100" t="s">
        <v>2877</v>
      </c>
      <c r="D100" t="s">
        <v>2878</v>
      </c>
      <c r="E100" t="s">
        <v>53</v>
      </c>
      <c r="F100" s="7">
        <v>31062</v>
      </c>
      <c r="G100" t="s">
        <v>238</v>
      </c>
      <c r="H100" t="s">
        <v>2879</v>
      </c>
      <c r="I100" t="s">
        <v>201</v>
      </c>
      <c r="J100" t="s">
        <v>3727</v>
      </c>
      <c r="K100" t="s">
        <v>225</v>
      </c>
      <c r="L100" t="s">
        <v>265</v>
      </c>
      <c r="M100" t="s">
        <v>2880</v>
      </c>
      <c r="N100" t="s">
        <v>2881</v>
      </c>
      <c r="O100" t="s">
        <v>2882</v>
      </c>
      <c r="P100" t="s">
        <v>2883</v>
      </c>
      <c r="Q100" t="s">
        <v>2884</v>
      </c>
      <c r="R100" t="str">
        <f t="shared" si="3"/>
        <v>user-male.jpg</v>
      </c>
      <c r="V100" s="6" t="str" cm="1">
        <f t="array" ref="V100">INDEX(Folha1!$C$2:$C$396,W100)</f>
        <v>$2a$10$1cWtRBCHg7vJOiPG9iLeluUdfsTuHFMMIgvTeDe3ycEeE01lZqmZa</v>
      </c>
      <c r="W100">
        <f>MATCH(C100,Folha1!$B$2:$B$396,0)</f>
        <v>286</v>
      </c>
      <c r="Y100" t="str">
        <f t="shared" si="4"/>
        <v>(286,'andria2424', '$2a$10$1cWtRBCHg7vJOiPG9iLeluUdfsTuHFMMIgvTeDe3ycEeE01lZqmZa', 'André Rodrigo Henriques Ferreira', 'Masculino', '1985-01-15', 'Calçada do Moinho de Vento', '2424-183', 'Leiria', 'Utente', 'Portuguesa', 'Bilhete de Identidade', '28462968', '354575196', '787232012', '914514262', 'andria2424@sapo.pt', 'user-male.jpg'),</v>
      </c>
      <c r="Z100" t="str">
        <f t="shared" si="5"/>
        <v>(286),</v>
      </c>
    </row>
    <row r="101" spans="1:26" x14ac:dyDescent="0.25">
      <c r="A101">
        <v>287</v>
      </c>
      <c r="B101" t="s">
        <v>2885</v>
      </c>
      <c r="C101" t="s">
        <v>2886</v>
      </c>
      <c r="D101" t="s">
        <v>2887</v>
      </c>
      <c r="E101" t="s">
        <v>53</v>
      </c>
      <c r="F101" s="7">
        <v>37490</v>
      </c>
      <c r="G101" t="s">
        <v>226</v>
      </c>
      <c r="H101" t="s">
        <v>2888</v>
      </c>
      <c r="I101" t="s">
        <v>211</v>
      </c>
      <c r="J101" t="s">
        <v>3727</v>
      </c>
      <c r="K101" t="s">
        <v>225</v>
      </c>
      <c r="L101" t="s">
        <v>265</v>
      </c>
      <c r="M101" t="s">
        <v>2889</v>
      </c>
      <c r="N101" t="s">
        <v>2890</v>
      </c>
      <c r="O101" t="s">
        <v>2891</v>
      </c>
      <c r="P101" t="s">
        <v>2892</v>
      </c>
      <c r="Q101" t="s">
        <v>2893</v>
      </c>
      <c r="R101" t="str">
        <f t="shared" si="3"/>
        <v>user-male.jpg</v>
      </c>
      <c r="V101" s="6" t="str" cm="1">
        <f t="array" ref="V101">INDEX(Folha1!$C$2:$C$396,W101)</f>
        <v>$2a$10$ksWfrwQSv4VWW/QhUubYC.HhYuzw5pAHY0gb7kzso3xHRyFyR3e5S</v>
      </c>
      <c r="W101">
        <f>MATCH(C101,Folha1!$B$2:$B$396,0)</f>
        <v>287</v>
      </c>
      <c r="Y101" t="str">
        <f t="shared" si="4"/>
        <v>(287,'duaboa1949', '$2a$10$ksWfrwQSv4VWW/QhUubYC.HhYuzw5pAHY0gb7kzso3xHRyFyR3e5S', 'Duarte Duarte Gaspar Pereira', 'Masculino', '2002-08-22', 'Rua do Arsenal', '1949-765', 'Lisboa', 'Utente', 'Portuguesa', 'Bilhete de Identidade', '54510803', '681076498', '756758558', '910689905', 'duaboa1949@sapo.pt', 'user-male.jpg'),</v>
      </c>
      <c r="Z101" t="str">
        <f t="shared" si="5"/>
        <v>(287),</v>
      </c>
    </row>
    <row r="102" spans="1:26" x14ac:dyDescent="0.25">
      <c r="A102">
        <v>288</v>
      </c>
      <c r="B102" t="s">
        <v>2323</v>
      </c>
      <c r="C102" t="s">
        <v>2324</v>
      </c>
      <c r="D102" t="s">
        <v>2894</v>
      </c>
      <c r="E102" t="s">
        <v>53</v>
      </c>
      <c r="F102" s="7">
        <v>23523</v>
      </c>
      <c r="G102" t="s">
        <v>238</v>
      </c>
      <c r="H102" t="s">
        <v>2895</v>
      </c>
      <c r="I102" t="s">
        <v>211</v>
      </c>
      <c r="J102" t="s">
        <v>3727</v>
      </c>
      <c r="K102" t="s">
        <v>225</v>
      </c>
      <c r="L102" t="s">
        <v>265</v>
      </c>
      <c r="M102" t="s">
        <v>2896</v>
      </c>
      <c r="N102" t="s">
        <v>2897</v>
      </c>
      <c r="O102" t="s">
        <v>2898</v>
      </c>
      <c r="P102" t="s">
        <v>2899</v>
      </c>
      <c r="Q102" t="s">
        <v>2331</v>
      </c>
      <c r="R102" t="str">
        <f t="shared" si="3"/>
        <v>user-male.jpg</v>
      </c>
      <c r="V102" s="6" t="str" cm="1">
        <f t="array" ref="V102">INDEX(Folha1!$C$2:$C$396,W102)</f>
        <v>$2a$10$OJmDkRKig/THV5VXo0Mc2eHUenVwRe3foJw4IYVmPysyGSOm701pq</v>
      </c>
      <c r="W102">
        <f>MATCH(C102,Folha1!$B$2:$B$396,0)</f>
        <v>223</v>
      </c>
      <c r="Y102" t="str">
        <f t="shared" si="4"/>
        <v>(288,'josboa1350', '$2a$10$OJmDkRKig/THV5VXo0Mc2eHUenVwRe3foJw4IYVmPysyGSOm701pq', 'José Tomás Carneiro Leite', 'Masculino', '1964-05-26', 'Calçada do Moinho de Vento', '1350-725', 'Lisboa', 'Utente', 'Portuguesa', 'Bilhete de Identidade', '51361023', '764266216', '409687848', '910640335', 'josboa1350@outlook.com', 'user-male.jpg'),</v>
      </c>
      <c r="Z102" t="str">
        <f t="shared" si="5"/>
        <v>(288),</v>
      </c>
    </row>
    <row r="103" spans="1:26" x14ac:dyDescent="0.25">
      <c r="A103">
        <v>289</v>
      </c>
      <c r="B103" t="s">
        <v>2900</v>
      </c>
      <c r="C103" t="s">
        <v>2901</v>
      </c>
      <c r="D103" t="s">
        <v>2902</v>
      </c>
      <c r="E103" t="s">
        <v>53</v>
      </c>
      <c r="F103" s="7">
        <v>43571</v>
      </c>
      <c r="G103" t="s">
        <v>242</v>
      </c>
      <c r="H103" t="s">
        <v>2903</v>
      </c>
      <c r="I103" t="s">
        <v>211</v>
      </c>
      <c r="J103" t="s">
        <v>3727</v>
      </c>
      <c r="K103" t="s">
        <v>225</v>
      </c>
      <c r="L103" t="s">
        <v>265</v>
      </c>
      <c r="M103" t="s">
        <v>2904</v>
      </c>
      <c r="N103" t="s">
        <v>2905</v>
      </c>
      <c r="O103" t="s">
        <v>2906</v>
      </c>
      <c r="P103" t="s">
        <v>2907</v>
      </c>
      <c r="Q103" t="s">
        <v>2908</v>
      </c>
      <c r="R103" t="str">
        <f t="shared" si="3"/>
        <v>user-male.jpg</v>
      </c>
      <c r="V103" s="6" t="str" cm="1">
        <f t="array" ref="V103">INDEX(Folha1!$C$2:$C$396,W103)</f>
        <v>$2a$10$dyzra4EJdAEHrHC1cUKQLuKrzbaLwPJus9WczZ/RoN0zx38wRuCpW</v>
      </c>
      <c r="W103">
        <f>MATCH(C103,Folha1!$B$2:$B$396,0)</f>
        <v>289</v>
      </c>
      <c r="Y103" t="str">
        <f t="shared" si="4"/>
        <v>(289,'rodboa1049', '$2a$10$dyzra4EJdAEHrHC1cUKQLuKrzbaLwPJus9WczZ/RoN0zx38wRuCpW', 'Rodrigo Inês Branco Costa', 'Masculino', '2019-04-16', 'Avenida Ressano Garcia', '1049-723', 'Lisboa', 'Utente', 'Portuguesa', 'Bilhete de Identidade', '78646074', '514876207', '259239344', '926934449', 'rodboa1049@sapo.pt', 'user-male.jpg'),</v>
      </c>
      <c r="Z103" t="str">
        <f t="shared" si="5"/>
        <v>(289),</v>
      </c>
    </row>
    <row r="104" spans="1:26" x14ac:dyDescent="0.25">
      <c r="A104">
        <v>290</v>
      </c>
      <c r="B104" t="s">
        <v>2909</v>
      </c>
      <c r="C104" t="s">
        <v>2910</v>
      </c>
      <c r="D104" t="s">
        <v>2911</v>
      </c>
      <c r="E104" t="s">
        <v>66</v>
      </c>
      <c r="F104" s="7">
        <v>35936</v>
      </c>
      <c r="G104" t="s">
        <v>252</v>
      </c>
      <c r="H104" t="s">
        <v>2912</v>
      </c>
      <c r="I104" t="s">
        <v>217</v>
      </c>
      <c r="J104" t="s">
        <v>3727</v>
      </c>
      <c r="K104" t="s">
        <v>225</v>
      </c>
      <c r="L104" t="s">
        <v>265</v>
      </c>
      <c r="M104" t="s">
        <v>2913</v>
      </c>
      <c r="N104" t="s">
        <v>2914</v>
      </c>
      <c r="O104" t="s">
        <v>2915</v>
      </c>
      <c r="P104" t="s">
        <v>2916</v>
      </c>
      <c r="Q104" t="s">
        <v>2917</v>
      </c>
      <c r="R104" t="str">
        <f t="shared" si="3"/>
        <v>user-female.jpg</v>
      </c>
      <c r="V104" s="6" t="str" cm="1">
        <f t="array" ref="V104">INDEX(Folha1!$C$2:$C$396,W104)</f>
        <v>$2a$10$GRgofq3nsK1Id16n1f6/IuVB0cegYTTTnYO6vaUR/Bv/OlJUjGXIG</v>
      </c>
      <c r="W104">
        <f>MATCH(C104,Folha1!$B$2:$B$396,0)</f>
        <v>290</v>
      </c>
      <c r="Y104" t="str">
        <f t="shared" si="4"/>
        <v>(290,'danica2825', '$2a$10$GRgofq3nsK1Id16n1f6/IuVB0cegYTTTnYO6vaUR/Bv/OlJUjGXIG', 'Daniela Tiago Araújo Castro', 'Feminino', '1998-05-21', 'Rua de São Julião', '2825-805', 'Caparica', 'Utente', 'Portuguesa', 'Bilhete de Identidade', '84411572', '544762038', '490453735', '914385256', 'danica2825@outlook.com', 'user-female.jpg'),</v>
      </c>
      <c r="Z104" t="str">
        <f t="shared" si="5"/>
        <v>(290),</v>
      </c>
    </row>
    <row r="105" spans="1:26" x14ac:dyDescent="0.25">
      <c r="A105">
        <v>291</v>
      </c>
      <c r="B105" t="s">
        <v>2918</v>
      </c>
      <c r="C105" t="s">
        <v>2919</v>
      </c>
      <c r="D105" t="s">
        <v>2920</v>
      </c>
      <c r="E105" t="s">
        <v>53</v>
      </c>
      <c r="F105" s="7">
        <v>33299</v>
      </c>
      <c r="G105" t="s">
        <v>244</v>
      </c>
      <c r="H105" t="s">
        <v>2921</v>
      </c>
      <c r="I105" t="s">
        <v>217</v>
      </c>
      <c r="J105" t="s">
        <v>3727</v>
      </c>
      <c r="K105" t="s">
        <v>225</v>
      </c>
      <c r="L105" t="s">
        <v>265</v>
      </c>
      <c r="M105" t="s">
        <v>2922</v>
      </c>
      <c r="N105" t="s">
        <v>2923</v>
      </c>
      <c r="O105" t="s">
        <v>2924</v>
      </c>
      <c r="P105" t="s">
        <v>2925</v>
      </c>
      <c r="Q105" t="s">
        <v>2926</v>
      </c>
      <c r="R105" t="str">
        <f t="shared" si="3"/>
        <v>user-male.jpg</v>
      </c>
      <c r="V105" s="6" t="str" cm="1">
        <f t="array" ref="V105">INDEX(Folha1!$C$2:$C$396,W105)</f>
        <v>$2a$10$vuc9jXOjWml5kxyMag4suuXnkdwKmQIPOXYdI493cXFqI8STyr9GK</v>
      </c>
      <c r="W105">
        <f>MATCH(C105,Folha1!$B$2:$B$396,0)</f>
        <v>291</v>
      </c>
      <c r="Y105" t="str">
        <f t="shared" si="4"/>
        <v>(291,'duaica2825', '$2a$10$vuc9jXOjWml5kxyMag4suuXnkdwKmQIPOXYdI493cXFqI8STyr9GK', 'Duarte Inês Lopes Mota', 'Masculino', '1991-03-02', 'Rua da Betesga', '2825-682', 'Caparica', 'Utente', 'Portuguesa', 'Bilhete de Identidade', '14596302', '803494779', '588915303', '963104327', 'duaica2825@gmail.com', 'user-male.jpg'),</v>
      </c>
      <c r="Z105" t="str">
        <f t="shared" si="5"/>
        <v>(291),</v>
      </c>
    </row>
    <row r="106" spans="1:26" x14ac:dyDescent="0.25">
      <c r="A106">
        <v>292</v>
      </c>
      <c r="B106" t="s">
        <v>2927</v>
      </c>
      <c r="C106" t="s">
        <v>2928</v>
      </c>
      <c r="D106" t="s">
        <v>2929</v>
      </c>
      <c r="E106" t="s">
        <v>66</v>
      </c>
      <c r="F106" s="7">
        <v>12890</v>
      </c>
      <c r="G106" t="s">
        <v>236</v>
      </c>
      <c r="H106" t="s">
        <v>2930</v>
      </c>
      <c r="I106" t="s">
        <v>215</v>
      </c>
      <c r="J106" t="s">
        <v>3727</v>
      </c>
      <c r="K106" t="s">
        <v>225</v>
      </c>
      <c r="L106" t="s">
        <v>265</v>
      </c>
      <c r="M106" t="s">
        <v>2931</v>
      </c>
      <c r="N106" t="s">
        <v>2932</v>
      </c>
      <c r="O106" t="s">
        <v>2933</v>
      </c>
      <c r="P106" t="s">
        <v>2934</v>
      </c>
      <c r="Q106" t="s">
        <v>2935</v>
      </c>
      <c r="R106" t="str">
        <f t="shared" si="3"/>
        <v>user-female.jpg</v>
      </c>
      <c r="V106" s="6" t="str" cm="1">
        <f t="array" ref="V106">INDEX(Folha1!$C$2:$C$396,W106)</f>
        <v>$2a$10$NtuA9Z/7rVHmVnsrES9nwuNd6gsnQ7cF51e22NI96VpNUM3cPxVnO</v>
      </c>
      <c r="W106">
        <f>MATCH(C106,Folha1!$B$2:$B$396,0)</f>
        <v>292</v>
      </c>
      <c r="Y106" t="str">
        <f t="shared" si="4"/>
        <v>(292,'fraras2784', '$2a$10$NtuA9Z/7rVHmVnsrES9nwuNd6gsnQ7cF51e22NI96VpNUM3cPxVnO', 'Francisca Diana Valente Silva', 'Feminino', '1935-04-16', 'Rua da Madalena', '2784-536', 'Oeiras', 'Utente', 'Portuguesa', 'Bilhete de Identidade', '79126318', '564938610', '662560850', '938667475', 'fraras2784@outlook.com', 'user-female.jpg'),</v>
      </c>
      <c r="Z106" t="str">
        <f t="shared" si="5"/>
        <v>(292),</v>
      </c>
    </row>
    <row r="107" spans="1:26" x14ac:dyDescent="0.25">
      <c r="A107">
        <v>293</v>
      </c>
      <c r="B107" t="s">
        <v>326</v>
      </c>
      <c r="C107" t="s">
        <v>327</v>
      </c>
      <c r="D107" t="s">
        <v>2936</v>
      </c>
      <c r="E107" t="s">
        <v>53</v>
      </c>
      <c r="F107" s="7">
        <v>39911</v>
      </c>
      <c r="G107" t="s">
        <v>247</v>
      </c>
      <c r="H107" t="s">
        <v>2937</v>
      </c>
      <c r="I107" t="s">
        <v>218</v>
      </c>
      <c r="J107" t="s">
        <v>3727</v>
      </c>
      <c r="K107" t="s">
        <v>225</v>
      </c>
      <c r="L107" t="s">
        <v>265</v>
      </c>
      <c r="M107" t="s">
        <v>2938</v>
      </c>
      <c r="N107" t="s">
        <v>2939</v>
      </c>
      <c r="O107" t="s">
        <v>2940</v>
      </c>
      <c r="P107" t="s">
        <v>2941</v>
      </c>
      <c r="Q107" t="s">
        <v>328</v>
      </c>
      <c r="R107" t="str">
        <f t="shared" si="3"/>
        <v>user-male.jpg</v>
      </c>
      <c r="V107" s="6" t="str" cm="1">
        <f t="array" ref="V107">INDEX(Folha1!$C$2:$C$396,W107)</f>
        <v>$2a$10$hwj4.7MLRGGpXbgjrsBgDe.NvIlEJe7Rz.HZyB8c9lgH2.fpR.9T2</v>
      </c>
      <c r="W107">
        <f>MATCH(C107,Folha1!$B$2:$B$396,0)</f>
        <v>270</v>
      </c>
      <c r="Y107" t="str">
        <f t="shared" si="4"/>
        <v>(293,'marlos2775', '$2a$10$hwj4.7MLRGGpXbgjrsBgDe.NvIlEJe7Rz.HZyB8c9lgH2.fpR.9T2', 'Marco Joana Santos Amaral', 'Masculino', '2009-04-08', 'Rua Ferreira Lapa', '2775-044', 'Carcavelos', 'Utente', 'Portuguesa', 'Bilhete de Identidade', '37481992', '599909838', '811205411', '932911610', 'marlos2775@gmail.com', 'user-male.jpg'),</v>
      </c>
      <c r="Z107" t="str">
        <f t="shared" si="5"/>
        <v>(293),</v>
      </c>
    </row>
    <row r="108" spans="1:26" x14ac:dyDescent="0.25">
      <c r="A108">
        <v>294</v>
      </c>
      <c r="B108" t="s">
        <v>2942</v>
      </c>
      <c r="C108" t="s">
        <v>2943</v>
      </c>
      <c r="D108" t="s">
        <v>2944</v>
      </c>
      <c r="E108" t="s">
        <v>53</v>
      </c>
      <c r="F108" s="7">
        <v>24416</v>
      </c>
      <c r="G108" t="s">
        <v>250</v>
      </c>
      <c r="H108" t="s">
        <v>2945</v>
      </c>
      <c r="I108" t="s">
        <v>210</v>
      </c>
      <c r="J108" t="s">
        <v>3727</v>
      </c>
      <c r="K108" t="s">
        <v>225</v>
      </c>
      <c r="L108" t="s">
        <v>265</v>
      </c>
      <c r="M108" t="s">
        <v>2946</v>
      </c>
      <c r="N108" t="s">
        <v>2947</v>
      </c>
      <c r="O108" t="s">
        <v>2948</v>
      </c>
      <c r="P108" t="s">
        <v>2949</v>
      </c>
      <c r="Q108" t="s">
        <v>2950</v>
      </c>
      <c r="R108" t="str">
        <f t="shared" si="3"/>
        <v>user-male.jpg</v>
      </c>
      <c r="V108" s="6" t="str" cm="1">
        <f t="array" ref="V108">INDEX(Folha1!$C$2:$C$396,W108)</f>
        <v>$2a$10$mp5Nc/eXpVypKxmGZL7tge7ImO21TzxHBjMZ4/SGAcOLYmUUuGi7q</v>
      </c>
      <c r="W108">
        <f>MATCH(C108,Folha1!$B$2:$B$396,0)</f>
        <v>294</v>
      </c>
      <c r="Y108" t="str">
        <f t="shared" si="4"/>
        <v>(294,'tiaora2724', '$2a$10$mp5Nc/eXpVypKxmGZL7tge7ImO21TzxHBjMZ4/SGAcOLYmUUuGi7q', 'Tiago Matilde Pinho Barbosa', 'Masculino', '1966-11-05', 'Rua Nova do Almada', '2724-914', 'Amadora', 'Utente', 'Portuguesa', 'Bilhete de Identidade', '31527788', '160549843', '760081408', '961727025', 'tiaora2724@sapo.pt', 'user-male.jpg'),</v>
      </c>
      <c r="Z108" t="str">
        <f t="shared" si="5"/>
        <v>(294),</v>
      </c>
    </row>
    <row r="109" spans="1:26" x14ac:dyDescent="0.25">
      <c r="A109">
        <v>295</v>
      </c>
      <c r="B109" t="s">
        <v>2951</v>
      </c>
      <c r="C109" t="s">
        <v>2952</v>
      </c>
      <c r="D109" t="s">
        <v>2953</v>
      </c>
      <c r="E109" t="s">
        <v>53</v>
      </c>
      <c r="F109" s="7">
        <v>33423</v>
      </c>
      <c r="G109" t="s">
        <v>246</v>
      </c>
      <c r="H109" t="s">
        <v>2954</v>
      </c>
      <c r="I109" t="s">
        <v>211</v>
      </c>
      <c r="J109" t="s">
        <v>3727</v>
      </c>
      <c r="K109" t="s">
        <v>225</v>
      </c>
      <c r="L109" t="s">
        <v>265</v>
      </c>
      <c r="M109" t="s">
        <v>2955</v>
      </c>
      <c r="N109" t="s">
        <v>2956</v>
      </c>
      <c r="O109" t="s">
        <v>2957</v>
      </c>
      <c r="P109" t="s">
        <v>2958</v>
      </c>
      <c r="Q109" t="s">
        <v>2959</v>
      </c>
      <c r="R109" t="str">
        <f t="shared" si="3"/>
        <v>user-male.jpg</v>
      </c>
      <c r="V109" s="6" t="str" cm="1">
        <f t="array" ref="V109">INDEX(Folha1!$C$2:$C$396,W109)</f>
        <v>$2a$10$bjSsCd5w/RrUkceMSSuAz.JXT77.PSP4v7iXxdi0dFEU2AfFN73oq</v>
      </c>
      <c r="W109">
        <f>MATCH(C109,Folha1!$B$2:$B$396,0)</f>
        <v>295</v>
      </c>
      <c r="Y109" t="str">
        <f t="shared" si="4"/>
        <v>(295,'fraboa1149', '$2a$10$bjSsCd5w/RrUkceMSSuAz.JXT77.PSP4v7iXxdi0dFEU2AfFN73oq', 'Francisco Sofia Paiva Lopes', 'Masculino', '1991-07-04', 'Rua do Guarda-Mor', '1149-929', 'Lisboa', 'Utente', 'Portuguesa', 'Bilhete de Identidade', '82096017', '253583690', '254195373', '916192739', 'fraboa1149@gmail.com', 'user-male.jpg'),</v>
      </c>
      <c r="Z109" t="str">
        <f t="shared" si="5"/>
        <v>(295),</v>
      </c>
    </row>
    <row r="110" spans="1:26" x14ac:dyDescent="0.25">
      <c r="A110">
        <v>296</v>
      </c>
      <c r="B110" t="s">
        <v>2960</v>
      </c>
      <c r="C110" t="s">
        <v>2961</v>
      </c>
      <c r="D110" t="s">
        <v>2962</v>
      </c>
      <c r="E110" t="s">
        <v>66</v>
      </c>
      <c r="F110" s="7">
        <v>9013</v>
      </c>
      <c r="G110" t="s">
        <v>263</v>
      </c>
      <c r="H110" t="s">
        <v>2963</v>
      </c>
      <c r="I110" t="s">
        <v>211</v>
      </c>
      <c r="J110" t="s">
        <v>3727</v>
      </c>
      <c r="K110" t="s">
        <v>225</v>
      </c>
      <c r="L110" t="s">
        <v>265</v>
      </c>
      <c r="M110" t="s">
        <v>2964</v>
      </c>
      <c r="N110" t="s">
        <v>2965</v>
      </c>
      <c r="O110" t="s">
        <v>2966</v>
      </c>
      <c r="P110" t="s">
        <v>2967</v>
      </c>
      <c r="Q110" t="s">
        <v>2968</v>
      </c>
      <c r="R110" t="str">
        <f t="shared" si="3"/>
        <v>user-female.jpg</v>
      </c>
      <c r="V110" s="6" t="str" cm="1">
        <f t="array" ref="V110">INDEX(Folha1!$C$2:$C$396,W110)</f>
        <v>$2a$10$pVqDM8nL9MDrKBZHlqMlse5MN52dUvD.UR/3IO47fe9ynEZDMXPEC</v>
      </c>
      <c r="W110">
        <f>MATCH(C110,Folha1!$B$2:$B$396,0)</f>
        <v>296</v>
      </c>
      <c r="Y110" t="str">
        <f t="shared" si="4"/>
        <v>(296,'anaboa1099', '$2a$10$pVqDM8nL9MDrKBZHlqMlse5MN52dUvD.UR/3IO47fe9ynEZDMXPEC', 'Ana Daniela Ribeiro Machado', 'Feminino', '1924-09-03', 'Rua da Junqueira', '1099-453', 'Lisboa', 'Utente', 'Portuguesa', 'Bilhete de Identidade', '83892096', '776838870', '634355915', '923906466', 'anaboa1099@sapo.pt', 'user-female.jpg'),</v>
      </c>
      <c r="Z110" t="str">
        <f t="shared" si="5"/>
        <v>(296),</v>
      </c>
    </row>
    <row r="111" spans="1:26" x14ac:dyDescent="0.25">
      <c r="A111">
        <v>297</v>
      </c>
      <c r="B111" t="s">
        <v>301</v>
      </c>
      <c r="C111" t="s">
        <v>302</v>
      </c>
      <c r="D111" t="s">
        <v>2969</v>
      </c>
      <c r="E111" t="s">
        <v>53</v>
      </c>
      <c r="F111" s="7">
        <v>34653</v>
      </c>
      <c r="G111" t="s">
        <v>254</v>
      </c>
      <c r="H111" t="s">
        <v>2970</v>
      </c>
      <c r="I111" t="s">
        <v>211</v>
      </c>
      <c r="J111" t="s">
        <v>3727</v>
      </c>
      <c r="K111" t="s">
        <v>225</v>
      </c>
      <c r="L111" t="s">
        <v>265</v>
      </c>
      <c r="M111" t="s">
        <v>2971</v>
      </c>
      <c r="N111" t="s">
        <v>2972</v>
      </c>
      <c r="O111" t="s">
        <v>2973</v>
      </c>
      <c r="P111" t="s">
        <v>2974</v>
      </c>
      <c r="Q111" t="s">
        <v>303</v>
      </c>
      <c r="R111" t="str">
        <f t="shared" si="3"/>
        <v>user-male.jpg</v>
      </c>
      <c r="V111" s="6" t="str" cm="1">
        <f t="array" ref="V111">INDEX(Folha1!$C$2:$C$396,W111)</f>
        <v>$2a$10$eE.zqJrHDMLJTWG..uhZROsH7kNleEUoW/LtOXVu1Jsq54N0oJMzK</v>
      </c>
      <c r="W111">
        <f>MATCH(C111,Folha1!$B$2:$B$396,0)</f>
        <v>297</v>
      </c>
      <c r="Y111" t="str">
        <f t="shared" si="4"/>
        <v>(297,'tiaboa1549', '$2a$10$eE.zqJrHDMLJTWG..uhZROsH7kNleEUoW/LtOXVu1Jsq54N0oJMzK', 'Tiago Marco Gonçalves Brito', 'Masculino', '1994-11-15', 'Rua do Sacramento à Lapa', '1549-631', 'Lisboa', 'Utente', 'Portuguesa', 'Bilhete de Identidade', '15196191', '473674266', '151423782', '963589494', 'tiaboa1549@sapo.pt', 'user-male.jpg'),</v>
      </c>
      <c r="Z111" t="str">
        <f t="shared" si="5"/>
        <v>(297),</v>
      </c>
    </row>
    <row r="112" spans="1:26" x14ac:dyDescent="0.25">
      <c r="A112">
        <v>298</v>
      </c>
      <c r="B112" t="s">
        <v>2034</v>
      </c>
      <c r="C112" t="s">
        <v>2035</v>
      </c>
      <c r="D112" t="s">
        <v>2975</v>
      </c>
      <c r="E112" t="s">
        <v>66</v>
      </c>
      <c r="F112" s="7">
        <v>11305</v>
      </c>
      <c r="G112" t="s">
        <v>249</v>
      </c>
      <c r="H112" t="s">
        <v>2976</v>
      </c>
      <c r="I112" t="s">
        <v>211</v>
      </c>
      <c r="J112" t="s">
        <v>3727</v>
      </c>
      <c r="K112" t="s">
        <v>225</v>
      </c>
      <c r="L112" t="s">
        <v>265</v>
      </c>
      <c r="M112" t="s">
        <v>2977</v>
      </c>
      <c r="N112" t="s">
        <v>2978</v>
      </c>
      <c r="O112" t="s">
        <v>2979</v>
      </c>
      <c r="P112" t="s">
        <v>2980</v>
      </c>
      <c r="Q112" t="s">
        <v>2981</v>
      </c>
      <c r="R112" t="str">
        <f t="shared" si="3"/>
        <v>user-female.jpg</v>
      </c>
      <c r="V112" s="6" t="str" cm="1">
        <f t="array" ref="V112">INDEX(Folha1!$C$2:$C$396,W112)</f>
        <v>$2a$10$zybd/xlPvZOUL0u4CVCOP..vRHrbCB5lWzSmlerQBcEa.Oq3a0uey</v>
      </c>
      <c r="W112">
        <f>MATCH(C112,Folha1!$B$2:$B$396,0)</f>
        <v>189</v>
      </c>
      <c r="Y112" t="str">
        <f t="shared" si="4"/>
        <v>(298,'ineboa1149', '$2a$10$zybd/xlPvZOUL0u4CVCOP..vRHrbCB5lWzSmlerQBcEa.Oq3a0uey', 'Inês André Correia Cunha', 'Feminino', '1930-12-13', 'Rua Júlio César Machado', '1149-564', 'Lisboa', 'Utente', 'Portuguesa', 'Bilhete de Identidade', '66776420', '602128942', '332510232', '966818271', 'ineboa1149@outlook.com', 'user-female.jpg'),</v>
      </c>
      <c r="Z112" t="str">
        <f t="shared" si="5"/>
        <v>(298),</v>
      </c>
    </row>
    <row r="113" spans="1:26" x14ac:dyDescent="0.25">
      <c r="A113">
        <v>299</v>
      </c>
      <c r="B113" t="s">
        <v>2982</v>
      </c>
      <c r="C113" t="s">
        <v>2983</v>
      </c>
      <c r="D113" t="s">
        <v>2984</v>
      </c>
      <c r="E113" t="s">
        <v>66</v>
      </c>
      <c r="F113" s="7">
        <v>13043</v>
      </c>
      <c r="G113" t="s">
        <v>232</v>
      </c>
      <c r="H113" t="s">
        <v>2985</v>
      </c>
      <c r="I113" t="s">
        <v>211</v>
      </c>
      <c r="J113" t="s">
        <v>3727</v>
      </c>
      <c r="K113" t="s">
        <v>225</v>
      </c>
      <c r="L113" t="s">
        <v>265</v>
      </c>
      <c r="M113" t="s">
        <v>2986</v>
      </c>
      <c r="N113" t="s">
        <v>2987</v>
      </c>
      <c r="O113" t="s">
        <v>2988</v>
      </c>
      <c r="P113" t="s">
        <v>2989</v>
      </c>
      <c r="Q113" t="s">
        <v>2990</v>
      </c>
      <c r="R113" t="str">
        <f t="shared" si="3"/>
        <v>user-female.jpg</v>
      </c>
      <c r="V113" s="6" t="str" cm="1">
        <f t="array" ref="V113">INDEX(Folha1!$C$2:$C$396,W113)</f>
        <v>$2a$10$PX6Fo.pfIwEpQdTiYyxL8.afni5tLLMWanW.MUXLMQPk58cQ731S6</v>
      </c>
      <c r="W113">
        <f>MATCH(C113,Folha1!$B$2:$B$396,0)</f>
        <v>299</v>
      </c>
      <c r="Y113" t="str">
        <f t="shared" si="4"/>
        <v>(299,'carboa1769', '$2a$10$PX6Fo.pfIwEpQdTiYyxL8.afni5tLLMWanW.MUXLMQPk58cQ731S6', 'Carolina Ana Tavares Pacheco', 'Feminino', '1935-09-16', 'Rua Garrett', '1769-433', 'Lisboa', 'Utente', 'Portuguesa', 'Bilhete de Identidade', '72952531', '674503967', '286222242', '911249295', 'carboa1769@sapo.pt', 'user-female.jpg'),</v>
      </c>
      <c r="Z113" t="str">
        <f t="shared" si="5"/>
        <v>(299),</v>
      </c>
    </row>
    <row r="114" spans="1:26" x14ac:dyDescent="0.25">
      <c r="A114">
        <v>300</v>
      </c>
      <c r="B114" t="s">
        <v>2991</v>
      </c>
      <c r="C114" t="s">
        <v>2992</v>
      </c>
      <c r="D114" t="s">
        <v>2993</v>
      </c>
      <c r="E114" t="s">
        <v>66</v>
      </c>
      <c r="F114" s="7">
        <v>43678</v>
      </c>
      <c r="G114" t="s">
        <v>244</v>
      </c>
      <c r="H114" t="s">
        <v>2994</v>
      </c>
      <c r="I114" t="s">
        <v>211</v>
      </c>
      <c r="J114" t="s">
        <v>3727</v>
      </c>
      <c r="K114" t="s">
        <v>225</v>
      </c>
      <c r="L114" t="s">
        <v>265</v>
      </c>
      <c r="M114" t="s">
        <v>2995</v>
      </c>
      <c r="N114" t="s">
        <v>2996</v>
      </c>
      <c r="O114" t="s">
        <v>2997</v>
      </c>
      <c r="P114" t="s">
        <v>2998</v>
      </c>
      <c r="Q114" t="s">
        <v>2999</v>
      </c>
      <c r="R114" t="str">
        <f t="shared" si="3"/>
        <v>user-female.jpg</v>
      </c>
      <c r="V114" s="6" t="str" cm="1">
        <f t="array" ref="V114">INDEX(Folha1!$C$2:$C$396,W114)</f>
        <v>$2a$10$rc.Q7TVDmQ2lKUrAbW5f9OLgfzoHXs0nvrlc8HRF1LVsvbwgr6bEC</v>
      </c>
      <c r="W114">
        <f>MATCH(C114,Folha1!$B$2:$B$396,0)</f>
        <v>300</v>
      </c>
      <c r="Y114" t="str">
        <f t="shared" si="4"/>
        <v>(300,'danboa1949', '$2a$10$rc.Q7TVDmQ2lKUrAbW5f9OLgfzoHXs0nvrlc8HRF1LVsvbwgr6bEC', 'Daniela Lurdes Lopes Cruz', 'Feminino', '2019-08-01', 'Rua da Betesga', '1949-685', 'Lisboa', 'Utente', 'Portuguesa', 'Bilhete de Identidade', '70522021', '422758230', '322543312', '918516524', 'danboa1949@outlook.com', 'user-female.jpg'),</v>
      </c>
      <c r="Z114" t="str">
        <f t="shared" si="5"/>
        <v>(300),</v>
      </c>
    </row>
    <row r="115" spans="1:26" x14ac:dyDescent="0.25">
      <c r="A115">
        <v>301</v>
      </c>
      <c r="B115" t="s">
        <v>3000</v>
      </c>
      <c r="C115" t="s">
        <v>3001</v>
      </c>
      <c r="D115" t="s">
        <v>3002</v>
      </c>
      <c r="E115" t="s">
        <v>66</v>
      </c>
      <c r="F115" s="7">
        <v>16742</v>
      </c>
      <c r="G115" t="s">
        <v>256</v>
      </c>
      <c r="H115" t="s">
        <v>3003</v>
      </c>
      <c r="I115" t="s">
        <v>211</v>
      </c>
      <c r="J115" t="s">
        <v>3727</v>
      </c>
      <c r="K115" t="s">
        <v>225</v>
      </c>
      <c r="L115" t="s">
        <v>265</v>
      </c>
      <c r="M115" t="s">
        <v>3004</v>
      </c>
      <c r="N115" t="s">
        <v>3005</v>
      </c>
      <c r="O115" t="s">
        <v>3006</v>
      </c>
      <c r="P115" t="s">
        <v>3007</v>
      </c>
      <c r="Q115" t="s">
        <v>3008</v>
      </c>
      <c r="R115" t="str">
        <f t="shared" si="3"/>
        <v>user-female.jpg</v>
      </c>
      <c r="V115" s="6" t="str" cm="1">
        <f t="array" ref="V115">INDEX(Folha1!$C$2:$C$396,W115)</f>
        <v>$2a$10$OQYu6ljx.XLa9Xfo3MZfWeJke/Y6OGC/67bJEw4uVL2F39384GsaK</v>
      </c>
      <c r="W115">
        <f>MATCH(C115,Folha1!$B$2:$B$396,0)</f>
        <v>301</v>
      </c>
      <c r="Y115" t="str">
        <f t="shared" si="4"/>
        <v>(301,'carboa1067', '$2a$10$OQYu6ljx.XLa9Xfo3MZfWeJke/Y6OGC/67bJEw4uVL2F39384GsaK', 'Carolina Lurdes Carvalho Ferreira', 'Feminino', '1945-11-01', 'Travessa de São João da Praça', '1067-153', 'Lisboa', 'Utente', 'Portuguesa', 'Bilhete de Identidade', '80166644', '991769177', '964048807', '928479997', 'carboa1067@gmail.com', 'user-female.jpg'),</v>
      </c>
      <c r="Z115" t="str">
        <f t="shared" si="5"/>
        <v>(301),</v>
      </c>
    </row>
    <row r="116" spans="1:26" x14ac:dyDescent="0.25">
      <c r="A116">
        <v>302</v>
      </c>
      <c r="B116" t="s">
        <v>3009</v>
      </c>
      <c r="C116" t="s">
        <v>3010</v>
      </c>
      <c r="D116" t="s">
        <v>3011</v>
      </c>
      <c r="E116" t="s">
        <v>66</v>
      </c>
      <c r="F116" s="7">
        <v>31845</v>
      </c>
      <c r="G116" t="s">
        <v>250</v>
      </c>
      <c r="H116" t="s">
        <v>3012</v>
      </c>
      <c r="I116" t="s">
        <v>211</v>
      </c>
      <c r="J116" t="s">
        <v>3727</v>
      </c>
      <c r="K116" t="s">
        <v>225</v>
      </c>
      <c r="L116" t="s">
        <v>265</v>
      </c>
      <c r="M116" t="s">
        <v>3013</v>
      </c>
      <c r="N116" t="s">
        <v>3014</v>
      </c>
      <c r="O116" t="s">
        <v>3015</v>
      </c>
      <c r="P116" t="s">
        <v>3016</v>
      </c>
      <c r="Q116" t="s">
        <v>3017</v>
      </c>
      <c r="R116" t="str">
        <f t="shared" si="3"/>
        <v>user-female.jpg</v>
      </c>
      <c r="V116" s="6" t="str" cm="1">
        <f t="array" ref="V116">INDEX(Folha1!$C$2:$C$396,W116)</f>
        <v>$2a$10$TwhGTmC9g75AEiGR7w/ov.r7TNMo1KjZaKr6cGTrfAr1zUhBCkjG2</v>
      </c>
      <c r="W116">
        <f>MATCH(C116,Folha1!$B$2:$B$396,0)</f>
        <v>302</v>
      </c>
      <c r="Y116" t="str">
        <f t="shared" si="4"/>
        <v>(302,'ineboa1649', '$2a$10$TwhGTmC9g75AEiGR7w/ov.r7TNMo1KjZaKr6cGTrfAr1zUhBCkjG2', 'Inês Inês Moreira Barbosa', 'Feminino', '1987-03-09', 'Rua Nova do Almada', '1649-818', 'Lisboa', 'Utente', 'Portuguesa', 'Bilhete de Identidade', '74789929', '708753378', '310207550', '967589975', 'ineboa1649@outlook.com', 'user-female.jpg'),</v>
      </c>
      <c r="Z116" t="str">
        <f t="shared" si="5"/>
        <v>(302),</v>
      </c>
    </row>
    <row r="117" spans="1:26" x14ac:dyDescent="0.25">
      <c r="A117">
        <v>303</v>
      </c>
      <c r="B117" t="s">
        <v>3018</v>
      </c>
      <c r="C117" t="s">
        <v>3019</v>
      </c>
      <c r="D117" t="s">
        <v>3020</v>
      </c>
      <c r="E117" t="s">
        <v>66</v>
      </c>
      <c r="F117" s="7">
        <v>13451</v>
      </c>
      <c r="G117" t="s">
        <v>260</v>
      </c>
      <c r="H117" t="s">
        <v>3021</v>
      </c>
      <c r="I117" t="s">
        <v>208</v>
      </c>
      <c r="J117" t="s">
        <v>3727</v>
      </c>
      <c r="K117" t="s">
        <v>225</v>
      </c>
      <c r="L117" t="s">
        <v>265</v>
      </c>
      <c r="M117" t="s">
        <v>3022</v>
      </c>
      <c r="N117" t="s">
        <v>3023</v>
      </c>
      <c r="O117" t="s">
        <v>3024</v>
      </c>
      <c r="P117" t="s">
        <v>3025</v>
      </c>
      <c r="Q117" t="s">
        <v>3026</v>
      </c>
      <c r="R117" t="str">
        <f t="shared" si="3"/>
        <v>user-female.jpg</v>
      </c>
      <c r="V117" s="6" t="str" cm="1">
        <f t="array" ref="V117">INDEX(Folha1!$C$2:$C$396,W117)</f>
        <v>$2a$10$zW74emPS5yKFhGtBxP9bcuiC5Uwp5KHT4u1MUbu5S9ZO9tHn7.qqq</v>
      </c>
      <c r="W117">
        <f>MATCH(C117,Folha1!$B$2:$B$396,0)</f>
        <v>303</v>
      </c>
      <c r="Y117" t="str">
        <f t="shared" si="4"/>
        <v>(303,'verbal2910', '$2a$10$zW74emPS5yKFhGtBxP9bcuiC5Uwp5KHT4u1MUbu5S9ZO9tHn7.qqq', 'Vera Pedro Alves Miranda', 'Feminino', '1936-10-28', 'Rua Augusta', '2910-225', 'Setúbal', 'Utente', 'Portuguesa', 'Bilhete de Identidade', '53185592', '151164518', '348217564', '934576202', 'verbal2910@outlook.com', 'user-female.jpg'),</v>
      </c>
      <c r="Z117" t="str">
        <f t="shared" si="5"/>
        <v>(303),</v>
      </c>
    </row>
    <row r="118" spans="1:26" x14ac:dyDescent="0.25">
      <c r="A118">
        <v>304</v>
      </c>
      <c r="B118" t="s">
        <v>304</v>
      </c>
      <c r="C118" t="s">
        <v>305</v>
      </c>
      <c r="D118" t="s">
        <v>3027</v>
      </c>
      <c r="E118" t="s">
        <v>53</v>
      </c>
      <c r="F118" s="7">
        <v>13647</v>
      </c>
      <c r="G118" t="s">
        <v>242</v>
      </c>
      <c r="H118" t="s">
        <v>3028</v>
      </c>
      <c r="I118" t="s">
        <v>211</v>
      </c>
      <c r="J118" t="s">
        <v>3727</v>
      </c>
      <c r="K118" t="s">
        <v>225</v>
      </c>
      <c r="L118" t="s">
        <v>265</v>
      </c>
      <c r="M118" t="s">
        <v>3029</v>
      </c>
      <c r="N118" t="s">
        <v>3030</v>
      </c>
      <c r="O118" t="s">
        <v>3031</v>
      </c>
      <c r="P118" t="s">
        <v>3032</v>
      </c>
      <c r="Q118" t="s">
        <v>306</v>
      </c>
      <c r="R118" t="str">
        <f t="shared" si="3"/>
        <v>user-male.jpg</v>
      </c>
      <c r="V118" s="6" t="str" cm="1">
        <f t="array" ref="V118">INDEX(Folha1!$C$2:$C$396,W118)</f>
        <v>$2a$10$lWiW/S.QiMbcGTrauoMK6eIuBuLBiDaY7qVN9hO0.A.cjTj7opRCa</v>
      </c>
      <c r="W118">
        <f>MATCH(C118,Folha1!$B$2:$B$396,0)</f>
        <v>194</v>
      </c>
      <c r="Y118" t="str">
        <f t="shared" si="4"/>
        <v>(304,'luiboa1300', '$2a$10$lWiW/S.QiMbcGTrauoMK6eIuBuLBiDaY7qVN9hO0.A.cjTj7opRCa', 'Luís Ana Soares Anjos', 'Masculino', '1937-05-12', 'Avenida Ressano Garcia', '1300-953', 'Lisboa', 'Utente', 'Portuguesa', 'Bilhete de Identidade', '25342480', '770752531', '255580168', '929484323', 'luiboa1300@sapo.pt', 'user-male.jpg'),</v>
      </c>
      <c r="Z118" t="str">
        <f t="shared" si="5"/>
        <v>(304),</v>
      </c>
    </row>
    <row r="119" spans="1:26" x14ac:dyDescent="0.25">
      <c r="A119">
        <v>305</v>
      </c>
      <c r="B119" t="s">
        <v>315</v>
      </c>
      <c r="C119" t="s">
        <v>316</v>
      </c>
      <c r="D119" t="s">
        <v>3033</v>
      </c>
      <c r="E119" t="s">
        <v>53</v>
      </c>
      <c r="F119" s="7">
        <v>33045</v>
      </c>
      <c r="G119" t="s">
        <v>244</v>
      </c>
      <c r="H119" t="s">
        <v>3034</v>
      </c>
      <c r="I119" t="s">
        <v>216</v>
      </c>
      <c r="J119" t="s">
        <v>3727</v>
      </c>
      <c r="K119" t="s">
        <v>225</v>
      </c>
      <c r="L119" t="s">
        <v>265</v>
      </c>
      <c r="M119" t="s">
        <v>3035</v>
      </c>
      <c r="N119" t="s">
        <v>3036</v>
      </c>
      <c r="O119" t="s">
        <v>3037</v>
      </c>
      <c r="P119" t="s">
        <v>3038</v>
      </c>
      <c r="Q119" t="s">
        <v>3039</v>
      </c>
      <c r="R119" t="str">
        <f t="shared" si="3"/>
        <v>user-male.jpg</v>
      </c>
      <c r="V119" s="6" t="str" cm="1">
        <f t="array" ref="V119">INDEX(Folha1!$C$2:$C$396,W119)</f>
        <v>$2a$10$HPry971aKFOfHxXifzLA/.oZEyVgQ61TT8sJG0uikLs1ZYcwwbuZW</v>
      </c>
      <c r="W119">
        <f>MATCH(C119,Folha1!$B$2:$B$396,0)</f>
        <v>305</v>
      </c>
      <c r="Y119" t="str">
        <f t="shared" si="4"/>
        <v>(305,'tomiro2834', '$2a$10$HPry971aKFOfHxXifzLA/.oZEyVgQ61TT8sJG0uikLs1ZYcwwbuZW', 'Tomás Vera Garcia Ferreira', 'Masculino', '1990-06-21', 'Rua da Betesga', '2834-922', 'Barreiro', 'Utente', 'Portuguesa', 'Bilhete de Identidade', '76562059', '255285859', '576781958', '921957705', 'tomiro2834@sapo.pt', 'user-male.jpg'),</v>
      </c>
      <c r="Z119" t="str">
        <f t="shared" si="5"/>
        <v>(305),</v>
      </c>
    </row>
    <row r="120" spans="1:26" x14ac:dyDescent="0.25">
      <c r="A120">
        <v>306</v>
      </c>
      <c r="B120" t="s">
        <v>3040</v>
      </c>
      <c r="C120" t="s">
        <v>3041</v>
      </c>
      <c r="D120" t="s">
        <v>3042</v>
      </c>
      <c r="E120" t="s">
        <v>53</v>
      </c>
      <c r="F120" s="7">
        <v>18446</v>
      </c>
      <c r="G120" t="s">
        <v>253</v>
      </c>
      <c r="H120" t="s">
        <v>3043</v>
      </c>
      <c r="I120" t="s">
        <v>208</v>
      </c>
      <c r="J120" t="s">
        <v>3727</v>
      </c>
      <c r="K120" t="s">
        <v>225</v>
      </c>
      <c r="L120" t="s">
        <v>265</v>
      </c>
      <c r="M120" t="s">
        <v>3044</v>
      </c>
      <c r="N120" t="s">
        <v>3045</v>
      </c>
      <c r="O120" t="s">
        <v>3046</v>
      </c>
      <c r="P120" t="s">
        <v>3047</v>
      </c>
      <c r="Q120" t="s">
        <v>3048</v>
      </c>
      <c r="R120" t="str">
        <f t="shared" si="3"/>
        <v>user-male.jpg</v>
      </c>
      <c r="V120" s="6" t="str" cm="1">
        <f t="array" ref="V120">INDEX(Folha1!$C$2:$C$396,W120)</f>
        <v>$2a$10$nqtFZE4qxUCvbcan7pbj1e4Yx8HzyA9v1V33erFZ22gYSzxuK/Nje</v>
      </c>
      <c r="W120">
        <f>MATCH(C120,Folha1!$B$2:$B$396,0)</f>
        <v>306</v>
      </c>
      <c r="Y120" t="str">
        <f t="shared" si="4"/>
        <v>(306,'gabbal2904', '$2a$10$nqtFZE4qxUCvbcan7pbj1e4Yx8HzyA9v1V33erFZ22gYSzxuK/Nje', 'Gabriel Leonor Guerreiro Antunes', 'Masculino', '1950-07-02', 'Rua de São Mamede', '2904-627', 'Setúbal', 'Utente', 'Portuguesa', 'Bilhete de Identidade', '10770425', '561060367', '717220070', '915947328', 'gabbal2904@outlook.com', 'user-male.jpg'),</v>
      </c>
      <c r="Z120" t="str">
        <f t="shared" si="5"/>
        <v>(306),</v>
      </c>
    </row>
    <row r="121" spans="1:26" x14ac:dyDescent="0.25">
      <c r="A121">
        <v>307</v>
      </c>
      <c r="B121" t="s">
        <v>3049</v>
      </c>
      <c r="C121" t="s">
        <v>3050</v>
      </c>
      <c r="D121" t="s">
        <v>3051</v>
      </c>
      <c r="E121" t="s">
        <v>66</v>
      </c>
      <c r="F121" s="7">
        <v>28450</v>
      </c>
      <c r="G121" t="s">
        <v>237</v>
      </c>
      <c r="H121" t="s">
        <v>3052</v>
      </c>
      <c r="I121" t="s">
        <v>211</v>
      </c>
      <c r="J121" t="s">
        <v>3727</v>
      </c>
      <c r="K121" t="s">
        <v>225</v>
      </c>
      <c r="L121" t="s">
        <v>265</v>
      </c>
      <c r="M121" t="s">
        <v>3053</v>
      </c>
      <c r="N121" t="s">
        <v>3054</v>
      </c>
      <c r="O121" t="s">
        <v>3055</v>
      </c>
      <c r="P121" t="s">
        <v>3056</v>
      </c>
      <c r="Q121" t="s">
        <v>3057</v>
      </c>
      <c r="R121" t="str">
        <f t="shared" si="3"/>
        <v>user-female.jpg</v>
      </c>
      <c r="V121" s="6" t="str" cm="1">
        <f t="array" ref="V121">INDEX(Folha1!$C$2:$C$396,W121)</f>
        <v>$2a$10$KBTi9f8wKTuXj6WGAWIF8u90MmhuVDXdyzvjUaoTBQoUdoaFQ3k3i</v>
      </c>
      <c r="W121">
        <f>MATCH(C121,Folha1!$B$2:$B$396,0)</f>
        <v>307</v>
      </c>
      <c r="Y121" t="str">
        <f t="shared" si="4"/>
        <v>(307,'beaboa1500', '$2a$10$KBTi9f8wKTuXj6WGAWIF8u90MmhuVDXdyzvjUaoTBQoUdoaFQ3k3i', 'Beatriz Sara Gonçalves Jesus', 'Feminino', '1977-11-21', 'Calçada Marquês de Abrantes', '1500-531', 'Lisboa', 'Utente', 'Portuguesa', 'Bilhete de Identidade', '42144185', '715395823', '732306221', '937567411', 'beaboa1500@outlook.com', 'user-female.jpg'),</v>
      </c>
      <c r="Z121" t="str">
        <f t="shared" si="5"/>
        <v>(307),</v>
      </c>
    </row>
    <row r="122" spans="1:26" x14ac:dyDescent="0.25">
      <c r="A122">
        <v>308</v>
      </c>
      <c r="B122" t="s">
        <v>3058</v>
      </c>
      <c r="C122" t="s">
        <v>3059</v>
      </c>
      <c r="D122" t="s">
        <v>3060</v>
      </c>
      <c r="E122" t="s">
        <v>53</v>
      </c>
      <c r="F122" s="7">
        <v>42428</v>
      </c>
      <c r="G122" t="s">
        <v>229</v>
      </c>
      <c r="H122" t="s">
        <v>3061</v>
      </c>
      <c r="I122" t="s">
        <v>201</v>
      </c>
      <c r="J122" t="s">
        <v>3727</v>
      </c>
      <c r="K122" t="s">
        <v>225</v>
      </c>
      <c r="L122" t="s">
        <v>265</v>
      </c>
      <c r="M122" t="s">
        <v>3062</v>
      </c>
      <c r="N122" t="s">
        <v>3063</v>
      </c>
      <c r="O122" t="s">
        <v>3064</v>
      </c>
      <c r="P122" t="s">
        <v>3065</v>
      </c>
      <c r="Q122" t="s">
        <v>3066</v>
      </c>
      <c r="R122" t="str">
        <f t="shared" si="3"/>
        <v>user-male.jpg</v>
      </c>
      <c r="V122" s="6" t="str" cm="1">
        <f t="array" ref="V122">INDEX(Folha1!$C$2:$C$396,W122)</f>
        <v>$2a$10$4h24LDVmsK5bZxPFrHeV1u5aXzhfHFy6lhX6SloUDg81wEC6nX1j.</v>
      </c>
      <c r="W122">
        <f>MATCH(C122,Folha1!$B$2:$B$396,0)</f>
        <v>308</v>
      </c>
      <c r="Y122" t="str">
        <f t="shared" si="4"/>
        <v>(308,'fraria2424', '$2a$10$4h24LDVmsK5bZxPFrHeV1u5aXzhfHFy6lhX6SloUDg81wEC6nX1j.', 'Francisco Tomás Barros Pinto', 'Masculino', '2016-02-28', 'Rua Cidade de Bolama', '2424-967', 'Leiria', 'Utente', 'Portuguesa', 'Bilhete de Identidade', '18762619', '645711655', '407138067', '963280705', 'fraria2424@outlook.com', 'user-male.jpg'),</v>
      </c>
      <c r="Z122" t="str">
        <f t="shared" si="5"/>
        <v>(308),</v>
      </c>
    </row>
    <row r="123" spans="1:26" x14ac:dyDescent="0.25">
      <c r="A123">
        <v>309</v>
      </c>
      <c r="B123" t="s">
        <v>3067</v>
      </c>
      <c r="C123" t="s">
        <v>3068</v>
      </c>
      <c r="D123" t="s">
        <v>3069</v>
      </c>
      <c r="E123" t="s">
        <v>66</v>
      </c>
      <c r="F123" s="7">
        <v>43463</v>
      </c>
      <c r="G123" t="s">
        <v>235</v>
      </c>
      <c r="H123" t="s">
        <v>3070</v>
      </c>
      <c r="I123" t="s">
        <v>205</v>
      </c>
      <c r="J123" t="s">
        <v>3727</v>
      </c>
      <c r="K123" t="s">
        <v>225</v>
      </c>
      <c r="L123" t="s">
        <v>265</v>
      </c>
      <c r="M123" t="s">
        <v>3071</v>
      </c>
      <c r="N123" t="s">
        <v>3072</v>
      </c>
      <c r="O123" t="s">
        <v>3073</v>
      </c>
      <c r="P123" t="s">
        <v>3074</v>
      </c>
      <c r="Q123" t="s">
        <v>3075</v>
      </c>
      <c r="R123" t="str">
        <f t="shared" si="3"/>
        <v>user-female.jpg</v>
      </c>
      <c r="V123" s="6" t="str" cm="1">
        <f t="array" ref="V123">INDEX(Folha1!$C$2:$C$396,W123)</f>
        <v>$2a$10$TeVCKpUK52vvkYVuBXZKVuMWOgTKfUc3TCyy/3vUasvUxWc0WA4W6</v>
      </c>
      <c r="W123">
        <f>MATCH(C123,Folha1!$B$2:$B$396,0)</f>
        <v>309</v>
      </c>
      <c r="Y123" t="str">
        <f t="shared" si="4"/>
        <v>(309,'bearem2004', '$2a$10$TeVCKpUK52vvkYVuBXZKVuMWOgTKfUc3TCyy/3vUasvUxWc0WA4W6', 'Beatriz Leonor Morais Vaz', 'Feminino', '2018-12-29', 'Estrada das Laranjeiras', '2004-604', 'Santarém', 'Utente', 'Portuguesa', 'Bilhete de Identidade', '38182479', '359027838', '114288819', '929944404', 'bearem2004@outlook.com', 'user-female.jpg'),</v>
      </c>
      <c r="Z123" t="str">
        <f t="shared" si="5"/>
        <v>(309),</v>
      </c>
    </row>
    <row r="124" spans="1:26" x14ac:dyDescent="0.25">
      <c r="A124">
        <v>310</v>
      </c>
      <c r="B124" t="s">
        <v>3076</v>
      </c>
      <c r="C124" t="s">
        <v>3077</v>
      </c>
      <c r="D124" t="s">
        <v>3078</v>
      </c>
      <c r="E124" t="s">
        <v>53</v>
      </c>
      <c r="F124" s="7">
        <v>8971</v>
      </c>
      <c r="G124" t="s">
        <v>228</v>
      </c>
      <c r="H124" t="s">
        <v>3079</v>
      </c>
      <c r="I124" t="s">
        <v>210</v>
      </c>
      <c r="J124" t="s">
        <v>3727</v>
      </c>
      <c r="K124" t="s">
        <v>225</v>
      </c>
      <c r="L124" t="s">
        <v>265</v>
      </c>
      <c r="M124" t="s">
        <v>3080</v>
      </c>
      <c r="N124" t="s">
        <v>3081</v>
      </c>
      <c r="O124" t="s">
        <v>3082</v>
      </c>
      <c r="P124" t="s">
        <v>3083</v>
      </c>
      <c r="Q124" t="s">
        <v>3084</v>
      </c>
      <c r="R124" t="str">
        <f t="shared" si="3"/>
        <v>user-male.jpg</v>
      </c>
      <c r="V124" s="6" t="str" cm="1">
        <f t="array" ref="V124">INDEX(Folha1!$C$2:$C$396,W124)</f>
        <v>$2a$10$TwmqLwvbkJ6bTXY69Bk3cuCiEJxZ1SFRp8Rb8z9j4DPamTwnYKgEq</v>
      </c>
      <c r="W124">
        <f>MATCH(C124,Folha1!$B$2:$B$396,0)</f>
        <v>310</v>
      </c>
      <c r="Y124" t="str">
        <f t="shared" si="4"/>
        <v>(310,'andora2654', '$2a$10$TwmqLwvbkJ6bTXY69Bk3cuCiEJxZ1SFRp8Rb8z9j4DPamTwnYKgEq', 'André André Nascimento Esteves', 'Masculino', '1924-07-23', 'Calçada de Carriche', '2654-448', 'Amadora', 'Utente', 'Portuguesa', 'Bilhete de Identidade', '52216879', '376224550', '898316921', '960980279', 'andora2654@gmail.com', 'user-male.jpg'),</v>
      </c>
      <c r="Z124" t="str">
        <f t="shared" si="5"/>
        <v>(310),</v>
      </c>
    </row>
    <row r="125" spans="1:26" x14ac:dyDescent="0.25">
      <c r="A125">
        <v>311</v>
      </c>
      <c r="B125" t="s">
        <v>3085</v>
      </c>
      <c r="C125" t="s">
        <v>3086</v>
      </c>
      <c r="D125" t="s">
        <v>3087</v>
      </c>
      <c r="E125" t="s">
        <v>53</v>
      </c>
      <c r="F125" s="7">
        <v>13497</v>
      </c>
      <c r="G125" t="s">
        <v>227</v>
      </c>
      <c r="H125" t="s">
        <v>3088</v>
      </c>
      <c r="I125" t="s">
        <v>215</v>
      </c>
      <c r="J125" t="s">
        <v>3727</v>
      </c>
      <c r="K125" t="s">
        <v>225</v>
      </c>
      <c r="L125" t="s">
        <v>265</v>
      </c>
      <c r="M125" t="s">
        <v>3089</v>
      </c>
      <c r="N125" t="s">
        <v>3090</v>
      </c>
      <c r="O125" t="s">
        <v>3091</v>
      </c>
      <c r="P125" t="s">
        <v>3092</v>
      </c>
      <c r="Q125" t="s">
        <v>3093</v>
      </c>
      <c r="R125" t="str">
        <f t="shared" si="3"/>
        <v>user-male.jpg</v>
      </c>
      <c r="V125" s="6" t="str" cm="1">
        <f t="array" ref="V125">INDEX(Folha1!$C$2:$C$396,W125)</f>
        <v>$2a$10$5/RVLz/w.ZCD90oVfjZgN.mvalEexKB12yISiR1pmc1IhPmZpzI6G</v>
      </c>
      <c r="W125">
        <f>MATCH(C125,Folha1!$B$2:$B$396,0)</f>
        <v>311</v>
      </c>
      <c r="Y125" t="str">
        <f t="shared" si="4"/>
        <v>(311,'andras2784', '$2a$10$5/RVLz/w.ZCD90oVfjZgN.mvalEexKB12yISiR1pmc1IhPmZpzI6G', 'André Francisco Teixeira Pacheco', 'Masculino', '1936-12-13', 'Rua dos Bacalhoeiros', '2784-676', 'Oeiras', 'Utente', 'Portuguesa', 'Bilhete de Identidade', '47164559', '116041015', '380145458', '936097684', 'andras2784@gmail.com', 'user-male.jpg'),</v>
      </c>
      <c r="Z125" t="str">
        <f t="shared" si="5"/>
        <v>(311),</v>
      </c>
    </row>
    <row r="126" spans="1:26" x14ac:dyDescent="0.25">
      <c r="A126">
        <v>312</v>
      </c>
      <c r="B126" t="s">
        <v>3094</v>
      </c>
      <c r="C126" t="s">
        <v>3095</v>
      </c>
      <c r="D126" t="s">
        <v>3096</v>
      </c>
      <c r="E126" t="s">
        <v>53</v>
      </c>
      <c r="F126" s="7">
        <v>25240</v>
      </c>
      <c r="G126" t="s">
        <v>243</v>
      </c>
      <c r="H126" t="s">
        <v>3097</v>
      </c>
      <c r="I126" t="s">
        <v>210</v>
      </c>
      <c r="J126" t="s">
        <v>3727</v>
      </c>
      <c r="K126" t="s">
        <v>225</v>
      </c>
      <c r="L126" t="s">
        <v>265</v>
      </c>
      <c r="M126" t="s">
        <v>3098</v>
      </c>
      <c r="N126" t="s">
        <v>3099</v>
      </c>
      <c r="O126" t="s">
        <v>3100</v>
      </c>
      <c r="P126" t="s">
        <v>3101</v>
      </c>
      <c r="Q126" t="s">
        <v>3102</v>
      </c>
      <c r="R126" t="str">
        <f t="shared" si="3"/>
        <v>user-male.jpg</v>
      </c>
      <c r="V126" s="6" t="str" cm="1">
        <f t="array" ref="V126">INDEX(Folha1!$C$2:$C$396,W126)</f>
        <v>$2a$10$yEPtJdH12SKKh.OMMVulLejqDqgBxLuJ.Mqw.gNWAFrGoO/twLPRW</v>
      </c>
      <c r="W126">
        <f>MATCH(C126,Folha1!$B$2:$B$396,0)</f>
        <v>312</v>
      </c>
      <c r="Y126" t="str">
        <f t="shared" si="4"/>
        <v>(312,'tomora2704', '$2a$10$yEPtJdH12SKKh.OMMVulLejqDqgBxLuJ.Mqw.gNWAFrGoO/twLPRW', 'Tomás Luís Pinto Pinto', 'Masculino', '1969-02-06', 'Rua Roberto Duarte Silva', '2704-228', 'Amadora', 'Utente', 'Portuguesa', 'Bilhete de Identidade', '89995903', '970360811', '889712255', '917650988', 'tomora2704@outlook.com', 'user-male.jpg'),</v>
      </c>
      <c r="Z126" t="str">
        <f t="shared" si="5"/>
        <v>(312),</v>
      </c>
    </row>
    <row r="127" spans="1:26" x14ac:dyDescent="0.25">
      <c r="A127">
        <v>313</v>
      </c>
      <c r="B127" t="s">
        <v>3103</v>
      </c>
      <c r="C127" t="s">
        <v>3104</v>
      </c>
      <c r="D127" t="s">
        <v>3105</v>
      </c>
      <c r="E127" t="s">
        <v>66</v>
      </c>
      <c r="F127" s="7">
        <v>16827</v>
      </c>
      <c r="G127" t="s">
        <v>244</v>
      </c>
      <c r="H127" t="s">
        <v>3106</v>
      </c>
      <c r="I127" t="s">
        <v>222</v>
      </c>
      <c r="J127" t="s">
        <v>3727</v>
      </c>
      <c r="K127" t="s">
        <v>225</v>
      </c>
      <c r="L127" t="s">
        <v>265</v>
      </c>
      <c r="M127" t="s">
        <v>3107</v>
      </c>
      <c r="N127" t="s">
        <v>3108</v>
      </c>
      <c r="O127" t="s">
        <v>3109</v>
      </c>
      <c r="P127" t="s">
        <v>3110</v>
      </c>
      <c r="Q127" t="s">
        <v>3111</v>
      </c>
      <c r="R127" t="str">
        <f t="shared" si="3"/>
        <v>user-female.jpg</v>
      </c>
      <c r="V127" s="6" t="str" cm="1">
        <f t="array" ref="V127">INDEX(Folha1!$C$2:$C$396,W127)</f>
        <v>$2a$10$UHMv4l6dNF07s3iTfcYAE.E30oZySpiQPA7rh9Xv1tZ6kMuzSXW3a</v>
      </c>
      <c r="W127">
        <f>MATCH(C127,Folha1!$B$2:$B$396,0)</f>
        <v>313</v>
      </c>
      <c r="Y127" t="str">
        <f t="shared" si="4"/>
        <v>(313,'lurnto2334', '$2a$10$UHMv4l6dNF07s3iTfcYAE.E30oZySpiQPA7rh9Xv1tZ6kMuzSXW3a', 'Lurdes José Vaz Gomes', 'Feminino', '1946-01-25', 'Rua da Betesga', '2334-933', 'Entroncamento', 'Utente', 'Portuguesa', 'Bilhete de Identidade', '68296409', '693541652', '517374476', '964145554', 'lurnto2334@gmail.com', 'user-female.jpg'),</v>
      </c>
      <c r="Z127" t="str">
        <f t="shared" si="5"/>
        <v>(313),</v>
      </c>
    </row>
    <row r="128" spans="1:26" x14ac:dyDescent="0.25">
      <c r="A128">
        <v>314</v>
      </c>
      <c r="B128" t="s">
        <v>3112</v>
      </c>
      <c r="C128" t="s">
        <v>3113</v>
      </c>
      <c r="D128" t="s">
        <v>3114</v>
      </c>
      <c r="E128" t="s">
        <v>66</v>
      </c>
      <c r="F128" s="7">
        <v>14246</v>
      </c>
      <c r="G128" t="s">
        <v>261</v>
      </c>
      <c r="H128" t="s">
        <v>3115</v>
      </c>
      <c r="I128" t="s">
        <v>209</v>
      </c>
      <c r="J128" t="s">
        <v>3727</v>
      </c>
      <c r="K128" t="s">
        <v>225</v>
      </c>
      <c r="L128" t="s">
        <v>265</v>
      </c>
      <c r="M128" t="s">
        <v>3116</v>
      </c>
      <c r="N128" t="s">
        <v>3117</v>
      </c>
      <c r="O128" t="s">
        <v>3118</v>
      </c>
      <c r="P128" t="s">
        <v>3119</v>
      </c>
      <c r="Q128" t="s">
        <v>3120</v>
      </c>
      <c r="R128" t="str">
        <f t="shared" si="3"/>
        <v>user-female.jpg</v>
      </c>
      <c r="V128" s="6" t="str" cm="1">
        <f t="array" ref="V128">INDEX(Folha1!$C$2:$C$396,W128)</f>
        <v>$2a$10$3/k7HZt.UCjvpEgp69sheOL0HsFvvFB8Kj7syNmwnI5VyirOwNNP.</v>
      </c>
      <c r="W128">
        <f>MATCH(C128,Folha1!$B$2:$B$396,0)</f>
        <v>314</v>
      </c>
      <c r="Y128" t="str">
        <f t="shared" si="4"/>
        <v>(314,'sarada2809', '$2a$10$3/k7HZt.UCjvpEgp69sheOL0HsFvvFB8Kj7syNmwnI5VyirOwNNP.', 'Sara Ana Lopes Anjos', 'Feminino', '1939-01-01', 'Rua do Carmo', '2809-894', 'Almada', 'Utente', 'Portuguesa', 'Bilhete de Identidade', '64375390', '162286423', '180810438', '916181820', 'sarada2809@sapo.pt', 'user-female.jpg'),</v>
      </c>
      <c r="Z128" t="str">
        <f t="shared" si="5"/>
        <v>(314),</v>
      </c>
    </row>
    <row r="129" spans="1:26" x14ac:dyDescent="0.25">
      <c r="A129">
        <v>315</v>
      </c>
      <c r="B129" t="s">
        <v>3121</v>
      </c>
      <c r="C129" t="s">
        <v>3122</v>
      </c>
      <c r="D129" t="s">
        <v>3123</v>
      </c>
      <c r="E129" t="s">
        <v>53</v>
      </c>
      <c r="F129" s="7">
        <v>43342</v>
      </c>
      <c r="G129" t="s">
        <v>231</v>
      </c>
      <c r="H129" t="s">
        <v>3124</v>
      </c>
      <c r="I129" t="s">
        <v>223</v>
      </c>
      <c r="J129" t="s">
        <v>3727</v>
      </c>
      <c r="K129" t="s">
        <v>225</v>
      </c>
      <c r="L129" t="s">
        <v>265</v>
      </c>
      <c r="M129" t="s">
        <v>3125</v>
      </c>
      <c r="N129" t="s">
        <v>3126</v>
      </c>
      <c r="O129" t="s">
        <v>3127</v>
      </c>
      <c r="P129" t="s">
        <v>3128</v>
      </c>
      <c r="Q129" t="s">
        <v>3129</v>
      </c>
      <c r="R129" t="str">
        <f t="shared" si="3"/>
        <v>user-male.jpg</v>
      </c>
      <c r="V129" s="6" t="str" cm="1">
        <f t="array" ref="V129">INDEX(Folha1!$C$2:$C$396,W129)</f>
        <v>$2a$10$YGAxbAQB7Jkr6xDry2wzWO4WIBKOWmDJWKosOs.xZedCr79XSBB6.</v>
      </c>
      <c r="W129">
        <f>MATCH(C129,Folha1!$B$2:$B$396,0)</f>
        <v>315</v>
      </c>
      <c r="Y129" t="str">
        <f t="shared" si="4"/>
        <v>(315,'andira2659', '$2a$10$YGAxbAQB7Jkr6xDry2wzWO4WIBKOWmDJWKosOs.xZedCr79XSBB6.', 'André Lurdes Sousa Costa', 'Masculino', '2018-08-30', 'Rua dos Fanqueiros', '2659-854', 'Ericeira', 'Utente', 'Portuguesa', 'Bilhete de Identidade', '86848646', '732820779', '403946902', '933088908', 'andira2659@sapo.pt', 'user-male.jpg'),</v>
      </c>
      <c r="Z129" t="str">
        <f t="shared" si="5"/>
        <v>(315),</v>
      </c>
    </row>
    <row r="130" spans="1:26" x14ac:dyDescent="0.25">
      <c r="A130">
        <v>316</v>
      </c>
      <c r="B130" t="s">
        <v>2401</v>
      </c>
      <c r="C130" t="s">
        <v>2402</v>
      </c>
      <c r="D130" t="s">
        <v>3130</v>
      </c>
      <c r="E130" t="s">
        <v>66</v>
      </c>
      <c r="F130" s="7">
        <v>37343</v>
      </c>
      <c r="G130" t="s">
        <v>234</v>
      </c>
      <c r="H130" t="s">
        <v>3131</v>
      </c>
      <c r="I130" t="s">
        <v>223</v>
      </c>
      <c r="J130" t="s">
        <v>3727</v>
      </c>
      <c r="K130" t="s">
        <v>225</v>
      </c>
      <c r="L130" t="s">
        <v>265</v>
      </c>
      <c r="M130" t="s">
        <v>3132</v>
      </c>
      <c r="N130" t="s">
        <v>3133</v>
      </c>
      <c r="O130" t="s">
        <v>3134</v>
      </c>
      <c r="P130" t="s">
        <v>3135</v>
      </c>
      <c r="Q130" t="s">
        <v>3136</v>
      </c>
      <c r="R130" t="str">
        <f t="shared" si="3"/>
        <v>user-female.jpg</v>
      </c>
      <c r="V130" s="6" t="str" cm="1">
        <f t="array" ref="V130">INDEX(Folha1!$C$2:$C$396,W130)</f>
        <v>$2a$10$3l9vN2z7lYW5c19Q5895pO/kz.ZVcgIxQ8EWzbMOesV/1b3.M1906</v>
      </c>
      <c r="W130">
        <f>MATCH(C130,Folha1!$B$2:$B$396,0)</f>
        <v>232</v>
      </c>
      <c r="Y130" t="str">
        <f t="shared" si="4"/>
        <v>(316,'marira2659', '$2a$10$3l9vN2z7lYW5c19Q5895pO/kz.ZVcgIxQ8EWzbMOesV/1b3.M1906', 'Mariana Rodrigo Alves Brito', 'Feminino', '2002-03-28', 'Rua do Instituto Bacteriológico', '2659-816', 'Ericeira', 'Utente', 'Portuguesa', 'Bilhete de Identidade', '14777420', '949285271', '394959732', '916536497', 'marira2659@sapo.pt', 'user-female.jpg'),</v>
      </c>
      <c r="Z130" t="str">
        <f t="shared" si="5"/>
        <v>(316),</v>
      </c>
    </row>
    <row r="131" spans="1:26" x14ac:dyDescent="0.25">
      <c r="A131">
        <v>317</v>
      </c>
      <c r="B131" t="s">
        <v>3137</v>
      </c>
      <c r="C131" t="s">
        <v>3138</v>
      </c>
      <c r="D131" t="s">
        <v>3139</v>
      </c>
      <c r="E131" t="s">
        <v>53</v>
      </c>
      <c r="F131" s="7">
        <v>35503</v>
      </c>
      <c r="G131" t="s">
        <v>254</v>
      </c>
      <c r="H131" t="s">
        <v>3140</v>
      </c>
      <c r="I131" t="s">
        <v>201</v>
      </c>
      <c r="J131" t="s">
        <v>3727</v>
      </c>
      <c r="K131" t="s">
        <v>225</v>
      </c>
      <c r="L131" t="s">
        <v>265</v>
      </c>
      <c r="M131" t="s">
        <v>3141</v>
      </c>
      <c r="N131" t="s">
        <v>3142</v>
      </c>
      <c r="O131" t="s">
        <v>3143</v>
      </c>
      <c r="P131" t="s">
        <v>3144</v>
      </c>
      <c r="Q131" t="s">
        <v>3145</v>
      </c>
      <c r="R131" t="str">
        <f t="shared" ref="R131:R194" si="6">IF(E131="Feminino","user-female.jpg","user-male.jpg")</f>
        <v>user-male.jpg</v>
      </c>
      <c r="V131" s="6" t="str" cm="1">
        <f t="array" ref="V131">INDEX(Folha1!$C$2:$C$396,W131)</f>
        <v>$2a$10$TrXnmD520xIwtdAzTsPFAujXCoUFEGOuonwyivl/2OfOd2ufc2S5y</v>
      </c>
      <c r="W131">
        <f>MATCH(C131,Folha1!$B$2:$B$396,0)</f>
        <v>317</v>
      </c>
      <c r="Y131" t="str">
        <f t="shared" si="4"/>
        <v>(317,'ricria2424', '$2a$10$TrXnmD520xIwtdAzTsPFAujXCoUFEGOuonwyivl/2OfOd2ufc2S5y', 'Ricardo Martim Borges Matias', 'Masculino', '1997-03-14', 'Rua do Sacramento à Lapa', '2424-262', 'Leiria', 'Utente', 'Portuguesa', 'Bilhete de Identidade', '31444506', '123173843', '886441085', '915289496', 'ricria2424@sapo.pt', 'user-male.jpg'),</v>
      </c>
      <c r="Z131" t="str">
        <f t="shared" si="5"/>
        <v>(317),</v>
      </c>
    </row>
    <row r="132" spans="1:26" x14ac:dyDescent="0.25">
      <c r="A132">
        <v>318</v>
      </c>
      <c r="B132" t="s">
        <v>3146</v>
      </c>
      <c r="C132" t="s">
        <v>3147</v>
      </c>
      <c r="D132" t="s">
        <v>3148</v>
      </c>
      <c r="E132" t="s">
        <v>53</v>
      </c>
      <c r="F132" s="7">
        <v>10487</v>
      </c>
      <c r="G132" t="s">
        <v>261</v>
      </c>
      <c r="H132" t="s">
        <v>3149</v>
      </c>
      <c r="I132" t="s">
        <v>211</v>
      </c>
      <c r="J132" t="s">
        <v>3727</v>
      </c>
      <c r="K132" t="s">
        <v>225</v>
      </c>
      <c r="L132" t="s">
        <v>265</v>
      </c>
      <c r="M132" t="s">
        <v>3150</v>
      </c>
      <c r="N132" t="s">
        <v>3151</v>
      </c>
      <c r="O132" t="s">
        <v>3152</v>
      </c>
      <c r="P132" t="s">
        <v>3153</v>
      </c>
      <c r="Q132" t="s">
        <v>3154</v>
      </c>
      <c r="R132" t="str">
        <f t="shared" si="6"/>
        <v>user-male.jpg</v>
      </c>
      <c r="V132" s="6" t="str" cm="1">
        <f t="array" ref="V132">INDEX(Folha1!$C$2:$C$396,W132)</f>
        <v>$2a$10$XZ1LIAYIonZ9e9AmXAl4AOJoTkfZjUdvtrq1ia7xaIsXU.IkL2HPO</v>
      </c>
      <c r="W132">
        <f>MATCH(C132,Folha1!$B$2:$B$396,0)</f>
        <v>318</v>
      </c>
      <c r="Y132" t="str">
        <f t="shared" ref="Y132:Y195" si="7">"(" &amp; A132 &amp;",'" &amp; B132 &amp; "', '" &amp; V132 &amp; "', '" &amp; D132 &amp; "', '" &amp; E132 &amp; "', '" &amp; TEXT(F132, "yyyy-mm-dd") &amp; "', '" &amp; G132 &amp; "', '" &amp; H132 &amp; "', '" &amp; I132 &amp; "', '" &amp; J132 &amp; "', '" &amp; K132 &amp; "', '" &amp; L132 &amp; "', '" &amp; M132 &amp; "', '" &amp; N132 &amp; "', '" &amp; O132 &amp; "', '" &amp; P132 &amp; "', '" &amp; Q132 &amp; "', '" &amp; R132 &amp; "'),"</f>
        <v>(318,'migboa1959', '$2a$10$XZ1LIAYIonZ9e9AmXAl4AOJoTkfZjUdvtrq1ia7xaIsXU.IkL2HPO', 'Miguel Beatriz Amaral Melo', 'Masculino', '1928-09-16', 'Rua do Carmo', '1959-831', 'Lisboa', 'Utente', 'Portuguesa', 'Bilhete de Identidade', '81332627', '841979325', '635135792', '914625530', 'migboa1959@outlook.com', 'user-male.jpg'),</v>
      </c>
      <c r="Z132" t="str">
        <f t="shared" ref="Z132:Z195" si="8">"(" &amp; A132 &amp;"),"</f>
        <v>(318),</v>
      </c>
    </row>
    <row r="133" spans="1:26" x14ac:dyDescent="0.25">
      <c r="A133">
        <v>319</v>
      </c>
      <c r="B133" t="s">
        <v>3155</v>
      </c>
      <c r="C133" t="s">
        <v>3156</v>
      </c>
      <c r="D133" t="s">
        <v>3157</v>
      </c>
      <c r="E133" t="s">
        <v>66</v>
      </c>
      <c r="F133" s="7">
        <v>20453</v>
      </c>
      <c r="G133" t="s">
        <v>245</v>
      </c>
      <c r="H133" t="s">
        <v>3158</v>
      </c>
      <c r="I133" t="s">
        <v>211</v>
      </c>
      <c r="J133" t="s">
        <v>3727</v>
      </c>
      <c r="K133" t="s">
        <v>225</v>
      </c>
      <c r="L133" t="s">
        <v>265</v>
      </c>
      <c r="M133" t="s">
        <v>3159</v>
      </c>
      <c r="N133" t="s">
        <v>3160</v>
      </c>
      <c r="O133" t="s">
        <v>3161</v>
      </c>
      <c r="P133" t="s">
        <v>3162</v>
      </c>
      <c r="Q133" t="s">
        <v>3163</v>
      </c>
      <c r="R133" t="str">
        <f t="shared" si="6"/>
        <v>user-female.jpg</v>
      </c>
      <c r="V133" s="6" t="str" cm="1">
        <f t="array" ref="V133">INDEX(Folha1!$C$2:$C$396,W133)</f>
        <v>$2a$10$HQchAs0X8m4HbKbdiATzE.fGfMeuJ29gNVQ35ss1QIAJ.pPt3xei2</v>
      </c>
      <c r="W133">
        <f>MATCH(C133,Folha1!$B$2:$B$396,0)</f>
        <v>319</v>
      </c>
      <c r="Y133" t="str">
        <f t="shared" si="7"/>
        <v>(319,'fraboa1400', '$2a$10$HQchAs0X8m4HbKbdiATzE.fGfMeuJ29gNVQ35ss1QIAJ.pPt3xei2', 'Francisca Bruno Pacheco Soares', 'Feminino', '1955-12-30', 'Rua do Comércio', '1400-673', 'Lisboa', 'Utente', 'Portuguesa', 'Bilhete de Identidade', '92268478', '703063861', '966739304', '968287168', 'fraboa1400@sapo.pt', 'user-female.jpg'),</v>
      </c>
      <c r="Z133" t="str">
        <f t="shared" si="8"/>
        <v>(319),</v>
      </c>
    </row>
    <row r="134" spans="1:26" x14ac:dyDescent="0.25">
      <c r="A134">
        <v>320</v>
      </c>
      <c r="B134" t="s">
        <v>3164</v>
      </c>
      <c r="C134" t="s">
        <v>3165</v>
      </c>
      <c r="D134" t="s">
        <v>3166</v>
      </c>
      <c r="E134" t="s">
        <v>53</v>
      </c>
      <c r="F134" s="7">
        <v>43922</v>
      </c>
      <c r="G134" t="s">
        <v>252</v>
      </c>
      <c r="H134" t="s">
        <v>3167</v>
      </c>
      <c r="I134" t="s">
        <v>211</v>
      </c>
      <c r="J134" t="s">
        <v>3727</v>
      </c>
      <c r="K134" t="s">
        <v>225</v>
      </c>
      <c r="L134" t="s">
        <v>265</v>
      </c>
      <c r="M134" t="s">
        <v>3168</v>
      </c>
      <c r="N134" t="s">
        <v>3169</v>
      </c>
      <c r="O134" t="s">
        <v>3170</v>
      </c>
      <c r="P134" t="s">
        <v>3171</v>
      </c>
      <c r="Q134" t="s">
        <v>3172</v>
      </c>
      <c r="R134" t="str">
        <f t="shared" si="6"/>
        <v>user-male.jpg</v>
      </c>
      <c r="V134" s="6" t="str" cm="1">
        <f t="array" ref="V134">INDEX(Folha1!$C$2:$C$396,W134)</f>
        <v>$2a$10$rQkMPNMtqFdno2iCYFwoPenRnxqNg91lYKF2RR22U2nv3afv66Q1a</v>
      </c>
      <c r="W134">
        <f>MATCH(C134,Folha1!$B$2:$B$396,0)</f>
        <v>320</v>
      </c>
      <c r="Y134" t="str">
        <f t="shared" si="7"/>
        <v>(320,'gabboa1449', '$2a$10$rQkMPNMtqFdno2iCYFwoPenRnxqNg91lYKF2RR22U2nv3afv66Q1a', 'Gabriel Afonso Araújo Rodrigues', 'Masculino', '2020-04-01', 'Rua de São Julião', '1449-313', 'Lisboa', 'Utente', 'Portuguesa', 'Bilhete de Identidade', '47192530', '769100553', '726799093', '939820221', 'gabboa1449@gmail.com', 'user-male.jpg'),</v>
      </c>
      <c r="Z134" t="str">
        <f t="shared" si="8"/>
        <v>(320),</v>
      </c>
    </row>
    <row r="135" spans="1:26" x14ac:dyDescent="0.25">
      <c r="A135">
        <v>321</v>
      </c>
      <c r="B135" t="s">
        <v>3173</v>
      </c>
      <c r="C135" t="s">
        <v>3174</v>
      </c>
      <c r="D135" t="s">
        <v>3175</v>
      </c>
      <c r="E135" t="s">
        <v>53</v>
      </c>
      <c r="F135" s="7">
        <v>25320</v>
      </c>
      <c r="G135" t="s">
        <v>260</v>
      </c>
      <c r="H135" t="s">
        <v>3176</v>
      </c>
      <c r="I135" t="s">
        <v>216</v>
      </c>
      <c r="J135" t="s">
        <v>3727</v>
      </c>
      <c r="K135" t="s">
        <v>225</v>
      </c>
      <c r="L135" t="s">
        <v>265</v>
      </c>
      <c r="M135" t="s">
        <v>3177</v>
      </c>
      <c r="N135" t="s">
        <v>3178</v>
      </c>
      <c r="O135" t="s">
        <v>3179</v>
      </c>
      <c r="P135" t="s">
        <v>3180</v>
      </c>
      <c r="Q135" t="s">
        <v>3181</v>
      </c>
      <c r="R135" t="str">
        <f t="shared" si="6"/>
        <v>user-male.jpg</v>
      </c>
      <c r="V135" s="6" t="str" cm="1">
        <f t="array" ref="V135">INDEX(Folha1!$C$2:$C$396,W135)</f>
        <v>$2a$10$AOn818FhZ6Z2ie/tRdg6eeby.3OXPaeYrTpOtbeG/Jj4iLjFTziqW</v>
      </c>
      <c r="W135">
        <f>MATCH(C135,Folha1!$B$2:$B$396,0)</f>
        <v>321</v>
      </c>
      <c r="Y135" t="str">
        <f t="shared" si="7"/>
        <v>(321,'bruiro2834', '$2a$10$AOn818FhZ6Z2ie/tRdg6eeby.3OXPaeYrTpOtbeG/Jj4iLjFTziqW', 'Bruno Ricardo Baptista Coelho', 'Masculino', '1969-04-27', 'Rua Augusta', '2834-851', 'Barreiro', 'Utente', 'Portuguesa', 'Bilhete de Identidade', '60873204', '265764214', '717496292', '916988867', 'bruiro2834@gmail.com', 'user-male.jpg'),</v>
      </c>
      <c r="Z135" t="str">
        <f t="shared" si="8"/>
        <v>(321),</v>
      </c>
    </row>
    <row r="136" spans="1:26" x14ac:dyDescent="0.25">
      <c r="A136">
        <v>322</v>
      </c>
      <c r="B136" t="s">
        <v>323</v>
      </c>
      <c r="C136" t="s">
        <v>324</v>
      </c>
      <c r="D136" t="s">
        <v>3182</v>
      </c>
      <c r="E136" t="s">
        <v>66</v>
      </c>
      <c r="F136" s="7">
        <v>20063</v>
      </c>
      <c r="G136" t="s">
        <v>262</v>
      </c>
      <c r="H136" t="s">
        <v>3183</v>
      </c>
      <c r="I136" t="s">
        <v>211</v>
      </c>
      <c r="J136" t="s">
        <v>3727</v>
      </c>
      <c r="K136" t="s">
        <v>225</v>
      </c>
      <c r="L136" t="s">
        <v>265</v>
      </c>
      <c r="M136" t="s">
        <v>3184</v>
      </c>
      <c r="N136" t="s">
        <v>3185</v>
      </c>
      <c r="O136" t="s">
        <v>3186</v>
      </c>
      <c r="P136" t="s">
        <v>3187</v>
      </c>
      <c r="Q136" t="s">
        <v>325</v>
      </c>
      <c r="R136" t="str">
        <f t="shared" si="6"/>
        <v>user-female.jpg</v>
      </c>
      <c r="V136" s="6" t="str" cm="1">
        <f t="array" ref="V136">INDEX(Folha1!$C$2:$C$396,W136)</f>
        <v>$2a$10$WJ3LgNdlCdBcGaFqOV2kUuVZnJuOLtD3yc93A67nQisI9GflFFcru</v>
      </c>
      <c r="W136">
        <f>MATCH(C136,Folha1!$B$2:$B$396,0)</f>
        <v>322</v>
      </c>
      <c r="Y136" t="str">
        <f t="shared" si="7"/>
        <v>(322,'marboa1169', '$2a$10$WJ3LgNdlCdBcGaFqOV2kUuVZnJuOLtD3yc93A67nQisI9GflFFcru', 'Mariana João Abreu Barbosa', 'Feminino', '1954-12-05', 'Estrada Militar', '1169-508', 'Lisboa', 'Utente', 'Portuguesa', 'Bilhete de Identidade', '64596374', '794548053', '679670235', '964234135', 'marboa1169@outlook.com', 'user-female.jpg'),</v>
      </c>
      <c r="Z136" t="str">
        <f t="shared" si="8"/>
        <v>(322),</v>
      </c>
    </row>
    <row r="137" spans="1:26" x14ac:dyDescent="0.25">
      <c r="A137">
        <v>323</v>
      </c>
      <c r="B137" t="s">
        <v>3188</v>
      </c>
      <c r="C137" t="s">
        <v>3189</v>
      </c>
      <c r="D137" t="s">
        <v>3190</v>
      </c>
      <c r="E137" t="s">
        <v>53</v>
      </c>
      <c r="F137" s="7">
        <v>34756</v>
      </c>
      <c r="G137" t="s">
        <v>242</v>
      </c>
      <c r="H137" t="s">
        <v>3191</v>
      </c>
      <c r="I137" t="s">
        <v>209</v>
      </c>
      <c r="J137" t="s">
        <v>3727</v>
      </c>
      <c r="K137" t="s">
        <v>225</v>
      </c>
      <c r="L137" t="s">
        <v>265</v>
      </c>
      <c r="M137" t="s">
        <v>3192</v>
      </c>
      <c r="N137" t="s">
        <v>3193</v>
      </c>
      <c r="O137" t="s">
        <v>3194</v>
      </c>
      <c r="P137" t="s">
        <v>3195</v>
      </c>
      <c r="Q137" t="s">
        <v>3196</v>
      </c>
      <c r="R137" t="str">
        <f t="shared" si="6"/>
        <v>user-male.jpg</v>
      </c>
      <c r="V137" s="6" t="str" cm="1">
        <f t="array" ref="V137">INDEX(Folha1!$C$2:$C$396,W137)</f>
        <v>$2a$10$MW.eIkhazpixhrqxm0n5PuHYbnmI79GJJBmLWMPEcdGxfjO0aYDX.</v>
      </c>
      <c r="W137">
        <f>MATCH(C137,Folha1!$B$2:$B$396,0)</f>
        <v>323</v>
      </c>
      <c r="Y137" t="str">
        <f t="shared" si="7"/>
        <v>(323,'gabada2809', '$2a$10$MW.eIkhazpixhrqxm0n5PuHYbnmI79GJJBmLWMPEcdGxfjO0aYDX.', 'Gabriel Francisco Fonseca Nunes', 'Masculino', '1995-02-26', 'Avenida Ressano Garcia', '2809-333', 'Almada', 'Utente', 'Portuguesa', 'Bilhete de Identidade', '46316989', '986370739', '596758409', '926488619', 'gabada2809@gmail.com', 'user-male.jpg'),</v>
      </c>
      <c r="Z137" t="str">
        <f t="shared" si="8"/>
        <v>(323),</v>
      </c>
    </row>
    <row r="138" spans="1:26" x14ac:dyDescent="0.25">
      <c r="A138">
        <v>324</v>
      </c>
      <c r="B138" t="s">
        <v>3197</v>
      </c>
      <c r="C138" t="s">
        <v>3198</v>
      </c>
      <c r="D138" t="s">
        <v>3199</v>
      </c>
      <c r="E138" t="s">
        <v>53</v>
      </c>
      <c r="F138" s="7">
        <v>14392</v>
      </c>
      <c r="G138" t="s">
        <v>237</v>
      </c>
      <c r="H138" t="s">
        <v>3200</v>
      </c>
      <c r="I138" t="s">
        <v>211</v>
      </c>
      <c r="J138" t="s">
        <v>3727</v>
      </c>
      <c r="K138" t="s">
        <v>225</v>
      </c>
      <c r="L138" t="s">
        <v>265</v>
      </c>
      <c r="M138" t="s">
        <v>3201</v>
      </c>
      <c r="N138" t="s">
        <v>3202</v>
      </c>
      <c r="O138" t="s">
        <v>3203</v>
      </c>
      <c r="P138" t="s">
        <v>3204</v>
      </c>
      <c r="Q138" t="s">
        <v>3205</v>
      </c>
      <c r="R138" t="str">
        <f t="shared" si="6"/>
        <v>user-male.jpg</v>
      </c>
      <c r="V138" s="6" t="str" cm="1">
        <f t="array" ref="V138">INDEX(Folha1!$C$2:$C$396,W138)</f>
        <v>$2a$10$KLrZg5g1yl2IjNFDa.mD5ereXhwLwLp1VchDIzGfIOdSIftIKR6eK</v>
      </c>
      <c r="W138">
        <f>MATCH(C138,Folha1!$B$2:$B$396,0)</f>
        <v>324</v>
      </c>
      <c r="Y138" t="str">
        <f t="shared" si="7"/>
        <v>(324,'bruboa1068', '$2a$10$KLrZg5g1yl2IjNFDa.mD5ereXhwLwLp1VchDIzGfIOdSIftIKR6eK', 'Bruno José Reis Paiva', 'Masculino', '1939-05-27', 'Calçada Marquês de Abrantes', '1068-903', 'Lisboa', 'Utente', 'Portuguesa', 'Bilhete de Identidade', '54412099', '336098380', '773509919', '921527749', 'bruboa1068@outlook.com', 'user-male.jpg'),</v>
      </c>
      <c r="Z138" t="str">
        <f t="shared" si="8"/>
        <v>(324),</v>
      </c>
    </row>
    <row r="139" spans="1:26" x14ac:dyDescent="0.25">
      <c r="A139">
        <v>325</v>
      </c>
      <c r="B139" t="s">
        <v>3206</v>
      </c>
      <c r="C139" t="s">
        <v>3207</v>
      </c>
      <c r="D139" t="s">
        <v>3208</v>
      </c>
      <c r="E139" t="s">
        <v>66</v>
      </c>
      <c r="F139" s="7">
        <v>17070</v>
      </c>
      <c r="G139" t="s">
        <v>231</v>
      </c>
      <c r="H139" t="s">
        <v>3209</v>
      </c>
      <c r="I139" t="s">
        <v>205</v>
      </c>
      <c r="J139" t="s">
        <v>3727</v>
      </c>
      <c r="K139" t="s">
        <v>225</v>
      </c>
      <c r="L139" t="s">
        <v>265</v>
      </c>
      <c r="M139" t="s">
        <v>3210</v>
      </c>
      <c r="N139" t="s">
        <v>3211</v>
      </c>
      <c r="O139" t="s">
        <v>3212</v>
      </c>
      <c r="P139" t="s">
        <v>3213</v>
      </c>
      <c r="Q139" t="s">
        <v>3214</v>
      </c>
      <c r="R139" t="str">
        <f t="shared" si="6"/>
        <v>user-female.jpg</v>
      </c>
      <c r="V139" s="6" t="str" cm="1">
        <f t="array" ref="V139">INDEX(Folha1!$C$2:$C$396,W139)</f>
        <v>$2a$10$x0TXJ1fToklZTQHLXe5g6.VFJsKkSd7d5RNk7ywM2p7FH4nun9NBe</v>
      </c>
      <c r="W139">
        <f>MATCH(C139,Folha1!$B$2:$B$396,0)</f>
        <v>325</v>
      </c>
      <c r="Y139" t="str">
        <f t="shared" si="7"/>
        <v>(325,'marrem2009', '$2a$10$x0TXJ1fToklZTQHLXe5g6.VFJsKkSd7d5RNk7ywM2p7FH4nun9NBe', 'Maria Tiago Rodrigues Magalhães', 'Feminino', '1946-09-25', 'Rua dos Fanqueiros', '2009-671', 'Santarém', 'Utente', 'Portuguesa', 'Bilhete de Identidade', '12433037', '620191451', '471596632', '928478954', 'marrem2009@outlook.com', 'user-female.jpg'),</v>
      </c>
      <c r="Z139" t="str">
        <f t="shared" si="8"/>
        <v>(325),</v>
      </c>
    </row>
    <row r="140" spans="1:26" x14ac:dyDescent="0.25">
      <c r="A140">
        <v>326</v>
      </c>
      <c r="B140" t="s">
        <v>2563</v>
      </c>
      <c r="C140" t="s">
        <v>2564</v>
      </c>
      <c r="D140" t="s">
        <v>3215</v>
      </c>
      <c r="E140" t="s">
        <v>66</v>
      </c>
      <c r="F140" s="7">
        <v>18282</v>
      </c>
      <c r="G140" t="s">
        <v>244</v>
      </c>
      <c r="H140" t="s">
        <v>3216</v>
      </c>
      <c r="I140" t="s">
        <v>211</v>
      </c>
      <c r="J140" t="s">
        <v>3727</v>
      </c>
      <c r="K140" t="s">
        <v>225</v>
      </c>
      <c r="L140" t="s">
        <v>265</v>
      </c>
      <c r="M140" t="s">
        <v>3217</v>
      </c>
      <c r="N140" t="s">
        <v>3218</v>
      </c>
      <c r="O140" t="s">
        <v>3219</v>
      </c>
      <c r="P140" t="s">
        <v>3220</v>
      </c>
      <c r="Q140" t="s">
        <v>3221</v>
      </c>
      <c r="R140" t="str">
        <f t="shared" si="6"/>
        <v>user-female.jpg</v>
      </c>
      <c r="V140" s="6" t="str" cm="1">
        <f t="array" ref="V140">INDEX(Folha1!$C$2:$C$396,W140)</f>
        <v>$2a$10$giYNdzhy7NanlaSqWQRA4.MZ7rcjz/PgmWa9vkLaqu1y/uG3jvIiS</v>
      </c>
      <c r="W140">
        <f>MATCH(C140,Folha1!$B$2:$B$396,0)</f>
        <v>250</v>
      </c>
      <c r="Y140" t="str">
        <f t="shared" si="7"/>
        <v>(326,'marboa1200', '$2a$10$giYNdzhy7NanlaSqWQRA4.MZ7rcjz/PgmWa9vkLaqu1y/uG3jvIiS', 'Mariana Mariana Borges Marques', 'Feminino', '1950-01-19', 'Rua da Betesga', '1200-817', 'Lisboa', 'Utente', 'Portuguesa', 'Bilhete de Identidade', '28290563', '322961285', '460934801', '961094604', 'marboa1200@sapo.pt', 'user-female.jpg'),</v>
      </c>
      <c r="Z140" t="str">
        <f t="shared" si="8"/>
        <v>(326),</v>
      </c>
    </row>
    <row r="141" spans="1:26" x14ac:dyDescent="0.25">
      <c r="A141">
        <v>327</v>
      </c>
      <c r="B141" t="s">
        <v>286</v>
      </c>
      <c r="C141" t="s">
        <v>287</v>
      </c>
      <c r="D141" t="s">
        <v>3222</v>
      </c>
      <c r="E141" t="s">
        <v>66</v>
      </c>
      <c r="F141" s="7">
        <v>9562</v>
      </c>
      <c r="G141" t="s">
        <v>228</v>
      </c>
      <c r="H141" t="s">
        <v>3223</v>
      </c>
      <c r="I141" t="s">
        <v>211</v>
      </c>
      <c r="J141" t="s">
        <v>3727</v>
      </c>
      <c r="K141" t="s">
        <v>225</v>
      </c>
      <c r="L141" t="s">
        <v>265</v>
      </c>
      <c r="M141" t="s">
        <v>3224</v>
      </c>
      <c r="N141" t="s">
        <v>3225</v>
      </c>
      <c r="O141" t="s">
        <v>3226</v>
      </c>
      <c r="P141" t="s">
        <v>3227</v>
      </c>
      <c r="Q141" t="s">
        <v>3228</v>
      </c>
      <c r="R141" t="str">
        <f t="shared" si="6"/>
        <v>user-female.jpg</v>
      </c>
      <c r="V141" s="6" t="str" cm="1">
        <f t="array" ref="V141">INDEX(Folha1!$C$2:$C$396,W141)</f>
        <v>$2a$10$wKOcT/u8o0WOAx/9Ezb3kuY0CXItpf8qDYaEQY3bSBI3GzP1QtI8C</v>
      </c>
      <c r="W141">
        <f>MATCH(C141,Folha1!$B$2:$B$396,0)</f>
        <v>327</v>
      </c>
      <c r="Y141" t="str">
        <f t="shared" si="7"/>
        <v>(327,'verboa1949', '$2a$10$wKOcT/u8o0WOAx/9Ezb3kuY0CXItpf8qDYaEQY3bSBI3GzP1QtI8C', 'Vera João Amaral Henriques', 'Feminino', '1926-03-06', 'Calçada de Carriche', '1949-312', 'Lisboa', 'Utente', 'Portuguesa', 'Bilhete de Identidade', '45066879', '406012614', '134901017', '930483686', 'verboa1949@gmail.com', 'user-female.jpg'),</v>
      </c>
      <c r="Z141" t="str">
        <f t="shared" si="8"/>
        <v>(327),</v>
      </c>
    </row>
    <row r="142" spans="1:26" x14ac:dyDescent="0.25">
      <c r="A142">
        <v>328</v>
      </c>
      <c r="B142" t="s">
        <v>3229</v>
      </c>
      <c r="C142" t="s">
        <v>3230</v>
      </c>
      <c r="D142" t="s">
        <v>3231</v>
      </c>
      <c r="E142" t="s">
        <v>53</v>
      </c>
      <c r="F142" s="7">
        <v>10733</v>
      </c>
      <c r="G142" t="s">
        <v>244</v>
      </c>
      <c r="H142" t="s">
        <v>3232</v>
      </c>
      <c r="I142" t="s">
        <v>209</v>
      </c>
      <c r="J142" t="s">
        <v>3727</v>
      </c>
      <c r="K142" t="s">
        <v>225</v>
      </c>
      <c r="L142" t="s">
        <v>265</v>
      </c>
      <c r="M142" t="s">
        <v>3233</v>
      </c>
      <c r="N142" t="s">
        <v>3234</v>
      </c>
      <c r="O142" t="s">
        <v>3235</v>
      </c>
      <c r="P142" t="s">
        <v>3236</v>
      </c>
      <c r="Q142" t="s">
        <v>3237</v>
      </c>
      <c r="R142" t="str">
        <f t="shared" si="6"/>
        <v>user-male.jpg</v>
      </c>
      <c r="V142" s="6" t="str" cm="1">
        <f t="array" ref="V142">INDEX(Folha1!$C$2:$C$396,W142)</f>
        <v>$2a$10$KkPd1DY8NxTHvlM4vTvCHu62sYeX6UShd4pi.wf1Zwm1wOzpH30VG</v>
      </c>
      <c r="W142">
        <f>MATCH(C142,Folha1!$B$2:$B$396,0)</f>
        <v>328</v>
      </c>
      <c r="Y142" t="str">
        <f t="shared" si="7"/>
        <v>(328,'afoada2809', '$2a$10$KkPd1DY8NxTHvlM4vTvCHu62sYeX6UShd4pi.wf1Zwm1wOzpH30VG', 'Afonso Joana Melo Jesus', 'Masculino', '1929-05-20', 'Rua da Betesga', '2809-231', 'Almada', 'Utente', 'Portuguesa', 'Bilhete de Identidade', '77134988', '136699056', '142662162', '919288249', 'afoada2809@outlook.com', 'user-male.jpg'),</v>
      </c>
      <c r="Z142" t="str">
        <f t="shared" si="8"/>
        <v>(328),</v>
      </c>
    </row>
    <row r="143" spans="1:26" x14ac:dyDescent="0.25">
      <c r="A143">
        <v>329</v>
      </c>
      <c r="B143" t="s">
        <v>3238</v>
      </c>
      <c r="C143" t="s">
        <v>3239</v>
      </c>
      <c r="D143" t="s">
        <v>3240</v>
      </c>
      <c r="E143" t="s">
        <v>66</v>
      </c>
      <c r="F143" s="7">
        <v>43003</v>
      </c>
      <c r="G143" t="s">
        <v>252</v>
      </c>
      <c r="H143" t="s">
        <v>3241</v>
      </c>
      <c r="I143" t="s">
        <v>220</v>
      </c>
      <c r="J143" t="s">
        <v>3727</v>
      </c>
      <c r="K143" t="s">
        <v>225</v>
      </c>
      <c r="L143" t="s">
        <v>265</v>
      </c>
      <c r="M143" t="s">
        <v>3242</v>
      </c>
      <c r="N143" t="s">
        <v>3243</v>
      </c>
      <c r="O143" t="s">
        <v>3244</v>
      </c>
      <c r="P143" t="s">
        <v>3245</v>
      </c>
      <c r="Q143" t="s">
        <v>3246</v>
      </c>
      <c r="R143" t="str">
        <f t="shared" si="6"/>
        <v>user-female.jpg</v>
      </c>
      <c r="V143" s="6" t="str" cm="1">
        <f t="array" ref="V143">INDEX(Folha1!$C$2:$C$396,W143)</f>
        <v>$2a$10$d.UbiJa0IH7MFBXTM9QtuuAYNPcHCId4m3lJplEtCEqMZr4WCk3MS</v>
      </c>
      <c r="W143">
        <f>MATCH(C143,Folha1!$B$2:$B$396,0)</f>
        <v>329</v>
      </c>
      <c r="Y143" t="str">
        <f t="shared" si="7"/>
        <v>(329,'catais2754', '$2a$10$d.UbiJa0IH7MFBXTM9QtuuAYNPcHCId4m3lJplEtCEqMZr4WCk3MS', 'Catarina Gabriel Pires Henriques', 'Feminino', '2017-09-25', 'Rua de São Julião', '2754-087', 'Cascais', 'Utente', 'Portuguesa', 'Bilhete de Identidade', '87013409', '189012752', '597601384', '930474383', 'catais2754@gmail.com', 'user-female.jpg'),</v>
      </c>
      <c r="Z143" t="str">
        <f t="shared" si="8"/>
        <v>(329),</v>
      </c>
    </row>
    <row r="144" spans="1:26" x14ac:dyDescent="0.25">
      <c r="A144">
        <v>330</v>
      </c>
      <c r="B144" t="s">
        <v>3247</v>
      </c>
      <c r="C144" t="s">
        <v>3248</v>
      </c>
      <c r="D144" t="s">
        <v>3249</v>
      </c>
      <c r="E144" t="s">
        <v>66</v>
      </c>
      <c r="F144" s="7">
        <v>29468</v>
      </c>
      <c r="G144" t="s">
        <v>252</v>
      </c>
      <c r="H144" t="s">
        <v>3250</v>
      </c>
      <c r="I144" t="s">
        <v>203</v>
      </c>
      <c r="J144" t="s">
        <v>3727</v>
      </c>
      <c r="K144" t="s">
        <v>225</v>
      </c>
      <c r="L144" t="s">
        <v>265</v>
      </c>
      <c r="M144" t="s">
        <v>3251</v>
      </c>
      <c r="N144" t="s">
        <v>3252</v>
      </c>
      <c r="O144" t="s">
        <v>3253</v>
      </c>
      <c r="P144" t="s">
        <v>3254</v>
      </c>
      <c r="Q144" t="s">
        <v>3255</v>
      </c>
      <c r="R144" t="str">
        <f t="shared" si="6"/>
        <v>user-female.jpg</v>
      </c>
      <c r="V144" s="6" t="str" cm="1">
        <f t="array" ref="V144">INDEX(Folha1!$C$2:$C$396,W144)</f>
        <v>$2a$10$Ra.RWhoLa4Ef/nf87SKqd.DoGn/rnOH26soleCDpF.xPyHQtxdi6a</v>
      </c>
      <c r="W144">
        <f>MATCH(C144,Folha1!$B$2:$B$396,0)</f>
        <v>330</v>
      </c>
      <c r="Y144" t="str">
        <f t="shared" si="7"/>
        <v>(330,'marvas2350', '$2a$10$Ra.RWhoLa4Ef/nf87SKqd.DoGn/rnOH26soleCDpF.xPyHQtxdi6a', 'Maria Diogo Pacheco Costa', 'Feminino', '1980-09-04', 'Rua de São Julião', '2350-172', 'Torres Novas', 'Utente', 'Portuguesa', 'Bilhete de Identidade', '32368574', '896618041', '416069363', '931792325', 'marvas2350@outlook.com', 'user-female.jpg'),</v>
      </c>
      <c r="Z144" t="str">
        <f t="shared" si="8"/>
        <v>(330),</v>
      </c>
    </row>
    <row r="145" spans="1:26" x14ac:dyDescent="0.25">
      <c r="A145">
        <v>331</v>
      </c>
      <c r="B145" t="s">
        <v>3256</v>
      </c>
      <c r="C145" t="s">
        <v>3257</v>
      </c>
      <c r="D145" t="s">
        <v>3258</v>
      </c>
      <c r="E145" t="s">
        <v>66</v>
      </c>
      <c r="F145" s="7">
        <v>26648</v>
      </c>
      <c r="G145" t="s">
        <v>245</v>
      </c>
      <c r="H145" t="s">
        <v>3259</v>
      </c>
      <c r="I145" t="s">
        <v>211</v>
      </c>
      <c r="J145" t="s">
        <v>3727</v>
      </c>
      <c r="K145" t="s">
        <v>225</v>
      </c>
      <c r="L145" t="s">
        <v>265</v>
      </c>
      <c r="M145" t="s">
        <v>3260</v>
      </c>
      <c r="N145" t="s">
        <v>3261</v>
      </c>
      <c r="O145" t="s">
        <v>3262</v>
      </c>
      <c r="P145" t="s">
        <v>3263</v>
      </c>
      <c r="Q145" t="s">
        <v>3264</v>
      </c>
      <c r="R145" t="str">
        <f t="shared" si="6"/>
        <v>user-female.jpg</v>
      </c>
      <c r="V145" s="6" t="str" cm="1">
        <f t="array" ref="V145">INDEX(Folha1!$C$2:$C$396,W145)</f>
        <v>$2a$10$YUZiYkJhKkZFriClk2u5xO7NJIMArVvOO67kAS2vf9FGaXo.hNLSi</v>
      </c>
      <c r="W145">
        <f>MATCH(C145,Folha1!$B$2:$B$396,0)</f>
        <v>331</v>
      </c>
      <c r="Y145" t="str">
        <f t="shared" si="7"/>
        <v>(331,'beaboa1949', '$2a$10$YUZiYkJhKkZFriClk2u5xO7NJIMArVvOO67kAS2vf9FGaXo.hNLSi', 'Beatriz Diogo Maia Mota', 'Feminino', '1972-12-15', 'Rua do Comércio', '1949-914', 'Lisboa', 'Utente', 'Portuguesa', 'Bilhete de Identidade', '11582388', '651900553', '394773586', '963946603', 'beaboa1949@sapo.pt', 'user-female.jpg'),</v>
      </c>
      <c r="Z145" t="str">
        <f t="shared" si="8"/>
        <v>(331),</v>
      </c>
    </row>
    <row r="146" spans="1:26" x14ac:dyDescent="0.25">
      <c r="A146">
        <v>332</v>
      </c>
      <c r="B146" t="s">
        <v>3265</v>
      </c>
      <c r="C146" t="s">
        <v>3266</v>
      </c>
      <c r="D146" t="s">
        <v>3267</v>
      </c>
      <c r="E146" t="s">
        <v>66</v>
      </c>
      <c r="F146" s="7">
        <v>12366</v>
      </c>
      <c r="G146" t="s">
        <v>233</v>
      </c>
      <c r="H146" t="s">
        <v>3268</v>
      </c>
      <c r="I146" t="s">
        <v>209</v>
      </c>
      <c r="J146" t="s">
        <v>3727</v>
      </c>
      <c r="K146" t="s">
        <v>225</v>
      </c>
      <c r="L146" t="s">
        <v>265</v>
      </c>
      <c r="M146" t="s">
        <v>3269</v>
      </c>
      <c r="N146" t="s">
        <v>3270</v>
      </c>
      <c r="O146" t="s">
        <v>3271</v>
      </c>
      <c r="P146" t="s">
        <v>3272</v>
      </c>
      <c r="Q146" t="s">
        <v>3273</v>
      </c>
      <c r="R146" t="str">
        <f t="shared" si="6"/>
        <v>user-female.jpg</v>
      </c>
      <c r="V146" s="6" t="str" cm="1">
        <f t="array" ref="V146">INDEX(Folha1!$C$2:$C$396,W146)</f>
        <v>$2a$10$/T/C1jtaCxCqzkCsc1BM5O..B55vY7Ebd168zMEMPiCZXhRthdinK</v>
      </c>
      <c r="W146">
        <f>MATCH(C146,Folha1!$B$2:$B$396,0)</f>
        <v>332</v>
      </c>
      <c r="Y146" t="str">
        <f t="shared" si="7"/>
        <v>(332,'beaada2814', '$2a$10$/T/C1jtaCxCqzkCsc1BM5O..B55vY7Ebd168zMEMPiCZXhRthdinK', 'Beatriz Carolina Maia Ribeiro', 'Feminino', '1933-11-08', 'Rua dos Heróis de Quionga', '2814-306', 'Almada', 'Utente', 'Portuguesa', 'Bilhete de Identidade', '42003578', '108309490', '188076333', '922502287', 'beaada2814@sapo.pt', 'user-female.jpg'),</v>
      </c>
      <c r="Z146" t="str">
        <f t="shared" si="8"/>
        <v>(332),</v>
      </c>
    </row>
    <row r="147" spans="1:26" x14ac:dyDescent="0.25">
      <c r="A147">
        <v>333</v>
      </c>
      <c r="B147" t="s">
        <v>3274</v>
      </c>
      <c r="C147" t="s">
        <v>3275</v>
      </c>
      <c r="D147" t="s">
        <v>3276</v>
      </c>
      <c r="E147" t="s">
        <v>53</v>
      </c>
      <c r="F147" s="7">
        <v>15788</v>
      </c>
      <c r="G147" t="s">
        <v>246</v>
      </c>
      <c r="H147" t="s">
        <v>3277</v>
      </c>
      <c r="I147" t="s">
        <v>211</v>
      </c>
      <c r="J147" t="s">
        <v>3727</v>
      </c>
      <c r="K147" t="s">
        <v>225</v>
      </c>
      <c r="L147" t="s">
        <v>265</v>
      </c>
      <c r="M147" t="s">
        <v>3278</v>
      </c>
      <c r="N147" t="s">
        <v>3279</v>
      </c>
      <c r="O147" t="s">
        <v>3280</v>
      </c>
      <c r="P147" t="s">
        <v>3281</v>
      </c>
      <c r="Q147" t="s">
        <v>3282</v>
      </c>
      <c r="R147" t="str">
        <f t="shared" si="6"/>
        <v>user-male.jpg</v>
      </c>
      <c r="V147" s="6" t="str" cm="1">
        <f t="array" ref="V147">INDEX(Folha1!$C$2:$C$396,W147)</f>
        <v>$2a$10$CjKD2n9rZJAta67.6l7d5OzC9IBexbX9Gm7d3nT.8fpWmhDinww96</v>
      </c>
      <c r="W147">
        <f>MATCH(C147,Folha1!$B$2:$B$396,0)</f>
        <v>333</v>
      </c>
      <c r="Y147" t="str">
        <f t="shared" si="7"/>
        <v>(333,'joaboa1199', '$2a$10$CjKD2n9rZJAta67.6l7d5OzC9IBexbX9Gm7d3nT.8fpWmhDinww96', 'João Daniela Vieira Monteiro', 'Masculino', '1943-03-23', 'Rua do Guarda-Mor', '1199-168', 'Lisboa', 'Utente', 'Portuguesa', 'Bilhete de Identidade', '81558036', '770167294', '812687196', '968850583', 'joaboa1199@outlook.com', 'user-male.jpg'),</v>
      </c>
      <c r="Z147" t="str">
        <f t="shared" si="8"/>
        <v>(333),</v>
      </c>
    </row>
    <row r="148" spans="1:26" x14ac:dyDescent="0.25">
      <c r="A148">
        <v>334</v>
      </c>
      <c r="B148" t="s">
        <v>3283</v>
      </c>
      <c r="C148" t="s">
        <v>3284</v>
      </c>
      <c r="D148" t="s">
        <v>3285</v>
      </c>
      <c r="E148" t="s">
        <v>53</v>
      </c>
      <c r="F148" s="7">
        <v>37028</v>
      </c>
      <c r="G148" t="s">
        <v>231</v>
      </c>
      <c r="H148" t="s">
        <v>797</v>
      </c>
      <c r="I148" t="s">
        <v>210</v>
      </c>
      <c r="J148" t="s">
        <v>3727</v>
      </c>
      <c r="K148" t="s">
        <v>225</v>
      </c>
      <c r="L148" t="s">
        <v>265</v>
      </c>
      <c r="M148" t="s">
        <v>3286</v>
      </c>
      <c r="N148" t="s">
        <v>3287</v>
      </c>
      <c r="O148" t="s">
        <v>3288</v>
      </c>
      <c r="P148" t="s">
        <v>3289</v>
      </c>
      <c r="Q148" t="s">
        <v>3290</v>
      </c>
      <c r="R148" t="str">
        <f t="shared" si="6"/>
        <v>user-male.jpg</v>
      </c>
      <c r="V148" s="6" t="str" cm="1">
        <f t="array" ref="V148">INDEX(Folha1!$C$2:$C$396,W148)</f>
        <v>$2a$10$/B7TMmSYCSCFxVJPIkegEuyHpVFvhGw4PhPkXTxumRLSys4PwVC9K</v>
      </c>
      <c r="W148">
        <f>MATCH(C148,Folha1!$B$2:$B$396,0)</f>
        <v>334</v>
      </c>
      <c r="Y148" t="str">
        <f t="shared" si="7"/>
        <v>(334,'rodora2720', '$2a$10$/B7TMmSYCSCFxVJPIkegEuyHpVFvhGw4PhPkXTxumRLSys4PwVC9K', 'Rodrigo Lurdes Nunes Figueiredo', 'Masculino', '2001-05-17', 'Rua dos Fanqueiros', '2720-897', 'Amadora', 'Utente', 'Portuguesa', 'Bilhete de Identidade', '64028134', '631483347', '736010624', '962764356', 'rodora2720@gmail.com', 'user-male.jpg'),</v>
      </c>
      <c r="Z148" t="str">
        <f t="shared" si="8"/>
        <v>(334),</v>
      </c>
    </row>
    <row r="149" spans="1:26" x14ac:dyDescent="0.25">
      <c r="A149">
        <v>335</v>
      </c>
      <c r="B149" t="s">
        <v>3291</v>
      </c>
      <c r="C149" t="s">
        <v>3292</v>
      </c>
      <c r="D149" t="s">
        <v>3293</v>
      </c>
      <c r="E149" t="s">
        <v>53</v>
      </c>
      <c r="F149" s="7">
        <v>36735</v>
      </c>
      <c r="G149" t="s">
        <v>235</v>
      </c>
      <c r="H149" t="s">
        <v>3294</v>
      </c>
      <c r="I149" t="s">
        <v>202</v>
      </c>
      <c r="J149" t="s">
        <v>3727</v>
      </c>
      <c r="K149" t="s">
        <v>225</v>
      </c>
      <c r="L149" t="s">
        <v>265</v>
      </c>
      <c r="M149" t="s">
        <v>3295</v>
      </c>
      <c r="N149" t="s">
        <v>3296</v>
      </c>
      <c r="O149" t="s">
        <v>3297</v>
      </c>
      <c r="P149" t="s">
        <v>3298</v>
      </c>
      <c r="Q149" t="s">
        <v>3299</v>
      </c>
      <c r="R149" t="str">
        <f t="shared" si="6"/>
        <v>user-male.jpg</v>
      </c>
      <c r="V149" s="6" t="str" cm="1">
        <f t="array" ref="V149">INDEX(Folha1!$C$2:$C$396,W149)</f>
        <v>$2a$10$pLPmzys00AHZ81KZNxKUZutJzHKJOmaqd/U/FyeE7IkxZukgYOvnS</v>
      </c>
      <c r="W149">
        <f>MATCH(C149,Folha1!$B$2:$B$396,0)</f>
        <v>335</v>
      </c>
      <c r="Y149" t="str">
        <f t="shared" si="7"/>
        <v>(335,'andmar2300', '$2a$10$pLPmzys00AHZ81KZNxKUZutJzHKJOmaqd/U/FyeE7IkxZukgYOvnS', 'André Diogo Garcia Maia', 'Masculino', '2000-07-28', 'Estrada das Laranjeiras', '2300-228', 'Tomar', 'Utente', 'Portuguesa', 'Bilhete de Identidade', '38077000', '498097562', '842070775', '918544897', 'andmar2300@sapo.pt', 'user-male.jpg'),</v>
      </c>
      <c r="Z149" t="str">
        <f t="shared" si="8"/>
        <v>(335),</v>
      </c>
    </row>
    <row r="150" spans="1:26" x14ac:dyDescent="0.25">
      <c r="A150">
        <v>336</v>
      </c>
      <c r="B150" t="s">
        <v>3300</v>
      </c>
      <c r="C150" t="s">
        <v>3301</v>
      </c>
      <c r="D150" t="s">
        <v>3302</v>
      </c>
      <c r="E150" t="s">
        <v>66</v>
      </c>
      <c r="F150" s="7">
        <v>29002</v>
      </c>
      <c r="G150" t="s">
        <v>232</v>
      </c>
      <c r="H150" t="s">
        <v>3303</v>
      </c>
      <c r="I150" t="s">
        <v>211</v>
      </c>
      <c r="J150" t="s">
        <v>3727</v>
      </c>
      <c r="K150" t="s">
        <v>225</v>
      </c>
      <c r="L150" t="s">
        <v>265</v>
      </c>
      <c r="M150" t="s">
        <v>3304</v>
      </c>
      <c r="N150" t="s">
        <v>3305</v>
      </c>
      <c r="O150" t="s">
        <v>3306</v>
      </c>
      <c r="P150" t="s">
        <v>3307</v>
      </c>
      <c r="Q150" t="s">
        <v>3308</v>
      </c>
      <c r="R150" t="str">
        <f t="shared" si="6"/>
        <v>user-female.jpg</v>
      </c>
      <c r="V150" s="6" t="str" cm="1">
        <f t="array" ref="V150">INDEX(Folha1!$C$2:$C$396,W150)</f>
        <v>$2a$10$tBKDU6waHJEmOKeLFDtiquxW3QE3a7xJk.d55nY2A8BkjIjAJ3Ul.</v>
      </c>
      <c r="W150">
        <f>MATCH(C150,Folha1!$B$2:$B$396,0)</f>
        <v>336</v>
      </c>
      <c r="Y150" t="str">
        <f t="shared" si="7"/>
        <v>(336,'fraboa1990', '$2a$10$tBKDU6waHJEmOKeLFDtiquxW3QE3a7xJk.d55nY2A8BkjIjAJ3Ul.', 'Francisca Miguel Campos Almeida', 'Feminino', '1979-05-27', 'Rua Garrett', '1990-703', 'Lisboa', 'Utente', 'Portuguesa', 'Bilhete de Identidade', '78587402', '928730837', '869494064', '925271864', 'fraboa1990@sapo.pt', 'user-female.jpg'),</v>
      </c>
      <c r="Z150" t="str">
        <f t="shared" si="8"/>
        <v>(336),</v>
      </c>
    </row>
    <row r="151" spans="1:26" x14ac:dyDescent="0.25">
      <c r="A151">
        <v>337</v>
      </c>
      <c r="B151" t="s">
        <v>3309</v>
      </c>
      <c r="C151" t="s">
        <v>3310</v>
      </c>
      <c r="D151" t="s">
        <v>3311</v>
      </c>
      <c r="E151" t="s">
        <v>53</v>
      </c>
      <c r="F151" s="7">
        <v>41285</v>
      </c>
      <c r="G151" t="s">
        <v>229</v>
      </c>
      <c r="H151" t="s">
        <v>3312</v>
      </c>
      <c r="I151" t="s">
        <v>211</v>
      </c>
      <c r="J151" t="s">
        <v>3727</v>
      </c>
      <c r="K151" t="s">
        <v>225</v>
      </c>
      <c r="L151" t="s">
        <v>265</v>
      </c>
      <c r="M151" t="s">
        <v>3313</v>
      </c>
      <c r="N151" t="s">
        <v>3314</v>
      </c>
      <c r="O151" t="s">
        <v>3315</v>
      </c>
      <c r="P151" t="s">
        <v>3316</v>
      </c>
      <c r="Q151" t="s">
        <v>3317</v>
      </c>
      <c r="R151" t="str">
        <f t="shared" si="6"/>
        <v>user-male.jpg</v>
      </c>
      <c r="V151" s="6" t="str" cm="1">
        <f t="array" ref="V151">INDEX(Folha1!$C$2:$C$396,W151)</f>
        <v>$2a$10$kw8x2cfoPmnvI7f3SPl0KuOx/T/Fe7CyISO5Yhai.djcURcy.1kTq</v>
      </c>
      <c r="W151">
        <f>MATCH(C151,Folha1!$B$2:$B$396,0)</f>
        <v>337</v>
      </c>
      <c r="Y151" t="str">
        <f t="shared" si="7"/>
        <v>(337,'fraboa1749', '$2a$10$kw8x2cfoPmnvI7f3SPl0KuOx/T/Fe7CyISO5Yhai.djcURcy.1kTq', 'Francisco Pedro Monteiro Teixeira', 'Masculino', '2013-01-11', 'Rua Cidade de Bolama', '1749-633', 'Lisboa', 'Utente', 'Portuguesa', 'Bilhete de Identidade', '26903560', '887856633', '357934667', '918748526', 'fraboa1749@gmail.com', 'user-male.jpg'),</v>
      </c>
      <c r="Z151" t="str">
        <f t="shared" si="8"/>
        <v>(337),</v>
      </c>
    </row>
    <row r="152" spans="1:26" x14ac:dyDescent="0.25">
      <c r="A152">
        <v>338</v>
      </c>
      <c r="B152" t="s">
        <v>3318</v>
      </c>
      <c r="C152" t="s">
        <v>3319</v>
      </c>
      <c r="D152" t="s">
        <v>3320</v>
      </c>
      <c r="E152" t="s">
        <v>53</v>
      </c>
      <c r="F152" s="7">
        <v>27590</v>
      </c>
      <c r="G152" t="s">
        <v>261</v>
      </c>
      <c r="H152" t="s">
        <v>3321</v>
      </c>
      <c r="I152" t="s">
        <v>221</v>
      </c>
      <c r="J152" t="s">
        <v>3727</v>
      </c>
      <c r="K152" t="s">
        <v>225</v>
      </c>
      <c r="L152" t="s">
        <v>265</v>
      </c>
      <c r="M152" t="s">
        <v>3322</v>
      </c>
      <c r="N152" t="s">
        <v>3323</v>
      </c>
      <c r="O152" t="s">
        <v>3324</v>
      </c>
      <c r="P152" t="s">
        <v>3325</v>
      </c>
      <c r="Q152" t="s">
        <v>3326</v>
      </c>
      <c r="R152" t="str">
        <f t="shared" si="6"/>
        <v>user-male.jpg</v>
      </c>
      <c r="V152" s="6" t="str" cm="1">
        <f t="array" ref="V152">INDEX(Folha1!$C$2:$C$396,W152)</f>
        <v>$2a$10$.qmC5iBHGxWwfBeoF.twgugz23.J34mLpfei07ftwsabmgFF7Bklu</v>
      </c>
      <c r="W152">
        <f>MATCH(C152,Folha1!$B$2:$B$396,0)</f>
        <v>338</v>
      </c>
      <c r="Y152" t="str">
        <f t="shared" si="7"/>
        <v>(338,'josica2825', '$2a$10$.qmC5iBHGxWwfBeoF.twgugz23.J34mLpfei07ftwsabmgFF7Bklu', 'José Francisco Fonseca Teixeira', 'Masculino', '1975-07-15', 'Rua do Carmo', '2825-063', 'Costa de Caparica', 'Utente', 'Portuguesa', 'Bilhete de Identidade', '15106038', '243683277', '126197354', '920564550', 'josica2825@gmail.com', 'user-male.jpg'),</v>
      </c>
      <c r="Z152" t="str">
        <f t="shared" si="8"/>
        <v>(338),</v>
      </c>
    </row>
    <row r="153" spans="1:26" x14ac:dyDescent="0.25">
      <c r="A153">
        <v>339</v>
      </c>
      <c r="B153" t="s">
        <v>321</v>
      </c>
      <c r="C153" t="s">
        <v>322</v>
      </c>
      <c r="D153" t="s">
        <v>3327</v>
      </c>
      <c r="E153" t="s">
        <v>53</v>
      </c>
      <c r="F153" s="7">
        <v>30972</v>
      </c>
      <c r="G153" t="s">
        <v>245</v>
      </c>
      <c r="H153" t="s">
        <v>3328</v>
      </c>
      <c r="I153" t="s">
        <v>211</v>
      </c>
      <c r="J153" t="s">
        <v>3727</v>
      </c>
      <c r="K153" t="s">
        <v>225</v>
      </c>
      <c r="L153" t="s">
        <v>265</v>
      </c>
      <c r="M153" t="s">
        <v>3329</v>
      </c>
      <c r="N153" t="s">
        <v>3330</v>
      </c>
      <c r="O153" t="s">
        <v>3331</v>
      </c>
      <c r="P153" t="s">
        <v>3332</v>
      </c>
      <c r="Q153" t="s">
        <v>3333</v>
      </c>
      <c r="R153" t="str">
        <f t="shared" si="6"/>
        <v>user-male.jpg</v>
      </c>
      <c r="V153" s="6" t="str" cm="1">
        <f t="array" ref="V153">INDEX(Folha1!$C$2:$C$396,W153)</f>
        <v>$2a$10$ziAtA4m24ug.yT1pfIQOwuL2tnfmpFybTDNaNtNbzhEkSuU2t9OZO</v>
      </c>
      <c r="W153">
        <f>MATCH(C153,Folha1!$B$2:$B$396,0)</f>
        <v>339</v>
      </c>
      <c r="Y153" t="str">
        <f t="shared" si="7"/>
        <v>(339,'tomboa1449', '$2a$10$ziAtA4m24ug.yT1pfIQOwuL2tnfmpFybTDNaNtNbzhEkSuU2t9OZO', 'Tomás Martim Morais Nascimento', 'Masculino', '1984-10-17', 'Rua do Comércio', '1449-549', 'Lisboa', 'Utente', 'Portuguesa', 'Bilhete de Identidade', '38520440', '268028542', '608685107', '922109990', 'tomboa1449@sapo.pt', 'user-male.jpg'),</v>
      </c>
      <c r="Z153" t="str">
        <f t="shared" si="8"/>
        <v>(339),</v>
      </c>
    </row>
    <row r="154" spans="1:26" x14ac:dyDescent="0.25">
      <c r="A154">
        <v>340</v>
      </c>
      <c r="B154" t="s">
        <v>3334</v>
      </c>
      <c r="C154" t="s">
        <v>3335</v>
      </c>
      <c r="D154" t="s">
        <v>3336</v>
      </c>
      <c r="E154" t="s">
        <v>53</v>
      </c>
      <c r="F154" s="7">
        <v>9540</v>
      </c>
      <c r="G154" t="s">
        <v>247</v>
      </c>
      <c r="H154" t="s">
        <v>3337</v>
      </c>
      <c r="I154" t="s">
        <v>211</v>
      </c>
      <c r="J154" t="s">
        <v>3727</v>
      </c>
      <c r="K154" t="s">
        <v>225</v>
      </c>
      <c r="L154" t="s">
        <v>265</v>
      </c>
      <c r="M154" t="s">
        <v>3338</v>
      </c>
      <c r="N154" t="s">
        <v>3339</v>
      </c>
      <c r="O154" t="s">
        <v>3340</v>
      </c>
      <c r="P154" t="s">
        <v>3341</v>
      </c>
      <c r="Q154" t="s">
        <v>3342</v>
      </c>
      <c r="R154" t="str">
        <f t="shared" si="6"/>
        <v>user-male.jpg</v>
      </c>
      <c r="V154" s="6" t="str" cm="1">
        <f t="array" ref="V154">INDEX(Folha1!$C$2:$C$396,W154)</f>
        <v>$2a$10$I1bONvHK1.ju4scfvYqdAuDG1D4BDZUz2S2SJGJnpjqh7QpRPxeIy</v>
      </c>
      <c r="W154">
        <f>MATCH(C154,Folha1!$B$2:$B$396,0)</f>
        <v>340</v>
      </c>
      <c r="Y154" t="str">
        <f t="shared" si="7"/>
        <v>(340,'marboa1998', '$2a$10$I1bONvHK1.ju4scfvYqdAuDG1D4BDZUz2S2SJGJnpjqh7QpRPxeIy', 'Marco Maria Morais Vicente', 'Masculino', '1926-02-12', 'Rua Ferreira Lapa', '1998-506', 'Lisboa', 'Utente', 'Portuguesa', 'Bilhete de Identidade', '82548278', '579014785', '148503876', '919883820', 'marboa1998@sapo.pt', 'user-male.jpg'),</v>
      </c>
      <c r="Z154" t="str">
        <f t="shared" si="8"/>
        <v>(340),</v>
      </c>
    </row>
    <row r="155" spans="1:26" x14ac:dyDescent="0.25">
      <c r="A155">
        <v>341</v>
      </c>
      <c r="B155" t="s">
        <v>3343</v>
      </c>
      <c r="C155" t="s">
        <v>3344</v>
      </c>
      <c r="D155" t="s">
        <v>3345</v>
      </c>
      <c r="E155" t="s">
        <v>53</v>
      </c>
      <c r="F155" s="7">
        <v>9785</v>
      </c>
      <c r="G155" t="s">
        <v>257</v>
      </c>
      <c r="H155" t="s">
        <v>3346</v>
      </c>
      <c r="I155" t="s">
        <v>216</v>
      </c>
      <c r="J155" t="s">
        <v>3727</v>
      </c>
      <c r="K155" t="s">
        <v>225</v>
      </c>
      <c r="L155" t="s">
        <v>265</v>
      </c>
      <c r="M155" t="s">
        <v>3347</v>
      </c>
      <c r="N155" t="s">
        <v>3348</v>
      </c>
      <c r="O155" t="s">
        <v>3349</v>
      </c>
      <c r="P155" t="s">
        <v>3350</v>
      </c>
      <c r="Q155" t="s">
        <v>3351</v>
      </c>
      <c r="R155" t="str">
        <f t="shared" si="6"/>
        <v>user-male.jpg</v>
      </c>
      <c r="V155" s="6" t="str" cm="1">
        <f t="array" ref="V155">INDEX(Folha1!$C$2:$C$396,W155)</f>
        <v>$2a$10$Z1X8Z4h1gqupl.Svn2TPE.a9a9Lri3DRorPhPq2l/59JayTaxk8IO</v>
      </c>
      <c r="W155">
        <f>MATCH(C155,Folha1!$B$2:$B$396,0)</f>
        <v>341</v>
      </c>
      <c r="Y155" t="str">
        <f t="shared" si="7"/>
        <v>(341,'mariro2830', '$2a$10$Z1X8Z4h1gqupl.Svn2TPE.a9a9Lri3DRorPhPq2l/59JayTaxk8IO', 'Marco Gabriel Garcia Batista', 'Masculino', '1926-10-15', 'Rua do Sol a Santana', '2830-501', 'Barreiro', 'Utente', 'Portuguesa', 'Bilhete de Identidade', '24247996', '620969272', '872559092', '928789478', 'mariro2830@outlook.com', 'user-male.jpg'),</v>
      </c>
      <c r="Z155" t="str">
        <f t="shared" si="8"/>
        <v>(341),</v>
      </c>
    </row>
    <row r="156" spans="1:26" x14ac:dyDescent="0.25">
      <c r="A156">
        <v>342</v>
      </c>
      <c r="B156" t="s">
        <v>298</v>
      </c>
      <c r="C156" t="s">
        <v>299</v>
      </c>
      <c r="D156" t="s">
        <v>3352</v>
      </c>
      <c r="E156" t="s">
        <v>53</v>
      </c>
      <c r="F156" s="7">
        <v>26847</v>
      </c>
      <c r="G156" t="s">
        <v>245</v>
      </c>
      <c r="H156" t="s">
        <v>3353</v>
      </c>
      <c r="I156" t="s">
        <v>222</v>
      </c>
      <c r="J156" t="s">
        <v>3727</v>
      </c>
      <c r="K156" t="s">
        <v>225</v>
      </c>
      <c r="L156" t="s">
        <v>265</v>
      </c>
      <c r="M156" t="s">
        <v>3354</v>
      </c>
      <c r="N156" t="s">
        <v>3355</v>
      </c>
      <c r="O156" t="s">
        <v>3356</v>
      </c>
      <c r="P156" t="s">
        <v>3357</v>
      </c>
      <c r="Q156" t="s">
        <v>300</v>
      </c>
      <c r="R156" t="str">
        <f t="shared" si="6"/>
        <v>user-male.jpg</v>
      </c>
      <c r="V156" s="6" t="str" cm="1">
        <f t="array" ref="V156">INDEX(Folha1!$C$2:$C$396,W156)</f>
        <v>$2a$10$9nLNRBTjOkW53UK6Pq8cPu8Tz6sJbUwQyjiI8qcULaZpkoUcDLVUm</v>
      </c>
      <c r="W156">
        <f>MATCH(C156,Folha1!$B$2:$B$396,0)</f>
        <v>342</v>
      </c>
      <c r="Y156" t="str">
        <f t="shared" si="7"/>
        <v>(342,'rodnto2334', '$2a$10$9nLNRBTjOkW53UK6Pq8cPu8Tz6sJbUwQyjiI8qcULaZpkoUcDLVUm', 'Rodrigo Pedro Freitas Almeida', 'Masculino', '1973-07-02', 'Rua do Comércio', '2334-211', 'Entroncamento', 'Utente', 'Portuguesa', 'Bilhete de Identidade', '30144429', '876217971', '139435797', '934445942', 'rodnto2334@sapo.pt', 'user-male.jpg'),</v>
      </c>
      <c r="Z156" t="str">
        <f t="shared" si="8"/>
        <v>(342),</v>
      </c>
    </row>
    <row r="157" spans="1:26" x14ac:dyDescent="0.25">
      <c r="A157">
        <v>343</v>
      </c>
      <c r="B157" t="s">
        <v>3358</v>
      </c>
      <c r="C157" t="s">
        <v>3359</v>
      </c>
      <c r="D157" t="s">
        <v>3360</v>
      </c>
      <c r="E157" t="s">
        <v>53</v>
      </c>
      <c r="F157" s="7">
        <v>44029</v>
      </c>
      <c r="G157" t="s">
        <v>241</v>
      </c>
      <c r="H157" t="s">
        <v>3361</v>
      </c>
      <c r="I157" t="s">
        <v>211</v>
      </c>
      <c r="J157" t="s">
        <v>3727</v>
      </c>
      <c r="K157" t="s">
        <v>225</v>
      </c>
      <c r="L157" t="s">
        <v>265</v>
      </c>
      <c r="M157" t="s">
        <v>3362</v>
      </c>
      <c r="N157" t="s">
        <v>3363</v>
      </c>
      <c r="O157" t="s">
        <v>3364</v>
      </c>
      <c r="P157" t="s">
        <v>3365</v>
      </c>
      <c r="Q157" t="s">
        <v>3366</v>
      </c>
      <c r="R157" t="str">
        <f t="shared" si="6"/>
        <v>user-male.jpg</v>
      </c>
      <c r="V157" s="6" t="str" cm="1">
        <f t="array" ref="V157">INDEX(Folha1!$C$2:$C$396,W157)</f>
        <v>$2a$10$nSUHogNGpKOeB1L4wftYsuGJUE0Gjq9RSmBvwPxifsLD3/UCcZt2a</v>
      </c>
      <c r="W157">
        <f>MATCH(C157,Folha1!$B$2:$B$396,0)</f>
        <v>343</v>
      </c>
      <c r="Y157" t="str">
        <f t="shared" si="7"/>
        <v>(343,'gabboa1649', '$2a$10$nSUHogNGpKOeB1L4wftYsuGJUE0Gjq9RSmBvwPxifsLD3/UCcZt2a', 'Gabriel João Lourenço Soares', 'Masculino', '2020-07-17', 'Rua da Prata', '1649-341', 'Lisboa', 'Utente', 'Portuguesa', 'Bilhete de Identidade', '82553228', '510436820', '491608450', '968362311', 'gabboa1649@gmail.com', 'user-male.jpg'),</v>
      </c>
      <c r="Z157" t="str">
        <f t="shared" si="8"/>
        <v>(343),</v>
      </c>
    </row>
    <row r="158" spans="1:26" x14ac:dyDescent="0.25">
      <c r="A158">
        <v>344</v>
      </c>
      <c r="B158" t="s">
        <v>3367</v>
      </c>
      <c r="C158" t="s">
        <v>3368</v>
      </c>
      <c r="D158" t="s">
        <v>3369</v>
      </c>
      <c r="E158" t="s">
        <v>66</v>
      </c>
      <c r="F158" s="7">
        <v>11043</v>
      </c>
      <c r="G158" t="s">
        <v>243</v>
      </c>
      <c r="H158" t="s">
        <v>3370</v>
      </c>
      <c r="I158" t="s">
        <v>210</v>
      </c>
      <c r="J158" t="s">
        <v>3727</v>
      </c>
      <c r="K158" t="s">
        <v>225</v>
      </c>
      <c r="L158" t="s">
        <v>265</v>
      </c>
      <c r="M158" t="s">
        <v>3371</v>
      </c>
      <c r="N158" t="s">
        <v>3372</v>
      </c>
      <c r="O158" t="s">
        <v>3373</v>
      </c>
      <c r="P158" t="s">
        <v>3374</v>
      </c>
      <c r="Q158" t="s">
        <v>3375</v>
      </c>
      <c r="R158" t="str">
        <f t="shared" si="6"/>
        <v>user-female.jpg</v>
      </c>
      <c r="V158" s="6" t="str" cm="1">
        <f t="array" ref="V158">INDEX(Folha1!$C$2:$C$396,W158)</f>
        <v>$2a$10$lOv07F0WGy4HXSkCq4tOvuAasgO70NKdrtD2ch6COcuZu5KLWcTre</v>
      </c>
      <c r="W158">
        <f>MATCH(C158,Folha1!$B$2:$B$396,0)</f>
        <v>344</v>
      </c>
      <c r="Y158" t="str">
        <f t="shared" si="7"/>
        <v>(344,'danora2650', '$2a$10$lOv07F0WGy4HXSkCq4tOvuAasgO70NKdrtD2ch6COcuZu5KLWcTre', 'Daniela Mariana Araújo Simões', 'Feminino', '1930-03-26', 'Rua Roberto Duarte Silva', '2650-924', 'Amadora', 'Utente', 'Portuguesa', 'Bilhete de Identidade', '14726570', '215812825', '958905017', '914540452', 'danora2650@outlook.com', 'user-female.jpg'),</v>
      </c>
      <c r="Z158" t="str">
        <f t="shared" si="8"/>
        <v>(344),</v>
      </c>
    </row>
    <row r="159" spans="1:26" x14ac:dyDescent="0.25">
      <c r="A159">
        <v>345</v>
      </c>
      <c r="B159" t="s">
        <v>309</v>
      </c>
      <c r="C159" t="s">
        <v>310</v>
      </c>
      <c r="D159" t="s">
        <v>3376</v>
      </c>
      <c r="E159" t="s">
        <v>53</v>
      </c>
      <c r="F159" s="7">
        <v>28184</v>
      </c>
      <c r="G159" t="s">
        <v>257</v>
      </c>
      <c r="H159" t="s">
        <v>3377</v>
      </c>
      <c r="I159" t="s">
        <v>213</v>
      </c>
      <c r="J159" t="s">
        <v>3727</v>
      </c>
      <c r="K159" t="s">
        <v>225</v>
      </c>
      <c r="L159" t="s">
        <v>265</v>
      </c>
      <c r="M159" t="s">
        <v>3378</v>
      </c>
      <c r="N159" t="s">
        <v>3379</v>
      </c>
      <c r="O159" t="s">
        <v>3380</v>
      </c>
      <c r="P159" t="s">
        <v>3381</v>
      </c>
      <c r="Q159" t="s">
        <v>311</v>
      </c>
      <c r="R159" t="str">
        <f t="shared" si="6"/>
        <v>user-male.jpg</v>
      </c>
      <c r="V159" s="6" t="str" cm="1">
        <f t="array" ref="V159">INDEX(Folha1!$C$2:$C$396,W159)</f>
        <v>$2a$10$fPYTLX71Xf.fvSbty2Q6cOUE88zvRYzINp16DvMqJOzI/HrJxUuyW</v>
      </c>
      <c r="W159">
        <f>MATCH(C159,Folha1!$B$2:$B$396,0)</f>
        <v>345</v>
      </c>
      <c r="Y159" t="str">
        <f t="shared" si="7"/>
        <v>(345,'brufra2640', '$2a$10$fPYTLX71Xf.fvSbty2Q6cOUE88zvRYzINp16DvMqJOzI/HrJxUuyW', 'Bruno Catarina Tavares Reis', 'Masculino', '1977-02-28', 'Rua do Sol a Santana', '2640-587', 'Mafra', 'Utente', 'Portuguesa', 'Bilhete de Identidade', '76396255', '768635761', '136961662', '939152914', 'brufra2640@sapo.pt', 'user-male.jpg'),</v>
      </c>
      <c r="Z159" t="str">
        <f t="shared" si="8"/>
        <v>(345),</v>
      </c>
    </row>
    <row r="160" spans="1:26" x14ac:dyDescent="0.25">
      <c r="A160">
        <v>346</v>
      </c>
      <c r="B160" t="s">
        <v>3382</v>
      </c>
      <c r="C160" t="s">
        <v>3383</v>
      </c>
      <c r="D160" t="s">
        <v>3384</v>
      </c>
      <c r="E160" t="s">
        <v>66</v>
      </c>
      <c r="F160" s="7">
        <v>20148</v>
      </c>
      <c r="G160" t="s">
        <v>229</v>
      </c>
      <c r="H160" t="s">
        <v>3385</v>
      </c>
      <c r="I160" t="s">
        <v>202</v>
      </c>
      <c r="J160" t="s">
        <v>3727</v>
      </c>
      <c r="K160" t="s">
        <v>225</v>
      </c>
      <c r="L160" t="s">
        <v>265</v>
      </c>
      <c r="M160" t="s">
        <v>3386</v>
      </c>
      <c r="N160" t="s">
        <v>3387</v>
      </c>
      <c r="O160" t="s">
        <v>3388</v>
      </c>
      <c r="P160" t="s">
        <v>3389</v>
      </c>
      <c r="Q160" t="s">
        <v>3390</v>
      </c>
      <c r="R160" t="str">
        <f t="shared" si="6"/>
        <v>user-female.jpg</v>
      </c>
      <c r="V160" s="6" t="str" cm="1">
        <f t="array" ref="V160">INDEX(Folha1!$C$2:$C$396,W160)</f>
        <v>$2a$10$nOgXpy3QEe73xfUO6yLPLuALbqoaA2LaXp//9QFn0epNsTSS0cIwu</v>
      </c>
      <c r="W160">
        <f>MATCH(C160,Folha1!$B$2:$B$396,0)</f>
        <v>346</v>
      </c>
      <c r="Y160" t="str">
        <f t="shared" si="7"/>
        <v>(346,'sofmar2300', '$2a$10$nOgXpy3QEe73xfUO6yLPLuALbqoaA2LaXp//9QFn0epNsTSS0cIwu', 'Sofia Inês Morais Carneiro', 'Feminino', '1955-02-28', 'Rua Cidade de Bolama', '2300-035', 'Tomar', 'Utente', 'Portuguesa', 'Bilhete de Identidade', '54093210', '857975014', '237287578', '922334287', 'sofmar2300@sapo.pt', 'user-female.jpg'),</v>
      </c>
      <c r="Z160" t="str">
        <f t="shared" si="8"/>
        <v>(346),</v>
      </c>
    </row>
    <row r="161" spans="1:26" x14ac:dyDescent="0.25">
      <c r="A161">
        <v>347</v>
      </c>
      <c r="B161" t="s">
        <v>307</v>
      </c>
      <c r="C161" t="s">
        <v>308</v>
      </c>
      <c r="D161" t="s">
        <v>3391</v>
      </c>
      <c r="E161" t="s">
        <v>53</v>
      </c>
      <c r="F161" s="7">
        <v>40822</v>
      </c>
      <c r="G161" t="s">
        <v>253</v>
      </c>
      <c r="H161" t="s">
        <v>3392</v>
      </c>
      <c r="I161" t="s">
        <v>211</v>
      </c>
      <c r="J161" t="s">
        <v>3727</v>
      </c>
      <c r="K161" t="s">
        <v>225</v>
      </c>
      <c r="L161" t="s">
        <v>265</v>
      </c>
      <c r="M161" t="s">
        <v>3393</v>
      </c>
      <c r="N161" t="s">
        <v>3394</v>
      </c>
      <c r="O161" t="s">
        <v>3395</v>
      </c>
      <c r="P161" t="s">
        <v>3396</v>
      </c>
      <c r="Q161" t="s">
        <v>3397</v>
      </c>
      <c r="R161" t="str">
        <f t="shared" si="6"/>
        <v>user-male.jpg</v>
      </c>
      <c r="V161" s="6" t="str" cm="1">
        <f t="array" ref="V161">INDEX(Folha1!$C$2:$C$396,W161)</f>
        <v>$2a$10$M1Xk.CqdV/ppaW6iOayk/ebpaDg25sRhg.k8X14/4TzNF8IfBP6Eu</v>
      </c>
      <c r="W161">
        <f>MATCH(C161,Folha1!$B$2:$B$396,0)</f>
        <v>347</v>
      </c>
      <c r="Y161" t="str">
        <f t="shared" si="7"/>
        <v>(347,'marboa1959', '$2a$10$M1Xk.CqdV/ppaW6iOayk/ebpaDg25sRhg.k8X14/4TzNF8IfBP6Eu', 'Martim Martim Leal Machado', 'Masculino', '2011-10-06', 'Rua de São Mamede', '1959-682', 'Lisboa', 'Utente', 'Portuguesa', 'Bilhete de Identidade', '13612070', '482351255', '139786096', '933056386', 'marboa1959@gmail.com', 'user-male.jpg'),</v>
      </c>
      <c r="Z161" t="str">
        <f t="shared" si="8"/>
        <v>(347),</v>
      </c>
    </row>
    <row r="162" spans="1:26" x14ac:dyDescent="0.25">
      <c r="A162">
        <v>348</v>
      </c>
      <c r="B162" t="s">
        <v>3398</v>
      </c>
      <c r="C162" t="s">
        <v>3399</v>
      </c>
      <c r="D162" t="s">
        <v>3400</v>
      </c>
      <c r="E162" t="s">
        <v>53</v>
      </c>
      <c r="F162" s="7">
        <v>24061</v>
      </c>
      <c r="G162" t="s">
        <v>244</v>
      </c>
      <c r="H162" t="s">
        <v>3401</v>
      </c>
      <c r="I162" t="s">
        <v>211</v>
      </c>
      <c r="J162" t="s">
        <v>3727</v>
      </c>
      <c r="K162" t="s">
        <v>225</v>
      </c>
      <c r="L162" t="s">
        <v>265</v>
      </c>
      <c r="M162" t="s">
        <v>3402</v>
      </c>
      <c r="N162" t="s">
        <v>3403</v>
      </c>
      <c r="O162" t="s">
        <v>3404</v>
      </c>
      <c r="P162" t="s">
        <v>3405</v>
      </c>
      <c r="Q162" t="s">
        <v>3406</v>
      </c>
      <c r="R162" t="str">
        <f t="shared" si="6"/>
        <v>user-male.jpg</v>
      </c>
      <c r="V162" s="6" t="str" cm="1">
        <f t="array" ref="V162">INDEX(Folha1!$C$2:$C$396,W162)</f>
        <v>$2a$10$61QiuOkGV.nmOL6wruSUMuDKjSQyptwbLCcMf7WgKCDHOIzcIX/l2</v>
      </c>
      <c r="W162">
        <f>MATCH(C162,Folha1!$B$2:$B$396,0)</f>
        <v>348</v>
      </c>
      <c r="Y162" t="str">
        <f t="shared" si="7"/>
        <v>(348,'fraboa1249', '$2a$10$61QiuOkGV.nmOL6wruSUMuDKjSQyptwbLCcMf7WgKCDHOIzcIX/l2', 'Francisco Ricardo Assunção Cruz', 'Masculino', '1965-11-15', 'Rua da Betesga', '1249-927', 'Lisboa', 'Utente', 'Portuguesa', 'Bilhete de Identidade', '85401867', '386337695', '226283996', '921758053', 'fraboa1249@outlook.com', 'user-male.jpg'),</v>
      </c>
      <c r="Z162" t="str">
        <f t="shared" si="8"/>
        <v>(348),</v>
      </c>
    </row>
    <row r="163" spans="1:26" x14ac:dyDescent="0.25">
      <c r="A163">
        <v>349</v>
      </c>
      <c r="B163" t="s">
        <v>3407</v>
      </c>
      <c r="C163" t="s">
        <v>3408</v>
      </c>
      <c r="D163" t="s">
        <v>3409</v>
      </c>
      <c r="E163" t="s">
        <v>66</v>
      </c>
      <c r="F163" s="7">
        <v>29777</v>
      </c>
      <c r="G163" t="s">
        <v>262</v>
      </c>
      <c r="H163" t="s">
        <v>3410</v>
      </c>
      <c r="I163" t="s">
        <v>211</v>
      </c>
      <c r="J163" t="s">
        <v>3727</v>
      </c>
      <c r="K163" t="s">
        <v>225</v>
      </c>
      <c r="L163" t="s">
        <v>265</v>
      </c>
      <c r="M163" t="s">
        <v>3411</v>
      </c>
      <c r="N163" t="s">
        <v>3412</v>
      </c>
      <c r="O163" t="s">
        <v>3413</v>
      </c>
      <c r="P163" t="s">
        <v>3414</v>
      </c>
      <c r="Q163" t="s">
        <v>3415</v>
      </c>
      <c r="R163" t="str">
        <f t="shared" si="6"/>
        <v>user-female.jpg</v>
      </c>
      <c r="V163" s="6" t="str" cm="1">
        <f t="array" ref="V163">INDEX(Folha1!$C$2:$C$396,W163)</f>
        <v>$2a$10$uxQfJ1F6GwmZaYrfNp8FNe4VcIT5ZFoRUvJg0B1FJv.Aj8wc126Sm</v>
      </c>
      <c r="W163">
        <f>MATCH(C163,Folha1!$B$2:$B$396,0)</f>
        <v>349</v>
      </c>
      <c r="Y163" t="str">
        <f t="shared" si="7"/>
        <v>(349,'carboa1050', '$2a$10$uxQfJ1F6GwmZaYrfNp8FNe4VcIT5ZFoRUvJg0B1FJv.Aj8wc126Sm', 'Carolina Duarte Brito Batista', 'Feminino', '1981-07-10', 'Estrada Militar', '1050-024', 'Lisboa', 'Utente', 'Portuguesa', 'Bilhete de Identidade', '21695229', '626022855', '691590096', '929118412', 'carboa1050@gmail.com', 'user-female.jpg'),</v>
      </c>
      <c r="Z163" t="str">
        <f t="shared" si="8"/>
        <v>(349),</v>
      </c>
    </row>
    <row r="164" spans="1:26" x14ac:dyDescent="0.25">
      <c r="A164">
        <v>350</v>
      </c>
      <c r="B164" t="s">
        <v>3416</v>
      </c>
      <c r="C164" t="s">
        <v>3417</v>
      </c>
      <c r="D164" t="s">
        <v>3418</v>
      </c>
      <c r="E164" t="s">
        <v>66</v>
      </c>
      <c r="F164" s="7">
        <v>22302</v>
      </c>
      <c r="G164" t="s">
        <v>262</v>
      </c>
      <c r="H164" t="s">
        <v>3419</v>
      </c>
      <c r="I164" t="s">
        <v>202</v>
      </c>
      <c r="J164" t="s">
        <v>3727</v>
      </c>
      <c r="K164" t="s">
        <v>225</v>
      </c>
      <c r="L164" t="s">
        <v>265</v>
      </c>
      <c r="M164" t="s">
        <v>3420</v>
      </c>
      <c r="N164" t="s">
        <v>3421</v>
      </c>
      <c r="O164" t="s">
        <v>3422</v>
      </c>
      <c r="P164" t="s">
        <v>3423</v>
      </c>
      <c r="Q164" t="s">
        <v>3424</v>
      </c>
      <c r="R164" t="str">
        <f t="shared" si="6"/>
        <v>user-female.jpg</v>
      </c>
      <c r="V164" s="6" t="str" cm="1">
        <f t="array" ref="V164">INDEX(Folha1!$C$2:$C$396,W164)</f>
        <v>$2a$10$t26nN7bAYqOGrW1qLn69FOQnfZUnK.ti1WQg02qdGDdhL/3xzo2sK</v>
      </c>
      <c r="W164">
        <f>MATCH(C164,Folha1!$B$2:$B$396,0)</f>
        <v>350</v>
      </c>
      <c r="Y164" t="str">
        <f t="shared" si="7"/>
        <v>(350,'lurmar2300', '$2a$10$t26nN7bAYqOGrW1qLn69FOQnfZUnK.ti1WQg02qdGDdhL/3xzo2sK', 'Lurdes Beatriz Gaspar Cruz', 'Feminino', '1961-01-21', 'Estrada Militar', '2300-629', 'Tomar', 'Utente', 'Portuguesa', 'Bilhete de Identidade', '41835796', '560728028', '906371644', '923292473', 'lurmar2300@gmail.com', 'user-female.jpg'),</v>
      </c>
      <c r="Z164" t="str">
        <f t="shared" si="8"/>
        <v>(350),</v>
      </c>
    </row>
    <row r="165" spans="1:26" x14ac:dyDescent="0.25">
      <c r="A165">
        <v>351</v>
      </c>
      <c r="B165" t="s">
        <v>312</v>
      </c>
      <c r="C165" t="s">
        <v>313</v>
      </c>
      <c r="D165" t="s">
        <v>3425</v>
      </c>
      <c r="E165" t="s">
        <v>66</v>
      </c>
      <c r="F165" s="7">
        <v>44419</v>
      </c>
      <c r="G165" t="s">
        <v>262</v>
      </c>
      <c r="H165" t="s">
        <v>3426</v>
      </c>
      <c r="I165" t="s">
        <v>211</v>
      </c>
      <c r="J165" t="s">
        <v>3727</v>
      </c>
      <c r="K165" t="s">
        <v>225</v>
      </c>
      <c r="L165" t="s">
        <v>265</v>
      </c>
      <c r="M165" t="s">
        <v>3427</v>
      </c>
      <c r="N165" t="s">
        <v>3428</v>
      </c>
      <c r="O165" t="s">
        <v>3429</v>
      </c>
      <c r="P165" t="s">
        <v>3430</v>
      </c>
      <c r="Q165" t="s">
        <v>314</v>
      </c>
      <c r="R165" t="str">
        <f t="shared" si="6"/>
        <v>user-female.jpg</v>
      </c>
      <c r="V165" s="6" t="str" cm="1">
        <f t="array" ref="V165">INDEX(Folha1!$C$2:$C$396,W165)</f>
        <v>$2a$10$quHiWifNekU2upUve.20ruXgnARw0q2DvcZfmToNe0/6Oqo/tJZVu</v>
      </c>
      <c r="W165">
        <f>MATCH(C165,Folha1!$B$2:$B$396,0)</f>
        <v>351</v>
      </c>
      <c r="Y165" t="str">
        <f t="shared" si="7"/>
        <v>(351,'fraboa1150', '$2a$10$quHiWifNekU2upUve.20ruXgnARw0q2DvcZfmToNe0/6Oqo/tJZVu', 'Francisca Joana Mendes Assunção', 'Feminino', '2021-08-11', 'Estrada Militar', '1150-690', 'Lisboa', 'Utente', 'Portuguesa', 'Bilhete de Identidade', '57770306', '134704839', '940130126', '924129660', 'fraboa1150@sapo.pt', 'user-female.jpg'),</v>
      </c>
      <c r="Z165" t="str">
        <f t="shared" si="8"/>
        <v>(351),</v>
      </c>
    </row>
    <row r="166" spans="1:26" x14ac:dyDescent="0.25">
      <c r="A166">
        <v>352</v>
      </c>
      <c r="B166" t="s">
        <v>288</v>
      </c>
      <c r="C166" t="s">
        <v>289</v>
      </c>
      <c r="D166" t="s">
        <v>3431</v>
      </c>
      <c r="E166" t="s">
        <v>66</v>
      </c>
      <c r="F166" s="7">
        <v>11307</v>
      </c>
      <c r="G166" t="s">
        <v>227</v>
      </c>
      <c r="H166" t="s">
        <v>3432</v>
      </c>
      <c r="I166" t="s">
        <v>217</v>
      </c>
      <c r="J166" t="s">
        <v>3727</v>
      </c>
      <c r="K166" t="s">
        <v>225</v>
      </c>
      <c r="L166" t="s">
        <v>265</v>
      </c>
      <c r="M166" t="s">
        <v>3433</v>
      </c>
      <c r="N166" t="s">
        <v>3434</v>
      </c>
      <c r="O166" t="s">
        <v>3435</v>
      </c>
      <c r="P166" t="s">
        <v>3436</v>
      </c>
      <c r="Q166" t="s">
        <v>290</v>
      </c>
      <c r="R166" t="str">
        <f t="shared" si="6"/>
        <v>user-female.jpg</v>
      </c>
      <c r="V166" s="6" t="str" cm="1">
        <f t="array" ref="V166">INDEX(Folha1!$C$2:$C$396,W166)</f>
        <v>$2a$10$iOEElSzsM.ZlxYke.HxFfeGIUaScmSbdMclyz80iXeJXpjcxPLNJi</v>
      </c>
      <c r="W166">
        <f>MATCH(C166,Folha1!$B$2:$B$396,0)</f>
        <v>352</v>
      </c>
      <c r="Y166" t="str">
        <f t="shared" si="7"/>
        <v>(352,'marica2829', '$2a$10$iOEElSzsM.ZlxYke.HxFfeGIUaScmSbdMclyz80iXeJXpjcxPLNJi', 'Mariana Afonso Amaral Maia', 'Feminino', '1930-12-15', 'Rua dos Bacalhoeiros', '2829-608', 'Caparica', 'Utente', 'Portuguesa', 'Bilhete de Identidade', '75799241', '138395777', '752519491', '965490039', 'marica2829@gmail.com', 'user-female.jpg'),</v>
      </c>
      <c r="Z166" t="str">
        <f t="shared" si="8"/>
        <v>(352),</v>
      </c>
    </row>
    <row r="167" spans="1:26" x14ac:dyDescent="0.25">
      <c r="A167">
        <v>353</v>
      </c>
      <c r="B167" t="s">
        <v>3437</v>
      </c>
      <c r="C167" t="s">
        <v>3438</v>
      </c>
      <c r="D167" t="s">
        <v>3439</v>
      </c>
      <c r="E167" t="s">
        <v>66</v>
      </c>
      <c r="F167" s="7">
        <v>31637</v>
      </c>
      <c r="G167" t="s">
        <v>259</v>
      </c>
      <c r="H167" t="s">
        <v>3440</v>
      </c>
      <c r="I167" t="s">
        <v>206</v>
      </c>
      <c r="J167" t="s">
        <v>3727</v>
      </c>
      <c r="K167" t="s">
        <v>225</v>
      </c>
      <c r="L167" t="s">
        <v>265</v>
      </c>
      <c r="M167" t="s">
        <v>3441</v>
      </c>
      <c r="N167" t="s">
        <v>3442</v>
      </c>
      <c r="O167" t="s">
        <v>3443</v>
      </c>
      <c r="P167" t="s">
        <v>3444</v>
      </c>
      <c r="Q167" t="s">
        <v>3445</v>
      </c>
      <c r="R167" t="str">
        <f t="shared" si="6"/>
        <v>user-female.jpg</v>
      </c>
      <c r="V167" s="6" t="str" cm="1">
        <f t="array" ref="V167">INDEX(Folha1!$C$2:$C$396,W167)</f>
        <v>$2a$10$mdKBDmazAqovDzDA0j6pQOn0XJ5gjGWy4b4E300ytjziiqj2yaY/W</v>
      </c>
      <c r="W167">
        <f>MATCH(C167,Folha1!$B$2:$B$396,0)</f>
        <v>353</v>
      </c>
      <c r="Y167" t="str">
        <f t="shared" si="7"/>
        <v>(353,'vertra2710', '$2a$10$mdKBDmazAqovDzDA0j6pQOn0XJ5gjGWy4b4E300ytjziiqj2yaY/W', 'Vera Matilde Magalhães Araújo', 'Feminino', '1986-08-13', 'Rua da Alfândega', '2710-797', 'Sintra', 'Utente', 'Portuguesa', 'Bilhete de Identidade', '92466696', '735251925', '868202358', '921008688', 'vertra2710@outlook.com', 'user-female.jpg'),</v>
      </c>
      <c r="Z167" t="str">
        <f t="shared" si="8"/>
        <v>(353),</v>
      </c>
    </row>
    <row r="168" spans="1:26" x14ac:dyDescent="0.25">
      <c r="A168">
        <v>354</v>
      </c>
      <c r="B168" t="s">
        <v>3446</v>
      </c>
      <c r="C168" t="s">
        <v>3447</v>
      </c>
      <c r="D168" t="s">
        <v>3448</v>
      </c>
      <c r="E168" t="s">
        <v>53</v>
      </c>
      <c r="F168" s="7">
        <v>42520</v>
      </c>
      <c r="G168" t="s">
        <v>233</v>
      </c>
      <c r="H168" t="s">
        <v>3449</v>
      </c>
      <c r="I168" t="s">
        <v>201</v>
      </c>
      <c r="J168" t="s">
        <v>3727</v>
      </c>
      <c r="K168" t="s">
        <v>225</v>
      </c>
      <c r="L168" t="s">
        <v>265</v>
      </c>
      <c r="M168" t="s">
        <v>3450</v>
      </c>
      <c r="N168" t="s">
        <v>3451</v>
      </c>
      <c r="O168" t="s">
        <v>3452</v>
      </c>
      <c r="P168" t="s">
        <v>3453</v>
      </c>
      <c r="Q168" t="s">
        <v>3454</v>
      </c>
      <c r="R168" t="str">
        <f t="shared" si="6"/>
        <v>user-male.jpg</v>
      </c>
      <c r="V168" s="6" t="str" cm="1">
        <f t="array" ref="V168">INDEX(Folha1!$C$2:$C$396,W168)</f>
        <v>$2a$10$lzqKts3ve9UUf1qxi3/HUuGjr7Mq/fpiK4kFYejJR3aq4e/uUxdcy</v>
      </c>
      <c r="W168">
        <f>MATCH(C168,Folha1!$B$2:$B$396,0)</f>
        <v>354</v>
      </c>
      <c r="Y168" t="str">
        <f t="shared" si="7"/>
        <v>(354,'luiria2415', '$2a$10$lzqKts3ve9UUf1qxi3/HUuGjr7Mq/fpiK4kFYejJR3aq4e/uUxdcy', 'Luís Miguel Anjos Lourenço', 'Masculino', '2016-05-30', 'Rua dos Heróis de Quionga', '2415-543', 'Leiria', 'Utente', 'Portuguesa', 'Bilhete de Identidade', '73487242', '863244150', '129490663', '931363668', 'luiria2415@sapo.pt', 'user-male.jpg'),</v>
      </c>
      <c r="Z168" t="str">
        <f t="shared" si="8"/>
        <v>(354),</v>
      </c>
    </row>
    <row r="169" spans="1:26" x14ac:dyDescent="0.25">
      <c r="A169">
        <v>355</v>
      </c>
      <c r="B169" t="s">
        <v>2942</v>
      </c>
      <c r="C169" t="s">
        <v>2943</v>
      </c>
      <c r="D169" t="s">
        <v>3455</v>
      </c>
      <c r="E169" t="s">
        <v>53</v>
      </c>
      <c r="F169" s="7">
        <v>37371</v>
      </c>
      <c r="G169" t="s">
        <v>247</v>
      </c>
      <c r="H169" t="s">
        <v>3456</v>
      </c>
      <c r="I169" t="s">
        <v>210</v>
      </c>
      <c r="J169" t="s">
        <v>3727</v>
      </c>
      <c r="K169" t="s">
        <v>225</v>
      </c>
      <c r="L169" t="s">
        <v>265</v>
      </c>
      <c r="M169" t="s">
        <v>3457</v>
      </c>
      <c r="N169" t="s">
        <v>3458</v>
      </c>
      <c r="O169" t="s">
        <v>3459</v>
      </c>
      <c r="P169" t="s">
        <v>3460</v>
      </c>
      <c r="Q169" t="s">
        <v>3461</v>
      </c>
      <c r="R169" t="str">
        <f t="shared" si="6"/>
        <v>user-male.jpg</v>
      </c>
      <c r="V169" s="6" t="str" cm="1">
        <f t="array" ref="V169">INDEX(Folha1!$C$2:$C$396,W169)</f>
        <v>$2a$10$mp5Nc/eXpVypKxmGZL7tge7ImO21TzxHBjMZ4/SGAcOLYmUUuGi7q</v>
      </c>
      <c r="W169">
        <f>MATCH(C169,Folha1!$B$2:$B$396,0)</f>
        <v>294</v>
      </c>
      <c r="Y169" t="str">
        <f t="shared" si="7"/>
        <v>(355,'tiaora2724', '$2a$10$mp5Nc/eXpVypKxmGZL7tge7ImO21TzxHBjMZ4/SGAcOLYmUUuGi7q', 'Tiago Catarina Ramos Tavares', 'Masculino', '2002-04-25', 'Rua Ferreira Lapa', '2724-900', 'Amadora', 'Utente', 'Portuguesa', 'Bilhete de Identidade', '27845509', '650161031', '635314060', '911461461', 'tiaora2724@gmail.com', 'user-male.jpg'),</v>
      </c>
      <c r="Z169" t="str">
        <f t="shared" si="8"/>
        <v>(355),</v>
      </c>
    </row>
    <row r="170" spans="1:26" x14ac:dyDescent="0.25">
      <c r="A170">
        <v>356</v>
      </c>
      <c r="B170" t="s">
        <v>3462</v>
      </c>
      <c r="C170" t="s">
        <v>3463</v>
      </c>
      <c r="D170" t="s">
        <v>3464</v>
      </c>
      <c r="E170" t="s">
        <v>53</v>
      </c>
      <c r="F170" s="7">
        <v>19794</v>
      </c>
      <c r="G170" t="s">
        <v>233</v>
      </c>
      <c r="H170" t="s">
        <v>3465</v>
      </c>
      <c r="I170" t="s">
        <v>213</v>
      </c>
      <c r="J170" t="s">
        <v>3727</v>
      </c>
      <c r="K170" t="s">
        <v>225</v>
      </c>
      <c r="L170" t="s">
        <v>265</v>
      </c>
      <c r="M170" t="s">
        <v>3466</v>
      </c>
      <c r="N170" t="s">
        <v>3467</v>
      </c>
      <c r="O170" t="s">
        <v>3468</v>
      </c>
      <c r="P170" t="s">
        <v>3469</v>
      </c>
      <c r="Q170" t="s">
        <v>3470</v>
      </c>
      <c r="R170" t="str">
        <f t="shared" si="6"/>
        <v>user-male.jpg</v>
      </c>
      <c r="V170" s="6" t="str" cm="1">
        <f t="array" ref="V170">INDEX(Folha1!$C$2:$C$396,W170)</f>
        <v>$2a$10$YzF.V5na2yVeGvHC7Qpzx.GywEdJBu3I/S7ORmq4VOwigUtpSodZ.</v>
      </c>
      <c r="W170">
        <f>MATCH(C170,Folha1!$B$2:$B$396,0)</f>
        <v>356</v>
      </c>
      <c r="Y170" t="str">
        <f t="shared" si="7"/>
        <v>(356,'afofra2640', '$2a$10$YzF.V5na2yVeGvHC7Qpzx.GywEdJBu3I/S7ORmq4VOwigUtpSodZ.', 'Afonso Ana Cunha Neto', 'Masculino', '1954-03-11', 'Rua dos Heróis de Quionga', '2640-865', 'Mafra', 'Utente', 'Portuguesa', 'Bilhete de Identidade', '77408671', '331839745', '584608094', '919527433', 'afofra2640@outlook.com', 'user-male.jpg'),</v>
      </c>
      <c r="Z170" t="str">
        <f t="shared" si="8"/>
        <v>(356),</v>
      </c>
    </row>
    <row r="171" spans="1:26" x14ac:dyDescent="0.25">
      <c r="A171">
        <v>357</v>
      </c>
      <c r="B171" t="s">
        <v>3471</v>
      </c>
      <c r="C171" t="s">
        <v>3472</v>
      </c>
      <c r="D171" t="s">
        <v>3473</v>
      </c>
      <c r="E171" t="s">
        <v>66</v>
      </c>
      <c r="F171" s="7">
        <v>18245</v>
      </c>
      <c r="G171" t="s">
        <v>259</v>
      </c>
      <c r="H171" t="s">
        <v>3474</v>
      </c>
      <c r="I171" t="s">
        <v>222</v>
      </c>
      <c r="J171" t="s">
        <v>3727</v>
      </c>
      <c r="K171" t="s">
        <v>225</v>
      </c>
      <c r="L171" t="s">
        <v>265</v>
      </c>
      <c r="M171" t="s">
        <v>3475</v>
      </c>
      <c r="N171" t="s">
        <v>3476</v>
      </c>
      <c r="O171" t="s">
        <v>3477</v>
      </c>
      <c r="P171" t="s">
        <v>3478</v>
      </c>
      <c r="Q171" t="s">
        <v>3479</v>
      </c>
      <c r="R171" t="str">
        <f t="shared" si="6"/>
        <v>user-female.jpg</v>
      </c>
      <c r="V171" s="6" t="str" cm="1">
        <f t="array" ref="V171">INDEX(Folha1!$C$2:$C$396,W171)</f>
        <v>$2a$10$9vJNZWPfubs2mSQPxObKZeD0vxvpBAKzycYSqmsq6LkTViSntmDrq</v>
      </c>
      <c r="W171">
        <f>MATCH(C171,Folha1!$B$2:$B$396,0)</f>
        <v>357</v>
      </c>
      <c r="Y171" t="str">
        <f t="shared" si="7"/>
        <v>(357,'dannto2330', '$2a$10$9vJNZWPfubs2mSQPxObKZeD0vxvpBAKzycYSqmsq6LkTViSntmDrq', 'Daniela André Garcia Gonçalves', 'Feminino', '1949-12-13', 'Rua da Alfândega', '2330-898', 'Entroncamento', 'Utente', 'Portuguesa', 'Bilhete de Identidade', '15401283', '944072870', '731660523', '969868132', 'dannto2330@outlook.com', 'user-female.jpg'),</v>
      </c>
      <c r="Z171" t="str">
        <f t="shared" si="8"/>
        <v>(357),</v>
      </c>
    </row>
    <row r="172" spans="1:26" x14ac:dyDescent="0.25">
      <c r="A172">
        <v>358</v>
      </c>
      <c r="B172" t="s">
        <v>3480</v>
      </c>
      <c r="C172" t="s">
        <v>3481</v>
      </c>
      <c r="D172" t="s">
        <v>3482</v>
      </c>
      <c r="E172" t="s">
        <v>66</v>
      </c>
      <c r="F172" s="7">
        <v>36726</v>
      </c>
      <c r="G172" t="s">
        <v>248</v>
      </c>
      <c r="H172" t="s">
        <v>3483</v>
      </c>
      <c r="I172" t="s">
        <v>223</v>
      </c>
      <c r="J172" t="s">
        <v>3727</v>
      </c>
      <c r="K172" t="s">
        <v>225</v>
      </c>
      <c r="L172" t="s">
        <v>265</v>
      </c>
      <c r="M172" t="s">
        <v>3484</v>
      </c>
      <c r="N172" t="s">
        <v>3485</v>
      </c>
      <c r="O172" t="s">
        <v>3486</v>
      </c>
      <c r="P172" t="s">
        <v>3487</v>
      </c>
      <c r="Q172" t="s">
        <v>3488</v>
      </c>
      <c r="R172" t="str">
        <f t="shared" si="6"/>
        <v>user-female.jpg</v>
      </c>
      <c r="V172" s="6" t="str" cm="1">
        <f t="array" ref="V172">INDEX(Folha1!$C$2:$C$396,W172)</f>
        <v>$2a$10$cdBH/7DN3RuO38zr6squqOGjahUBqkG2/eoKOIMj3NuYekILOO1.e</v>
      </c>
      <c r="W172">
        <f>MATCH(C172,Folha1!$B$2:$B$396,0)</f>
        <v>358</v>
      </c>
      <c r="Y172" t="str">
        <f t="shared" si="7"/>
        <v>(358,'beaira2655', '$2a$10$cdBH/7DN3RuO38zr6squqOGjahUBqkG2/eoKOIMj3NuYekILOO1.e', 'Beatriz Miguel Brito Alves', 'Feminino', '2000-07-19', 'Rua General Morais Sarmento', '2655-346', 'Ericeira', 'Utente', 'Portuguesa', 'Bilhete de Identidade', '79152012', '962832827', '152835754', '910936628', 'beaira2655@sapo.pt', 'user-female.jpg'),</v>
      </c>
      <c r="Z172" t="str">
        <f t="shared" si="8"/>
        <v>(358),</v>
      </c>
    </row>
    <row r="173" spans="1:26" x14ac:dyDescent="0.25">
      <c r="A173">
        <v>359</v>
      </c>
      <c r="B173" t="s">
        <v>3206</v>
      </c>
      <c r="C173" t="s">
        <v>3207</v>
      </c>
      <c r="D173" t="s">
        <v>3489</v>
      </c>
      <c r="E173" t="s">
        <v>66</v>
      </c>
      <c r="F173" s="7">
        <v>21504</v>
      </c>
      <c r="G173" t="s">
        <v>237</v>
      </c>
      <c r="H173" t="s">
        <v>3490</v>
      </c>
      <c r="I173" t="s">
        <v>205</v>
      </c>
      <c r="J173" t="s">
        <v>3727</v>
      </c>
      <c r="K173" t="s">
        <v>225</v>
      </c>
      <c r="L173" t="s">
        <v>265</v>
      </c>
      <c r="M173" t="s">
        <v>3491</v>
      </c>
      <c r="N173" t="s">
        <v>3492</v>
      </c>
      <c r="O173" t="s">
        <v>3493</v>
      </c>
      <c r="P173" t="s">
        <v>3494</v>
      </c>
      <c r="Q173" t="s">
        <v>3495</v>
      </c>
      <c r="R173" t="str">
        <f t="shared" si="6"/>
        <v>user-female.jpg</v>
      </c>
      <c r="V173" s="6" t="str" cm="1">
        <f t="array" ref="V173">INDEX(Folha1!$C$2:$C$396,W173)</f>
        <v>$2a$10$x0TXJ1fToklZTQHLXe5g6.VFJsKkSd7d5RNk7ywM2p7FH4nun9NBe</v>
      </c>
      <c r="W173">
        <f>MATCH(C173,Folha1!$B$2:$B$396,0)</f>
        <v>325</v>
      </c>
      <c r="Y173" t="str">
        <f t="shared" si="7"/>
        <v>(359,'marrem2009', '$2a$10$x0TXJ1fToklZTQHLXe5g6.VFJsKkSd7d5RNk7ywM2p7FH4nun9NBe', 'Maria Francisco Miranda Freitas', 'Feminino', '1958-11-15', 'Calçada Marquês de Abrantes', '2009-728', 'Santarém', 'Utente', 'Portuguesa', 'Bilhete de Identidade', '77737448', '736876740', '219966719', '967963484', 'marrem2009@sapo.pt', 'user-female.jpg'),</v>
      </c>
      <c r="Z173" t="str">
        <f t="shared" si="8"/>
        <v>(359),</v>
      </c>
    </row>
    <row r="174" spans="1:26" x14ac:dyDescent="0.25">
      <c r="A174">
        <v>360</v>
      </c>
      <c r="B174" t="s">
        <v>3496</v>
      </c>
      <c r="C174" t="s">
        <v>3497</v>
      </c>
      <c r="D174" t="s">
        <v>3498</v>
      </c>
      <c r="E174" t="s">
        <v>66</v>
      </c>
      <c r="F174" s="7">
        <v>20070</v>
      </c>
      <c r="G174" t="s">
        <v>232</v>
      </c>
      <c r="H174" t="s">
        <v>3499</v>
      </c>
      <c r="I174" t="s">
        <v>210</v>
      </c>
      <c r="J174" t="s">
        <v>3727</v>
      </c>
      <c r="K174" t="s">
        <v>225</v>
      </c>
      <c r="L174" t="s">
        <v>265</v>
      </c>
      <c r="M174" t="s">
        <v>3500</v>
      </c>
      <c r="N174" t="s">
        <v>3501</v>
      </c>
      <c r="O174" t="s">
        <v>3502</v>
      </c>
      <c r="P174" t="s">
        <v>3503</v>
      </c>
      <c r="Q174" t="s">
        <v>3504</v>
      </c>
      <c r="R174" t="str">
        <f t="shared" si="6"/>
        <v>user-female.jpg</v>
      </c>
      <c r="V174" s="6" t="str" cm="1">
        <f t="array" ref="V174">INDEX(Folha1!$C$2:$C$396,W174)</f>
        <v>$2a$10$C85bXWmFmlTnIIjjPTd2lOdPRN6LmU5oFeCFaXQdnx4RKznS40VXu</v>
      </c>
      <c r="W174">
        <f>MATCH(C174,Folha1!$B$2:$B$396,0)</f>
        <v>360</v>
      </c>
      <c r="Y174" t="str">
        <f t="shared" si="7"/>
        <v>(360,'lurora2720', '$2a$10$C85bXWmFmlTnIIjjPTd2lOdPRN6LmU5oFeCFaXQdnx4RKznS40VXu', 'Lurdes Mariana Campos Rocha', 'Feminino', '1954-12-12', 'Rua Garrett', '2720-373', 'Amadora', 'Utente', 'Portuguesa', 'Bilhete de Identidade', '87295880', '284789307', '823543222', '915128827', 'lurora2720@outlook.com', 'user-female.jpg'),</v>
      </c>
      <c r="Z174" t="str">
        <f t="shared" si="8"/>
        <v>(360),</v>
      </c>
    </row>
    <row r="175" spans="1:26" x14ac:dyDescent="0.25">
      <c r="A175">
        <v>361</v>
      </c>
      <c r="B175" t="s">
        <v>3505</v>
      </c>
      <c r="C175" t="s">
        <v>3506</v>
      </c>
      <c r="D175" t="s">
        <v>3507</v>
      </c>
      <c r="E175" t="s">
        <v>53</v>
      </c>
      <c r="F175" s="7">
        <v>24653</v>
      </c>
      <c r="G175" t="s">
        <v>256</v>
      </c>
      <c r="H175" t="s">
        <v>3508</v>
      </c>
      <c r="I175" t="s">
        <v>223</v>
      </c>
      <c r="J175" t="s">
        <v>3727</v>
      </c>
      <c r="K175" t="s">
        <v>225</v>
      </c>
      <c r="L175" t="s">
        <v>265</v>
      </c>
      <c r="M175" t="s">
        <v>3509</v>
      </c>
      <c r="N175" t="s">
        <v>3510</v>
      </c>
      <c r="O175" t="s">
        <v>3511</v>
      </c>
      <c r="P175" t="s">
        <v>3512</v>
      </c>
      <c r="Q175" t="s">
        <v>3513</v>
      </c>
      <c r="R175" t="str">
        <f t="shared" si="6"/>
        <v>user-male.jpg</v>
      </c>
      <c r="V175" s="6" t="str" cm="1">
        <f t="array" ref="V175">INDEX(Folha1!$C$2:$C$396,W175)</f>
        <v>$2a$10$q2mBheLN0eg3LPIfjOZpMu/5e2Rz6I2lzedQtDb9iKhz3tWfy.24y</v>
      </c>
      <c r="W175">
        <f>MATCH(C175,Folha1!$B$2:$B$396,0)</f>
        <v>361</v>
      </c>
      <c r="Y175" t="str">
        <f t="shared" si="7"/>
        <v>(361,'dioira2659', '$2a$10$q2mBheLN0eg3LPIfjOZpMu/5e2Rz6I2lzedQtDb9iKhz3tWfy.24y', 'Diogo Bruno Faria Martins', 'Masculino', '1967-06-30', 'Travessa de São João da Praça', '2659-338', 'Ericeira', 'Utente', 'Portuguesa', 'Bilhete de Identidade', '47359122', '588241287', '858883588', '928093395', 'dioira2659@outlook.com', 'user-male.jpg'),</v>
      </c>
      <c r="Z175" t="str">
        <f t="shared" si="8"/>
        <v>(361),</v>
      </c>
    </row>
    <row r="176" spans="1:26" x14ac:dyDescent="0.25">
      <c r="A176">
        <v>362</v>
      </c>
      <c r="B176" t="s">
        <v>2720</v>
      </c>
      <c r="C176" t="s">
        <v>2721</v>
      </c>
      <c r="D176" t="s">
        <v>3514</v>
      </c>
      <c r="E176" t="s">
        <v>53</v>
      </c>
      <c r="F176" s="7">
        <v>43783</v>
      </c>
      <c r="G176" t="s">
        <v>246</v>
      </c>
      <c r="H176" t="s">
        <v>3515</v>
      </c>
      <c r="I176" t="s">
        <v>211</v>
      </c>
      <c r="J176" t="s">
        <v>3727</v>
      </c>
      <c r="K176" t="s">
        <v>225</v>
      </c>
      <c r="L176" t="s">
        <v>265</v>
      </c>
      <c r="M176" t="s">
        <v>3516</v>
      </c>
      <c r="N176" t="s">
        <v>3517</v>
      </c>
      <c r="O176" t="s">
        <v>3518</v>
      </c>
      <c r="P176" t="s">
        <v>3519</v>
      </c>
      <c r="Q176" t="s">
        <v>3520</v>
      </c>
      <c r="R176" t="str">
        <f t="shared" si="6"/>
        <v>user-male.jpg</v>
      </c>
      <c r="V176" s="6" t="str" cm="1">
        <f t="array" ref="V176">INDEX(Folha1!$C$2:$C$396,W176)</f>
        <v>$2a$10$yhUpzX82jAYyR/FgYa91ueRN8UTygHZLOJ6wAxNKyQNPxB1gR959i</v>
      </c>
      <c r="W176">
        <f>MATCH(C176,Folha1!$B$2:$B$396,0)</f>
        <v>268</v>
      </c>
      <c r="Y176" t="str">
        <f t="shared" si="7"/>
        <v>(362,'bruboa1300', '$2a$10$yhUpzX82jAYyR/FgYa91ueRN8UTygHZLOJ6wAxNKyQNPxB1gR959i', 'Bruno Ricardo Raposo Mendes', 'Masculino', '2019-11-14', 'Rua do Guarda-Mor', '1300-996', 'Lisboa', 'Utente', 'Portuguesa', 'Bilhete de Identidade', '63044475', '373847645', '979482838', '939964079', 'bruboa1300@gmail.com', 'user-male.jpg'),</v>
      </c>
      <c r="Z176" t="str">
        <f t="shared" si="8"/>
        <v>(362),</v>
      </c>
    </row>
    <row r="177" spans="1:26" x14ac:dyDescent="0.25">
      <c r="A177">
        <v>363</v>
      </c>
      <c r="B177" t="s">
        <v>3521</v>
      </c>
      <c r="C177" t="s">
        <v>3522</v>
      </c>
      <c r="D177" t="s">
        <v>3523</v>
      </c>
      <c r="E177" t="s">
        <v>53</v>
      </c>
      <c r="F177" s="7">
        <v>36076</v>
      </c>
      <c r="G177" t="s">
        <v>226</v>
      </c>
      <c r="H177" t="s">
        <v>3524</v>
      </c>
      <c r="I177" t="s">
        <v>211</v>
      </c>
      <c r="J177" t="s">
        <v>3727</v>
      </c>
      <c r="K177" t="s">
        <v>225</v>
      </c>
      <c r="L177" t="s">
        <v>265</v>
      </c>
      <c r="M177" t="s">
        <v>3525</v>
      </c>
      <c r="N177" t="s">
        <v>3526</v>
      </c>
      <c r="O177" t="s">
        <v>3527</v>
      </c>
      <c r="P177" t="s">
        <v>3528</v>
      </c>
      <c r="Q177" t="s">
        <v>3529</v>
      </c>
      <c r="R177" t="str">
        <f t="shared" si="6"/>
        <v>user-male.jpg</v>
      </c>
      <c r="V177" s="6" t="str" cm="1">
        <f t="array" ref="V177">INDEX(Folha1!$C$2:$C$396,W177)</f>
        <v>$2a$10$Aogn1QuO5tW8i/L4fK2rc.o.VsLmVSgmGVd8/2uNZkQwXKSZOJc2K</v>
      </c>
      <c r="W177">
        <f>MATCH(C177,Folha1!$B$2:$B$396,0)</f>
        <v>363</v>
      </c>
      <c r="Y177" t="str">
        <f t="shared" si="7"/>
        <v>(363,'fraboa1999', '$2a$10$Aogn1QuO5tW8i/L4fK2rc.o.VsLmVSgmGVd8/2uNZkQwXKSZOJc2K', 'Francisco Rodrigo Jesus Reis', 'Masculino', '1998-10-08', 'Rua do Arsenal', '1999-410', 'Lisboa', 'Utente', 'Portuguesa', 'Bilhete de Identidade', '78482005', '250188399', '903454666', '913870790', 'fraboa1999@outlook.com', 'user-male.jpg'),</v>
      </c>
      <c r="Z177" t="str">
        <f t="shared" si="8"/>
        <v>(363),</v>
      </c>
    </row>
    <row r="178" spans="1:26" x14ac:dyDescent="0.25">
      <c r="A178">
        <v>364</v>
      </c>
      <c r="B178" t="s">
        <v>3530</v>
      </c>
      <c r="C178" t="s">
        <v>3531</v>
      </c>
      <c r="D178" t="s">
        <v>3532</v>
      </c>
      <c r="E178" t="s">
        <v>66</v>
      </c>
      <c r="F178" s="7">
        <v>25872</v>
      </c>
      <c r="G178" t="s">
        <v>257</v>
      </c>
      <c r="H178" t="s">
        <v>3533</v>
      </c>
      <c r="I178" t="s">
        <v>207</v>
      </c>
      <c r="J178" t="s">
        <v>3727</v>
      </c>
      <c r="K178" t="s">
        <v>225</v>
      </c>
      <c r="L178" t="s">
        <v>265</v>
      </c>
      <c r="M178" t="s">
        <v>3534</v>
      </c>
      <c r="N178" t="s">
        <v>3535</v>
      </c>
      <c r="O178" t="s">
        <v>3536</v>
      </c>
      <c r="P178" t="s">
        <v>3537</v>
      </c>
      <c r="Q178" t="s">
        <v>3538</v>
      </c>
      <c r="R178" s="3" t="s">
        <v>3732</v>
      </c>
      <c r="V178" s="6" t="str" cm="1">
        <f t="array" ref="V178">INDEX(Folha1!$C$2:$C$396,W178)</f>
        <v>$2a$10$BPOyM0MMVV1PuegNawFa5eIZV48ANAHTrUh1Y2UR8Wz3fINaz8zRu</v>
      </c>
      <c r="W178">
        <f>MATCH(C178,Folha1!$B$2:$B$396,0)</f>
        <v>364</v>
      </c>
      <c r="Y178" t="str">
        <f t="shared" si="7"/>
        <v>(364,'sofluz2749', '$2a$10$BPOyM0MMVV1PuegNawFa5eIZV48ANAHTrUh1Y2UR8Wz3fINaz8zRu', 'Sofia Beatriz Pinheiro Vicente', 'Feminino', '1970-10-31', 'Rua do Sol a Santana', '2749-057', 'Queluz', 'Utente', 'Portuguesa', 'Bilhete de Identidade', '70863311', '520574637', '820278934', '925845040', 'sofluz2749@gmail.com', 'sofluz2749.jpg'),</v>
      </c>
      <c r="Z178" t="str">
        <f t="shared" si="8"/>
        <v>(364),</v>
      </c>
    </row>
    <row r="179" spans="1:26" x14ac:dyDescent="0.25">
      <c r="A179">
        <v>365</v>
      </c>
      <c r="B179" t="s">
        <v>3539</v>
      </c>
      <c r="C179" t="s">
        <v>3540</v>
      </c>
      <c r="D179" t="s">
        <v>3541</v>
      </c>
      <c r="E179" t="s">
        <v>53</v>
      </c>
      <c r="F179" s="7">
        <v>30608</v>
      </c>
      <c r="G179" t="s">
        <v>236</v>
      </c>
      <c r="H179" t="s">
        <v>3542</v>
      </c>
      <c r="I179" t="s">
        <v>213</v>
      </c>
      <c r="J179" t="s">
        <v>3727</v>
      </c>
      <c r="K179" t="s">
        <v>225</v>
      </c>
      <c r="L179" t="s">
        <v>265</v>
      </c>
      <c r="M179" t="s">
        <v>3543</v>
      </c>
      <c r="N179" t="s">
        <v>3544</v>
      </c>
      <c r="O179" t="s">
        <v>3545</v>
      </c>
      <c r="P179" t="s">
        <v>3546</v>
      </c>
      <c r="Q179" t="s">
        <v>3547</v>
      </c>
      <c r="R179" t="str">
        <f t="shared" si="6"/>
        <v>user-male.jpg</v>
      </c>
      <c r="V179" s="6" t="str" cm="1">
        <f t="array" ref="V179">INDEX(Folha1!$C$2:$C$396,W179)</f>
        <v>$2a$10$f93.bRTFmx9hDfcTMhoZCu7.ghrN0ipovxKb1GBKpGLzLxcEj9ASK</v>
      </c>
      <c r="W179">
        <f>MATCH(C179,Folha1!$B$2:$B$396,0)</f>
        <v>365</v>
      </c>
      <c r="Y179" t="str">
        <f t="shared" si="7"/>
        <v>(365,'sanfra2640', '$2a$10$f93.bRTFmx9hDfcTMhoZCu7.ghrN0ipovxKb1GBKpGLzLxcEj9ASK', 'Santiago Joana Campos Assunção', 'Masculino', '1983-10-19', 'Rua da Madalena', '2640-952', 'Mafra', 'Utente', 'Portuguesa', 'Bilhete de Identidade', '13418101', '780390983', '774694371', '924301383', 'sanfra2640@sapo.pt', 'user-male.jpg'),</v>
      </c>
      <c r="Z179" t="str">
        <f t="shared" si="8"/>
        <v>(365),</v>
      </c>
    </row>
    <row r="180" spans="1:26" x14ac:dyDescent="0.25">
      <c r="A180">
        <v>366</v>
      </c>
      <c r="B180" t="s">
        <v>3548</v>
      </c>
      <c r="C180" t="s">
        <v>3549</v>
      </c>
      <c r="D180" t="s">
        <v>3550</v>
      </c>
      <c r="E180" t="s">
        <v>53</v>
      </c>
      <c r="F180" s="7">
        <v>22927</v>
      </c>
      <c r="G180" t="s">
        <v>241</v>
      </c>
      <c r="H180" t="s">
        <v>3551</v>
      </c>
      <c r="I180" t="s">
        <v>211</v>
      </c>
      <c r="J180" t="s">
        <v>3727</v>
      </c>
      <c r="K180" t="s">
        <v>225</v>
      </c>
      <c r="L180" t="s">
        <v>265</v>
      </c>
      <c r="M180" t="s">
        <v>3552</v>
      </c>
      <c r="N180" t="s">
        <v>3553</v>
      </c>
      <c r="O180" t="s">
        <v>3554</v>
      </c>
      <c r="P180" t="s">
        <v>3555</v>
      </c>
      <c r="Q180" t="s">
        <v>3556</v>
      </c>
      <c r="R180" t="str">
        <f t="shared" si="6"/>
        <v>user-male.jpg</v>
      </c>
      <c r="V180" s="6" t="str" cm="1">
        <f t="array" ref="V180">INDEX(Folha1!$C$2:$C$396,W180)</f>
        <v>$2a$10$6m9XQAyVip6SlPBUQ.uIF.jYIGr6uK9pQw8oXX15S4dUaOTC2qn/S</v>
      </c>
      <c r="W180">
        <f>MATCH(C180,Folha1!$B$2:$B$396,0)</f>
        <v>366</v>
      </c>
      <c r="Y180" t="str">
        <f t="shared" si="7"/>
        <v>(366,'tiaboa1950', '$2a$10$6m9XQAyVip6SlPBUQ.uIF.jYIGr6uK9pQw8oXX15S4dUaOTC2qn/S', 'Tiago José Simões Pereira', 'Masculino', '1962-10-08', 'Rua da Prata', '1950-109', 'Lisboa', 'Utente', 'Portuguesa', 'Bilhete de Identidade', '46832074', '517068814', '129474672', '926269580', 'tiaboa1950@outlook.com', 'user-male.jpg'),</v>
      </c>
      <c r="Z180" t="str">
        <f t="shared" si="8"/>
        <v>(366),</v>
      </c>
    </row>
    <row r="181" spans="1:26" x14ac:dyDescent="0.25">
      <c r="A181">
        <v>367</v>
      </c>
      <c r="B181" t="s">
        <v>318</v>
      </c>
      <c r="C181" t="s">
        <v>319</v>
      </c>
      <c r="D181" t="s">
        <v>3557</v>
      </c>
      <c r="E181" t="s">
        <v>66</v>
      </c>
      <c r="F181" s="7">
        <v>42761</v>
      </c>
      <c r="G181" t="s">
        <v>229</v>
      </c>
      <c r="H181" t="s">
        <v>3558</v>
      </c>
      <c r="I181" t="s">
        <v>217</v>
      </c>
      <c r="J181" t="s">
        <v>3727</v>
      </c>
      <c r="K181" t="s">
        <v>225</v>
      </c>
      <c r="L181" t="s">
        <v>265</v>
      </c>
      <c r="M181" t="s">
        <v>3559</v>
      </c>
      <c r="N181" t="s">
        <v>3560</v>
      </c>
      <c r="O181" t="s">
        <v>3561</v>
      </c>
      <c r="P181" t="s">
        <v>3562</v>
      </c>
      <c r="Q181" t="s">
        <v>320</v>
      </c>
      <c r="R181" t="str">
        <f t="shared" si="6"/>
        <v>user-female.jpg</v>
      </c>
      <c r="V181" s="6" t="str" cm="1">
        <f t="array" ref="V181">INDEX(Folha1!$C$2:$C$396,W181)</f>
        <v>$2a$10$/WaOCdgNHSgj99T4pf5q4.FGmNFUsHwLcOwvotVLGD0.zZ6jNJ2DG</v>
      </c>
      <c r="W181">
        <f>MATCH(C181,Folha1!$B$2:$B$396,0)</f>
        <v>367</v>
      </c>
      <c r="Y181" t="str">
        <f t="shared" si="7"/>
        <v>(367,'marica2825', '$2a$10$/WaOCdgNHSgj99T4pf5q4.FGmNFUsHwLcOwvotVLGD0.zZ6jNJ2DG', 'Mariana Inês Miranda Raposo', 'Feminino', '2017-01-26', 'Rua Cidade de Bolama', '2825-893', 'Caparica', 'Utente', 'Portuguesa', 'Bilhete de Identidade', '74093696', '750768789', '300490378', '914219222', 'marica2825@sapo.pt', 'user-female.jpg'),</v>
      </c>
      <c r="Z181" t="str">
        <f t="shared" si="8"/>
        <v>(367),</v>
      </c>
    </row>
    <row r="182" spans="1:26" x14ac:dyDescent="0.25">
      <c r="A182">
        <v>368</v>
      </c>
      <c r="B182" t="s">
        <v>3563</v>
      </c>
      <c r="C182" t="s">
        <v>3564</v>
      </c>
      <c r="D182" t="s">
        <v>3565</v>
      </c>
      <c r="E182" t="s">
        <v>53</v>
      </c>
      <c r="F182" s="7">
        <v>13720</v>
      </c>
      <c r="G182" t="s">
        <v>242</v>
      </c>
      <c r="H182" t="s">
        <v>3566</v>
      </c>
      <c r="I182" t="s">
        <v>209</v>
      </c>
      <c r="J182" t="s">
        <v>3727</v>
      </c>
      <c r="K182" t="s">
        <v>225</v>
      </c>
      <c r="L182" t="s">
        <v>265</v>
      </c>
      <c r="M182" t="s">
        <v>3567</v>
      </c>
      <c r="N182" t="s">
        <v>3568</v>
      </c>
      <c r="O182" t="s">
        <v>3569</v>
      </c>
      <c r="P182" t="s">
        <v>3570</v>
      </c>
      <c r="Q182" t="s">
        <v>3571</v>
      </c>
      <c r="R182" t="str">
        <f t="shared" si="6"/>
        <v>user-male.jpg</v>
      </c>
      <c r="V182" s="6" t="str" cm="1">
        <f t="array" ref="V182">INDEX(Folha1!$C$2:$C$396,W182)</f>
        <v>$2a$10$.yQ/YiZA5Wj2LijabcEQFue4EPkwi9tnE0qw7Px1mYCCDgM5Pu6WK</v>
      </c>
      <c r="W182">
        <f>MATCH(C182,Folha1!$B$2:$B$396,0)</f>
        <v>368</v>
      </c>
      <c r="Y182" t="str">
        <f t="shared" si="7"/>
        <v>(368,'bruada2804', '$2a$10$.yQ/YiZA5Wj2LijabcEQFue4EPkwi9tnE0qw7Px1mYCCDgM5Pu6WK', 'Bruno Ana Martins Carneiro', 'Masculino', '1937-07-24', 'Avenida Ressano Garcia', '2804-824', 'Almada', 'Utente', 'Portuguesa', 'Bilhete de Identidade', '88189559', '928802555', '401170147', '928802716', 'bruada2804@gmail.com', 'user-male.jpg'),</v>
      </c>
      <c r="Z182" t="str">
        <f t="shared" si="8"/>
        <v>(368),</v>
      </c>
    </row>
    <row r="183" spans="1:26" x14ac:dyDescent="0.25">
      <c r="A183">
        <v>369</v>
      </c>
      <c r="B183" t="s">
        <v>3572</v>
      </c>
      <c r="C183" t="s">
        <v>3573</v>
      </c>
      <c r="D183" t="s">
        <v>3574</v>
      </c>
      <c r="E183" t="s">
        <v>53</v>
      </c>
      <c r="F183" s="7">
        <v>31325</v>
      </c>
      <c r="G183" t="s">
        <v>250</v>
      </c>
      <c r="H183" t="s">
        <v>3575</v>
      </c>
      <c r="I183" t="s">
        <v>211</v>
      </c>
      <c r="J183" t="s">
        <v>3727</v>
      </c>
      <c r="K183" t="s">
        <v>225</v>
      </c>
      <c r="L183" t="s">
        <v>265</v>
      </c>
      <c r="M183" t="s">
        <v>3576</v>
      </c>
      <c r="N183" t="s">
        <v>3577</v>
      </c>
      <c r="O183" t="s">
        <v>3578</v>
      </c>
      <c r="P183" t="s">
        <v>3579</v>
      </c>
      <c r="Q183" t="s">
        <v>3580</v>
      </c>
      <c r="R183" t="str">
        <f t="shared" si="6"/>
        <v>user-male.jpg</v>
      </c>
      <c r="V183" s="6" t="str" cm="1">
        <f t="array" ref="V183">INDEX(Folha1!$C$2:$C$396,W183)</f>
        <v>$2a$10$WpsWNVck2UDc2.pzpXDTVu7k7Cmz6D2WGI3LkhBMANKP6pa0Tan96</v>
      </c>
      <c r="W183">
        <f>MATCH(C183,Folha1!$B$2:$B$396,0)</f>
        <v>369</v>
      </c>
      <c r="Y183" t="str">
        <f t="shared" si="7"/>
        <v>(369,'pedboa1249', '$2a$10$WpsWNVck2UDc2.pzpXDTVu7k7Cmz6D2WGI3LkhBMANKP6pa0Tan96', 'Pedro João Anjos Borges', 'Masculino', '1985-10-05', 'Rua Nova do Almada', '1249-920', 'Lisboa', 'Utente', 'Portuguesa', 'Bilhete de Identidade', '16540879', '694482780', '604117473', '969142926', 'pedboa1249@gmail.com', 'user-male.jpg'),</v>
      </c>
      <c r="Z183" t="str">
        <f t="shared" si="8"/>
        <v>(369),</v>
      </c>
    </row>
    <row r="184" spans="1:26" x14ac:dyDescent="0.25">
      <c r="A184">
        <v>370</v>
      </c>
      <c r="B184" t="s">
        <v>2102</v>
      </c>
      <c r="C184" t="s">
        <v>2103</v>
      </c>
      <c r="D184" t="s">
        <v>3581</v>
      </c>
      <c r="E184" t="s">
        <v>66</v>
      </c>
      <c r="F184" s="7">
        <v>21600</v>
      </c>
      <c r="G184" t="s">
        <v>234</v>
      </c>
      <c r="H184" t="s">
        <v>3582</v>
      </c>
      <c r="I184" t="s">
        <v>209</v>
      </c>
      <c r="J184" t="s">
        <v>3727</v>
      </c>
      <c r="K184" t="s">
        <v>225</v>
      </c>
      <c r="L184" t="s">
        <v>265</v>
      </c>
      <c r="M184" t="s">
        <v>3583</v>
      </c>
      <c r="N184" t="s">
        <v>3584</v>
      </c>
      <c r="O184" t="s">
        <v>3585</v>
      </c>
      <c r="P184" t="s">
        <v>3586</v>
      </c>
      <c r="Q184" t="s">
        <v>3587</v>
      </c>
      <c r="R184" t="str">
        <f t="shared" si="6"/>
        <v>user-female.jpg</v>
      </c>
      <c r="V184" s="6" t="str" cm="1">
        <f t="array" ref="V184">INDEX(Folha1!$C$2:$C$396,W184)</f>
        <v>$2a$10$J6y.Rhf2V.aEqkhfqdkOeOsaD6TX3v7jKYGM2iqzAGOPrGi93fUVC</v>
      </c>
      <c r="W184">
        <f>MATCH(C184,Folha1!$B$2:$B$396,0)</f>
        <v>198</v>
      </c>
      <c r="Y184" t="str">
        <f t="shared" si="7"/>
        <v>(370,'ineada2810', '$2a$10$J6y.Rhf2V.aEqkhfqdkOeOsaD6TX3v7jKYGM2iqzAGOPrGi93fUVC', 'Inês Sofia Andrade Cardoso', 'Feminino', '1959-02-19', 'Rua do Instituto Bacteriológico', '2810-673', 'Almada', 'Utente', 'Portuguesa', 'Bilhete de Identidade', '30864273', '735223878', '220095402', '916537462', 'ineada2810@gmail.com', 'user-female.jpg'),</v>
      </c>
      <c r="Z184" t="str">
        <f t="shared" si="8"/>
        <v>(370),</v>
      </c>
    </row>
    <row r="185" spans="1:26" x14ac:dyDescent="0.25">
      <c r="A185">
        <v>371</v>
      </c>
      <c r="B185" t="s">
        <v>3588</v>
      </c>
      <c r="C185" t="s">
        <v>3589</v>
      </c>
      <c r="D185" t="s">
        <v>3590</v>
      </c>
      <c r="E185" t="s">
        <v>66</v>
      </c>
      <c r="F185" s="7">
        <v>42111</v>
      </c>
      <c r="G185" t="s">
        <v>235</v>
      </c>
      <c r="H185" t="s">
        <v>3591</v>
      </c>
      <c r="I185" t="s">
        <v>211</v>
      </c>
      <c r="J185" t="s">
        <v>3727</v>
      </c>
      <c r="K185" t="s">
        <v>225</v>
      </c>
      <c r="L185" t="s">
        <v>265</v>
      </c>
      <c r="M185" t="s">
        <v>3592</v>
      </c>
      <c r="N185" t="s">
        <v>3593</v>
      </c>
      <c r="O185" t="s">
        <v>3594</v>
      </c>
      <c r="P185" t="s">
        <v>3595</v>
      </c>
      <c r="Q185" t="s">
        <v>3596</v>
      </c>
      <c r="R185" t="str">
        <f t="shared" si="6"/>
        <v>user-female.jpg</v>
      </c>
      <c r="V185" s="6" t="str" cm="1">
        <f t="array" ref="V185">INDEX(Folha1!$C$2:$C$396,W185)</f>
        <v>$2a$10$tRk18nshrXr7A56WCha4CuKwBbzwmzQrjpCkfGp99Ns6hYAZqsccu</v>
      </c>
      <c r="W185">
        <f>MATCH(C185,Folha1!$B$2:$B$396,0)</f>
        <v>371</v>
      </c>
      <c r="Y185" t="str">
        <f t="shared" si="7"/>
        <v>(371,'catboa1950', '$2a$10$tRk18nshrXr7A56WCha4CuKwBbzwmzQrjpCkfGp99Ns6hYAZqsccu', 'Catarina João Lima Batista', 'Feminino', '2015-04-17', 'Estrada das Laranjeiras', '1950-886', 'Lisboa', 'Utente', 'Portuguesa', 'Bilhete de Identidade', '87274841', '218888076', '550368583', '935237900', 'catboa1950@gmail.com', 'user-female.jpg'),</v>
      </c>
      <c r="Z185" t="str">
        <f t="shared" si="8"/>
        <v>(371),</v>
      </c>
    </row>
    <row r="186" spans="1:26" x14ac:dyDescent="0.25">
      <c r="A186">
        <v>372</v>
      </c>
      <c r="B186" t="s">
        <v>3597</v>
      </c>
      <c r="C186" t="s">
        <v>3598</v>
      </c>
      <c r="D186" t="s">
        <v>3599</v>
      </c>
      <c r="E186" t="s">
        <v>66</v>
      </c>
      <c r="F186" s="7">
        <v>30832</v>
      </c>
      <c r="G186" t="s">
        <v>259</v>
      </c>
      <c r="H186" t="s">
        <v>3600</v>
      </c>
      <c r="I186" t="s">
        <v>204</v>
      </c>
      <c r="J186" t="s">
        <v>3727</v>
      </c>
      <c r="K186" t="s">
        <v>225</v>
      </c>
      <c r="L186" t="s">
        <v>265</v>
      </c>
      <c r="M186" t="s">
        <v>3601</v>
      </c>
      <c r="N186" t="s">
        <v>3602</v>
      </c>
      <c r="O186" t="s">
        <v>3603</v>
      </c>
      <c r="P186" t="s">
        <v>3604</v>
      </c>
      <c r="Q186" t="s">
        <v>3605</v>
      </c>
      <c r="R186" t="str">
        <f t="shared" si="6"/>
        <v>user-female.jpg</v>
      </c>
      <c r="V186" s="6" t="str" cm="1">
        <f t="array" ref="V186">INDEX(Folha1!$C$2:$C$396,W186)</f>
        <v>$2a$10$d262lQtIUguJ7bHxP7ZSZeYQ/miQZzgUVCyqz7rdEFglnCD/ZDYpK</v>
      </c>
      <c r="W186">
        <f>MATCH(C186,Folha1!$B$2:$B$396,0)</f>
        <v>372</v>
      </c>
      <c r="Y186" t="str">
        <f t="shared" si="7"/>
        <v>(372,'catras2560', '$2a$10$d262lQtIUguJ7bHxP7ZSZeYQ/miQZzgUVCyqz7rdEFglnCD/ZDYpK', 'Catarina Mariana Nogueira Castro', 'Feminino', '1984-05-30', 'Rua da Alfândega', '2560-290', 'Torres Vedras', 'Utente', 'Portuguesa', 'Bilhete de Identidade', '94628407', '649735823', '483294789', '965471535', 'catras2560@outlook.com', 'user-female.jpg'),</v>
      </c>
      <c r="Z186" t="str">
        <f t="shared" si="8"/>
        <v>(372),</v>
      </c>
    </row>
    <row r="187" spans="1:26" x14ac:dyDescent="0.25">
      <c r="A187">
        <v>373</v>
      </c>
      <c r="B187" t="s">
        <v>3606</v>
      </c>
      <c r="C187" t="s">
        <v>3607</v>
      </c>
      <c r="D187" t="s">
        <v>3608</v>
      </c>
      <c r="E187" t="s">
        <v>53</v>
      </c>
      <c r="F187" s="7">
        <v>39033</v>
      </c>
      <c r="G187" t="s">
        <v>230</v>
      </c>
      <c r="H187" t="s">
        <v>3609</v>
      </c>
      <c r="I187" t="s">
        <v>211</v>
      </c>
      <c r="J187" t="s">
        <v>3727</v>
      </c>
      <c r="K187" t="s">
        <v>225</v>
      </c>
      <c r="L187" t="s">
        <v>265</v>
      </c>
      <c r="M187" t="s">
        <v>3610</v>
      </c>
      <c r="N187" t="s">
        <v>3611</v>
      </c>
      <c r="O187" t="s">
        <v>3612</v>
      </c>
      <c r="P187" t="s">
        <v>3613</v>
      </c>
      <c r="Q187" t="s">
        <v>3614</v>
      </c>
      <c r="R187" t="str">
        <f t="shared" si="6"/>
        <v>user-male.jpg</v>
      </c>
      <c r="V187" s="6" t="str" cm="1">
        <f t="array" ref="V187">INDEX(Folha1!$C$2:$C$396,W187)</f>
        <v>$2a$10$sANetEYTFh4SMtqVEh/g/OGnQ.Fio7K/sNcuMfdMeCUKssvUHhM3K</v>
      </c>
      <c r="W187">
        <f>MATCH(C187,Folha1!$B$2:$B$396,0)</f>
        <v>373</v>
      </c>
      <c r="Y187" t="str">
        <f t="shared" si="7"/>
        <v>(373,'afoboa1049', '$2a$10$sANetEYTFh4SMtqVEh/g/OGnQ.Fio7K/sNcuMfdMeCUKssvUHhM3K', 'Afonso Francisco Brito Macedo', 'Masculino', '2006-11-12', 'Estrada da Circunvalação de Lisboa', '1049-086', 'Lisboa', 'Utente', 'Portuguesa', 'Bilhete de Identidade', '55580055', '999526192', '781241357', '920285032', 'afoboa1049@gmail.com', 'user-male.jpg'),</v>
      </c>
      <c r="Z187" t="str">
        <f t="shared" si="8"/>
        <v>(373),</v>
      </c>
    </row>
    <row r="188" spans="1:26" x14ac:dyDescent="0.25">
      <c r="A188">
        <v>374</v>
      </c>
      <c r="B188" t="s">
        <v>3615</v>
      </c>
      <c r="C188" t="s">
        <v>3616</v>
      </c>
      <c r="D188" t="s">
        <v>3617</v>
      </c>
      <c r="E188" t="s">
        <v>66</v>
      </c>
      <c r="F188" s="7">
        <v>27447</v>
      </c>
      <c r="G188" t="s">
        <v>251</v>
      </c>
      <c r="H188" t="s">
        <v>3618</v>
      </c>
      <c r="I188" t="s">
        <v>211</v>
      </c>
      <c r="J188" t="s">
        <v>3727</v>
      </c>
      <c r="K188" t="s">
        <v>225</v>
      </c>
      <c r="L188" t="s">
        <v>265</v>
      </c>
      <c r="M188" t="s">
        <v>3619</v>
      </c>
      <c r="N188" t="s">
        <v>3620</v>
      </c>
      <c r="O188" t="s">
        <v>3621</v>
      </c>
      <c r="P188" t="s">
        <v>3622</v>
      </c>
      <c r="Q188" t="s">
        <v>3623</v>
      </c>
      <c r="R188" t="str">
        <f t="shared" si="6"/>
        <v>user-female.jpg</v>
      </c>
      <c r="V188" s="6" t="str" cm="1">
        <f t="array" ref="V188">INDEX(Folha1!$C$2:$C$396,W188)</f>
        <v>$2a$10$cqZiTV14WY07NCNwaHlTlOabfRo.fAAPeDbLJKaCPMTI3c9ShwWYq</v>
      </c>
      <c r="W188">
        <f>MATCH(C188,Folha1!$B$2:$B$396,0)</f>
        <v>374</v>
      </c>
      <c r="Y188" t="str">
        <f t="shared" si="7"/>
        <v>(374,'catboa1050', '$2a$10$cqZiTV14WY07NCNwaHlTlOabfRo.fAAPeDbLJKaCPMTI3c9ShwWYq', 'Catarina Ana Oliveira Almeida', 'Feminino', '1975-02-22', 'Rua do Salitre', '1050-502', 'Lisboa', 'Utente', 'Portuguesa', 'Bilhete de Identidade', '28402659', '603277121', '816444751', '939089121', 'catboa1050@sapo.pt', 'user-female.jpg'),</v>
      </c>
      <c r="Z188" t="str">
        <f t="shared" si="8"/>
        <v>(374),</v>
      </c>
    </row>
    <row r="189" spans="1:26" x14ac:dyDescent="0.25">
      <c r="A189">
        <v>375</v>
      </c>
      <c r="B189" t="s">
        <v>3624</v>
      </c>
      <c r="C189" t="s">
        <v>3625</v>
      </c>
      <c r="D189" t="s">
        <v>3626</v>
      </c>
      <c r="E189" t="s">
        <v>53</v>
      </c>
      <c r="F189" s="7">
        <v>19510</v>
      </c>
      <c r="G189" t="s">
        <v>244</v>
      </c>
      <c r="H189" t="s">
        <v>3627</v>
      </c>
      <c r="I189" t="s">
        <v>201</v>
      </c>
      <c r="J189" t="s">
        <v>3727</v>
      </c>
      <c r="K189" t="s">
        <v>225</v>
      </c>
      <c r="L189" t="s">
        <v>265</v>
      </c>
      <c r="M189" t="s">
        <v>3628</v>
      </c>
      <c r="N189" t="s">
        <v>3629</v>
      </c>
      <c r="O189" t="s">
        <v>3630</v>
      </c>
      <c r="P189" t="s">
        <v>3631</v>
      </c>
      <c r="Q189" t="s">
        <v>3632</v>
      </c>
      <c r="R189" t="str">
        <f t="shared" si="6"/>
        <v>user-male.jpg</v>
      </c>
      <c r="V189" s="6" t="str" cm="1">
        <f t="array" ref="V189">INDEX(Folha1!$C$2:$C$396,W189)</f>
        <v>$2a$10$yvBWghkIlmnU/mk4cngVW.4hy8DbeBUoz/OEV6COFMZeRAUrXDdey</v>
      </c>
      <c r="W189">
        <f>MATCH(C189,Folha1!$B$2:$B$396,0)</f>
        <v>375</v>
      </c>
      <c r="Y189" t="str">
        <f t="shared" si="7"/>
        <v>(375,'sanria2415', '$2a$10$yvBWghkIlmnU/mk4cngVW.4hy8DbeBUoz/OEV6COFMZeRAUrXDdey', 'Santiago Francisco Jesus Guerreiro', 'Masculino', '1953-05-31', 'Rua da Betesga', '2415-766', 'Leiria', 'Utente', 'Portuguesa', 'Bilhete de Identidade', '10030705', '175130611', '439709162', '968447369', 'sanria2415@outlook.com', 'user-male.jpg'),</v>
      </c>
      <c r="Z189" t="str">
        <f t="shared" si="8"/>
        <v>(375),</v>
      </c>
    </row>
    <row r="190" spans="1:26" x14ac:dyDescent="0.25">
      <c r="A190">
        <v>376</v>
      </c>
      <c r="B190" t="s">
        <v>3633</v>
      </c>
      <c r="C190" t="s">
        <v>3634</v>
      </c>
      <c r="D190" t="s">
        <v>3635</v>
      </c>
      <c r="E190" t="s">
        <v>53</v>
      </c>
      <c r="F190" s="7">
        <v>35493</v>
      </c>
      <c r="G190" t="s">
        <v>260</v>
      </c>
      <c r="H190" t="s">
        <v>3636</v>
      </c>
      <c r="I190" t="s">
        <v>211</v>
      </c>
      <c r="J190" t="s">
        <v>3727</v>
      </c>
      <c r="K190" t="s">
        <v>225</v>
      </c>
      <c r="L190" t="s">
        <v>265</v>
      </c>
      <c r="M190" t="s">
        <v>3637</v>
      </c>
      <c r="N190" t="s">
        <v>3638</v>
      </c>
      <c r="O190" t="s">
        <v>3639</v>
      </c>
      <c r="P190" t="s">
        <v>3640</v>
      </c>
      <c r="Q190" t="s">
        <v>3641</v>
      </c>
      <c r="R190" t="str">
        <f t="shared" si="6"/>
        <v>user-male.jpg</v>
      </c>
      <c r="V190" s="6" t="str" cm="1">
        <f t="array" ref="V190">INDEX(Folha1!$C$2:$C$396,W190)</f>
        <v>$2a$10$WxPeKASXqVIJFa8CH03IJOX3E.cRXyXVmamypUOQdvZolLWvKvZxy</v>
      </c>
      <c r="W190">
        <f>MATCH(C190,Folha1!$B$2:$B$396,0)</f>
        <v>376</v>
      </c>
      <c r="Y190" t="str">
        <f t="shared" si="7"/>
        <v>(376,'gabboa1068', '$2a$10$WxPeKASXqVIJFa8CH03IJOX3E.cRXyXVmamypUOQdvZolLWvKvZxy', 'Gabriel Mariana Alves Batista', 'Masculino', '1997-03-04', 'Rua Augusta', '1068-401', 'Lisboa', 'Utente', 'Portuguesa', 'Bilhete de Identidade', '25662799', '861404898', '753480671', '922347116', 'gabboa1068@outlook.com', 'user-male.jpg'),</v>
      </c>
      <c r="Z190" t="str">
        <f t="shared" si="8"/>
        <v>(376),</v>
      </c>
    </row>
    <row r="191" spans="1:26" x14ac:dyDescent="0.25">
      <c r="A191">
        <v>377</v>
      </c>
      <c r="B191" t="s">
        <v>3642</v>
      </c>
      <c r="C191" t="s">
        <v>3643</v>
      </c>
      <c r="D191" t="s">
        <v>3644</v>
      </c>
      <c r="E191" t="s">
        <v>53</v>
      </c>
      <c r="F191" s="7">
        <v>40749</v>
      </c>
      <c r="G191" t="s">
        <v>234</v>
      </c>
      <c r="H191" t="s">
        <v>3645</v>
      </c>
      <c r="I191" t="s">
        <v>204</v>
      </c>
      <c r="J191" t="s">
        <v>3727</v>
      </c>
      <c r="K191" t="s">
        <v>225</v>
      </c>
      <c r="L191" t="s">
        <v>265</v>
      </c>
      <c r="M191" t="s">
        <v>3646</v>
      </c>
      <c r="N191" t="s">
        <v>3647</v>
      </c>
      <c r="O191" t="s">
        <v>3648</v>
      </c>
      <c r="P191" t="s">
        <v>3649</v>
      </c>
      <c r="Q191" t="s">
        <v>3650</v>
      </c>
      <c r="R191" t="str">
        <f t="shared" si="6"/>
        <v>user-male.jpg</v>
      </c>
      <c r="V191" s="6" t="str" cm="1">
        <f t="array" ref="V191">INDEX(Folha1!$C$2:$C$396,W191)</f>
        <v>$2a$10$WqREPdIPYy0vIycPxnKgQe1ZdFyPBDhAGggH0ZHlQJx5gV2s7SzJq</v>
      </c>
      <c r="W191">
        <f>MATCH(C191,Folha1!$B$2:$B$396,0)</f>
        <v>377</v>
      </c>
      <c r="Y191" t="str">
        <f t="shared" si="7"/>
        <v>(377,'pedras2560', '$2a$10$WqREPdIPYy0vIycPxnKgQe1ZdFyPBDhAGggH0ZHlQJx5gV2s7SzJq', 'Pedro Martim Leite Costa', 'Masculino', '2011-07-25', 'Rua do Instituto Bacteriológico', '2560-032', 'Torres Vedras', 'Utente', 'Portuguesa', 'Bilhete de Identidade', '11043736', '638792183', '537044970', '936679793', 'pedras2560@outlook.com', 'user-male.jpg'),</v>
      </c>
      <c r="Z191" t="str">
        <f t="shared" si="8"/>
        <v>(377),</v>
      </c>
    </row>
    <row r="192" spans="1:26" x14ac:dyDescent="0.25">
      <c r="A192">
        <v>378</v>
      </c>
      <c r="B192" t="s">
        <v>3651</v>
      </c>
      <c r="C192" t="s">
        <v>3652</v>
      </c>
      <c r="D192" t="s">
        <v>3653</v>
      </c>
      <c r="E192" t="s">
        <v>66</v>
      </c>
      <c r="F192" s="7">
        <v>14252</v>
      </c>
      <c r="G192" t="s">
        <v>229</v>
      </c>
      <c r="H192" t="s">
        <v>3654</v>
      </c>
      <c r="I192" t="s">
        <v>211</v>
      </c>
      <c r="J192" t="s">
        <v>3727</v>
      </c>
      <c r="K192" t="s">
        <v>225</v>
      </c>
      <c r="L192" t="s">
        <v>265</v>
      </c>
      <c r="M192" t="s">
        <v>3655</v>
      </c>
      <c r="N192" t="s">
        <v>3656</v>
      </c>
      <c r="O192" t="s">
        <v>3657</v>
      </c>
      <c r="P192" t="s">
        <v>3658</v>
      </c>
      <c r="Q192" t="s">
        <v>3659</v>
      </c>
      <c r="R192" t="str">
        <f t="shared" si="6"/>
        <v>user-female.jpg</v>
      </c>
      <c r="V192" s="6" t="str" cm="1">
        <f t="array" ref="V192">INDEX(Folha1!$C$2:$C$396,W192)</f>
        <v>$2a$10$E.FyOfdhtspn0OwUQqCwzus09FgpCK4.J.m6fxIdoFX5coauWgtuC</v>
      </c>
      <c r="W192">
        <f>MATCH(C192,Folha1!$B$2:$B$396,0)</f>
        <v>378</v>
      </c>
      <c r="Y192" t="str">
        <f t="shared" si="7"/>
        <v>(378,'diaboa1149', '$2a$10$E.FyOfdhtspn0OwUQqCwzus09FgpCK4.J.m6fxIdoFX5coauWgtuC', 'Diana Daniela Rodrigues Machado', 'Feminino', '1939-01-07', 'Rua Cidade de Bolama', '1149-882', 'Lisboa', 'Utente', 'Portuguesa', 'Bilhete de Identidade', '68689576', '309977083', '880754714', '918013222', 'diaboa1149@sapo.pt', 'user-female.jpg'),</v>
      </c>
      <c r="Z192" t="str">
        <f t="shared" si="8"/>
        <v>(378),</v>
      </c>
    </row>
    <row r="193" spans="1:26" x14ac:dyDescent="0.25">
      <c r="A193">
        <v>379</v>
      </c>
      <c r="B193" t="s">
        <v>3660</v>
      </c>
      <c r="C193" t="s">
        <v>3661</v>
      </c>
      <c r="D193" t="s">
        <v>3662</v>
      </c>
      <c r="E193" t="s">
        <v>66</v>
      </c>
      <c r="F193" s="7">
        <v>31720</v>
      </c>
      <c r="G193" t="s">
        <v>231</v>
      </c>
      <c r="H193" t="s">
        <v>3663</v>
      </c>
      <c r="I193" t="s">
        <v>209</v>
      </c>
      <c r="J193" t="s">
        <v>3727</v>
      </c>
      <c r="K193" t="s">
        <v>225</v>
      </c>
      <c r="L193" t="s">
        <v>265</v>
      </c>
      <c r="M193" t="s">
        <v>3664</v>
      </c>
      <c r="N193" t="s">
        <v>3665</v>
      </c>
      <c r="O193" t="s">
        <v>3666</v>
      </c>
      <c r="P193" t="s">
        <v>3667</v>
      </c>
      <c r="Q193" t="s">
        <v>3668</v>
      </c>
      <c r="R193" t="str">
        <f t="shared" si="6"/>
        <v>user-female.jpg</v>
      </c>
      <c r="V193" s="6" t="str" cm="1">
        <f t="array" ref="V193">INDEX(Folha1!$C$2:$C$396,W193)</f>
        <v>$2a$10$Pllh5sSnxFMH/C1b4crFjOUW9RLKf/D/vyCs3mA34WmNbnLvxCnRy</v>
      </c>
      <c r="W193">
        <f>MATCH(C193,Folha1!$B$2:$B$396,0)</f>
        <v>379</v>
      </c>
      <c r="Y193" t="str">
        <f t="shared" si="7"/>
        <v>(379,'marada2810', '$2a$10$Pllh5sSnxFMH/C1b4crFjOUW9RLKf/D/vyCs3mA34WmNbnLvxCnRy', 'Mariana Martim Reis Carneiro', 'Feminino', '1986-11-04', 'Rua dos Fanqueiros', '2810-499', 'Almada', 'Utente', 'Portuguesa', 'Bilhete de Identidade', '66498218', '563768317', '752205875', '920248595', 'marada2810@gmail.com', 'user-female.jpg'),</v>
      </c>
      <c r="Z193" t="str">
        <f t="shared" si="8"/>
        <v>(379),</v>
      </c>
    </row>
    <row r="194" spans="1:26" x14ac:dyDescent="0.25">
      <c r="A194">
        <v>380</v>
      </c>
      <c r="B194" t="s">
        <v>3669</v>
      </c>
      <c r="C194" t="s">
        <v>3670</v>
      </c>
      <c r="D194" t="s">
        <v>3671</v>
      </c>
      <c r="E194" t="s">
        <v>66</v>
      </c>
      <c r="F194" s="7">
        <v>32584</v>
      </c>
      <c r="G194" t="s">
        <v>250</v>
      </c>
      <c r="H194" t="s">
        <v>3672</v>
      </c>
      <c r="I194" t="s">
        <v>211</v>
      </c>
      <c r="J194" t="s">
        <v>3727</v>
      </c>
      <c r="K194" t="s">
        <v>225</v>
      </c>
      <c r="L194" t="s">
        <v>265</v>
      </c>
      <c r="M194" t="s">
        <v>3673</v>
      </c>
      <c r="N194" t="s">
        <v>3674</v>
      </c>
      <c r="O194" t="s">
        <v>3675</v>
      </c>
      <c r="P194" t="s">
        <v>3676</v>
      </c>
      <c r="Q194" t="s">
        <v>3677</v>
      </c>
      <c r="R194" t="str">
        <f t="shared" si="6"/>
        <v>user-female.jpg</v>
      </c>
      <c r="V194" s="6" t="str" cm="1">
        <f t="array" ref="V194">INDEX(Folha1!$C$2:$C$396,W194)</f>
        <v>$2a$10$EZ/KeBKjaTuanr0jJKkduOTx5JWBb8EBqq8a9fRHVf0a/a60lbBOa</v>
      </c>
      <c r="W194">
        <f>MATCH(C194,Folha1!$B$2:$B$396,0)</f>
        <v>380</v>
      </c>
      <c r="Y194" t="str">
        <f t="shared" si="7"/>
        <v>(380,'carboa1949', '$2a$10$EZ/KeBKjaTuanr0jJKkduOTx5JWBb8EBqq8a9fRHVf0a/a60lbBOa', 'Carolina Martim Reis Lourenço', 'Feminino', '1989-03-17', 'Rua Nova do Almada', '1949-719', 'Lisboa', 'Utente', 'Portuguesa', 'Bilhete de Identidade', '19911014', '225081273', '811899239', '912691503', 'carboa1949@sapo.pt', 'user-female.jpg'),</v>
      </c>
      <c r="Z194" t="str">
        <f t="shared" si="8"/>
        <v>(380),</v>
      </c>
    </row>
    <row r="195" spans="1:26" x14ac:dyDescent="0.25">
      <c r="A195">
        <v>381</v>
      </c>
      <c r="B195" t="s">
        <v>3678</v>
      </c>
      <c r="C195" t="s">
        <v>3679</v>
      </c>
      <c r="D195" t="s">
        <v>3680</v>
      </c>
      <c r="E195" t="s">
        <v>66</v>
      </c>
      <c r="F195" s="7">
        <v>23808</v>
      </c>
      <c r="G195" t="s">
        <v>262</v>
      </c>
      <c r="H195" t="s">
        <v>3681</v>
      </c>
      <c r="I195" t="s">
        <v>222</v>
      </c>
      <c r="J195" t="s">
        <v>3727</v>
      </c>
      <c r="K195" t="s">
        <v>225</v>
      </c>
      <c r="L195" t="s">
        <v>265</v>
      </c>
      <c r="M195" t="s">
        <v>3682</v>
      </c>
      <c r="N195" t="s">
        <v>3683</v>
      </c>
      <c r="O195" t="s">
        <v>3684</v>
      </c>
      <c r="P195" t="s">
        <v>3685</v>
      </c>
      <c r="Q195" t="s">
        <v>3686</v>
      </c>
      <c r="R195" t="str">
        <f t="shared" ref="R195:R199" si="9">IF(E195="Feminino","user-female.jpg","user-male.jpg")</f>
        <v>user-female.jpg</v>
      </c>
      <c r="V195" s="6" t="str" cm="1">
        <f t="array" ref="V195">INDEX(Folha1!$C$2:$C$396,W195)</f>
        <v>$2a$10$4q.ixKD4j3qbZXXVJsyAP.re0XHpSHr/02qKwrTPoeanh.PWwW5uO</v>
      </c>
      <c r="W195">
        <f>MATCH(C195,Folha1!$B$2:$B$396,0)</f>
        <v>381</v>
      </c>
      <c r="Y195" t="str">
        <f t="shared" si="7"/>
        <v>(381,'ananto2330', '$2a$10$4q.ixKD4j3qbZXXVJsyAP.re0XHpSHr/02qKwrTPoeanh.PWwW5uO', 'Ana Tiago Nascimento Azevedo', 'Feminino', '1965-03-07', 'Estrada Militar', '2330-740', 'Entroncamento', 'Utente', 'Portuguesa', 'Bilhete de Identidade', '16700050', '410114937', '612291302', '923966831', 'ananto2330@gmail.com', 'user-female.jpg'),</v>
      </c>
      <c r="Z195" t="str">
        <f t="shared" si="8"/>
        <v>(381),</v>
      </c>
    </row>
    <row r="196" spans="1:26" x14ac:dyDescent="0.25">
      <c r="A196">
        <v>382</v>
      </c>
      <c r="B196" t="s">
        <v>3687</v>
      </c>
      <c r="C196" t="s">
        <v>3688</v>
      </c>
      <c r="D196" t="s">
        <v>3689</v>
      </c>
      <c r="E196" t="s">
        <v>53</v>
      </c>
      <c r="F196" s="7">
        <v>38168</v>
      </c>
      <c r="G196" t="s">
        <v>248</v>
      </c>
      <c r="H196" t="s">
        <v>3690</v>
      </c>
      <c r="I196" t="s">
        <v>211</v>
      </c>
      <c r="J196" t="s">
        <v>3727</v>
      </c>
      <c r="K196" t="s">
        <v>225</v>
      </c>
      <c r="L196" t="s">
        <v>265</v>
      </c>
      <c r="M196" t="s">
        <v>3691</v>
      </c>
      <c r="N196" t="s">
        <v>3692</v>
      </c>
      <c r="O196" t="s">
        <v>3693</v>
      </c>
      <c r="P196" t="s">
        <v>3694</v>
      </c>
      <c r="Q196" t="s">
        <v>3695</v>
      </c>
      <c r="R196" t="str">
        <f t="shared" si="9"/>
        <v>user-male.jpg</v>
      </c>
      <c r="V196" s="6" t="str" cm="1">
        <f t="array" ref="V196">INDEX(Folha1!$C$2:$C$396,W196)</f>
        <v>$2a$10$oD4rh1Go/OUYgnfjtsz/g.s64E8sJgBjaktnttlhANzYbVeHkvDcq</v>
      </c>
      <c r="W196">
        <f>MATCH(C196,Folha1!$B$2:$B$396,0)</f>
        <v>382</v>
      </c>
      <c r="Y196" t="str">
        <f>"(" &amp; A196 &amp;",'" &amp; B196 &amp; "', '" &amp; V196 &amp; "', '" &amp; D196 &amp; "', '" &amp; E196 &amp; "', '" &amp; TEXT(F196, "yyyy-mm-dd") &amp; "', '" &amp; G196 &amp; "', '" &amp; H196 &amp; "', '" &amp; I196 &amp; "', '" &amp; J196 &amp; "', '" &amp; K196 &amp; "', '" &amp; L196 &amp; "', '" &amp; M196 &amp; "', '" &amp; N196 &amp; "', '" &amp; O196 &amp; "', '" &amp; P196 &amp; "', '" &amp; Q196 &amp; "', '" &amp; R196 &amp; "'),"</f>
        <v>(382,'marboa1849', '$2a$10$oD4rh1Go/OUYgnfjtsz/g.s64E8sJgBjaktnttlhANzYbVeHkvDcq', 'Martim Ana Machado Raposo', 'Masculino', '2004-06-30', 'Rua General Morais Sarmento', '1849-417', 'Lisboa', 'Utente', 'Portuguesa', 'Bilhete de Identidade', '68286763', '466380166', '179861279', '918458486', 'marboa1849@sapo.pt', 'user-male.jpg'),</v>
      </c>
      <c r="Z196" t="str">
        <f t="shared" ref="Z196:Z198" si="10">"(" &amp; A196 &amp;"),"</f>
        <v>(382),</v>
      </c>
    </row>
    <row r="197" spans="1:26" x14ac:dyDescent="0.25">
      <c r="A197">
        <v>383</v>
      </c>
      <c r="B197" t="s">
        <v>3696</v>
      </c>
      <c r="C197" t="s">
        <v>3697</v>
      </c>
      <c r="D197" t="s">
        <v>3698</v>
      </c>
      <c r="E197" t="s">
        <v>66</v>
      </c>
      <c r="F197" s="7">
        <v>44443</v>
      </c>
      <c r="G197" t="s">
        <v>261</v>
      </c>
      <c r="H197" t="s">
        <v>3699</v>
      </c>
      <c r="I197" t="s">
        <v>211</v>
      </c>
      <c r="J197" t="s">
        <v>3727</v>
      </c>
      <c r="K197" t="s">
        <v>225</v>
      </c>
      <c r="L197" t="s">
        <v>265</v>
      </c>
      <c r="M197" t="s">
        <v>3700</v>
      </c>
      <c r="N197" t="s">
        <v>3701</v>
      </c>
      <c r="O197" t="s">
        <v>3702</v>
      </c>
      <c r="P197" t="s">
        <v>3703</v>
      </c>
      <c r="Q197" t="s">
        <v>3704</v>
      </c>
      <c r="R197" t="str">
        <f t="shared" si="9"/>
        <v>user-female.jpg</v>
      </c>
      <c r="V197" s="6" t="str" cm="1">
        <f t="array" ref="V197">INDEX(Folha1!$C$2:$C$396,W197)</f>
        <v>$2a$10$Ey3C1THHuna.5nz2ws7Y4eUVfv1LpKKKh/OlrZ2ejh0Qp0pc6TUja</v>
      </c>
      <c r="W197">
        <f>MATCH(C197,Folha1!$B$2:$B$396,0)</f>
        <v>383</v>
      </c>
      <c r="Y197" t="str">
        <f>"(" &amp; A197 &amp;",'" &amp; B197 &amp; "', '" &amp; V197 &amp; "', '" &amp; D197 &amp; "', '" &amp; E197 &amp; "', '" &amp; TEXT(F197, "yyyy-mm-dd") &amp; "', '" &amp; G197 &amp; "', '" &amp; H197 &amp; "', '" &amp; I197 &amp; "', '" &amp; J197 &amp; "', '" &amp; K197 &amp; "', '" &amp; L197 &amp; "', '" &amp; M197 &amp; "', '" &amp; N197 &amp; "', '" &amp; O197 &amp; "', '" &amp; P197 &amp; "', '" &amp; Q197 &amp; "', '" &amp; R197 &amp; "'),"</f>
        <v>(383,'marboa1300', '$2a$10$Ey3C1THHuna.5nz2ws7Y4eUVfv1LpKKKh/OlrZ2ejh0Qp0pc6TUja', 'Mariana Daniela Batista Nunes', 'Feminino', '2021-09-04', 'Rua do Carmo', '1300-076', 'Lisboa', 'Utente', 'Portuguesa', 'Bilhete de Identidade', '85669523', '389028289', '959109928', '962786004', 'marboa1300@gmail.com', 'user-female.jpg'),</v>
      </c>
      <c r="Z197" t="str">
        <f t="shared" si="10"/>
        <v>(383),</v>
      </c>
    </row>
    <row r="198" spans="1:26" x14ac:dyDescent="0.25">
      <c r="A198">
        <v>384</v>
      </c>
      <c r="B198" t="s">
        <v>3705</v>
      </c>
      <c r="C198" t="s">
        <v>3706</v>
      </c>
      <c r="D198" t="s">
        <v>3707</v>
      </c>
      <c r="E198" t="s">
        <v>66</v>
      </c>
      <c r="F198" s="7">
        <v>14423</v>
      </c>
      <c r="G198" t="s">
        <v>239</v>
      </c>
      <c r="H198" t="s">
        <v>3708</v>
      </c>
      <c r="I198" t="s">
        <v>209</v>
      </c>
      <c r="J198" t="s">
        <v>3727</v>
      </c>
      <c r="K198" t="s">
        <v>225</v>
      </c>
      <c r="L198" t="s">
        <v>265</v>
      </c>
      <c r="M198" t="s">
        <v>3709</v>
      </c>
      <c r="N198" t="s">
        <v>3710</v>
      </c>
      <c r="O198" t="s">
        <v>3711</v>
      </c>
      <c r="P198" t="s">
        <v>3712</v>
      </c>
      <c r="Q198" t="s">
        <v>3713</v>
      </c>
      <c r="R198" t="str">
        <f t="shared" si="9"/>
        <v>user-female.jpg</v>
      </c>
      <c r="V198" s="6" t="str" cm="1">
        <f t="array" ref="V198">INDEX(Folha1!$C$2:$C$396,W198)</f>
        <v>$2a$10$5yLFcrq0DtxY6uAybtYjOuqyqRWXGjFc.OKEwKpFSStiQvvMrK8TK</v>
      </c>
      <c r="W198">
        <f>MATCH(C198,Folha1!$B$2:$B$396,0)</f>
        <v>384</v>
      </c>
      <c r="Y198" t="str">
        <f>"(" &amp; A198 &amp;",'" &amp; B198 &amp; "', '" &amp; V198 &amp; "', '" &amp; D198 &amp; "', '" &amp; E198 &amp; "', '" &amp; TEXT(F198, "yyyy-mm-dd") &amp; "', '" &amp; G198 &amp; "', '" &amp; H198 &amp; "', '" &amp; I198 &amp; "', '" &amp; J198 &amp; "', '" &amp; K198 &amp; "', '" &amp; L198 &amp; "', '" &amp; M198 &amp; "', '" &amp; N198 &amp; "', '" &amp; O198 &amp; "', '" &amp; P198 &amp; "', '" &amp; Q198 &amp; "', '" &amp; R198 &amp; "'),"</f>
        <v>(384,'danada2810', '$2a$10$5yLFcrq0DtxY6uAybtYjOuqyqRWXGjFc.OKEwKpFSStiQvvMrK8TK', 'Daniela Sara Cruz Sousa', 'Feminino', '1939-06-27', 'Rua da Oliveira ao Carmo', '2810-166', 'Almada', 'Utente', 'Portuguesa', 'Bilhete de Identidade', '24535120', '823146489', '716190758', '921399761', 'danada2810@gmail.com', 'user-female.jpg'),</v>
      </c>
      <c r="Z198" t="str">
        <f t="shared" si="10"/>
        <v>(384),</v>
      </c>
    </row>
    <row r="199" spans="1:26" x14ac:dyDescent="0.25">
      <c r="A199">
        <v>385</v>
      </c>
      <c r="B199" t="s">
        <v>3714</v>
      </c>
      <c r="C199" t="s">
        <v>3715</v>
      </c>
      <c r="D199" t="s">
        <v>3716</v>
      </c>
      <c r="E199" t="s">
        <v>53</v>
      </c>
      <c r="F199" s="7">
        <v>12035</v>
      </c>
      <c r="G199" t="s">
        <v>236</v>
      </c>
      <c r="H199" t="s">
        <v>3717</v>
      </c>
      <c r="I199" t="s">
        <v>216</v>
      </c>
      <c r="J199" t="s">
        <v>3727</v>
      </c>
      <c r="K199" t="s">
        <v>225</v>
      </c>
      <c r="L199" t="s">
        <v>265</v>
      </c>
      <c r="M199" t="s">
        <v>3718</v>
      </c>
      <c r="N199" t="s">
        <v>3719</v>
      </c>
      <c r="O199" t="s">
        <v>3720</v>
      </c>
      <c r="P199" t="s">
        <v>3721</v>
      </c>
      <c r="Q199" t="s">
        <v>3722</v>
      </c>
      <c r="R199" t="str">
        <f t="shared" si="9"/>
        <v>user-male.jpg</v>
      </c>
      <c r="V199" s="6" t="str" cm="1">
        <f t="array" ref="V199">INDEX(Folha1!$C$2:$C$396,W199)</f>
        <v>$2a$10$/UZtCGOr5R07UefaaEc9BOi3OBZwOx8Exhcpf0D2376MboC5ko5z.</v>
      </c>
      <c r="W199">
        <f>MATCH(C199,Folha1!$B$2:$B$396,0)</f>
        <v>385</v>
      </c>
      <c r="Y199" t="str">
        <f>"(" &amp; A199 &amp;",'" &amp; B199 &amp; "', '" &amp; V199 &amp; "', '" &amp; D199 &amp; "', '" &amp; E199 &amp; "', '" &amp; TEXT(F199, "yyyy-mm-dd") &amp; "', '" &amp; G199 &amp; "', '" &amp; H199 &amp; "', '" &amp; I199 &amp; "', '" &amp; J199 &amp; "', '" &amp; K199 &amp; "', '" &amp; L199 &amp; "', '" &amp; M199 &amp; "', '" &amp; N199 &amp; "', '" &amp; O199 &amp; "', '" &amp; P199 &amp; "', '" &amp; Q199 &amp; "', '" &amp; R199 &amp; "');"</f>
        <v>(385,'josiro2834', '$2a$10$/UZtCGOr5R07UefaaEc9BOi3OBZwOx8Exhcpf0D2376MboC5ko5z.', 'José Maria Brito Rocha', 'Masculino', '1932-12-12', 'Rua da Madalena', '2834-451', 'Barreiro', 'Utente', 'Portuguesa', 'Bilhete de Identidade', '90085975', '961759372', '243100371', '963816258', 'josiro2834@gmail.com', 'user-male.jpg');</v>
      </c>
      <c r="Z199" t="str">
        <f>"(" &amp; A199 &amp;");"</f>
        <v>(385);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D8C3D-CAB1-4DB1-8715-8318172F2BEB}">
  <dimension ref="A1:AA188"/>
  <sheetViews>
    <sheetView topLeftCell="A169" workbookViewId="0">
      <selection activeCell="Y189" sqref="Y189"/>
    </sheetView>
  </sheetViews>
  <sheetFormatPr defaultRowHeight="15" x14ac:dyDescent="0.25"/>
  <cols>
    <col min="3" max="3" width="11.5703125" customWidth="1"/>
    <col min="4" max="4" width="16" customWidth="1"/>
    <col min="6" max="6" width="10.7109375" bestFit="1" customWidth="1"/>
    <col min="14" max="14" width="10" bestFit="1" customWidth="1"/>
    <col min="19" max="19" width="17.28515625" bestFit="1" customWidth="1"/>
    <col min="26" max="26" width="13.140625" customWidth="1"/>
  </cols>
  <sheetData>
    <row r="1" spans="1:27" x14ac:dyDescent="0.2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s="3" t="s">
        <v>187</v>
      </c>
      <c r="G1" s="3" t="s">
        <v>277</v>
      </c>
      <c r="H1" t="s">
        <v>2025</v>
      </c>
      <c r="I1" s="3" t="s">
        <v>334</v>
      </c>
      <c r="J1" s="3" t="s">
        <v>278</v>
      </c>
      <c r="K1" t="s">
        <v>279</v>
      </c>
      <c r="L1" s="3" t="s">
        <v>337</v>
      </c>
      <c r="M1" s="3" t="s">
        <v>335</v>
      </c>
      <c r="N1" t="s">
        <v>280</v>
      </c>
      <c r="O1" t="s">
        <v>281</v>
      </c>
      <c r="P1" t="s">
        <v>266</v>
      </c>
      <c r="Q1" t="s">
        <v>282</v>
      </c>
      <c r="R1" t="s">
        <v>283</v>
      </c>
      <c r="S1" t="s">
        <v>342</v>
      </c>
      <c r="T1" t="s">
        <v>3724</v>
      </c>
      <c r="V1" s="6" t="s">
        <v>4230</v>
      </c>
      <c r="W1" s="6" t="s">
        <v>4229</v>
      </c>
      <c r="Y1" s="5" t="s">
        <v>3735</v>
      </c>
      <c r="Z1" s="5" t="s">
        <v>3736</v>
      </c>
      <c r="AA1" s="5" t="s">
        <v>3737</v>
      </c>
    </row>
    <row r="2" spans="1:27" x14ac:dyDescent="0.25">
      <c r="A2">
        <v>1</v>
      </c>
      <c r="B2" t="s">
        <v>344</v>
      </c>
      <c r="C2" t="s">
        <v>345</v>
      </c>
      <c r="D2" t="s">
        <v>346</v>
      </c>
      <c r="E2" t="s">
        <v>53</v>
      </c>
      <c r="F2" s="7">
        <v>11987</v>
      </c>
      <c r="G2" t="s">
        <v>263</v>
      </c>
      <c r="H2" t="s">
        <v>347</v>
      </c>
      <c r="I2" t="s">
        <v>212</v>
      </c>
      <c r="J2" t="s">
        <v>3726</v>
      </c>
      <c r="K2" t="s">
        <v>225</v>
      </c>
      <c r="L2" t="s">
        <v>265</v>
      </c>
      <c r="M2" t="s">
        <v>348</v>
      </c>
      <c r="N2" t="s">
        <v>349</v>
      </c>
      <c r="O2" t="s">
        <v>350</v>
      </c>
      <c r="P2" t="s">
        <v>351</v>
      </c>
      <c r="Q2" t="s">
        <v>352</v>
      </c>
      <c r="R2" t="str">
        <f>IF(E2="Feminino","doctor-female.jpg","doctor-male.jpg")</f>
        <v>doctor-male.jpg</v>
      </c>
      <c r="S2" s="8">
        <v>9005693905941900</v>
      </c>
      <c r="T2">
        <v>1</v>
      </c>
      <c r="V2" s="6" t="str" cm="1">
        <f t="array" ref="V2">INDEX(Folha1!$C$2:$C$396,W2)</f>
        <v>$2a$10$sCyfntHoJxJkaV8/hToChe3xcls99gqWMnAFxm8Vr8fRUYmG1OPse</v>
      </c>
      <c r="W2">
        <f>MATCH(C2,Folha1!$B$2:$B$396,0)</f>
        <v>1</v>
      </c>
      <c r="Y2" t="str">
        <f>"VALUES (" &amp;A2 &amp; ",'" &amp; B2 &amp; "', '" &amp; V2 &amp; "', '" &amp; D2 &amp; "', '" &amp; E2 &amp; "', '" &amp; TEXT(F2, "yyyy-mm-dd") &amp; "', '" &amp; G2 &amp; "', '" &amp; H2 &amp; "', '" &amp; I2 &amp; "', '" &amp; J2 &amp; "', '" &amp; K2 &amp; "', '" &amp; L2 &amp; "', '" &amp; M2 &amp; "', '" &amp; N2 &amp; "', '" &amp; O2 &amp; "', '" &amp; P2 &amp; "', '" &amp; Q2 &amp; "', '" &amp; R2 &amp; "'),"</f>
        <v>VALUES (1,'med012', '$2a$10$sCyfntHoJxJkaV8/hToChe3xcls99gqWMnAFxm8Vr8fRUYmG1OPse', 'Tomás Santos', 'Masculino', '1932-10-25', 'Rua da Junqueira', '2674-999', 'Loures', 'Médico', 'Portuguesa', 'Bilhete de Identidade', '33696253', '118341462', '535478583', '963706322', 'med012@hospital.upskill.com', 'doctor-male.jpg'),</v>
      </c>
      <c r="Z2" t="str">
        <f>"VALUES (" &amp;A2 &amp; ",'" &amp; S2 &amp; "', '" &amp; T2 &amp; "'),"</f>
        <v>VALUES (1,'9005693905941900', '1'),</v>
      </c>
      <c r="AA2" t="str">
        <f>"VALUES (" &amp;A2 &amp; "),"</f>
        <v>VALUES (1),</v>
      </c>
    </row>
    <row r="3" spans="1:27" x14ac:dyDescent="0.25">
      <c r="A3">
        <v>2</v>
      </c>
      <c r="B3" t="s">
        <v>353</v>
      </c>
      <c r="C3" t="s">
        <v>354</v>
      </c>
      <c r="D3" t="s">
        <v>355</v>
      </c>
      <c r="E3" t="s">
        <v>53</v>
      </c>
      <c r="F3" s="7">
        <v>28287</v>
      </c>
      <c r="G3" t="s">
        <v>262</v>
      </c>
      <c r="H3" t="s">
        <v>356</v>
      </c>
      <c r="I3" t="s">
        <v>208</v>
      </c>
      <c r="J3" t="s">
        <v>3726</v>
      </c>
      <c r="K3" t="s">
        <v>225</v>
      </c>
      <c r="L3" t="s">
        <v>265</v>
      </c>
      <c r="M3" t="s">
        <v>357</v>
      </c>
      <c r="N3" t="s">
        <v>358</v>
      </c>
      <c r="O3" t="s">
        <v>359</v>
      </c>
      <c r="P3" t="s">
        <v>360</v>
      </c>
      <c r="Q3" t="s">
        <v>361</v>
      </c>
      <c r="R3" t="str">
        <f t="shared" ref="R3:R66" si="0">IF(E3="Feminino","doctor-female.jpg","doctor-male.jpg")</f>
        <v>doctor-male.jpg</v>
      </c>
      <c r="S3" s="8">
        <v>6605353667692325</v>
      </c>
      <c r="T3">
        <v>2</v>
      </c>
      <c r="V3" s="6" t="str" cm="1">
        <f t="array" ref="V3">INDEX(Folha1!$C$2:$C$396,W3)</f>
        <v>$2a$10$GkLiK5N952Cp5JQU3yCpAeqKg0CwrOdQsYYy9uwa7KAmDLEKCk.ba</v>
      </c>
      <c r="W3">
        <f>MATCH(C3,Folha1!$B$2:$B$396,0)</f>
        <v>2</v>
      </c>
      <c r="Y3" t="str">
        <f>"(" &amp;A3 &amp; ",'" &amp; B3 &amp; "', '" &amp; V3 &amp; "', '" &amp; D3 &amp; "', '" &amp; E3 &amp; "', '" &amp; TEXT(F3, "yyyy-mm-dd") &amp; "', '" &amp; G3 &amp; "', '" &amp; H3 &amp; "', '" &amp; I3 &amp; "', '" &amp; J3 &amp; "', '" &amp; K3 &amp; "', '" &amp; L3 &amp; "', '" &amp; M3 &amp; "', '" &amp; N3 &amp; "', '" &amp; O3 &amp; "', '" &amp; P3 &amp; "', '" &amp; Q3 &amp; "', '" &amp; R3 &amp; "'),"</f>
        <v>(2,'med013', '$2a$10$GkLiK5N952Cp5JQU3yCpAeqKg0CwrOdQsYYy9uwa7KAmDLEKCk.ba', 'André Nogueira', 'Masculino', '1977-06-11', 'Estrada Militar', '2914-110', 'Setúbal', 'Médico', 'Portuguesa', 'Bilhete de Identidade', '58060035', '500525330', '639557550', '966710210', 'med013@hospital.upskill.com', 'doctor-male.jpg'),</v>
      </c>
      <c r="Z3" t="str">
        <f>"(" &amp;A3 &amp; ",'" &amp; S3 &amp; "', '" &amp; T3 &amp; "'),"</f>
        <v>(2,'6605353667692320', '2'),</v>
      </c>
      <c r="AA3" t="str">
        <f>"(" &amp;A3 &amp; "),"</f>
        <v>(2),</v>
      </c>
    </row>
    <row r="4" spans="1:27" x14ac:dyDescent="0.25">
      <c r="A4">
        <v>3</v>
      </c>
      <c r="B4" t="s">
        <v>362</v>
      </c>
      <c r="C4" t="s">
        <v>363</v>
      </c>
      <c r="D4" t="s">
        <v>364</v>
      </c>
      <c r="E4" t="s">
        <v>66</v>
      </c>
      <c r="F4" s="7">
        <v>26925</v>
      </c>
      <c r="G4" t="s">
        <v>257</v>
      </c>
      <c r="H4" t="s">
        <v>365</v>
      </c>
      <c r="I4" t="s">
        <v>200</v>
      </c>
      <c r="J4" t="s">
        <v>3726</v>
      </c>
      <c r="K4" t="s">
        <v>225</v>
      </c>
      <c r="L4" t="s">
        <v>265</v>
      </c>
      <c r="M4" t="s">
        <v>366</v>
      </c>
      <c r="N4" t="s">
        <v>367</v>
      </c>
      <c r="O4" t="s">
        <v>368</v>
      </c>
      <c r="P4" t="s">
        <v>369</v>
      </c>
      <c r="Q4" t="s">
        <v>370</v>
      </c>
      <c r="R4" t="str">
        <f t="shared" si="0"/>
        <v>doctor-female.jpg</v>
      </c>
      <c r="S4" s="8">
        <v>7092418714304749</v>
      </c>
      <c r="T4">
        <v>3</v>
      </c>
      <c r="V4" s="6" t="str" cm="1">
        <f t="array" ref="V4">INDEX(Folha1!$C$2:$C$396,W4)</f>
        <v>$2a$10$27NnE99YDimv1priWckUiOh2bkfx6uX1kBLTgMcochqJ0dH80q0by</v>
      </c>
      <c r="W4">
        <f>MATCH(C4,Folha1!$B$2:$B$396,0)</f>
        <v>3</v>
      </c>
      <c r="Y4" t="str">
        <f t="shared" ref="Y4:Y67" si="1">"(" &amp;A4 &amp; ",'" &amp; B4 &amp; "', '" &amp; V4 &amp; "', '" &amp; D4 &amp; "', '" &amp; E4 &amp; "', '" &amp; TEXT(F4, "yyyy-mm-dd") &amp; "', '" &amp; G4 &amp; "', '" &amp; H4 &amp; "', '" &amp; I4 &amp; "', '" &amp; J4 &amp; "', '" &amp; K4 &amp; "', '" &amp; L4 &amp; "', '" &amp; M4 &amp; "', '" &amp; N4 &amp; "', '" &amp; O4 &amp; "', '" &amp; P4 &amp; "', '" &amp; Q4 &amp; "', '" &amp; R4 &amp; "'),"</f>
        <v>(3,'med014', '$2a$10$27NnE99YDimv1priWckUiOh2bkfx6uX1kBLTgMcochqJ0dH80q0by', 'Sara Miranda', 'Feminino', '1973-09-18', 'Rua do Sol a Santana', '3000-412', 'Coimbra', 'Médico', 'Portuguesa', 'Bilhete de Identidade', '28644332', '439805765', '665084101', '910103682', 'med014@hospital.upskill.com', 'doctor-female.jpg'),</v>
      </c>
      <c r="Z4" t="str">
        <f t="shared" ref="Z4:Z67" si="2">"(" &amp;A4 &amp; ",'" &amp; S4 &amp; "', '" &amp; T4 &amp; "'),"</f>
        <v>(3,'7092418714304750', '3'),</v>
      </c>
      <c r="AA4" t="str">
        <f t="shared" ref="AA4:AA67" si="3">"(" &amp;A4 &amp; "),"</f>
        <v>(3),</v>
      </c>
    </row>
    <row r="5" spans="1:27" x14ac:dyDescent="0.25">
      <c r="A5">
        <v>4</v>
      </c>
      <c r="B5" t="s">
        <v>371</v>
      </c>
      <c r="C5" t="s">
        <v>372</v>
      </c>
      <c r="D5" t="s">
        <v>373</v>
      </c>
      <c r="E5" t="s">
        <v>66</v>
      </c>
      <c r="F5" s="7">
        <v>21109</v>
      </c>
      <c r="G5" t="s">
        <v>255</v>
      </c>
      <c r="H5" t="s">
        <v>374</v>
      </c>
      <c r="I5" t="s">
        <v>211</v>
      </c>
      <c r="J5" t="s">
        <v>3726</v>
      </c>
      <c r="K5" t="s">
        <v>225</v>
      </c>
      <c r="L5" t="s">
        <v>265</v>
      </c>
      <c r="M5" t="s">
        <v>375</v>
      </c>
      <c r="N5" t="s">
        <v>376</v>
      </c>
      <c r="O5" t="s">
        <v>377</v>
      </c>
      <c r="P5" t="s">
        <v>378</v>
      </c>
      <c r="Q5" t="s">
        <v>379</v>
      </c>
      <c r="R5" t="str">
        <f t="shared" si="0"/>
        <v>doctor-female.jpg</v>
      </c>
      <c r="S5" s="8">
        <v>6860011748332597</v>
      </c>
      <c r="T5">
        <v>4</v>
      </c>
      <c r="V5" s="6" t="str" cm="1">
        <f t="array" ref="V5">INDEX(Folha1!$C$2:$C$396,W5)</f>
        <v>$2a$10$H5KCkkVPVCWO4epryVFN0O0IViz0x0K7zaJavtV0bg5ovN1jYLN9i</v>
      </c>
      <c r="W5">
        <f>MATCH(C5,Folha1!$B$2:$B$396,0)</f>
        <v>4</v>
      </c>
      <c r="Y5" t="str">
        <f t="shared" si="1"/>
        <v>(4,'med015', '$2a$10$H5KCkkVPVCWO4epryVFN0O0IViz0x0K7zaJavtV0bg5ovN1jYLN9i', 'Sofia Fonseca', 'Feminino', '1957-10-16', 'Rua de São Bento', '1200-505', 'Lisboa', 'Médico', 'Portuguesa', 'Bilhete de Identidade', '39128367', '580249488', '963855058', '963418644', 'med015@hospital.upskill.com', 'doctor-female.jpg'),</v>
      </c>
      <c r="Z5" t="str">
        <f t="shared" si="2"/>
        <v>(4,'6860011748332600', '4'),</v>
      </c>
      <c r="AA5" t="str">
        <f t="shared" si="3"/>
        <v>(4),</v>
      </c>
    </row>
    <row r="6" spans="1:27" x14ac:dyDescent="0.25">
      <c r="A6">
        <v>5</v>
      </c>
      <c r="B6" t="s">
        <v>380</v>
      </c>
      <c r="C6" t="s">
        <v>381</v>
      </c>
      <c r="D6" t="s">
        <v>382</v>
      </c>
      <c r="E6" t="s">
        <v>53</v>
      </c>
      <c r="F6" s="7">
        <v>31299</v>
      </c>
      <c r="G6" t="s">
        <v>232</v>
      </c>
      <c r="H6" t="s">
        <v>383</v>
      </c>
      <c r="I6" t="s">
        <v>211</v>
      </c>
      <c r="J6" t="s">
        <v>3726</v>
      </c>
      <c r="K6" t="s">
        <v>225</v>
      </c>
      <c r="L6" t="s">
        <v>265</v>
      </c>
      <c r="M6" t="s">
        <v>384</v>
      </c>
      <c r="N6" t="s">
        <v>385</v>
      </c>
      <c r="O6" t="s">
        <v>386</v>
      </c>
      <c r="P6" t="s">
        <v>387</v>
      </c>
      <c r="Q6" t="s">
        <v>388</v>
      </c>
      <c r="R6" t="str">
        <f t="shared" si="0"/>
        <v>doctor-male.jpg</v>
      </c>
      <c r="S6" s="8">
        <v>9418307818692660</v>
      </c>
      <c r="T6">
        <v>5</v>
      </c>
      <c r="V6" s="6" t="str" cm="1">
        <f t="array" ref="V6">INDEX(Folha1!$C$2:$C$396,W6)</f>
        <v>$2a$10$TY2BJubJGCJ1nYLcLldCzOUUAgRq/jpbVbHpLK6PPqZ34wa1FWZcG</v>
      </c>
      <c r="W6">
        <f>MATCH(C6,Folha1!$B$2:$B$396,0)</f>
        <v>5</v>
      </c>
      <c r="Y6" t="str">
        <f t="shared" si="1"/>
        <v>(5,'med016', '$2a$10$TY2BJubJGCJ1nYLcLldCzOUUAgRq/jpbVbHpLK6PPqZ34wa1FWZcG', 'Afonso Neves', 'Masculino', '1985-09-09', 'Rua Garrett', '1949-949', 'Lisboa', 'Médico', 'Portuguesa', 'Bilhete de Identidade', '92943346', '433733189', '831453292', '911182360', 'med016@hospital.upskill.com', 'doctor-male.jpg'),</v>
      </c>
      <c r="Z6" t="str">
        <f t="shared" si="2"/>
        <v>(5,'9418307818692660', '5'),</v>
      </c>
      <c r="AA6" t="str">
        <f t="shared" si="3"/>
        <v>(5),</v>
      </c>
    </row>
    <row r="7" spans="1:27" x14ac:dyDescent="0.25">
      <c r="A7">
        <v>6</v>
      </c>
      <c r="B7" t="s">
        <v>389</v>
      </c>
      <c r="C7" t="s">
        <v>390</v>
      </c>
      <c r="D7" t="s">
        <v>391</v>
      </c>
      <c r="E7" t="s">
        <v>66</v>
      </c>
      <c r="F7" s="7">
        <v>22764</v>
      </c>
      <c r="G7" t="s">
        <v>239</v>
      </c>
      <c r="H7" t="s">
        <v>392</v>
      </c>
      <c r="I7" t="s">
        <v>205</v>
      </c>
      <c r="J7" t="s">
        <v>3726</v>
      </c>
      <c r="K7" t="s">
        <v>225</v>
      </c>
      <c r="L7" t="s">
        <v>265</v>
      </c>
      <c r="M7" t="s">
        <v>393</v>
      </c>
      <c r="N7" t="s">
        <v>394</v>
      </c>
      <c r="O7" t="s">
        <v>395</v>
      </c>
      <c r="P7" t="s">
        <v>396</v>
      </c>
      <c r="Q7" t="s">
        <v>397</v>
      </c>
      <c r="R7" t="str">
        <f t="shared" si="0"/>
        <v>doctor-female.jpg</v>
      </c>
      <c r="S7" s="8">
        <v>6314819779261168</v>
      </c>
      <c r="T7">
        <v>6</v>
      </c>
      <c r="V7" s="6" t="str" cm="1">
        <f t="array" ref="V7">INDEX(Folha1!$C$2:$C$396,W7)</f>
        <v>$2a$10$PJX3tP9/1JjiEC/MjeYm2e4QvJnjTajkkhr8h7Xwd9.5GkkWxDmzu</v>
      </c>
      <c r="W7">
        <f>MATCH(C7,Folha1!$B$2:$B$396,0)</f>
        <v>6</v>
      </c>
      <c r="Y7" t="str">
        <f t="shared" si="1"/>
        <v>(6,'med017', '$2a$10$PJX3tP9/1JjiEC/MjeYm2e4QvJnjTajkkhr8h7Xwd9.5GkkWxDmzu', 'Sofia Antunes', 'Feminino', '1962-04-28', 'Rua da Oliveira ao Carmo', '2004-480', 'Santarém', 'Médico', 'Portuguesa', 'Bilhete de Identidade', '13352267', '199571599', '450437281', '965384042', 'med017@hospital.upskill.com', 'doctor-female.jpg'),</v>
      </c>
      <c r="Z7" t="str">
        <f t="shared" si="2"/>
        <v>(6,'6314819779261170', '6'),</v>
      </c>
      <c r="AA7" t="str">
        <f t="shared" si="3"/>
        <v>(6),</v>
      </c>
    </row>
    <row r="8" spans="1:27" x14ac:dyDescent="0.25">
      <c r="A8">
        <v>7</v>
      </c>
      <c r="B8" t="s">
        <v>398</v>
      </c>
      <c r="C8" t="s">
        <v>399</v>
      </c>
      <c r="D8" t="s">
        <v>400</v>
      </c>
      <c r="E8" t="s">
        <v>53</v>
      </c>
      <c r="F8" s="7">
        <v>23791</v>
      </c>
      <c r="G8" t="s">
        <v>238</v>
      </c>
      <c r="H8" t="s">
        <v>401</v>
      </c>
      <c r="I8" t="s">
        <v>211</v>
      </c>
      <c r="J8" t="s">
        <v>3726</v>
      </c>
      <c r="K8" t="s">
        <v>225</v>
      </c>
      <c r="L8" t="s">
        <v>265</v>
      </c>
      <c r="M8" t="s">
        <v>402</v>
      </c>
      <c r="N8" t="s">
        <v>403</v>
      </c>
      <c r="O8" t="s">
        <v>404</v>
      </c>
      <c r="P8" t="s">
        <v>405</v>
      </c>
      <c r="Q8" t="s">
        <v>406</v>
      </c>
      <c r="R8" t="str">
        <f t="shared" si="0"/>
        <v>doctor-male.jpg</v>
      </c>
      <c r="S8" s="8">
        <v>9444534124478408</v>
      </c>
      <c r="T8">
        <v>7</v>
      </c>
      <c r="V8" s="6" t="str" cm="1">
        <f t="array" ref="V8">INDEX(Folha1!$C$2:$C$396,W8)</f>
        <v>$2a$10$OQZuG.EaPKLAJSbnyqLIxOZBTm7FJkvR28wqdCbhrUYnLq3UMIMwe</v>
      </c>
      <c r="W8">
        <f>MATCH(C8,Folha1!$B$2:$B$396,0)</f>
        <v>7</v>
      </c>
      <c r="Y8" t="str">
        <f t="shared" si="1"/>
        <v>(7,'med018', '$2a$10$OQZuG.EaPKLAJSbnyqLIxOZBTm7FJkvR28wqdCbhrUYnLq3UMIMwe', 'Diogo Baptista', 'Masculino', '1965-02-18', 'Calçada do Moinho de Vento', '1959-925', 'Lisboa', 'Médico', 'Portuguesa', 'Bilhete de Identidade', '55725963', '146885985', '621580208', '931465362', 'med018@hospital.upskill.com', 'doctor-male.jpg'),</v>
      </c>
      <c r="Z8" t="str">
        <f t="shared" si="2"/>
        <v>(7,'9444534124478410', '7'),</v>
      </c>
      <c r="AA8" t="str">
        <f t="shared" si="3"/>
        <v>(7),</v>
      </c>
    </row>
    <row r="9" spans="1:27" x14ac:dyDescent="0.25">
      <c r="A9">
        <v>8</v>
      </c>
      <c r="B9" t="s">
        <v>407</v>
      </c>
      <c r="C9" t="s">
        <v>408</v>
      </c>
      <c r="D9" t="s">
        <v>409</v>
      </c>
      <c r="E9" t="s">
        <v>66</v>
      </c>
      <c r="F9" s="7">
        <v>10827</v>
      </c>
      <c r="G9" t="s">
        <v>249</v>
      </c>
      <c r="H9" t="s">
        <v>410</v>
      </c>
      <c r="I9" t="s">
        <v>210</v>
      </c>
      <c r="J9" t="s">
        <v>3726</v>
      </c>
      <c r="K9" t="s">
        <v>225</v>
      </c>
      <c r="L9" t="s">
        <v>265</v>
      </c>
      <c r="M9" t="s">
        <v>411</v>
      </c>
      <c r="N9" t="s">
        <v>412</v>
      </c>
      <c r="O9" t="s">
        <v>413</v>
      </c>
      <c r="P9" t="s">
        <v>414</v>
      </c>
      <c r="Q9" t="s">
        <v>415</v>
      </c>
      <c r="R9" t="str">
        <f t="shared" si="0"/>
        <v>doctor-female.jpg</v>
      </c>
      <c r="S9" s="8">
        <v>9409085980435196</v>
      </c>
      <c r="T9">
        <v>8</v>
      </c>
      <c r="V9" s="6" t="str" cm="1">
        <f t="array" ref="V9">INDEX(Folha1!$C$2:$C$396,W9)</f>
        <v>$2a$10$C8W.ApYdhR7OvesANvf5euyahsEtRWa1aFeUUeqwJKkeDZMzMQIla</v>
      </c>
      <c r="W9">
        <f>MATCH(C9,Folha1!$B$2:$B$396,0)</f>
        <v>8</v>
      </c>
      <c r="Y9" t="str">
        <f t="shared" si="1"/>
        <v>(8,'med019', '$2a$10$C8W.ApYdhR7OvesANvf5euyahsEtRWa1aFeUUeqwJKkeDZMzMQIla', 'Vera Mendes', 'Feminino', '1929-08-22', 'Rua Júlio César Machado', '2724-953', 'Amadora', 'Médico', 'Portuguesa', 'Bilhete de Identidade', '47492153', '533401158', '521361032', '968368319', 'med019@hospital.upskill.com', 'doctor-female.jpg'),</v>
      </c>
      <c r="Z9" t="str">
        <f t="shared" si="2"/>
        <v>(8,'9409085980435200', '8'),</v>
      </c>
      <c r="AA9" t="str">
        <f t="shared" si="3"/>
        <v>(8),</v>
      </c>
    </row>
    <row r="10" spans="1:27" x14ac:dyDescent="0.25">
      <c r="A10">
        <v>9</v>
      </c>
      <c r="B10" t="s">
        <v>416</v>
      </c>
      <c r="C10" t="s">
        <v>417</v>
      </c>
      <c r="D10" t="s">
        <v>418</v>
      </c>
      <c r="E10" t="s">
        <v>53</v>
      </c>
      <c r="F10" s="7">
        <v>29267</v>
      </c>
      <c r="G10" t="s">
        <v>249</v>
      </c>
      <c r="H10" t="s">
        <v>419</v>
      </c>
      <c r="I10" t="s">
        <v>201</v>
      </c>
      <c r="J10" t="s">
        <v>3726</v>
      </c>
      <c r="K10" t="s">
        <v>225</v>
      </c>
      <c r="L10" t="s">
        <v>265</v>
      </c>
      <c r="M10" t="s">
        <v>420</v>
      </c>
      <c r="N10" t="s">
        <v>421</v>
      </c>
      <c r="O10" t="s">
        <v>422</v>
      </c>
      <c r="P10" t="s">
        <v>423</v>
      </c>
      <c r="Q10" t="s">
        <v>424</v>
      </c>
      <c r="R10" t="str">
        <f t="shared" si="0"/>
        <v>doctor-male.jpg</v>
      </c>
      <c r="S10" s="8">
        <v>7539512530165779</v>
      </c>
      <c r="T10">
        <v>9</v>
      </c>
      <c r="V10" s="6" t="str" cm="1">
        <f t="array" ref="V10">INDEX(Folha1!$C$2:$C$396,W10)</f>
        <v>$2a$10$pWLW1cravfjz/Z9EdF6ESeDxFJk1jaId9NMERW.rDWiuAVLvUyPsu</v>
      </c>
      <c r="W10">
        <f>MATCH(C10,Folha1!$B$2:$B$396,0)</f>
        <v>9</v>
      </c>
      <c r="Y10" t="str">
        <f t="shared" si="1"/>
        <v>(9,'med020', '$2a$10$pWLW1cravfjz/Z9EdF6ESeDxFJk1jaId9NMERW.rDWiuAVLvUyPsu', 'Luís Oliveira', 'Masculino', '1980-02-16', 'Rua Júlio César Machado', '2419-164', 'Leiria', 'Médico', 'Portuguesa', 'Bilhete de Identidade', '38438525', '478007887', '867442594', '924432019', 'med020@hospital.upskill.com', 'doctor-male.jpg'),</v>
      </c>
      <c r="Z10" t="str">
        <f t="shared" si="2"/>
        <v>(9,'7539512530165780', '9'),</v>
      </c>
      <c r="AA10" t="str">
        <f t="shared" si="3"/>
        <v>(9),</v>
      </c>
    </row>
    <row r="11" spans="1:27" x14ac:dyDescent="0.25">
      <c r="A11">
        <v>10</v>
      </c>
      <c r="B11" t="s">
        <v>425</v>
      </c>
      <c r="C11" t="s">
        <v>426</v>
      </c>
      <c r="D11" t="s">
        <v>427</v>
      </c>
      <c r="E11" t="s">
        <v>66</v>
      </c>
      <c r="F11" s="7">
        <v>12111</v>
      </c>
      <c r="G11" t="s">
        <v>247</v>
      </c>
      <c r="H11" t="s">
        <v>428</v>
      </c>
      <c r="I11" t="s">
        <v>210</v>
      </c>
      <c r="J11" t="s">
        <v>3726</v>
      </c>
      <c r="K11" t="s">
        <v>225</v>
      </c>
      <c r="L11" t="s">
        <v>265</v>
      </c>
      <c r="M11" t="s">
        <v>429</v>
      </c>
      <c r="N11" t="s">
        <v>430</v>
      </c>
      <c r="O11" t="s">
        <v>431</v>
      </c>
      <c r="P11" t="s">
        <v>432</v>
      </c>
      <c r="Q11" t="s">
        <v>433</v>
      </c>
      <c r="R11" t="str">
        <f t="shared" si="0"/>
        <v>doctor-female.jpg</v>
      </c>
      <c r="S11" s="8">
        <v>1061377500960076</v>
      </c>
      <c r="T11">
        <v>10</v>
      </c>
      <c r="V11" s="6" t="str" cm="1">
        <f t="array" ref="V11">INDEX(Folha1!$C$2:$C$396,W11)</f>
        <v>$2a$10$SD4v8.fbqjNPO.clLljby.U7JISQABxekkbl1rgqgpBmHZB8kqtgW</v>
      </c>
      <c r="W11">
        <f>MATCH(C11,Folha1!$B$2:$B$396,0)</f>
        <v>10</v>
      </c>
      <c r="Y11" t="str">
        <f t="shared" si="1"/>
        <v>(10,'med021', '$2a$10$SD4v8.fbqjNPO.clLljby.U7JISQABxekkbl1rgqgpBmHZB8kqtgW', 'Beatriz Guerreiro', 'Feminino', '1933-02-26', 'Rua Ferreira Lapa', '2610-611', 'Amadora', 'Médico', 'Portuguesa', 'Bilhete de Identidade', '91237602', '954771175', '775823974', '931953399', 'med021@hospital.upskill.com', 'doctor-female.jpg'),</v>
      </c>
      <c r="Z11" t="str">
        <f t="shared" si="2"/>
        <v>(10,'1061377500960080', '10'),</v>
      </c>
      <c r="AA11" t="str">
        <f t="shared" si="3"/>
        <v>(10),</v>
      </c>
    </row>
    <row r="12" spans="1:27" x14ac:dyDescent="0.25">
      <c r="A12">
        <v>11</v>
      </c>
      <c r="B12" t="s">
        <v>434</v>
      </c>
      <c r="C12" t="s">
        <v>435</v>
      </c>
      <c r="D12" t="s">
        <v>436</v>
      </c>
      <c r="E12" t="s">
        <v>53</v>
      </c>
      <c r="F12" s="7">
        <v>22513</v>
      </c>
      <c r="G12" t="s">
        <v>263</v>
      </c>
      <c r="H12" t="s">
        <v>437</v>
      </c>
      <c r="I12" t="s">
        <v>208</v>
      </c>
      <c r="J12" t="s">
        <v>3726</v>
      </c>
      <c r="K12" t="s">
        <v>225</v>
      </c>
      <c r="L12" t="s">
        <v>265</v>
      </c>
      <c r="M12" t="s">
        <v>438</v>
      </c>
      <c r="N12" t="s">
        <v>439</v>
      </c>
      <c r="O12" t="s">
        <v>440</v>
      </c>
      <c r="P12" t="s">
        <v>441</v>
      </c>
      <c r="Q12" t="s">
        <v>442</v>
      </c>
      <c r="R12" t="str">
        <f t="shared" si="0"/>
        <v>doctor-male.jpg</v>
      </c>
      <c r="S12" s="8">
        <v>5738213522357300</v>
      </c>
      <c r="T12">
        <v>11</v>
      </c>
      <c r="V12" s="6" t="str" cm="1">
        <f t="array" ref="V12">INDEX(Folha1!$C$2:$C$396,W12)</f>
        <v>$2a$10$gCYnW6C8MCxyK1zyJRKha.xG5DK2XsVZ/aOD69H6HIDYiZPBVgjOO</v>
      </c>
      <c r="W12">
        <f>MATCH(C12,Folha1!$B$2:$B$396,0)</f>
        <v>11</v>
      </c>
      <c r="Y12" t="str">
        <f t="shared" si="1"/>
        <v>(11,'med022', '$2a$10$gCYnW6C8MCxyK1zyJRKha.xG5DK2XsVZ/aOD69H6HIDYiZPBVgjOO', 'Tomás Domingues', 'Masculino', '1961-08-20', 'Rua da Junqueira', '2904-862', 'Setúbal', 'Médico', 'Portuguesa', 'Bilhete de Identidade', '17748762', '339553711', '372102865', '914038015', 'med022@hospital.upskill.com', 'doctor-male.jpg'),</v>
      </c>
      <c r="Z12" t="str">
        <f t="shared" si="2"/>
        <v>(11,'5738213522357300', '11'),</v>
      </c>
      <c r="AA12" t="str">
        <f t="shared" si="3"/>
        <v>(11),</v>
      </c>
    </row>
    <row r="13" spans="1:27" x14ac:dyDescent="0.25">
      <c r="A13">
        <v>12</v>
      </c>
      <c r="B13" t="s">
        <v>443</v>
      </c>
      <c r="C13" t="s">
        <v>444</v>
      </c>
      <c r="D13" t="s">
        <v>445</v>
      </c>
      <c r="E13" t="s">
        <v>66</v>
      </c>
      <c r="F13" s="7">
        <v>22253</v>
      </c>
      <c r="G13" t="s">
        <v>244</v>
      </c>
      <c r="H13" t="s">
        <v>446</v>
      </c>
      <c r="I13" t="s">
        <v>201</v>
      </c>
      <c r="J13" t="s">
        <v>3726</v>
      </c>
      <c r="K13" t="s">
        <v>225</v>
      </c>
      <c r="L13" t="s">
        <v>265</v>
      </c>
      <c r="M13" t="s">
        <v>447</v>
      </c>
      <c r="N13" t="s">
        <v>448</v>
      </c>
      <c r="O13" t="s">
        <v>449</v>
      </c>
      <c r="P13" t="s">
        <v>450</v>
      </c>
      <c r="Q13" t="s">
        <v>451</v>
      </c>
      <c r="R13" t="str">
        <f t="shared" si="0"/>
        <v>doctor-female.jpg</v>
      </c>
      <c r="S13" s="8">
        <v>1829016795894837</v>
      </c>
      <c r="T13">
        <v>12</v>
      </c>
      <c r="V13" s="6" t="str" cm="1">
        <f t="array" ref="V13">INDEX(Folha1!$C$2:$C$396,W13)</f>
        <v>$2a$10$/IUrTc08s9VVQZ/YIgoMJOjC/YaK6MQqZkhDJphHctu6CouLHR6bS</v>
      </c>
      <c r="W13">
        <f>MATCH(C13,Folha1!$B$2:$B$396,0)</f>
        <v>12</v>
      </c>
      <c r="Y13" t="str">
        <f t="shared" si="1"/>
        <v>(12,'med023', '$2a$10$/IUrTc08s9VVQZ/YIgoMJOjC/YaK6MQqZkhDJphHctu6CouLHR6bS', 'Maria Sousa', 'Feminino', '1960-12-03', 'Rua da Betesga', '2420-573', 'Leiria', 'Médico', 'Portuguesa', 'Bilhete de Identidade', '73526953', '707477594', '922404080', '935200647', 'med023@hospital.upskill.com', 'doctor-female.jpg'),</v>
      </c>
      <c r="Z13" t="str">
        <f t="shared" si="2"/>
        <v>(12,'1829016795894840', '12'),</v>
      </c>
      <c r="AA13" t="str">
        <f t="shared" si="3"/>
        <v>(12),</v>
      </c>
    </row>
    <row r="14" spans="1:27" x14ac:dyDescent="0.25">
      <c r="A14">
        <v>13</v>
      </c>
      <c r="B14" t="s">
        <v>452</v>
      </c>
      <c r="C14" t="s">
        <v>453</v>
      </c>
      <c r="D14" t="s">
        <v>454</v>
      </c>
      <c r="E14" t="s">
        <v>66</v>
      </c>
      <c r="F14" s="7">
        <v>14100</v>
      </c>
      <c r="G14" t="s">
        <v>234</v>
      </c>
      <c r="H14" t="s">
        <v>455</v>
      </c>
      <c r="I14" t="s">
        <v>210</v>
      </c>
      <c r="J14" t="s">
        <v>3726</v>
      </c>
      <c r="K14" t="s">
        <v>225</v>
      </c>
      <c r="L14" t="s">
        <v>265</v>
      </c>
      <c r="M14" t="s">
        <v>456</v>
      </c>
      <c r="N14" t="s">
        <v>457</v>
      </c>
      <c r="O14" t="s">
        <v>458</v>
      </c>
      <c r="P14" t="s">
        <v>459</v>
      </c>
      <c r="Q14" t="s">
        <v>460</v>
      </c>
      <c r="R14" t="str">
        <f t="shared" si="0"/>
        <v>doctor-female.jpg</v>
      </c>
      <c r="S14" s="8">
        <v>9249836960587528</v>
      </c>
      <c r="T14">
        <v>13</v>
      </c>
      <c r="V14" s="6" t="str" cm="1">
        <f t="array" ref="V14">INDEX(Folha1!$C$2:$C$396,W14)</f>
        <v>$2a$10$mA0aO6/Vhp1IPcjSJaS3Iuz.GA/lkZbJX4jmKFZjabuA.OzhPMkdy</v>
      </c>
      <c r="W14">
        <f>MATCH(C14,Folha1!$B$2:$B$396,0)</f>
        <v>13</v>
      </c>
      <c r="Y14" t="str">
        <f t="shared" si="1"/>
        <v>(13,'med024', '$2a$10$mA0aO6/Vhp1IPcjSJaS3Iuz.GA/lkZbJX4jmKFZjabuA.OzhPMkdy', 'Lurdes Esteves', 'Feminino', '1938-08-08', 'Rua do Instituto Bacteriológico', '2654-516', 'Amadora', 'Médico', 'Portuguesa', 'Bilhete de Identidade', '44552239', '837752328', '742678965', '920367653', 'med024@hospital.upskill.com', 'doctor-female.jpg'),</v>
      </c>
      <c r="Z14" t="str">
        <f t="shared" si="2"/>
        <v>(13,'9249836960587530', '13'),</v>
      </c>
      <c r="AA14" t="str">
        <f t="shared" si="3"/>
        <v>(13),</v>
      </c>
    </row>
    <row r="15" spans="1:27" x14ac:dyDescent="0.25">
      <c r="A15">
        <v>14</v>
      </c>
      <c r="B15" t="s">
        <v>461</v>
      </c>
      <c r="C15" t="s">
        <v>462</v>
      </c>
      <c r="D15" t="s">
        <v>463</v>
      </c>
      <c r="E15" t="s">
        <v>53</v>
      </c>
      <c r="F15" s="7">
        <v>14176</v>
      </c>
      <c r="G15" t="s">
        <v>249</v>
      </c>
      <c r="H15" t="s">
        <v>464</v>
      </c>
      <c r="I15" t="s">
        <v>209</v>
      </c>
      <c r="J15" t="s">
        <v>3726</v>
      </c>
      <c r="K15" t="s">
        <v>225</v>
      </c>
      <c r="L15" t="s">
        <v>265</v>
      </c>
      <c r="M15" t="s">
        <v>465</v>
      </c>
      <c r="N15" t="s">
        <v>466</v>
      </c>
      <c r="O15" t="s">
        <v>467</v>
      </c>
      <c r="P15" t="s">
        <v>468</v>
      </c>
      <c r="Q15" t="s">
        <v>469</v>
      </c>
      <c r="R15" t="str">
        <f t="shared" si="0"/>
        <v>doctor-male.jpg</v>
      </c>
      <c r="S15" s="8">
        <v>9786406888113152</v>
      </c>
      <c r="T15">
        <v>14</v>
      </c>
      <c r="V15" s="6" t="str" cm="1">
        <f t="array" ref="V15">INDEX(Folha1!$C$2:$C$396,W15)</f>
        <v>$2a$10$T2tXj6oP3P0v0WJZ0szCOOOBNuckPzu43QTda/eTIPBqCAdLb/fui</v>
      </c>
      <c r="W15">
        <f>MATCH(C15,Folha1!$B$2:$B$396,0)</f>
        <v>14</v>
      </c>
      <c r="Y15" t="str">
        <f t="shared" si="1"/>
        <v>(14,'med025', '$2a$10$T2tXj6oP3P0v0WJZ0szCOOOBNuckPzu43QTda/eTIPBqCAdLb/fui', 'Bruno Miranda', 'Masculino', '1938-10-23', 'Rua Júlio César Machado', '2814-590', 'Almada', 'Médico', 'Portuguesa', 'Bilhete de Identidade', '95601024', '106647341', '277148136', '966864988', 'med025@hospital.upskill.com', 'doctor-male.jpg'),</v>
      </c>
      <c r="Z15" t="str">
        <f t="shared" si="2"/>
        <v>(14,'9786406888113150', '14'),</v>
      </c>
      <c r="AA15" t="str">
        <f t="shared" si="3"/>
        <v>(14),</v>
      </c>
    </row>
    <row r="16" spans="1:27" x14ac:dyDescent="0.25">
      <c r="A16">
        <v>15</v>
      </c>
      <c r="B16" t="s">
        <v>470</v>
      </c>
      <c r="C16" t="s">
        <v>471</v>
      </c>
      <c r="D16" t="s">
        <v>472</v>
      </c>
      <c r="E16" t="s">
        <v>53</v>
      </c>
      <c r="F16" s="7">
        <v>15060</v>
      </c>
      <c r="G16" t="s">
        <v>257</v>
      </c>
      <c r="H16" t="s">
        <v>473</v>
      </c>
      <c r="I16" t="s">
        <v>211</v>
      </c>
      <c r="J16" t="s">
        <v>3726</v>
      </c>
      <c r="K16" t="s">
        <v>225</v>
      </c>
      <c r="L16" t="s">
        <v>265</v>
      </c>
      <c r="M16" t="s">
        <v>474</v>
      </c>
      <c r="N16" t="s">
        <v>475</v>
      </c>
      <c r="O16" t="s">
        <v>476</v>
      </c>
      <c r="P16" t="s">
        <v>477</v>
      </c>
      <c r="Q16" t="s">
        <v>478</v>
      </c>
      <c r="R16" t="str">
        <f t="shared" si="0"/>
        <v>doctor-male.jpg</v>
      </c>
      <c r="S16" s="8">
        <v>1939027693759893</v>
      </c>
      <c r="T16">
        <v>15</v>
      </c>
      <c r="V16" s="6" t="str" cm="1">
        <f t="array" ref="V16">INDEX(Folha1!$C$2:$C$396,W16)</f>
        <v>$2a$10$URbGy/.tp1qitbitOAb91Ou0tpnzv98XBw1HVgLi0khv6mg4xEs7e</v>
      </c>
      <c r="W16">
        <f>MATCH(C16,Folha1!$B$2:$B$396,0)</f>
        <v>15</v>
      </c>
      <c r="Y16" t="str">
        <f t="shared" si="1"/>
        <v>(15,'med026', '$2a$10$URbGy/.tp1qitbitOAb91Ou0tpnzv98XBw1HVgLi0khv6mg4xEs7e', 'Luís Miranda', 'Masculino', '1941-03-25', 'Rua do Sol a Santana', '1649-61', 'Lisboa', 'Médico', 'Portuguesa', 'Bilhete de Identidade', '19045668', '662077315', '529541810', '920739832', 'med026@hospital.upskill.com', 'doctor-male.jpg'),</v>
      </c>
      <c r="Z16" t="str">
        <f t="shared" si="2"/>
        <v>(15,'1939027693759890', '15'),</v>
      </c>
      <c r="AA16" t="str">
        <f t="shared" si="3"/>
        <v>(15),</v>
      </c>
    </row>
    <row r="17" spans="1:27" x14ac:dyDescent="0.25">
      <c r="A17">
        <v>16</v>
      </c>
      <c r="B17" t="s">
        <v>479</v>
      </c>
      <c r="C17" t="s">
        <v>480</v>
      </c>
      <c r="D17" t="s">
        <v>481</v>
      </c>
      <c r="E17" t="s">
        <v>53</v>
      </c>
      <c r="F17" s="7">
        <v>32317</v>
      </c>
      <c r="G17" t="s">
        <v>261</v>
      </c>
      <c r="H17" t="s">
        <v>482</v>
      </c>
      <c r="I17" t="s">
        <v>211</v>
      </c>
      <c r="J17" t="s">
        <v>3726</v>
      </c>
      <c r="K17" t="s">
        <v>225</v>
      </c>
      <c r="L17" t="s">
        <v>265</v>
      </c>
      <c r="M17" t="s">
        <v>483</v>
      </c>
      <c r="N17" t="s">
        <v>484</v>
      </c>
      <c r="O17" t="s">
        <v>485</v>
      </c>
      <c r="P17" t="s">
        <v>486</v>
      </c>
      <c r="Q17" t="s">
        <v>487</v>
      </c>
      <c r="R17" t="str">
        <f t="shared" si="0"/>
        <v>doctor-male.jpg</v>
      </c>
      <c r="S17" s="8">
        <v>8347700289192405</v>
      </c>
      <c r="T17">
        <v>16</v>
      </c>
      <c r="V17" s="6" t="str" cm="1">
        <f t="array" ref="V17">INDEX(Folha1!$C$2:$C$396,W17)</f>
        <v>$2a$10$4WBtK3JlAz0peLjTtG0fNueFWJ6nBdqt.LNny4dXIGfWaq7ILkdOK</v>
      </c>
      <c r="W17">
        <f>MATCH(C17,Folha1!$B$2:$B$396,0)</f>
        <v>16</v>
      </c>
      <c r="Y17" t="str">
        <f t="shared" si="1"/>
        <v>(16,'med027', '$2a$10$4WBtK3JlAz0peLjTtG0fNueFWJ6nBdqt.LNny4dXIGfWaq7ILkdOK', 'Miguel Mota', 'Masculino', '1988-06-23', 'Rua do Carmo', '1300-816', 'Lisboa', 'Médico', 'Portuguesa', 'Bilhete de Identidade', '14775683', '682941556', '392222416', '924174901', 'med027@hospital.upskill.com', 'doctor-male.jpg'),</v>
      </c>
      <c r="Z17" t="str">
        <f t="shared" si="2"/>
        <v>(16,'8347700289192400', '16'),</v>
      </c>
      <c r="AA17" t="str">
        <f t="shared" si="3"/>
        <v>(16),</v>
      </c>
    </row>
    <row r="18" spans="1:27" x14ac:dyDescent="0.25">
      <c r="A18">
        <v>17</v>
      </c>
      <c r="B18" t="s">
        <v>488</v>
      </c>
      <c r="C18" t="s">
        <v>489</v>
      </c>
      <c r="D18" t="s">
        <v>490</v>
      </c>
      <c r="E18" t="s">
        <v>66</v>
      </c>
      <c r="F18" s="7">
        <v>31298</v>
      </c>
      <c r="G18" t="s">
        <v>255</v>
      </c>
      <c r="H18" t="s">
        <v>491</v>
      </c>
      <c r="I18" t="s">
        <v>201</v>
      </c>
      <c r="J18" t="s">
        <v>3726</v>
      </c>
      <c r="K18" t="s">
        <v>225</v>
      </c>
      <c r="L18" t="s">
        <v>265</v>
      </c>
      <c r="M18" t="s">
        <v>492</v>
      </c>
      <c r="N18" t="s">
        <v>493</v>
      </c>
      <c r="O18" t="s">
        <v>494</v>
      </c>
      <c r="P18" t="s">
        <v>495</v>
      </c>
      <c r="Q18" t="s">
        <v>496</v>
      </c>
      <c r="R18" t="str">
        <f t="shared" si="0"/>
        <v>doctor-female.jpg</v>
      </c>
      <c r="S18" s="8">
        <v>8318812506230513</v>
      </c>
      <c r="T18">
        <v>17</v>
      </c>
      <c r="V18" s="6" t="str" cm="1">
        <f t="array" ref="V18">INDEX(Folha1!$C$2:$C$396,W18)</f>
        <v>$2a$10$2N3BIb2wJZazF7vw9zWGtezQSRNQeEvYMqCVMUs51ghnwjQV4HkYK</v>
      </c>
      <c r="W18">
        <f>MATCH(C18,Folha1!$B$2:$B$396,0)</f>
        <v>17</v>
      </c>
      <c r="Y18" t="str">
        <f t="shared" si="1"/>
        <v>(17,'med028', '$2a$10$2N3BIb2wJZazF7vw9zWGtezQSRNQeEvYMqCVMUs51ghnwjQV4HkYK', 'Ana Carneiro', 'Feminino', '1985-09-08', 'Rua de São Bento', '2423-281', 'Leiria', 'Médico', 'Portuguesa', 'Bilhete de Identidade', '13784174', '774689054', '349584753', '920557337', 'med028@hospital.upskill.com', 'doctor-female.jpg'),</v>
      </c>
      <c r="Z18" t="str">
        <f t="shared" si="2"/>
        <v>(17,'8318812506230510', '17'),</v>
      </c>
      <c r="AA18" t="str">
        <f t="shared" si="3"/>
        <v>(17),</v>
      </c>
    </row>
    <row r="19" spans="1:27" x14ac:dyDescent="0.25">
      <c r="A19">
        <v>18</v>
      </c>
      <c r="B19" t="s">
        <v>497</v>
      </c>
      <c r="C19" t="s">
        <v>498</v>
      </c>
      <c r="D19" t="s">
        <v>499</v>
      </c>
      <c r="E19" t="s">
        <v>66</v>
      </c>
      <c r="F19" s="7">
        <v>20622</v>
      </c>
      <c r="G19" t="s">
        <v>247</v>
      </c>
      <c r="H19" t="s">
        <v>500</v>
      </c>
      <c r="I19" t="s">
        <v>208</v>
      </c>
      <c r="J19" t="s">
        <v>3726</v>
      </c>
      <c r="K19" t="s">
        <v>225</v>
      </c>
      <c r="L19" t="s">
        <v>265</v>
      </c>
      <c r="M19" t="s">
        <v>501</v>
      </c>
      <c r="N19" t="s">
        <v>502</v>
      </c>
      <c r="O19" t="s">
        <v>503</v>
      </c>
      <c r="P19" t="s">
        <v>504</v>
      </c>
      <c r="Q19" t="s">
        <v>505</v>
      </c>
      <c r="R19" t="str">
        <f t="shared" si="0"/>
        <v>doctor-female.jpg</v>
      </c>
      <c r="S19" s="8">
        <v>3470786853883252</v>
      </c>
      <c r="T19">
        <v>18</v>
      </c>
      <c r="V19" s="6" t="str" cm="1">
        <f t="array" ref="V19">INDEX(Folha1!$C$2:$C$396,W19)</f>
        <v>$2a$10$s9KYG3ESHs1UT/IrBtVqc.RdIwl8e2XW4aTBxT3Bi8dYU8HlxIiv6</v>
      </c>
      <c r="W19">
        <f>MATCH(C19,Folha1!$B$2:$B$396,0)</f>
        <v>18</v>
      </c>
      <c r="Y19" t="str">
        <f t="shared" si="1"/>
        <v>(18,'med029', '$2a$10$s9KYG3ESHs1UT/IrBtVqc.RdIwl8e2XW4aTBxT3Bi8dYU8HlxIiv6', 'Maria Pereira', 'Feminino', '1956-06-16', 'Rua Ferreira Lapa', '2904-16', 'Setúbal', 'Médico', 'Portuguesa', 'Bilhete de Identidade', '23246998', '825232321', '234779728', '929975981', 'med029@hospital.upskill.com', 'doctor-female.jpg'),</v>
      </c>
      <c r="Z19" t="str">
        <f t="shared" si="2"/>
        <v>(18,'3470786853883250', '18'),</v>
      </c>
      <c r="AA19" t="str">
        <f t="shared" si="3"/>
        <v>(18),</v>
      </c>
    </row>
    <row r="20" spans="1:27" x14ac:dyDescent="0.25">
      <c r="A20">
        <v>19</v>
      </c>
      <c r="B20" t="s">
        <v>506</v>
      </c>
      <c r="C20" t="s">
        <v>507</v>
      </c>
      <c r="D20" t="s">
        <v>508</v>
      </c>
      <c r="E20" t="s">
        <v>66</v>
      </c>
      <c r="F20" s="7">
        <v>15242</v>
      </c>
      <c r="G20" t="s">
        <v>256</v>
      </c>
      <c r="H20" t="s">
        <v>509</v>
      </c>
      <c r="I20" t="s">
        <v>210</v>
      </c>
      <c r="J20" t="s">
        <v>3726</v>
      </c>
      <c r="K20" t="s">
        <v>225</v>
      </c>
      <c r="L20" t="s">
        <v>265</v>
      </c>
      <c r="M20" t="s">
        <v>510</v>
      </c>
      <c r="N20" t="s">
        <v>511</v>
      </c>
      <c r="O20" t="s">
        <v>512</v>
      </c>
      <c r="P20" t="s">
        <v>513</v>
      </c>
      <c r="Q20" t="s">
        <v>514</v>
      </c>
      <c r="R20" t="str">
        <f t="shared" si="0"/>
        <v>doctor-female.jpg</v>
      </c>
      <c r="S20" s="8">
        <v>3301398631773152</v>
      </c>
      <c r="T20">
        <v>19</v>
      </c>
      <c r="V20" s="6" t="str" cm="1">
        <f t="array" ref="V20">INDEX(Folha1!$C$2:$C$396,W20)</f>
        <v>$2a$10$4eaHnwmF3RguYFjSumgEV.kSeO6srBb.i3Pc9AvNuL7xTnggTtVhW</v>
      </c>
      <c r="W20">
        <f>MATCH(C20,Folha1!$B$2:$B$396,0)</f>
        <v>19</v>
      </c>
      <c r="Y20" t="str">
        <f t="shared" si="1"/>
        <v>(19,'med030', '$2a$10$4eaHnwmF3RguYFjSumgEV.kSeO6srBb.i3Pc9AvNuL7xTnggTtVhW', 'Francisca Neto', 'Feminino', '1941-09-23', 'Travessa de São João da Praça', '2700-44', 'Amadora', 'Médico', 'Portuguesa', 'Bilhete de Identidade', '71192882', '190466321', '590719808', '928805344', 'med030@hospital.upskill.com', 'doctor-female.jpg'),</v>
      </c>
      <c r="Z20" t="str">
        <f t="shared" si="2"/>
        <v>(19,'3301398631773150', '19'),</v>
      </c>
      <c r="AA20" t="str">
        <f t="shared" si="3"/>
        <v>(19),</v>
      </c>
    </row>
    <row r="21" spans="1:27" x14ac:dyDescent="0.25">
      <c r="A21">
        <v>20</v>
      </c>
      <c r="B21" t="s">
        <v>515</v>
      </c>
      <c r="C21" t="s">
        <v>516</v>
      </c>
      <c r="D21" t="s">
        <v>517</v>
      </c>
      <c r="E21" t="s">
        <v>53</v>
      </c>
      <c r="F21" s="7">
        <v>38538</v>
      </c>
      <c r="G21" t="s">
        <v>241</v>
      </c>
      <c r="H21" t="s">
        <v>518</v>
      </c>
      <c r="I21" t="s">
        <v>211</v>
      </c>
      <c r="J21" t="s">
        <v>3726</v>
      </c>
      <c r="K21" t="s">
        <v>225</v>
      </c>
      <c r="L21" t="s">
        <v>265</v>
      </c>
      <c r="M21" t="s">
        <v>519</v>
      </c>
      <c r="N21" t="s">
        <v>520</v>
      </c>
      <c r="O21" t="s">
        <v>521</v>
      </c>
      <c r="P21" t="s">
        <v>522</v>
      </c>
      <c r="Q21" t="s">
        <v>523</v>
      </c>
      <c r="R21" t="str">
        <f t="shared" si="0"/>
        <v>doctor-male.jpg</v>
      </c>
      <c r="S21" s="8">
        <v>8847769276761308</v>
      </c>
      <c r="T21">
        <v>20</v>
      </c>
      <c r="V21" s="6" t="str" cm="1">
        <f t="array" ref="V21">INDEX(Folha1!$C$2:$C$396,W21)</f>
        <v>$2a$10$b4oRzE9yWHgk1n.8FKCGe.DTChVapB66G26aC78O32IbEqTEk2fKS</v>
      </c>
      <c r="W21">
        <f>MATCH(C21,Folha1!$B$2:$B$396,0)</f>
        <v>20</v>
      </c>
      <c r="Y21" t="str">
        <f t="shared" si="1"/>
        <v>(20,'med031', '$2a$10$b4oRzE9yWHgk1n.8FKCGe.DTChVapB66G26aC78O32IbEqTEk2fKS', 'Luís Amorim', 'Masculino', '2005-07-05', 'Rua da Prata', '1069-799', 'Lisboa', 'Médico', 'Portuguesa', 'Bilhete de Identidade', '72552448', '678254929', '430801507', '937121327', 'med031@hospital.upskill.com', 'doctor-male.jpg'),</v>
      </c>
      <c r="Z21" t="str">
        <f t="shared" si="2"/>
        <v>(20,'8847769276761310', '20'),</v>
      </c>
      <c r="AA21" t="str">
        <f t="shared" si="3"/>
        <v>(20),</v>
      </c>
    </row>
    <row r="22" spans="1:27" x14ac:dyDescent="0.25">
      <c r="A22">
        <v>21</v>
      </c>
      <c r="B22" t="s">
        <v>524</v>
      </c>
      <c r="C22" t="s">
        <v>525</v>
      </c>
      <c r="D22" t="s">
        <v>526</v>
      </c>
      <c r="E22" t="s">
        <v>66</v>
      </c>
      <c r="F22" s="7">
        <v>22147</v>
      </c>
      <c r="G22" t="s">
        <v>255</v>
      </c>
      <c r="H22" t="s">
        <v>527</v>
      </c>
      <c r="I22" t="s">
        <v>211</v>
      </c>
      <c r="J22" t="s">
        <v>3726</v>
      </c>
      <c r="K22" t="s">
        <v>225</v>
      </c>
      <c r="L22" t="s">
        <v>265</v>
      </c>
      <c r="M22" t="s">
        <v>528</v>
      </c>
      <c r="N22" t="s">
        <v>529</v>
      </c>
      <c r="O22" t="s">
        <v>530</v>
      </c>
      <c r="P22" t="s">
        <v>531</v>
      </c>
      <c r="Q22" t="s">
        <v>532</v>
      </c>
      <c r="R22" t="str">
        <f t="shared" si="0"/>
        <v>doctor-female.jpg</v>
      </c>
      <c r="S22" s="8">
        <v>8108331378887167</v>
      </c>
      <c r="T22">
        <v>21</v>
      </c>
      <c r="V22" s="6" t="str" cm="1">
        <f t="array" ref="V22">INDEX(Folha1!$C$2:$C$396,W22)</f>
        <v>$2a$10$vdXhTFb5ghbzW6QpeyqNgeN.BwU742boO2ylHRyhSWeap4ka0jZnK</v>
      </c>
      <c r="W22">
        <f>MATCH(C22,Folha1!$B$2:$B$396,0)</f>
        <v>21</v>
      </c>
      <c r="Y22" t="str">
        <f t="shared" si="1"/>
        <v>(21,'med032', '$2a$10$vdXhTFb5ghbzW6QpeyqNgeN.BwU742boO2ylHRyhSWeap4ka0jZnK', 'Carolina Pinho', 'Feminino', '1960-08-19', 'Rua de São Bento', '1949-796', 'Lisboa', 'Médico', 'Portuguesa', 'Bilhete de Identidade', '62421317', '664223058', '759238919', '937730920', 'med032@hospital.upskill.com', 'doctor-female.jpg'),</v>
      </c>
      <c r="Z22" t="str">
        <f t="shared" si="2"/>
        <v>(21,'8108331378887170', '21'),</v>
      </c>
      <c r="AA22" t="str">
        <f t="shared" si="3"/>
        <v>(21),</v>
      </c>
    </row>
    <row r="23" spans="1:27" x14ac:dyDescent="0.25">
      <c r="A23">
        <v>22</v>
      </c>
      <c r="B23" t="s">
        <v>533</v>
      </c>
      <c r="C23" t="s">
        <v>534</v>
      </c>
      <c r="D23" t="s">
        <v>535</v>
      </c>
      <c r="E23" t="s">
        <v>66</v>
      </c>
      <c r="F23" s="7">
        <v>26345</v>
      </c>
      <c r="G23" t="s">
        <v>261</v>
      </c>
      <c r="H23" t="s">
        <v>536</v>
      </c>
      <c r="I23" t="s">
        <v>211</v>
      </c>
      <c r="J23" t="s">
        <v>3726</v>
      </c>
      <c r="K23" t="s">
        <v>225</v>
      </c>
      <c r="L23" t="s">
        <v>265</v>
      </c>
      <c r="M23" t="s">
        <v>537</v>
      </c>
      <c r="N23" t="s">
        <v>538</v>
      </c>
      <c r="O23" t="s">
        <v>539</v>
      </c>
      <c r="P23" t="s">
        <v>540</v>
      </c>
      <c r="Q23" t="s">
        <v>541</v>
      </c>
      <c r="R23" t="str">
        <f t="shared" si="0"/>
        <v>doctor-female.jpg</v>
      </c>
      <c r="S23" s="8">
        <v>6240742426064936</v>
      </c>
      <c r="T23">
        <v>22</v>
      </c>
      <c r="V23" s="6" t="str" cm="1">
        <f t="array" ref="V23">INDEX(Folha1!$C$2:$C$396,W23)</f>
        <v>$2a$10$R70M8Jco0wrrzpMUulYtcuGWy0ZKrs9bv5UJh4JkLutR2.kPMpln2</v>
      </c>
      <c r="W23">
        <f>MATCH(C23,Folha1!$B$2:$B$396,0)</f>
        <v>22</v>
      </c>
      <c r="Y23" t="str">
        <f t="shared" si="1"/>
        <v>(22,'med033', '$2a$10$R70M8Jco0wrrzpMUulYtcuGWy0ZKrs9bv5UJh4JkLutR2.kPMpln2', 'Daniela Castro Baptista', 'Feminino', '1972-02-16', 'Rua do Carmo', '1998-138', 'Lisboa', 'Médico', 'Portuguesa', 'Bilhete de Identidade', '20364889', '892990128', '214105146', '928368747', 'med033@hospital.upskill.com', 'doctor-female.jpg'),</v>
      </c>
      <c r="Z23" t="str">
        <f t="shared" si="2"/>
        <v>(22,'6240742426064940', '22'),</v>
      </c>
      <c r="AA23" t="str">
        <f t="shared" si="3"/>
        <v>(22),</v>
      </c>
    </row>
    <row r="24" spans="1:27" x14ac:dyDescent="0.25">
      <c r="A24">
        <v>23</v>
      </c>
      <c r="B24" t="s">
        <v>542</v>
      </c>
      <c r="C24" t="s">
        <v>543</v>
      </c>
      <c r="D24" t="s">
        <v>544</v>
      </c>
      <c r="E24" t="s">
        <v>53</v>
      </c>
      <c r="F24" s="7">
        <v>24701</v>
      </c>
      <c r="G24" t="s">
        <v>254</v>
      </c>
      <c r="H24" t="s">
        <v>545</v>
      </c>
      <c r="I24" t="s">
        <v>210</v>
      </c>
      <c r="J24" t="s">
        <v>3726</v>
      </c>
      <c r="K24" t="s">
        <v>225</v>
      </c>
      <c r="L24" t="s">
        <v>265</v>
      </c>
      <c r="M24" t="s">
        <v>546</v>
      </c>
      <c r="N24" t="s">
        <v>547</v>
      </c>
      <c r="O24" t="s">
        <v>548</v>
      </c>
      <c r="P24" t="s">
        <v>549</v>
      </c>
      <c r="Q24" t="s">
        <v>550</v>
      </c>
      <c r="R24" t="str">
        <f t="shared" si="0"/>
        <v>doctor-male.jpg</v>
      </c>
      <c r="S24" s="8">
        <v>5963639110545175</v>
      </c>
      <c r="T24">
        <v>23</v>
      </c>
      <c r="V24" s="6" t="str" cm="1">
        <f t="array" ref="V24">INDEX(Folha1!$C$2:$C$396,W24)</f>
        <v>$2a$10$0/5VeU1JquHrQ7HpJNhQL.XuZiQO9T8rKewhwORdsQfSuPNeEZx/i</v>
      </c>
      <c r="W24">
        <f>MATCH(C24,Folha1!$B$2:$B$396,0)</f>
        <v>23</v>
      </c>
      <c r="Y24" t="str">
        <f t="shared" si="1"/>
        <v>(23,'med034', '$2a$10$0/5VeU1JquHrQ7HpJNhQL.XuZiQO9T8rKewhwORdsQfSuPNeEZx/i', 'Luís Ferreira Morais', 'Masculino', '1967-08-17', 'Rua do Sacramento à Lapa', '2614-252', 'Amadora', 'Médico', 'Portuguesa', 'Bilhete de Identidade', '39542763', '181657084', '924064526', '923033282', 'med034@hospital.upskill.com', 'doctor-male.jpg'),</v>
      </c>
      <c r="Z24" t="str">
        <f t="shared" si="2"/>
        <v>(23,'5963639110545170', '23'),</v>
      </c>
      <c r="AA24" t="str">
        <f t="shared" si="3"/>
        <v>(23),</v>
      </c>
    </row>
    <row r="25" spans="1:27" x14ac:dyDescent="0.25">
      <c r="A25">
        <v>24</v>
      </c>
      <c r="B25" t="s">
        <v>551</v>
      </c>
      <c r="C25" t="s">
        <v>552</v>
      </c>
      <c r="D25" t="s">
        <v>553</v>
      </c>
      <c r="E25" t="s">
        <v>66</v>
      </c>
      <c r="F25" s="7">
        <v>36840</v>
      </c>
      <c r="G25" t="s">
        <v>257</v>
      </c>
      <c r="H25" t="s">
        <v>554</v>
      </c>
      <c r="I25" t="s">
        <v>211</v>
      </c>
      <c r="J25" t="s">
        <v>3726</v>
      </c>
      <c r="K25" t="s">
        <v>225</v>
      </c>
      <c r="L25" t="s">
        <v>265</v>
      </c>
      <c r="M25" t="s">
        <v>555</v>
      </c>
      <c r="N25" t="s">
        <v>556</v>
      </c>
      <c r="O25" t="s">
        <v>557</v>
      </c>
      <c r="P25" t="s">
        <v>558</v>
      </c>
      <c r="Q25" t="s">
        <v>559</v>
      </c>
      <c r="R25" t="str">
        <f t="shared" si="0"/>
        <v>doctor-female.jpg</v>
      </c>
      <c r="S25" s="8">
        <v>8126843334640376</v>
      </c>
      <c r="T25">
        <v>24</v>
      </c>
      <c r="V25" s="6" t="str" cm="1">
        <f t="array" ref="V25">INDEX(Folha1!$C$2:$C$396,W25)</f>
        <v>$2a$10$aHplquJfoK1CsPGdez8hRecwEN0612uq0mq8PaN6xhkinXC2i4GUC</v>
      </c>
      <c r="W25">
        <f>MATCH(C25,Folha1!$B$2:$B$396,0)</f>
        <v>24</v>
      </c>
      <c r="Y25" t="str">
        <f t="shared" si="1"/>
        <v>(24,'med035', '$2a$10$aHplquJfoK1CsPGdez8hRecwEN0612uq0mq8PaN6xhkinXC2i4GUC', 'Joana Fernandes Ferreira', 'Feminino', '2000-11-10', 'Rua do Sol a Santana', '1169-44', 'Lisboa', 'Médico', 'Portuguesa', 'Bilhete de Identidade', '75787908', '259223217', '655526951', '932650211', 'med035@hospital.upskill.com', 'doctor-female.jpg'),</v>
      </c>
      <c r="Z25" t="str">
        <f t="shared" si="2"/>
        <v>(24,'8126843334640380', '24'),</v>
      </c>
      <c r="AA25" t="str">
        <f t="shared" si="3"/>
        <v>(24),</v>
      </c>
    </row>
    <row r="26" spans="1:27" x14ac:dyDescent="0.25">
      <c r="A26">
        <v>25</v>
      </c>
      <c r="B26" t="s">
        <v>560</v>
      </c>
      <c r="C26" t="s">
        <v>561</v>
      </c>
      <c r="D26" t="s">
        <v>562</v>
      </c>
      <c r="E26" t="s">
        <v>53</v>
      </c>
      <c r="F26" s="7">
        <v>40951</v>
      </c>
      <c r="G26" t="s">
        <v>262</v>
      </c>
      <c r="H26" t="s">
        <v>563</v>
      </c>
      <c r="I26" t="s">
        <v>206</v>
      </c>
      <c r="J26" t="s">
        <v>3726</v>
      </c>
      <c r="K26" t="s">
        <v>225</v>
      </c>
      <c r="L26" t="s">
        <v>265</v>
      </c>
      <c r="M26" t="s">
        <v>564</v>
      </c>
      <c r="N26" t="s">
        <v>565</v>
      </c>
      <c r="O26" t="s">
        <v>566</v>
      </c>
      <c r="P26" t="s">
        <v>567</v>
      </c>
      <c r="Q26" t="s">
        <v>568</v>
      </c>
      <c r="R26" t="str">
        <f t="shared" si="0"/>
        <v>doctor-male.jpg</v>
      </c>
      <c r="S26" s="8">
        <v>7361614315673224</v>
      </c>
      <c r="T26">
        <v>25</v>
      </c>
      <c r="V26" s="6" t="str" cm="1">
        <f t="array" ref="V26">INDEX(Folha1!$C$2:$C$396,W26)</f>
        <v>$2a$10$OWtfwAt.KVIZlUmoj2ysGeB5ZqrD8ghN1i2yUDzRC1jw2t.VrTP0W</v>
      </c>
      <c r="W26">
        <f>MATCH(C26,Folha1!$B$2:$B$396,0)</f>
        <v>25</v>
      </c>
      <c r="Y26" t="str">
        <f t="shared" si="1"/>
        <v>(25,'med036', '$2a$10$OWtfwAt.KVIZlUmoj2ysGeB5ZqrD8ghN1i2yUDzRC1jw2t.VrTP0W', 'José Gaspar Leal', 'Masculino', '2012-02-12', 'Estrada Militar', '2714-547', 'Sintra', 'Médico', 'Portuguesa', 'Bilhete de Identidade', '80146984', '469380803', '314734480', '966190771', 'med036@hospital.upskill.com', 'doctor-male.jpg'),</v>
      </c>
      <c r="Z26" t="str">
        <f t="shared" si="2"/>
        <v>(25,'7361614315673220', '25'),</v>
      </c>
      <c r="AA26" t="str">
        <f t="shared" si="3"/>
        <v>(25),</v>
      </c>
    </row>
    <row r="27" spans="1:27" x14ac:dyDescent="0.25">
      <c r="A27">
        <v>26</v>
      </c>
      <c r="B27" t="s">
        <v>569</v>
      </c>
      <c r="C27" t="s">
        <v>570</v>
      </c>
      <c r="D27" t="s">
        <v>571</v>
      </c>
      <c r="E27" t="s">
        <v>53</v>
      </c>
      <c r="F27" s="7">
        <v>43838</v>
      </c>
      <c r="G27" t="s">
        <v>240</v>
      </c>
      <c r="H27" t="s">
        <v>572</v>
      </c>
      <c r="I27" t="s">
        <v>207</v>
      </c>
      <c r="J27" t="s">
        <v>3726</v>
      </c>
      <c r="K27" t="s">
        <v>225</v>
      </c>
      <c r="L27" t="s">
        <v>265</v>
      </c>
      <c r="M27" t="s">
        <v>573</v>
      </c>
      <c r="N27" t="s">
        <v>574</v>
      </c>
      <c r="O27" t="s">
        <v>575</v>
      </c>
      <c r="P27" t="s">
        <v>576</v>
      </c>
      <c r="Q27" t="s">
        <v>577</v>
      </c>
      <c r="R27" t="str">
        <f t="shared" si="0"/>
        <v>doctor-male.jpg</v>
      </c>
      <c r="S27" s="8">
        <v>8439439126510820</v>
      </c>
      <c r="T27">
        <v>26</v>
      </c>
      <c r="V27" s="6" t="str" cm="1">
        <f t="array" ref="V27">INDEX(Folha1!$C$2:$C$396,W27)</f>
        <v>$2a$10$SRCdoWzjmv05vSO9DIa.N.YtUVTECribe9CqaTDLqAwWLG4Zy37qi</v>
      </c>
      <c r="W27">
        <f>MATCH(C27,Folha1!$B$2:$B$396,0)</f>
        <v>26</v>
      </c>
      <c r="Y27" t="str">
        <f t="shared" si="1"/>
        <v>(26,'med037', '$2a$10$SRCdoWzjmv05vSO9DIa.N.YtUVTECribe9CqaTDLqAwWLG4Zy37qi', 'Afonso Lourenço Abreu', 'Masculino', '2020-01-08', 'Calçada do Poço dos Mouros', '2749-892', 'Queluz', 'Médico', 'Portuguesa', 'Bilhete de Identidade', '69635686', '911856714', '635897481', '933580171', 'med037@hospital.upskill.com', 'doctor-male.jpg'),</v>
      </c>
      <c r="Z27" t="str">
        <f t="shared" si="2"/>
        <v>(26,'8439439126510820', '26'),</v>
      </c>
      <c r="AA27" t="str">
        <f t="shared" si="3"/>
        <v>(26),</v>
      </c>
    </row>
    <row r="28" spans="1:27" x14ac:dyDescent="0.25">
      <c r="A28">
        <v>27</v>
      </c>
      <c r="B28" t="s">
        <v>578</v>
      </c>
      <c r="C28" t="s">
        <v>579</v>
      </c>
      <c r="D28" t="s">
        <v>580</v>
      </c>
      <c r="E28" t="s">
        <v>53</v>
      </c>
      <c r="F28" s="7">
        <v>13937</v>
      </c>
      <c r="G28" t="s">
        <v>230</v>
      </c>
      <c r="H28" t="s">
        <v>581</v>
      </c>
      <c r="I28" t="s">
        <v>211</v>
      </c>
      <c r="J28" t="s">
        <v>3726</v>
      </c>
      <c r="K28" t="s">
        <v>225</v>
      </c>
      <c r="L28" t="s">
        <v>265</v>
      </c>
      <c r="M28" t="s">
        <v>582</v>
      </c>
      <c r="N28" t="s">
        <v>583</v>
      </c>
      <c r="O28" t="s">
        <v>584</v>
      </c>
      <c r="P28" t="s">
        <v>585</v>
      </c>
      <c r="Q28" t="s">
        <v>586</v>
      </c>
      <c r="R28" t="str">
        <f t="shared" si="0"/>
        <v>doctor-male.jpg</v>
      </c>
      <c r="S28" s="8">
        <v>4874995997245261</v>
      </c>
      <c r="T28">
        <v>27</v>
      </c>
      <c r="V28" s="6" t="str" cm="1">
        <f t="array" ref="V28">INDEX(Folha1!$C$2:$C$396,W28)</f>
        <v>$2a$10$xuw81ebrt07MWBhRBa0fNO1uIOYAaxJiAVkBTjF6jk61/KggZ99c.</v>
      </c>
      <c r="W28">
        <f>MATCH(C28,Folha1!$B$2:$B$396,0)</f>
        <v>27</v>
      </c>
      <c r="Y28" t="str">
        <f t="shared" si="1"/>
        <v>(27,'med038', '$2a$10$xuw81ebrt07MWBhRBa0fNO1uIOYAaxJiAVkBTjF6jk61/KggZ99c.', 'Luís Ramos Ramos', 'Masculino', '1938-02-26', 'Estrada da Circunvalação de Lisboa', '1199-850', 'Lisboa', 'Médico', 'Portuguesa', 'Bilhete de Identidade', '41414797', '128347042', '110244371', '968194030', 'med038@hospital.upskill.com', 'doctor-male.jpg'),</v>
      </c>
      <c r="Z28" t="str">
        <f t="shared" si="2"/>
        <v>(27,'4874995997245260', '27'),</v>
      </c>
      <c r="AA28" t="str">
        <f t="shared" si="3"/>
        <v>(27),</v>
      </c>
    </row>
    <row r="29" spans="1:27" x14ac:dyDescent="0.25">
      <c r="A29">
        <v>28</v>
      </c>
      <c r="B29" t="s">
        <v>587</v>
      </c>
      <c r="C29" t="s">
        <v>588</v>
      </c>
      <c r="D29" t="s">
        <v>589</v>
      </c>
      <c r="E29" t="s">
        <v>53</v>
      </c>
      <c r="F29" s="7">
        <v>32387</v>
      </c>
      <c r="G29" t="s">
        <v>242</v>
      </c>
      <c r="H29" t="s">
        <v>590</v>
      </c>
      <c r="I29" t="s">
        <v>210</v>
      </c>
      <c r="J29" t="s">
        <v>3726</v>
      </c>
      <c r="K29" t="s">
        <v>225</v>
      </c>
      <c r="L29" t="s">
        <v>265</v>
      </c>
      <c r="M29" t="s">
        <v>591</v>
      </c>
      <c r="N29" t="s">
        <v>592</v>
      </c>
      <c r="O29" t="s">
        <v>593</v>
      </c>
      <c r="P29" t="s">
        <v>594</v>
      </c>
      <c r="Q29" t="s">
        <v>595</v>
      </c>
      <c r="R29" t="str">
        <f t="shared" si="0"/>
        <v>doctor-male.jpg</v>
      </c>
      <c r="S29" s="8">
        <v>9342861646675548</v>
      </c>
      <c r="T29">
        <v>28</v>
      </c>
      <c r="V29" s="6" t="str" cm="1">
        <f t="array" ref="V29">INDEX(Folha1!$C$2:$C$396,W29)</f>
        <v>$2a$10$NwKqhAtlExQmXu6o2EPqJOnjOk7xrncMIEPeEHuCurSa/dmVvdhKq</v>
      </c>
      <c r="W29">
        <f>MATCH(C29,Folha1!$B$2:$B$396,0)</f>
        <v>28</v>
      </c>
      <c r="Y29" t="str">
        <f t="shared" si="1"/>
        <v>(28,'med039', '$2a$10$NwKqhAtlExQmXu6o2EPqJOnjOk7xrncMIEPeEHuCurSa/dmVvdhKq', 'José Cruz Matos', 'Masculino', '1988-09-01', 'Avenida Ressano Garcia', '2720-10', 'Amadora', 'Médico', 'Portuguesa', 'Bilhete de Identidade', '34631755', '136840423', '154068972', '939911331', 'med039@hospital.upskill.com', 'doctor-male.jpg'),</v>
      </c>
      <c r="Z29" t="str">
        <f t="shared" si="2"/>
        <v>(28,'9342861646675550', '28'),</v>
      </c>
      <c r="AA29" t="str">
        <f t="shared" si="3"/>
        <v>(28),</v>
      </c>
    </row>
    <row r="30" spans="1:27" x14ac:dyDescent="0.25">
      <c r="A30">
        <v>29</v>
      </c>
      <c r="B30" t="s">
        <v>596</v>
      </c>
      <c r="C30" t="s">
        <v>597</v>
      </c>
      <c r="D30" t="s">
        <v>598</v>
      </c>
      <c r="E30" t="s">
        <v>53</v>
      </c>
      <c r="F30" s="7">
        <v>10615</v>
      </c>
      <c r="G30" t="s">
        <v>231</v>
      </c>
      <c r="H30" t="s">
        <v>599</v>
      </c>
      <c r="I30" t="s">
        <v>218</v>
      </c>
      <c r="J30" t="s">
        <v>3726</v>
      </c>
      <c r="K30" t="s">
        <v>225</v>
      </c>
      <c r="L30" t="s">
        <v>265</v>
      </c>
      <c r="M30" t="s">
        <v>600</v>
      </c>
      <c r="N30" t="s">
        <v>601</v>
      </c>
      <c r="O30" t="s">
        <v>602</v>
      </c>
      <c r="P30" t="s">
        <v>603</v>
      </c>
      <c r="Q30" t="s">
        <v>604</v>
      </c>
      <c r="R30" t="str">
        <f t="shared" si="0"/>
        <v>doctor-male.jpg</v>
      </c>
      <c r="S30" s="8">
        <v>6969619241154319</v>
      </c>
      <c r="T30">
        <v>29</v>
      </c>
      <c r="V30" s="6" t="str" cm="1">
        <f t="array" ref="V30">INDEX(Folha1!$C$2:$C$396,W30)</f>
        <v>$2a$10$p29UIyVdHRHpPrQJyWCkse1k4jI78hakbGpLzYw3EI8ZfWtjwAG5.</v>
      </c>
      <c r="W30">
        <f>MATCH(C30,Folha1!$B$2:$B$396,0)</f>
        <v>29</v>
      </c>
      <c r="Y30" t="str">
        <f t="shared" si="1"/>
        <v>(29,'med040', '$2a$10$p29UIyVdHRHpPrQJyWCkse1k4jI78hakbGpLzYw3EI8ZfWtjwAG5.', 'José Cardoso Castro', 'Masculino', '1929-01-22', 'Rua dos Fanqueiros', '2775-554', 'Carcavelos', 'Médico', 'Portuguesa', 'Bilhete de Identidade', '74296340', '931018102', '914845039', '925694345', 'med040@hospital.upskill.com', 'doctor-male.jpg'),</v>
      </c>
      <c r="Z30" t="str">
        <f t="shared" si="2"/>
        <v>(29,'6969619241154320', '29'),</v>
      </c>
      <c r="AA30" t="str">
        <f t="shared" si="3"/>
        <v>(29),</v>
      </c>
    </row>
    <row r="31" spans="1:27" x14ac:dyDescent="0.25">
      <c r="A31">
        <v>30</v>
      </c>
      <c r="B31" t="s">
        <v>605</v>
      </c>
      <c r="C31" t="s">
        <v>606</v>
      </c>
      <c r="D31" t="s">
        <v>607</v>
      </c>
      <c r="E31" t="s">
        <v>53</v>
      </c>
      <c r="F31" s="7">
        <v>28753</v>
      </c>
      <c r="G31" t="s">
        <v>241</v>
      </c>
      <c r="H31" t="s">
        <v>608</v>
      </c>
      <c r="I31" t="s">
        <v>208</v>
      </c>
      <c r="J31" t="s">
        <v>3726</v>
      </c>
      <c r="K31" t="s">
        <v>225</v>
      </c>
      <c r="L31" t="s">
        <v>265</v>
      </c>
      <c r="M31" t="s">
        <v>609</v>
      </c>
      <c r="N31" t="s">
        <v>610</v>
      </c>
      <c r="O31" t="s">
        <v>611</v>
      </c>
      <c r="P31" t="s">
        <v>612</v>
      </c>
      <c r="Q31" t="s">
        <v>613</v>
      </c>
      <c r="R31" t="str">
        <f t="shared" si="0"/>
        <v>doctor-male.jpg</v>
      </c>
      <c r="S31" s="8">
        <v>3004061546598914</v>
      </c>
      <c r="T31">
        <v>30</v>
      </c>
      <c r="V31" s="6" t="str" cm="1">
        <f t="array" ref="V31">INDEX(Folha1!$C$2:$C$396,W31)</f>
        <v>$2a$10$syyvmfQKvYDcm7eJE212MucMZNNv/nt4XpOq0F69Te0Ue93.HkbeK</v>
      </c>
      <c r="W31">
        <f>MATCH(C31,Folha1!$B$2:$B$396,0)</f>
        <v>30</v>
      </c>
      <c r="Y31" t="str">
        <f t="shared" si="1"/>
        <v>(30,'med041', '$2a$10$syyvmfQKvYDcm7eJE212MucMZNNv/nt4XpOq0F69Te0Ue93.HkbeK', 'Tiago Ferreira Martins', 'Masculino', '1978-09-20', 'Rua da Prata', '2910-179', 'Setúbal', 'Médico', 'Portuguesa', 'Bilhete de Identidade', '38346486', '699992984', '360548211', '919223042', 'med041@hospital.upskill.com', 'doctor-male.jpg'),</v>
      </c>
      <c r="Z31" t="str">
        <f t="shared" si="2"/>
        <v>(30,'3004061546598910', '30'),</v>
      </c>
      <c r="AA31" t="str">
        <f t="shared" si="3"/>
        <v>(30),</v>
      </c>
    </row>
    <row r="32" spans="1:27" x14ac:dyDescent="0.25">
      <c r="A32">
        <v>31</v>
      </c>
      <c r="B32" t="s">
        <v>614</v>
      </c>
      <c r="C32" t="s">
        <v>615</v>
      </c>
      <c r="D32" t="s">
        <v>616</v>
      </c>
      <c r="E32" t="s">
        <v>53</v>
      </c>
      <c r="F32" s="7">
        <v>20196</v>
      </c>
      <c r="G32" t="s">
        <v>246</v>
      </c>
      <c r="H32" t="s">
        <v>617</v>
      </c>
      <c r="I32" t="s">
        <v>211</v>
      </c>
      <c r="J32" t="s">
        <v>3726</v>
      </c>
      <c r="K32" t="s">
        <v>225</v>
      </c>
      <c r="L32" t="s">
        <v>265</v>
      </c>
      <c r="M32" t="s">
        <v>618</v>
      </c>
      <c r="N32" t="s">
        <v>619</v>
      </c>
      <c r="O32" t="s">
        <v>620</v>
      </c>
      <c r="P32" t="s">
        <v>621</v>
      </c>
      <c r="Q32" t="s">
        <v>622</v>
      </c>
      <c r="R32" t="str">
        <f t="shared" si="0"/>
        <v>doctor-male.jpg</v>
      </c>
      <c r="S32" s="8">
        <v>1173454742112441</v>
      </c>
      <c r="T32">
        <v>31</v>
      </c>
      <c r="V32" s="6" t="str" cm="1">
        <f t="array" ref="V32">INDEX(Folha1!$C$2:$C$396,W32)</f>
        <v>$2a$10$vnJJhiEgRf0wTQAhmOrKi.SbuPB5vWFriPM1QRE2qAoBLZA6TpY7S</v>
      </c>
      <c r="W32">
        <f>MATCH(C32,Folha1!$B$2:$B$396,0)</f>
        <v>31</v>
      </c>
      <c r="Y32" t="str">
        <f t="shared" si="1"/>
        <v>(31,'med042', '$2a$10$vnJJhiEgRf0wTQAhmOrKi.SbuPB5vWFriPM1QRE2qAoBLZA6TpY7S', 'Gabriel Matos Carneiro', 'Masculino', '1955-04-17', 'Rua do Guarda-Mor', '1099-465', 'Lisboa', 'Médico', 'Portuguesa', 'Bilhete de Identidade', '68051463', '141253950', '258508634', '924622420', 'med042@hospital.upskill.com', 'doctor-male.jpg'),</v>
      </c>
      <c r="Z32" t="str">
        <f t="shared" si="2"/>
        <v>(31,'1173454742112440', '31'),</v>
      </c>
      <c r="AA32" t="str">
        <f t="shared" si="3"/>
        <v>(31),</v>
      </c>
    </row>
    <row r="33" spans="1:27" x14ac:dyDescent="0.25">
      <c r="A33">
        <v>32</v>
      </c>
      <c r="B33" t="s">
        <v>623</v>
      </c>
      <c r="C33" t="s">
        <v>624</v>
      </c>
      <c r="D33" t="s">
        <v>625</v>
      </c>
      <c r="E33" t="s">
        <v>53</v>
      </c>
      <c r="F33" s="7">
        <v>28461</v>
      </c>
      <c r="G33" t="s">
        <v>257</v>
      </c>
      <c r="H33" t="s">
        <v>626</v>
      </c>
      <c r="I33" t="s">
        <v>217</v>
      </c>
      <c r="J33" t="s">
        <v>3726</v>
      </c>
      <c r="K33" t="s">
        <v>225</v>
      </c>
      <c r="L33" t="s">
        <v>265</v>
      </c>
      <c r="M33" t="s">
        <v>627</v>
      </c>
      <c r="N33" t="s">
        <v>628</v>
      </c>
      <c r="O33" t="s">
        <v>629</v>
      </c>
      <c r="P33" t="s">
        <v>630</v>
      </c>
      <c r="Q33" t="s">
        <v>631</v>
      </c>
      <c r="R33" t="str">
        <f t="shared" si="0"/>
        <v>doctor-male.jpg</v>
      </c>
      <c r="S33" s="8">
        <v>8066504062338180</v>
      </c>
      <c r="T33">
        <v>32</v>
      </c>
      <c r="V33" s="6" t="str" cm="1">
        <f t="array" ref="V33">INDEX(Folha1!$C$2:$C$396,W33)</f>
        <v>$2a$10$porJGDZRgy2kWbJv9Ir81e2XLCOla5JOJKPdcu5fBIuio/3qsRfhe</v>
      </c>
      <c r="W33">
        <f>MATCH(C33,Folha1!$B$2:$B$396,0)</f>
        <v>32</v>
      </c>
      <c r="Y33" t="str">
        <f t="shared" si="1"/>
        <v>(32,'med043', '$2a$10$porJGDZRgy2kWbJv9Ir81e2XLCOla5JOJKPdcu5fBIuio/3qsRfhe', 'Miguel Almeida Lima', 'Masculino', '1977-12-02', 'Rua do Sol a Santana', '2829-151', 'Caparica', 'Médico', 'Portuguesa', 'Bilhete de Identidade', '98739895', '117389003', '282445387', '919692272', 'med043@hospital.upskill.com', 'doctor-male.jpg'),</v>
      </c>
      <c r="Z33" t="str">
        <f t="shared" si="2"/>
        <v>(32,'8066504062338180', '32'),</v>
      </c>
      <c r="AA33" t="str">
        <f t="shared" si="3"/>
        <v>(32),</v>
      </c>
    </row>
    <row r="34" spans="1:27" x14ac:dyDescent="0.25">
      <c r="A34">
        <v>33</v>
      </c>
      <c r="B34" t="s">
        <v>632</v>
      </c>
      <c r="C34" t="s">
        <v>633</v>
      </c>
      <c r="D34" t="s">
        <v>634</v>
      </c>
      <c r="E34" t="s">
        <v>53</v>
      </c>
      <c r="F34" s="7">
        <v>36293</v>
      </c>
      <c r="G34" t="s">
        <v>253</v>
      </c>
      <c r="H34" t="s">
        <v>635</v>
      </c>
      <c r="I34" t="s">
        <v>211</v>
      </c>
      <c r="J34" t="s">
        <v>3726</v>
      </c>
      <c r="K34" t="s">
        <v>225</v>
      </c>
      <c r="L34" t="s">
        <v>265</v>
      </c>
      <c r="M34" t="s">
        <v>636</v>
      </c>
      <c r="N34" t="s">
        <v>637</v>
      </c>
      <c r="O34" t="s">
        <v>638</v>
      </c>
      <c r="P34" t="s">
        <v>639</v>
      </c>
      <c r="Q34" t="s">
        <v>640</v>
      </c>
      <c r="R34" t="str">
        <f t="shared" si="0"/>
        <v>doctor-male.jpg</v>
      </c>
      <c r="S34" s="8">
        <v>7352840979796116</v>
      </c>
      <c r="T34">
        <v>33</v>
      </c>
      <c r="V34" s="6" t="str" cm="1">
        <f t="array" ref="V34">INDEX(Folha1!$C$2:$C$396,W34)</f>
        <v>$2a$10$vatyk.aBj6PiEYBh4cxOqu4.UcvkvqSm2IE9hQUJ6nyQFXmJmCzIe</v>
      </c>
      <c r="W34">
        <f>MATCH(C34,Folha1!$B$2:$B$396,0)</f>
        <v>33</v>
      </c>
      <c r="Y34" t="str">
        <f t="shared" si="1"/>
        <v>(33,'med044', '$2a$10$vatyk.aBj6PiEYBh4cxOqu4.UcvkvqSm2IE9hQUJ6nyQFXmJmCzIe', 'Marco Amorim Santos', 'Masculino', '1999-05-13', 'Rua de São Mamede', '1200-680', 'Lisboa', 'Médico', 'Portuguesa', 'Bilhete de Identidade', '34959489', '292181130', '382000530', '935788418', 'med044@hospital.upskill.com', 'doctor-male.jpg'),</v>
      </c>
      <c r="Z34" t="str">
        <f t="shared" si="2"/>
        <v>(33,'7352840979796120', '33'),</v>
      </c>
      <c r="AA34" t="str">
        <f t="shared" si="3"/>
        <v>(33),</v>
      </c>
    </row>
    <row r="35" spans="1:27" x14ac:dyDescent="0.25">
      <c r="A35">
        <v>34</v>
      </c>
      <c r="B35" t="s">
        <v>641</v>
      </c>
      <c r="C35" t="s">
        <v>642</v>
      </c>
      <c r="D35" t="s">
        <v>643</v>
      </c>
      <c r="E35" t="s">
        <v>53</v>
      </c>
      <c r="F35" s="7">
        <v>14532</v>
      </c>
      <c r="G35" t="s">
        <v>228</v>
      </c>
      <c r="H35" t="s">
        <v>644</v>
      </c>
      <c r="I35" t="s">
        <v>211</v>
      </c>
      <c r="J35" t="s">
        <v>3726</v>
      </c>
      <c r="K35" t="s">
        <v>225</v>
      </c>
      <c r="L35" t="s">
        <v>265</v>
      </c>
      <c r="M35" t="s">
        <v>645</v>
      </c>
      <c r="N35" t="s">
        <v>646</v>
      </c>
      <c r="O35" t="s">
        <v>647</v>
      </c>
      <c r="P35" t="s">
        <v>648</v>
      </c>
      <c r="Q35" t="s">
        <v>649</v>
      </c>
      <c r="R35" t="str">
        <f t="shared" si="0"/>
        <v>doctor-male.jpg</v>
      </c>
      <c r="S35" s="8">
        <v>2308939406399293</v>
      </c>
      <c r="T35">
        <v>34</v>
      </c>
      <c r="V35" s="6" t="str" cm="1">
        <f t="array" ref="V35">INDEX(Folha1!$C$2:$C$396,W35)</f>
        <v>$2a$10$XpMWOUTCIY8Oduo5yeb91eHG8mmBtv.PE0VjAbTcmVwKJsX3xNaI2</v>
      </c>
      <c r="W35">
        <f>MATCH(C35,Folha1!$B$2:$B$396,0)</f>
        <v>34</v>
      </c>
      <c r="Y35" t="str">
        <f t="shared" si="1"/>
        <v>(34,'med045', '$2a$10$XpMWOUTCIY8Oduo5yeb91eHG8mmBtv.PE0VjAbTcmVwKJsX3xNaI2', 'Marco Alves Antunes', 'Masculino', '1939-10-14', 'Calçada de Carriche', '1150-167', 'Lisboa', 'Médico', 'Portuguesa', 'Bilhete de Identidade', '22509017', '284010712', '397574699', '934324382', 'med045@hospital.upskill.com', 'doctor-male.jpg'),</v>
      </c>
      <c r="Z35" t="str">
        <f t="shared" si="2"/>
        <v>(34,'2308939406399290', '34'),</v>
      </c>
      <c r="AA35" t="str">
        <f t="shared" si="3"/>
        <v>(34),</v>
      </c>
    </row>
    <row r="36" spans="1:27" x14ac:dyDescent="0.25">
      <c r="A36">
        <v>35</v>
      </c>
      <c r="B36" t="s">
        <v>650</v>
      </c>
      <c r="C36" t="s">
        <v>651</v>
      </c>
      <c r="D36" t="s">
        <v>652</v>
      </c>
      <c r="E36" t="s">
        <v>53</v>
      </c>
      <c r="F36" s="7">
        <v>41931</v>
      </c>
      <c r="G36" t="s">
        <v>239</v>
      </c>
      <c r="H36" t="s">
        <v>653</v>
      </c>
      <c r="I36" t="s">
        <v>201</v>
      </c>
      <c r="J36" t="s">
        <v>3726</v>
      </c>
      <c r="K36" t="s">
        <v>225</v>
      </c>
      <c r="L36" t="s">
        <v>265</v>
      </c>
      <c r="M36" t="s">
        <v>654</v>
      </c>
      <c r="N36" t="s">
        <v>655</v>
      </c>
      <c r="O36" t="s">
        <v>656</v>
      </c>
      <c r="P36" t="s">
        <v>657</v>
      </c>
      <c r="Q36" t="s">
        <v>658</v>
      </c>
      <c r="R36" t="str">
        <f t="shared" si="0"/>
        <v>doctor-male.jpg</v>
      </c>
      <c r="S36" s="8">
        <v>1840319880092169</v>
      </c>
      <c r="T36">
        <v>35</v>
      </c>
      <c r="V36" s="6" t="str" cm="1">
        <f t="array" ref="V36">INDEX(Folha1!$C$2:$C$396,W36)</f>
        <v>$2a$10$DS8Ledc6jx7fi0Z3QBg7Nuqhm2Up3jOybVF6RrwGp1/YFRdjO91cq</v>
      </c>
      <c r="W36">
        <f>MATCH(C36,Folha1!$B$2:$B$396,0)</f>
        <v>35</v>
      </c>
      <c r="Y36" t="str">
        <f t="shared" si="1"/>
        <v>(35,'med046', '$2a$10$DS8Ledc6jx7fi0Z3QBg7Nuqhm2Up3jOybVF6RrwGp1/YFRdjO91cq', 'Afonso Mota Pinho', 'Masculino', '2014-10-19', 'Rua da Oliveira ao Carmo', '2420-892', 'Leiria', 'Médico', 'Portuguesa', 'Bilhete de Identidade', '57598220', '815923823', '353708725', '922666499', 'med046@hospital.upskill.com', 'doctor-male.jpg'),</v>
      </c>
      <c r="Z36" t="str">
        <f t="shared" si="2"/>
        <v>(35,'1840319880092170', '35'),</v>
      </c>
      <c r="AA36" t="str">
        <f t="shared" si="3"/>
        <v>(35),</v>
      </c>
    </row>
    <row r="37" spans="1:27" x14ac:dyDescent="0.25">
      <c r="A37">
        <v>36</v>
      </c>
      <c r="B37" t="s">
        <v>659</v>
      </c>
      <c r="C37" t="s">
        <v>660</v>
      </c>
      <c r="D37" t="s">
        <v>661</v>
      </c>
      <c r="E37" t="s">
        <v>53</v>
      </c>
      <c r="F37" s="7">
        <v>42843</v>
      </c>
      <c r="G37" t="s">
        <v>250</v>
      </c>
      <c r="H37" t="s">
        <v>662</v>
      </c>
      <c r="I37" t="s">
        <v>201</v>
      </c>
      <c r="J37" t="s">
        <v>3726</v>
      </c>
      <c r="K37" t="s">
        <v>225</v>
      </c>
      <c r="L37" t="s">
        <v>265</v>
      </c>
      <c r="M37" t="s">
        <v>663</v>
      </c>
      <c r="N37" t="s">
        <v>664</v>
      </c>
      <c r="O37" t="s">
        <v>665</v>
      </c>
      <c r="P37" t="s">
        <v>666</v>
      </c>
      <c r="Q37" t="s">
        <v>667</v>
      </c>
      <c r="R37" t="str">
        <f t="shared" si="0"/>
        <v>doctor-male.jpg</v>
      </c>
      <c r="S37" s="8">
        <v>1251472163072044</v>
      </c>
      <c r="T37">
        <v>36</v>
      </c>
      <c r="V37" s="6" t="str" cm="1">
        <f t="array" ref="V37">INDEX(Folha1!$C$2:$C$396,W37)</f>
        <v>$2a$10$edE02mv2G1Gj0VdGq73qJuGhawuGyz5RWq9GwgOrhIotDyy5iQm2S</v>
      </c>
      <c r="W37">
        <f>MATCH(C37,Folha1!$B$2:$B$396,0)</f>
        <v>36</v>
      </c>
      <c r="Y37" t="str">
        <f t="shared" si="1"/>
        <v>(36,'med047', '$2a$10$edE02mv2G1Gj0VdGq73qJuGhawuGyz5RWq9GwgOrhIotDyy5iQm2S', 'Santiago Figueiredo Pinheiro', 'Masculino', '2017-04-18', 'Rua Nova do Almada', '2414-205', 'Leiria', 'Médico', 'Portuguesa', 'Bilhete de Identidade', '94304833', '599516459', '886533774', '962633745', 'med047@hospital.upskill.com', 'doctor-male.jpg'),</v>
      </c>
      <c r="Z37" t="str">
        <f t="shared" si="2"/>
        <v>(36,'1251472163072040', '36'),</v>
      </c>
      <c r="AA37" t="str">
        <f t="shared" si="3"/>
        <v>(36),</v>
      </c>
    </row>
    <row r="38" spans="1:27" x14ac:dyDescent="0.25">
      <c r="A38">
        <v>37</v>
      </c>
      <c r="B38" t="s">
        <v>668</v>
      </c>
      <c r="C38" t="s">
        <v>669</v>
      </c>
      <c r="D38" t="s">
        <v>670</v>
      </c>
      <c r="E38" t="s">
        <v>66</v>
      </c>
      <c r="F38" s="7">
        <v>25752</v>
      </c>
      <c r="G38" t="s">
        <v>246</v>
      </c>
      <c r="H38" t="s">
        <v>671</v>
      </c>
      <c r="I38" t="s">
        <v>212</v>
      </c>
      <c r="J38" t="s">
        <v>3726</v>
      </c>
      <c r="K38" t="s">
        <v>225</v>
      </c>
      <c r="L38" t="s">
        <v>265</v>
      </c>
      <c r="M38" t="s">
        <v>672</v>
      </c>
      <c r="N38" t="s">
        <v>673</v>
      </c>
      <c r="O38" t="s">
        <v>674</v>
      </c>
      <c r="P38" t="s">
        <v>675</v>
      </c>
      <c r="Q38" t="s">
        <v>676</v>
      </c>
      <c r="R38" t="str">
        <f t="shared" si="0"/>
        <v>doctor-female.jpg</v>
      </c>
      <c r="S38" s="8">
        <v>3797365769213234</v>
      </c>
      <c r="T38">
        <v>37</v>
      </c>
      <c r="V38" s="6" t="str" cm="1">
        <f t="array" ref="V38">INDEX(Folha1!$C$2:$C$396,W38)</f>
        <v>$2a$10$Fbe3RadzvDZz7/gQJmQXDuvqrulE6S293REpdW3ouT09TtHwZMCmG</v>
      </c>
      <c r="W38">
        <f>MATCH(C38,Folha1!$B$2:$B$396,0)</f>
        <v>37</v>
      </c>
      <c r="Y38" t="str">
        <f t="shared" si="1"/>
        <v>(37,'med048', '$2a$10$Fbe3RadzvDZz7/gQJmQXDuvqrulE6S293REpdW3ouT09TtHwZMCmG', 'Joana Sá Garcia', 'Feminino', '1970-07-03', 'Rua do Guarda-Mor', '2670-910', 'Loures', 'Médico', 'Portuguesa', 'Bilhete de Identidade', '74539669', '438575984', '299529729', '966895040', 'med048@hospital.upskill.com', 'doctor-female.jpg'),</v>
      </c>
      <c r="Z38" t="str">
        <f t="shared" si="2"/>
        <v>(37,'3797365769213230', '37'),</v>
      </c>
      <c r="AA38" t="str">
        <f t="shared" si="3"/>
        <v>(37),</v>
      </c>
    </row>
    <row r="39" spans="1:27" x14ac:dyDescent="0.25">
      <c r="A39">
        <v>38</v>
      </c>
      <c r="B39" t="s">
        <v>677</v>
      </c>
      <c r="C39" t="s">
        <v>678</v>
      </c>
      <c r="D39" t="s">
        <v>679</v>
      </c>
      <c r="E39" t="s">
        <v>66</v>
      </c>
      <c r="F39" s="7">
        <v>23798</v>
      </c>
      <c r="G39" t="s">
        <v>261</v>
      </c>
      <c r="H39" t="s">
        <v>680</v>
      </c>
      <c r="I39" t="s">
        <v>211</v>
      </c>
      <c r="J39" t="s">
        <v>3726</v>
      </c>
      <c r="K39" t="s">
        <v>225</v>
      </c>
      <c r="L39" t="s">
        <v>265</v>
      </c>
      <c r="M39" t="s">
        <v>681</v>
      </c>
      <c r="N39" t="s">
        <v>682</v>
      </c>
      <c r="O39" t="s">
        <v>683</v>
      </c>
      <c r="P39" t="s">
        <v>684</v>
      </c>
      <c r="Q39" t="s">
        <v>685</v>
      </c>
      <c r="R39" t="str">
        <f t="shared" si="0"/>
        <v>doctor-female.jpg</v>
      </c>
      <c r="S39" s="8">
        <v>3808248608505780</v>
      </c>
      <c r="T39">
        <v>38</v>
      </c>
      <c r="V39" s="6" t="str" cm="1">
        <f t="array" ref="V39">INDEX(Folha1!$C$2:$C$396,W39)</f>
        <v>$2a$10$SDElTn1kG.Ph1gSxsKWK6.thArunabMp.MIifevWpligq3Zz40gkG</v>
      </c>
      <c r="W39">
        <f>MATCH(C39,Folha1!$B$2:$B$396,0)</f>
        <v>38</v>
      </c>
      <c r="Y39" t="str">
        <f t="shared" si="1"/>
        <v>(38,'med049', '$2a$10$SDElTn1kG.Ph1gSxsKWK6.thArunabMp.MIifevWpligq3Zz40gkG', 'Beatriz Paiva Marques', 'Feminino', '1965-02-25', 'Rua do Carmo', '1067-805', 'Lisboa', 'Médico', 'Portuguesa', 'Bilhete de Identidade', '16191870', '721867444', '563703619', '920694885', 'med049@hospital.upskill.com', 'doctor-female.jpg'),</v>
      </c>
      <c r="Z39" t="str">
        <f t="shared" si="2"/>
        <v>(38,'3808248608505780', '38'),</v>
      </c>
      <c r="AA39" t="str">
        <f t="shared" si="3"/>
        <v>(38),</v>
      </c>
    </row>
    <row r="40" spans="1:27" x14ac:dyDescent="0.25">
      <c r="A40">
        <v>39</v>
      </c>
      <c r="B40" t="s">
        <v>686</v>
      </c>
      <c r="C40" t="s">
        <v>687</v>
      </c>
      <c r="D40" t="s">
        <v>688</v>
      </c>
      <c r="E40" t="s">
        <v>53</v>
      </c>
      <c r="F40" s="7">
        <v>10175</v>
      </c>
      <c r="G40" t="s">
        <v>234</v>
      </c>
      <c r="H40" t="s">
        <v>689</v>
      </c>
      <c r="I40" t="s">
        <v>204</v>
      </c>
      <c r="J40" t="s">
        <v>3726</v>
      </c>
      <c r="K40" t="s">
        <v>225</v>
      </c>
      <c r="L40" t="s">
        <v>265</v>
      </c>
      <c r="M40" t="s">
        <v>690</v>
      </c>
      <c r="N40" t="s">
        <v>691</v>
      </c>
      <c r="O40" t="s">
        <v>692</v>
      </c>
      <c r="P40" t="s">
        <v>693</v>
      </c>
      <c r="Q40" t="s">
        <v>694</v>
      </c>
      <c r="R40" t="str">
        <f t="shared" si="0"/>
        <v>doctor-male.jpg</v>
      </c>
      <c r="S40" s="8">
        <v>8331815996323083</v>
      </c>
      <c r="T40">
        <v>39</v>
      </c>
      <c r="V40" s="6" t="str" cm="1">
        <f t="array" ref="V40">INDEX(Folha1!$C$2:$C$396,W40)</f>
        <v>$2a$10$O1ouLPQ.VF/9IWsFkCMnved4ZhzOkUo/UgoY3Waz6EI1bJuYNG1h2</v>
      </c>
      <c r="W40">
        <f>MATCH(C40,Folha1!$B$2:$B$396,0)</f>
        <v>39</v>
      </c>
      <c r="Y40" t="str">
        <f t="shared" si="1"/>
        <v>(39,'med050', '$2a$10$O1ouLPQ.VF/9IWsFkCMnved4ZhzOkUo/UgoY3Waz6EI1bJuYNG1h2', 'Afonso José Tavares Miranda', 'Masculino', '1927-11-09', 'Rua do Instituto Bacteriológico', '2560-542', 'Torres Vedras', 'Médico', 'Portuguesa', 'Bilhete de Identidade', '39670437', '453096007', '253870958', '938362729', 'med050@hospital.upskill.com', 'doctor-male.jpg'),</v>
      </c>
      <c r="Z40" t="str">
        <f t="shared" si="2"/>
        <v>(39,'8331815996323080', '39'),</v>
      </c>
      <c r="AA40" t="str">
        <f t="shared" si="3"/>
        <v>(39),</v>
      </c>
    </row>
    <row r="41" spans="1:27" x14ac:dyDescent="0.25">
      <c r="A41">
        <v>40</v>
      </c>
      <c r="B41" t="s">
        <v>695</v>
      </c>
      <c r="C41" t="s">
        <v>696</v>
      </c>
      <c r="D41" t="s">
        <v>697</v>
      </c>
      <c r="E41" t="s">
        <v>53</v>
      </c>
      <c r="F41" s="7">
        <v>16409</v>
      </c>
      <c r="G41" t="s">
        <v>236</v>
      </c>
      <c r="H41" t="s">
        <v>698</v>
      </c>
      <c r="I41" t="s">
        <v>211</v>
      </c>
      <c r="J41" t="s">
        <v>3726</v>
      </c>
      <c r="K41" t="s">
        <v>225</v>
      </c>
      <c r="L41" t="s">
        <v>265</v>
      </c>
      <c r="M41" t="s">
        <v>699</v>
      </c>
      <c r="N41" t="s">
        <v>700</v>
      </c>
      <c r="O41" t="s">
        <v>701</v>
      </c>
      <c r="P41" t="s">
        <v>702</v>
      </c>
      <c r="Q41" t="s">
        <v>703</v>
      </c>
      <c r="R41" t="str">
        <f t="shared" si="0"/>
        <v>doctor-male.jpg</v>
      </c>
      <c r="S41" s="8">
        <v>7859666677586880</v>
      </c>
      <c r="T41">
        <v>40</v>
      </c>
      <c r="V41" s="6" t="str" cm="1">
        <f t="array" ref="V41">INDEX(Folha1!$C$2:$C$396,W41)</f>
        <v>$2a$10$LNUv0DWnIQM7y2zYrFiUhO3Gk/1sNqSvV1MqzIB4iFOQ2vICHMCZe</v>
      </c>
      <c r="W41">
        <f>MATCH(C41,Folha1!$B$2:$B$396,0)</f>
        <v>40</v>
      </c>
      <c r="Y41" t="str">
        <f t="shared" si="1"/>
        <v>(40,'med051', '$2a$10$LNUv0DWnIQM7y2zYrFiUhO3Gk/1sNqSvV1MqzIB4iFOQ2vICHMCZe', 'Rodrigo Mariana Santos Araújo', 'Masculino', '1944-12-03', 'Rua da Madalena', '1649-98', 'Lisboa', 'Médico', 'Portuguesa', 'Bilhete de Identidade', '20780186', '313289654', '433671939', '932843056', 'med051@hospital.upskill.com', 'doctor-male.jpg'),</v>
      </c>
      <c r="Z41" t="str">
        <f t="shared" si="2"/>
        <v>(40,'7859666677586880', '40'),</v>
      </c>
      <c r="AA41" t="str">
        <f t="shared" si="3"/>
        <v>(40),</v>
      </c>
    </row>
    <row r="42" spans="1:27" x14ac:dyDescent="0.25">
      <c r="A42">
        <v>41</v>
      </c>
      <c r="B42" t="s">
        <v>704</v>
      </c>
      <c r="C42" t="s">
        <v>705</v>
      </c>
      <c r="D42" t="s">
        <v>706</v>
      </c>
      <c r="E42" t="s">
        <v>66</v>
      </c>
      <c r="F42" s="7">
        <v>44012</v>
      </c>
      <c r="G42" t="s">
        <v>227</v>
      </c>
      <c r="H42" t="s">
        <v>707</v>
      </c>
      <c r="I42" t="s">
        <v>211</v>
      </c>
      <c r="J42" t="s">
        <v>3726</v>
      </c>
      <c r="K42" t="s">
        <v>225</v>
      </c>
      <c r="L42" t="s">
        <v>265</v>
      </c>
      <c r="M42" t="s">
        <v>708</v>
      </c>
      <c r="N42" t="s">
        <v>709</v>
      </c>
      <c r="O42" t="s">
        <v>710</v>
      </c>
      <c r="P42" t="s">
        <v>711</v>
      </c>
      <c r="Q42" t="s">
        <v>712</v>
      </c>
      <c r="R42" t="str">
        <f t="shared" si="0"/>
        <v>doctor-female.jpg</v>
      </c>
      <c r="S42" s="8">
        <v>7499154035523451</v>
      </c>
      <c r="T42">
        <v>41</v>
      </c>
      <c r="V42" s="6" t="str" cm="1">
        <f t="array" ref="V42">INDEX(Folha1!$C$2:$C$396,W42)</f>
        <v>$2a$10$p7q83kSl/ZR2MouXeP0.TOtEVGRpPigDiFcBQo2ZwltvVyVVI1r/2</v>
      </c>
      <c r="W42">
        <f>MATCH(C42,Folha1!$B$2:$B$396,0)</f>
        <v>41</v>
      </c>
      <c r="Y42" t="str">
        <f t="shared" si="1"/>
        <v>(41,'med052', '$2a$10$p7q83kSl/ZR2MouXeP0.TOtEVGRpPigDiFcBQo2ZwltvVyVVI1r/2', 'Matilde Sara Coelho Ribeiro', 'Feminino', '2020-06-30', 'Rua dos Bacalhoeiros', '1200-604', 'Lisboa', 'Médico', 'Portuguesa', 'Bilhete de Identidade', '68439063', '446859515', '747206327', '928171103', 'med052@hospital.upskill.com', 'doctor-female.jpg'),</v>
      </c>
      <c r="Z42" t="str">
        <f t="shared" si="2"/>
        <v>(41,'7499154035523450', '41'),</v>
      </c>
      <c r="AA42" t="str">
        <f t="shared" si="3"/>
        <v>(41),</v>
      </c>
    </row>
    <row r="43" spans="1:27" x14ac:dyDescent="0.25">
      <c r="A43">
        <v>42</v>
      </c>
      <c r="B43" t="s">
        <v>713</v>
      </c>
      <c r="C43" t="s">
        <v>714</v>
      </c>
      <c r="D43" t="s">
        <v>715</v>
      </c>
      <c r="E43" t="s">
        <v>53</v>
      </c>
      <c r="F43" s="7">
        <v>21337</v>
      </c>
      <c r="G43" t="s">
        <v>244</v>
      </c>
      <c r="H43" t="s">
        <v>716</v>
      </c>
      <c r="I43" t="s">
        <v>211</v>
      </c>
      <c r="J43" t="s">
        <v>3726</v>
      </c>
      <c r="K43" t="s">
        <v>225</v>
      </c>
      <c r="L43" t="s">
        <v>265</v>
      </c>
      <c r="M43" t="s">
        <v>717</v>
      </c>
      <c r="N43" t="s">
        <v>718</v>
      </c>
      <c r="O43" t="s">
        <v>719</v>
      </c>
      <c r="P43" t="s">
        <v>720</v>
      </c>
      <c r="Q43" t="s">
        <v>721</v>
      </c>
      <c r="R43" t="str">
        <f t="shared" si="0"/>
        <v>doctor-male.jpg</v>
      </c>
      <c r="S43" s="8">
        <v>6827486180630314</v>
      </c>
      <c r="T43">
        <v>42</v>
      </c>
      <c r="V43" s="6" t="str" cm="1">
        <f t="array" ref="V43">INDEX(Folha1!$C$2:$C$396,W43)</f>
        <v>$2a$10$e7r6L//wb97uEbhyfP.3f.IikqwUFls5KZNNDcdKf2Jb3DTUb71Oq</v>
      </c>
      <c r="W43">
        <f>MATCH(C43,Folha1!$B$2:$B$396,0)</f>
        <v>42</v>
      </c>
      <c r="Y43" t="str">
        <f t="shared" si="1"/>
        <v>(42,'med053', '$2a$10$e7r6L//wb97uEbhyfP.3f.IikqwUFls5KZNNDcdKf2Jb3DTUb71Oq', 'Francisco Diogo Pires Assunção', 'Masculino', '1958-06-01', 'Rua da Betesga', '1349-903', 'Lisboa', 'Médico', 'Portuguesa', 'Bilhete de Identidade', '53705375', '227069487', '319750281', '927950886', 'med053@hospital.upskill.com', 'doctor-male.jpg'),</v>
      </c>
      <c r="Z43" t="str">
        <f t="shared" si="2"/>
        <v>(42,'6827486180630310', '42'),</v>
      </c>
      <c r="AA43" t="str">
        <f t="shared" si="3"/>
        <v>(42),</v>
      </c>
    </row>
    <row r="44" spans="1:27" x14ac:dyDescent="0.25">
      <c r="A44">
        <v>43</v>
      </c>
      <c r="B44" t="s">
        <v>722</v>
      </c>
      <c r="C44" t="s">
        <v>723</v>
      </c>
      <c r="D44" t="s">
        <v>724</v>
      </c>
      <c r="E44" t="s">
        <v>53</v>
      </c>
      <c r="F44" s="7">
        <v>35631</v>
      </c>
      <c r="G44" t="s">
        <v>260</v>
      </c>
      <c r="H44" t="s">
        <v>725</v>
      </c>
      <c r="I44" t="s">
        <v>211</v>
      </c>
      <c r="J44" t="s">
        <v>3726</v>
      </c>
      <c r="K44" t="s">
        <v>225</v>
      </c>
      <c r="L44" t="s">
        <v>265</v>
      </c>
      <c r="M44" t="s">
        <v>726</v>
      </c>
      <c r="N44" t="s">
        <v>727</v>
      </c>
      <c r="O44" t="s">
        <v>728</v>
      </c>
      <c r="P44" t="s">
        <v>729</v>
      </c>
      <c r="Q44" t="s">
        <v>730</v>
      </c>
      <c r="R44" t="str">
        <f t="shared" si="0"/>
        <v>doctor-male.jpg</v>
      </c>
      <c r="S44" s="8">
        <v>1142627949407157</v>
      </c>
      <c r="T44">
        <v>43</v>
      </c>
      <c r="V44" s="6" t="str" cm="1">
        <f t="array" ref="V44">INDEX(Folha1!$C$2:$C$396,W44)</f>
        <v>$2a$10$ob5sxH78DxIdnvxOn9MhNOIs5zxNWDOpUIHq3dRtI8vVLi8EuAgVO</v>
      </c>
      <c r="W44">
        <f>MATCH(C44,Folha1!$B$2:$B$396,0)</f>
        <v>43</v>
      </c>
      <c r="Y44" t="str">
        <f t="shared" si="1"/>
        <v>(43,'med054', '$2a$10$ob5sxH78DxIdnvxOn9MhNOIs5zxNWDOpUIHq3dRtI8vVLi8EuAgVO', 'Tiago João Nogueira Matos', 'Masculino', '1997-07-20', 'Rua Augusta', '1100-761', 'Lisboa', 'Médico', 'Portuguesa', 'Bilhete de Identidade', '38589986', '559464074', '791898566', '939271963', 'med054@hospital.upskill.com', 'doctor-male.jpg'),</v>
      </c>
      <c r="Z44" t="str">
        <f t="shared" si="2"/>
        <v>(43,'1142627949407160', '43'),</v>
      </c>
      <c r="AA44" t="str">
        <f t="shared" si="3"/>
        <v>(43),</v>
      </c>
    </row>
    <row r="45" spans="1:27" x14ac:dyDescent="0.25">
      <c r="A45">
        <v>44</v>
      </c>
      <c r="B45" t="s">
        <v>731</v>
      </c>
      <c r="C45" t="s">
        <v>732</v>
      </c>
      <c r="D45" t="s">
        <v>733</v>
      </c>
      <c r="E45" t="s">
        <v>53</v>
      </c>
      <c r="F45" s="7">
        <v>14541</v>
      </c>
      <c r="G45" t="s">
        <v>230</v>
      </c>
      <c r="H45" t="s">
        <v>734</v>
      </c>
      <c r="I45" t="s">
        <v>201</v>
      </c>
      <c r="J45" t="s">
        <v>3726</v>
      </c>
      <c r="K45" t="s">
        <v>225</v>
      </c>
      <c r="L45" t="s">
        <v>265</v>
      </c>
      <c r="M45" t="s">
        <v>735</v>
      </c>
      <c r="N45" t="s">
        <v>736</v>
      </c>
      <c r="O45" t="s">
        <v>737</v>
      </c>
      <c r="P45" t="s">
        <v>738</v>
      </c>
      <c r="Q45" t="s">
        <v>739</v>
      </c>
      <c r="R45" t="str">
        <f t="shared" si="0"/>
        <v>doctor-male.jpg</v>
      </c>
      <c r="S45" s="8">
        <v>6452315536057233</v>
      </c>
      <c r="T45">
        <v>44</v>
      </c>
      <c r="V45" s="6" t="str" cm="1">
        <f t="array" ref="V45">INDEX(Folha1!$C$2:$C$396,W45)</f>
        <v>$2a$10$kch.PJHYa3GL/OjTanN7fuLhkfCS6rOaJMysiAN6JNXzBsXOQusMm</v>
      </c>
      <c r="W45">
        <f>MATCH(C45,Folha1!$B$2:$B$396,0)</f>
        <v>44</v>
      </c>
      <c r="Y45" t="str">
        <f t="shared" si="1"/>
        <v>(44,'med055', '$2a$10$kch.PJHYa3GL/OjTanN7fuLhkfCS6rOaJMysiAN6JNXzBsXOQusMm', 'Pedro João Santos Gaspar', 'Masculino', '1939-10-23', 'Estrada da Circunvalação de Lisboa', '2419-31', 'Leiria', 'Médico', 'Portuguesa', 'Bilhete de Identidade', '45014313', '502140806', '316742900', '914529174', 'med055@hospital.upskill.com', 'doctor-male.jpg'),</v>
      </c>
      <c r="Z45" t="str">
        <f t="shared" si="2"/>
        <v>(44,'6452315536057230', '44'),</v>
      </c>
      <c r="AA45" t="str">
        <f t="shared" si="3"/>
        <v>(44),</v>
      </c>
    </row>
    <row r="46" spans="1:27" x14ac:dyDescent="0.25">
      <c r="A46">
        <v>45</v>
      </c>
      <c r="B46" t="s">
        <v>740</v>
      </c>
      <c r="C46" t="s">
        <v>741</v>
      </c>
      <c r="D46" t="s">
        <v>742</v>
      </c>
      <c r="E46" t="s">
        <v>66</v>
      </c>
      <c r="F46" s="7">
        <v>10289</v>
      </c>
      <c r="G46" t="s">
        <v>260</v>
      </c>
      <c r="H46" t="s">
        <v>743</v>
      </c>
      <c r="I46" t="s">
        <v>211</v>
      </c>
      <c r="J46" t="s">
        <v>3726</v>
      </c>
      <c r="K46" t="s">
        <v>225</v>
      </c>
      <c r="L46" t="s">
        <v>265</v>
      </c>
      <c r="M46" t="s">
        <v>744</v>
      </c>
      <c r="N46" t="s">
        <v>745</v>
      </c>
      <c r="O46" t="s">
        <v>746</v>
      </c>
      <c r="P46" t="s">
        <v>747</v>
      </c>
      <c r="Q46" t="s">
        <v>748</v>
      </c>
      <c r="R46" t="str">
        <f t="shared" si="0"/>
        <v>doctor-female.jpg</v>
      </c>
      <c r="S46" s="8">
        <v>6892836598069327</v>
      </c>
      <c r="T46">
        <v>45</v>
      </c>
      <c r="V46" s="6" t="str" cm="1">
        <f t="array" ref="V46">INDEX(Folha1!$C$2:$C$396,W46)</f>
        <v>$2a$10$lL1fi/.v2TmSy254IRVlv.oo7pIgStYlLDOvKfHebAixvc3dkPfLm</v>
      </c>
      <c r="W46">
        <f>MATCH(C46,Folha1!$B$2:$B$396,0)</f>
        <v>45</v>
      </c>
      <c r="Y46" t="str">
        <f t="shared" si="1"/>
        <v>(45,'med056', '$2a$10$lL1fi/.v2TmSy254IRVlv.oo7pIgStYlLDOvKfHebAixvc3dkPfLm', 'Francisca João Moreira Ribeiro', 'Feminino', '1928-03-02', 'Rua Augusta', '1800-582', 'Lisboa', 'Médico', 'Portuguesa', 'Bilhete de Identidade', '81684087', '149072825', '539540791', '911149516', 'med056@hospital.upskill.com', 'doctor-female.jpg'),</v>
      </c>
      <c r="Z46" t="str">
        <f t="shared" si="2"/>
        <v>(45,'6892836598069330', '45'),</v>
      </c>
      <c r="AA46" t="str">
        <f t="shared" si="3"/>
        <v>(45),</v>
      </c>
    </row>
    <row r="47" spans="1:27" x14ac:dyDescent="0.25">
      <c r="A47">
        <v>46</v>
      </c>
      <c r="B47" t="s">
        <v>749</v>
      </c>
      <c r="C47" t="s">
        <v>750</v>
      </c>
      <c r="D47" t="s">
        <v>751</v>
      </c>
      <c r="E47" t="s">
        <v>53</v>
      </c>
      <c r="F47" s="7">
        <v>30780</v>
      </c>
      <c r="G47" t="s">
        <v>242</v>
      </c>
      <c r="H47" t="s">
        <v>752</v>
      </c>
      <c r="I47" t="s">
        <v>217</v>
      </c>
      <c r="J47" t="s">
        <v>3726</v>
      </c>
      <c r="K47" t="s">
        <v>225</v>
      </c>
      <c r="L47" t="s">
        <v>265</v>
      </c>
      <c r="M47" t="s">
        <v>753</v>
      </c>
      <c r="N47" t="s">
        <v>754</v>
      </c>
      <c r="O47" t="s">
        <v>755</v>
      </c>
      <c r="P47" t="s">
        <v>756</v>
      </c>
      <c r="Q47" t="s">
        <v>757</v>
      </c>
      <c r="R47" t="str">
        <f t="shared" si="0"/>
        <v>doctor-male.jpg</v>
      </c>
      <c r="S47" s="8">
        <v>9725746573988856</v>
      </c>
      <c r="T47">
        <v>46</v>
      </c>
      <c r="V47" s="6" t="str" cm="1">
        <f t="array" ref="V47">INDEX(Folha1!$C$2:$C$396,W47)</f>
        <v>$2a$10$EYBcvm4G98PZLLbfXu4tm.DLzJ6WyGFUVn0pyz32c8SoCUoVHj6zO</v>
      </c>
      <c r="W47">
        <f>MATCH(C47,Folha1!$B$2:$B$396,0)</f>
        <v>46</v>
      </c>
      <c r="Y47" t="str">
        <f t="shared" si="1"/>
        <v>(46,'med057', '$2a$10$EYBcvm4G98PZLLbfXu4tm.DLzJ6WyGFUVn0pyz32c8SoCUoVHj6zO', 'João Ana Almeida Maia', 'Masculino', '1984-04-08', 'Avenida Ressano Garcia', '2825-660', 'Caparica', 'Médico', 'Portuguesa', 'Bilhete de Identidade', '77443779', '153105734', '777955068', '925538728', 'med057@hospital.upskill.com', 'doctor-male.jpg'),</v>
      </c>
      <c r="Z47" t="str">
        <f t="shared" si="2"/>
        <v>(46,'9725746573988860', '46'),</v>
      </c>
      <c r="AA47" t="str">
        <f t="shared" si="3"/>
        <v>(46),</v>
      </c>
    </row>
    <row r="48" spans="1:27" x14ac:dyDescent="0.25">
      <c r="A48">
        <v>47</v>
      </c>
      <c r="B48" t="s">
        <v>758</v>
      </c>
      <c r="C48" t="s">
        <v>759</v>
      </c>
      <c r="D48" t="s">
        <v>760</v>
      </c>
      <c r="E48" t="s">
        <v>53</v>
      </c>
      <c r="F48" s="7">
        <v>37531</v>
      </c>
      <c r="G48" t="s">
        <v>231</v>
      </c>
      <c r="H48" t="s">
        <v>761</v>
      </c>
      <c r="I48" t="s">
        <v>211</v>
      </c>
      <c r="J48" t="s">
        <v>3726</v>
      </c>
      <c r="K48" t="s">
        <v>225</v>
      </c>
      <c r="L48" t="s">
        <v>265</v>
      </c>
      <c r="M48" t="s">
        <v>762</v>
      </c>
      <c r="N48" t="s">
        <v>763</v>
      </c>
      <c r="O48" t="s">
        <v>764</v>
      </c>
      <c r="P48" t="s">
        <v>765</v>
      </c>
      <c r="Q48" t="s">
        <v>766</v>
      </c>
      <c r="R48" t="str">
        <f t="shared" si="0"/>
        <v>doctor-male.jpg</v>
      </c>
      <c r="S48" s="8">
        <v>8475667494016764</v>
      </c>
      <c r="T48">
        <v>47</v>
      </c>
      <c r="V48" s="6" t="str" cm="1">
        <f t="array" ref="V48">INDEX(Folha1!$C$2:$C$396,W48)</f>
        <v>$2a$10$4LVFRNWWGTpzrhUbcREBTeepSuofAyFC9t7RK4vZ5.IZ/IZfS/GF2</v>
      </c>
      <c r="W48">
        <f>MATCH(C48,Folha1!$B$2:$B$396,0)</f>
        <v>47</v>
      </c>
      <c r="Y48" t="str">
        <f t="shared" si="1"/>
        <v>(47,'med058', '$2a$10$4LVFRNWWGTpzrhUbcREBTeepSuofAyFC9t7RK4vZ5.IZ/IZfS/GF2', 'Miguel Leonor Domingues Lopes', 'Masculino', '2002-10-02', 'Rua dos Fanqueiros', '1750-440', 'Lisboa', 'Médico', 'Portuguesa', 'Bilhete de Identidade', '86716102', '556609452', '233042960', '960653444', 'med058@hospital.upskill.com', 'doctor-male.jpg'),</v>
      </c>
      <c r="Z48" t="str">
        <f t="shared" si="2"/>
        <v>(47,'8475667494016760', '47'),</v>
      </c>
      <c r="AA48" t="str">
        <f t="shared" si="3"/>
        <v>(47),</v>
      </c>
    </row>
    <row r="49" spans="1:27" x14ac:dyDescent="0.25">
      <c r="A49">
        <v>48</v>
      </c>
      <c r="B49" t="s">
        <v>767</v>
      </c>
      <c r="C49" t="s">
        <v>768</v>
      </c>
      <c r="D49" t="s">
        <v>769</v>
      </c>
      <c r="E49" t="s">
        <v>53</v>
      </c>
      <c r="F49" s="7">
        <v>43428</v>
      </c>
      <c r="G49" t="s">
        <v>261</v>
      </c>
      <c r="H49" t="s">
        <v>770</v>
      </c>
      <c r="I49" t="s">
        <v>211</v>
      </c>
      <c r="J49" t="s">
        <v>3726</v>
      </c>
      <c r="K49" t="s">
        <v>225</v>
      </c>
      <c r="L49" t="s">
        <v>265</v>
      </c>
      <c r="M49" t="s">
        <v>771</v>
      </c>
      <c r="N49" t="s">
        <v>772</v>
      </c>
      <c r="O49" t="s">
        <v>773</v>
      </c>
      <c r="P49" t="s">
        <v>774</v>
      </c>
      <c r="Q49" t="s">
        <v>775</v>
      </c>
      <c r="R49" t="str">
        <f t="shared" si="0"/>
        <v>doctor-male.jpg</v>
      </c>
      <c r="S49" s="8">
        <v>9042943930834688</v>
      </c>
      <c r="T49">
        <v>48</v>
      </c>
      <c r="V49" s="6" t="str" cm="1">
        <f t="array" ref="V49">INDEX(Folha1!$C$2:$C$396,W49)</f>
        <v>$2a$10$8nLYqeuxShWjcfchk2CBPuWREnirNfQcAyn3j/m.lXNrUjfiNknLO</v>
      </c>
      <c r="W49">
        <f>MATCH(C49,Folha1!$B$2:$B$396,0)</f>
        <v>48</v>
      </c>
      <c r="Y49" t="str">
        <f t="shared" si="1"/>
        <v>(48,'med059', '$2a$10$8nLYqeuxShWjcfchk2CBPuWREnirNfQcAyn3j/m.lXNrUjfiNknLO', 'Luís Sofia Carneiro Fonseca', 'Masculino', '2018-11-24', 'Rua do Carmo', '1999-731', 'Lisboa', 'Médico', 'Portuguesa', 'Bilhete de Identidade', '37986900', '593484432', '653673221', '925338843', 'med059@hospital.upskill.com', 'doctor-male.jpg'),</v>
      </c>
      <c r="Z49" t="str">
        <f t="shared" si="2"/>
        <v>(48,'9042943930834690', '48'),</v>
      </c>
      <c r="AA49" t="str">
        <f t="shared" si="3"/>
        <v>(48),</v>
      </c>
    </row>
    <row r="50" spans="1:27" x14ac:dyDescent="0.25">
      <c r="A50">
        <v>49</v>
      </c>
      <c r="B50" t="s">
        <v>776</v>
      </c>
      <c r="C50" t="s">
        <v>777</v>
      </c>
      <c r="D50" t="s">
        <v>778</v>
      </c>
      <c r="E50" t="s">
        <v>53</v>
      </c>
      <c r="F50" s="7">
        <v>27744</v>
      </c>
      <c r="G50" t="s">
        <v>245</v>
      </c>
      <c r="H50" t="s">
        <v>779</v>
      </c>
      <c r="I50" t="s">
        <v>210</v>
      </c>
      <c r="J50" t="s">
        <v>3726</v>
      </c>
      <c r="K50" t="s">
        <v>225</v>
      </c>
      <c r="L50" t="s">
        <v>265</v>
      </c>
      <c r="M50" t="s">
        <v>780</v>
      </c>
      <c r="N50" t="s">
        <v>781</v>
      </c>
      <c r="O50" t="s">
        <v>782</v>
      </c>
      <c r="P50" t="s">
        <v>783</v>
      </c>
      <c r="Q50" t="s">
        <v>784</v>
      </c>
      <c r="R50" t="str">
        <f t="shared" si="0"/>
        <v>doctor-male.jpg</v>
      </c>
      <c r="S50" s="8">
        <v>7774087834168916</v>
      </c>
      <c r="T50">
        <v>49</v>
      </c>
      <c r="V50" s="6" t="str" cm="1">
        <f t="array" ref="V50">INDEX(Folha1!$C$2:$C$396,W50)</f>
        <v>$2a$10$WzzsgaBRKBUkH7plgclftOQ3c/LSy0iaB1qIXK0XjOEs7jpkSYoDu</v>
      </c>
      <c r="W50">
        <f>MATCH(C50,Folha1!$B$2:$B$396,0)</f>
        <v>49</v>
      </c>
      <c r="Y50" t="str">
        <f t="shared" si="1"/>
        <v>(49,'med060', '$2a$10$WzzsgaBRKBUkH7plgclftOQ3c/LSy0iaB1qIXK0XjOEs7jpkSYoDu', 'Duarte Luís Cardoso Cunha', 'Masculino', '1975-12-16', 'Rua do Comércio', '2654-168', 'Amadora', 'Médico', 'Portuguesa', 'Bilhete de Identidade', '88953156', '397732593', '523682737', '912441208', 'med060@hospital.upskill.com', 'doctor-male.jpg'),</v>
      </c>
      <c r="Z50" t="str">
        <f t="shared" si="2"/>
        <v>(49,'7774087834168920', '49'),</v>
      </c>
      <c r="AA50" t="str">
        <f t="shared" si="3"/>
        <v>(49),</v>
      </c>
    </row>
    <row r="51" spans="1:27" x14ac:dyDescent="0.25">
      <c r="A51">
        <v>50</v>
      </c>
      <c r="B51" t="s">
        <v>785</v>
      </c>
      <c r="C51" t="s">
        <v>786</v>
      </c>
      <c r="D51" t="s">
        <v>787</v>
      </c>
      <c r="E51" t="s">
        <v>66</v>
      </c>
      <c r="F51" s="7">
        <v>39695</v>
      </c>
      <c r="G51" t="s">
        <v>248</v>
      </c>
      <c r="H51" t="s">
        <v>788</v>
      </c>
      <c r="I51" t="s">
        <v>220</v>
      </c>
      <c r="J51" t="s">
        <v>3726</v>
      </c>
      <c r="K51" t="s">
        <v>225</v>
      </c>
      <c r="L51" t="s">
        <v>265</v>
      </c>
      <c r="M51" t="s">
        <v>789</v>
      </c>
      <c r="N51" t="s">
        <v>790</v>
      </c>
      <c r="O51" t="s">
        <v>791</v>
      </c>
      <c r="P51" t="s">
        <v>792</v>
      </c>
      <c r="Q51" t="s">
        <v>793</v>
      </c>
      <c r="R51" t="str">
        <f t="shared" si="0"/>
        <v>doctor-female.jpg</v>
      </c>
      <c r="S51" s="8">
        <v>6769802077498685</v>
      </c>
      <c r="T51">
        <v>50</v>
      </c>
      <c r="V51" s="6" t="str" cm="1">
        <f t="array" ref="V51">INDEX(Folha1!$C$2:$C$396,W51)</f>
        <v>$2a$10$y8GFfcQOGpjEwYIYBFBXYuKSFFbMTp6VlOCHmaw52pEB/e/VNUIKy</v>
      </c>
      <c r="W51">
        <f>MATCH(C51,Folha1!$B$2:$B$396,0)</f>
        <v>50</v>
      </c>
      <c r="Y51" t="str">
        <f t="shared" si="1"/>
        <v>(50,'med061', '$2a$10$y8GFfcQOGpjEwYIYBFBXYuKSFFbMTp6VlOCHmaw52pEB/e/VNUIKy', 'Catarina Carolina Carneiro Leite', 'Feminino', '2008-09-04', 'Rua General Morais Sarmento', '2750-238', 'Cascais', 'Médico', 'Portuguesa', 'Bilhete de Identidade', '88704200', '623987568', '880845556', '960593146', 'med061@hospital.upskill.com', 'doctor-female.jpg'),</v>
      </c>
      <c r="Z51" t="str">
        <f t="shared" si="2"/>
        <v>(50,'6769802077498680', '50'),</v>
      </c>
      <c r="AA51" t="str">
        <f t="shared" si="3"/>
        <v>(50),</v>
      </c>
    </row>
    <row r="52" spans="1:27" x14ac:dyDescent="0.25">
      <c r="A52">
        <v>51</v>
      </c>
      <c r="B52" t="s">
        <v>794</v>
      </c>
      <c r="C52" t="s">
        <v>795</v>
      </c>
      <c r="D52" t="s">
        <v>796</v>
      </c>
      <c r="E52" t="s">
        <v>53</v>
      </c>
      <c r="F52" s="7">
        <v>30630</v>
      </c>
      <c r="G52" t="s">
        <v>229</v>
      </c>
      <c r="H52" t="s">
        <v>797</v>
      </c>
      <c r="I52" t="s">
        <v>210</v>
      </c>
      <c r="J52" t="s">
        <v>3726</v>
      </c>
      <c r="K52" t="s">
        <v>225</v>
      </c>
      <c r="L52" t="s">
        <v>265</v>
      </c>
      <c r="M52" t="s">
        <v>798</v>
      </c>
      <c r="N52" t="s">
        <v>799</v>
      </c>
      <c r="O52" t="s">
        <v>800</v>
      </c>
      <c r="P52" t="s">
        <v>801</v>
      </c>
      <c r="Q52" t="s">
        <v>802</v>
      </c>
      <c r="R52" t="str">
        <f t="shared" si="0"/>
        <v>doctor-male.jpg</v>
      </c>
      <c r="S52" s="8">
        <v>2025077197067219</v>
      </c>
      <c r="T52">
        <v>1</v>
      </c>
      <c r="V52" s="6" t="str" cm="1">
        <f t="array" ref="V52">INDEX(Folha1!$C$2:$C$396,W52)</f>
        <v>$2a$10$VJL027DHTJgpLLQUm4Be0eGkiIwBMjPMPEuQD95ZQBCfJ0ajr8Cx2</v>
      </c>
      <c r="W52">
        <f>MATCH(C52,Folha1!$B$2:$B$396,0)</f>
        <v>51</v>
      </c>
      <c r="Y52" t="str">
        <f t="shared" si="1"/>
        <v>(51,'med062', '$2a$10$VJL027DHTJgpLLQUm4Be0eGkiIwBMjPMPEuQD95ZQBCfJ0ajr8Cx2', 'José Catarina Barbosa Figueiredo', 'Masculino', '1983-11-10', 'Rua Cidade de Bolama', '2720-897', 'Amadora', 'Médico', 'Portuguesa', 'Bilhete de Identidade', '58201933', '356282233', '325629423', '930238334', 'med062@hospital.upskill.com', 'doctor-male.jpg'),</v>
      </c>
      <c r="Z52" t="str">
        <f t="shared" si="2"/>
        <v>(51,'2025077197067220', '1'),</v>
      </c>
      <c r="AA52" t="str">
        <f t="shared" si="3"/>
        <v>(51),</v>
      </c>
    </row>
    <row r="53" spans="1:27" x14ac:dyDescent="0.25">
      <c r="A53">
        <v>52</v>
      </c>
      <c r="B53" t="s">
        <v>803</v>
      </c>
      <c r="C53" t="s">
        <v>804</v>
      </c>
      <c r="D53" t="s">
        <v>805</v>
      </c>
      <c r="E53" t="s">
        <v>66</v>
      </c>
      <c r="F53" s="7">
        <v>12753</v>
      </c>
      <c r="G53" t="s">
        <v>257</v>
      </c>
      <c r="H53" t="s">
        <v>806</v>
      </c>
      <c r="I53" t="s">
        <v>218</v>
      </c>
      <c r="J53" t="s">
        <v>3726</v>
      </c>
      <c r="K53" t="s">
        <v>225</v>
      </c>
      <c r="L53" t="s">
        <v>265</v>
      </c>
      <c r="M53" t="s">
        <v>807</v>
      </c>
      <c r="N53" t="s">
        <v>808</v>
      </c>
      <c r="O53" t="s">
        <v>809</v>
      </c>
      <c r="P53" t="s">
        <v>810</v>
      </c>
      <c r="Q53" t="s">
        <v>811</v>
      </c>
      <c r="R53" t="str">
        <f t="shared" si="0"/>
        <v>doctor-female.jpg</v>
      </c>
      <c r="S53" s="8">
        <v>7307719921389404</v>
      </c>
      <c r="T53">
        <v>2</v>
      </c>
      <c r="V53" s="6" t="str" cm="1">
        <f t="array" ref="V53">INDEX(Folha1!$C$2:$C$396,W53)</f>
        <v>$2a$10$kV3YFkxe499Cy.PaIvWAEu1KnHoNlQVrZQ5NYj4tqFJht4L363cvK</v>
      </c>
      <c r="W53">
        <f>MATCH(C53,Folha1!$B$2:$B$396,0)</f>
        <v>52</v>
      </c>
      <c r="Y53" t="str">
        <f t="shared" si="1"/>
        <v>(52,'med063', '$2a$10$kV3YFkxe499Cy.PaIvWAEu1KnHoNlQVrZQ5NYj4tqFJht4L363cvK', 'Mariana Carolina Rocha Pinheiro', 'Feminino', '1934-11-30', 'Rua do Sol a Santana', '2779-584', 'Carcavelos', 'Médico', 'Portuguesa', 'Bilhete de Identidade', '28255623', '551088405', '728327382', '911714300', 'med063@hospital.upskill.com', 'doctor-female.jpg'),</v>
      </c>
      <c r="Z53" t="str">
        <f t="shared" si="2"/>
        <v>(52,'7307719921389400', '2'),</v>
      </c>
      <c r="AA53" t="str">
        <f t="shared" si="3"/>
        <v>(52),</v>
      </c>
    </row>
    <row r="54" spans="1:27" x14ac:dyDescent="0.25">
      <c r="A54">
        <v>53</v>
      </c>
      <c r="B54" t="s">
        <v>812</v>
      </c>
      <c r="C54" t="s">
        <v>813</v>
      </c>
      <c r="D54" t="s">
        <v>814</v>
      </c>
      <c r="E54" t="s">
        <v>66</v>
      </c>
      <c r="F54" s="7">
        <v>13063</v>
      </c>
      <c r="G54" t="s">
        <v>227</v>
      </c>
      <c r="H54" t="s">
        <v>815</v>
      </c>
      <c r="I54" t="s">
        <v>201</v>
      </c>
      <c r="J54" t="s">
        <v>3726</v>
      </c>
      <c r="K54" t="s">
        <v>225</v>
      </c>
      <c r="L54" t="s">
        <v>265</v>
      </c>
      <c r="M54" t="s">
        <v>816</v>
      </c>
      <c r="N54" t="s">
        <v>817</v>
      </c>
      <c r="O54" t="s">
        <v>818</v>
      </c>
      <c r="P54" t="s">
        <v>819</v>
      </c>
      <c r="Q54" t="s">
        <v>820</v>
      </c>
      <c r="R54" t="str">
        <f t="shared" si="0"/>
        <v>doctor-female.jpg</v>
      </c>
      <c r="S54" s="8">
        <v>8576713920147942</v>
      </c>
      <c r="T54">
        <v>3</v>
      </c>
      <c r="V54" s="6" t="str" cm="1">
        <f t="array" ref="V54">INDEX(Folha1!$C$2:$C$396,W54)</f>
        <v>$2a$10$QSOZX3cA7Xf5ZpCJdf6yc.xUT4UVG20ijvoiEryfOiusVDJTppvAS</v>
      </c>
      <c r="W54">
        <f>MATCH(C54,Folha1!$B$2:$B$396,0)</f>
        <v>53</v>
      </c>
      <c r="Y54" t="str">
        <f t="shared" si="1"/>
        <v>(53,'med064', '$2a$10$QSOZX3cA7Xf5ZpCJdf6yc.xUT4UVG20ijvoiEryfOiusVDJTppvAS', 'Francisca Diana Mendes Oliveira', 'Feminino', '1935-10-06', 'Rua dos Bacalhoeiros', '2414-99', 'Leiria', 'Médico', 'Portuguesa', 'Bilhete de Identidade', '39635626', '455794753', '844872412', '910505328', 'med064@hospital.upskill.com', 'doctor-female.jpg'),</v>
      </c>
      <c r="Z54" t="str">
        <f t="shared" si="2"/>
        <v>(53,'8576713920147940', '3'),</v>
      </c>
      <c r="AA54" t="str">
        <f t="shared" si="3"/>
        <v>(53),</v>
      </c>
    </row>
    <row r="55" spans="1:27" x14ac:dyDescent="0.25">
      <c r="A55">
        <v>54</v>
      </c>
      <c r="B55" t="s">
        <v>821</v>
      </c>
      <c r="C55" t="s">
        <v>822</v>
      </c>
      <c r="D55" t="s">
        <v>823</v>
      </c>
      <c r="E55" t="s">
        <v>53</v>
      </c>
      <c r="F55" s="7">
        <v>37114</v>
      </c>
      <c r="G55" t="s">
        <v>263</v>
      </c>
      <c r="H55" t="s">
        <v>824</v>
      </c>
      <c r="I55" t="s">
        <v>211</v>
      </c>
      <c r="J55" t="s">
        <v>3726</v>
      </c>
      <c r="K55" t="s">
        <v>225</v>
      </c>
      <c r="L55" t="s">
        <v>265</v>
      </c>
      <c r="M55" t="s">
        <v>825</v>
      </c>
      <c r="N55" t="s">
        <v>826</v>
      </c>
      <c r="O55" t="s">
        <v>827</v>
      </c>
      <c r="P55" t="s">
        <v>828</v>
      </c>
      <c r="Q55" t="s">
        <v>829</v>
      </c>
      <c r="R55" t="str">
        <f t="shared" si="0"/>
        <v>doctor-male.jpg</v>
      </c>
      <c r="S55" s="8">
        <v>7386029786750066</v>
      </c>
      <c r="T55">
        <v>4</v>
      </c>
      <c r="V55" s="6" t="str" cm="1">
        <f t="array" ref="V55">INDEX(Folha1!$C$2:$C$396,W55)</f>
        <v>$2a$10$B8hUvSiAYNXQGLl8CcBLb.NbzlnZzJ4tCx8cSBpA62Vzuz8gN5DGO</v>
      </c>
      <c r="W55">
        <f>MATCH(C55,Folha1!$B$2:$B$396,0)</f>
        <v>54</v>
      </c>
      <c r="Y55" t="str">
        <f t="shared" si="1"/>
        <v>(54,'med065', '$2a$10$B8hUvSiAYNXQGLl8CcBLb.NbzlnZzJ4tCx8cSBpA62Vzuz8gN5DGO', 'Rodrigo Rodrigo Araújo Melo', 'Masculino', '2001-08-11', 'Rua da Junqueira', '1300-430', 'Lisboa', 'Médico', 'Portuguesa', 'Bilhete de Identidade', '63842104', '666619540', '176766770', '934133757', 'med065@hospital.upskill.com', 'doctor-male.jpg'),</v>
      </c>
      <c r="Z55" t="str">
        <f t="shared" si="2"/>
        <v>(54,'7386029786750070', '4'),</v>
      </c>
      <c r="AA55" t="str">
        <f t="shared" si="3"/>
        <v>(54),</v>
      </c>
    </row>
    <row r="56" spans="1:27" x14ac:dyDescent="0.25">
      <c r="A56">
        <v>55</v>
      </c>
      <c r="B56" t="s">
        <v>830</v>
      </c>
      <c r="C56" t="s">
        <v>831</v>
      </c>
      <c r="D56" t="s">
        <v>832</v>
      </c>
      <c r="E56" t="s">
        <v>66</v>
      </c>
      <c r="F56" s="7">
        <v>19832</v>
      </c>
      <c r="G56" t="s">
        <v>227</v>
      </c>
      <c r="H56" t="s">
        <v>331</v>
      </c>
      <c r="I56" t="s">
        <v>211</v>
      </c>
      <c r="J56" t="s">
        <v>3726</v>
      </c>
      <c r="K56" t="s">
        <v>225</v>
      </c>
      <c r="L56" t="s">
        <v>265</v>
      </c>
      <c r="M56" t="s">
        <v>833</v>
      </c>
      <c r="N56" t="s">
        <v>834</v>
      </c>
      <c r="O56" t="s">
        <v>835</v>
      </c>
      <c r="P56" t="s">
        <v>836</v>
      </c>
      <c r="Q56" t="s">
        <v>837</v>
      </c>
      <c r="R56" t="str">
        <f t="shared" si="0"/>
        <v>doctor-female.jpg</v>
      </c>
      <c r="S56" s="8">
        <v>1628766597764290</v>
      </c>
      <c r="T56">
        <v>5</v>
      </c>
      <c r="V56" s="6" t="str" cm="1">
        <f t="array" ref="V56">INDEX(Folha1!$C$2:$C$396,W56)</f>
        <v>$2a$10$GyUC58pWhbQ7eO4l04KBXeK2RtEpP.TT0wxJ0tA19j0ZudiNZOUaS</v>
      </c>
      <c r="W56">
        <f>MATCH(C56,Folha1!$B$2:$B$396,0)</f>
        <v>55</v>
      </c>
      <c r="Y56" t="str">
        <f t="shared" si="1"/>
        <v>(55,'med066', '$2a$10$GyUC58pWhbQ7eO4l04KBXeK2RtEpP.TT0wxJ0tA19j0ZudiNZOUaS', 'Carolina Catarina Sousa Ribeiro', 'Feminino', '1954-04-18', 'Rua dos Bacalhoeiros', '1400-125', 'Lisboa', 'Médico', 'Portuguesa', 'Bilhete de Identidade', '70417846', '544181226', '183794647', '934514431', 'med066@hospital.upskill.com', 'doctor-female.jpg'),</v>
      </c>
      <c r="Z56" t="str">
        <f t="shared" si="2"/>
        <v>(55,'1628766597764290', '5'),</v>
      </c>
      <c r="AA56" t="str">
        <f t="shared" si="3"/>
        <v>(55),</v>
      </c>
    </row>
    <row r="57" spans="1:27" x14ac:dyDescent="0.25">
      <c r="A57">
        <v>56</v>
      </c>
      <c r="B57" t="s">
        <v>838</v>
      </c>
      <c r="C57" t="s">
        <v>839</v>
      </c>
      <c r="D57" t="s">
        <v>840</v>
      </c>
      <c r="E57" t="s">
        <v>66</v>
      </c>
      <c r="F57" s="7">
        <v>11481</v>
      </c>
      <c r="G57" t="s">
        <v>238</v>
      </c>
      <c r="H57" t="s">
        <v>841</v>
      </c>
      <c r="I57" t="s">
        <v>211</v>
      </c>
      <c r="J57" t="s">
        <v>3726</v>
      </c>
      <c r="K57" t="s">
        <v>225</v>
      </c>
      <c r="L57" t="s">
        <v>265</v>
      </c>
      <c r="M57" t="s">
        <v>842</v>
      </c>
      <c r="N57" t="s">
        <v>843</v>
      </c>
      <c r="O57" t="s">
        <v>844</v>
      </c>
      <c r="P57" t="s">
        <v>845</v>
      </c>
      <c r="Q57" t="s">
        <v>846</v>
      </c>
      <c r="R57" t="str">
        <f t="shared" si="0"/>
        <v>doctor-female.jpg</v>
      </c>
      <c r="S57" s="8">
        <v>4441907310959822</v>
      </c>
      <c r="T57">
        <v>6</v>
      </c>
      <c r="V57" s="6" t="str" cm="1">
        <f t="array" ref="V57">INDEX(Folha1!$C$2:$C$396,W57)</f>
        <v>$2a$10$C6dweK1AJTabBlnV5LZphuA5wDjOWzQu9i7dt39p7sYSfCQ2yfo8m</v>
      </c>
      <c r="W57">
        <f>MATCH(C57,Folha1!$B$2:$B$396,0)</f>
        <v>56</v>
      </c>
      <c r="Y57" t="str">
        <f t="shared" si="1"/>
        <v>(56,'med067', '$2a$10$C6dweK1AJTabBlnV5LZphuA5wDjOWzQu9i7dt39p7sYSfCQ2yfo8m', 'Leonor Rodrigo Pereira Mendes', 'Feminino', '1931-06-07', 'Calçada do Moinho de Vento', '1149-810', 'Lisboa', 'Médico', 'Portuguesa', 'Bilhete de Identidade', '20128933', '987051048', '285627219', '930370276', 'med067@hospital.upskill.com', 'doctor-female.jpg'),</v>
      </c>
      <c r="Z57" t="str">
        <f t="shared" si="2"/>
        <v>(56,'4441907310959820', '6'),</v>
      </c>
      <c r="AA57" t="str">
        <f t="shared" si="3"/>
        <v>(56),</v>
      </c>
    </row>
    <row r="58" spans="1:27" x14ac:dyDescent="0.25">
      <c r="A58">
        <v>57</v>
      </c>
      <c r="B58" t="s">
        <v>847</v>
      </c>
      <c r="C58" t="s">
        <v>848</v>
      </c>
      <c r="D58" t="s">
        <v>849</v>
      </c>
      <c r="E58" t="s">
        <v>66</v>
      </c>
      <c r="F58" s="7">
        <v>19996</v>
      </c>
      <c r="G58" t="s">
        <v>252</v>
      </c>
      <c r="H58" t="s">
        <v>850</v>
      </c>
      <c r="I58" t="s">
        <v>211</v>
      </c>
      <c r="J58" t="s">
        <v>3726</v>
      </c>
      <c r="K58" t="s">
        <v>225</v>
      </c>
      <c r="L58" t="s">
        <v>265</v>
      </c>
      <c r="M58" t="s">
        <v>851</v>
      </c>
      <c r="N58" t="s">
        <v>852</v>
      </c>
      <c r="O58" t="s">
        <v>853</v>
      </c>
      <c r="P58" t="s">
        <v>854</v>
      </c>
      <c r="Q58" t="s">
        <v>855</v>
      </c>
      <c r="R58" t="str">
        <f t="shared" si="0"/>
        <v>doctor-female.jpg</v>
      </c>
      <c r="S58" s="8">
        <v>9102846057280924</v>
      </c>
      <c r="T58">
        <v>7</v>
      </c>
      <c r="V58" s="6" t="str" cm="1">
        <f t="array" ref="V58">INDEX(Folha1!$C$2:$C$396,W58)</f>
        <v>$2a$10$q7S8qvqLut0hy.AvGLkJf.o0WhrpzlUodXNySsH9LievxzEn22LNG</v>
      </c>
      <c r="W58">
        <f>MATCH(C58,Folha1!$B$2:$B$396,0)</f>
        <v>57</v>
      </c>
      <c r="Y58" t="str">
        <f t="shared" si="1"/>
        <v>(57,'med068', '$2a$10$q7S8qvqLut0hy.AvGLkJf.o0WhrpzlUodXNySsH9LievxzEn22LNG', 'Mariana Santiago Andrade Fernandes', 'Feminino', '1954-09-29', 'Rua de São Julião', '1749-845', 'Lisboa', 'Médico', 'Portuguesa', 'Bilhete de Identidade', '68198969', '445048373', '373109601', '969130112', 'med068@hospital.upskill.com', 'doctor-female.jpg'),</v>
      </c>
      <c r="Z58" t="str">
        <f t="shared" si="2"/>
        <v>(57,'9102846057280920', '7'),</v>
      </c>
      <c r="AA58" t="str">
        <f t="shared" si="3"/>
        <v>(57),</v>
      </c>
    </row>
    <row r="59" spans="1:27" x14ac:dyDescent="0.25">
      <c r="A59">
        <v>58</v>
      </c>
      <c r="B59" t="s">
        <v>856</v>
      </c>
      <c r="C59" t="s">
        <v>857</v>
      </c>
      <c r="D59" t="s">
        <v>858</v>
      </c>
      <c r="E59" t="s">
        <v>66</v>
      </c>
      <c r="F59" s="7">
        <v>9739</v>
      </c>
      <c r="G59" t="s">
        <v>245</v>
      </c>
      <c r="H59" t="s">
        <v>859</v>
      </c>
      <c r="I59" t="s">
        <v>206</v>
      </c>
      <c r="J59" t="s">
        <v>3726</v>
      </c>
      <c r="K59" t="s">
        <v>225</v>
      </c>
      <c r="L59" t="s">
        <v>265</v>
      </c>
      <c r="M59" t="s">
        <v>860</v>
      </c>
      <c r="N59" t="s">
        <v>861</v>
      </c>
      <c r="O59" t="s">
        <v>862</v>
      </c>
      <c r="P59" t="s">
        <v>863</v>
      </c>
      <c r="Q59" t="s">
        <v>864</v>
      </c>
      <c r="R59" t="str">
        <f t="shared" si="0"/>
        <v>doctor-female.jpg</v>
      </c>
      <c r="S59" s="8">
        <v>3263381005071540</v>
      </c>
      <c r="T59">
        <v>8</v>
      </c>
      <c r="V59" s="6" t="str" cm="1">
        <f t="array" ref="V59">INDEX(Folha1!$C$2:$C$396,W59)</f>
        <v>$2a$10$hED.5mPyNJAT105U.CsXyudzBAIiKnBLKpL0.BjLYkd6ty5Ff3ZfG</v>
      </c>
      <c r="W59">
        <f>MATCH(C59,Folha1!$B$2:$B$396,0)</f>
        <v>58</v>
      </c>
      <c r="Y59" t="str">
        <f t="shared" si="1"/>
        <v>(58,'med069', '$2a$10$hED.5mPyNJAT105U.CsXyudzBAIiKnBLKpL0.BjLYkd6ty5Ff3ZfG', 'Catarina Francisco Mota Miranda', 'Feminino', '1926-08-30', 'Rua do Comércio', '2710-691', 'Sintra', 'Médico', 'Portuguesa', 'Bilhete de Identidade', '52154542', '576251739', '409787637', '929963484', 'med069@hospital.upskill.com', 'doctor-female.jpg'),</v>
      </c>
      <c r="Z59" t="str">
        <f t="shared" si="2"/>
        <v>(58,'3263381005071540', '8'),</v>
      </c>
      <c r="AA59" t="str">
        <f t="shared" si="3"/>
        <v>(58),</v>
      </c>
    </row>
    <row r="60" spans="1:27" x14ac:dyDescent="0.25">
      <c r="A60">
        <v>59</v>
      </c>
      <c r="B60" t="s">
        <v>865</v>
      </c>
      <c r="C60" t="s">
        <v>866</v>
      </c>
      <c r="D60" t="s">
        <v>867</v>
      </c>
      <c r="E60" t="s">
        <v>66</v>
      </c>
      <c r="F60" s="7">
        <v>19419</v>
      </c>
      <c r="G60" t="s">
        <v>244</v>
      </c>
      <c r="H60" t="s">
        <v>868</v>
      </c>
      <c r="I60" t="s">
        <v>204</v>
      </c>
      <c r="J60" t="s">
        <v>3726</v>
      </c>
      <c r="K60" t="s">
        <v>225</v>
      </c>
      <c r="L60" t="s">
        <v>265</v>
      </c>
      <c r="M60" t="s">
        <v>869</v>
      </c>
      <c r="N60" t="s">
        <v>870</v>
      </c>
      <c r="O60" t="s">
        <v>871</v>
      </c>
      <c r="P60" t="s">
        <v>872</v>
      </c>
      <c r="Q60" t="s">
        <v>873</v>
      </c>
      <c r="R60" t="str">
        <f t="shared" si="0"/>
        <v>doctor-female.jpg</v>
      </c>
      <c r="S60" s="8">
        <v>1185637350553775</v>
      </c>
      <c r="T60">
        <v>9</v>
      </c>
      <c r="V60" s="6" t="str" cm="1">
        <f t="array" ref="V60">INDEX(Folha1!$C$2:$C$396,W60)</f>
        <v>$2a$10$lWr9AHBXU.XtUy/X7umSLO3Rh.JD5C0CMg9vv9cbwp7r1HCtnNDlC</v>
      </c>
      <c r="W60">
        <f>MATCH(C60,Folha1!$B$2:$B$396,0)</f>
        <v>59</v>
      </c>
      <c r="Y60" t="str">
        <f t="shared" si="1"/>
        <v>(59,'med070', '$2a$10$lWr9AHBXU.XtUy/X7umSLO3Rh.JD5C0CMg9vv9cbwp7r1HCtnNDlC', 'Matilde Lurdes Freitas Moura', 'Feminino', '1953-03-01', 'Rua da Betesga', '2560-849', 'Torres Vedras', 'Médico', 'Portuguesa', 'Bilhete de Identidade', '12113236', '749184445', '160175051', '928286125', 'med070@hospital.upskill.com', 'doctor-female.jpg'),</v>
      </c>
      <c r="Z60" t="str">
        <f t="shared" si="2"/>
        <v>(59,'1185637350553770', '9'),</v>
      </c>
      <c r="AA60" t="str">
        <f t="shared" si="3"/>
        <v>(59),</v>
      </c>
    </row>
    <row r="61" spans="1:27" x14ac:dyDescent="0.25">
      <c r="A61">
        <v>60</v>
      </c>
      <c r="B61" t="s">
        <v>874</v>
      </c>
      <c r="C61" t="s">
        <v>875</v>
      </c>
      <c r="D61" t="s">
        <v>876</v>
      </c>
      <c r="E61" t="s">
        <v>53</v>
      </c>
      <c r="F61" s="7">
        <v>36001</v>
      </c>
      <c r="G61" t="s">
        <v>259</v>
      </c>
      <c r="H61" t="s">
        <v>877</v>
      </c>
      <c r="I61" t="s">
        <v>217</v>
      </c>
      <c r="J61" t="s">
        <v>3726</v>
      </c>
      <c r="K61" t="s">
        <v>225</v>
      </c>
      <c r="L61" t="s">
        <v>265</v>
      </c>
      <c r="M61" t="s">
        <v>878</v>
      </c>
      <c r="N61" t="s">
        <v>879</v>
      </c>
      <c r="O61" t="s">
        <v>880</v>
      </c>
      <c r="P61" t="s">
        <v>881</v>
      </c>
      <c r="Q61" t="s">
        <v>882</v>
      </c>
      <c r="R61" t="str">
        <f t="shared" si="0"/>
        <v>doctor-male.jpg</v>
      </c>
      <c r="S61" s="8">
        <v>7002882570111243</v>
      </c>
      <c r="T61">
        <v>10</v>
      </c>
      <c r="V61" s="6" t="str" cm="1">
        <f t="array" ref="V61">INDEX(Folha1!$C$2:$C$396,W61)</f>
        <v>$2a$10$VSor6KmlhdcwBTf.RIfaBOZcStsjOfEwr9I6LEAB7KYg1c6h7sOYm</v>
      </c>
      <c r="W61">
        <f>MATCH(C61,Folha1!$B$2:$B$396,0)</f>
        <v>60</v>
      </c>
      <c r="Y61" t="str">
        <f t="shared" si="1"/>
        <v>(60,'med071', '$2a$10$VSor6KmlhdcwBTf.RIfaBOZcStsjOfEwr9I6LEAB7KYg1c6h7sOYm', 'Francisco Tiago Sá Nunes', 'Masculino', '1998-07-25', 'Rua da Alfândega', '2825-656', 'Caparica', 'Médico', 'Portuguesa', 'Bilhete de Identidade', '74781613', '779749183', '194254933', '916423661', 'med071@hospital.upskill.com', 'doctor-male.jpg'),</v>
      </c>
      <c r="Z61" t="str">
        <f t="shared" si="2"/>
        <v>(60,'7002882570111240', '10'),</v>
      </c>
      <c r="AA61" t="str">
        <f t="shared" si="3"/>
        <v>(60),</v>
      </c>
    </row>
    <row r="62" spans="1:27" x14ac:dyDescent="0.25">
      <c r="A62">
        <v>61</v>
      </c>
      <c r="B62" t="s">
        <v>883</v>
      </c>
      <c r="C62" t="s">
        <v>884</v>
      </c>
      <c r="D62" t="s">
        <v>885</v>
      </c>
      <c r="E62" t="s">
        <v>53</v>
      </c>
      <c r="F62" s="7">
        <v>42853</v>
      </c>
      <c r="G62" t="s">
        <v>257</v>
      </c>
      <c r="H62" t="s">
        <v>886</v>
      </c>
      <c r="I62" t="s">
        <v>208</v>
      </c>
      <c r="J62" t="s">
        <v>3726</v>
      </c>
      <c r="K62" t="s">
        <v>225</v>
      </c>
      <c r="L62" t="s">
        <v>265</v>
      </c>
      <c r="M62" t="s">
        <v>887</v>
      </c>
      <c r="N62" t="s">
        <v>888</v>
      </c>
      <c r="O62" t="s">
        <v>889</v>
      </c>
      <c r="P62" t="s">
        <v>890</v>
      </c>
      <c r="Q62" t="s">
        <v>891</v>
      </c>
      <c r="R62" t="str">
        <f t="shared" si="0"/>
        <v>doctor-male.jpg</v>
      </c>
      <c r="S62" s="8">
        <v>8336745253423917</v>
      </c>
      <c r="T62">
        <v>11</v>
      </c>
      <c r="V62" s="6" t="str" cm="1">
        <f t="array" ref="V62">INDEX(Folha1!$C$2:$C$396,W62)</f>
        <v>$2a$10$XK10RxqiJ15nq4Yle8befeh32ExDZTixA2FPdotRXBu.0xtcfiTjS</v>
      </c>
      <c r="W62">
        <f>MATCH(C62,Folha1!$B$2:$B$396,0)</f>
        <v>61</v>
      </c>
      <c r="Y62" t="str">
        <f t="shared" si="1"/>
        <v>(61,'med072', '$2a$10$XK10RxqiJ15nq4Yle8befeh32ExDZTixA2FPdotRXBu.0xtcfiTjS', 'Miguel Diogo Miranda Matias', 'Masculino', '2017-04-28', 'Rua do Sol a Santana', '2900-334', 'Setúbal', 'Médico', 'Portuguesa', 'Bilhete de Identidade', '62131426', '315332701', '421832457', '969205241', 'med072@hospital.upskill.com', 'doctor-male.jpg'),</v>
      </c>
      <c r="Z62" t="str">
        <f t="shared" si="2"/>
        <v>(61,'8336745253423920', '11'),</v>
      </c>
      <c r="AA62" t="str">
        <f t="shared" si="3"/>
        <v>(61),</v>
      </c>
    </row>
    <row r="63" spans="1:27" x14ac:dyDescent="0.25">
      <c r="A63">
        <v>62</v>
      </c>
      <c r="B63" t="s">
        <v>892</v>
      </c>
      <c r="C63" t="s">
        <v>893</v>
      </c>
      <c r="D63" t="s">
        <v>894</v>
      </c>
      <c r="E63" t="s">
        <v>53</v>
      </c>
      <c r="F63" s="7">
        <v>38941</v>
      </c>
      <c r="G63" t="s">
        <v>257</v>
      </c>
      <c r="H63" t="s">
        <v>895</v>
      </c>
      <c r="I63" t="s">
        <v>200</v>
      </c>
      <c r="J63" t="s">
        <v>3726</v>
      </c>
      <c r="K63" t="s">
        <v>225</v>
      </c>
      <c r="L63" t="s">
        <v>265</v>
      </c>
      <c r="M63" t="s">
        <v>896</v>
      </c>
      <c r="N63" t="s">
        <v>897</v>
      </c>
      <c r="O63" t="s">
        <v>898</v>
      </c>
      <c r="P63" t="s">
        <v>899</v>
      </c>
      <c r="Q63" t="s">
        <v>900</v>
      </c>
      <c r="R63" t="str">
        <f t="shared" si="0"/>
        <v>doctor-male.jpg</v>
      </c>
      <c r="S63" s="8">
        <v>1705878144047591</v>
      </c>
      <c r="T63">
        <v>12</v>
      </c>
      <c r="V63" s="6" t="str" cm="1">
        <f t="array" ref="V63">INDEX(Folha1!$C$2:$C$396,W63)</f>
        <v>$2a$10$9jLDWeJ9XhSHTFAZiX/n2.YSfJGuzpYThzi4FWo0nb.BJPWZZ9FMi</v>
      </c>
      <c r="W63">
        <f>MATCH(C63,Folha1!$B$2:$B$396,0)</f>
        <v>62</v>
      </c>
      <c r="Y63" t="str">
        <f t="shared" si="1"/>
        <v>(62,'med073', '$2a$10$9jLDWeJ9XhSHTFAZiX/n2.YSfJGuzpYThzi4FWo0nb.BJPWZZ9FMi', 'Tiago André Rocha Lopes', 'Masculino', '2006-08-12', 'Rua do Sol a Santana', '3000-484', 'Coimbra', 'Médico', 'Portuguesa', 'Bilhete de Identidade', '75349752', '625987680', '317269559', '917408087', 'med073@hospital.upskill.com', 'doctor-male.jpg'),</v>
      </c>
      <c r="Z63" t="str">
        <f t="shared" si="2"/>
        <v>(62,'1705878144047590', '12'),</v>
      </c>
      <c r="AA63" t="str">
        <f t="shared" si="3"/>
        <v>(62),</v>
      </c>
    </row>
    <row r="64" spans="1:27" x14ac:dyDescent="0.25">
      <c r="A64">
        <v>63</v>
      </c>
      <c r="B64" t="s">
        <v>901</v>
      </c>
      <c r="C64" t="s">
        <v>902</v>
      </c>
      <c r="D64" t="s">
        <v>903</v>
      </c>
      <c r="E64" t="s">
        <v>53</v>
      </c>
      <c r="F64" s="7">
        <v>19821</v>
      </c>
      <c r="G64" t="s">
        <v>251</v>
      </c>
      <c r="H64" t="s">
        <v>904</v>
      </c>
      <c r="I64" t="s">
        <v>206</v>
      </c>
      <c r="J64" t="s">
        <v>3726</v>
      </c>
      <c r="K64" t="s">
        <v>225</v>
      </c>
      <c r="L64" t="s">
        <v>265</v>
      </c>
      <c r="M64" t="s">
        <v>905</v>
      </c>
      <c r="N64" t="s">
        <v>906</v>
      </c>
      <c r="O64" t="s">
        <v>907</v>
      </c>
      <c r="P64" t="s">
        <v>908</v>
      </c>
      <c r="Q64" t="s">
        <v>909</v>
      </c>
      <c r="R64" t="str">
        <f t="shared" si="0"/>
        <v>doctor-male.jpg</v>
      </c>
      <c r="S64" s="8">
        <v>4552420964673686</v>
      </c>
      <c r="T64">
        <v>13</v>
      </c>
      <c r="V64" s="6" t="str" cm="1">
        <f t="array" ref="V64">INDEX(Folha1!$C$2:$C$396,W64)</f>
        <v>$2a$10$GKGy1xzQ4AGhL411DJfSqeFtzJm8w6j5NB2UfZEizTX8TeN/eGd6W</v>
      </c>
      <c r="W64">
        <f>MATCH(C64,Folha1!$B$2:$B$396,0)</f>
        <v>63</v>
      </c>
      <c r="Y64" t="str">
        <f t="shared" si="1"/>
        <v>(63,'med074', '$2a$10$GKGy1xzQ4AGhL411DJfSqeFtzJm8w6j5NB2UfZEizTX8TeN/eGd6W', 'Francisco Vera Antunes Cunha', 'Masculino', '1954-04-07', 'Rua do Salitre', '2714-77', 'Sintra', 'Médico', 'Portuguesa', 'Bilhete de Identidade', '68602763', '351751341', '439029727', '931426258', 'med074@hospital.upskill.com', 'doctor-male.jpg'),</v>
      </c>
      <c r="Z64" t="str">
        <f t="shared" si="2"/>
        <v>(63,'4552420964673690', '13'),</v>
      </c>
      <c r="AA64" t="str">
        <f t="shared" si="3"/>
        <v>(63),</v>
      </c>
    </row>
    <row r="65" spans="1:27" x14ac:dyDescent="0.25">
      <c r="A65">
        <v>64</v>
      </c>
      <c r="B65" t="s">
        <v>910</v>
      </c>
      <c r="C65" t="s">
        <v>911</v>
      </c>
      <c r="D65" t="s">
        <v>912</v>
      </c>
      <c r="E65" t="s">
        <v>53</v>
      </c>
      <c r="F65" s="7">
        <v>41522</v>
      </c>
      <c r="G65" t="s">
        <v>253</v>
      </c>
      <c r="H65" t="s">
        <v>913</v>
      </c>
      <c r="I65" t="s">
        <v>211</v>
      </c>
      <c r="J65" t="s">
        <v>3726</v>
      </c>
      <c r="K65" t="s">
        <v>225</v>
      </c>
      <c r="L65" t="s">
        <v>265</v>
      </c>
      <c r="M65" t="s">
        <v>914</v>
      </c>
      <c r="N65" t="s">
        <v>915</v>
      </c>
      <c r="O65" t="s">
        <v>916</v>
      </c>
      <c r="P65" t="s">
        <v>917</v>
      </c>
      <c r="Q65" t="s">
        <v>918</v>
      </c>
      <c r="R65" t="str">
        <f t="shared" si="0"/>
        <v>doctor-male.jpg</v>
      </c>
      <c r="S65" s="8">
        <v>6621332765826002</v>
      </c>
      <c r="T65">
        <v>14</v>
      </c>
      <c r="V65" s="6" t="str" cm="1">
        <f t="array" ref="V65">INDEX(Folha1!$C$2:$C$396,W65)</f>
        <v>$2a$10$GITTP.cHp5s9qrI6/w2c2eDFpce5hzEhZmvDNBbJ1TL4Fd5YXa/4m</v>
      </c>
      <c r="W65">
        <f>MATCH(C65,Folha1!$B$2:$B$396,0)</f>
        <v>64</v>
      </c>
      <c r="Y65" t="str">
        <f t="shared" si="1"/>
        <v>(64,'med075', '$2a$10$GITTP.cHp5s9qrI6/w2c2eDFpce5hzEhZmvDNBbJ1TL4Fd5YXa/4m', 'Santiago Marco Pinho Baptista', 'Masculino', '2013-09-05', 'Rua de São Mamede', '1149-322', 'Lisboa', 'Médico', 'Portuguesa', 'Bilhete de Identidade', '14725823', '674469563', '682463417', '929027210', 'med075@hospital.upskill.com', 'doctor-male.jpg'),</v>
      </c>
      <c r="Z65" t="str">
        <f t="shared" si="2"/>
        <v>(64,'6621332765826000', '14'),</v>
      </c>
      <c r="AA65" t="str">
        <f t="shared" si="3"/>
        <v>(64),</v>
      </c>
    </row>
    <row r="66" spans="1:27" x14ac:dyDescent="0.25">
      <c r="A66">
        <v>65</v>
      </c>
      <c r="B66" t="s">
        <v>919</v>
      </c>
      <c r="C66" t="s">
        <v>920</v>
      </c>
      <c r="D66" t="s">
        <v>921</v>
      </c>
      <c r="E66" t="s">
        <v>66</v>
      </c>
      <c r="F66" s="7">
        <v>24620</v>
      </c>
      <c r="G66" t="s">
        <v>256</v>
      </c>
      <c r="H66" t="s">
        <v>922</v>
      </c>
      <c r="I66" t="s">
        <v>200</v>
      </c>
      <c r="J66" t="s">
        <v>3726</v>
      </c>
      <c r="K66" t="s">
        <v>225</v>
      </c>
      <c r="L66" t="s">
        <v>265</v>
      </c>
      <c r="M66" t="s">
        <v>923</v>
      </c>
      <c r="N66" t="s">
        <v>924</v>
      </c>
      <c r="O66" t="s">
        <v>925</v>
      </c>
      <c r="P66" t="s">
        <v>926</v>
      </c>
      <c r="Q66" t="s">
        <v>927</v>
      </c>
      <c r="R66" t="str">
        <f t="shared" si="0"/>
        <v>doctor-female.jpg</v>
      </c>
      <c r="S66" s="8">
        <v>4168942022798948</v>
      </c>
      <c r="T66">
        <v>15</v>
      </c>
      <c r="V66" s="6" t="str" cm="1">
        <f t="array" ref="V66">INDEX(Folha1!$C$2:$C$396,W66)</f>
        <v>$2a$10$diLOAFBVCugy7MsG.5th.Opw8C1HJKQtCwUaE5lMgxj2W51INfT8i</v>
      </c>
      <c r="W66">
        <f>MATCH(C66,Folha1!$B$2:$B$396,0)</f>
        <v>65</v>
      </c>
      <c r="Y66" t="str">
        <f t="shared" si="1"/>
        <v>(65,'med076', '$2a$10$diLOAFBVCugy7MsG.5th.Opw8C1HJKQtCwUaE5lMgxj2W51INfT8i', 'Leonor Duarte Almeida Marques', 'Feminino', '1967-05-28', 'Travessa de São João da Praça', '3000-240', 'Coimbra', 'Médico', 'Portuguesa', 'Bilhete de Identidade', '65322986', '538389912', '882382367', '934249174', 'med076@hospital.upskill.com', 'doctor-female.jpg'),</v>
      </c>
      <c r="Z66" t="str">
        <f t="shared" si="2"/>
        <v>(65,'4168942022798950', '15'),</v>
      </c>
      <c r="AA66" t="str">
        <f t="shared" si="3"/>
        <v>(65),</v>
      </c>
    </row>
    <row r="67" spans="1:27" x14ac:dyDescent="0.25">
      <c r="A67">
        <v>66</v>
      </c>
      <c r="B67" t="s">
        <v>928</v>
      </c>
      <c r="C67" t="s">
        <v>929</v>
      </c>
      <c r="D67" t="s">
        <v>930</v>
      </c>
      <c r="E67" t="s">
        <v>66</v>
      </c>
      <c r="F67" s="7">
        <v>24983</v>
      </c>
      <c r="G67" t="s">
        <v>226</v>
      </c>
      <c r="H67" t="s">
        <v>931</v>
      </c>
      <c r="I67" t="s">
        <v>211</v>
      </c>
      <c r="J67" t="s">
        <v>3726</v>
      </c>
      <c r="K67" t="s">
        <v>225</v>
      </c>
      <c r="L67" t="s">
        <v>265</v>
      </c>
      <c r="M67" t="s">
        <v>932</v>
      </c>
      <c r="N67" t="s">
        <v>933</v>
      </c>
      <c r="O67" t="s">
        <v>934</v>
      </c>
      <c r="P67" t="s">
        <v>935</v>
      </c>
      <c r="Q67" t="s">
        <v>936</v>
      </c>
      <c r="R67" t="str">
        <f t="shared" ref="R67:R130" si="4">IF(E67="Feminino","doctor-female.jpg","doctor-male.jpg")</f>
        <v>doctor-female.jpg</v>
      </c>
      <c r="S67" s="8">
        <v>5913713464254992</v>
      </c>
      <c r="T67">
        <v>16</v>
      </c>
      <c r="V67" s="6" t="str" cm="1">
        <f t="array" ref="V67">INDEX(Folha1!$C$2:$C$396,W67)</f>
        <v>$2a$10$90h//kPwvQBgU286nKz1cOt5Hu9kBWRu3xcx5THT4wZO8iw2LSvg6</v>
      </c>
      <c r="W67">
        <f>MATCH(C67,Folha1!$B$2:$B$396,0)</f>
        <v>66</v>
      </c>
      <c r="Y67" t="str">
        <f t="shared" si="1"/>
        <v>(66,'med077', '$2a$10$90h//kPwvQBgU286nKz1cOt5Hu9kBWRu3xcx5THT4wZO8iw2LSvg6', 'Beatriz Diogo Barros Pinto', 'Feminino', '1968-05-25', 'Rua do Arsenal', '1099-732', 'Lisboa', 'Médico', 'Portuguesa', 'Bilhete de Identidade', '68029459', '219877889', '386331661', '960356372', 'med077@hospital.upskill.com', 'doctor-female.jpg'),</v>
      </c>
      <c r="Z67" t="str">
        <f t="shared" si="2"/>
        <v>(66,'5913713464254990', '16'),</v>
      </c>
      <c r="AA67" t="str">
        <f t="shared" si="3"/>
        <v>(66),</v>
      </c>
    </row>
    <row r="68" spans="1:27" x14ac:dyDescent="0.25">
      <c r="A68">
        <v>67</v>
      </c>
      <c r="B68" t="s">
        <v>937</v>
      </c>
      <c r="C68" t="s">
        <v>938</v>
      </c>
      <c r="D68" t="s">
        <v>939</v>
      </c>
      <c r="E68" t="s">
        <v>66</v>
      </c>
      <c r="F68" s="7">
        <v>28641</v>
      </c>
      <c r="G68" t="s">
        <v>232</v>
      </c>
      <c r="H68" t="s">
        <v>940</v>
      </c>
      <c r="I68" t="s">
        <v>216</v>
      </c>
      <c r="J68" t="s">
        <v>3726</v>
      </c>
      <c r="K68" t="s">
        <v>225</v>
      </c>
      <c r="L68" t="s">
        <v>265</v>
      </c>
      <c r="M68" t="s">
        <v>941</v>
      </c>
      <c r="N68" t="s">
        <v>942</v>
      </c>
      <c r="O68" t="s">
        <v>943</v>
      </c>
      <c r="P68" t="s">
        <v>944</v>
      </c>
      <c r="Q68" t="s">
        <v>945</v>
      </c>
      <c r="R68" t="str">
        <f t="shared" si="4"/>
        <v>doctor-female.jpg</v>
      </c>
      <c r="S68" s="8">
        <v>6877113989750669</v>
      </c>
      <c r="T68">
        <v>17</v>
      </c>
      <c r="V68" s="6" t="str" cm="1">
        <f t="array" ref="V68">INDEX(Folha1!$C$2:$C$396,W68)</f>
        <v>$2a$10$AyLiHX6Si5Hw//SfN4MJ8Os3NyIWeiK1KM7SwnBavJoxzLrCMdfTu</v>
      </c>
      <c r="W68">
        <f>MATCH(C68,Folha1!$B$2:$B$396,0)</f>
        <v>67</v>
      </c>
      <c r="Y68" t="str">
        <f t="shared" ref="Y68:Y131" si="5">"(" &amp;A68 &amp; ",'" &amp; B68 &amp; "', '" &amp; V68 &amp; "', '" &amp; D68 &amp; "', '" &amp; E68 &amp; "', '" &amp; TEXT(F68, "yyyy-mm-dd") &amp; "', '" &amp; G68 &amp; "', '" &amp; H68 &amp; "', '" &amp; I68 &amp; "', '" &amp; J68 &amp; "', '" &amp; K68 &amp; "', '" &amp; L68 &amp; "', '" &amp; M68 &amp; "', '" &amp; N68 &amp; "', '" &amp; O68 &amp; "', '" &amp; P68 &amp; "', '" &amp; Q68 &amp; "', '" &amp; R68 &amp; "'),"</f>
        <v>(67,'med078', '$2a$10$AyLiHX6Si5Hw//SfN4MJ8Os3NyIWeiK1KM7SwnBavJoxzLrCMdfTu', 'Ana Tiago Nunes Matos', 'Feminino', '1978-05-31', 'Rua Garrett', '2834-523', 'Barreiro', 'Médico', 'Portuguesa', 'Bilhete de Identidade', '91860386', '299428620', '787735034', '927444172', 'med078@hospital.upskill.com', 'doctor-female.jpg'),</v>
      </c>
      <c r="Z68" t="str">
        <f t="shared" ref="Z68:Z131" si="6">"(" &amp;A68 &amp; ",'" &amp; S68 &amp; "', '" &amp; T68 &amp; "'),"</f>
        <v>(67,'6877113989750670', '17'),</v>
      </c>
      <c r="AA68" t="str">
        <f t="shared" ref="AA68:AA131" si="7">"(" &amp;A68 &amp; "),"</f>
        <v>(67),</v>
      </c>
    </row>
    <row r="69" spans="1:27" x14ac:dyDescent="0.25">
      <c r="A69">
        <v>68</v>
      </c>
      <c r="B69" t="s">
        <v>946</v>
      </c>
      <c r="C69" t="s">
        <v>947</v>
      </c>
      <c r="D69" t="s">
        <v>948</v>
      </c>
      <c r="E69" t="s">
        <v>66</v>
      </c>
      <c r="F69" s="7">
        <v>35043</v>
      </c>
      <c r="G69" t="s">
        <v>230</v>
      </c>
      <c r="H69" t="s">
        <v>949</v>
      </c>
      <c r="I69" t="s">
        <v>207</v>
      </c>
      <c r="J69" t="s">
        <v>3726</v>
      </c>
      <c r="K69" t="s">
        <v>225</v>
      </c>
      <c r="L69" t="s">
        <v>265</v>
      </c>
      <c r="M69" t="s">
        <v>950</v>
      </c>
      <c r="N69" t="s">
        <v>951</v>
      </c>
      <c r="O69" t="s">
        <v>952</v>
      </c>
      <c r="P69" t="s">
        <v>953</v>
      </c>
      <c r="Q69" t="s">
        <v>954</v>
      </c>
      <c r="R69" t="str">
        <f t="shared" si="4"/>
        <v>doctor-female.jpg</v>
      </c>
      <c r="S69" s="8">
        <v>4892789784145003</v>
      </c>
      <c r="T69">
        <v>18</v>
      </c>
      <c r="V69" s="6" t="str" cm="1">
        <f t="array" ref="V69">INDEX(Folha1!$C$2:$C$396,W69)</f>
        <v>$2a$10$ZAXcxy37DGEmllmq5BXTT.xsJhR.vrqoLMP2bWDYJRlVzDD/TXZyu</v>
      </c>
      <c r="W69">
        <f>MATCH(C69,Folha1!$B$2:$B$396,0)</f>
        <v>68</v>
      </c>
      <c r="Y69" t="str">
        <f t="shared" si="5"/>
        <v>(68,'med079', '$2a$10$ZAXcxy37DGEmllmq5BXTT.xsJhR.vrqoLMP2bWDYJRlVzDD/TXZyu', 'Beatriz Mariana Nascimento Freitas', 'Feminino', '1995-12-10', 'Estrada da Circunvalação de Lisboa', '2749-80', 'Queluz', 'Médico', 'Portuguesa', 'Bilhete de Identidade', '84786543', '751752800', '593613799', '931008964', 'med079@hospital.upskill.com', 'doctor-female.jpg'),</v>
      </c>
      <c r="Z69" t="str">
        <f t="shared" si="6"/>
        <v>(68,'4892789784145000', '18'),</v>
      </c>
      <c r="AA69" t="str">
        <f t="shared" si="7"/>
        <v>(68),</v>
      </c>
    </row>
    <row r="70" spans="1:27" x14ac:dyDescent="0.25">
      <c r="A70">
        <v>69</v>
      </c>
      <c r="B70" t="s">
        <v>955</v>
      </c>
      <c r="C70" t="s">
        <v>956</v>
      </c>
      <c r="D70" t="s">
        <v>957</v>
      </c>
      <c r="E70" t="s">
        <v>53</v>
      </c>
      <c r="F70" s="7">
        <v>22527</v>
      </c>
      <c r="G70" t="s">
        <v>250</v>
      </c>
      <c r="H70" t="s">
        <v>958</v>
      </c>
      <c r="I70" t="s">
        <v>205</v>
      </c>
      <c r="J70" t="s">
        <v>3726</v>
      </c>
      <c r="K70" t="s">
        <v>225</v>
      </c>
      <c r="L70" t="s">
        <v>265</v>
      </c>
      <c r="M70" t="s">
        <v>959</v>
      </c>
      <c r="N70" t="s">
        <v>960</v>
      </c>
      <c r="O70" t="s">
        <v>961</v>
      </c>
      <c r="P70" t="s">
        <v>962</v>
      </c>
      <c r="Q70" t="s">
        <v>963</v>
      </c>
      <c r="R70" t="str">
        <f t="shared" si="4"/>
        <v>doctor-male.jpg</v>
      </c>
      <c r="S70" s="8">
        <v>2801683713461608</v>
      </c>
      <c r="T70">
        <v>19</v>
      </c>
      <c r="V70" s="6" t="str" cm="1">
        <f t="array" ref="V70">INDEX(Folha1!$C$2:$C$396,W70)</f>
        <v>$2a$10$mU7wQ3SGXXwGjItqbisHtOo6/ygaOvmDAQdvGi13XBj1WXueF7hau</v>
      </c>
      <c r="W70">
        <f>MATCH(C70,Folha1!$B$2:$B$396,0)</f>
        <v>69</v>
      </c>
      <c r="Y70" t="str">
        <f t="shared" si="5"/>
        <v>(69,'med080', '$2a$10$mU7wQ3SGXXwGjItqbisHtOo6/ygaOvmDAQdvGi13XBj1WXueF7hau', 'Rodrigo Diana Domingues Torres', 'Masculino', '1961-09-03', 'Rua Nova do Almada', '2004-239', 'Santarém', 'Médico', 'Portuguesa', 'Bilhete de Identidade', '65717941', '749676592', '926885534', '968196846', 'med080@hospital.upskill.com', 'doctor-male.jpg'),</v>
      </c>
      <c r="Z70" t="str">
        <f t="shared" si="6"/>
        <v>(69,'2801683713461610', '19'),</v>
      </c>
      <c r="AA70" t="str">
        <f t="shared" si="7"/>
        <v>(69),</v>
      </c>
    </row>
    <row r="71" spans="1:27" x14ac:dyDescent="0.25">
      <c r="A71">
        <v>70</v>
      </c>
      <c r="B71" t="s">
        <v>964</v>
      </c>
      <c r="C71" t="s">
        <v>965</v>
      </c>
      <c r="D71" t="s">
        <v>966</v>
      </c>
      <c r="E71" t="s">
        <v>53</v>
      </c>
      <c r="F71" s="7">
        <v>12686</v>
      </c>
      <c r="G71" t="s">
        <v>260</v>
      </c>
      <c r="H71" t="s">
        <v>967</v>
      </c>
      <c r="I71" t="s">
        <v>221</v>
      </c>
      <c r="J71" t="s">
        <v>3726</v>
      </c>
      <c r="K71" t="s">
        <v>225</v>
      </c>
      <c r="L71" t="s">
        <v>265</v>
      </c>
      <c r="M71" t="s">
        <v>968</v>
      </c>
      <c r="N71" t="s">
        <v>969</v>
      </c>
      <c r="O71" t="s">
        <v>970</v>
      </c>
      <c r="P71" t="s">
        <v>971</v>
      </c>
      <c r="Q71" t="s">
        <v>972</v>
      </c>
      <c r="R71" t="str">
        <f t="shared" si="4"/>
        <v>doctor-male.jpg</v>
      </c>
      <c r="S71" s="8">
        <v>7117279410694210</v>
      </c>
      <c r="T71">
        <v>20</v>
      </c>
      <c r="V71" s="6" t="str" cm="1">
        <f t="array" ref="V71">INDEX(Folha1!$C$2:$C$396,W71)</f>
        <v>$2a$10$gfEnqtP8xOMUJsioxcqCYu85n40NZSlsdd/AsuS9zLGt1ndixtNz6</v>
      </c>
      <c r="W71">
        <f>MATCH(C71,Folha1!$B$2:$B$396,0)</f>
        <v>70</v>
      </c>
      <c r="Y71" t="str">
        <f t="shared" si="5"/>
        <v>(70,'med081', '$2a$10$gfEnqtP8xOMUJsioxcqCYu85n40NZSlsdd/AsuS9zLGt1ndixtNz6', 'Bruno Joana Loureiro Alves', 'Masculino', '1934-09-24', 'Rua Augusta', '2825-546', 'Costa de Caparica', 'Médico', 'Portuguesa', 'Bilhete de Identidade', '86298454', '615211923', '762942241', '936502696', 'med081@hospital.upskill.com', 'doctor-male.jpg'),</v>
      </c>
      <c r="Z71" t="str">
        <f t="shared" si="6"/>
        <v>(70,'7117279410694210', '20'),</v>
      </c>
      <c r="AA71" t="str">
        <f t="shared" si="7"/>
        <v>(70),</v>
      </c>
    </row>
    <row r="72" spans="1:27" x14ac:dyDescent="0.25">
      <c r="A72">
        <v>71</v>
      </c>
      <c r="B72" t="s">
        <v>973</v>
      </c>
      <c r="C72" t="s">
        <v>974</v>
      </c>
      <c r="D72" t="s">
        <v>975</v>
      </c>
      <c r="E72" t="s">
        <v>66</v>
      </c>
      <c r="F72" s="7">
        <v>36263</v>
      </c>
      <c r="G72" t="s">
        <v>235</v>
      </c>
      <c r="H72" t="s">
        <v>976</v>
      </c>
      <c r="I72" t="s">
        <v>218</v>
      </c>
      <c r="J72" t="s">
        <v>3726</v>
      </c>
      <c r="K72" t="s">
        <v>225</v>
      </c>
      <c r="L72" t="s">
        <v>265</v>
      </c>
      <c r="M72" t="s">
        <v>977</v>
      </c>
      <c r="N72" t="s">
        <v>978</v>
      </c>
      <c r="O72" t="s">
        <v>979</v>
      </c>
      <c r="P72" t="s">
        <v>980</v>
      </c>
      <c r="Q72" t="s">
        <v>981</v>
      </c>
      <c r="R72" t="str">
        <f t="shared" si="4"/>
        <v>doctor-female.jpg</v>
      </c>
      <c r="S72" s="8">
        <v>7672257668112252</v>
      </c>
      <c r="T72">
        <v>21</v>
      </c>
      <c r="V72" s="6" t="str" cm="1">
        <f t="array" ref="V72">INDEX(Folha1!$C$2:$C$396,W72)</f>
        <v>$2a$10$rCxz7r.3DEGf9ph5PmKJpeMh4VJhbJIurCWynwMoIcpb29nUgZT7G</v>
      </c>
      <c r="W72">
        <f>MATCH(C72,Folha1!$B$2:$B$396,0)</f>
        <v>71</v>
      </c>
      <c r="Y72" t="str">
        <f t="shared" si="5"/>
        <v>(71,'med082', '$2a$10$rCxz7r.3DEGf9ph5PmKJpeMh4VJhbJIurCWynwMoIcpb29nUgZT7G', 'Francisca Mariana Machado Martins', 'Feminino', '1999-04-13', 'Estrada das Laranjeiras', '2775-774', 'Carcavelos', 'Médico', 'Portuguesa', 'Bilhete de Identidade', '60752565', '267799279', '178371865', '925957948', 'med082@hospital.upskill.com', 'doctor-female.jpg'),</v>
      </c>
      <c r="Z72" t="str">
        <f t="shared" si="6"/>
        <v>(71,'7672257668112250', '21'),</v>
      </c>
      <c r="AA72" t="str">
        <f t="shared" si="7"/>
        <v>(71),</v>
      </c>
    </row>
    <row r="73" spans="1:27" x14ac:dyDescent="0.25">
      <c r="A73">
        <v>72</v>
      </c>
      <c r="B73" t="s">
        <v>982</v>
      </c>
      <c r="C73" t="s">
        <v>983</v>
      </c>
      <c r="D73" t="s">
        <v>984</v>
      </c>
      <c r="E73" t="s">
        <v>53</v>
      </c>
      <c r="F73" s="7">
        <v>13617</v>
      </c>
      <c r="G73" t="s">
        <v>232</v>
      </c>
      <c r="H73" t="s">
        <v>985</v>
      </c>
      <c r="I73" t="s">
        <v>201</v>
      </c>
      <c r="J73" t="s">
        <v>3726</v>
      </c>
      <c r="K73" t="s">
        <v>225</v>
      </c>
      <c r="L73" t="s">
        <v>265</v>
      </c>
      <c r="M73" t="s">
        <v>986</v>
      </c>
      <c r="N73" t="s">
        <v>987</v>
      </c>
      <c r="O73" t="s">
        <v>988</v>
      </c>
      <c r="P73" t="s">
        <v>989</v>
      </c>
      <c r="Q73" t="s">
        <v>990</v>
      </c>
      <c r="R73" t="str">
        <f t="shared" si="4"/>
        <v>doctor-male.jpg</v>
      </c>
      <c r="S73" s="8">
        <v>7546717095925060</v>
      </c>
      <c r="T73">
        <v>22</v>
      </c>
      <c r="V73" s="6" t="str" cm="1">
        <f t="array" ref="V73">INDEX(Folha1!$C$2:$C$396,W73)</f>
        <v>$2a$10$2MfJMcBKW.WwxPH88HeVpO5y.Gqh7gFavzLbLk.i4pLy/m0iY1Goy</v>
      </c>
      <c r="W73">
        <f>MATCH(C73,Folha1!$B$2:$B$396,0)</f>
        <v>72</v>
      </c>
      <c r="Y73" t="str">
        <f t="shared" si="5"/>
        <v>(72,'med083', '$2a$10$2MfJMcBKW.WwxPH88HeVpO5y.Gqh7gFavzLbLk.i4pLy/m0iY1Goy', 'Martim Bruno Rocha Guerreiro', 'Masculino', '1937-04-12', 'Rua Garrett', '2415-55', 'Leiria', 'Médico', 'Portuguesa', 'Bilhete de Identidade', '84354224', '276740665', '962880597', '965515416', 'med083@hospital.upskill.com', 'doctor-male.jpg'),</v>
      </c>
      <c r="Z73" t="str">
        <f t="shared" si="6"/>
        <v>(72,'7546717095925060', '22'),</v>
      </c>
      <c r="AA73" t="str">
        <f t="shared" si="7"/>
        <v>(72),</v>
      </c>
    </row>
    <row r="74" spans="1:27" x14ac:dyDescent="0.25">
      <c r="A74">
        <v>73</v>
      </c>
      <c r="B74" t="s">
        <v>991</v>
      </c>
      <c r="C74" t="s">
        <v>992</v>
      </c>
      <c r="D74" t="s">
        <v>993</v>
      </c>
      <c r="E74" t="s">
        <v>53</v>
      </c>
      <c r="F74" s="7">
        <v>41552</v>
      </c>
      <c r="G74" t="s">
        <v>260</v>
      </c>
      <c r="H74" t="s">
        <v>994</v>
      </c>
      <c r="I74" t="s">
        <v>211</v>
      </c>
      <c r="J74" t="s">
        <v>3726</v>
      </c>
      <c r="K74" t="s">
        <v>225</v>
      </c>
      <c r="L74" t="s">
        <v>265</v>
      </c>
      <c r="M74" t="s">
        <v>995</v>
      </c>
      <c r="N74" t="s">
        <v>996</v>
      </c>
      <c r="O74" t="s">
        <v>997</v>
      </c>
      <c r="P74" t="s">
        <v>998</v>
      </c>
      <c r="Q74" t="s">
        <v>999</v>
      </c>
      <c r="R74" t="str">
        <f t="shared" si="4"/>
        <v>doctor-male.jpg</v>
      </c>
      <c r="S74" s="8">
        <v>9580753341414722</v>
      </c>
      <c r="T74">
        <v>23</v>
      </c>
      <c r="V74" s="6" t="str" cm="1">
        <f t="array" ref="V74">INDEX(Folha1!$C$2:$C$396,W74)</f>
        <v>$2a$10$s0a9kJzuDzyOqHVnpIakpOJFnqjWfo1qVQ3IcbvZWh1dPRGZ7Rv4S</v>
      </c>
      <c r="W74">
        <f>MATCH(C74,Folha1!$B$2:$B$396,0)</f>
        <v>73</v>
      </c>
      <c r="Y74" t="str">
        <f t="shared" si="5"/>
        <v>(73,'med084', '$2a$10$s0a9kJzuDzyOqHVnpIakpOJFnqjWfo1qVQ3IcbvZWh1dPRGZ7Rv4S', 'Gabriel Sara Brito Domingues', 'Masculino', '2013-10-05', 'Rua Augusta', '1949-787', 'Lisboa', 'Médico', 'Portuguesa', 'Bilhete de Identidade', '42480191', '363209352', '710264460', '926700649', 'med084@hospital.upskill.com', 'doctor-male.jpg'),</v>
      </c>
      <c r="Z74" t="str">
        <f t="shared" si="6"/>
        <v>(73,'9580753341414720', '23'),</v>
      </c>
      <c r="AA74" t="str">
        <f t="shared" si="7"/>
        <v>(73),</v>
      </c>
    </row>
    <row r="75" spans="1:27" x14ac:dyDescent="0.25">
      <c r="A75">
        <v>74</v>
      </c>
      <c r="B75" t="s">
        <v>1000</v>
      </c>
      <c r="C75" t="s">
        <v>1001</v>
      </c>
      <c r="D75" t="s">
        <v>1002</v>
      </c>
      <c r="E75" t="s">
        <v>66</v>
      </c>
      <c r="F75" s="7">
        <v>27773</v>
      </c>
      <c r="G75" t="s">
        <v>234</v>
      </c>
      <c r="H75" t="s">
        <v>1003</v>
      </c>
      <c r="I75" t="s">
        <v>218</v>
      </c>
      <c r="J75" t="s">
        <v>3726</v>
      </c>
      <c r="K75" t="s">
        <v>225</v>
      </c>
      <c r="L75" t="s">
        <v>265</v>
      </c>
      <c r="M75" t="s">
        <v>1004</v>
      </c>
      <c r="N75" t="s">
        <v>1005</v>
      </c>
      <c r="O75" t="s">
        <v>1006</v>
      </c>
      <c r="P75" t="s">
        <v>1007</v>
      </c>
      <c r="Q75" t="s">
        <v>1008</v>
      </c>
      <c r="R75" t="str">
        <f t="shared" si="4"/>
        <v>doctor-female.jpg</v>
      </c>
      <c r="S75" s="8">
        <v>3910835739459963</v>
      </c>
      <c r="T75">
        <v>24</v>
      </c>
      <c r="V75" s="6" t="str" cm="1">
        <f t="array" ref="V75">INDEX(Folha1!$C$2:$C$396,W75)</f>
        <v>$2a$10$lUiwyjI5i00z.cPkhnPEz.f.uFqsurpUCoptvT99FR7U1/b5CAPOm</v>
      </c>
      <c r="W75">
        <f>MATCH(C75,Folha1!$B$2:$B$396,0)</f>
        <v>74</v>
      </c>
      <c r="Y75" t="str">
        <f t="shared" si="5"/>
        <v>(74,'med085', '$2a$10$lUiwyjI5i00z.cPkhnPEz.f.uFqsurpUCoptvT99FR7U1/b5CAPOm', 'Beatriz Afonso Moura Machado', 'Feminino', '1976-01-14', 'Rua do Instituto Bacteriológico', '2779-181', 'Carcavelos', 'Médico', 'Portuguesa', 'Bilhete de Identidade', '23628387', '261718716', '158557534', '960593510', 'med085@hospital.upskill.com', 'doctor-female.jpg'),</v>
      </c>
      <c r="Z75" t="str">
        <f t="shared" si="6"/>
        <v>(74,'3910835739459960', '24'),</v>
      </c>
      <c r="AA75" t="str">
        <f t="shared" si="7"/>
        <v>(74),</v>
      </c>
    </row>
    <row r="76" spans="1:27" x14ac:dyDescent="0.25">
      <c r="A76">
        <v>75</v>
      </c>
      <c r="B76" t="s">
        <v>1009</v>
      </c>
      <c r="C76" t="s">
        <v>1010</v>
      </c>
      <c r="D76" t="s">
        <v>1011</v>
      </c>
      <c r="E76" t="s">
        <v>53</v>
      </c>
      <c r="F76" s="7">
        <v>27273</v>
      </c>
      <c r="G76" t="s">
        <v>249</v>
      </c>
      <c r="H76" t="s">
        <v>1012</v>
      </c>
      <c r="I76" t="s">
        <v>211</v>
      </c>
      <c r="J76" t="s">
        <v>3726</v>
      </c>
      <c r="K76" t="s">
        <v>225</v>
      </c>
      <c r="L76" t="s">
        <v>265</v>
      </c>
      <c r="M76" t="s">
        <v>1013</v>
      </c>
      <c r="N76" t="s">
        <v>1014</v>
      </c>
      <c r="O76" t="s">
        <v>1015</v>
      </c>
      <c r="P76" t="s">
        <v>1016</v>
      </c>
      <c r="Q76" t="s">
        <v>1017</v>
      </c>
      <c r="R76" t="str">
        <f t="shared" si="4"/>
        <v>doctor-male.jpg</v>
      </c>
      <c r="S76" s="8">
        <v>7324002862602352</v>
      </c>
      <c r="T76">
        <v>25</v>
      </c>
      <c r="V76" s="6" t="str" cm="1">
        <f t="array" ref="V76">INDEX(Folha1!$C$2:$C$396,W76)</f>
        <v>$2a$10$GPfNk6xF0IB6cftiuZ.LBug/PVQQDvLLagAkyA3RlW7fw8QqYyAWK</v>
      </c>
      <c r="W76">
        <f>MATCH(C76,Folha1!$B$2:$B$396,0)</f>
        <v>75</v>
      </c>
      <c r="Y76" t="str">
        <f t="shared" si="5"/>
        <v>(75,'med086', '$2a$10$GPfNk6xF0IB6cftiuZ.LBug/PVQQDvLLagAkyA3RlW7fw8QqYyAWK', 'Gabriel Duarte Neto Rocha', 'Masculino', '1974-09-01', 'Rua Júlio César Machado', '1099-305', 'Lisboa', 'Médico', 'Portuguesa', 'Bilhete de Identidade', '79022005', '711964392', '794893603', '934680263', 'med086@hospital.upskill.com', 'doctor-male.jpg'),</v>
      </c>
      <c r="Z76" t="str">
        <f t="shared" si="6"/>
        <v>(75,'7324002862602350', '25'),</v>
      </c>
      <c r="AA76" t="str">
        <f t="shared" si="7"/>
        <v>(75),</v>
      </c>
    </row>
    <row r="77" spans="1:27" x14ac:dyDescent="0.25">
      <c r="A77">
        <v>76</v>
      </c>
      <c r="B77" t="s">
        <v>1018</v>
      </c>
      <c r="C77" t="s">
        <v>1019</v>
      </c>
      <c r="D77" t="s">
        <v>1020</v>
      </c>
      <c r="E77" t="s">
        <v>53</v>
      </c>
      <c r="F77" s="7">
        <v>33962</v>
      </c>
      <c r="G77" t="s">
        <v>262</v>
      </c>
      <c r="H77" t="s">
        <v>1021</v>
      </c>
      <c r="I77" t="s">
        <v>203</v>
      </c>
      <c r="J77" t="s">
        <v>3726</v>
      </c>
      <c r="K77" t="s">
        <v>225</v>
      </c>
      <c r="L77" t="s">
        <v>265</v>
      </c>
      <c r="M77" t="s">
        <v>1022</v>
      </c>
      <c r="N77" t="s">
        <v>1023</v>
      </c>
      <c r="O77" t="s">
        <v>1024</v>
      </c>
      <c r="P77" t="s">
        <v>1025</v>
      </c>
      <c r="Q77" t="s">
        <v>1026</v>
      </c>
      <c r="R77" t="str">
        <f t="shared" si="4"/>
        <v>doctor-male.jpg</v>
      </c>
      <c r="S77" s="8">
        <v>6150857692420005</v>
      </c>
      <c r="T77">
        <v>26</v>
      </c>
      <c r="V77" s="6" t="str" cm="1">
        <f t="array" ref="V77">INDEX(Folha1!$C$2:$C$396,W77)</f>
        <v>$2a$10$rSsZ6rRXT2EvOSc/WKFcbOaIdqYMJJ1gS7yK0s9ERqnOzAMIYAFtO</v>
      </c>
      <c r="W77">
        <f>MATCH(C77,Folha1!$B$2:$B$396,0)</f>
        <v>76</v>
      </c>
      <c r="Y77" t="str">
        <f t="shared" si="5"/>
        <v>(76,'med087', '$2a$10$rSsZ6rRXT2EvOSc/WKFcbOaIdqYMJJ1gS7yK0s9ERqnOzAMIYAFtO', 'Francisco Mariana Soares Simões', 'Masculino', '1992-12-24', 'Estrada Militar', '2350-627', 'Torres Novas', 'Médico', 'Portuguesa', 'Bilhete de Identidade', '40410488', '764773529', '256136898', '968018985', 'med087@hospital.upskill.com', 'doctor-male.jpg'),</v>
      </c>
      <c r="Z77" t="str">
        <f t="shared" si="6"/>
        <v>(76,'6150857692420000', '26'),</v>
      </c>
      <c r="AA77" t="str">
        <f t="shared" si="7"/>
        <v>(76),</v>
      </c>
    </row>
    <row r="78" spans="1:27" x14ac:dyDescent="0.25">
      <c r="A78">
        <v>77</v>
      </c>
      <c r="B78" t="s">
        <v>1027</v>
      </c>
      <c r="C78" t="s">
        <v>1028</v>
      </c>
      <c r="D78" t="s">
        <v>1029</v>
      </c>
      <c r="E78" t="s">
        <v>66</v>
      </c>
      <c r="F78" s="7">
        <v>16313</v>
      </c>
      <c r="G78" t="s">
        <v>250</v>
      </c>
      <c r="H78" t="s">
        <v>1030</v>
      </c>
      <c r="I78" t="s">
        <v>211</v>
      </c>
      <c r="J78" t="s">
        <v>3726</v>
      </c>
      <c r="K78" t="s">
        <v>225</v>
      </c>
      <c r="L78" t="s">
        <v>265</v>
      </c>
      <c r="M78" t="s">
        <v>1031</v>
      </c>
      <c r="N78" t="s">
        <v>1032</v>
      </c>
      <c r="O78" t="s">
        <v>1033</v>
      </c>
      <c r="P78" t="s">
        <v>1034</v>
      </c>
      <c r="Q78" t="s">
        <v>1035</v>
      </c>
      <c r="R78" t="str">
        <f t="shared" si="4"/>
        <v>doctor-female.jpg</v>
      </c>
      <c r="S78" s="8">
        <v>8302440617988995</v>
      </c>
      <c r="T78">
        <v>27</v>
      </c>
      <c r="V78" s="6" t="str" cm="1">
        <f t="array" ref="V78">INDEX(Folha1!$C$2:$C$396,W78)</f>
        <v>$2a$10$KpAz/GXQf2I4oXRGu224UuI2dEE5jOTLlEpnEQsTJE4IImsklj2kG</v>
      </c>
      <c r="W78">
        <f>MATCH(C78,Folha1!$B$2:$B$396,0)</f>
        <v>77</v>
      </c>
      <c r="Y78" t="str">
        <f t="shared" si="5"/>
        <v>(77,'med088', '$2a$10$KpAz/GXQf2I4oXRGu224UuI2dEE5jOTLlEpnEQsTJE4IImsklj2kG', 'Carolina André Azevedo Gaspar', 'Feminino', '1944-08-29', 'Rua Nova do Almada', '1999-41', 'Lisboa', 'Médico', 'Portuguesa', 'Bilhete de Identidade', '93579833', '862822548', '253013752', '961361058', 'med088@hospital.upskill.com', 'doctor-female.jpg'),</v>
      </c>
      <c r="Z78" t="str">
        <f t="shared" si="6"/>
        <v>(77,'8302440617988990', '27'),</v>
      </c>
      <c r="AA78" t="str">
        <f t="shared" si="7"/>
        <v>(77),</v>
      </c>
    </row>
    <row r="79" spans="1:27" x14ac:dyDescent="0.25">
      <c r="A79">
        <v>78</v>
      </c>
      <c r="B79" t="s">
        <v>1036</v>
      </c>
      <c r="C79" t="s">
        <v>1037</v>
      </c>
      <c r="D79" t="s">
        <v>1038</v>
      </c>
      <c r="E79" t="s">
        <v>53</v>
      </c>
      <c r="F79" s="7">
        <v>40133</v>
      </c>
      <c r="G79" t="s">
        <v>227</v>
      </c>
      <c r="H79" t="s">
        <v>1039</v>
      </c>
      <c r="I79" t="s">
        <v>211</v>
      </c>
      <c r="J79" t="s">
        <v>3726</v>
      </c>
      <c r="K79" t="s">
        <v>225</v>
      </c>
      <c r="L79" t="s">
        <v>265</v>
      </c>
      <c r="M79" t="s">
        <v>1040</v>
      </c>
      <c r="N79" t="s">
        <v>1041</v>
      </c>
      <c r="O79" t="s">
        <v>1042</v>
      </c>
      <c r="P79" t="s">
        <v>1043</v>
      </c>
      <c r="Q79" t="s">
        <v>1044</v>
      </c>
      <c r="R79" t="str">
        <f t="shared" si="4"/>
        <v>doctor-male.jpg</v>
      </c>
      <c r="S79" s="8">
        <v>1528193036942099</v>
      </c>
      <c r="T79">
        <v>28</v>
      </c>
      <c r="V79" s="6" t="str" cm="1">
        <f t="array" ref="V79">INDEX(Folha1!$C$2:$C$396,W79)</f>
        <v>$2a$10$nImsoLO3GX6r5mgk.5kTDOnYMvdqG9nwbRrx721QuA4nDeUbwcZHy</v>
      </c>
      <c r="W79">
        <f>MATCH(C79,Folha1!$B$2:$B$396,0)</f>
        <v>78</v>
      </c>
      <c r="Y79" t="str">
        <f t="shared" si="5"/>
        <v>(78,'med089', '$2a$10$nImsoLO3GX6r5mgk.5kTDOnYMvdqG9nwbRrx721QuA4nDeUbwcZHy', 'Martim Ana Maia Tavares', 'Masculino', '2009-11-16', 'Rua dos Bacalhoeiros', '1950-452', 'Lisboa', 'Médico', 'Portuguesa', 'Bilhete de Identidade', '55707176', '333672673', '787664139', '929995483', 'med089@hospital.upskill.com', 'doctor-male.jpg'),</v>
      </c>
      <c r="Z79" t="str">
        <f t="shared" si="6"/>
        <v>(78,'1528193036942100', '28'),</v>
      </c>
      <c r="AA79" t="str">
        <f t="shared" si="7"/>
        <v>(78),</v>
      </c>
    </row>
    <row r="80" spans="1:27" x14ac:dyDescent="0.25">
      <c r="A80">
        <v>79</v>
      </c>
      <c r="B80" t="s">
        <v>1045</v>
      </c>
      <c r="C80" t="s">
        <v>1046</v>
      </c>
      <c r="D80" t="s">
        <v>1047</v>
      </c>
      <c r="E80" t="s">
        <v>53</v>
      </c>
      <c r="F80" s="7">
        <v>16302</v>
      </c>
      <c r="G80" t="s">
        <v>254</v>
      </c>
      <c r="H80" t="s">
        <v>1048</v>
      </c>
      <c r="I80" t="s">
        <v>211</v>
      </c>
      <c r="J80" t="s">
        <v>3726</v>
      </c>
      <c r="K80" t="s">
        <v>225</v>
      </c>
      <c r="L80" t="s">
        <v>265</v>
      </c>
      <c r="M80" t="s">
        <v>1049</v>
      </c>
      <c r="N80" t="s">
        <v>1050</v>
      </c>
      <c r="O80" t="s">
        <v>1051</v>
      </c>
      <c r="P80" t="s">
        <v>1052</v>
      </c>
      <c r="Q80" t="s">
        <v>1053</v>
      </c>
      <c r="R80" t="str">
        <f t="shared" si="4"/>
        <v>doctor-male.jpg</v>
      </c>
      <c r="S80" s="8">
        <v>4987801193868462</v>
      </c>
      <c r="T80">
        <v>29</v>
      </c>
      <c r="V80" s="6" t="str" cm="1">
        <f t="array" ref="V80">INDEX(Folha1!$C$2:$C$396,W80)</f>
        <v>$2a$10$gJUn3wOLFPcIsu58QlbpqOU.r4uWgwlLG1qoFv27yK6XdEqszOSbi</v>
      </c>
      <c r="W80">
        <f>MATCH(C80,Folha1!$B$2:$B$396,0)</f>
        <v>79</v>
      </c>
      <c r="Y80" t="str">
        <f t="shared" si="5"/>
        <v>(79,'med090', '$2a$10$gJUn3wOLFPcIsu58QlbpqOU.r4uWgwlLG1qoFv27yK6XdEqszOSbi', 'Diogo Maria Valente Leite', 'Masculino', '1944-08-18', 'Rua do Sacramento à Lapa', '1300-832', 'Lisboa', 'Médico', 'Portuguesa', 'Bilhete de Identidade', '82482537', '863509065', '392898089', '961610768', 'med090@hospital.upskill.com', 'doctor-male.jpg'),</v>
      </c>
      <c r="Z80" t="str">
        <f t="shared" si="6"/>
        <v>(79,'4987801193868460', '29'),</v>
      </c>
      <c r="AA80" t="str">
        <f t="shared" si="7"/>
        <v>(79),</v>
      </c>
    </row>
    <row r="81" spans="1:27" x14ac:dyDescent="0.25">
      <c r="A81">
        <v>80</v>
      </c>
      <c r="B81" t="s">
        <v>1054</v>
      </c>
      <c r="C81" t="s">
        <v>1055</v>
      </c>
      <c r="D81" t="s">
        <v>1056</v>
      </c>
      <c r="E81" t="s">
        <v>53</v>
      </c>
      <c r="F81" s="7">
        <v>15230</v>
      </c>
      <c r="G81" t="s">
        <v>241</v>
      </c>
      <c r="H81" t="s">
        <v>1057</v>
      </c>
      <c r="I81" t="s">
        <v>211</v>
      </c>
      <c r="J81" t="s">
        <v>3726</v>
      </c>
      <c r="K81" t="s">
        <v>225</v>
      </c>
      <c r="L81" t="s">
        <v>265</v>
      </c>
      <c r="M81" t="s">
        <v>1058</v>
      </c>
      <c r="N81" t="s">
        <v>1059</v>
      </c>
      <c r="O81" t="s">
        <v>1060</v>
      </c>
      <c r="P81" t="s">
        <v>1061</v>
      </c>
      <c r="Q81" t="s">
        <v>1062</v>
      </c>
      <c r="R81" t="str">
        <f t="shared" si="4"/>
        <v>doctor-male.jpg</v>
      </c>
      <c r="S81" s="8">
        <v>5778018116245415</v>
      </c>
      <c r="T81">
        <v>30</v>
      </c>
      <c r="V81" s="6" t="str" cm="1">
        <f t="array" ref="V81">INDEX(Folha1!$C$2:$C$396,W81)</f>
        <v>$2a$10$LmRbBRgw/79BhxMNM4oOzuMGrzS.H0K7s4wskdcEx5RGStZiOaflO</v>
      </c>
      <c r="W81">
        <f>MATCH(C81,Folha1!$B$2:$B$396,0)</f>
        <v>80</v>
      </c>
      <c r="Y81" t="str">
        <f t="shared" si="5"/>
        <v>(80,'med091', '$2a$10$LmRbBRgw/79BhxMNM4oOzuMGrzS.H0K7s4wskdcEx5RGStZiOaflO', 'Miguel Daniela Araújo Assunção', 'Masculino', '1941-09-11', 'Rua da Prata', '1800-229', 'Lisboa', 'Médico', 'Portuguesa', 'Bilhete de Identidade', '56980397', '768690417', '868912666', '963115441', 'med091@hospital.upskill.com', 'doctor-male.jpg'),</v>
      </c>
      <c r="Z81" t="str">
        <f t="shared" si="6"/>
        <v>(80,'5778018116245410', '30'),</v>
      </c>
      <c r="AA81" t="str">
        <f t="shared" si="7"/>
        <v>(80),</v>
      </c>
    </row>
    <row r="82" spans="1:27" x14ac:dyDescent="0.25">
      <c r="A82">
        <v>81</v>
      </c>
      <c r="B82" t="s">
        <v>1063</v>
      </c>
      <c r="C82" t="s">
        <v>1064</v>
      </c>
      <c r="D82" t="s">
        <v>1065</v>
      </c>
      <c r="E82" t="s">
        <v>66</v>
      </c>
      <c r="F82" s="7">
        <v>33682</v>
      </c>
      <c r="G82" t="s">
        <v>243</v>
      </c>
      <c r="H82" t="s">
        <v>1066</v>
      </c>
      <c r="I82" t="s">
        <v>209</v>
      </c>
      <c r="J82" t="s">
        <v>3726</v>
      </c>
      <c r="K82" t="s">
        <v>225</v>
      </c>
      <c r="L82" t="s">
        <v>265</v>
      </c>
      <c r="M82" t="s">
        <v>1067</v>
      </c>
      <c r="N82" t="s">
        <v>1068</v>
      </c>
      <c r="O82" t="s">
        <v>1069</v>
      </c>
      <c r="P82" t="s">
        <v>1070</v>
      </c>
      <c r="Q82" t="s">
        <v>1071</v>
      </c>
      <c r="R82" t="str">
        <f t="shared" si="4"/>
        <v>doctor-female.jpg</v>
      </c>
      <c r="S82" s="8">
        <v>8284132159684122</v>
      </c>
      <c r="T82">
        <v>31</v>
      </c>
      <c r="V82" s="6" t="str" cm="1">
        <f t="array" ref="V82">INDEX(Folha1!$C$2:$C$396,W82)</f>
        <v>$2a$10$NxOA3a2M.aksPdIFUzuf1u1680XnFXmyqDOajR.kUAa.7q8oGcZGO</v>
      </c>
      <c r="W82">
        <f>MATCH(C82,Folha1!$B$2:$B$396,0)</f>
        <v>81</v>
      </c>
      <c r="Y82" t="str">
        <f t="shared" si="5"/>
        <v>(81,'med092', '$2a$10$NxOA3a2M.aksPdIFUzuf1u1680XnFXmyqDOajR.kUAa.7q8oGcZGO', 'Daniela Marco Freitas Vaz', 'Feminino', '1992-03-19', 'Rua Roberto Duarte Silva', '2810-911', 'Almada', 'Médico', 'Portuguesa', 'Bilhete de Identidade', '66570393', '812928115', '523701106', '965853891', 'med092@hospital.upskill.com', 'doctor-female.jpg'),</v>
      </c>
      <c r="Z82" t="str">
        <f t="shared" si="6"/>
        <v>(81,'8284132159684120', '31'),</v>
      </c>
      <c r="AA82" t="str">
        <f t="shared" si="7"/>
        <v>(81),</v>
      </c>
    </row>
    <row r="83" spans="1:27" x14ac:dyDescent="0.25">
      <c r="A83">
        <v>82</v>
      </c>
      <c r="B83" t="s">
        <v>1072</v>
      </c>
      <c r="C83" t="s">
        <v>1073</v>
      </c>
      <c r="D83" t="s">
        <v>1074</v>
      </c>
      <c r="E83" t="s">
        <v>53</v>
      </c>
      <c r="F83" s="7">
        <v>19081</v>
      </c>
      <c r="G83" t="s">
        <v>237</v>
      </c>
      <c r="H83" t="s">
        <v>1075</v>
      </c>
      <c r="I83" t="s">
        <v>220</v>
      </c>
      <c r="J83" t="s">
        <v>3726</v>
      </c>
      <c r="K83" t="s">
        <v>225</v>
      </c>
      <c r="L83" t="s">
        <v>265</v>
      </c>
      <c r="M83" t="s">
        <v>1076</v>
      </c>
      <c r="N83" t="s">
        <v>1077</v>
      </c>
      <c r="O83" t="s">
        <v>1078</v>
      </c>
      <c r="P83" t="s">
        <v>1079</v>
      </c>
      <c r="Q83" t="s">
        <v>1080</v>
      </c>
      <c r="R83" t="str">
        <f t="shared" si="4"/>
        <v>doctor-male.jpg</v>
      </c>
      <c r="S83" s="8">
        <v>2326498550471798</v>
      </c>
      <c r="T83">
        <v>32</v>
      </c>
      <c r="V83" s="6" t="str" cm="1">
        <f t="array" ref="V83">INDEX(Folha1!$C$2:$C$396,W83)</f>
        <v>$2a$10$VQg/37mwnFWmerDpIe/um.FKqfFsiUS8RAgHovldCk18jGkR1ooDy</v>
      </c>
      <c r="W83">
        <f>MATCH(C83,Folha1!$B$2:$B$396,0)</f>
        <v>82</v>
      </c>
      <c r="Y83" t="str">
        <f t="shared" si="5"/>
        <v>(82,'med093', '$2a$10$VQg/37mwnFWmerDpIe/um.FKqfFsiUS8RAgHovldCk18jGkR1ooDy', 'Afonso Luís Raposo Pinto', 'Masculino', '1952-03-28', 'Calçada Marquês de Abrantes', '2754-571', 'Cascais', 'Médico', 'Portuguesa', 'Bilhete de Identidade', '83777376', '781297794', '698777117', '933919410', 'med093@hospital.upskill.com', 'doctor-male.jpg'),</v>
      </c>
      <c r="Z83" t="str">
        <f t="shared" si="6"/>
        <v>(82,'2326498550471800', '32'),</v>
      </c>
      <c r="AA83" t="str">
        <f t="shared" si="7"/>
        <v>(82),</v>
      </c>
    </row>
    <row r="84" spans="1:27" x14ac:dyDescent="0.25">
      <c r="A84">
        <v>83</v>
      </c>
      <c r="B84" t="s">
        <v>1081</v>
      </c>
      <c r="C84" t="s">
        <v>1082</v>
      </c>
      <c r="D84" t="s">
        <v>1083</v>
      </c>
      <c r="E84" t="s">
        <v>53</v>
      </c>
      <c r="F84" s="7">
        <v>28822</v>
      </c>
      <c r="G84" t="s">
        <v>256</v>
      </c>
      <c r="H84" t="s">
        <v>1084</v>
      </c>
      <c r="I84" t="s">
        <v>211</v>
      </c>
      <c r="J84" t="s">
        <v>3726</v>
      </c>
      <c r="K84" t="s">
        <v>225</v>
      </c>
      <c r="L84" t="s">
        <v>265</v>
      </c>
      <c r="M84" t="s">
        <v>1085</v>
      </c>
      <c r="N84" t="s">
        <v>1086</v>
      </c>
      <c r="O84" t="s">
        <v>1087</v>
      </c>
      <c r="P84" t="s">
        <v>1088</v>
      </c>
      <c r="Q84" t="s">
        <v>1089</v>
      </c>
      <c r="R84" t="str">
        <f t="shared" si="4"/>
        <v>doctor-male.jpg</v>
      </c>
      <c r="S84" s="8">
        <v>3564749633184122</v>
      </c>
      <c r="T84">
        <v>33</v>
      </c>
      <c r="V84" s="6" t="str" cm="1">
        <f t="array" ref="V84">INDEX(Folha1!$C$2:$C$396,W84)</f>
        <v>$2a$10$qTQ/RYmheuLkU51/zmIoPOvKXx7AhlPwrTbq/PoD7Zh9YoSzJTSN.</v>
      </c>
      <c r="W84">
        <f>MATCH(C84,Folha1!$B$2:$B$396,0)</f>
        <v>83</v>
      </c>
      <c r="Y84" t="str">
        <f t="shared" si="5"/>
        <v>(83,'med094', '$2a$10$qTQ/RYmheuLkU51/zmIoPOvKXx7AhlPwrTbq/PoD7Zh9YoSzJTSN.', 'Diogo Gabriel Melo Moura', 'Masculino', '1978-11-28', 'Travessa de São João da Praça', '1149-521', 'Lisboa', 'Médico', 'Portuguesa', 'Bilhete de Identidade', '49721151', '399163565', '850247680', '965896894', 'med094@hospital.upskill.com', 'doctor-male.jpg'),</v>
      </c>
      <c r="Z84" t="str">
        <f t="shared" si="6"/>
        <v>(83,'3564749633184120', '33'),</v>
      </c>
      <c r="AA84" t="str">
        <f t="shared" si="7"/>
        <v>(83),</v>
      </c>
    </row>
    <row r="85" spans="1:27" x14ac:dyDescent="0.25">
      <c r="A85">
        <v>84</v>
      </c>
      <c r="B85" t="s">
        <v>1090</v>
      </c>
      <c r="C85" t="s">
        <v>1091</v>
      </c>
      <c r="D85" t="s">
        <v>1092</v>
      </c>
      <c r="E85" t="s">
        <v>53</v>
      </c>
      <c r="F85" s="7">
        <v>23243</v>
      </c>
      <c r="G85" t="s">
        <v>234</v>
      </c>
      <c r="H85" t="s">
        <v>1093</v>
      </c>
      <c r="I85" t="s">
        <v>211</v>
      </c>
      <c r="J85" t="s">
        <v>3726</v>
      </c>
      <c r="K85" t="s">
        <v>225</v>
      </c>
      <c r="L85" t="s">
        <v>265</v>
      </c>
      <c r="M85" t="s">
        <v>1094</v>
      </c>
      <c r="N85" t="s">
        <v>1095</v>
      </c>
      <c r="O85" t="s">
        <v>1096</v>
      </c>
      <c r="P85" t="s">
        <v>1097</v>
      </c>
      <c r="Q85" t="s">
        <v>1098</v>
      </c>
      <c r="R85" t="str">
        <f t="shared" si="4"/>
        <v>doctor-male.jpg</v>
      </c>
      <c r="S85" s="8">
        <v>2709211881719222</v>
      </c>
      <c r="T85">
        <v>34</v>
      </c>
      <c r="V85" s="6" t="str" cm="1">
        <f t="array" ref="V85">INDEX(Folha1!$C$2:$C$396,W85)</f>
        <v>$2a$10$mT/pdvXznDBP8UK4e.6DtOC5h77.d4/tTcVAiZjI26XXcS1qSlFdu</v>
      </c>
      <c r="W85">
        <f>MATCH(C85,Folha1!$B$2:$B$396,0)</f>
        <v>84</v>
      </c>
      <c r="Y85" t="str">
        <f t="shared" si="5"/>
        <v>(84,'med095', '$2a$10$mT/pdvXznDBP8UK4e.6DtOC5h77.d4/tTcVAiZjI26XXcS1qSlFdu', 'Tomás Francisca Brito Araújo', 'Masculino', '1963-08-20', 'Rua do Instituto Bacteriológico', '1000-477', 'Lisboa', 'Médico', 'Portuguesa', 'Bilhete de Identidade', '64679712', '391707929', '123778456', '914369190', 'med095@hospital.upskill.com', 'doctor-male.jpg'),</v>
      </c>
      <c r="Z85" t="str">
        <f t="shared" si="6"/>
        <v>(84,'2709211881719220', '34'),</v>
      </c>
      <c r="AA85" t="str">
        <f t="shared" si="7"/>
        <v>(84),</v>
      </c>
    </row>
    <row r="86" spans="1:27" x14ac:dyDescent="0.25">
      <c r="A86">
        <v>85</v>
      </c>
      <c r="B86" t="s">
        <v>1099</v>
      </c>
      <c r="C86" t="s">
        <v>1100</v>
      </c>
      <c r="D86" t="s">
        <v>1101</v>
      </c>
      <c r="E86" t="s">
        <v>53</v>
      </c>
      <c r="F86" s="7">
        <v>18576</v>
      </c>
      <c r="G86" t="s">
        <v>260</v>
      </c>
      <c r="H86" t="s">
        <v>1102</v>
      </c>
      <c r="I86" t="s">
        <v>217</v>
      </c>
      <c r="J86" t="s">
        <v>3726</v>
      </c>
      <c r="K86" t="s">
        <v>225</v>
      </c>
      <c r="L86" t="s">
        <v>265</v>
      </c>
      <c r="M86" t="s">
        <v>1103</v>
      </c>
      <c r="N86" t="s">
        <v>1104</v>
      </c>
      <c r="O86" t="s">
        <v>1105</v>
      </c>
      <c r="P86" t="s">
        <v>1106</v>
      </c>
      <c r="Q86" t="s">
        <v>1107</v>
      </c>
      <c r="R86" t="str">
        <f t="shared" si="4"/>
        <v>doctor-male.jpg</v>
      </c>
      <c r="S86" s="8">
        <v>1657956406944701</v>
      </c>
      <c r="T86">
        <v>35</v>
      </c>
      <c r="V86" s="6" t="str" cm="1">
        <f t="array" ref="V86">INDEX(Folha1!$C$2:$C$396,W86)</f>
        <v>$2a$10$0KOG403SfRnLduIZo51duuKAH0jLc4BKHbLxBqL8bPSpnpkLXRN5i</v>
      </c>
      <c r="W86">
        <f>MATCH(C86,Folha1!$B$2:$B$396,0)</f>
        <v>85</v>
      </c>
      <c r="Y86" t="str">
        <f t="shared" si="5"/>
        <v>(85,'med096', '$2a$10$0KOG403SfRnLduIZo51duuKAH0jLc4BKHbLxBqL8bPSpnpkLXRN5i', 'Ricardo Carolina Pires Carvalho', 'Masculino', '1950-11-09', 'Rua Augusta', '2829-545', 'Caparica', 'Médico', 'Portuguesa', 'Bilhete de Identidade', '93705457', '709292193', '841556037', '960557669', 'med096@hospital.upskill.com', 'doctor-male.jpg'),</v>
      </c>
      <c r="Z86" t="str">
        <f t="shared" si="6"/>
        <v>(85,'1657956406944700', '35'),</v>
      </c>
      <c r="AA86" t="str">
        <f t="shared" si="7"/>
        <v>(85),</v>
      </c>
    </row>
    <row r="87" spans="1:27" x14ac:dyDescent="0.25">
      <c r="A87">
        <v>86</v>
      </c>
      <c r="B87" t="s">
        <v>1108</v>
      </c>
      <c r="C87" t="s">
        <v>1109</v>
      </c>
      <c r="D87" t="s">
        <v>1110</v>
      </c>
      <c r="E87" t="s">
        <v>66</v>
      </c>
      <c r="F87" s="7">
        <v>36577</v>
      </c>
      <c r="G87" t="s">
        <v>257</v>
      </c>
      <c r="H87" t="s">
        <v>1111</v>
      </c>
      <c r="I87" t="s">
        <v>211</v>
      </c>
      <c r="J87" t="s">
        <v>3726</v>
      </c>
      <c r="K87" t="s">
        <v>225</v>
      </c>
      <c r="L87" t="s">
        <v>265</v>
      </c>
      <c r="M87" t="s">
        <v>1112</v>
      </c>
      <c r="N87" t="s">
        <v>1113</v>
      </c>
      <c r="O87" t="s">
        <v>1114</v>
      </c>
      <c r="P87" t="s">
        <v>1115</v>
      </c>
      <c r="Q87" t="s">
        <v>1116</v>
      </c>
      <c r="R87" t="str">
        <f t="shared" si="4"/>
        <v>doctor-female.jpg</v>
      </c>
      <c r="S87" s="8">
        <v>2997739650791720</v>
      </c>
      <c r="T87">
        <v>36</v>
      </c>
      <c r="V87" s="6" t="str" cm="1">
        <f t="array" ref="V87">INDEX(Folha1!$C$2:$C$396,W87)</f>
        <v>$2a$10$TcQnZ1V4MX7wlPXYcPsq4.d/8o4jqre8Srv8yi.Mvmf/5FkrQfwBm</v>
      </c>
      <c r="W87">
        <f>MATCH(C87,Folha1!$B$2:$B$396,0)</f>
        <v>86</v>
      </c>
      <c r="Y87" t="str">
        <f t="shared" si="5"/>
        <v>(86,'med097', '$2a$10$TcQnZ1V4MX7wlPXYcPsq4.d/8o4jqre8Srv8yi.Mvmf/5FkrQfwBm', 'Maria Martim Tavares Antunes', 'Feminino', '2000-02-21', 'Rua do Sol a Santana', '1749-688', 'Lisboa', 'Médico', 'Portuguesa', 'Bilhete de Identidade', '87852216', '968403489', '205945789', '936653818', 'med097@hospital.upskill.com', 'doctor-female.jpg'),</v>
      </c>
      <c r="Z87" t="str">
        <f t="shared" si="6"/>
        <v>(86,'2997739650791720', '36'),</v>
      </c>
      <c r="AA87" t="str">
        <f t="shared" si="7"/>
        <v>(86),</v>
      </c>
    </row>
    <row r="88" spans="1:27" x14ac:dyDescent="0.25">
      <c r="A88">
        <v>87</v>
      </c>
      <c r="B88" t="s">
        <v>1117</v>
      </c>
      <c r="C88" t="s">
        <v>1118</v>
      </c>
      <c r="D88" t="s">
        <v>1119</v>
      </c>
      <c r="E88" t="s">
        <v>53</v>
      </c>
      <c r="F88" s="7">
        <v>18365</v>
      </c>
      <c r="G88" t="s">
        <v>254</v>
      </c>
      <c r="H88" t="s">
        <v>1120</v>
      </c>
      <c r="I88" t="s">
        <v>210</v>
      </c>
      <c r="J88" t="s">
        <v>3726</v>
      </c>
      <c r="K88" t="s">
        <v>225</v>
      </c>
      <c r="L88" t="s">
        <v>265</v>
      </c>
      <c r="M88" t="s">
        <v>1121</v>
      </c>
      <c r="N88" t="s">
        <v>1122</v>
      </c>
      <c r="O88" t="s">
        <v>1123</v>
      </c>
      <c r="P88" t="s">
        <v>1124</v>
      </c>
      <c r="Q88" t="s">
        <v>1125</v>
      </c>
      <c r="R88" t="str">
        <f t="shared" si="4"/>
        <v>doctor-male.jpg</v>
      </c>
      <c r="S88" s="8">
        <v>3676812329311769</v>
      </c>
      <c r="T88">
        <v>37</v>
      </c>
      <c r="V88" s="6" t="str" cm="1">
        <f t="array" ref="V88">INDEX(Folha1!$C$2:$C$396,W88)</f>
        <v>$2a$10$lBwQpPVNSXqNT6RJ3/zS7.7MIP3vHTFysyj4LwNu6aVXUmaQ5NGbG</v>
      </c>
      <c r="W88">
        <f>MATCH(C88,Folha1!$B$2:$B$396,0)</f>
        <v>87</v>
      </c>
      <c r="Y88" t="str">
        <f t="shared" si="5"/>
        <v>(87,'med098', '$2a$10$lBwQpPVNSXqNT6RJ3/zS7.7MIP3vHTFysyj4LwNu6aVXUmaQ5NGbG', 'Miguel Santiago Amorim Rocha', 'Masculino', '1950-04-12', 'Rua do Sacramento à Lapa', '2614-306', 'Amadora', 'Médico', 'Portuguesa', 'Bilhete de Identidade', '65114515', '976746897', '341533719', '937888745', 'med098@hospital.upskill.com', 'doctor-male.jpg'),</v>
      </c>
      <c r="Z88" t="str">
        <f t="shared" si="6"/>
        <v>(87,'3676812329311770', '37'),</v>
      </c>
      <c r="AA88" t="str">
        <f t="shared" si="7"/>
        <v>(87),</v>
      </c>
    </row>
    <row r="89" spans="1:27" x14ac:dyDescent="0.25">
      <c r="A89">
        <v>88</v>
      </c>
      <c r="B89" t="s">
        <v>1126</v>
      </c>
      <c r="C89" t="s">
        <v>1127</v>
      </c>
      <c r="D89" t="s">
        <v>1128</v>
      </c>
      <c r="E89" t="s">
        <v>53</v>
      </c>
      <c r="F89" s="7">
        <v>31062</v>
      </c>
      <c r="G89" t="s">
        <v>236</v>
      </c>
      <c r="H89" t="s">
        <v>1129</v>
      </c>
      <c r="I89" t="s">
        <v>218</v>
      </c>
      <c r="J89" t="s">
        <v>3726</v>
      </c>
      <c r="K89" t="s">
        <v>225</v>
      </c>
      <c r="L89" t="s">
        <v>265</v>
      </c>
      <c r="M89" t="s">
        <v>1130</v>
      </c>
      <c r="N89" t="s">
        <v>1131</v>
      </c>
      <c r="O89" t="s">
        <v>1132</v>
      </c>
      <c r="P89" t="s">
        <v>1133</v>
      </c>
      <c r="Q89" t="s">
        <v>1134</v>
      </c>
      <c r="R89" t="str">
        <f t="shared" si="4"/>
        <v>doctor-male.jpg</v>
      </c>
      <c r="S89" s="8">
        <v>5902089951610188</v>
      </c>
      <c r="T89">
        <v>38</v>
      </c>
      <c r="V89" s="6" t="str" cm="1">
        <f t="array" ref="V89">INDEX(Folha1!$C$2:$C$396,W89)</f>
        <v>$2a$10$QwfmnHj5CoObHeopPS/yeOe2IBhrjJHHrP.PW9vFtBQhzY3Njf9zi</v>
      </c>
      <c r="W89">
        <f>MATCH(C89,Folha1!$B$2:$B$396,0)</f>
        <v>88</v>
      </c>
      <c r="Y89" t="str">
        <f t="shared" si="5"/>
        <v>(88,'med099', '$2a$10$QwfmnHj5CoObHeopPS/yeOe2IBhrjJHHrP.PW9vFtBQhzY3Njf9zi', 'André Rodrigo Moreira Silva', 'Masculino', '1985-01-15', 'Rua da Madalena', '2775-45', 'Carcavelos', 'Médico', 'Portuguesa', 'Bilhete de Identidade', '60599370', '215959333', '473748617', '931855664', 'med099@hospital.upskill.com', 'doctor-male.jpg'),</v>
      </c>
      <c r="Z89" t="str">
        <f t="shared" si="6"/>
        <v>(88,'5902089951610190', '38'),</v>
      </c>
      <c r="AA89" t="str">
        <f t="shared" si="7"/>
        <v>(88),</v>
      </c>
    </row>
    <row r="90" spans="1:27" x14ac:dyDescent="0.25">
      <c r="A90">
        <v>89</v>
      </c>
      <c r="B90" t="s">
        <v>1135</v>
      </c>
      <c r="C90" t="s">
        <v>1136</v>
      </c>
      <c r="D90" t="s">
        <v>1137</v>
      </c>
      <c r="E90" t="s">
        <v>53</v>
      </c>
      <c r="F90" s="7">
        <v>37490</v>
      </c>
      <c r="G90" t="s">
        <v>249</v>
      </c>
      <c r="H90" t="s">
        <v>1138</v>
      </c>
      <c r="I90" t="s">
        <v>205</v>
      </c>
      <c r="J90" t="s">
        <v>3726</v>
      </c>
      <c r="K90" t="s">
        <v>225</v>
      </c>
      <c r="L90" t="s">
        <v>265</v>
      </c>
      <c r="M90" t="s">
        <v>1139</v>
      </c>
      <c r="N90" t="s">
        <v>1140</v>
      </c>
      <c r="O90" t="s">
        <v>1141</v>
      </c>
      <c r="P90" t="s">
        <v>1142</v>
      </c>
      <c r="Q90" t="s">
        <v>1143</v>
      </c>
      <c r="R90" t="str">
        <f t="shared" si="4"/>
        <v>doctor-male.jpg</v>
      </c>
      <c r="S90" s="8">
        <v>9894957099706968</v>
      </c>
      <c r="T90">
        <v>39</v>
      </c>
      <c r="V90" s="6" t="str" cm="1">
        <f t="array" ref="V90">INDEX(Folha1!$C$2:$C$396,W90)</f>
        <v>$2a$10$UNHFggl520KXvmsDw75DVeSQ3UOVVOgAAQaqsFmiQxpJGzMgoJbsO</v>
      </c>
      <c r="W90">
        <f>MATCH(C90,Folha1!$B$2:$B$396,0)</f>
        <v>89</v>
      </c>
      <c r="Y90" t="str">
        <f t="shared" si="5"/>
        <v>(89,'med100', '$2a$10$UNHFggl520KXvmsDw75DVeSQ3UOVVOgAAQaqsFmiQxpJGzMgoJbsO', 'Duarte Duarte Rodrigues Lima', 'Masculino', '2002-08-22', 'Rua Júlio César Machado', '2004-39', 'Santarém', 'Médico', 'Portuguesa', 'Bilhete de Identidade', '87221935', '773369861', '465412027', '962140989', 'med100@hospital.upskill.com', 'doctor-male.jpg'),</v>
      </c>
      <c r="Z90" t="str">
        <f t="shared" si="6"/>
        <v>(89,'9894957099706970', '39'),</v>
      </c>
      <c r="AA90" t="str">
        <f t="shared" si="7"/>
        <v>(89),</v>
      </c>
    </row>
    <row r="91" spans="1:27" x14ac:dyDescent="0.25">
      <c r="A91">
        <v>90</v>
      </c>
      <c r="B91" t="s">
        <v>1144</v>
      </c>
      <c r="C91" t="s">
        <v>1145</v>
      </c>
      <c r="D91" t="s">
        <v>1146</v>
      </c>
      <c r="E91" t="s">
        <v>53</v>
      </c>
      <c r="F91" s="7">
        <v>23523</v>
      </c>
      <c r="G91" t="s">
        <v>239</v>
      </c>
      <c r="H91" t="s">
        <v>1147</v>
      </c>
      <c r="I91" t="s">
        <v>211</v>
      </c>
      <c r="J91" t="s">
        <v>3726</v>
      </c>
      <c r="K91" t="s">
        <v>225</v>
      </c>
      <c r="L91" t="s">
        <v>265</v>
      </c>
      <c r="M91" t="s">
        <v>1148</v>
      </c>
      <c r="N91" t="s">
        <v>1149</v>
      </c>
      <c r="O91" t="s">
        <v>1150</v>
      </c>
      <c r="P91" t="s">
        <v>1151</v>
      </c>
      <c r="Q91" t="s">
        <v>1152</v>
      </c>
      <c r="R91" t="str">
        <f t="shared" si="4"/>
        <v>doctor-male.jpg</v>
      </c>
      <c r="S91" s="8">
        <v>6860853336819623</v>
      </c>
      <c r="T91">
        <v>40</v>
      </c>
      <c r="V91" s="6" t="str" cm="1">
        <f t="array" ref="V91">INDEX(Folha1!$C$2:$C$396,W91)</f>
        <v>$2a$10$vvwr1fDF980LYKKq7HsuUuKdDSaZth2Q7fvUa4jV2WLfnoWNpdprW</v>
      </c>
      <c r="W91">
        <f>MATCH(C91,Folha1!$B$2:$B$396,0)</f>
        <v>90</v>
      </c>
      <c r="Y91" t="str">
        <f t="shared" si="5"/>
        <v>(90,'med101', '$2a$10$vvwr1fDF980LYKKq7HsuUuKdDSaZth2Q7fvUa4jV2WLfnoWNpdprW', 'José Tomás Alves Coelho', 'Masculino', '1964-05-26', 'Rua da Oliveira ao Carmo', '1900-643', 'Lisboa', 'Médico', 'Portuguesa', 'Bilhete de Identidade', '39974473', '270075422', '808775453', '937639634', 'med101@hospital.upskill.com', 'doctor-male.jpg'),</v>
      </c>
      <c r="Z91" t="str">
        <f t="shared" si="6"/>
        <v>(90,'6860853336819620', '40'),</v>
      </c>
      <c r="AA91" t="str">
        <f t="shared" si="7"/>
        <v>(90),</v>
      </c>
    </row>
    <row r="92" spans="1:27" x14ac:dyDescent="0.25">
      <c r="A92">
        <v>91</v>
      </c>
      <c r="B92" t="s">
        <v>1153</v>
      </c>
      <c r="C92" t="s">
        <v>1154</v>
      </c>
      <c r="D92" t="s">
        <v>1155</v>
      </c>
      <c r="E92" t="s">
        <v>53</v>
      </c>
      <c r="F92" s="7">
        <v>43571</v>
      </c>
      <c r="G92" t="s">
        <v>234</v>
      </c>
      <c r="H92" t="s">
        <v>1156</v>
      </c>
      <c r="I92" t="s">
        <v>212</v>
      </c>
      <c r="J92" t="s">
        <v>3726</v>
      </c>
      <c r="K92" t="s">
        <v>225</v>
      </c>
      <c r="L92" t="s">
        <v>265</v>
      </c>
      <c r="M92" t="s">
        <v>1157</v>
      </c>
      <c r="N92" t="s">
        <v>1158</v>
      </c>
      <c r="O92" t="s">
        <v>1159</v>
      </c>
      <c r="P92" t="s">
        <v>1160</v>
      </c>
      <c r="Q92" t="s">
        <v>1161</v>
      </c>
      <c r="R92" t="str">
        <f t="shared" si="4"/>
        <v>doctor-male.jpg</v>
      </c>
      <c r="S92" s="8">
        <v>9183301677684982</v>
      </c>
      <c r="T92">
        <v>41</v>
      </c>
      <c r="V92" s="6" t="str" cm="1">
        <f t="array" ref="V92">INDEX(Folha1!$C$2:$C$396,W92)</f>
        <v>$2a$10$tXtXwAsxe6qEXRbrdYbJb.EOEG3dAmNjmFuNkbu8NdwYPGF83bX4C</v>
      </c>
      <c r="W92">
        <f>MATCH(C92,Folha1!$B$2:$B$396,0)</f>
        <v>91</v>
      </c>
      <c r="Y92" t="str">
        <f t="shared" si="5"/>
        <v>(91,'med102', '$2a$10$tXtXwAsxe6qEXRbrdYbJb.EOEG3dAmNjmFuNkbu8NdwYPGF83bX4C', 'Rodrigo Inês Vicente Reis', 'Masculino', '2019-04-16', 'Rua do Instituto Bacteriológico', '2674-168', 'Loures', 'Médico', 'Portuguesa', 'Bilhete de Identidade', '24753334', '140405657', '911377883', '919676765', 'med102@hospital.upskill.com', 'doctor-male.jpg'),</v>
      </c>
      <c r="Z92" t="str">
        <f t="shared" si="6"/>
        <v>(91,'9183301677684980', '41'),</v>
      </c>
      <c r="AA92" t="str">
        <f t="shared" si="7"/>
        <v>(91),</v>
      </c>
    </row>
    <row r="93" spans="1:27" x14ac:dyDescent="0.25">
      <c r="A93">
        <v>92</v>
      </c>
      <c r="B93" t="s">
        <v>1162</v>
      </c>
      <c r="C93" t="s">
        <v>1163</v>
      </c>
      <c r="D93" t="s">
        <v>1164</v>
      </c>
      <c r="E93" t="s">
        <v>66</v>
      </c>
      <c r="F93" s="7">
        <v>35936</v>
      </c>
      <c r="G93" t="s">
        <v>251</v>
      </c>
      <c r="H93" t="s">
        <v>1165</v>
      </c>
      <c r="I93" t="s">
        <v>210</v>
      </c>
      <c r="J93" t="s">
        <v>3726</v>
      </c>
      <c r="K93" t="s">
        <v>225</v>
      </c>
      <c r="L93" t="s">
        <v>265</v>
      </c>
      <c r="M93" t="s">
        <v>1166</v>
      </c>
      <c r="N93" t="s">
        <v>1167</v>
      </c>
      <c r="O93" t="s">
        <v>1168</v>
      </c>
      <c r="P93" t="s">
        <v>1169</v>
      </c>
      <c r="Q93" t="s">
        <v>1170</v>
      </c>
      <c r="R93" t="str">
        <f t="shared" si="4"/>
        <v>doctor-female.jpg</v>
      </c>
      <c r="S93" s="8">
        <v>8850495128859178</v>
      </c>
      <c r="T93">
        <v>42</v>
      </c>
      <c r="V93" s="6" t="str" cm="1">
        <f t="array" ref="V93">INDEX(Folha1!$C$2:$C$396,W93)</f>
        <v>$2a$10$P2xvUS63DlzhV.Qm7O7Zue/VAYRldRZEOJTbTQPcWmPBCrHGHWlB2</v>
      </c>
      <c r="W93">
        <f>MATCH(C93,Folha1!$B$2:$B$396,0)</f>
        <v>92</v>
      </c>
      <c r="Y93" t="str">
        <f t="shared" si="5"/>
        <v>(92,'med103', '$2a$10$P2xvUS63DlzhV.Qm7O7Zue/VAYRldRZEOJTbTQPcWmPBCrHGHWlB2', 'Daniela Tiago Rodrigues Branco', 'Feminino', '1998-05-21', 'Rua do Salitre', '2724-48', 'Amadora', 'Médico', 'Portuguesa', 'Bilhete de Identidade', '40438791', '997276756', '865131182', '960884039', 'med103@hospital.upskill.com', 'doctor-female.jpg'),</v>
      </c>
      <c r="Z93" t="str">
        <f t="shared" si="6"/>
        <v>(92,'8850495128859180', '42'),</v>
      </c>
      <c r="AA93" t="str">
        <f t="shared" si="7"/>
        <v>(92),</v>
      </c>
    </row>
    <row r="94" spans="1:27" x14ac:dyDescent="0.25">
      <c r="A94">
        <v>93</v>
      </c>
      <c r="B94" t="s">
        <v>1171</v>
      </c>
      <c r="C94" t="s">
        <v>1172</v>
      </c>
      <c r="D94" t="s">
        <v>1173</v>
      </c>
      <c r="E94" t="s">
        <v>53</v>
      </c>
      <c r="F94" s="7">
        <v>33299</v>
      </c>
      <c r="G94" t="s">
        <v>247</v>
      </c>
      <c r="H94" t="s">
        <v>1174</v>
      </c>
      <c r="I94" t="s">
        <v>208</v>
      </c>
      <c r="J94" t="s">
        <v>3726</v>
      </c>
      <c r="K94" t="s">
        <v>225</v>
      </c>
      <c r="L94" t="s">
        <v>265</v>
      </c>
      <c r="M94" t="s">
        <v>1175</v>
      </c>
      <c r="N94" t="s">
        <v>1176</v>
      </c>
      <c r="O94" t="s">
        <v>1177</v>
      </c>
      <c r="P94" t="s">
        <v>1178</v>
      </c>
      <c r="Q94" t="s">
        <v>1179</v>
      </c>
      <c r="R94" t="str">
        <f t="shared" si="4"/>
        <v>doctor-male.jpg</v>
      </c>
      <c r="S94" s="8">
        <v>7574127766738494</v>
      </c>
      <c r="T94">
        <v>43</v>
      </c>
      <c r="V94" s="6" t="str" cm="1">
        <f t="array" ref="V94">INDEX(Folha1!$C$2:$C$396,W94)</f>
        <v>$2a$10$hvV1BUoClf5Cu5K3.XHJ1OsXvZcihGGsOaVFXbyanOws7E.vSNfx6</v>
      </c>
      <c r="W94">
        <f>MATCH(C94,Folha1!$B$2:$B$396,0)</f>
        <v>93</v>
      </c>
      <c r="Y94" t="str">
        <f t="shared" si="5"/>
        <v>(93,'med104', '$2a$10$hvV1BUoClf5Cu5K3.XHJ1OsXvZcihGGsOaVFXbyanOws7E.vSNfx6', 'Duarte Inês Gomes Marques', 'Masculino', '1991-03-02', 'Rua Ferreira Lapa', '2914-650', 'Setúbal', 'Médico', 'Portuguesa', 'Bilhete de Identidade', '68349455', '358356102', '457198468', '921917057', 'med104@hospital.upskill.com', 'doctor-male.jpg'),</v>
      </c>
      <c r="Z94" t="str">
        <f t="shared" si="6"/>
        <v>(93,'7574127766738490', '43'),</v>
      </c>
      <c r="AA94" t="str">
        <f t="shared" si="7"/>
        <v>(93),</v>
      </c>
    </row>
    <row r="95" spans="1:27" x14ac:dyDescent="0.25">
      <c r="A95">
        <v>94</v>
      </c>
      <c r="B95" t="s">
        <v>1180</v>
      </c>
      <c r="C95" t="s">
        <v>1181</v>
      </c>
      <c r="D95" t="s">
        <v>1182</v>
      </c>
      <c r="E95" t="s">
        <v>66</v>
      </c>
      <c r="F95" s="7">
        <v>12890</v>
      </c>
      <c r="G95" t="s">
        <v>247</v>
      </c>
      <c r="H95" t="s">
        <v>1183</v>
      </c>
      <c r="I95" t="s">
        <v>211</v>
      </c>
      <c r="J95" t="s">
        <v>3726</v>
      </c>
      <c r="K95" t="s">
        <v>225</v>
      </c>
      <c r="L95" t="s">
        <v>265</v>
      </c>
      <c r="M95" t="s">
        <v>1184</v>
      </c>
      <c r="N95" t="s">
        <v>1185</v>
      </c>
      <c r="O95" t="s">
        <v>1186</v>
      </c>
      <c r="P95" t="s">
        <v>1187</v>
      </c>
      <c r="Q95" t="s">
        <v>1188</v>
      </c>
      <c r="R95" t="str">
        <f t="shared" si="4"/>
        <v>doctor-female.jpg</v>
      </c>
      <c r="S95" s="8">
        <v>6527772685113768</v>
      </c>
      <c r="T95">
        <v>44</v>
      </c>
      <c r="V95" s="6" t="str" cm="1">
        <f t="array" ref="V95">INDEX(Folha1!$C$2:$C$396,W95)</f>
        <v>$2a$10$xajaDk/qhlJ1LEycPerxKO2A/JFeaMEMEqk1OQJScB6oNr9Ao8b.u</v>
      </c>
      <c r="W95">
        <f>MATCH(C95,Folha1!$B$2:$B$396,0)</f>
        <v>94</v>
      </c>
      <c r="Y95" t="str">
        <f t="shared" si="5"/>
        <v>(94,'med105', '$2a$10$xajaDk/qhlJ1LEycPerxKO2A/JFeaMEMEqk1OQJScB6oNr9Ao8b.u', 'Francisca Diana Tavares Nunes', 'Feminino', '1935-04-16', 'Rua Ferreira Lapa', '1249-791', 'Lisboa', 'Médico', 'Portuguesa', 'Bilhete de Identidade', '49162897', '707564723', '576764909', '933504937', 'med105@hospital.upskill.com', 'doctor-female.jpg'),</v>
      </c>
      <c r="Z95" t="str">
        <f t="shared" si="6"/>
        <v>(94,'6527772685113770', '44'),</v>
      </c>
      <c r="AA95" t="str">
        <f t="shared" si="7"/>
        <v>(94),</v>
      </c>
    </row>
    <row r="96" spans="1:27" x14ac:dyDescent="0.25">
      <c r="A96">
        <v>95</v>
      </c>
      <c r="B96" t="s">
        <v>1189</v>
      </c>
      <c r="C96" t="s">
        <v>1190</v>
      </c>
      <c r="D96" t="s">
        <v>1191</v>
      </c>
      <c r="E96" t="s">
        <v>53</v>
      </c>
      <c r="F96" s="7">
        <v>39911</v>
      </c>
      <c r="G96" t="s">
        <v>231</v>
      </c>
      <c r="H96" t="s">
        <v>1192</v>
      </c>
      <c r="I96" t="s">
        <v>205</v>
      </c>
      <c r="J96" t="s">
        <v>3726</v>
      </c>
      <c r="K96" t="s">
        <v>225</v>
      </c>
      <c r="L96" t="s">
        <v>265</v>
      </c>
      <c r="M96" t="s">
        <v>1193</v>
      </c>
      <c r="N96" t="s">
        <v>1194</v>
      </c>
      <c r="O96" t="s">
        <v>1195</v>
      </c>
      <c r="P96" t="s">
        <v>1196</v>
      </c>
      <c r="Q96" t="s">
        <v>1197</v>
      </c>
      <c r="R96" t="str">
        <f t="shared" si="4"/>
        <v>doctor-male.jpg</v>
      </c>
      <c r="S96" s="8">
        <v>6066675782499755</v>
      </c>
      <c r="T96">
        <v>45</v>
      </c>
      <c r="V96" s="6" t="str" cm="1">
        <f t="array" ref="V96">INDEX(Folha1!$C$2:$C$396,W96)</f>
        <v>$2a$10$NBjX3U.4elPJsZS.JMpdZOtLoQXoCJvAjcM3uQz8.6ZOeWQP7l9JG</v>
      </c>
      <c r="W96">
        <f>MATCH(C96,Folha1!$B$2:$B$396,0)</f>
        <v>95</v>
      </c>
      <c r="Y96" t="str">
        <f t="shared" si="5"/>
        <v>(95,'med106', '$2a$10$NBjX3U.4elPJsZS.JMpdZOtLoQXoCJvAjcM3uQz8.6ZOeWQP7l9JG', 'Marco Joana Vicente Paiva', 'Masculino', '2009-04-08', 'Rua dos Fanqueiros', '2004-193', 'Santarém', 'Médico', 'Portuguesa', 'Bilhete de Identidade', '56079530', '907563409', '774541123', '960163443', 'med106@hospital.upskill.com', 'doctor-male.jpg'),</v>
      </c>
      <c r="Z96" t="str">
        <f t="shared" si="6"/>
        <v>(95,'6066675782499750', '45'),</v>
      </c>
      <c r="AA96" t="str">
        <f t="shared" si="7"/>
        <v>(95),</v>
      </c>
    </row>
    <row r="97" spans="1:27" x14ac:dyDescent="0.25">
      <c r="A97">
        <v>96</v>
      </c>
      <c r="B97" t="s">
        <v>1198</v>
      </c>
      <c r="C97" t="s">
        <v>1199</v>
      </c>
      <c r="D97" t="s">
        <v>1200</v>
      </c>
      <c r="E97" t="s">
        <v>53</v>
      </c>
      <c r="F97" s="7">
        <v>24416</v>
      </c>
      <c r="G97" t="s">
        <v>232</v>
      </c>
      <c r="H97" t="s">
        <v>1201</v>
      </c>
      <c r="I97" t="s">
        <v>211</v>
      </c>
      <c r="J97" t="s">
        <v>3726</v>
      </c>
      <c r="K97" t="s">
        <v>225</v>
      </c>
      <c r="L97" t="s">
        <v>265</v>
      </c>
      <c r="M97" t="s">
        <v>1202</v>
      </c>
      <c r="N97" t="s">
        <v>1203</v>
      </c>
      <c r="O97" t="s">
        <v>1204</v>
      </c>
      <c r="P97" t="s">
        <v>1205</v>
      </c>
      <c r="Q97" t="s">
        <v>1206</v>
      </c>
      <c r="R97" t="str">
        <f t="shared" si="4"/>
        <v>doctor-male.jpg</v>
      </c>
      <c r="S97" s="8">
        <v>2586053329618764</v>
      </c>
      <c r="T97">
        <v>46</v>
      </c>
      <c r="V97" s="6" t="str" cm="1">
        <f t="array" ref="V97">INDEX(Folha1!$C$2:$C$396,W97)</f>
        <v>$2a$10$NazZe794lS6fM32LCOxqc.NrlEJqkyCztyMx2OBu2fVsGGv8/caey</v>
      </c>
      <c r="W97">
        <f>MATCH(C97,Folha1!$B$2:$B$396,0)</f>
        <v>96</v>
      </c>
      <c r="Y97" t="str">
        <f t="shared" si="5"/>
        <v>(96,'med107', '$2a$10$NazZe794lS6fM32LCOxqc.NrlEJqkyCztyMx2OBu2fVsGGv8/caey', 'Tiago Matilde Oliveira Silva', 'Masculino', '1966-11-05', 'Rua Garrett', '1949-245', 'Lisboa', 'Médico', 'Portuguesa', 'Bilhete de Identidade', '93599804', '356865821', '252581810', '962950572', 'med107@hospital.upskill.com', 'doctor-male.jpg'),</v>
      </c>
      <c r="Z97" t="str">
        <f t="shared" si="6"/>
        <v>(96,'2586053329618760', '46'),</v>
      </c>
      <c r="AA97" t="str">
        <f t="shared" si="7"/>
        <v>(96),</v>
      </c>
    </row>
    <row r="98" spans="1:27" x14ac:dyDescent="0.25">
      <c r="A98">
        <v>97</v>
      </c>
      <c r="B98" t="s">
        <v>1207</v>
      </c>
      <c r="C98" t="s">
        <v>1208</v>
      </c>
      <c r="D98" t="s">
        <v>1209</v>
      </c>
      <c r="E98" t="s">
        <v>53</v>
      </c>
      <c r="F98" s="7">
        <v>33423</v>
      </c>
      <c r="G98" t="s">
        <v>254</v>
      </c>
      <c r="H98" t="s">
        <v>1210</v>
      </c>
      <c r="I98" t="s">
        <v>208</v>
      </c>
      <c r="J98" t="s">
        <v>3726</v>
      </c>
      <c r="K98" t="s">
        <v>225</v>
      </c>
      <c r="L98" t="s">
        <v>265</v>
      </c>
      <c r="M98" t="s">
        <v>1211</v>
      </c>
      <c r="N98" t="s">
        <v>1212</v>
      </c>
      <c r="O98" t="s">
        <v>1213</v>
      </c>
      <c r="P98" t="s">
        <v>1214</v>
      </c>
      <c r="Q98" t="s">
        <v>1215</v>
      </c>
      <c r="R98" t="str">
        <f t="shared" si="4"/>
        <v>doctor-male.jpg</v>
      </c>
      <c r="S98" s="8">
        <v>6856445165204324</v>
      </c>
      <c r="T98">
        <v>47</v>
      </c>
      <c r="V98" s="6" t="str" cm="1">
        <f t="array" ref="V98">INDEX(Folha1!$C$2:$C$396,W98)</f>
        <v>$2a$10$gnTSROFGwtqxDUgBOFK3VumkzdXfof.K6jakZ2b/Gy7nZtRxC4iD2</v>
      </c>
      <c r="W98">
        <f>MATCH(C98,Folha1!$B$2:$B$396,0)</f>
        <v>97</v>
      </c>
      <c r="Y98" t="str">
        <f t="shared" si="5"/>
        <v>(97,'med108', '$2a$10$gnTSROFGwtqxDUgBOFK3VumkzdXfof.K6jakZ2b/Gy7nZtRxC4iD2', 'Francisco Sofia Brito Pinho', 'Masculino', '1991-07-04', 'Rua do Sacramento à Lapa', '2900-638', 'Setúbal', 'Médico', 'Portuguesa', 'Bilhete de Identidade', '52193687', '700860724', '922491323', '930483292', 'med108@hospital.upskill.com', 'doctor-male.jpg'),</v>
      </c>
      <c r="Z98" t="str">
        <f t="shared" si="6"/>
        <v>(97,'6856445165204320', '47'),</v>
      </c>
      <c r="AA98" t="str">
        <f t="shared" si="7"/>
        <v>(97),</v>
      </c>
    </row>
    <row r="99" spans="1:27" x14ac:dyDescent="0.25">
      <c r="A99">
        <v>98</v>
      </c>
      <c r="B99" t="s">
        <v>1216</v>
      </c>
      <c r="C99" t="s">
        <v>1217</v>
      </c>
      <c r="D99" t="s">
        <v>1218</v>
      </c>
      <c r="E99" t="s">
        <v>66</v>
      </c>
      <c r="F99" s="7">
        <v>9013</v>
      </c>
      <c r="G99" t="s">
        <v>257</v>
      </c>
      <c r="H99" t="s">
        <v>1219</v>
      </c>
      <c r="I99" t="s">
        <v>211</v>
      </c>
      <c r="J99" t="s">
        <v>3726</v>
      </c>
      <c r="K99" t="s">
        <v>225</v>
      </c>
      <c r="L99" t="s">
        <v>265</v>
      </c>
      <c r="M99" t="s">
        <v>1220</v>
      </c>
      <c r="N99" t="s">
        <v>1221</v>
      </c>
      <c r="O99" t="s">
        <v>1222</v>
      </c>
      <c r="P99" t="s">
        <v>1223</v>
      </c>
      <c r="Q99" t="s">
        <v>1224</v>
      </c>
      <c r="R99" t="str">
        <f t="shared" si="4"/>
        <v>doctor-female.jpg</v>
      </c>
      <c r="S99" s="8">
        <v>1327170000611735</v>
      </c>
      <c r="T99">
        <v>48</v>
      </c>
      <c r="V99" s="6" t="str" cm="1">
        <f t="array" ref="V99">INDEX(Folha1!$C$2:$C$396,W99)</f>
        <v>$2a$10$nGBe5eiCJqEb71Ljtnw1DuR/hqtMux374WUFA5RbxZLZAopE5Tlg6</v>
      </c>
      <c r="W99">
        <f>MATCH(C99,Folha1!$B$2:$B$396,0)</f>
        <v>98</v>
      </c>
      <c r="Y99" t="str">
        <f t="shared" si="5"/>
        <v>(98,'med109', '$2a$10$nGBe5eiCJqEb71Ljtnw1DuR/hqtMux374WUFA5RbxZLZAopE5Tlg6', 'Ana Daniela Soares Fernandes', 'Feminino', '1924-09-03', 'Rua do Sol a Santana', '1800-328', 'Lisboa', 'Médico', 'Portuguesa', 'Bilhete de Identidade', '34198329', '286039057', '137746925', '966319136', 'med109@hospital.upskill.com', 'doctor-female.jpg'),</v>
      </c>
      <c r="Z99" t="str">
        <f t="shared" si="6"/>
        <v>(98,'1327170000611730', '48'),</v>
      </c>
      <c r="AA99" t="str">
        <f t="shared" si="7"/>
        <v>(98),</v>
      </c>
    </row>
    <row r="100" spans="1:27" x14ac:dyDescent="0.25">
      <c r="A100">
        <v>99</v>
      </c>
      <c r="B100" t="s">
        <v>1225</v>
      </c>
      <c r="C100" t="s">
        <v>1226</v>
      </c>
      <c r="D100" t="s">
        <v>1227</v>
      </c>
      <c r="E100" t="s">
        <v>53</v>
      </c>
      <c r="F100" s="7">
        <v>34653</v>
      </c>
      <c r="G100" t="s">
        <v>235</v>
      </c>
      <c r="H100" t="s">
        <v>1228</v>
      </c>
      <c r="I100" t="s">
        <v>211</v>
      </c>
      <c r="J100" t="s">
        <v>3726</v>
      </c>
      <c r="K100" t="s">
        <v>225</v>
      </c>
      <c r="L100" t="s">
        <v>265</v>
      </c>
      <c r="M100" t="s">
        <v>1229</v>
      </c>
      <c r="N100" t="s">
        <v>1230</v>
      </c>
      <c r="O100" t="s">
        <v>1231</v>
      </c>
      <c r="P100" t="s">
        <v>1232</v>
      </c>
      <c r="Q100" t="s">
        <v>1233</v>
      </c>
      <c r="R100" t="str">
        <f t="shared" si="4"/>
        <v>doctor-male.jpg</v>
      </c>
      <c r="S100" s="8">
        <v>4748870497157141</v>
      </c>
      <c r="T100">
        <v>49</v>
      </c>
      <c r="V100" s="6" t="str" cm="1">
        <f t="array" ref="V100">INDEX(Folha1!$C$2:$C$396,W100)</f>
        <v>$2a$10$Fi/CryEsGqizrg9FhkJ9x.N6GtDb6F.C.cqSJtaS8qWalP/jMMb/W</v>
      </c>
      <c r="W100">
        <f>MATCH(C100,Folha1!$B$2:$B$396,0)</f>
        <v>99</v>
      </c>
      <c r="Y100" t="str">
        <f t="shared" si="5"/>
        <v>(99,'med110', '$2a$10$Fi/CryEsGqizrg9FhkJ9x.N6GtDb6F.C.cqSJtaS8qWalP/jMMb/W', 'Tiago Marco Amorim Macedo', 'Masculino', '1994-11-15', 'Estrada das Laranjeiras', '1000-161', 'Lisboa', 'Médico', 'Portuguesa', 'Bilhete de Identidade', '98799194', '821817761', '852025432', '922697953', 'med110@hospital.upskill.com', 'doctor-male.jpg'),</v>
      </c>
      <c r="Z100" t="str">
        <f t="shared" si="6"/>
        <v>(99,'4748870497157140', '49'),</v>
      </c>
      <c r="AA100" t="str">
        <f t="shared" si="7"/>
        <v>(99),</v>
      </c>
    </row>
    <row r="101" spans="1:27" x14ac:dyDescent="0.25">
      <c r="A101">
        <v>100</v>
      </c>
      <c r="B101" t="s">
        <v>1234</v>
      </c>
      <c r="C101" t="s">
        <v>1235</v>
      </c>
      <c r="D101" t="s">
        <v>1236</v>
      </c>
      <c r="E101" t="s">
        <v>66</v>
      </c>
      <c r="F101" s="7">
        <v>11305</v>
      </c>
      <c r="G101" t="s">
        <v>247</v>
      </c>
      <c r="H101" t="s">
        <v>1237</v>
      </c>
      <c r="I101" t="s">
        <v>210</v>
      </c>
      <c r="J101" t="s">
        <v>3726</v>
      </c>
      <c r="K101" t="s">
        <v>225</v>
      </c>
      <c r="L101" t="s">
        <v>265</v>
      </c>
      <c r="M101" t="s">
        <v>1238</v>
      </c>
      <c r="N101">
        <v>453617913</v>
      </c>
      <c r="O101" t="s">
        <v>1239</v>
      </c>
      <c r="P101" t="s">
        <v>1240</v>
      </c>
      <c r="Q101" t="s">
        <v>1241</v>
      </c>
      <c r="R101" t="str">
        <f t="shared" si="4"/>
        <v>doctor-female.jpg</v>
      </c>
      <c r="S101" s="8">
        <v>2148940784000872</v>
      </c>
      <c r="T101">
        <v>50</v>
      </c>
      <c r="V101" s="6" t="str" cm="1">
        <f t="array" ref="V101">INDEX(Folha1!$C$2:$C$396,W101)</f>
        <v>$2a$10$TFwIHAo00baPCAVGgUjFuOKJzWWz8D9jm5i7h7FcsjHsR5LzlXLlC</v>
      </c>
      <c r="W101">
        <f>MATCH(C101,Folha1!$B$2:$B$396,0)</f>
        <v>100</v>
      </c>
      <c r="Y101" t="str">
        <f t="shared" si="5"/>
        <v>(100,'med111', '$2a$10$TFwIHAo00baPCAVGgUjFuOKJzWWz8D9jm5i7h7FcsjHsR5LzlXLlC', 'Inês André Lopes Melo', 'Feminino', '1930-12-13', 'Rua Ferreira Lapa', '2650-809', 'Amadora', 'Médico', 'Portuguesa', 'Bilhete de Identidade', '38622674', '453617913', '585711247', '963989015', 'med111@hospital.upskill.com', 'doctor-female.jpg'),</v>
      </c>
      <c r="Z101" t="str">
        <f t="shared" si="6"/>
        <v>(100,'2148940784000870', '50'),</v>
      </c>
      <c r="AA101" t="str">
        <f t="shared" si="7"/>
        <v>(100),</v>
      </c>
    </row>
    <row r="102" spans="1:27" x14ac:dyDescent="0.25">
      <c r="A102">
        <v>101</v>
      </c>
      <c r="B102" t="s">
        <v>1242</v>
      </c>
      <c r="C102" t="s">
        <v>1243</v>
      </c>
      <c r="D102" t="s">
        <v>1244</v>
      </c>
      <c r="E102" t="s">
        <v>66</v>
      </c>
      <c r="F102" s="7">
        <v>13043</v>
      </c>
      <c r="G102" t="s">
        <v>244</v>
      </c>
      <c r="H102" t="s">
        <v>1245</v>
      </c>
      <c r="I102" t="s">
        <v>201</v>
      </c>
      <c r="J102" t="s">
        <v>3726</v>
      </c>
      <c r="K102" t="s">
        <v>225</v>
      </c>
      <c r="L102" t="s">
        <v>265</v>
      </c>
      <c r="M102" t="s">
        <v>1246</v>
      </c>
      <c r="N102" t="s">
        <v>1247</v>
      </c>
      <c r="O102" t="s">
        <v>1248</v>
      </c>
      <c r="P102" t="s">
        <v>1249</v>
      </c>
      <c r="Q102" t="s">
        <v>1250</v>
      </c>
      <c r="R102" t="str">
        <f t="shared" si="4"/>
        <v>doctor-female.jpg</v>
      </c>
      <c r="S102" s="8">
        <v>6975994139011669</v>
      </c>
      <c r="T102">
        <v>1</v>
      </c>
      <c r="V102" s="6" t="str" cm="1">
        <f t="array" ref="V102">INDEX(Folha1!$C$2:$C$396,W102)</f>
        <v>$2a$10$Pf292gpThQApRfsS.tAYs.lEsCm39uPqAbKSX/ZWtGVE6qBZk5dQi</v>
      </c>
      <c r="W102">
        <f>MATCH(C102,Folha1!$B$2:$B$396,0)</f>
        <v>101</v>
      </c>
      <c r="Y102" t="str">
        <f t="shared" si="5"/>
        <v>(101,'med112', '$2a$10$Pf292gpThQApRfsS.tAYs.lEsCm39uPqAbKSX/ZWtGVE6qBZk5dQi', 'Carolina Ana Gomes Torres', 'Feminino', '1935-09-16', 'Rua da Betesga', '2410-812', 'Leiria', 'Médico', 'Portuguesa', 'Bilhete de Identidade', '87438092', '827531424', '606380052', '919969616', 'med112@hospital.upskill.com', 'doctor-female.jpg'),</v>
      </c>
      <c r="Z102" t="str">
        <f t="shared" si="6"/>
        <v>(101,'6975994139011670', '1'),</v>
      </c>
      <c r="AA102" t="str">
        <f t="shared" si="7"/>
        <v>(101),</v>
      </c>
    </row>
    <row r="103" spans="1:27" x14ac:dyDescent="0.25">
      <c r="A103">
        <v>102</v>
      </c>
      <c r="B103" t="s">
        <v>1251</v>
      </c>
      <c r="C103" t="s">
        <v>1252</v>
      </c>
      <c r="D103" t="s">
        <v>1253</v>
      </c>
      <c r="E103" t="s">
        <v>66</v>
      </c>
      <c r="F103" s="7">
        <v>43678</v>
      </c>
      <c r="G103" t="s">
        <v>235</v>
      </c>
      <c r="H103" t="s">
        <v>1254</v>
      </c>
      <c r="I103" t="s">
        <v>208</v>
      </c>
      <c r="J103" t="s">
        <v>3726</v>
      </c>
      <c r="K103" t="s">
        <v>225</v>
      </c>
      <c r="L103" t="s">
        <v>265</v>
      </c>
      <c r="M103" t="s">
        <v>1255</v>
      </c>
      <c r="N103" t="s">
        <v>1256</v>
      </c>
      <c r="O103" t="s">
        <v>1257</v>
      </c>
      <c r="P103" t="s">
        <v>1258</v>
      </c>
      <c r="Q103" t="s">
        <v>1259</v>
      </c>
      <c r="R103" t="str">
        <f t="shared" si="4"/>
        <v>doctor-female.jpg</v>
      </c>
      <c r="S103" s="8">
        <v>8829302095044811</v>
      </c>
      <c r="T103">
        <v>2</v>
      </c>
      <c r="V103" s="6" t="str" cm="1">
        <f t="array" ref="V103">INDEX(Folha1!$C$2:$C$396,W103)</f>
        <v>$2a$10$uAreiRWwhm7Xjyz6l0jkfOZdkzB/8dxoZF/eKfyRK0VX.uVLUq.V2</v>
      </c>
      <c r="W103">
        <f>MATCH(C103,Folha1!$B$2:$B$396,0)</f>
        <v>102</v>
      </c>
      <c r="Y103" t="str">
        <f t="shared" si="5"/>
        <v>(102,'med113', '$2a$10$uAreiRWwhm7Xjyz6l0jkfOZdkzB/8dxoZF/eKfyRK0VX.uVLUq.V2', 'Daniela Lurdes Nunes Miranda', 'Feminino', '2019-08-01', 'Estrada das Laranjeiras', '2904-4', 'Setúbal', 'Médico', 'Portuguesa', 'Bilhete de Identidade', '73977966', '784333504', '400890235', '917497455', 'med113@hospital.upskill.com', 'doctor-female.jpg'),</v>
      </c>
      <c r="Z103" t="str">
        <f t="shared" si="6"/>
        <v>(102,'8829302095044810', '2'),</v>
      </c>
      <c r="AA103" t="str">
        <f t="shared" si="7"/>
        <v>(102),</v>
      </c>
    </row>
    <row r="104" spans="1:27" x14ac:dyDescent="0.25">
      <c r="A104">
        <v>103</v>
      </c>
      <c r="B104" t="s">
        <v>1260</v>
      </c>
      <c r="C104" t="s">
        <v>1261</v>
      </c>
      <c r="D104" t="s">
        <v>1262</v>
      </c>
      <c r="E104" t="s">
        <v>66</v>
      </c>
      <c r="F104" s="7">
        <v>16742</v>
      </c>
      <c r="G104" t="s">
        <v>253</v>
      </c>
      <c r="H104" t="s">
        <v>1263</v>
      </c>
      <c r="I104" t="s">
        <v>201</v>
      </c>
      <c r="J104" t="s">
        <v>3726</v>
      </c>
      <c r="K104" t="s">
        <v>225</v>
      </c>
      <c r="L104" t="s">
        <v>265</v>
      </c>
      <c r="M104" t="s">
        <v>1264</v>
      </c>
      <c r="N104" t="s">
        <v>1265</v>
      </c>
      <c r="O104" t="s">
        <v>1266</v>
      </c>
      <c r="P104" t="s">
        <v>1267</v>
      </c>
      <c r="Q104" t="s">
        <v>1268</v>
      </c>
      <c r="R104" t="str">
        <f t="shared" si="4"/>
        <v>doctor-female.jpg</v>
      </c>
      <c r="S104" s="8">
        <v>3882996706334809</v>
      </c>
      <c r="T104">
        <v>3</v>
      </c>
      <c r="V104" s="6" t="str" cm="1">
        <f t="array" ref="V104">INDEX(Folha1!$C$2:$C$396,W104)</f>
        <v>$2a$10$0DsgdCjnrzhK91aOqroWuubpgYOYKj5Qvbu7xYdzZK5rRbD8KqTTy</v>
      </c>
      <c r="W104">
        <f>MATCH(C104,Folha1!$B$2:$B$396,0)</f>
        <v>103</v>
      </c>
      <c r="Y104" t="str">
        <f t="shared" si="5"/>
        <v>(103,'med114', '$2a$10$0DsgdCjnrzhK91aOqroWuubpgYOYKj5Qvbu7xYdzZK5rRbD8KqTTy', 'Carolina Lurdes Correia Freitas', 'Feminino', '1945-11-01', 'Rua de São Mamede', '2419-237', 'Leiria', 'Médico', 'Portuguesa', 'Bilhete de Identidade', '79266021', '911582490', '569143046', '966927920', 'med114@hospital.upskill.com', 'doctor-female.jpg'),</v>
      </c>
      <c r="Z104" t="str">
        <f t="shared" si="6"/>
        <v>(103,'3882996706334810', '3'),</v>
      </c>
      <c r="AA104" t="str">
        <f t="shared" si="7"/>
        <v>(103),</v>
      </c>
    </row>
    <row r="105" spans="1:27" x14ac:dyDescent="0.25">
      <c r="A105">
        <v>104</v>
      </c>
      <c r="B105" t="s">
        <v>1269</v>
      </c>
      <c r="C105" t="s">
        <v>1270</v>
      </c>
      <c r="D105" t="s">
        <v>1271</v>
      </c>
      <c r="E105" t="s">
        <v>66</v>
      </c>
      <c r="F105" s="7">
        <v>31845</v>
      </c>
      <c r="G105" t="s">
        <v>237</v>
      </c>
      <c r="H105" t="s">
        <v>1272</v>
      </c>
      <c r="I105" t="s">
        <v>208</v>
      </c>
      <c r="J105" t="s">
        <v>3726</v>
      </c>
      <c r="K105" t="s">
        <v>225</v>
      </c>
      <c r="L105" t="s">
        <v>265</v>
      </c>
      <c r="M105" t="s">
        <v>1273</v>
      </c>
      <c r="N105" t="s">
        <v>1274</v>
      </c>
      <c r="O105" t="s">
        <v>1275</v>
      </c>
      <c r="P105" t="s">
        <v>1276</v>
      </c>
      <c r="Q105" t="s">
        <v>1277</v>
      </c>
      <c r="R105" t="str">
        <f t="shared" si="4"/>
        <v>doctor-female.jpg</v>
      </c>
      <c r="S105" s="8">
        <v>7928851517358631</v>
      </c>
      <c r="T105">
        <v>4</v>
      </c>
      <c r="V105" s="6" t="str" cm="1">
        <f t="array" ref="V105">INDEX(Folha1!$C$2:$C$396,W105)</f>
        <v>$2a$10$4zEe2AvRsK/w1.MgUnkff.mbMlHapqQz7n2LKa7RUaS6hb0tqaPAe</v>
      </c>
      <c r="W105">
        <f>MATCH(C105,Folha1!$B$2:$B$396,0)</f>
        <v>104</v>
      </c>
      <c r="Y105" t="str">
        <f t="shared" si="5"/>
        <v>(104,'med115', '$2a$10$4zEe2AvRsK/w1.MgUnkff.mbMlHapqQz7n2LKa7RUaS6hb0tqaPAe', 'Inês Inês Anjos Guerreiro', 'Feminino', '1987-03-09', 'Calçada Marquês de Abrantes', '2904-419', 'Setúbal', 'Médico', 'Portuguesa', 'Bilhete de Identidade', '55709802', '239868479', '514909927', '962854357', 'med115@hospital.upskill.com', 'doctor-female.jpg'),</v>
      </c>
      <c r="Z105" t="str">
        <f t="shared" si="6"/>
        <v>(104,'7928851517358630', '4'),</v>
      </c>
      <c r="AA105" t="str">
        <f t="shared" si="7"/>
        <v>(104),</v>
      </c>
    </row>
    <row r="106" spans="1:27" x14ac:dyDescent="0.25">
      <c r="A106">
        <v>105</v>
      </c>
      <c r="B106" t="s">
        <v>1278</v>
      </c>
      <c r="C106" t="s">
        <v>1279</v>
      </c>
      <c r="D106" t="s">
        <v>1280</v>
      </c>
      <c r="E106" t="s">
        <v>66</v>
      </c>
      <c r="F106" s="7">
        <v>13451</v>
      </c>
      <c r="G106" t="s">
        <v>233</v>
      </c>
      <c r="H106" t="s">
        <v>1281</v>
      </c>
      <c r="I106" t="s">
        <v>213</v>
      </c>
      <c r="J106" t="s">
        <v>3726</v>
      </c>
      <c r="K106" t="s">
        <v>225</v>
      </c>
      <c r="L106" t="s">
        <v>265</v>
      </c>
      <c r="M106" t="s">
        <v>1282</v>
      </c>
      <c r="N106" t="s">
        <v>1283</v>
      </c>
      <c r="O106" t="s">
        <v>1284</v>
      </c>
      <c r="P106" t="s">
        <v>1285</v>
      </c>
      <c r="Q106" t="s">
        <v>1286</v>
      </c>
      <c r="R106" t="str">
        <f t="shared" si="4"/>
        <v>doctor-female.jpg</v>
      </c>
      <c r="S106" s="8">
        <v>6004137692601323</v>
      </c>
      <c r="T106">
        <v>5</v>
      </c>
      <c r="V106" s="6" t="str" cm="1">
        <f t="array" ref="V106">INDEX(Folha1!$C$2:$C$396,W106)</f>
        <v>$2a$10$gODsiiK/KLvergYGtktaC.H17qY2hgSIEglwg5X1FMouxMShfwDB6</v>
      </c>
      <c r="W106">
        <f>MATCH(C106,Folha1!$B$2:$B$396,0)</f>
        <v>105</v>
      </c>
      <c r="Y106" t="str">
        <f t="shared" si="5"/>
        <v>(105,'med116', '$2a$10$gODsiiK/KLvergYGtktaC.H17qY2hgSIEglwg5X1FMouxMShfwDB6', 'Vera Pedro Neves Abreu', 'Feminino', '1936-10-28', 'Rua dos Heróis de Quionga', '2644-314', 'Mafra', 'Médico', 'Portuguesa', 'Bilhete de Identidade', '87211952', '124025999', '738847057', '963167644', 'med116@hospital.upskill.com', 'doctor-female.jpg'),</v>
      </c>
      <c r="Z106" t="str">
        <f t="shared" si="6"/>
        <v>(105,'6004137692601320', '5'),</v>
      </c>
      <c r="AA106" t="str">
        <f t="shared" si="7"/>
        <v>(105),</v>
      </c>
    </row>
    <row r="107" spans="1:27" x14ac:dyDescent="0.25">
      <c r="A107">
        <v>106</v>
      </c>
      <c r="B107" t="s">
        <v>1287</v>
      </c>
      <c r="C107" t="s">
        <v>1288</v>
      </c>
      <c r="D107" t="s">
        <v>1289</v>
      </c>
      <c r="E107" t="s">
        <v>53</v>
      </c>
      <c r="F107" s="7">
        <v>13647</v>
      </c>
      <c r="G107" t="s">
        <v>235</v>
      </c>
      <c r="H107" t="s">
        <v>1290</v>
      </c>
      <c r="I107" t="s">
        <v>221</v>
      </c>
      <c r="J107" t="s">
        <v>3726</v>
      </c>
      <c r="K107" t="s">
        <v>225</v>
      </c>
      <c r="L107" t="s">
        <v>265</v>
      </c>
      <c r="M107" t="s">
        <v>1291</v>
      </c>
      <c r="N107" t="s">
        <v>1292</v>
      </c>
      <c r="O107" t="s">
        <v>1293</v>
      </c>
      <c r="P107" t="s">
        <v>1294</v>
      </c>
      <c r="Q107" t="s">
        <v>1295</v>
      </c>
      <c r="R107" t="str">
        <f t="shared" si="4"/>
        <v>doctor-male.jpg</v>
      </c>
      <c r="S107" s="8">
        <v>5809019142405629</v>
      </c>
      <c r="T107">
        <v>6</v>
      </c>
      <c r="V107" s="6" t="str" cm="1">
        <f t="array" ref="V107">INDEX(Folha1!$C$2:$C$396,W107)</f>
        <v>$2a$10$ylCKORy0XVfax9HUFcYXWOnQ73VE4DWaNFPEbnumM34zvXju0JKTK</v>
      </c>
      <c r="W107">
        <f>MATCH(C107,Folha1!$B$2:$B$396,0)</f>
        <v>106</v>
      </c>
      <c r="Y107" t="str">
        <f t="shared" si="5"/>
        <v>(106,'med117', '$2a$10$ylCKORy0XVfax9HUFcYXWOnQ73VE4DWaNFPEbnumM34zvXju0JKTK', 'Luís Ana Martins Moreira', 'Masculino', '1937-05-12', 'Estrada das Laranjeiras', '2829-11', 'Costa de Caparica', 'Médico', 'Portuguesa', 'Bilhete de Identidade', '36907258', '573768976', '297923926', '915356190', 'med117@hospital.upskill.com', 'doctor-male.jpg'),</v>
      </c>
      <c r="Z107" t="str">
        <f t="shared" si="6"/>
        <v>(106,'5809019142405630', '6'),</v>
      </c>
      <c r="AA107" t="str">
        <f t="shared" si="7"/>
        <v>(106),</v>
      </c>
    </row>
    <row r="108" spans="1:27" x14ac:dyDescent="0.25">
      <c r="A108">
        <v>107</v>
      </c>
      <c r="B108" t="s">
        <v>1296</v>
      </c>
      <c r="C108" t="s">
        <v>1297</v>
      </c>
      <c r="D108" t="s">
        <v>1298</v>
      </c>
      <c r="E108" t="s">
        <v>53</v>
      </c>
      <c r="F108" s="7">
        <v>33045</v>
      </c>
      <c r="G108" t="s">
        <v>237</v>
      </c>
      <c r="H108" t="s">
        <v>1299</v>
      </c>
      <c r="I108" t="s">
        <v>211</v>
      </c>
      <c r="J108" t="s">
        <v>3726</v>
      </c>
      <c r="K108" t="s">
        <v>225</v>
      </c>
      <c r="L108" t="s">
        <v>265</v>
      </c>
      <c r="M108" t="s">
        <v>1300</v>
      </c>
      <c r="N108" t="s">
        <v>1301</v>
      </c>
      <c r="O108" t="s">
        <v>1302</v>
      </c>
      <c r="P108" t="s">
        <v>1303</v>
      </c>
      <c r="Q108" t="s">
        <v>1304</v>
      </c>
      <c r="R108" t="str">
        <f t="shared" si="4"/>
        <v>doctor-male.jpg</v>
      </c>
      <c r="S108" s="8">
        <v>9275233466393504</v>
      </c>
      <c r="T108">
        <v>7</v>
      </c>
      <c r="V108" s="6" t="str" cm="1">
        <f t="array" ref="V108">INDEX(Folha1!$C$2:$C$396,W108)</f>
        <v>$2a$10$PbvoLorLN3wbjMp2xbbYg.K.BbGGHr380eT0eJuC0UB.NDeXx2t7.</v>
      </c>
      <c r="W108">
        <f>MATCH(C108,Folha1!$B$2:$B$396,0)</f>
        <v>107</v>
      </c>
      <c r="Y108" t="str">
        <f t="shared" si="5"/>
        <v>(107,'med118', '$2a$10$PbvoLorLN3wbjMp2xbbYg.K.BbGGHr380eT0eJuC0UB.NDeXx2t7.', 'Tomás Vera Lima Pinto', 'Masculino', '1990-06-21', 'Calçada Marquês de Abrantes', '1100-109', 'Lisboa', 'Médico', 'Portuguesa', 'Bilhete de Identidade', '76350921', '673829753', '804446474', '913856773', 'med118@hospital.upskill.com', 'doctor-male.jpg'),</v>
      </c>
      <c r="Z108" t="str">
        <f t="shared" si="6"/>
        <v>(107,'9275233466393500', '7'),</v>
      </c>
      <c r="AA108" t="str">
        <f t="shared" si="7"/>
        <v>(107),</v>
      </c>
    </row>
    <row r="109" spans="1:27" x14ac:dyDescent="0.25">
      <c r="A109">
        <v>108</v>
      </c>
      <c r="B109" t="s">
        <v>1305</v>
      </c>
      <c r="C109" t="s">
        <v>1306</v>
      </c>
      <c r="D109" t="s">
        <v>1307</v>
      </c>
      <c r="E109" t="s">
        <v>53</v>
      </c>
      <c r="F109" s="7">
        <v>18446</v>
      </c>
      <c r="G109" t="s">
        <v>246</v>
      </c>
      <c r="H109" t="s">
        <v>1308</v>
      </c>
      <c r="I109" t="s">
        <v>211</v>
      </c>
      <c r="J109" t="s">
        <v>3726</v>
      </c>
      <c r="K109" t="s">
        <v>225</v>
      </c>
      <c r="L109" t="s">
        <v>265</v>
      </c>
      <c r="M109" t="s">
        <v>1309</v>
      </c>
      <c r="N109" t="s">
        <v>1310</v>
      </c>
      <c r="O109" t="s">
        <v>1311</v>
      </c>
      <c r="P109" t="s">
        <v>1312</v>
      </c>
      <c r="Q109" t="s">
        <v>1313</v>
      </c>
      <c r="R109" t="str">
        <f t="shared" si="4"/>
        <v>doctor-male.jpg</v>
      </c>
      <c r="S109" s="8">
        <v>3432555783523193</v>
      </c>
      <c r="T109">
        <v>8</v>
      </c>
      <c r="V109" s="6" t="str" cm="1">
        <f t="array" ref="V109">INDEX(Folha1!$C$2:$C$396,W109)</f>
        <v>$2a$10$PrAiQ3FQG17/yTvzewSOOOSwVLIqadNk/rlpo6Yqe2XAtNdpN/8ES</v>
      </c>
      <c r="W109">
        <f>MATCH(C109,Folha1!$B$2:$B$396,0)</f>
        <v>108</v>
      </c>
      <c r="Y109" t="str">
        <f t="shared" si="5"/>
        <v>(108,'med119', '$2a$10$PrAiQ3FQG17/yTvzewSOOOSwVLIqadNk/rlpo6Yqe2XAtNdpN/8ES', 'Gabriel Leonor Nascimento Freitas', 'Masculino', '1950-07-02', 'Rua do Guarda-Mor', '1549-871', 'Lisboa', 'Médico', 'Portuguesa', 'Bilhete de Identidade', '33587122', '423550460', '286945042', '966153829', 'med119@hospital.upskill.com', 'doctor-male.jpg'),</v>
      </c>
      <c r="Z109" t="str">
        <f t="shared" si="6"/>
        <v>(108,'3432555783523190', '8'),</v>
      </c>
      <c r="AA109" t="str">
        <f t="shared" si="7"/>
        <v>(108),</v>
      </c>
    </row>
    <row r="110" spans="1:27" x14ac:dyDescent="0.25">
      <c r="A110">
        <v>109</v>
      </c>
      <c r="B110" t="s">
        <v>1314</v>
      </c>
      <c r="C110" t="s">
        <v>1315</v>
      </c>
      <c r="D110" t="s">
        <v>1316</v>
      </c>
      <c r="E110" t="s">
        <v>66</v>
      </c>
      <c r="F110" s="7">
        <v>28450</v>
      </c>
      <c r="G110" t="s">
        <v>250</v>
      </c>
      <c r="H110" t="s">
        <v>1317</v>
      </c>
      <c r="I110" t="s">
        <v>223</v>
      </c>
      <c r="J110" t="s">
        <v>3726</v>
      </c>
      <c r="K110" t="s">
        <v>225</v>
      </c>
      <c r="L110" t="s">
        <v>265</v>
      </c>
      <c r="M110" t="s">
        <v>1318</v>
      </c>
      <c r="N110" t="s">
        <v>1319</v>
      </c>
      <c r="O110" t="s">
        <v>1320</v>
      </c>
      <c r="P110" t="s">
        <v>1321</v>
      </c>
      <c r="Q110" t="s">
        <v>1322</v>
      </c>
      <c r="R110" t="str">
        <f t="shared" si="4"/>
        <v>doctor-female.jpg</v>
      </c>
      <c r="S110" s="8">
        <v>9058144871249436</v>
      </c>
      <c r="T110">
        <v>9</v>
      </c>
      <c r="V110" s="6" t="str" cm="1">
        <f t="array" ref="V110">INDEX(Folha1!$C$2:$C$396,W110)</f>
        <v>$2a$10$zWyOWwfPFHXIZGUJiodBzOycdLDR4oQNVFxlkIJzATO1D6FT9auaO</v>
      </c>
      <c r="W110">
        <f>MATCH(C110,Folha1!$B$2:$B$396,0)</f>
        <v>109</v>
      </c>
      <c r="Y110" t="str">
        <f t="shared" si="5"/>
        <v>(109,'med120', '$2a$10$zWyOWwfPFHXIZGUJiodBzOycdLDR4oQNVFxlkIJzATO1D6FT9auaO', 'Beatriz Sara Vicente Faria', 'Feminino', '1977-11-21', 'Rua Nova do Almada', '2659-513', 'Ericeira', 'Médico', 'Portuguesa', 'Bilhete de Identidade', '20253622', '409527432', '475414265', '912870314', 'med120@hospital.upskill.com', 'doctor-female.jpg'),</v>
      </c>
      <c r="Z110" t="str">
        <f t="shared" si="6"/>
        <v>(109,'9058144871249440', '9'),</v>
      </c>
      <c r="AA110" t="str">
        <f t="shared" si="7"/>
        <v>(109),</v>
      </c>
    </row>
    <row r="111" spans="1:27" x14ac:dyDescent="0.25">
      <c r="A111">
        <v>110</v>
      </c>
      <c r="B111" t="s">
        <v>1323</v>
      </c>
      <c r="C111" t="s">
        <v>1324</v>
      </c>
      <c r="D111" t="s">
        <v>1325</v>
      </c>
      <c r="E111" t="s">
        <v>53</v>
      </c>
      <c r="F111" s="7">
        <v>42428</v>
      </c>
      <c r="G111" t="s">
        <v>228</v>
      </c>
      <c r="H111" t="s">
        <v>1326</v>
      </c>
      <c r="I111" t="s">
        <v>215</v>
      </c>
      <c r="J111" t="s">
        <v>3726</v>
      </c>
      <c r="K111" t="s">
        <v>225</v>
      </c>
      <c r="L111" t="s">
        <v>265</v>
      </c>
      <c r="M111" t="s">
        <v>1327</v>
      </c>
      <c r="N111" t="s">
        <v>1328</v>
      </c>
      <c r="O111" t="s">
        <v>1329</v>
      </c>
      <c r="P111" t="s">
        <v>1330</v>
      </c>
      <c r="Q111" t="s">
        <v>1331</v>
      </c>
      <c r="R111" t="str">
        <f t="shared" si="4"/>
        <v>doctor-male.jpg</v>
      </c>
      <c r="S111" s="8">
        <v>6158587261424411</v>
      </c>
      <c r="T111">
        <v>10</v>
      </c>
      <c r="V111" s="6" t="str" cm="1">
        <f t="array" ref="V111">INDEX(Folha1!$C$2:$C$396,W111)</f>
        <v>$2a$10$comGkZm8PHEwFIAvUtZGG.nV9W93k1uTXzNMjwZ9nJHc3LKQ.ad3y</v>
      </c>
      <c r="W111">
        <f>MATCH(C111,Folha1!$B$2:$B$396,0)</f>
        <v>110</v>
      </c>
      <c r="Y111" t="str">
        <f t="shared" si="5"/>
        <v>(110,'med121', '$2a$10$comGkZm8PHEwFIAvUtZGG.nV9W93k1uTXzNMjwZ9nJHc3LKQ.ad3y', 'Francisco Tomás Amorim Campos', 'Masculino', '2016-02-28', 'Calçada de Carriche', '2780-195', 'Oeiras', 'Médico', 'Portuguesa', 'Bilhete de Identidade', '33863764', '339226352', '680060814', '918814050', 'med121@hospital.upskill.com', 'doctor-male.jpg'),</v>
      </c>
      <c r="Z111" t="str">
        <f t="shared" si="6"/>
        <v>(110,'6158587261424410', '10'),</v>
      </c>
      <c r="AA111" t="str">
        <f t="shared" si="7"/>
        <v>(110),</v>
      </c>
    </row>
    <row r="112" spans="1:27" x14ac:dyDescent="0.25">
      <c r="A112">
        <v>111</v>
      </c>
      <c r="B112" t="s">
        <v>1332</v>
      </c>
      <c r="C112" t="s">
        <v>1333</v>
      </c>
      <c r="D112" t="s">
        <v>1334</v>
      </c>
      <c r="E112" t="s">
        <v>66</v>
      </c>
      <c r="F112" s="7">
        <v>43463</v>
      </c>
      <c r="G112" t="s">
        <v>249</v>
      </c>
      <c r="H112" t="s">
        <v>1335</v>
      </c>
      <c r="I112" t="s">
        <v>216</v>
      </c>
      <c r="J112" t="s">
        <v>3726</v>
      </c>
      <c r="K112" t="s">
        <v>225</v>
      </c>
      <c r="L112" t="s">
        <v>265</v>
      </c>
      <c r="M112" t="s">
        <v>1336</v>
      </c>
      <c r="N112" t="s">
        <v>1337</v>
      </c>
      <c r="O112" t="s">
        <v>1338</v>
      </c>
      <c r="P112" t="s">
        <v>1339</v>
      </c>
      <c r="Q112" t="s">
        <v>1340</v>
      </c>
      <c r="R112" t="str">
        <f t="shared" si="4"/>
        <v>doctor-female.jpg</v>
      </c>
      <c r="S112" s="8">
        <v>9970520876756936</v>
      </c>
      <c r="T112">
        <v>11</v>
      </c>
      <c r="V112" s="6" t="str" cm="1">
        <f t="array" ref="V112">INDEX(Folha1!$C$2:$C$396,W112)</f>
        <v>$2a$10$qK1eG6tRo35jKZc5gdzjYO1rkg7CYwO3JX82JScdJNGskffxrR/u6</v>
      </c>
      <c r="W112">
        <f>MATCH(C112,Folha1!$B$2:$B$396,0)</f>
        <v>111</v>
      </c>
      <c r="Y112" t="str">
        <f t="shared" si="5"/>
        <v>(111,'med122', '$2a$10$qK1eG6tRo35jKZc5gdzjYO1rkg7CYwO3JX82JScdJNGskffxrR/u6', 'Beatriz Leonor Cardoso Guerreiro', 'Feminino', '2018-12-29', 'Rua Júlio César Machado', '2834-362', 'Barreiro', 'Médico', 'Portuguesa', 'Bilhete de Identidade', '84876504', '199628606', '769279931', '936533090', 'med122@hospital.upskill.com', 'doctor-female.jpg'),</v>
      </c>
      <c r="Z112" t="str">
        <f t="shared" si="6"/>
        <v>(111,'9970520876756940', '11'),</v>
      </c>
      <c r="AA112" t="str">
        <f t="shared" si="7"/>
        <v>(111),</v>
      </c>
    </row>
    <row r="113" spans="1:27" x14ac:dyDescent="0.25">
      <c r="A113">
        <v>112</v>
      </c>
      <c r="B113" t="s">
        <v>1341</v>
      </c>
      <c r="C113" t="s">
        <v>1342</v>
      </c>
      <c r="D113" t="s">
        <v>1343</v>
      </c>
      <c r="E113" t="s">
        <v>53</v>
      </c>
      <c r="F113" s="7">
        <v>8971</v>
      </c>
      <c r="G113" t="s">
        <v>262</v>
      </c>
      <c r="H113" t="s">
        <v>1344</v>
      </c>
      <c r="I113" t="s">
        <v>211</v>
      </c>
      <c r="J113" t="s">
        <v>3726</v>
      </c>
      <c r="K113" t="s">
        <v>225</v>
      </c>
      <c r="L113" t="s">
        <v>265</v>
      </c>
      <c r="M113" t="s">
        <v>1345</v>
      </c>
      <c r="N113" t="s">
        <v>1346</v>
      </c>
      <c r="O113" t="s">
        <v>1347</v>
      </c>
      <c r="P113" t="s">
        <v>1348</v>
      </c>
      <c r="Q113" t="s">
        <v>1349</v>
      </c>
      <c r="R113" t="str">
        <f t="shared" si="4"/>
        <v>doctor-male.jpg</v>
      </c>
      <c r="S113" s="8">
        <v>6459014582732513</v>
      </c>
      <c r="T113">
        <v>12</v>
      </c>
      <c r="V113" s="6" t="str" cm="1">
        <f t="array" ref="V113">INDEX(Folha1!$C$2:$C$396,W113)</f>
        <v>$2a$10$wtFqn8SUk.EttBt84jCcYOVv64X6XbuNEZJkABfY2XvBFqGzxTOHK</v>
      </c>
      <c r="W113">
        <f>MATCH(C113,Folha1!$B$2:$B$396,0)</f>
        <v>112</v>
      </c>
      <c r="Y113" t="str">
        <f t="shared" si="5"/>
        <v>(112,'med123', '$2a$10$wtFqn8SUk.EttBt84jCcYOVv64X6XbuNEZJkABfY2XvBFqGzxTOHK', 'André André Cruz Macedo', 'Masculino', '1924-07-23', 'Estrada Militar', '1069-757', 'Lisboa', 'Médico', 'Portuguesa', 'Bilhete de Identidade', '51051662', '229516489', '478204972', '929440137', 'med123@hospital.upskill.com', 'doctor-male.jpg'),</v>
      </c>
      <c r="Z113" t="str">
        <f t="shared" si="6"/>
        <v>(112,'6459014582732510', '12'),</v>
      </c>
      <c r="AA113" t="str">
        <f t="shared" si="7"/>
        <v>(112),</v>
      </c>
    </row>
    <row r="114" spans="1:27" x14ac:dyDescent="0.25">
      <c r="A114">
        <v>113</v>
      </c>
      <c r="B114" t="s">
        <v>1350</v>
      </c>
      <c r="C114" t="s">
        <v>1351</v>
      </c>
      <c r="D114" t="s">
        <v>1352</v>
      </c>
      <c r="E114" t="s">
        <v>53</v>
      </c>
      <c r="F114" s="7">
        <v>13497</v>
      </c>
      <c r="G114" t="s">
        <v>255</v>
      </c>
      <c r="H114" t="s">
        <v>1353</v>
      </c>
      <c r="I114" t="s">
        <v>211</v>
      </c>
      <c r="J114" t="s">
        <v>3726</v>
      </c>
      <c r="K114" t="s">
        <v>225</v>
      </c>
      <c r="L114" t="s">
        <v>265</v>
      </c>
      <c r="M114" t="s">
        <v>1354</v>
      </c>
      <c r="N114" t="s">
        <v>1355</v>
      </c>
      <c r="O114" t="s">
        <v>1356</v>
      </c>
      <c r="P114" t="s">
        <v>1357</v>
      </c>
      <c r="Q114" t="s">
        <v>1358</v>
      </c>
      <c r="R114" t="str">
        <f t="shared" si="4"/>
        <v>doctor-male.jpg</v>
      </c>
      <c r="S114" s="8">
        <v>5753028639765507</v>
      </c>
      <c r="T114">
        <v>13</v>
      </c>
      <c r="V114" s="6" t="str" cm="1">
        <f t="array" ref="V114">INDEX(Folha1!$C$2:$C$396,W114)</f>
        <v>$2a$10$IzkZtUGfihkjUTQurh/xHul/kflMIM4gFAvRGtT1FU1vRN0MPYRpa</v>
      </c>
      <c r="W114">
        <f>MATCH(C114,Folha1!$B$2:$B$396,0)</f>
        <v>113</v>
      </c>
      <c r="Y114" t="str">
        <f t="shared" si="5"/>
        <v>(113,'med124', '$2a$10$IzkZtUGfihkjUTQurh/xHul/kflMIM4gFAvRGtT1FU1vRN0MPYRpa', 'André Francisco Amorim Pinheiro', 'Masculino', '1936-12-13', 'Rua de São Bento', '1549-14', 'Lisboa', 'Médico', 'Portuguesa', 'Bilhete de Identidade', '61959585', '220210708', '276123553', '964571750', 'med124@hospital.upskill.com', 'doctor-male.jpg'),</v>
      </c>
      <c r="Z114" t="str">
        <f t="shared" si="6"/>
        <v>(113,'5753028639765510', '13'),</v>
      </c>
      <c r="AA114" t="str">
        <f t="shared" si="7"/>
        <v>(113),</v>
      </c>
    </row>
    <row r="115" spans="1:27" x14ac:dyDescent="0.25">
      <c r="A115">
        <v>114</v>
      </c>
      <c r="B115" t="s">
        <v>1359</v>
      </c>
      <c r="C115" t="s">
        <v>1360</v>
      </c>
      <c r="D115" t="s">
        <v>1361</v>
      </c>
      <c r="E115" t="s">
        <v>53</v>
      </c>
      <c r="F115" s="7">
        <v>25240</v>
      </c>
      <c r="G115" t="s">
        <v>248</v>
      </c>
      <c r="H115" t="s">
        <v>1362</v>
      </c>
      <c r="I115" t="s">
        <v>214</v>
      </c>
      <c r="J115" t="s">
        <v>3726</v>
      </c>
      <c r="K115" t="s">
        <v>225</v>
      </c>
      <c r="L115" t="s">
        <v>265</v>
      </c>
      <c r="M115" t="s">
        <v>1363</v>
      </c>
      <c r="N115" t="s">
        <v>1364</v>
      </c>
      <c r="O115" t="s">
        <v>1365</v>
      </c>
      <c r="P115" t="s">
        <v>1366</v>
      </c>
      <c r="Q115" t="s">
        <v>1367</v>
      </c>
      <c r="R115" t="str">
        <f t="shared" si="4"/>
        <v>doctor-male.jpg</v>
      </c>
      <c r="S115" s="8">
        <v>1443663922117829</v>
      </c>
      <c r="T115">
        <v>14</v>
      </c>
      <c r="V115" s="6" t="str" cm="1">
        <f t="array" ref="V115">INDEX(Folha1!$C$2:$C$396,W115)</f>
        <v>$2a$10$bgOYJQZJOk94aJVFsztDs.iAX7yUt2xvRU0fVdD3Kdxc4N82VUigW</v>
      </c>
      <c r="W115">
        <f>MATCH(C115,Folha1!$B$2:$B$396,0)</f>
        <v>114</v>
      </c>
      <c r="Y115" t="str">
        <f t="shared" si="5"/>
        <v>(114,'med125', '$2a$10$bgOYJQZJOk94aJVFsztDs.iAX7yUt2xvRU0fVdD3Kdxc4N82VUigW', 'Tomás Luís Garcia Jesus', 'Masculino', '1969-02-06', 'Rua General Morais Sarmento', '2870-730', 'Montijo', 'Médico', 'Portuguesa', 'Bilhete de Identidade', '10334328', '258335952', '624684238', '916600750', 'med125@hospital.upskill.com', 'doctor-male.jpg'),</v>
      </c>
      <c r="Z115" t="str">
        <f t="shared" si="6"/>
        <v>(114,'1443663922117830', '14'),</v>
      </c>
      <c r="AA115" t="str">
        <f t="shared" si="7"/>
        <v>(114),</v>
      </c>
    </row>
    <row r="116" spans="1:27" x14ac:dyDescent="0.25">
      <c r="A116">
        <v>115</v>
      </c>
      <c r="B116" t="s">
        <v>1368</v>
      </c>
      <c r="C116" t="s">
        <v>1369</v>
      </c>
      <c r="D116" t="s">
        <v>1370</v>
      </c>
      <c r="E116" t="s">
        <v>66</v>
      </c>
      <c r="F116" s="7">
        <v>16827</v>
      </c>
      <c r="G116" t="s">
        <v>260</v>
      </c>
      <c r="H116" t="s">
        <v>1371</v>
      </c>
      <c r="I116" t="s">
        <v>211</v>
      </c>
      <c r="J116" t="s">
        <v>3726</v>
      </c>
      <c r="K116" t="s">
        <v>225</v>
      </c>
      <c r="L116" t="s">
        <v>265</v>
      </c>
      <c r="M116" t="s">
        <v>1372</v>
      </c>
      <c r="N116" t="s">
        <v>1373</v>
      </c>
      <c r="O116" t="s">
        <v>1374</v>
      </c>
      <c r="P116" t="s">
        <v>1375</v>
      </c>
      <c r="Q116" t="s">
        <v>1376</v>
      </c>
      <c r="R116" t="str">
        <f t="shared" si="4"/>
        <v>doctor-female.jpg</v>
      </c>
      <c r="S116" s="8">
        <v>7289007691712305</v>
      </c>
      <c r="T116">
        <v>15</v>
      </c>
      <c r="V116" s="6" t="str" cm="1">
        <f t="array" ref="V116">INDEX(Folha1!$C$2:$C$396,W116)</f>
        <v>$2a$10$1aXpzaS3qmDHoUlMw6C/KO0bLwgGJ4T72D0Yw/4kL35b7TMpUR7vu</v>
      </c>
      <c r="W116">
        <f>MATCH(C116,Folha1!$B$2:$B$396,0)</f>
        <v>115</v>
      </c>
      <c r="Y116" t="str">
        <f t="shared" si="5"/>
        <v>(115,'med126', '$2a$10$1aXpzaS3qmDHoUlMw6C/KO0bLwgGJ4T72D0Yw/4kL35b7TMpUR7vu', 'Lurdes José Abreu Melo', 'Feminino', '1946-01-25', 'Rua Augusta', '1950-302', 'Lisboa', 'Médico', 'Portuguesa', 'Bilhete de Identidade', '57658946', '255738176', '390991642', '934965985', 'med126@hospital.upskill.com', 'doctor-female.jpg'),</v>
      </c>
      <c r="Z116" t="str">
        <f t="shared" si="6"/>
        <v>(115,'7289007691712300', '15'),</v>
      </c>
      <c r="AA116" t="str">
        <f t="shared" si="7"/>
        <v>(115),</v>
      </c>
    </row>
    <row r="117" spans="1:27" x14ac:dyDescent="0.25">
      <c r="A117">
        <v>116</v>
      </c>
      <c r="B117" t="s">
        <v>1377</v>
      </c>
      <c r="C117" t="s">
        <v>1378</v>
      </c>
      <c r="D117" t="s">
        <v>1379</v>
      </c>
      <c r="E117" t="s">
        <v>66</v>
      </c>
      <c r="F117" s="7">
        <v>14246</v>
      </c>
      <c r="G117" t="s">
        <v>246</v>
      </c>
      <c r="H117" t="s">
        <v>1380</v>
      </c>
      <c r="I117" t="s">
        <v>211</v>
      </c>
      <c r="J117" t="s">
        <v>3726</v>
      </c>
      <c r="K117" t="s">
        <v>225</v>
      </c>
      <c r="L117" t="s">
        <v>265</v>
      </c>
      <c r="M117" t="s">
        <v>1381</v>
      </c>
      <c r="N117" t="s">
        <v>1382</v>
      </c>
      <c r="O117" t="s">
        <v>1383</v>
      </c>
      <c r="P117" t="s">
        <v>1384</v>
      </c>
      <c r="Q117" t="s">
        <v>1385</v>
      </c>
      <c r="R117" t="str">
        <f t="shared" si="4"/>
        <v>doctor-female.jpg</v>
      </c>
      <c r="S117" s="8">
        <v>4676116266235551</v>
      </c>
      <c r="T117">
        <v>16</v>
      </c>
      <c r="V117" s="6" t="str" cm="1">
        <f t="array" ref="V117">INDEX(Folha1!$C$2:$C$396,W117)</f>
        <v>$2a$10$ACRRQhwCQZ7X9IakiVcdteFz2E5oJlBBfKBGimjmr6zp08GhIhRJ6</v>
      </c>
      <c r="W117">
        <f>MATCH(C117,Folha1!$B$2:$B$396,0)</f>
        <v>116</v>
      </c>
      <c r="Y117" t="str">
        <f t="shared" si="5"/>
        <v>(116,'med127', '$2a$10$ACRRQhwCQZ7X9IakiVcdteFz2E5oJlBBfKBGimjmr6zp08GhIhRJ6', 'Sara Ana Pacheco Lima', 'Feminino', '1939-01-01', 'Rua do Guarda-Mor', '1049-22', 'Lisboa', 'Médico', 'Portuguesa', 'Bilhete de Identidade', '65860807', '653483171', '151257909', '927864106', 'med127@hospital.upskill.com', 'doctor-female.jpg'),</v>
      </c>
      <c r="Z117" t="str">
        <f t="shared" si="6"/>
        <v>(116,'4676116266235550', '16'),</v>
      </c>
      <c r="AA117" t="str">
        <f t="shared" si="7"/>
        <v>(116),</v>
      </c>
    </row>
    <row r="118" spans="1:27" x14ac:dyDescent="0.25">
      <c r="A118">
        <v>117</v>
      </c>
      <c r="B118" t="s">
        <v>1386</v>
      </c>
      <c r="C118" t="s">
        <v>1387</v>
      </c>
      <c r="D118" t="s">
        <v>1388</v>
      </c>
      <c r="E118" t="s">
        <v>53</v>
      </c>
      <c r="F118" s="7">
        <v>43342</v>
      </c>
      <c r="G118" t="s">
        <v>255</v>
      </c>
      <c r="H118" t="s">
        <v>1389</v>
      </c>
      <c r="I118" t="s">
        <v>211</v>
      </c>
      <c r="J118" t="s">
        <v>3726</v>
      </c>
      <c r="K118" t="s">
        <v>225</v>
      </c>
      <c r="L118" t="s">
        <v>265</v>
      </c>
      <c r="M118" t="s">
        <v>1390</v>
      </c>
      <c r="N118" t="s">
        <v>1391</v>
      </c>
      <c r="O118" t="s">
        <v>1392</v>
      </c>
      <c r="P118" t="s">
        <v>1393</v>
      </c>
      <c r="Q118" t="s">
        <v>1394</v>
      </c>
      <c r="R118" t="str">
        <f t="shared" si="4"/>
        <v>doctor-male.jpg</v>
      </c>
      <c r="S118" s="8">
        <v>3300193842935513</v>
      </c>
      <c r="T118">
        <v>17</v>
      </c>
      <c r="V118" s="6" t="str" cm="1">
        <f t="array" ref="V118">INDEX(Folha1!$C$2:$C$396,W118)</f>
        <v>$2a$10$23szui.4LsLco3WvBilnj.C01hEPmvugQLcX.iNZ3I42WEAGxnFZ6</v>
      </c>
      <c r="W118">
        <f>MATCH(C118,Folha1!$B$2:$B$396,0)</f>
        <v>117</v>
      </c>
      <c r="Y118" t="str">
        <f t="shared" si="5"/>
        <v>(117,'med128', '$2a$10$23szui.4LsLco3WvBilnj.C01hEPmvugQLcX.iNZ3I42WEAGxnFZ6', 'André Lurdes Macedo Loureiro', 'Masculino', '2018-08-30', 'Rua de São Bento', '1349-962', 'Lisboa', 'Médico', 'Portuguesa', 'Bilhete de Identidade', '99083739', '690867620', '169088328', '929411356', 'med128@hospital.upskill.com', 'doctor-male.jpg'),</v>
      </c>
      <c r="Z118" t="str">
        <f t="shared" si="6"/>
        <v>(117,'3300193842935510', '17'),</v>
      </c>
      <c r="AA118" t="str">
        <f t="shared" si="7"/>
        <v>(117),</v>
      </c>
    </row>
    <row r="119" spans="1:27" x14ac:dyDescent="0.25">
      <c r="A119">
        <v>118</v>
      </c>
      <c r="B119" t="s">
        <v>1395</v>
      </c>
      <c r="C119" t="s">
        <v>1396</v>
      </c>
      <c r="D119" t="s">
        <v>1397</v>
      </c>
      <c r="E119" t="s">
        <v>66</v>
      </c>
      <c r="F119" s="7">
        <v>37343</v>
      </c>
      <c r="G119" t="s">
        <v>227</v>
      </c>
      <c r="H119" t="s">
        <v>1398</v>
      </c>
      <c r="I119" t="s">
        <v>218</v>
      </c>
      <c r="J119" t="s">
        <v>3726</v>
      </c>
      <c r="K119" t="s">
        <v>225</v>
      </c>
      <c r="L119" t="s">
        <v>265</v>
      </c>
      <c r="M119" t="s">
        <v>1399</v>
      </c>
      <c r="N119" t="s">
        <v>1400</v>
      </c>
      <c r="O119" t="s">
        <v>1401</v>
      </c>
      <c r="P119" t="s">
        <v>1402</v>
      </c>
      <c r="Q119" t="s">
        <v>1403</v>
      </c>
      <c r="R119" t="str">
        <f t="shared" si="4"/>
        <v>doctor-female.jpg</v>
      </c>
      <c r="S119" s="8">
        <v>9816663640948460</v>
      </c>
      <c r="T119">
        <v>18</v>
      </c>
      <c r="V119" s="6" t="str" cm="1">
        <f t="array" ref="V119">INDEX(Folha1!$C$2:$C$396,W119)</f>
        <v>$2a$10$7WZWMUNXtJv83mqyiWG5EOLLVDvY2LTs2Kw3nSH76EQXwY/XxxTCu</v>
      </c>
      <c r="W119">
        <f>MATCH(C119,Folha1!$B$2:$B$396,0)</f>
        <v>118</v>
      </c>
      <c r="Y119" t="str">
        <f t="shared" si="5"/>
        <v>(118,'med129', '$2a$10$7WZWMUNXtJv83mqyiWG5EOLLVDvY2LTs2Kw3nSH76EQXwY/XxxTCu', 'Mariana Rodrigo Lima Pinto', 'Feminino', '2002-03-28', 'Rua dos Bacalhoeiros', '2779-811', 'Carcavelos', 'Médico', 'Portuguesa', 'Bilhete de Identidade', '47724584', '789703854', '687357988', '960485999', 'med129@hospital.upskill.com', 'doctor-female.jpg'),</v>
      </c>
      <c r="Z119" t="str">
        <f t="shared" si="6"/>
        <v>(118,'9816663640948460', '18'),</v>
      </c>
      <c r="AA119" t="str">
        <f t="shared" si="7"/>
        <v>(118),</v>
      </c>
    </row>
    <row r="120" spans="1:27" x14ac:dyDescent="0.25">
      <c r="A120">
        <v>119</v>
      </c>
      <c r="B120" t="s">
        <v>1404</v>
      </c>
      <c r="C120" t="s">
        <v>1405</v>
      </c>
      <c r="D120" t="s">
        <v>1406</v>
      </c>
      <c r="E120" t="s">
        <v>53</v>
      </c>
      <c r="F120" s="7">
        <v>35503</v>
      </c>
      <c r="G120" t="s">
        <v>246</v>
      </c>
      <c r="H120" t="s">
        <v>1407</v>
      </c>
      <c r="I120" t="s">
        <v>221</v>
      </c>
      <c r="J120" t="s">
        <v>3726</v>
      </c>
      <c r="K120" t="s">
        <v>225</v>
      </c>
      <c r="L120" t="s">
        <v>265</v>
      </c>
      <c r="M120" t="s">
        <v>1408</v>
      </c>
      <c r="N120" t="s">
        <v>1409</v>
      </c>
      <c r="O120" t="s">
        <v>1410</v>
      </c>
      <c r="P120" t="s">
        <v>1411</v>
      </c>
      <c r="Q120" t="s">
        <v>1412</v>
      </c>
      <c r="R120" t="str">
        <f t="shared" si="4"/>
        <v>doctor-male.jpg</v>
      </c>
      <c r="S120" s="8">
        <v>4331600013023350</v>
      </c>
      <c r="T120">
        <v>19</v>
      </c>
      <c r="V120" s="6" t="str" cm="1">
        <f t="array" ref="V120">INDEX(Folha1!$C$2:$C$396,W120)</f>
        <v>$2a$10$aYqTiBcb9ixl1sf53NDI0Oe2m7j/aBI2bS9jTrf5RzDmoImb3iSbC</v>
      </c>
      <c r="W120">
        <f>MATCH(C120,Folha1!$B$2:$B$396,0)</f>
        <v>119</v>
      </c>
      <c r="Y120" t="str">
        <f t="shared" si="5"/>
        <v>(119,'med130', '$2a$10$aYqTiBcb9ixl1sf53NDI0Oe2m7j/aBI2bS9jTrf5RzDmoImb3iSbC', 'Ricardo Martim Jesus Valente', 'Masculino', '1997-03-14', 'Rua do Guarda-Mor', '2825-78', 'Costa de Caparica', 'Médico', 'Portuguesa', 'Bilhete de Identidade', '73134353', '216215068', '846698606', '938254076', 'med130@hospital.upskill.com', 'doctor-male.jpg'),</v>
      </c>
      <c r="Z120" t="str">
        <f t="shared" si="6"/>
        <v>(119,'4331600013023350', '19'),</v>
      </c>
      <c r="AA120" t="str">
        <f t="shared" si="7"/>
        <v>(119),</v>
      </c>
    </row>
    <row r="121" spans="1:27" x14ac:dyDescent="0.25">
      <c r="A121">
        <v>120</v>
      </c>
      <c r="B121" t="s">
        <v>1413</v>
      </c>
      <c r="C121" t="s">
        <v>1414</v>
      </c>
      <c r="D121" t="s">
        <v>1415</v>
      </c>
      <c r="E121" t="s">
        <v>53</v>
      </c>
      <c r="F121" s="7">
        <v>10487</v>
      </c>
      <c r="G121" t="s">
        <v>237</v>
      </c>
      <c r="H121" t="s">
        <v>1416</v>
      </c>
      <c r="I121" t="s">
        <v>211</v>
      </c>
      <c r="J121" t="s">
        <v>3726</v>
      </c>
      <c r="K121" t="s">
        <v>225</v>
      </c>
      <c r="L121" t="s">
        <v>265</v>
      </c>
      <c r="M121" t="s">
        <v>1417</v>
      </c>
      <c r="N121" t="s">
        <v>1418</v>
      </c>
      <c r="O121" t="s">
        <v>1419</v>
      </c>
      <c r="P121" t="s">
        <v>1420</v>
      </c>
      <c r="Q121" t="s">
        <v>1421</v>
      </c>
      <c r="R121" t="str">
        <f t="shared" si="4"/>
        <v>doctor-male.jpg</v>
      </c>
      <c r="S121" s="8">
        <v>6284401151236724</v>
      </c>
      <c r="T121">
        <v>20</v>
      </c>
      <c r="V121" s="6" t="str" cm="1">
        <f t="array" ref="V121">INDEX(Folha1!$C$2:$C$396,W121)</f>
        <v>$2a$10$yemJXroD0BX9GaISJR9iD.Hp/lHcQqfgNAHeDVp3Pp5KuNqoUCXHW</v>
      </c>
      <c r="W121">
        <f>MATCH(C121,Folha1!$B$2:$B$396,0)</f>
        <v>120</v>
      </c>
      <c r="Y121" t="str">
        <f t="shared" si="5"/>
        <v>(120,'med131', '$2a$10$yemJXroD0BX9GaISJR9iD.Hp/lHcQqfgNAHeDVp3Pp5KuNqoUCXHW', 'Miguel Beatriz Miranda Reis', 'Masculino', '1928-09-16', 'Calçada Marquês de Abrantes', '1959-569', 'Lisboa', 'Médico', 'Portuguesa', 'Bilhete de Identidade', '75775786', '896075677', '256381116', '916862458', 'med131@hospital.upskill.com', 'doctor-male.jpg'),</v>
      </c>
      <c r="Z121" t="str">
        <f t="shared" si="6"/>
        <v>(120,'6284401151236720', '20'),</v>
      </c>
      <c r="AA121" t="str">
        <f t="shared" si="7"/>
        <v>(120),</v>
      </c>
    </row>
    <row r="122" spans="1:27" x14ac:dyDescent="0.25">
      <c r="A122">
        <v>121</v>
      </c>
      <c r="B122" t="s">
        <v>1422</v>
      </c>
      <c r="C122" t="s">
        <v>1423</v>
      </c>
      <c r="D122" t="s">
        <v>1424</v>
      </c>
      <c r="E122" t="s">
        <v>66</v>
      </c>
      <c r="F122" s="7">
        <v>20453</v>
      </c>
      <c r="G122" t="s">
        <v>260</v>
      </c>
      <c r="H122" t="s">
        <v>1425</v>
      </c>
      <c r="I122" t="s">
        <v>211</v>
      </c>
      <c r="J122" t="s">
        <v>3726</v>
      </c>
      <c r="K122" t="s">
        <v>225</v>
      </c>
      <c r="L122" t="s">
        <v>265</v>
      </c>
      <c r="M122" t="s">
        <v>1426</v>
      </c>
      <c r="N122" t="s">
        <v>1427</v>
      </c>
      <c r="O122" t="s">
        <v>1428</v>
      </c>
      <c r="P122" t="s">
        <v>1429</v>
      </c>
      <c r="Q122" t="s">
        <v>1430</v>
      </c>
      <c r="R122" t="str">
        <f t="shared" si="4"/>
        <v>doctor-female.jpg</v>
      </c>
      <c r="S122" s="8">
        <v>7572592432744631</v>
      </c>
      <c r="T122">
        <v>21</v>
      </c>
      <c r="V122" s="6" t="str" cm="1">
        <f t="array" ref="V122">INDEX(Folha1!$C$2:$C$396,W122)</f>
        <v>$2a$10$if.w1NQ4RSBXFP2C4cMDleHpt/t2tkffyPTY9uNW1/1ORET3xJTTG</v>
      </c>
      <c r="W122">
        <f>MATCH(C122,Folha1!$B$2:$B$396,0)</f>
        <v>121</v>
      </c>
      <c r="Y122" t="str">
        <f t="shared" si="5"/>
        <v>(121,'med132', '$2a$10$if.w1NQ4RSBXFP2C4cMDleHpt/t2tkffyPTY9uNW1/1ORET3xJTTG', 'Francisca Bruno Neves Andrade', 'Feminino', '1955-12-30', 'Rua Augusta', '1069-863', 'Lisboa', 'Médico', 'Portuguesa', 'Bilhete de Identidade', '67071246', '475742469', '979006872', '969035645', 'med132@hospital.upskill.com', 'doctor-female.jpg'),</v>
      </c>
      <c r="Z122" t="str">
        <f t="shared" si="6"/>
        <v>(121,'7572592432744630', '21'),</v>
      </c>
      <c r="AA122" t="str">
        <f t="shared" si="7"/>
        <v>(121),</v>
      </c>
    </row>
    <row r="123" spans="1:27" x14ac:dyDescent="0.25">
      <c r="A123">
        <v>122</v>
      </c>
      <c r="B123" t="s">
        <v>1431</v>
      </c>
      <c r="C123" t="s">
        <v>1432</v>
      </c>
      <c r="D123" t="s">
        <v>1433</v>
      </c>
      <c r="E123" t="s">
        <v>53</v>
      </c>
      <c r="F123" s="7">
        <v>43922</v>
      </c>
      <c r="G123" t="s">
        <v>231</v>
      </c>
      <c r="H123" t="s">
        <v>1434</v>
      </c>
      <c r="I123" t="s">
        <v>211</v>
      </c>
      <c r="J123" t="s">
        <v>3726</v>
      </c>
      <c r="K123" t="s">
        <v>225</v>
      </c>
      <c r="L123" t="s">
        <v>265</v>
      </c>
      <c r="M123" t="s">
        <v>1435</v>
      </c>
      <c r="N123" t="s">
        <v>1436</v>
      </c>
      <c r="O123" t="s">
        <v>1437</v>
      </c>
      <c r="P123" t="s">
        <v>1438</v>
      </c>
      <c r="Q123" t="s">
        <v>1439</v>
      </c>
      <c r="R123" t="str">
        <f t="shared" si="4"/>
        <v>doctor-male.jpg</v>
      </c>
      <c r="S123" s="8">
        <v>3742888811240413</v>
      </c>
      <c r="T123">
        <v>22</v>
      </c>
      <c r="V123" s="6" t="str" cm="1">
        <f t="array" ref="V123">INDEX(Folha1!$C$2:$C$396,W123)</f>
        <v>$2a$10$kjO7BPFkjJ53xWXfbfU98OWnljGGErTBlDewZjt2d/KJ..qp/62Cy</v>
      </c>
      <c r="W123">
        <f>MATCH(C123,Folha1!$B$2:$B$396,0)</f>
        <v>122</v>
      </c>
      <c r="Y123" t="str">
        <f t="shared" si="5"/>
        <v>(122,'med133', '$2a$10$kjO7BPFkjJ53xWXfbfU98OWnljGGErTBlDewZjt2d/KJ..qp/62Cy', 'Gabriel Afonso Ramos Nogueira', 'Masculino', '2020-04-01', 'Rua dos Fanqueiros', '1099-699', 'Lisboa', 'Médico', 'Portuguesa', 'Bilhete de Identidade', '16065975', '832996346', '814650471', '936853191', 'med133@hospital.upskill.com', 'doctor-male.jpg'),</v>
      </c>
      <c r="Z123" t="str">
        <f t="shared" si="6"/>
        <v>(122,'3742888811240410', '22'),</v>
      </c>
      <c r="AA123" t="str">
        <f t="shared" si="7"/>
        <v>(122),</v>
      </c>
    </row>
    <row r="124" spans="1:27" x14ac:dyDescent="0.25">
      <c r="A124">
        <v>123</v>
      </c>
      <c r="B124" t="s">
        <v>1440</v>
      </c>
      <c r="C124" t="s">
        <v>1441</v>
      </c>
      <c r="D124" t="s">
        <v>1442</v>
      </c>
      <c r="E124" t="s">
        <v>53</v>
      </c>
      <c r="F124" s="7">
        <v>25320</v>
      </c>
      <c r="G124" t="s">
        <v>243</v>
      </c>
      <c r="H124" t="s">
        <v>1443</v>
      </c>
      <c r="I124" t="s">
        <v>211</v>
      </c>
      <c r="J124" t="s">
        <v>3726</v>
      </c>
      <c r="K124" t="s">
        <v>225</v>
      </c>
      <c r="L124" t="s">
        <v>265</v>
      </c>
      <c r="M124" t="s">
        <v>1444</v>
      </c>
      <c r="N124" t="s">
        <v>1445</v>
      </c>
      <c r="O124" t="s">
        <v>1446</v>
      </c>
      <c r="P124" t="s">
        <v>1447</v>
      </c>
      <c r="Q124" t="s">
        <v>1448</v>
      </c>
      <c r="R124" t="str">
        <f t="shared" si="4"/>
        <v>doctor-male.jpg</v>
      </c>
      <c r="S124" s="8">
        <v>4992508565501860</v>
      </c>
      <c r="T124">
        <v>23</v>
      </c>
      <c r="V124" s="6" t="str" cm="1">
        <f t="array" ref="V124">INDEX(Folha1!$C$2:$C$396,W124)</f>
        <v>$2a$10$EtY3vJ8xnHQLTK8DvOw9WeAQ3nLCxxt5m1WBUQfTRuPMhCHD8LxQa</v>
      </c>
      <c r="W124">
        <f>MATCH(C124,Folha1!$B$2:$B$396,0)</f>
        <v>123</v>
      </c>
      <c r="Y124" t="str">
        <f t="shared" si="5"/>
        <v>(123,'med134', '$2a$10$EtY3vJ8xnHQLTK8DvOw9WeAQ3nLCxxt5m1WBUQfTRuPMhCHD8LxQa', 'Bruno Ricardo Pires Lourenço', 'Masculino', '1969-04-27', 'Rua Roberto Duarte Silva', '1050-509', 'Lisboa', 'Médico', 'Portuguesa', 'Bilhete de Identidade', '71803716', '842380643', '609320671', '931797541', 'med134@hospital.upskill.com', 'doctor-male.jpg'),</v>
      </c>
      <c r="Z124" t="str">
        <f t="shared" si="6"/>
        <v>(123,'4992508565501860', '23'),</v>
      </c>
      <c r="AA124" t="str">
        <f t="shared" si="7"/>
        <v>(123),</v>
      </c>
    </row>
    <row r="125" spans="1:27" x14ac:dyDescent="0.25">
      <c r="A125">
        <v>124</v>
      </c>
      <c r="B125" t="s">
        <v>1449</v>
      </c>
      <c r="C125" t="s">
        <v>1450</v>
      </c>
      <c r="D125" t="s">
        <v>1451</v>
      </c>
      <c r="E125" t="s">
        <v>66</v>
      </c>
      <c r="F125" s="7">
        <v>20063</v>
      </c>
      <c r="G125" t="s">
        <v>246</v>
      </c>
      <c r="H125" t="s">
        <v>1452</v>
      </c>
      <c r="I125" t="s">
        <v>213</v>
      </c>
      <c r="J125" t="s">
        <v>3726</v>
      </c>
      <c r="K125" t="s">
        <v>225</v>
      </c>
      <c r="L125" t="s">
        <v>265</v>
      </c>
      <c r="M125" t="s">
        <v>1453</v>
      </c>
      <c r="N125" t="s">
        <v>1454</v>
      </c>
      <c r="O125" t="s">
        <v>1455</v>
      </c>
      <c r="P125" t="s">
        <v>1456</v>
      </c>
      <c r="Q125" t="s">
        <v>1457</v>
      </c>
      <c r="R125" t="str">
        <f t="shared" si="4"/>
        <v>doctor-female.jpg</v>
      </c>
      <c r="S125" s="8">
        <v>3140673499268109</v>
      </c>
      <c r="T125">
        <v>24</v>
      </c>
      <c r="V125" s="6" t="str" cm="1">
        <f t="array" ref="V125">INDEX(Folha1!$C$2:$C$396,W125)</f>
        <v>$2a$10$JWajdOSGnXTXuFHthsT2vuZmnpi.pGVbPGLnopmm/4J6j.yah7rlu</v>
      </c>
      <c r="W125">
        <f>MATCH(C125,Folha1!$B$2:$B$396,0)</f>
        <v>124</v>
      </c>
      <c r="Y125" t="str">
        <f t="shared" si="5"/>
        <v>(124,'med135', '$2a$10$JWajdOSGnXTXuFHthsT2vuZmnpi.pGVbPGLnopmm/4J6j.yah7rlu', 'Mariana João Domingues Mota', 'Feminino', '1954-12-05', 'Rua do Guarda-Mor', '2644-515', 'Mafra', 'Médico', 'Portuguesa', 'Bilhete de Identidade', '87942510', '443148654', '940879104', '915078578', 'med135@hospital.upskill.com', 'doctor-female.jpg'),</v>
      </c>
      <c r="Z125" t="str">
        <f t="shared" si="6"/>
        <v>(124,'3140673499268110', '24'),</v>
      </c>
      <c r="AA125" t="str">
        <f t="shared" si="7"/>
        <v>(124),</v>
      </c>
    </row>
    <row r="126" spans="1:27" x14ac:dyDescent="0.25">
      <c r="A126">
        <v>125</v>
      </c>
      <c r="B126" t="s">
        <v>1458</v>
      </c>
      <c r="C126" t="s">
        <v>1459</v>
      </c>
      <c r="D126" t="s">
        <v>1460</v>
      </c>
      <c r="E126" t="s">
        <v>53</v>
      </c>
      <c r="F126" s="7">
        <v>34756</v>
      </c>
      <c r="G126" t="s">
        <v>263</v>
      </c>
      <c r="H126" t="s">
        <v>1461</v>
      </c>
      <c r="I126" t="s">
        <v>217</v>
      </c>
      <c r="J126" t="s">
        <v>3726</v>
      </c>
      <c r="K126" t="s">
        <v>225</v>
      </c>
      <c r="L126" t="s">
        <v>265</v>
      </c>
      <c r="M126" t="s">
        <v>1462</v>
      </c>
      <c r="N126" t="s">
        <v>1463</v>
      </c>
      <c r="O126" t="s">
        <v>1464</v>
      </c>
      <c r="P126" t="s">
        <v>1465</v>
      </c>
      <c r="Q126" t="s">
        <v>1466</v>
      </c>
      <c r="R126" t="str">
        <f t="shared" si="4"/>
        <v>doctor-male.jpg</v>
      </c>
      <c r="S126" s="8">
        <v>2693526197630313</v>
      </c>
      <c r="T126">
        <v>25</v>
      </c>
      <c r="V126" s="6" t="str" cm="1">
        <f t="array" ref="V126">INDEX(Folha1!$C$2:$C$396,W126)</f>
        <v>$2a$10$0DXjBOkbW0pCLdbJWAI9U.ewsrJuYrDSNeX./4vMHdjK9w3SLqYgq</v>
      </c>
      <c r="W126">
        <f>MATCH(C126,Folha1!$B$2:$B$396,0)</f>
        <v>125</v>
      </c>
      <c r="Y126" t="str">
        <f t="shared" si="5"/>
        <v>(125,'med136', '$2a$10$0DXjBOkbW0pCLdbJWAI9U.ewsrJuYrDSNeX./4vMHdjK9w3SLqYgq', 'Gabriel Francisco Esteves Oliveira', 'Masculino', '1995-02-26', 'Rua da Junqueira', '2825-797', 'Caparica', 'Médico', 'Portuguesa', 'Bilhete de Identidade', '98363189', '790494930', '615488433', '934778005', 'med136@hospital.upskill.com', 'doctor-male.jpg'),</v>
      </c>
      <c r="Z126" t="str">
        <f t="shared" si="6"/>
        <v>(125,'2693526197630310', '25'),</v>
      </c>
      <c r="AA126" t="str">
        <f t="shared" si="7"/>
        <v>(125),</v>
      </c>
    </row>
    <row r="127" spans="1:27" x14ac:dyDescent="0.25">
      <c r="A127">
        <v>126</v>
      </c>
      <c r="B127" t="s">
        <v>1467</v>
      </c>
      <c r="C127" t="s">
        <v>1468</v>
      </c>
      <c r="D127" t="s">
        <v>1469</v>
      </c>
      <c r="E127" t="s">
        <v>53</v>
      </c>
      <c r="F127" s="7">
        <v>14392</v>
      </c>
      <c r="G127" t="s">
        <v>248</v>
      </c>
      <c r="H127" t="s">
        <v>1470</v>
      </c>
      <c r="I127" t="s">
        <v>211</v>
      </c>
      <c r="J127" t="s">
        <v>3726</v>
      </c>
      <c r="K127" t="s">
        <v>225</v>
      </c>
      <c r="L127" t="s">
        <v>265</v>
      </c>
      <c r="M127" t="s">
        <v>1471</v>
      </c>
      <c r="N127" t="s">
        <v>1472</v>
      </c>
      <c r="O127" t="s">
        <v>1473</v>
      </c>
      <c r="P127" t="s">
        <v>1474</v>
      </c>
      <c r="Q127" t="s">
        <v>1475</v>
      </c>
      <c r="R127" t="str">
        <f t="shared" si="4"/>
        <v>doctor-male.jpg</v>
      </c>
      <c r="S127" s="8">
        <v>1540055404578403</v>
      </c>
      <c r="T127">
        <v>26</v>
      </c>
      <c r="V127" s="6" t="str" cm="1">
        <f t="array" ref="V127">INDEX(Folha1!$C$2:$C$396,W127)</f>
        <v>$2a$10$RJI/SXIZ1wbyJdPmlUd9eu6PDEr2m1vK/0BY4qUIcqxH19MQypP6e</v>
      </c>
      <c r="W127">
        <f>MATCH(C127,Folha1!$B$2:$B$396,0)</f>
        <v>126</v>
      </c>
      <c r="Y127" t="str">
        <f t="shared" si="5"/>
        <v>(126,'med137', '$2a$10$RJI/SXIZ1wbyJdPmlUd9eu6PDEr2m1vK/0BY4qUIcqxH19MQypP6e', 'Bruno José Teixeira Monteiro', 'Masculino', '1939-05-27', 'Rua General Morais Sarmento', '1249-809', 'Lisboa', 'Médico', 'Portuguesa', 'Bilhete de Identidade', '14736332', '952294210', '380296293', '912500470', 'med137@hospital.upskill.com', 'doctor-male.jpg'),</v>
      </c>
      <c r="Z127" t="str">
        <f t="shared" si="6"/>
        <v>(126,'1540055404578400', '26'),</v>
      </c>
      <c r="AA127" t="str">
        <f t="shared" si="7"/>
        <v>(126),</v>
      </c>
    </row>
    <row r="128" spans="1:27" x14ac:dyDescent="0.25">
      <c r="A128">
        <v>127</v>
      </c>
      <c r="B128" t="s">
        <v>1476</v>
      </c>
      <c r="C128" t="s">
        <v>1477</v>
      </c>
      <c r="D128" t="s">
        <v>1478</v>
      </c>
      <c r="E128" t="s">
        <v>66</v>
      </c>
      <c r="F128" s="7">
        <v>17070</v>
      </c>
      <c r="G128" t="s">
        <v>229</v>
      </c>
      <c r="H128" t="s">
        <v>1479</v>
      </c>
      <c r="I128" t="s">
        <v>211</v>
      </c>
      <c r="J128" t="s">
        <v>3726</v>
      </c>
      <c r="K128" t="s">
        <v>225</v>
      </c>
      <c r="L128" t="s">
        <v>265</v>
      </c>
      <c r="M128" t="s">
        <v>1480</v>
      </c>
      <c r="N128" t="s">
        <v>1481</v>
      </c>
      <c r="O128" t="s">
        <v>1482</v>
      </c>
      <c r="P128" t="s">
        <v>1483</v>
      </c>
      <c r="Q128" t="s">
        <v>1484</v>
      </c>
      <c r="R128" t="str">
        <f t="shared" si="4"/>
        <v>doctor-female.jpg</v>
      </c>
      <c r="S128" s="8">
        <v>2317375458187915</v>
      </c>
      <c r="T128">
        <v>27</v>
      </c>
      <c r="V128" s="6" t="str" cm="1">
        <f t="array" ref="V128">INDEX(Folha1!$C$2:$C$396,W128)</f>
        <v>$2a$10$H1Oz0Vd0NOrOxIrwUoLzkeC11Q7b7I1ItJfQVSeyIlxYQc3LXLGQ6</v>
      </c>
      <c r="W128">
        <f>MATCH(C128,Folha1!$B$2:$B$396,0)</f>
        <v>127</v>
      </c>
      <c r="Y128" t="str">
        <f t="shared" si="5"/>
        <v>(127,'med138', '$2a$10$H1Oz0Vd0NOrOxIrwUoLzkeC11Q7b7I1ItJfQVSeyIlxYQc3LXLGQ6', 'Maria Tiago Garcia Freitas', 'Feminino', '1946-09-25', 'Rua Cidade de Bolama', '1170-696', 'Lisboa', 'Médico', 'Portuguesa', 'Bilhete de Identidade', '57896492', '696530831', '618557008', '963547783', 'med138@hospital.upskill.com', 'doctor-female.jpg'),</v>
      </c>
      <c r="Z128" t="str">
        <f t="shared" si="6"/>
        <v>(127,'2317375458187910', '27'),</v>
      </c>
      <c r="AA128" t="str">
        <f t="shared" si="7"/>
        <v>(127),</v>
      </c>
    </row>
    <row r="129" spans="1:27" x14ac:dyDescent="0.25">
      <c r="A129">
        <v>128</v>
      </c>
      <c r="B129" t="s">
        <v>1485</v>
      </c>
      <c r="C129" t="s">
        <v>1486</v>
      </c>
      <c r="D129" t="s">
        <v>1487</v>
      </c>
      <c r="E129" t="s">
        <v>66</v>
      </c>
      <c r="F129" s="7">
        <v>18282</v>
      </c>
      <c r="G129" t="s">
        <v>239</v>
      </c>
      <c r="H129" t="s">
        <v>1488</v>
      </c>
      <c r="I129" t="s">
        <v>211</v>
      </c>
      <c r="J129" t="s">
        <v>3726</v>
      </c>
      <c r="K129" t="s">
        <v>225</v>
      </c>
      <c r="L129" t="s">
        <v>265</v>
      </c>
      <c r="M129" t="s">
        <v>1489</v>
      </c>
      <c r="N129" t="s">
        <v>1490</v>
      </c>
      <c r="O129" t="s">
        <v>1491</v>
      </c>
      <c r="P129" t="s">
        <v>1492</v>
      </c>
      <c r="Q129" t="s">
        <v>1493</v>
      </c>
      <c r="R129" t="str">
        <f t="shared" si="4"/>
        <v>doctor-female.jpg</v>
      </c>
      <c r="S129" s="8">
        <v>2531925821897555</v>
      </c>
      <c r="T129">
        <v>28</v>
      </c>
      <c r="V129" s="6" t="str" cm="1">
        <f t="array" ref="V129">INDEX(Folha1!$C$2:$C$396,W129)</f>
        <v>$2a$10$KLcWPD4AJ33ugGQp/1WEIeyqSapV1Y6f2fQO9PcPfDz8A/XT0.waq</v>
      </c>
      <c r="W129">
        <f>MATCH(C129,Folha1!$B$2:$B$396,0)</f>
        <v>128</v>
      </c>
      <c r="Y129" t="str">
        <f t="shared" si="5"/>
        <v>(128,'med139', '$2a$10$KLcWPD4AJ33ugGQp/1WEIeyqSapV1Y6f2fQO9PcPfDz8A/XT0.waq', 'Mariana Mariana Vieira Pacheco', 'Feminino', '1950-01-19', 'Rua da Oliveira ao Carmo', '1649-615', 'Lisboa', 'Médico', 'Portuguesa', 'Bilhete de Identidade', '14901171', '764583453', '365675865', '932945801', 'med139@hospital.upskill.com', 'doctor-female.jpg'),</v>
      </c>
      <c r="Z129" t="str">
        <f t="shared" si="6"/>
        <v>(128,'2531925821897550', '28'),</v>
      </c>
      <c r="AA129" t="str">
        <f t="shared" si="7"/>
        <v>(128),</v>
      </c>
    </row>
    <row r="130" spans="1:27" x14ac:dyDescent="0.25">
      <c r="A130">
        <v>129</v>
      </c>
      <c r="B130" t="s">
        <v>1494</v>
      </c>
      <c r="C130" t="s">
        <v>1495</v>
      </c>
      <c r="D130" t="s">
        <v>1496</v>
      </c>
      <c r="E130" t="s">
        <v>66</v>
      </c>
      <c r="F130" s="7">
        <v>9562</v>
      </c>
      <c r="G130" t="s">
        <v>252</v>
      </c>
      <c r="H130" t="s">
        <v>1497</v>
      </c>
      <c r="I130" t="s">
        <v>206</v>
      </c>
      <c r="J130" t="s">
        <v>3726</v>
      </c>
      <c r="K130" t="s">
        <v>225</v>
      </c>
      <c r="L130" t="s">
        <v>265</v>
      </c>
      <c r="M130" t="s">
        <v>1498</v>
      </c>
      <c r="N130" t="s">
        <v>1499</v>
      </c>
      <c r="O130" t="s">
        <v>1500</v>
      </c>
      <c r="P130" t="s">
        <v>1501</v>
      </c>
      <c r="Q130" t="s">
        <v>1502</v>
      </c>
      <c r="R130" t="str">
        <f t="shared" si="4"/>
        <v>doctor-female.jpg</v>
      </c>
      <c r="S130" s="8">
        <v>4411120995120741</v>
      </c>
      <c r="T130">
        <v>29</v>
      </c>
      <c r="V130" s="6" t="str" cm="1">
        <f t="array" ref="V130">INDEX(Folha1!$C$2:$C$396,W130)</f>
        <v>$2a$10$KhInHl4hHH5c.p4o1CRwj.DYQ4EKbiw/SlSaskMp8LHYHkKj3IuIW</v>
      </c>
      <c r="W130">
        <f>MATCH(C130,Folha1!$B$2:$B$396,0)</f>
        <v>129</v>
      </c>
      <c r="Y130" t="str">
        <f t="shared" si="5"/>
        <v>(129,'med140', '$2a$10$KhInHl4hHH5c.p4o1CRwj.DYQ4EKbiw/SlSaskMp8LHYHkKj3IuIW', 'Vera João Amaral Cruz', 'Feminino', '1926-03-06', 'Rua de São Julião', '2710-102', 'Sintra', 'Médico', 'Portuguesa', 'Bilhete de Identidade', '41697178', '797802585', '726337185', '917616220', 'med140@hospital.upskill.com', 'doctor-female.jpg'),</v>
      </c>
      <c r="Z130" t="str">
        <f t="shared" si="6"/>
        <v>(129,'4411120995120740', '29'),</v>
      </c>
      <c r="AA130" t="str">
        <f t="shared" si="7"/>
        <v>(129),</v>
      </c>
    </row>
    <row r="131" spans="1:27" x14ac:dyDescent="0.25">
      <c r="A131">
        <v>130</v>
      </c>
      <c r="B131" t="s">
        <v>1503</v>
      </c>
      <c r="C131" t="s">
        <v>1504</v>
      </c>
      <c r="D131" t="s">
        <v>1505</v>
      </c>
      <c r="E131" t="s">
        <v>53</v>
      </c>
      <c r="F131" s="7">
        <v>10733</v>
      </c>
      <c r="G131" t="s">
        <v>231</v>
      </c>
      <c r="H131" t="s">
        <v>1506</v>
      </c>
      <c r="I131" t="s">
        <v>201</v>
      </c>
      <c r="J131" t="s">
        <v>3726</v>
      </c>
      <c r="K131" t="s">
        <v>225</v>
      </c>
      <c r="L131" t="s">
        <v>265</v>
      </c>
      <c r="M131" t="s">
        <v>1507</v>
      </c>
      <c r="N131" t="s">
        <v>1508</v>
      </c>
      <c r="O131" t="s">
        <v>1509</v>
      </c>
      <c r="P131" t="s">
        <v>1510</v>
      </c>
      <c r="Q131" t="s">
        <v>1511</v>
      </c>
      <c r="R131" t="str">
        <f t="shared" ref="R131:R188" si="8">IF(E131="Feminino","doctor-female.jpg","doctor-male.jpg")</f>
        <v>doctor-male.jpg</v>
      </c>
      <c r="S131" s="8">
        <v>6433221624830208</v>
      </c>
      <c r="T131">
        <v>30</v>
      </c>
      <c r="V131" s="6" t="str" cm="1">
        <f t="array" ref="V131">INDEX(Folha1!$C$2:$C$396,W131)</f>
        <v>$2a$10$f1hZE0e/mWQ8rEGyOL9SNeucm1t5S8INOcHAH/VxiK.KtZJDbr6wu</v>
      </c>
      <c r="W131">
        <f>MATCH(C131,Folha1!$B$2:$B$396,0)</f>
        <v>130</v>
      </c>
      <c r="Y131" t="str">
        <f t="shared" si="5"/>
        <v>(130,'med141', '$2a$10$f1hZE0e/mWQ8rEGyOL9SNeucm1t5S8INOcHAH/VxiK.KtZJDbr6wu', 'Afonso Joana Assunção Gomes', 'Masculino', '1929-05-20', 'Rua dos Fanqueiros', '2414-104', 'Leiria', 'Médico', 'Portuguesa', 'Bilhete de Identidade', '33120801', '798998875', '774495144', '925996121', 'med141@hospital.upskill.com', 'doctor-male.jpg'),</v>
      </c>
      <c r="Z131" t="str">
        <f t="shared" si="6"/>
        <v>(130,'6433221624830210', '30'),</v>
      </c>
      <c r="AA131" t="str">
        <f t="shared" si="7"/>
        <v>(130),</v>
      </c>
    </row>
    <row r="132" spans="1:27" x14ac:dyDescent="0.25">
      <c r="A132">
        <v>131</v>
      </c>
      <c r="B132" t="s">
        <v>1512</v>
      </c>
      <c r="C132" t="s">
        <v>1513</v>
      </c>
      <c r="D132" t="s">
        <v>1514</v>
      </c>
      <c r="E132" t="s">
        <v>66</v>
      </c>
      <c r="F132" s="7">
        <v>43003</v>
      </c>
      <c r="G132" t="s">
        <v>228</v>
      </c>
      <c r="H132" t="s">
        <v>1515</v>
      </c>
      <c r="I132" t="s">
        <v>211</v>
      </c>
      <c r="J132" t="s">
        <v>3726</v>
      </c>
      <c r="K132" t="s">
        <v>225</v>
      </c>
      <c r="L132" t="s">
        <v>265</v>
      </c>
      <c r="M132" t="s">
        <v>1516</v>
      </c>
      <c r="N132" t="s">
        <v>1517</v>
      </c>
      <c r="O132" t="s">
        <v>1518</v>
      </c>
      <c r="P132" t="s">
        <v>1519</v>
      </c>
      <c r="Q132" t="s">
        <v>1520</v>
      </c>
      <c r="R132" t="str">
        <f t="shared" si="8"/>
        <v>doctor-female.jpg</v>
      </c>
      <c r="S132" s="8">
        <v>6778090543805428</v>
      </c>
      <c r="T132">
        <v>31</v>
      </c>
      <c r="V132" s="6" t="str" cm="1">
        <f t="array" ref="V132">INDEX(Folha1!$C$2:$C$396,W132)</f>
        <v>$2a$10$4ZIePLOn8hZwJriT7jPRC.x4mUpuoBuL6uCrLKttml19wCQAYe7O2</v>
      </c>
      <c r="W132">
        <f>MATCH(C132,Folha1!$B$2:$B$396,0)</f>
        <v>131</v>
      </c>
      <c r="Y132" t="str">
        <f t="shared" ref="Y132:Y188" si="9">"(" &amp;A132 &amp; ",'" &amp; B132 &amp; "', '" &amp; V132 &amp; "', '" &amp; D132 &amp; "', '" &amp; E132 &amp; "', '" &amp; TEXT(F132, "yyyy-mm-dd") &amp; "', '" &amp; G132 &amp; "', '" &amp; H132 &amp; "', '" &amp; I132 &amp; "', '" &amp; J132 &amp; "', '" &amp; K132 &amp; "', '" &amp; L132 &amp; "', '" &amp; M132 &amp; "', '" &amp; N132 &amp; "', '" &amp; O132 &amp; "', '" &amp; P132 &amp; "', '" &amp; Q132 &amp; "', '" &amp; R132 &amp; "'),"</f>
        <v>(131,'med142', '$2a$10$4ZIePLOn8hZwJriT7jPRC.x4mUpuoBuL6uCrLKttml19wCQAYe7O2', 'Catarina Gabriel Moreira Silva', 'Feminino', '2017-09-25', 'Calçada de Carriche', '1249-655', 'Lisboa', 'Médico', 'Portuguesa', 'Bilhete de Identidade', '54864252', '405844962', '492534311', '913212242', 'med142@hospital.upskill.com', 'doctor-female.jpg'),</v>
      </c>
      <c r="Z132" t="str">
        <f t="shared" ref="Z132:Z187" si="10">"(" &amp;A132 &amp; ",'" &amp; S132 &amp; "', '" &amp; T132 &amp; "'),"</f>
        <v>(131,'6778090543805430', '31'),</v>
      </c>
      <c r="AA132" t="str">
        <f t="shared" ref="AA132:AA187" si="11">"(" &amp;A132 &amp; "),"</f>
        <v>(131),</v>
      </c>
    </row>
    <row r="133" spans="1:27" x14ac:dyDescent="0.25">
      <c r="A133">
        <v>132</v>
      </c>
      <c r="B133" t="s">
        <v>1521</v>
      </c>
      <c r="C133" t="s">
        <v>1522</v>
      </c>
      <c r="D133" t="s">
        <v>1523</v>
      </c>
      <c r="E133" t="s">
        <v>66</v>
      </c>
      <c r="F133" s="7">
        <v>29468</v>
      </c>
      <c r="G133" t="s">
        <v>237</v>
      </c>
      <c r="H133" t="s">
        <v>1524</v>
      </c>
      <c r="I133" t="s">
        <v>211</v>
      </c>
      <c r="J133" t="s">
        <v>3726</v>
      </c>
      <c r="K133" t="s">
        <v>225</v>
      </c>
      <c r="L133" t="s">
        <v>265</v>
      </c>
      <c r="M133" t="s">
        <v>1525</v>
      </c>
      <c r="N133" t="s">
        <v>1526</v>
      </c>
      <c r="O133" t="s">
        <v>1527</v>
      </c>
      <c r="P133" t="s">
        <v>1528</v>
      </c>
      <c r="Q133" t="s">
        <v>1529</v>
      </c>
      <c r="R133" t="str">
        <f t="shared" si="8"/>
        <v>doctor-female.jpg</v>
      </c>
      <c r="S133" s="8">
        <v>5305723976528296</v>
      </c>
      <c r="T133">
        <v>32</v>
      </c>
      <c r="V133" s="6" t="str" cm="1">
        <f t="array" ref="V133">INDEX(Folha1!$C$2:$C$396,W133)</f>
        <v>$2a$10$1.0gxvaT3qEq60rFTuqYIelbHfWncs951ZELCmlqFyKnm2nLGcHxq</v>
      </c>
      <c r="W133">
        <f>MATCH(C133,Folha1!$B$2:$B$396,0)</f>
        <v>132</v>
      </c>
      <c r="Y133" t="str">
        <f t="shared" si="9"/>
        <v>(132,'med143', '$2a$10$1.0gxvaT3qEq60rFTuqYIelbHfWncs951ZELCmlqFyKnm2nLGcHxq', 'Maria Diogo Domingues Valente', 'Feminino', '1980-09-04', 'Calçada Marquês de Abrantes', '1769-380', 'Lisboa', 'Médico', 'Portuguesa', 'Bilhete de Identidade', '47754237', '976293226', '180699100', '926283038', 'med143@hospital.upskill.com', 'doctor-female.jpg'),</v>
      </c>
      <c r="Z133" t="str">
        <f t="shared" si="10"/>
        <v>(132,'5305723976528300', '32'),</v>
      </c>
      <c r="AA133" t="str">
        <f t="shared" si="11"/>
        <v>(132),</v>
      </c>
    </row>
    <row r="134" spans="1:27" x14ac:dyDescent="0.25">
      <c r="A134">
        <v>133</v>
      </c>
      <c r="B134" t="s">
        <v>1530</v>
      </c>
      <c r="C134" t="s">
        <v>1531</v>
      </c>
      <c r="D134" t="s">
        <v>1532</v>
      </c>
      <c r="E134" t="s">
        <v>66</v>
      </c>
      <c r="F134" s="7">
        <v>26648</v>
      </c>
      <c r="G134" t="s">
        <v>251</v>
      </c>
      <c r="H134" t="s">
        <v>1533</v>
      </c>
      <c r="I134" t="s">
        <v>211</v>
      </c>
      <c r="J134" t="s">
        <v>3726</v>
      </c>
      <c r="K134" t="s">
        <v>225</v>
      </c>
      <c r="L134" t="s">
        <v>265</v>
      </c>
      <c r="M134" t="s">
        <v>1534</v>
      </c>
      <c r="N134" t="s">
        <v>1535</v>
      </c>
      <c r="O134" t="s">
        <v>1536</v>
      </c>
      <c r="P134" t="s">
        <v>1537</v>
      </c>
      <c r="Q134" t="s">
        <v>1538</v>
      </c>
      <c r="R134" t="str">
        <f t="shared" si="8"/>
        <v>doctor-female.jpg</v>
      </c>
      <c r="S134" s="8">
        <v>2764257917268005</v>
      </c>
      <c r="T134">
        <v>33</v>
      </c>
      <c r="V134" s="6" t="str" cm="1">
        <f t="array" ref="V134">INDEX(Folha1!$C$2:$C$396,W134)</f>
        <v>$2a$10$2FryJMaocLyY45b1y1eKoOhOLJx3qN6tQ5pzKkAl2SoSDfIhE2qpK</v>
      </c>
      <c r="W134">
        <f>MATCH(C134,Folha1!$B$2:$B$396,0)</f>
        <v>133</v>
      </c>
      <c r="Y134" t="str">
        <f t="shared" si="9"/>
        <v>(133,'med144', '$2a$10$2FryJMaocLyY45b1y1eKoOhOLJx3qN6tQ5pzKkAl2SoSDfIhE2qpK', 'Beatriz Diogo Gonçalves Almeida', 'Feminino', '1972-12-15', 'Rua do Salitre', '1250-222', 'Lisboa', 'Médico', 'Portuguesa', 'Bilhete de Identidade', '79569284', '585051365', '952305062', '927836780', 'med144@hospital.upskill.com', 'doctor-female.jpg'),</v>
      </c>
      <c r="Z134" t="str">
        <f t="shared" si="10"/>
        <v>(133,'2764257917268000', '33'),</v>
      </c>
      <c r="AA134" t="str">
        <f t="shared" si="11"/>
        <v>(133),</v>
      </c>
    </row>
    <row r="135" spans="1:27" x14ac:dyDescent="0.25">
      <c r="A135">
        <v>134</v>
      </c>
      <c r="B135" t="s">
        <v>1539</v>
      </c>
      <c r="C135" t="s">
        <v>1540</v>
      </c>
      <c r="D135" t="s">
        <v>1541</v>
      </c>
      <c r="E135" t="s">
        <v>66</v>
      </c>
      <c r="F135" s="7">
        <v>12366</v>
      </c>
      <c r="G135" t="s">
        <v>253</v>
      </c>
      <c r="H135" t="s">
        <v>1542</v>
      </c>
      <c r="I135" t="s">
        <v>211</v>
      </c>
      <c r="J135" t="s">
        <v>3726</v>
      </c>
      <c r="K135" t="s">
        <v>225</v>
      </c>
      <c r="L135" t="s">
        <v>265</v>
      </c>
      <c r="M135" t="s">
        <v>1543</v>
      </c>
      <c r="N135" t="s">
        <v>1544</v>
      </c>
      <c r="O135" t="s">
        <v>1545</v>
      </c>
      <c r="P135" t="s">
        <v>1546</v>
      </c>
      <c r="Q135" t="s">
        <v>1547</v>
      </c>
      <c r="R135" t="str">
        <f t="shared" si="8"/>
        <v>doctor-female.jpg</v>
      </c>
      <c r="S135" s="8">
        <v>5189693177535882</v>
      </c>
      <c r="T135">
        <v>34</v>
      </c>
      <c r="V135" s="6" t="str" cm="1">
        <f t="array" ref="V135">INDEX(Folha1!$C$2:$C$396,W135)</f>
        <v>$2a$10$sRatIfUObKN.DEQh./poi./n6Ts3p/l.elyI2HQCD8sK1.op2CoD2</v>
      </c>
      <c r="W135">
        <f>MATCH(C135,Folha1!$B$2:$B$396,0)</f>
        <v>134</v>
      </c>
      <c r="Y135" t="str">
        <f t="shared" si="9"/>
        <v>(134,'med145', '$2a$10$sRatIfUObKN.DEQh./poi./n6Ts3p/l.elyI2HQCD8sK1.op2CoD2', 'Beatriz Carolina Batista Leal', 'Feminino', '1933-11-08', 'Rua de São Mamede', '1750-653', 'Lisboa', 'Médico', 'Portuguesa', 'Bilhete de Identidade', '11101081', '922773602', '657271476', '964893906', 'med145@hospital.upskill.com', 'doctor-female.jpg'),</v>
      </c>
      <c r="Z135" t="str">
        <f t="shared" si="10"/>
        <v>(134,'5189693177535880', '34'),</v>
      </c>
      <c r="AA135" t="str">
        <f t="shared" si="11"/>
        <v>(134),</v>
      </c>
    </row>
    <row r="136" spans="1:27" x14ac:dyDescent="0.25">
      <c r="A136">
        <v>135</v>
      </c>
      <c r="B136" t="s">
        <v>1548</v>
      </c>
      <c r="C136" t="s">
        <v>1549</v>
      </c>
      <c r="D136" t="s">
        <v>1550</v>
      </c>
      <c r="E136" t="s">
        <v>53</v>
      </c>
      <c r="F136" s="7">
        <v>15788</v>
      </c>
      <c r="G136" t="s">
        <v>259</v>
      </c>
      <c r="H136" t="s">
        <v>1551</v>
      </c>
      <c r="I136" t="s">
        <v>211</v>
      </c>
      <c r="J136" t="s">
        <v>3726</v>
      </c>
      <c r="K136" t="s">
        <v>225</v>
      </c>
      <c r="L136" t="s">
        <v>265</v>
      </c>
      <c r="M136" t="s">
        <v>1552</v>
      </c>
      <c r="N136" t="s">
        <v>1553</v>
      </c>
      <c r="O136" t="s">
        <v>1554</v>
      </c>
      <c r="P136" t="s">
        <v>1555</v>
      </c>
      <c r="Q136" t="s">
        <v>1556</v>
      </c>
      <c r="R136" t="str">
        <f t="shared" si="8"/>
        <v>doctor-male.jpg</v>
      </c>
      <c r="S136" s="8">
        <v>2270764613760830</v>
      </c>
      <c r="T136">
        <v>35</v>
      </c>
      <c r="V136" s="6" t="str" cm="1">
        <f t="array" ref="V136">INDEX(Folha1!$C$2:$C$396,W136)</f>
        <v>$2a$10$Bzy.Vx0zvmXSr/KxE5rmMOgJAu5I0FuCQ6Cap53Lsk.LmeKu01bBu</v>
      </c>
      <c r="W136">
        <f>MATCH(C136,Folha1!$B$2:$B$396,0)</f>
        <v>135</v>
      </c>
      <c r="Y136" t="str">
        <f t="shared" si="9"/>
        <v>(135,'med146', '$2a$10$Bzy.Vx0zvmXSr/KxE5rmMOgJAu5I0FuCQ6Cap53Lsk.LmeKu01bBu', 'João Daniela Azevedo Abreu', 'Masculino', '1943-03-23', 'Rua da Alfândega', '1999-407', 'Lisboa', 'Médico', 'Portuguesa', 'Bilhete de Identidade', '80504184', '801757415', '573704723', '935064808', 'med146@hospital.upskill.com', 'doctor-male.jpg'),</v>
      </c>
      <c r="Z136" t="str">
        <f t="shared" si="10"/>
        <v>(135,'2270764613760830', '35'),</v>
      </c>
      <c r="AA136" t="str">
        <f t="shared" si="11"/>
        <v>(135),</v>
      </c>
    </row>
    <row r="137" spans="1:27" x14ac:dyDescent="0.25">
      <c r="A137">
        <v>136</v>
      </c>
      <c r="B137" t="s">
        <v>1557</v>
      </c>
      <c r="C137" t="s">
        <v>1558</v>
      </c>
      <c r="D137" t="s">
        <v>1559</v>
      </c>
      <c r="E137" t="s">
        <v>53</v>
      </c>
      <c r="F137" s="7">
        <v>37028</v>
      </c>
      <c r="G137" t="s">
        <v>241</v>
      </c>
      <c r="H137" t="s">
        <v>1560</v>
      </c>
      <c r="I137" t="s">
        <v>201</v>
      </c>
      <c r="J137" t="s">
        <v>3726</v>
      </c>
      <c r="K137" t="s">
        <v>225</v>
      </c>
      <c r="L137" t="s">
        <v>265</v>
      </c>
      <c r="M137" t="s">
        <v>1561</v>
      </c>
      <c r="N137" t="s">
        <v>1562</v>
      </c>
      <c r="O137" t="s">
        <v>1563</v>
      </c>
      <c r="P137" t="s">
        <v>1564</v>
      </c>
      <c r="Q137" t="s">
        <v>1565</v>
      </c>
      <c r="R137" t="str">
        <f t="shared" si="8"/>
        <v>doctor-male.jpg</v>
      </c>
      <c r="S137" s="8">
        <v>2205574770869367</v>
      </c>
      <c r="T137">
        <v>36</v>
      </c>
      <c r="V137" s="6" t="str" cm="1">
        <f t="array" ref="V137">INDEX(Folha1!$C$2:$C$396,W137)</f>
        <v>$2a$10$1/gdOL3qXCFNuY9RktslKulV1dszesAIwe4Fs5iYfBaFd5RPsIKSW</v>
      </c>
      <c r="W137">
        <f>MATCH(C137,Folha1!$B$2:$B$396,0)</f>
        <v>136</v>
      </c>
      <c r="Y137" t="str">
        <f t="shared" si="9"/>
        <v>(136,'med147', '$2a$10$1/gdOL3qXCFNuY9RktslKulV1dszesAIwe4Fs5iYfBaFd5RPsIKSW', 'Rodrigo Lurdes Cruz Pinho', 'Masculino', '2001-05-17', 'Rua da Prata', '2423-20', 'Leiria', 'Médico', 'Portuguesa', 'Bilhete de Identidade', '80740602', '862071189', '457452336', '922142290', 'med147@hospital.upskill.com', 'doctor-male.jpg'),</v>
      </c>
      <c r="Z137" t="str">
        <f t="shared" si="10"/>
        <v>(136,'2205574770869370', '36'),</v>
      </c>
      <c r="AA137" t="str">
        <f t="shared" si="11"/>
        <v>(136),</v>
      </c>
    </row>
    <row r="138" spans="1:27" x14ac:dyDescent="0.25">
      <c r="A138">
        <v>137</v>
      </c>
      <c r="B138" t="s">
        <v>1566</v>
      </c>
      <c r="C138" t="s">
        <v>1567</v>
      </c>
      <c r="D138" t="s">
        <v>1568</v>
      </c>
      <c r="E138" t="s">
        <v>53</v>
      </c>
      <c r="F138" s="7">
        <v>36735</v>
      </c>
      <c r="G138" t="s">
        <v>259</v>
      </c>
      <c r="H138" t="s">
        <v>1569</v>
      </c>
      <c r="I138" t="s">
        <v>211</v>
      </c>
      <c r="J138" t="s">
        <v>3726</v>
      </c>
      <c r="K138" t="s">
        <v>225</v>
      </c>
      <c r="L138" t="s">
        <v>265</v>
      </c>
      <c r="M138" t="s">
        <v>1570</v>
      </c>
      <c r="N138" t="s">
        <v>1571</v>
      </c>
      <c r="O138" t="s">
        <v>1572</v>
      </c>
      <c r="P138" t="s">
        <v>1573</v>
      </c>
      <c r="Q138" t="s">
        <v>1574</v>
      </c>
      <c r="R138" t="str">
        <f t="shared" si="8"/>
        <v>doctor-male.jpg</v>
      </c>
      <c r="S138" s="8">
        <v>7071295781127347</v>
      </c>
      <c r="T138">
        <v>37</v>
      </c>
      <c r="V138" s="6" t="str" cm="1">
        <f t="array" ref="V138">INDEX(Folha1!$C$2:$C$396,W138)</f>
        <v>$2a$10$ZzT0pq38xAgQmDRJ0FmtW.XlyRWyIc58BtLsfPxCzb099ZZ31pwxm</v>
      </c>
      <c r="W138">
        <f>MATCH(C138,Folha1!$B$2:$B$396,0)</f>
        <v>137</v>
      </c>
      <c r="Y138" t="str">
        <f t="shared" si="9"/>
        <v>(137,'med148', '$2a$10$ZzT0pq38xAgQmDRJ0FmtW.XlyRWyIc58BtLsfPxCzb099ZZ31pwxm', 'André Diogo Machado Vieira', 'Masculino', '2000-07-28', 'Rua da Alfândega', '1250-335', 'Lisboa', 'Médico', 'Portuguesa', 'Bilhete de Identidade', '99568157', '879379457', '303382348', '911244314', 'med148@hospital.upskill.com', 'doctor-male.jpg'),</v>
      </c>
      <c r="Z138" t="str">
        <f t="shared" si="10"/>
        <v>(137,'7071295781127350', '37'),</v>
      </c>
      <c r="AA138" t="str">
        <f t="shared" si="11"/>
        <v>(137),</v>
      </c>
    </row>
    <row r="139" spans="1:27" x14ac:dyDescent="0.25">
      <c r="A139">
        <v>138</v>
      </c>
      <c r="B139" t="s">
        <v>1575</v>
      </c>
      <c r="C139" t="s">
        <v>1576</v>
      </c>
      <c r="D139" t="s">
        <v>1577</v>
      </c>
      <c r="E139" t="s">
        <v>66</v>
      </c>
      <c r="F139" s="7">
        <v>29002</v>
      </c>
      <c r="G139" t="s">
        <v>246</v>
      </c>
      <c r="H139" t="s">
        <v>1578</v>
      </c>
      <c r="I139" t="s">
        <v>211</v>
      </c>
      <c r="J139" t="s">
        <v>3726</v>
      </c>
      <c r="K139" t="s">
        <v>225</v>
      </c>
      <c r="L139" t="s">
        <v>265</v>
      </c>
      <c r="M139" t="s">
        <v>1579</v>
      </c>
      <c r="N139" t="s">
        <v>1580</v>
      </c>
      <c r="O139" t="s">
        <v>1581</v>
      </c>
      <c r="P139" t="s">
        <v>1582</v>
      </c>
      <c r="Q139" t="s">
        <v>1583</v>
      </c>
      <c r="R139" t="str">
        <f t="shared" si="8"/>
        <v>doctor-female.jpg</v>
      </c>
      <c r="S139" s="8">
        <v>5918755463912383</v>
      </c>
      <c r="T139">
        <v>38</v>
      </c>
      <c r="V139" s="6" t="str" cm="1">
        <f t="array" ref="V139">INDEX(Folha1!$C$2:$C$396,W139)</f>
        <v>$2a$10$OwHq5zbCXzfKJLr976p0Y.2.v9MVo3Y4HIJbwXVjTSpMfuqW1oboq</v>
      </c>
      <c r="W139">
        <f>MATCH(C139,Folha1!$B$2:$B$396,0)</f>
        <v>138</v>
      </c>
      <c r="Y139" t="str">
        <f t="shared" si="9"/>
        <v>(138,'med149', '$2a$10$OwHq5zbCXzfKJLr976p0Y.2.v9MVo3Y4HIJbwXVjTSpMfuqW1oboq', 'Francisca Miguel Mendes Maia', 'Feminino', '1979-05-27', 'Rua do Guarda-Mor', '1949-790', 'Lisboa', 'Médico', 'Portuguesa', 'Bilhete de Identidade', '84297198', '874614775', '467032594', '920920032', 'med149@hospital.upskill.com', 'doctor-female.jpg'),</v>
      </c>
      <c r="Z139" t="str">
        <f t="shared" si="10"/>
        <v>(138,'5918755463912380', '38'),</v>
      </c>
      <c r="AA139" t="str">
        <f t="shared" si="11"/>
        <v>(138),</v>
      </c>
    </row>
    <row r="140" spans="1:27" x14ac:dyDescent="0.25">
      <c r="A140">
        <v>139</v>
      </c>
      <c r="B140" t="s">
        <v>1584</v>
      </c>
      <c r="C140" t="s">
        <v>1585</v>
      </c>
      <c r="D140" t="s">
        <v>1586</v>
      </c>
      <c r="E140" t="s">
        <v>53</v>
      </c>
      <c r="F140" s="7">
        <v>41285</v>
      </c>
      <c r="G140" t="s">
        <v>242</v>
      </c>
      <c r="H140" t="s">
        <v>1587</v>
      </c>
      <c r="I140" t="s">
        <v>223</v>
      </c>
      <c r="J140" t="s">
        <v>3726</v>
      </c>
      <c r="K140" t="s">
        <v>225</v>
      </c>
      <c r="L140" t="s">
        <v>265</v>
      </c>
      <c r="M140" t="s">
        <v>1588</v>
      </c>
      <c r="N140" t="s">
        <v>1589</v>
      </c>
      <c r="O140" t="s">
        <v>1590</v>
      </c>
      <c r="P140" t="s">
        <v>1591</v>
      </c>
      <c r="Q140" t="s">
        <v>1592</v>
      </c>
      <c r="R140" t="str">
        <f t="shared" si="8"/>
        <v>doctor-male.jpg</v>
      </c>
      <c r="S140" s="8">
        <v>6802410580440018</v>
      </c>
      <c r="T140">
        <v>39</v>
      </c>
      <c r="V140" s="6" t="str" cm="1">
        <f t="array" ref="V140">INDEX(Folha1!$C$2:$C$396,W140)</f>
        <v>$2a$10$.aGvxjzqWvI8ZEzUt1XIl.HDO0edX5IfIudAdXSrH4NpuPKMRm3gG</v>
      </c>
      <c r="W140">
        <f>MATCH(C140,Folha1!$B$2:$B$396,0)</f>
        <v>139</v>
      </c>
      <c r="Y140" t="str">
        <f t="shared" si="9"/>
        <v>(139,'med150', '$2a$10$.aGvxjzqWvI8ZEzUt1XIl.HDO0edX5IfIudAdXSrH4NpuPKMRm3gG', 'Francisco Pedro Magalhães Branco', 'Masculino', '2013-01-11', 'Avenida Ressano Garcia', '2659-751', 'Ericeira', 'Médico', 'Portuguesa', 'Bilhete de Identidade', '35274617', '148521200', '882690342', '968033992', 'med150@hospital.upskill.com', 'doctor-male.jpg'),</v>
      </c>
      <c r="Z140" t="str">
        <f t="shared" si="10"/>
        <v>(139,'6802410580440020', '39'),</v>
      </c>
      <c r="AA140" t="str">
        <f t="shared" si="11"/>
        <v>(139),</v>
      </c>
    </row>
    <row r="141" spans="1:27" x14ac:dyDescent="0.25">
      <c r="A141">
        <v>140</v>
      </c>
      <c r="B141" t="s">
        <v>1593</v>
      </c>
      <c r="C141" t="s">
        <v>1594</v>
      </c>
      <c r="D141" t="s">
        <v>1595</v>
      </c>
      <c r="E141" t="s">
        <v>53</v>
      </c>
      <c r="F141" s="7">
        <v>27590</v>
      </c>
      <c r="G141" t="s">
        <v>245</v>
      </c>
      <c r="H141" t="s">
        <v>1596</v>
      </c>
      <c r="I141" t="s">
        <v>211</v>
      </c>
      <c r="J141" t="s">
        <v>3726</v>
      </c>
      <c r="K141" t="s">
        <v>225</v>
      </c>
      <c r="L141" t="s">
        <v>265</v>
      </c>
      <c r="M141" t="s">
        <v>1597</v>
      </c>
      <c r="N141" t="s">
        <v>1598</v>
      </c>
      <c r="O141" t="s">
        <v>1599</v>
      </c>
      <c r="P141" t="s">
        <v>1600</v>
      </c>
      <c r="Q141" t="s">
        <v>1601</v>
      </c>
      <c r="R141" t="str">
        <f t="shared" si="8"/>
        <v>doctor-male.jpg</v>
      </c>
      <c r="S141" s="8">
        <v>3795203368323521</v>
      </c>
      <c r="T141">
        <v>40</v>
      </c>
      <c r="V141" s="6" t="str" cm="1">
        <f t="array" ref="V141">INDEX(Folha1!$C$2:$C$396,W141)</f>
        <v>$2a$10$JxoiOjrvrY7oaRJe144tbORqa7h0cg1U3OF3XYzY8aZrz8CBQh2Zq</v>
      </c>
      <c r="W141">
        <f>MATCH(C141,Folha1!$B$2:$B$396,0)</f>
        <v>140</v>
      </c>
      <c r="Y141" t="str">
        <f t="shared" si="9"/>
        <v>(140,'med151', '$2a$10$JxoiOjrvrY7oaRJe144tbORqa7h0cg1U3OF3XYzY8aZrz8CBQh2Zq', 'José Francisco Soares Garcia', 'Masculino', '1975-07-15', 'Rua do Comércio', '1649-422', 'Lisboa', 'Médico', 'Portuguesa', 'Bilhete de Identidade', '67692095', '857851455', '622491139', '933347810', 'med151@hospital.upskill.com', 'doctor-male.jpg'),</v>
      </c>
      <c r="Z141" t="str">
        <f t="shared" si="10"/>
        <v>(140,'3795203368323520', '40'),</v>
      </c>
      <c r="AA141" t="str">
        <f t="shared" si="11"/>
        <v>(140),</v>
      </c>
    </row>
    <row r="142" spans="1:27" x14ac:dyDescent="0.25">
      <c r="A142">
        <v>141</v>
      </c>
      <c r="B142" t="s">
        <v>1602</v>
      </c>
      <c r="C142" t="s">
        <v>1603</v>
      </c>
      <c r="D142" t="s">
        <v>1604</v>
      </c>
      <c r="E142" t="s">
        <v>53</v>
      </c>
      <c r="F142" s="7">
        <v>30972</v>
      </c>
      <c r="G142" t="s">
        <v>230</v>
      </c>
      <c r="H142" t="s">
        <v>1605</v>
      </c>
      <c r="I142" t="s">
        <v>210</v>
      </c>
      <c r="J142" t="s">
        <v>3726</v>
      </c>
      <c r="K142" t="s">
        <v>225</v>
      </c>
      <c r="L142" t="s">
        <v>265</v>
      </c>
      <c r="M142" t="s">
        <v>1606</v>
      </c>
      <c r="N142" t="s">
        <v>1607</v>
      </c>
      <c r="O142" t="s">
        <v>1608</v>
      </c>
      <c r="P142" t="s">
        <v>1609</v>
      </c>
      <c r="Q142" t="s">
        <v>1610</v>
      </c>
      <c r="R142" t="str">
        <f t="shared" si="8"/>
        <v>doctor-male.jpg</v>
      </c>
      <c r="S142" s="8">
        <v>1659718176926493</v>
      </c>
      <c r="T142">
        <v>41</v>
      </c>
      <c r="V142" s="6" t="str" cm="1">
        <f t="array" ref="V142">INDEX(Folha1!$C$2:$C$396,W142)</f>
        <v>$2a$10$/blST1Ice1CJOSpzVE/.WuBBAOjvkqzGvKy5dHjzlD8M91bWW1WNm</v>
      </c>
      <c r="W142">
        <f>MATCH(C142,Folha1!$B$2:$B$396,0)</f>
        <v>141</v>
      </c>
      <c r="Y142" t="str">
        <f t="shared" si="9"/>
        <v>(141,'med152', '$2a$10$/blST1Ice1CJOSpzVE/.WuBBAOjvkqzGvKy5dHjzlD8M91bWW1WNm', 'Tomás Martim Monteiro Rodrigues', 'Masculino', '1984-10-17', 'Estrada da Circunvalação de Lisboa', '2650-224', 'Amadora', 'Médico', 'Portuguesa', 'Bilhete de Identidade', '22457210', '598445762', '362953002', '926793148', 'med152@hospital.upskill.com', 'doctor-male.jpg'),</v>
      </c>
      <c r="Z142" t="str">
        <f t="shared" si="10"/>
        <v>(141,'1659718176926490', '41'),</v>
      </c>
      <c r="AA142" t="str">
        <f t="shared" si="11"/>
        <v>(141),</v>
      </c>
    </row>
    <row r="143" spans="1:27" x14ac:dyDescent="0.25">
      <c r="A143">
        <v>142</v>
      </c>
      <c r="B143" t="s">
        <v>1611</v>
      </c>
      <c r="C143" t="s">
        <v>1612</v>
      </c>
      <c r="D143" t="s">
        <v>1613</v>
      </c>
      <c r="E143" t="s">
        <v>53</v>
      </c>
      <c r="F143" s="7">
        <v>9540</v>
      </c>
      <c r="G143" t="s">
        <v>246</v>
      </c>
      <c r="H143" t="s">
        <v>1614</v>
      </c>
      <c r="I143" t="s">
        <v>205</v>
      </c>
      <c r="J143" t="s">
        <v>3726</v>
      </c>
      <c r="K143" t="s">
        <v>225</v>
      </c>
      <c r="L143" t="s">
        <v>265</v>
      </c>
      <c r="M143" t="s">
        <v>1615</v>
      </c>
      <c r="N143" t="s">
        <v>1616</v>
      </c>
      <c r="O143" t="s">
        <v>1617</v>
      </c>
      <c r="P143" t="s">
        <v>1618</v>
      </c>
      <c r="Q143" t="s">
        <v>1619</v>
      </c>
      <c r="R143" t="str">
        <f t="shared" si="8"/>
        <v>doctor-male.jpg</v>
      </c>
      <c r="S143" s="8">
        <v>3187837485716546</v>
      </c>
      <c r="T143">
        <v>42</v>
      </c>
      <c r="V143" s="6" t="str" cm="1">
        <f t="array" ref="V143">INDEX(Folha1!$C$2:$C$396,W143)</f>
        <v>$2a$10$RD/Ym/FLUsT7lFRrwuabdu.ROKz7b/oH6GdhR.apDTGLA/JNYFQrS</v>
      </c>
      <c r="W143">
        <f>MATCH(C143,Folha1!$B$2:$B$396,0)</f>
        <v>142</v>
      </c>
      <c r="Y143" t="str">
        <f t="shared" si="9"/>
        <v>(142,'med153', '$2a$10$RD/Ym/FLUsT7lFRrwuabdu.ROKz7b/oH6GdhR.apDTGLA/JNYFQrS', 'Marco Maria Carvalho Fernandes', 'Masculino', '1926-02-12', 'Rua do Guarda-Mor', '2000-194', 'Santarém', 'Médico', 'Portuguesa', 'Bilhete de Identidade', '33569866', '966821609', '666195068', '920618676', 'med153@hospital.upskill.com', 'doctor-male.jpg'),</v>
      </c>
      <c r="Z143" t="str">
        <f t="shared" si="10"/>
        <v>(142,'3187837485716550', '42'),</v>
      </c>
      <c r="AA143" t="str">
        <f t="shared" si="11"/>
        <v>(142),</v>
      </c>
    </row>
    <row r="144" spans="1:27" x14ac:dyDescent="0.25">
      <c r="A144">
        <v>143</v>
      </c>
      <c r="B144" t="s">
        <v>1620</v>
      </c>
      <c r="C144" t="s">
        <v>1621</v>
      </c>
      <c r="D144" t="s">
        <v>1622</v>
      </c>
      <c r="E144" t="s">
        <v>53</v>
      </c>
      <c r="F144" s="7">
        <v>9785</v>
      </c>
      <c r="G144" t="s">
        <v>246</v>
      </c>
      <c r="H144" t="s">
        <v>1623</v>
      </c>
      <c r="I144" t="s">
        <v>205</v>
      </c>
      <c r="J144" t="s">
        <v>3726</v>
      </c>
      <c r="K144" t="s">
        <v>225</v>
      </c>
      <c r="L144" t="s">
        <v>265</v>
      </c>
      <c r="M144" t="s">
        <v>1624</v>
      </c>
      <c r="N144" t="s">
        <v>1625</v>
      </c>
      <c r="O144" t="s">
        <v>1626</v>
      </c>
      <c r="P144" t="s">
        <v>1627</v>
      </c>
      <c r="Q144" t="s">
        <v>1628</v>
      </c>
      <c r="R144" t="str">
        <f t="shared" si="8"/>
        <v>doctor-male.jpg</v>
      </c>
      <c r="S144" s="8">
        <v>5586177356510662</v>
      </c>
      <c r="T144">
        <v>43</v>
      </c>
      <c r="V144" s="6" t="str" cm="1">
        <f t="array" ref="V144">INDEX(Folha1!$C$2:$C$396,W144)</f>
        <v>$2a$10$vs5Esg3dqOXjL.RdlTyicuo7K/4LkwCoq0L3hg7IGF7WlKaEa491K</v>
      </c>
      <c r="W144">
        <f>MATCH(C144,Folha1!$B$2:$B$396,0)</f>
        <v>143</v>
      </c>
      <c r="Y144" t="str">
        <f t="shared" si="9"/>
        <v>(143,'med154', '$2a$10$vs5Esg3dqOXjL.RdlTyicuo7K/4LkwCoq0L3hg7IGF7WlKaEa491K', 'Marco Gabriel Neto Brito', 'Masculino', '1926-10-15', 'Rua do Guarda-Mor', '2005-374', 'Santarém', 'Médico', 'Portuguesa', 'Bilhete de Identidade', '16216762', '135723215', '672910609', '939888307', 'med154@hospital.upskill.com', 'doctor-male.jpg'),</v>
      </c>
      <c r="Z144" t="str">
        <f t="shared" si="10"/>
        <v>(143,'5586177356510660', '43'),</v>
      </c>
      <c r="AA144" t="str">
        <f t="shared" si="11"/>
        <v>(143),</v>
      </c>
    </row>
    <row r="145" spans="1:27" x14ac:dyDescent="0.25">
      <c r="A145">
        <v>144</v>
      </c>
      <c r="B145" t="s">
        <v>1629</v>
      </c>
      <c r="C145" t="s">
        <v>1630</v>
      </c>
      <c r="D145" t="s">
        <v>1631</v>
      </c>
      <c r="E145" t="s">
        <v>53</v>
      </c>
      <c r="F145" s="7">
        <v>26847</v>
      </c>
      <c r="G145" t="s">
        <v>230</v>
      </c>
      <c r="H145" t="s">
        <v>1632</v>
      </c>
      <c r="I145" t="s">
        <v>209</v>
      </c>
      <c r="J145" t="s">
        <v>3726</v>
      </c>
      <c r="K145" t="s">
        <v>225</v>
      </c>
      <c r="L145" t="s">
        <v>265</v>
      </c>
      <c r="M145" t="s">
        <v>1633</v>
      </c>
      <c r="N145" t="s">
        <v>1634</v>
      </c>
      <c r="O145" t="s">
        <v>1635</v>
      </c>
      <c r="P145" t="s">
        <v>1636</v>
      </c>
      <c r="Q145" t="s">
        <v>1637</v>
      </c>
      <c r="R145" t="str">
        <f t="shared" si="8"/>
        <v>doctor-male.jpg</v>
      </c>
      <c r="S145" s="8">
        <v>5308040961336151</v>
      </c>
      <c r="T145">
        <v>44</v>
      </c>
      <c r="V145" s="6" t="str" cm="1">
        <f t="array" ref="V145">INDEX(Folha1!$C$2:$C$396,W145)</f>
        <v>$2a$10$YwHhPg5dAqH6soFkD4YPX.GLMDX6RPTc5UqksWHIti/lIoYmvXGw2</v>
      </c>
      <c r="W145">
        <f>MATCH(C145,Folha1!$B$2:$B$396,0)</f>
        <v>144</v>
      </c>
      <c r="Y145" t="str">
        <f t="shared" si="9"/>
        <v>(144,'med155', '$2a$10$YwHhPg5dAqH6soFkD4YPX.GLMDX6RPTc5UqksWHIti/lIoYmvXGw2', 'Rodrigo Pedro Vicente Ramos', 'Masculino', '1973-07-02', 'Estrada da Circunvalação de Lisboa', '2805-399', 'Almada', 'Médico', 'Portuguesa', 'Bilhete de Identidade', '39858987', '763086675', '569998927', '932614861', 'med155@hospital.upskill.com', 'doctor-male.jpg'),</v>
      </c>
      <c r="Z145" t="str">
        <f t="shared" si="10"/>
        <v>(144,'5308040961336150', '44'),</v>
      </c>
      <c r="AA145" t="str">
        <f t="shared" si="11"/>
        <v>(144),</v>
      </c>
    </row>
    <row r="146" spans="1:27" x14ac:dyDescent="0.25">
      <c r="A146">
        <v>145</v>
      </c>
      <c r="B146" t="s">
        <v>1638</v>
      </c>
      <c r="C146" t="s">
        <v>1639</v>
      </c>
      <c r="D146" t="s">
        <v>1640</v>
      </c>
      <c r="E146" t="s">
        <v>53</v>
      </c>
      <c r="F146" s="7">
        <v>44029</v>
      </c>
      <c r="G146" t="s">
        <v>253</v>
      </c>
      <c r="H146" t="s">
        <v>1641</v>
      </c>
      <c r="I146" t="s">
        <v>211</v>
      </c>
      <c r="J146" t="s">
        <v>3726</v>
      </c>
      <c r="K146" t="s">
        <v>225</v>
      </c>
      <c r="L146" t="s">
        <v>265</v>
      </c>
      <c r="M146" t="s">
        <v>1642</v>
      </c>
      <c r="N146" t="s">
        <v>1643</v>
      </c>
      <c r="O146" t="s">
        <v>1644</v>
      </c>
      <c r="P146" t="s">
        <v>1645</v>
      </c>
      <c r="Q146" t="s">
        <v>1646</v>
      </c>
      <c r="R146" t="str">
        <f t="shared" si="8"/>
        <v>doctor-male.jpg</v>
      </c>
      <c r="S146" s="8">
        <v>1728449519927493</v>
      </c>
      <c r="T146">
        <v>45</v>
      </c>
      <c r="V146" s="6" t="str" cm="1">
        <f t="array" ref="V146">INDEX(Folha1!$C$2:$C$396,W146)</f>
        <v>$2a$10$CD05Bj0sGOc5TI1uqO.3feCfDfrt2TM866oStpdtepr9AshilvRzq</v>
      </c>
      <c r="W146">
        <f>MATCH(C146,Folha1!$B$2:$B$396,0)</f>
        <v>145</v>
      </c>
      <c r="Y146" t="str">
        <f t="shared" si="9"/>
        <v>(145,'med156', '$2a$10$CD05Bj0sGOc5TI1uqO.3feCfDfrt2TM866oStpdtepr9AshilvRzq', 'Gabriel João Nascimento Soares', 'Masculino', '2020-07-17', 'Rua de São Mamede', '1100-801', 'Lisboa', 'Médico', 'Portuguesa', 'Bilhete de Identidade', '31485019', '637852025', '527257313', '922083009', 'med156@hospital.upskill.com', 'doctor-male.jpg'),</v>
      </c>
      <c r="Z146" t="str">
        <f t="shared" si="10"/>
        <v>(145,'1728449519927490', '45'),</v>
      </c>
      <c r="AA146" t="str">
        <f t="shared" si="11"/>
        <v>(145),</v>
      </c>
    </row>
    <row r="147" spans="1:27" x14ac:dyDescent="0.25">
      <c r="A147">
        <v>146</v>
      </c>
      <c r="B147" t="s">
        <v>1647</v>
      </c>
      <c r="C147" t="s">
        <v>1648</v>
      </c>
      <c r="D147" t="s">
        <v>1649</v>
      </c>
      <c r="E147" t="s">
        <v>66</v>
      </c>
      <c r="F147" s="7">
        <v>11043</v>
      </c>
      <c r="G147" t="s">
        <v>241</v>
      </c>
      <c r="H147" t="s">
        <v>1650</v>
      </c>
      <c r="I147" t="s">
        <v>211</v>
      </c>
      <c r="J147" t="s">
        <v>3726</v>
      </c>
      <c r="K147" t="s">
        <v>225</v>
      </c>
      <c r="L147" t="s">
        <v>265</v>
      </c>
      <c r="M147" t="s">
        <v>1651</v>
      </c>
      <c r="N147" t="s">
        <v>1652</v>
      </c>
      <c r="O147" t="s">
        <v>1653</v>
      </c>
      <c r="P147" t="s">
        <v>1654</v>
      </c>
      <c r="Q147" t="s">
        <v>1655</v>
      </c>
      <c r="R147" t="str">
        <f t="shared" si="8"/>
        <v>doctor-female.jpg</v>
      </c>
      <c r="S147" s="8">
        <v>9301600321042160</v>
      </c>
      <c r="T147">
        <v>46</v>
      </c>
      <c r="V147" s="6" t="str" cm="1">
        <f t="array" ref="V147">INDEX(Folha1!$C$2:$C$396,W147)</f>
        <v>$2a$10$lGwwPDPtPaNTURMLc9AnvuoHSPihSbMDnM6J0fef0q8WgC1PiHGDq</v>
      </c>
      <c r="W147">
        <f>MATCH(C147,Folha1!$B$2:$B$396,0)</f>
        <v>146</v>
      </c>
      <c r="Y147" t="str">
        <f t="shared" si="9"/>
        <v>(146,'med157', '$2a$10$lGwwPDPtPaNTURMLc9AnvuoHSPihSbMDnM6J0fef0q8WgC1PiHGDq', 'Daniela Mariana Brito Raposo', 'Feminino', '1930-03-26', 'Rua da Prata', '1748-287', 'Lisboa', 'Médico', 'Portuguesa', 'Bilhete de Identidade', '75274436', '896917927', '763097499', '930200608', 'med157@hospital.upskill.com', 'doctor-female.jpg'),</v>
      </c>
      <c r="Z147" t="str">
        <f t="shared" si="10"/>
        <v>(146,'9301600321042160', '46'),</v>
      </c>
      <c r="AA147" t="str">
        <f t="shared" si="11"/>
        <v>(146),</v>
      </c>
    </row>
    <row r="148" spans="1:27" x14ac:dyDescent="0.25">
      <c r="A148">
        <v>147</v>
      </c>
      <c r="B148" t="s">
        <v>1656</v>
      </c>
      <c r="C148" t="s">
        <v>1657</v>
      </c>
      <c r="D148" t="s">
        <v>1658</v>
      </c>
      <c r="E148" t="s">
        <v>53</v>
      </c>
      <c r="F148" s="7">
        <v>28184</v>
      </c>
      <c r="G148" t="s">
        <v>231</v>
      </c>
      <c r="H148" t="s">
        <v>1659</v>
      </c>
      <c r="I148" t="s">
        <v>218</v>
      </c>
      <c r="J148" t="s">
        <v>3726</v>
      </c>
      <c r="K148" t="s">
        <v>225</v>
      </c>
      <c r="L148" t="s">
        <v>265</v>
      </c>
      <c r="M148" t="s">
        <v>1660</v>
      </c>
      <c r="N148" t="s">
        <v>1661</v>
      </c>
      <c r="O148" t="s">
        <v>1662</v>
      </c>
      <c r="P148" t="s">
        <v>1663</v>
      </c>
      <c r="Q148" t="s">
        <v>1664</v>
      </c>
      <c r="R148" t="str">
        <f t="shared" si="8"/>
        <v>doctor-male.jpg</v>
      </c>
      <c r="S148" s="8">
        <v>1115645096784077</v>
      </c>
      <c r="T148">
        <v>47</v>
      </c>
      <c r="V148" s="6" t="str" cm="1">
        <f t="array" ref="V148">INDEX(Folha1!$C$2:$C$396,W148)</f>
        <v>$2a$10$7TQJULduLqCGrYBCXoYM/.RoCarS.6x4SHqUMBOA/I7Qszu2Xk/3i</v>
      </c>
      <c r="W148">
        <f>MATCH(C148,Folha1!$B$2:$B$396,0)</f>
        <v>147</v>
      </c>
      <c r="Y148" t="str">
        <f t="shared" si="9"/>
        <v>(147,'med158', '$2a$10$7TQJULduLqCGrYBCXoYM/.RoCarS.6x4SHqUMBOA/I7Qszu2Xk/3i', 'Bruno Catarina Guerreiro Gomes', 'Masculino', '1977-02-28', 'Rua dos Fanqueiros', '2779-522', 'Carcavelos', 'Médico', 'Portuguesa', 'Bilhete de Identidade', '97742740', '249042616', '125574648', '966581609', 'med158@hospital.upskill.com', 'doctor-male.jpg'),</v>
      </c>
      <c r="Z148" t="str">
        <f t="shared" si="10"/>
        <v>(147,'1115645096784080', '47'),</v>
      </c>
      <c r="AA148" t="str">
        <f t="shared" si="11"/>
        <v>(147),</v>
      </c>
    </row>
    <row r="149" spans="1:27" x14ac:dyDescent="0.25">
      <c r="A149">
        <v>148</v>
      </c>
      <c r="B149" t="s">
        <v>1665</v>
      </c>
      <c r="C149" t="s">
        <v>1666</v>
      </c>
      <c r="D149" t="s">
        <v>1667</v>
      </c>
      <c r="E149" t="s">
        <v>66</v>
      </c>
      <c r="F149" s="7">
        <v>20148</v>
      </c>
      <c r="G149" t="s">
        <v>254</v>
      </c>
      <c r="H149" t="s">
        <v>1668</v>
      </c>
      <c r="I149" t="s">
        <v>210</v>
      </c>
      <c r="J149" t="s">
        <v>3726</v>
      </c>
      <c r="K149" t="s">
        <v>225</v>
      </c>
      <c r="L149" t="s">
        <v>265</v>
      </c>
      <c r="M149" t="s">
        <v>1669</v>
      </c>
      <c r="N149" t="s">
        <v>1670</v>
      </c>
      <c r="O149" t="s">
        <v>1671</v>
      </c>
      <c r="P149" t="s">
        <v>1672</v>
      </c>
      <c r="Q149" t="s">
        <v>1673</v>
      </c>
      <c r="R149" t="str">
        <f t="shared" si="8"/>
        <v>doctor-female.jpg</v>
      </c>
      <c r="S149" s="8">
        <v>5676832325510730</v>
      </c>
      <c r="T149">
        <v>48</v>
      </c>
      <c r="V149" s="6" t="str" cm="1">
        <f t="array" ref="V149">INDEX(Folha1!$C$2:$C$396,W149)</f>
        <v>$2a$10$.k0JmOKvNqRwTuQxQrvuA.KSiQ3.v2whgcG9xa1YiFb0nDQuMfxM2</v>
      </c>
      <c r="W149">
        <f>MATCH(C149,Folha1!$B$2:$B$396,0)</f>
        <v>148</v>
      </c>
      <c r="Y149" t="str">
        <f t="shared" si="9"/>
        <v>(148,'med159', '$2a$10$.k0JmOKvNqRwTuQxQrvuA.KSiQ3.v2whgcG9xa1YiFb0nDQuMfxM2', 'Sofia Inês Sá Jesus', 'Feminino', '1955-02-28', 'Rua do Sacramento à Lapa', '2610-872', 'Amadora', 'Médico', 'Portuguesa', 'Bilhete de Identidade', '27705984', '903387796', '563851406', '921728959', 'med159@hospital.upskill.com', 'doctor-female.jpg'),</v>
      </c>
      <c r="Z149" t="str">
        <f t="shared" si="10"/>
        <v>(148,'5676832325510730', '48'),</v>
      </c>
      <c r="AA149" t="str">
        <f t="shared" si="11"/>
        <v>(148),</v>
      </c>
    </row>
    <row r="150" spans="1:27" x14ac:dyDescent="0.25">
      <c r="A150">
        <v>149</v>
      </c>
      <c r="B150" t="s">
        <v>1674</v>
      </c>
      <c r="C150" t="s">
        <v>1675</v>
      </c>
      <c r="D150" t="s">
        <v>1676</v>
      </c>
      <c r="E150" t="s">
        <v>53</v>
      </c>
      <c r="F150" s="7">
        <v>40822</v>
      </c>
      <c r="G150" t="s">
        <v>243</v>
      </c>
      <c r="H150" t="s">
        <v>1677</v>
      </c>
      <c r="I150" t="s">
        <v>210</v>
      </c>
      <c r="J150" t="s">
        <v>3726</v>
      </c>
      <c r="K150" t="s">
        <v>225</v>
      </c>
      <c r="L150" t="s">
        <v>265</v>
      </c>
      <c r="M150" t="s">
        <v>1678</v>
      </c>
      <c r="N150" t="s">
        <v>1679</v>
      </c>
      <c r="O150" t="s">
        <v>1680</v>
      </c>
      <c r="P150" t="s">
        <v>1681</v>
      </c>
      <c r="Q150" t="s">
        <v>1682</v>
      </c>
      <c r="R150" t="str">
        <f t="shared" si="8"/>
        <v>doctor-male.jpg</v>
      </c>
      <c r="S150" s="8">
        <v>4498383892550020</v>
      </c>
      <c r="T150">
        <v>49</v>
      </c>
      <c r="V150" s="6" t="str" cm="1">
        <f t="array" ref="V150">INDEX(Folha1!$C$2:$C$396,W150)</f>
        <v>$2a$10$d9eBUWdMdnOlO6d4jP6qO.3BMPPT1Pt7ycU/nubUPfLks6mztzh02</v>
      </c>
      <c r="W150">
        <f>MATCH(C150,Folha1!$B$2:$B$396,0)</f>
        <v>149</v>
      </c>
      <c r="Y150" t="str">
        <f t="shared" si="9"/>
        <v>(149,'med160', '$2a$10$d9eBUWdMdnOlO6d4jP6qO.3BMPPT1Pt7ycU/nubUPfLks6mztzh02', 'Martim Martim Mendes Baptista', 'Masculino', '2011-10-06', 'Rua Roberto Duarte Silva', '2610-58', 'Amadora', 'Médico', 'Portuguesa', 'Bilhete de Identidade', '68314294', '466535486', '928420290', '965101270', 'med160@hospital.upskill.com', 'doctor-male.jpg'),</v>
      </c>
      <c r="Z150" t="str">
        <f t="shared" si="10"/>
        <v>(149,'4498383892550020', '49'),</v>
      </c>
      <c r="AA150" t="str">
        <f t="shared" si="11"/>
        <v>(149),</v>
      </c>
    </row>
    <row r="151" spans="1:27" x14ac:dyDescent="0.25">
      <c r="A151">
        <v>150</v>
      </c>
      <c r="B151" t="s">
        <v>1683</v>
      </c>
      <c r="C151" t="s">
        <v>1684</v>
      </c>
      <c r="D151" t="s">
        <v>1685</v>
      </c>
      <c r="E151" t="s">
        <v>53</v>
      </c>
      <c r="F151" s="7">
        <v>24061</v>
      </c>
      <c r="G151" t="s">
        <v>242</v>
      </c>
      <c r="H151" t="s">
        <v>1686</v>
      </c>
      <c r="I151" t="s">
        <v>211</v>
      </c>
      <c r="J151" t="s">
        <v>3726</v>
      </c>
      <c r="K151" t="s">
        <v>225</v>
      </c>
      <c r="L151" t="s">
        <v>265</v>
      </c>
      <c r="M151" t="s">
        <v>1687</v>
      </c>
      <c r="N151" t="s">
        <v>1688</v>
      </c>
      <c r="O151" t="s">
        <v>1689</v>
      </c>
      <c r="P151" t="s">
        <v>1690</v>
      </c>
      <c r="Q151" t="s">
        <v>1691</v>
      </c>
      <c r="R151" t="str">
        <f t="shared" si="8"/>
        <v>doctor-male.jpg</v>
      </c>
      <c r="S151" s="8">
        <v>3220026115235382</v>
      </c>
      <c r="T151">
        <v>50</v>
      </c>
      <c r="V151" s="6" t="str" cm="1">
        <f t="array" ref="V151">INDEX(Folha1!$C$2:$C$396,W151)</f>
        <v>$2a$10$9p/lGfrH4k8KWnGgt7bthOjYZSY8vnRB.cgwaZcPpIdK3qN.Z.GQS</v>
      </c>
      <c r="W151">
        <f>MATCH(C151,Folha1!$B$2:$B$396,0)</f>
        <v>150</v>
      </c>
      <c r="Y151" t="str">
        <f t="shared" si="9"/>
        <v>(150,'med161', '$2a$10$9p/lGfrH4k8KWnGgt7bthOjYZSY8vnRB.cgwaZcPpIdK3qN.Z.GQS', 'Francisco Ricardo Jesus Gomes', 'Masculino', '1965-11-15', 'Avenida Ressano Garcia', '1750-348', 'Lisboa', 'Médico', 'Portuguesa', 'Bilhete de Identidade', '87625569', '959522693', '322004746', '919165616', 'med161@hospital.upskill.com', 'doctor-male.jpg'),</v>
      </c>
      <c r="Z151" t="str">
        <f t="shared" si="10"/>
        <v>(150,'3220026115235380', '50'),</v>
      </c>
      <c r="AA151" t="str">
        <f t="shared" si="11"/>
        <v>(150),</v>
      </c>
    </row>
    <row r="152" spans="1:27" x14ac:dyDescent="0.25">
      <c r="A152">
        <v>151</v>
      </c>
      <c r="B152" t="s">
        <v>1692</v>
      </c>
      <c r="C152" t="s">
        <v>1693</v>
      </c>
      <c r="D152" t="s">
        <v>1694</v>
      </c>
      <c r="E152" t="s">
        <v>66</v>
      </c>
      <c r="F152" s="7">
        <v>29777</v>
      </c>
      <c r="G152" t="s">
        <v>236</v>
      </c>
      <c r="H152" t="s">
        <v>1695</v>
      </c>
      <c r="I152" t="s">
        <v>205</v>
      </c>
      <c r="J152" t="s">
        <v>3726</v>
      </c>
      <c r="K152" t="s">
        <v>225</v>
      </c>
      <c r="L152" t="s">
        <v>265</v>
      </c>
      <c r="M152" t="s">
        <v>1696</v>
      </c>
      <c r="N152" t="s">
        <v>1697</v>
      </c>
      <c r="O152" t="s">
        <v>1698</v>
      </c>
      <c r="P152" t="s">
        <v>1699</v>
      </c>
      <c r="Q152" t="s">
        <v>1700</v>
      </c>
      <c r="R152" t="str">
        <f t="shared" si="8"/>
        <v>doctor-female.jpg</v>
      </c>
      <c r="S152" s="8">
        <v>1531175671980242</v>
      </c>
      <c r="T152">
        <v>1</v>
      </c>
      <c r="V152" s="6" t="str" cm="1">
        <f t="array" ref="V152">INDEX(Folha1!$C$2:$C$396,W152)</f>
        <v>$2a$10$cLZ3rgteTUWbUSg0Q9B9PO6oULhWblfLpemRvk4OeM0SE7ZCY/X5G</v>
      </c>
      <c r="W152">
        <f>MATCH(C152,Folha1!$B$2:$B$396,0)</f>
        <v>151</v>
      </c>
      <c r="Y152" t="str">
        <f t="shared" si="9"/>
        <v>(151,'med162', '$2a$10$cLZ3rgteTUWbUSg0Q9B9PO6oULhWblfLpemRvk4OeM0SE7ZCY/X5G', 'Carolina Duarte Pinho Amaral', 'Feminino', '1981-07-10', 'Rua da Madalena', '2000-704', 'Santarém', 'Médico', 'Portuguesa', 'Bilhete de Identidade', '37297248', '850140471', '204287446', '921036009', 'med162@hospital.upskill.com', 'doctor-female.jpg'),</v>
      </c>
      <c r="Z152" t="str">
        <f t="shared" si="10"/>
        <v>(151,'1531175671980240', '1'),</v>
      </c>
      <c r="AA152" t="str">
        <f t="shared" si="11"/>
        <v>(151),</v>
      </c>
    </row>
    <row r="153" spans="1:27" x14ac:dyDescent="0.25">
      <c r="A153">
        <v>152</v>
      </c>
      <c r="B153" t="s">
        <v>1701</v>
      </c>
      <c r="C153" t="s">
        <v>1702</v>
      </c>
      <c r="D153" t="s">
        <v>1703</v>
      </c>
      <c r="E153" t="s">
        <v>66</v>
      </c>
      <c r="F153" s="7">
        <v>22302</v>
      </c>
      <c r="G153" t="s">
        <v>259</v>
      </c>
      <c r="H153" t="s">
        <v>1704</v>
      </c>
      <c r="I153" t="s">
        <v>211</v>
      </c>
      <c r="J153" t="s">
        <v>3726</v>
      </c>
      <c r="K153" t="s">
        <v>225</v>
      </c>
      <c r="L153" t="s">
        <v>265</v>
      </c>
      <c r="M153" t="s">
        <v>1705</v>
      </c>
      <c r="N153" t="s">
        <v>1706</v>
      </c>
      <c r="O153" t="s">
        <v>1707</v>
      </c>
      <c r="P153" t="s">
        <v>1708</v>
      </c>
      <c r="Q153" t="s">
        <v>1709</v>
      </c>
      <c r="R153" t="str">
        <f t="shared" si="8"/>
        <v>doctor-female.jpg</v>
      </c>
      <c r="S153" s="8">
        <v>7237707185847651</v>
      </c>
      <c r="T153">
        <v>2</v>
      </c>
      <c r="V153" s="6" t="str" cm="1">
        <f t="array" ref="V153">INDEX(Folha1!$C$2:$C$396,W153)</f>
        <v>$2a$10$8LMdWJBuzAxsQ91La/opq.WTMgU3Ax4BqJGXTSz9q1EdH5WXpMYLu</v>
      </c>
      <c r="W153">
        <f>MATCH(C153,Folha1!$B$2:$B$396,0)</f>
        <v>152</v>
      </c>
      <c r="Y153" t="str">
        <f t="shared" si="9"/>
        <v>(152,'med163', '$2a$10$8LMdWJBuzAxsQ91La/opq.WTMgU3Ax4BqJGXTSz9q1EdH5WXpMYLu', 'Lurdes Beatriz Coelho Domingues', 'Feminino', '1961-01-21', 'Rua da Alfândega', '1269-977', 'Lisboa', 'Médico', 'Portuguesa', 'Bilhete de Identidade', '49078320', '211141707', '670034332', '927617739', 'med163@hospital.upskill.com', 'doctor-female.jpg'),</v>
      </c>
      <c r="Z153" t="str">
        <f t="shared" si="10"/>
        <v>(152,'7237707185847650', '2'),</v>
      </c>
      <c r="AA153" t="str">
        <f t="shared" si="11"/>
        <v>(152),</v>
      </c>
    </row>
    <row r="154" spans="1:27" x14ac:dyDescent="0.25">
      <c r="A154">
        <v>153</v>
      </c>
      <c r="B154" t="s">
        <v>1710</v>
      </c>
      <c r="C154" t="s">
        <v>1711</v>
      </c>
      <c r="D154" t="s">
        <v>1712</v>
      </c>
      <c r="E154" t="s">
        <v>66</v>
      </c>
      <c r="F154" s="7">
        <v>44419</v>
      </c>
      <c r="G154" t="s">
        <v>247</v>
      </c>
      <c r="H154" t="s">
        <v>1713</v>
      </c>
      <c r="I154" t="s">
        <v>211</v>
      </c>
      <c r="J154" t="s">
        <v>3726</v>
      </c>
      <c r="K154" t="s">
        <v>225</v>
      </c>
      <c r="L154" t="s">
        <v>265</v>
      </c>
      <c r="M154" t="s">
        <v>1714</v>
      </c>
      <c r="N154" t="s">
        <v>1715</v>
      </c>
      <c r="O154" t="s">
        <v>1716</v>
      </c>
      <c r="P154" t="s">
        <v>1717</v>
      </c>
      <c r="Q154" t="s">
        <v>1718</v>
      </c>
      <c r="R154" t="str">
        <f t="shared" si="8"/>
        <v>doctor-female.jpg</v>
      </c>
      <c r="S154" s="8">
        <v>9482913060021680</v>
      </c>
      <c r="T154">
        <v>3</v>
      </c>
      <c r="V154" s="6" t="str" cm="1">
        <f t="array" ref="V154">INDEX(Folha1!$C$2:$C$396,W154)</f>
        <v>$2a$10$IN/KXiP15RfhMnZS6HVRrOY5TNPGF837YwjPHFeS62hZCWrFpWY0a</v>
      </c>
      <c r="W154">
        <f>MATCH(C154,Folha1!$B$2:$B$396,0)</f>
        <v>153</v>
      </c>
      <c r="Y154" t="str">
        <f t="shared" si="9"/>
        <v>(153,'med164', '$2a$10$IN/KXiP15RfhMnZS6HVRrOY5TNPGF837YwjPHFeS62hZCWrFpWY0a', 'Francisca Joana Leal Barbosa', 'Feminino', '2021-08-11', 'Rua Ferreira Lapa', '1169-962', 'Lisboa', 'Médico', 'Portuguesa', 'Bilhete de Identidade', '49110185', '578692489', '993984582', '912310903', 'med164@hospital.upskill.com', 'doctor-female.jpg'),</v>
      </c>
      <c r="Z154" t="str">
        <f t="shared" si="10"/>
        <v>(153,'9482913060021680', '3'),</v>
      </c>
      <c r="AA154" t="str">
        <f t="shared" si="11"/>
        <v>(153),</v>
      </c>
    </row>
    <row r="155" spans="1:27" x14ac:dyDescent="0.25">
      <c r="A155">
        <v>154</v>
      </c>
      <c r="B155" t="s">
        <v>1719</v>
      </c>
      <c r="C155" t="s">
        <v>1720</v>
      </c>
      <c r="D155" t="s">
        <v>1721</v>
      </c>
      <c r="E155" t="s">
        <v>66</v>
      </c>
      <c r="F155" s="7">
        <v>11307</v>
      </c>
      <c r="G155" t="s">
        <v>251</v>
      </c>
      <c r="H155" t="s">
        <v>1722</v>
      </c>
      <c r="I155" t="s">
        <v>211</v>
      </c>
      <c r="J155" t="s">
        <v>3726</v>
      </c>
      <c r="K155" t="s">
        <v>225</v>
      </c>
      <c r="L155" t="s">
        <v>265</v>
      </c>
      <c r="M155" t="s">
        <v>1723</v>
      </c>
      <c r="N155" t="s">
        <v>1724</v>
      </c>
      <c r="O155" t="s">
        <v>1725</v>
      </c>
      <c r="P155" t="s">
        <v>1726</v>
      </c>
      <c r="Q155" t="s">
        <v>1727</v>
      </c>
      <c r="R155" t="str">
        <f t="shared" si="8"/>
        <v>doctor-female.jpg</v>
      </c>
      <c r="S155" s="8">
        <v>1876172779664214</v>
      </c>
      <c r="T155">
        <v>4</v>
      </c>
      <c r="V155" s="6" t="str" cm="1">
        <f t="array" ref="V155">INDEX(Folha1!$C$2:$C$396,W155)</f>
        <v>$2a$10$ji3ckqrcxVLfeWDfWK483.iRZyv4Ra9GBH/ft3PILqYmur.L7r7OO</v>
      </c>
      <c r="W155">
        <f>MATCH(C155,Folha1!$B$2:$B$396,0)</f>
        <v>154</v>
      </c>
      <c r="Y155" t="str">
        <f t="shared" si="9"/>
        <v>(154,'med165', '$2a$10$ji3ckqrcxVLfeWDfWK483.iRZyv4Ra9GBH/ft3PILqYmur.L7r7OO', 'Mariana Afonso Vaz Coelho', 'Feminino', '1930-12-15', 'Rua do Salitre', '1169-806', 'Lisboa', 'Médico', 'Portuguesa', 'Bilhete de Identidade', '85044072', '332876310', '533899298', '931792508', 'med165@hospital.upskill.com', 'doctor-female.jpg'),</v>
      </c>
      <c r="Z155" t="str">
        <f t="shared" si="10"/>
        <v>(154,'1876172779664210', '4'),</v>
      </c>
      <c r="AA155" t="str">
        <f t="shared" si="11"/>
        <v>(154),</v>
      </c>
    </row>
    <row r="156" spans="1:27" x14ac:dyDescent="0.25">
      <c r="A156">
        <v>155</v>
      </c>
      <c r="B156" t="s">
        <v>1728</v>
      </c>
      <c r="C156" t="s">
        <v>1729</v>
      </c>
      <c r="D156" t="s">
        <v>1730</v>
      </c>
      <c r="E156" t="s">
        <v>66</v>
      </c>
      <c r="F156" s="7">
        <v>31637</v>
      </c>
      <c r="G156" t="s">
        <v>240</v>
      </c>
      <c r="H156" t="s">
        <v>1731</v>
      </c>
      <c r="I156" t="s">
        <v>206</v>
      </c>
      <c r="J156" t="s">
        <v>3726</v>
      </c>
      <c r="K156" t="s">
        <v>225</v>
      </c>
      <c r="L156" t="s">
        <v>265</v>
      </c>
      <c r="M156" t="s">
        <v>1732</v>
      </c>
      <c r="N156" t="s">
        <v>1733</v>
      </c>
      <c r="O156" t="s">
        <v>1734</v>
      </c>
      <c r="P156" t="s">
        <v>1735</v>
      </c>
      <c r="Q156" t="s">
        <v>1736</v>
      </c>
      <c r="R156" t="str">
        <f t="shared" si="8"/>
        <v>doctor-female.jpg</v>
      </c>
      <c r="S156" s="8">
        <v>5295900243505132</v>
      </c>
      <c r="T156">
        <v>5</v>
      </c>
      <c r="V156" s="6" t="str" cm="1">
        <f t="array" ref="V156">INDEX(Folha1!$C$2:$C$396,W156)</f>
        <v>$2a$10$F1k40ez5Gmfh.HuI.0lW2uP6UfAcdAzvq02eWuJPH3fbfhhI88TNC</v>
      </c>
      <c r="W156">
        <f>MATCH(C156,Folha1!$B$2:$B$396,0)</f>
        <v>155</v>
      </c>
      <c r="Y156" t="str">
        <f t="shared" si="9"/>
        <v>(155,'med166', '$2a$10$F1k40ez5Gmfh.HuI.0lW2uP6UfAcdAzvq02eWuJPH3fbfhhI88TNC', 'Vera Matilde Henriques Torres', 'Feminino', '1986-08-13', 'Calçada do Poço dos Mouros', '2714-39', 'Sintra', 'Médico', 'Portuguesa', 'Bilhete de Identidade', '54351832', '512310400', '438529874', '936697922', 'med166@hospital.upskill.com', 'doctor-female.jpg'),</v>
      </c>
      <c r="Z156" t="str">
        <f t="shared" si="10"/>
        <v>(155,'5295900243505130', '5'),</v>
      </c>
      <c r="AA156" t="str">
        <f t="shared" si="11"/>
        <v>(155),</v>
      </c>
    </row>
    <row r="157" spans="1:27" x14ac:dyDescent="0.25">
      <c r="A157">
        <v>156</v>
      </c>
      <c r="B157" t="s">
        <v>1737</v>
      </c>
      <c r="C157" t="s">
        <v>1738</v>
      </c>
      <c r="D157" t="s">
        <v>1739</v>
      </c>
      <c r="E157" t="s">
        <v>53</v>
      </c>
      <c r="F157" s="7">
        <v>42520</v>
      </c>
      <c r="G157" t="s">
        <v>259</v>
      </c>
      <c r="H157" t="s">
        <v>1740</v>
      </c>
      <c r="I157" t="s">
        <v>221</v>
      </c>
      <c r="J157" t="s">
        <v>3726</v>
      </c>
      <c r="K157" t="s">
        <v>225</v>
      </c>
      <c r="L157" t="s">
        <v>265</v>
      </c>
      <c r="M157" t="s">
        <v>1741</v>
      </c>
      <c r="N157" t="s">
        <v>1742</v>
      </c>
      <c r="O157" t="s">
        <v>1743</v>
      </c>
      <c r="P157" t="s">
        <v>1744</v>
      </c>
      <c r="Q157" t="s">
        <v>1745</v>
      </c>
      <c r="R157" t="str">
        <f t="shared" si="8"/>
        <v>doctor-male.jpg</v>
      </c>
      <c r="S157" s="8">
        <v>1868642857939789</v>
      </c>
      <c r="T157">
        <v>6</v>
      </c>
      <c r="V157" s="6" t="str" cm="1">
        <f t="array" ref="V157">INDEX(Folha1!$C$2:$C$396,W157)</f>
        <v>$2a$10$n5d8jIwF5jPJp6qOOK5E3eBZ1YzNfWapz16yjiOS47BMKjBCvEgvG</v>
      </c>
      <c r="W157">
        <f>MATCH(C157,Folha1!$B$2:$B$396,0)</f>
        <v>156</v>
      </c>
      <c r="Y157" t="str">
        <f t="shared" si="9"/>
        <v>(156,'med167', '$2a$10$n5d8jIwF5jPJp6qOOK5E3eBZ1YzNfWapz16yjiOS47BMKjBCvEgvG', 'Luís Miguel Mota Barbosa', 'Masculino', '2016-05-30', 'Rua da Alfândega', '2825-653', 'Costa de Caparica', 'Médico', 'Portuguesa', 'Bilhete de Identidade', '80978954', '358095370', '771156914', '919374387', 'med167@hospital.upskill.com', 'doctor-male.jpg'),</v>
      </c>
      <c r="Z157" t="str">
        <f t="shared" si="10"/>
        <v>(156,'1868642857939790', '6'),</v>
      </c>
      <c r="AA157" t="str">
        <f t="shared" si="11"/>
        <v>(156),</v>
      </c>
    </row>
    <row r="158" spans="1:27" x14ac:dyDescent="0.25">
      <c r="A158">
        <v>157</v>
      </c>
      <c r="B158" t="s">
        <v>1746</v>
      </c>
      <c r="C158" t="s">
        <v>1747</v>
      </c>
      <c r="D158" t="s">
        <v>1748</v>
      </c>
      <c r="E158" t="s">
        <v>53</v>
      </c>
      <c r="F158" s="7">
        <v>37371</v>
      </c>
      <c r="G158" t="s">
        <v>238</v>
      </c>
      <c r="H158" t="s">
        <v>1749</v>
      </c>
      <c r="I158" t="s">
        <v>208</v>
      </c>
      <c r="J158" t="s">
        <v>3726</v>
      </c>
      <c r="K158" t="s">
        <v>225</v>
      </c>
      <c r="L158" t="s">
        <v>265</v>
      </c>
      <c r="M158" t="s">
        <v>1750</v>
      </c>
      <c r="N158" t="s">
        <v>1751</v>
      </c>
      <c r="O158" t="s">
        <v>1752</v>
      </c>
      <c r="P158" t="s">
        <v>1753</v>
      </c>
      <c r="Q158" t="s">
        <v>1754</v>
      </c>
      <c r="R158" t="str">
        <f t="shared" si="8"/>
        <v>doctor-male.jpg</v>
      </c>
      <c r="S158" s="8">
        <v>4567995636649508</v>
      </c>
      <c r="T158">
        <v>7</v>
      </c>
      <c r="V158" s="6" t="str" cm="1">
        <f t="array" ref="V158">INDEX(Folha1!$C$2:$C$396,W158)</f>
        <v>$2a$10$junMTNPPi0kqlCqkBZRJMuBM9Q1H1W2qSh65aVKC3pMkOvh/CSNYi</v>
      </c>
      <c r="W158">
        <f>MATCH(C158,Folha1!$B$2:$B$396,0)</f>
        <v>157</v>
      </c>
      <c r="Y158" t="str">
        <f t="shared" si="9"/>
        <v>(157,'med168', '$2a$10$junMTNPPi0kqlCqkBZRJMuBM9Q1H1W2qSh65aVKC3pMkOvh/CSNYi', 'Tiago Catarina Batista Raposo', 'Masculino', '2002-04-25', 'Calçada do Moinho de Vento', '2904-79', 'Setúbal', 'Médico', 'Portuguesa', 'Bilhete de Identidade', '97918113', '461473866', '135205573', '962802926', 'med168@hospital.upskill.com', 'doctor-male.jpg'),</v>
      </c>
      <c r="Z158" t="str">
        <f t="shared" si="10"/>
        <v>(157,'4567995636649510', '7'),</v>
      </c>
      <c r="AA158" t="str">
        <f t="shared" si="11"/>
        <v>(157),</v>
      </c>
    </row>
    <row r="159" spans="1:27" x14ac:dyDescent="0.25">
      <c r="A159">
        <v>158</v>
      </c>
      <c r="B159" t="s">
        <v>1755</v>
      </c>
      <c r="C159" t="s">
        <v>1756</v>
      </c>
      <c r="D159" t="s">
        <v>1757</v>
      </c>
      <c r="E159" t="s">
        <v>53</v>
      </c>
      <c r="F159" s="7">
        <v>19794</v>
      </c>
      <c r="G159" t="s">
        <v>228</v>
      </c>
      <c r="H159" t="s">
        <v>1758</v>
      </c>
      <c r="I159" t="s">
        <v>205</v>
      </c>
      <c r="J159" t="s">
        <v>3726</v>
      </c>
      <c r="K159" t="s">
        <v>225</v>
      </c>
      <c r="L159" t="s">
        <v>265</v>
      </c>
      <c r="M159" t="s">
        <v>1759</v>
      </c>
      <c r="N159" t="s">
        <v>1760</v>
      </c>
      <c r="O159" t="s">
        <v>1761</v>
      </c>
      <c r="P159" t="s">
        <v>1762</v>
      </c>
      <c r="Q159" t="s">
        <v>1763</v>
      </c>
      <c r="R159" t="str">
        <f t="shared" si="8"/>
        <v>doctor-male.jpg</v>
      </c>
      <c r="S159" s="8">
        <v>1839240359518795</v>
      </c>
      <c r="T159">
        <v>8</v>
      </c>
      <c r="V159" s="6" t="str" cm="1">
        <f t="array" ref="V159">INDEX(Folha1!$C$2:$C$396,W159)</f>
        <v>$2a$10$3XHYbb1uR57G2HlQSVTv2euyPEnXZoAeJexJZSds/67qtoV8QRuyi</v>
      </c>
      <c r="W159">
        <f>MATCH(C159,Folha1!$B$2:$B$396,0)</f>
        <v>158</v>
      </c>
      <c r="Y159" t="str">
        <f t="shared" si="9"/>
        <v>(158,'med169', '$2a$10$3XHYbb1uR57G2HlQSVTv2euyPEnXZoAeJexJZSds/67qtoV8QRuyi', 'Afonso Ana Paiva Nunes', 'Masculino', '1954-03-11', 'Calçada de Carriche', '2004-184', 'Santarém', 'Médico', 'Portuguesa', 'Bilhete de Identidade', '87190151', '349320258', '825206033', '931999868', 'med169@hospital.upskill.com', 'doctor-male.jpg'),</v>
      </c>
      <c r="Z159" t="str">
        <f t="shared" si="10"/>
        <v>(158,'1839240359518790', '8'),</v>
      </c>
      <c r="AA159" t="str">
        <f t="shared" si="11"/>
        <v>(158),</v>
      </c>
    </row>
    <row r="160" spans="1:27" x14ac:dyDescent="0.25">
      <c r="A160">
        <v>159</v>
      </c>
      <c r="B160" t="s">
        <v>1764</v>
      </c>
      <c r="C160" t="s">
        <v>1765</v>
      </c>
      <c r="D160" t="s">
        <v>1766</v>
      </c>
      <c r="E160" t="s">
        <v>66</v>
      </c>
      <c r="F160" s="7">
        <v>18245</v>
      </c>
      <c r="G160" t="s">
        <v>246</v>
      </c>
      <c r="H160" t="s">
        <v>1767</v>
      </c>
      <c r="I160" t="s">
        <v>209</v>
      </c>
      <c r="J160" t="s">
        <v>3726</v>
      </c>
      <c r="K160" t="s">
        <v>225</v>
      </c>
      <c r="L160" t="s">
        <v>265</v>
      </c>
      <c r="M160" t="s">
        <v>1768</v>
      </c>
      <c r="N160" t="s">
        <v>1769</v>
      </c>
      <c r="O160" t="s">
        <v>1770</v>
      </c>
      <c r="P160" t="s">
        <v>1771</v>
      </c>
      <c r="Q160" t="s">
        <v>1772</v>
      </c>
      <c r="R160" t="str">
        <f t="shared" si="8"/>
        <v>doctor-female.jpg</v>
      </c>
      <c r="S160" s="8">
        <v>7409569486106522</v>
      </c>
      <c r="T160">
        <v>9</v>
      </c>
      <c r="V160" s="6" t="str" cm="1">
        <f t="array" ref="V160">INDEX(Folha1!$C$2:$C$396,W160)</f>
        <v>$2a$10$WxGZYl6xCrx0fE/zSNBn0OvpqntFiYp.mgXjSR1LOXrxuPIMtX5DC</v>
      </c>
      <c r="W160">
        <f>MATCH(C160,Folha1!$B$2:$B$396,0)</f>
        <v>159</v>
      </c>
      <c r="Y160" t="str">
        <f t="shared" si="9"/>
        <v>(159,'med170', '$2a$10$WxGZYl6xCrx0fE/zSNBn0OvpqntFiYp.mgXjSR1LOXrxuPIMtX5DC', 'Daniela André Andrade Barbosa', 'Feminino', '1949-12-13', 'Rua do Guarda-Mor', '2814-57', 'Almada', 'Médico', 'Portuguesa', 'Bilhete de Identidade', '23357029', '212629083', '686276368', '966920989', 'med170@hospital.upskill.com', 'doctor-female.jpg'),</v>
      </c>
      <c r="Z160" t="str">
        <f t="shared" si="10"/>
        <v>(159,'7409569486106520', '9'),</v>
      </c>
      <c r="AA160" t="str">
        <f t="shared" si="11"/>
        <v>(159),</v>
      </c>
    </row>
    <row r="161" spans="1:27" x14ac:dyDescent="0.25">
      <c r="A161">
        <v>160</v>
      </c>
      <c r="B161" t="s">
        <v>1773</v>
      </c>
      <c r="C161" t="s">
        <v>1774</v>
      </c>
      <c r="D161" t="s">
        <v>1775</v>
      </c>
      <c r="E161" t="s">
        <v>66</v>
      </c>
      <c r="F161" s="7">
        <v>36726</v>
      </c>
      <c r="G161" t="s">
        <v>241</v>
      </c>
      <c r="H161" t="s">
        <v>1776</v>
      </c>
      <c r="I161" t="s">
        <v>211</v>
      </c>
      <c r="J161" t="s">
        <v>3726</v>
      </c>
      <c r="K161" t="s">
        <v>225</v>
      </c>
      <c r="L161" t="s">
        <v>265</v>
      </c>
      <c r="M161" t="s">
        <v>1777</v>
      </c>
      <c r="N161" t="s">
        <v>1778</v>
      </c>
      <c r="O161" t="s">
        <v>1779</v>
      </c>
      <c r="P161" t="s">
        <v>1780</v>
      </c>
      <c r="Q161" t="s">
        <v>1781</v>
      </c>
      <c r="R161" t="str">
        <f t="shared" si="8"/>
        <v>doctor-female.jpg</v>
      </c>
      <c r="S161" s="8">
        <v>6868610640196590</v>
      </c>
      <c r="T161">
        <v>10</v>
      </c>
      <c r="V161" s="6" t="str" cm="1">
        <f t="array" ref="V161">INDEX(Folha1!$C$2:$C$396,W161)</f>
        <v>$2a$10$CAkprTBXxnVW5zQAVSF9w.FujFHdsmdM5K4yCBn6fxzMDIgqsbBze</v>
      </c>
      <c r="W161">
        <f>MATCH(C161,Folha1!$B$2:$B$396,0)</f>
        <v>160</v>
      </c>
      <c r="Y161" t="str">
        <f t="shared" si="9"/>
        <v>(160,'med171', '$2a$10$CAkprTBXxnVW5zQAVSF9w.FujFHdsmdM5K4yCBn6fxzMDIgqsbBze', 'Beatriz Miguel Gaspar Almeida', 'Feminino', '2000-07-19', 'Rua da Prata', '1800-397', 'Lisboa', 'Médico', 'Portuguesa', 'Bilhete de Identidade', '29843426', '923188446', '641425464', '960955984', 'med171@hospital.upskill.com', 'doctor-female.jpg'),</v>
      </c>
      <c r="Z161" t="str">
        <f t="shared" si="10"/>
        <v>(160,'6868610640196590', '10'),</v>
      </c>
      <c r="AA161" t="str">
        <f t="shared" si="11"/>
        <v>(160),</v>
      </c>
    </row>
    <row r="162" spans="1:27" x14ac:dyDescent="0.25">
      <c r="A162">
        <v>161</v>
      </c>
      <c r="B162" t="s">
        <v>1782</v>
      </c>
      <c r="C162" t="s">
        <v>1783</v>
      </c>
      <c r="D162" t="s">
        <v>1784</v>
      </c>
      <c r="E162" t="s">
        <v>66</v>
      </c>
      <c r="F162" s="7">
        <v>21504</v>
      </c>
      <c r="G162" t="s">
        <v>257</v>
      </c>
      <c r="H162" t="s">
        <v>1785</v>
      </c>
      <c r="I162" t="s">
        <v>208</v>
      </c>
      <c r="J162" t="s">
        <v>3726</v>
      </c>
      <c r="K162" t="s">
        <v>225</v>
      </c>
      <c r="L162" t="s">
        <v>265</v>
      </c>
      <c r="M162" t="s">
        <v>1786</v>
      </c>
      <c r="N162" t="s">
        <v>1787</v>
      </c>
      <c r="O162" t="s">
        <v>1788</v>
      </c>
      <c r="P162" t="s">
        <v>1789</v>
      </c>
      <c r="Q162" t="s">
        <v>1790</v>
      </c>
      <c r="R162" t="str">
        <f t="shared" si="8"/>
        <v>doctor-female.jpg</v>
      </c>
      <c r="S162" s="8">
        <v>4516429203473010</v>
      </c>
      <c r="T162">
        <v>11</v>
      </c>
      <c r="V162" s="6" t="str" cm="1">
        <f t="array" ref="V162">INDEX(Folha1!$C$2:$C$396,W162)</f>
        <v>$2a$10$rY/LZncrAWv/E3vqIA0Qce4.KRjmZ3prGBvjHoh8BMy8uU.JMiOyq</v>
      </c>
      <c r="W162">
        <f>MATCH(C162,Folha1!$B$2:$B$396,0)</f>
        <v>161</v>
      </c>
      <c r="Y162" t="str">
        <f t="shared" si="9"/>
        <v>(161,'med172', '$2a$10$rY/LZncrAWv/E3vqIA0Qce4.KRjmZ3prGBvjHoh8BMy8uU.JMiOyq', 'Maria Francisco Torres Ferreira', 'Feminino', '1958-11-15', 'Rua do Sol a Santana', '2900-39', 'Setúbal', 'Médico', 'Portuguesa', 'Bilhete de Identidade', '98632300', '663707373', '408981479', '920051430', 'med172@hospital.upskill.com', 'doctor-female.jpg'),</v>
      </c>
      <c r="Z162" t="str">
        <f t="shared" si="10"/>
        <v>(161,'4516429203473010', '11'),</v>
      </c>
      <c r="AA162" t="str">
        <f t="shared" si="11"/>
        <v>(161),</v>
      </c>
    </row>
    <row r="163" spans="1:27" x14ac:dyDescent="0.25">
      <c r="A163">
        <v>162</v>
      </c>
      <c r="B163" t="s">
        <v>1791</v>
      </c>
      <c r="C163" t="s">
        <v>1792</v>
      </c>
      <c r="D163" t="s">
        <v>1793</v>
      </c>
      <c r="E163" t="s">
        <v>66</v>
      </c>
      <c r="F163" s="7">
        <v>20070</v>
      </c>
      <c r="G163" t="s">
        <v>239</v>
      </c>
      <c r="H163" t="s">
        <v>1794</v>
      </c>
      <c r="I163" t="s">
        <v>203</v>
      </c>
      <c r="J163" t="s">
        <v>3726</v>
      </c>
      <c r="K163" t="s">
        <v>225</v>
      </c>
      <c r="L163" t="s">
        <v>265</v>
      </c>
      <c r="M163" t="s">
        <v>1795</v>
      </c>
      <c r="N163" t="s">
        <v>1796</v>
      </c>
      <c r="O163" t="s">
        <v>1797</v>
      </c>
      <c r="P163" t="s">
        <v>1798</v>
      </c>
      <c r="Q163" t="s">
        <v>1799</v>
      </c>
      <c r="R163" t="str">
        <f t="shared" si="8"/>
        <v>doctor-female.jpg</v>
      </c>
      <c r="S163" s="8">
        <v>7814471210857364</v>
      </c>
      <c r="T163">
        <v>12</v>
      </c>
      <c r="V163" s="6" t="str" cm="1">
        <f t="array" ref="V163">INDEX(Folha1!$C$2:$C$396,W163)</f>
        <v>$2a$10$6rVaI7w6KRoRIE7.Zl5sOe1SncSp9bnTfcn.uCvhzg0VOoDzUy/x.</v>
      </c>
      <c r="W163">
        <f>MATCH(C163,Folha1!$B$2:$B$396,0)</f>
        <v>162</v>
      </c>
      <c r="Y163" t="str">
        <f t="shared" si="9"/>
        <v>(162,'med173', '$2a$10$6rVaI7w6KRoRIE7.Zl5sOe1SncSp9bnTfcn.uCvhzg0VOoDzUy/x.', 'Lurdes Mariana Almeida Moura', 'Feminino', '1954-12-12', 'Rua da Oliveira ao Carmo', '2350-47', 'Torres Novas', 'Médico', 'Portuguesa', 'Bilhete de Identidade', '73820576', '524885903', '539896198', '963304339', 'med173@hospital.upskill.com', 'doctor-female.jpg'),</v>
      </c>
      <c r="Z163" t="str">
        <f t="shared" si="10"/>
        <v>(162,'7814471210857360', '12'),</v>
      </c>
      <c r="AA163" t="str">
        <f t="shared" si="11"/>
        <v>(162),</v>
      </c>
    </row>
    <row r="164" spans="1:27" x14ac:dyDescent="0.25">
      <c r="A164">
        <v>163</v>
      </c>
      <c r="B164" t="s">
        <v>1800</v>
      </c>
      <c r="C164" t="s">
        <v>1801</v>
      </c>
      <c r="D164" t="s">
        <v>1802</v>
      </c>
      <c r="E164" t="s">
        <v>53</v>
      </c>
      <c r="F164" s="7">
        <v>24653</v>
      </c>
      <c r="G164" t="s">
        <v>243</v>
      </c>
      <c r="H164" t="s">
        <v>1803</v>
      </c>
      <c r="I164" t="s">
        <v>207</v>
      </c>
      <c r="J164" t="s">
        <v>3726</v>
      </c>
      <c r="K164" t="s">
        <v>225</v>
      </c>
      <c r="L164" t="s">
        <v>265</v>
      </c>
      <c r="M164" t="s">
        <v>1804</v>
      </c>
      <c r="N164" t="s">
        <v>1805</v>
      </c>
      <c r="O164" t="s">
        <v>1806</v>
      </c>
      <c r="P164" t="s">
        <v>1807</v>
      </c>
      <c r="Q164" t="s">
        <v>1808</v>
      </c>
      <c r="R164" t="str">
        <f t="shared" si="8"/>
        <v>doctor-male.jpg</v>
      </c>
      <c r="S164" s="8">
        <v>4031754384810001</v>
      </c>
      <c r="T164">
        <v>13</v>
      </c>
      <c r="V164" s="6" t="str" cm="1">
        <f t="array" ref="V164">INDEX(Folha1!$C$2:$C$396,W164)</f>
        <v>$2a$10$qsDTTsBdEeEM15vJF734G.k/rQz61pK85uFUBR6cGey4oCyNsQQqy</v>
      </c>
      <c r="W164">
        <f>MATCH(C164,Folha1!$B$2:$B$396,0)</f>
        <v>163</v>
      </c>
      <c r="Y164" t="str">
        <f t="shared" si="9"/>
        <v>(163,'med174', '$2a$10$qsDTTsBdEeEM15vJF734G.k/rQz61pK85uFUBR6cGey4oCyNsQQqy', 'Diogo Bruno Vieira Jesus', 'Masculino', '1967-06-30', 'Rua Roberto Duarte Silva', '2749-323', 'Queluz', 'Médico', 'Portuguesa', 'Bilhete de Identidade', '52245547', '107167212', '939277197', '936205064', 'med174@hospital.upskill.com', 'doctor-male.jpg'),</v>
      </c>
      <c r="Z164" t="str">
        <f t="shared" si="10"/>
        <v>(163,'4031754384810000', '13'),</v>
      </c>
      <c r="AA164" t="str">
        <f t="shared" si="11"/>
        <v>(163),</v>
      </c>
    </row>
    <row r="165" spans="1:27" x14ac:dyDescent="0.25">
      <c r="A165">
        <v>164</v>
      </c>
      <c r="B165" t="s">
        <v>1809</v>
      </c>
      <c r="C165" t="s">
        <v>1810</v>
      </c>
      <c r="D165" t="s">
        <v>1811</v>
      </c>
      <c r="E165" t="s">
        <v>53</v>
      </c>
      <c r="F165" s="7">
        <v>43783</v>
      </c>
      <c r="G165" t="s">
        <v>242</v>
      </c>
      <c r="H165" t="s">
        <v>1812</v>
      </c>
      <c r="I165" t="s">
        <v>220</v>
      </c>
      <c r="J165" t="s">
        <v>3726</v>
      </c>
      <c r="K165" t="s">
        <v>225</v>
      </c>
      <c r="L165" t="s">
        <v>265</v>
      </c>
      <c r="M165" t="s">
        <v>1813</v>
      </c>
      <c r="N165" t="s">
        <v>1814</v>
      </c>
      <c r="O165" t="s">
        <v>1815</v>
      </c>
      <c r="P165" t="s">
        <v>1816</v>
      </c>
      <c r="Q165" t="s">
        <v>1817</v>
      </c>
      <c r="R165" t="str">
        <f t="shared" si="8"/>
        <v>doctor-male.jpg</v>
      </c>
      <c r="S165" s="8">
        <v>2976861309787376</v>
      </c>
      <c r="T165">
        <v>14</v>
      </c>
      <c r="V165" s="6" t="str" cm="1">
        <f t="array" ref="V165">INDEX(Folha1!$C$2:$C$396,W165)</f>
        <v>$2a$10$N3jGIblPyu.zwTm33B7TwO/kzQ6PKP1UpaRIVFVkv4/g87qwlWuDy</v>
      </c>
      <c r="W165">
        <f>MATCH(C165,Folha1!$B$2:$B$396,0)</f>
        <v>164</v>
      </c>
      <c r="Y165" t="str">
        <f t="shared" si="9"/>
        <v>(164,'med175', '$2a$10$N3jGIblPyu.zwTm33B7TwO/kzQ6PKP1UpaRIVFVkv4/g87qwlWuDy', 'Bruno Ricardo Vicente Ribeiro', 'Masculino', '2019-11-14', 'Avenida Ressano Garcia', '2754-296', 'Cascais', 'Médico', 'Portuguesa', 'Bilhete de Identidade', '63601759', '259595960', '386856592', '930844057', 'med175@hospital.upskill.com', 'doctor-male.jpg'),</v>
      </c>
      <c r="Z165" t="str">
        <f t="shared" si="10"/>
        <v>(164,'2976861309787380', '14'),</v>
      </c>
      <c r="AA165" t="str">
        <f t="shared" si="11"/>
        <v>(164),</v>
      </c>
    </row>
    <row r="166" spans="1:27" x14ac:dyDescent="0.25">
      <c r="A166">
        <v>165</v>
      </c>
      <c r="B166" t="s">
        <v>1818</v>
      </c>
      <c r="C166" t="s">
        <v>1819</v>
      </c>
      <c r="D166" t="s">
        <v>1820</v>
      </c>
      <c r="E166" t="s">
        <v>53</v>
      </c>
      <c r="F166" s="7">
        <v>36076</v>
      </c>
      <c r="G166" t="s">
        <v>252</v>
      </c>
      <c r="H166" t="s">
        <v>1821</v>
      </c>
      <c r="I166" t="s">
        <v>210</v>
      </c>
      <c r="J166" t="s">
        <v>3726</v>
      </c>
      <c r="K166" t="s">
        <v>225</v>
      </c>
      <c r="L166" t="s">
        <v>265</v>
      </c>
      <c r="M166" t="s">
        <v>1822</v>
      </c>
      <c r="N166" t="s">
        <v>1823</v>
      </c>
      <c r="O166" t="s">
        <v>1824</v>
      </c>
      <c r="P166" t="s">
        <v>1825</v>
      </c>
      <c r="Q166" t="s">
        <v>1826</v>
      </c>
      <c r="R166" t="str">
        <f t="shared" si="8"/>
        <v>doctor-male.jpg</v>
      </c>
      <c r="S166" s="8">
        <v>3780392809280976</v>
      </c>
      <c r="T166">
        <v>15</v>
      </c>
      <c r="V166" s="6" t="str" cm="1">
        <f t="array" ref="V166">INDEX(Folha1!$C$2:$C$396,W166)</f>
        <v>$2a$10$f4wGfCn4H/Az7j0UAGgpHu/YUAer7NHh7Rd9S1JrXqJY/pR8td43W</v>
      </c>
      <c r="W166">
        <f>MATCH(C166,Folha1!$B$2:$B$396,0)</f>
        <v>165</v>
      </c>
      <c r="Y166" t="str">
        <f t="shared" si="9"/>
        <v>(165,'med176', '$2a$10$f4wGfCn4H/Az7j0UAGgpHu/YUAer7NHh7Rd9S1JrXqJY/pR8td43W', 'Francisco Rodrigo Moreira Almeida', 'Masculino', '1998-10-08', 'Rua de São Julião', '2610-592', 'Amadora', 'Médico', 'Portuguesa', 'Bilhete de Identidade', '93772551', '654107835', '648781073', '964938119', 'med176@hospital.upskill.com', 'doctor-male.jpg'),</v>
      </c>
      <c r="Z166" t="str">
        <f t="shared" si="10"/>
        <v>(165,'3780392809280980', '15'),</v>
      </c>
      <c r="AA166" t="str">
        <f t="shared" si="11"/>
        <v>(165),</v>
      </c>
    </row>
    <row r="167" spans="1:27" x14ac:dyDescent="0.25">
      <c r="A167">
        <v>166</v>
      </c>
      <c r="B167" t="s">
        <v>1827</v>
      </c>
      <c r="C167" t="s">
        <v>1828</v>
      </c>
      <c r="D167" t="s">
        <v>1829</v>
      </c>
      <c r="E167" t="s">
        <v>66</v>
      </c>
      <c r="F167" s="7">
        <v>25872</v>
      </c>
      <c r="G167" t="s">
        <v>253</v>
      </c>
      <c r="H167" t="s">
        <v>1830</v>
      </c>
      <c r="I167" t="s">
        <v>211</v>
      </c>
      <c r="J167" t="s">
        <v>3726</v>
      </c>
      <c r="K167" t="s">
        <v>225</v>
      </c>
      <c r="L167" t="s">
        <v>265</v>
      </c>
      <c r="M167" t="s">
        <v>1831</v>
      </c>
      <c r="N167" t="s">
        <v>1832</v>
      </c>
      <c r="O167" t="s">
        <v>1833</v>
      </c>
      <c r="P167" t="s">
        <v>1834</v>
      </c>
      <c r="Q167" t="s">
        <v>1835</v>
      </c>
      <c r="R167" t="str">
        <f t="shared" si="8"/>
        <v>doctor-female.jpg</v>
      </c>
      <c r="S167" s="8">
        <v>3392173515692207</v>
      </c>
      <c r="T167">
        <v>16</v>
      </c>
      <c r="V167" s="6" t="str" cm="1">
        <f t="array" ref="V167">INDEX(Folha1!$C$2:$C$396,W167)</f>
        <v>$2a$10$3/Oq4gxAAS2BUYv6CLrt4O4hmTVZ.wxmJKAebKVtLUbYou7z8v426</v>
      </c>
      <c r="W167">
        <f>MATCH(C167,Folha1!$B$2:$B$396,0)</f>
        <v>166</v>
      </c>
      <c r="Y167" t="str">
        <f t="shared" si="9"/>
        <v>(166,'med177', '$2a$10$3/Oq4gxAAS2BUYv6CLrt4O4hmTVZ.wxmJKAebKVtLUbYou7z8v426', 'Sofia Beatriz Neves Morais', 'Feminino', '1970-10-31', 'Rua de São Mamede', '1600-951', 'Lisboa', 'Médico', 'Portuguesa', 'Bilhete de Identidade', '66917681', '649159556', '163329868', '925527558', 'med177@hospital.upskill.com', 'doctor-female.jpg'),</v>
      </c>
      <c r="Z167" t="str">
        <f t="shared" si="10"/>
        <v>(166,'3392173515692210', '16'),</v>
      </c>
      <c r="AA167" t="str">
        <f t="shared" si="11"/>
        <v>(166),</v>
      </c>
    </row>
    <row r="168" spans="1:27" x14ac:dyDescent="0.25">
      <c r="A168">
        <v>167</v>
      </c>
      <c r="B168" t="s">
        <v>1836</v>
      </c>
      <c r="C168" t="s">
        <v>1837</v>
      </c>
      <c r="D168" t="s">
        <v>1838</v>
      </c>
      <c r="E168" t="s">
        <v>53</v>
      </c>
      <c r="F168" s="7">
        <v>30608</v>
      </c>
      <c r="G168" t="s">
        <v>236</v>
      </c>
      <c r="H168" t="s">
        <v>1839</v>
      </c>
      <c r="I168" t="s">
        <v>211</v>
      </c>
      <c r="J168" t="s">
        <v>3726</v>
      </c>
      <c r="K168" t="s">
        <v>225</v>
      </c>
      <c r="L168" t="s">
        <v>265</v>
      </c>
      <c r="M168" t="s">
        <v>1840</v>
      </c>
      <c r="N168" t="s">
        <v>1841</v>
      </c>
      <c r="O168" t="s">
        <v>1842</v>
      </c>
      <c r="P168" t="s">
        <v>1843</v>
      </c>
      <c r="Q168" t="s">
        <v>1844</v>
      </c>
      <c r="R168" t="str">
        <f t="shared" si="8"/>
        <v>doctor-male.jpg</v>
      </c>
      <c r="S168" s="8">
        <v>7887613555124095</v>
      </c>
      <c r="T168">
        <v>17</v>
      </c>
      <c r="V168" s="6" t="str" cm="1">
        <f t="array" ref="V168">INDEX(Folha1!$C$2:$C$396,W168)</f>
        <v>$2a$10$b5WireUlHjH1sljQI2M2OOkjWESdjoZ0xSaxWLHGbqC9fR5Bypmp.</v>
      </c>
      <c r="W168">
        <f>MATCH(C168,Folha1!$B$2:$B$396,0)</f>
        <v>167</v>
      </c>
      <c r="Y168" t="str">
        <f t="shared" si="9"/>
        <v>(167,'med178', '$2a$10$b5WireUlHjH1sljQI2M2OOkjWESdjoZ0xSaxWLHGbqC9fR5Bypmp.', 'Santiago Joana Gonçalves Neves', 'Masculino', '1983-10-19', 'Rua da Madalena', '1998-7', 'Lisboa', 'Médico', 'Portuguesa', 'Bilhete de Identidade', '67620114', '276177474', '779317269', '920253874', 'med178@hospital.upskill.com', 'doctor-male.jpg'),</v>
      </c>
      <c r="Z168" t="str">
        <f t="shared" si="10"/>
        <v>(167,'7887613555124090', '17'),</v>
      </c>
      <c r="AA168" t="str">
        <f t="shared" si="11"/>
        <v>(167),</v>
      </c>
    </row>
    <row r="169" spans="1:27" x14ac:dyDescent="0.25">
      <c r="A169">
        <v>168</v>
      </c>
      <c r="B169" t="s">
        <v>1845</v>
      </c>
      <c r="C169" t="s">
        <v>1846</v>
      </c>
      <c r="D169" t="s">
        <v>1847</v>
      </c>
      <c r="E169" t="s">
        <v>53</v>
      </c>
      <c r="F169" s="7">
        <v>22927</v>
      </c>
      <c r="G169" t="s">
        <v>229</v>
      </c>
      <c r="H169" t="s">
        <v>1848</v>
      </c>
      <c r="I169" t="s">
        <v>211</v>
      </c>
      <c r="J169" t="s">
        <v>3726</v>
      </c>
      <c r="K169" t="s">
        <v>225</v>
      </c>
      <c r="L169" t="s">
        <v>265</v>
      </c>
      <c r="M169" t="s">
        <v>1849</v>
      </c>
      <c r="N169" t="s">
        <v>1850</v>
      </c>
      <c r="O169" t="s">
        <v>1851</v>
      </c>
      <c r="P169" t="s">
        <v>1852</v>
      </c>
      <c r="Q169" t="s">
        <v>1853</v>
      </c>
      <c r="R169" t="str">
        <f t="shared" si="8"/>
        <v>doctor-male.jpg</v>
      </c>
      <c r="S169" s="8">
        <v>4543756484226233</v>
      </c>
      <c r="T169">
        <v>18</v>
      </c>
      <c r="V169" s="6" t="str" cm="1">
        <f t="array" ref="V169">INDEX(Folha1!$C$2:$C$396,W169)</f>
        <v>$2a$10$8NPU24qjjSMQ3AIF5se4Buv.kDfcY9mQJwUtEnmiYt.8j9EBe/kAO</v>
      </c>
      <c r="W169">
        <f>MATCH(C169,Folha1!$B$2:$B$396,0)</f>
        <v>168</v>
      </c>
      <c r="Y169" t="str">
        <f t="shared" si="9"/>
        <v>(168,'med179', '$2a$10$8NPU24qjjSMQ3AIF5se4Buv.kDfcY9mQJwUtEnmiYt.8j9EBe/kAO', 'Tiago José Domingues Garcia', 'Masculino', '1962-10-08', 'Rua Cidade de Bolama', '1600-876', 'Lisboa', 'Médico', 'Portuguesa', 'Bilhete de Identidade', '43687614', '111798186', '462974509', '930804445', 'med179@hospital.upskill.com', 'doctor-male.jpg'),</v>
      </c>
      <c r="Z169" t="str">
        <f t="shared" si="10"/>
        <v>(168,'4543756484226230', '18'),</v>
      </c>
      <c r="AA169" t="str">
        <f t="shared" si="11"/>
        <v>(168),</v>
      </c>
    </row>
    <row r="170" spans="1:27" x14ac:dyDescent="0.25">
      <c r="A170">
        <v>169</v>
      </c>
      <c r="B170" t="s">
        <v>1854</v>
      </c>
      <c r="C170" t="s">
        <v>1855</v>
      </c>
      <c r="D170" t="s">
        <v>1856</v>
      </c>
      <c r="E170" t="s">
        <v>66</v>
      </c>
      <c r="F170" s="7">
        <v>42761</v>
      </c>
      <c r="G170" t="s">
        <v>246</v>
      </c>
      <c r="H170" t="s">
        <v>1857</v>
      </c>
      <c r="I170" t="s">
        <v>211</v>
      </c>
      <c r="J170" t="s">
        <v>3726</v>
      </c>
      <c r="K170" t="s">
        <v>225</v>
      </c>
      <c r="L170" t="s">
        <v>265</v>
      </c>
      <c r="M170" t="s">
        <v>1858</v>
      </c>
      <c r="N170" t="s">
        <v>1859</v>
      </c>
      <c r="O170" t="s">
        <v>1860</v>
      </c>
      <c r="P170" t="s">
        <v>1861</v>
      </c>
      <c r="Q170" t="s">
        <v>1862</v>
      </c>
      <c r="R170" t="str">
        <f t="shared" si="8"/>
        <v>doctor-female.jpg</v>
      </c>
      <c r="S170" s="8">
        <v>8239015145451698</v>
      </c>
      <c r="T170">
        <v>19</v>
      </c>
      <c r="V170" s="6" t="str" cm="1">
        <f t="array" ref="V170">INDEX(Folha1!$C$2:$C$396,W170)</f>
        <v>$2a$10$LopN/vSUM0Of7TwA.vsSNuWmwfaExUn7zPzCyF00LySKPkgi5Wtne</v>
      </c>
      <c r="W170">
        <f>MATCH(C170,Folha1!$B$2:$B$396,0)</f>
        <v>169</v>
      </c>
      <c r="Y170" t="str">
        <f t="shared" si="9"/>
        <v>(169,'med180', '$2a$10$LopN/vSUM0Of7TwA.vsSNuWmwfaExUn7zPzCyF00LySKPkgi5Wtne', 'Mariana Inês Tavares Oliveira', 'Feminino', '2017-01-26', 'Rua do Guarda-Mor', '1249-198', 'Lisboa', 'Médico', 'Portuguesa', 'Bilhete de Identidade', '96642147', '978910972', '333996800', '937639335', 'med180@hospital.upskill.com', 'doctor-female.jpg'),</v>
      </c>
      <c r="Z170" t="str">
        <f t="shared" si="10"/>
        <v>(169,'8239015145451700', '19'),</v>
      </c>
      <c r="AA170" t="str">
        <f t="shared" si="11"/>
        <v>(169),</v>
      </c>
    </row>
    <row r="171" spans="1:27" x14ac:dyDescent="0.25">
      <c r="A171">
        <v>170</v>
      </c>
      <c r="B171" t="s">
        <v>1863</v>
      </c>
      <c r="C171" t="s">
        <v>1864</v>
      </c>
      <c r="D171" t="s">
        <v>1865</v>
      </c>
      <c r="E171" t="s">
        <v>53</v>
      </c>
      <c r="F171" s="7">
        <v>13720</v>
      </c>
      <c r="G171" t="s">
        <v>247</v>
      </c>
      <c r="H171" t="s">
        <v>1866</v>
      </c>
      <c r="I171" t="s">
        <v>205</v>
      </c>
      <c r="J171" t="s">
        <v>3726</v>
      </c>
      <c r="K171" t="s">
        <v>225</v>
      </c>
      <c r="L171" t="s">
        <v>265</v>
      </c>
      <c r="M171" t="s">
        <v>1867</v>
      </c>
      <c r="N171" t="s">
        <v>1868</v>
      </c>
      <c r="O171" t="s">
        <v>1869</v>
      </c>
      <c r="P171" t="s">
        <v>1870</v>
      </c>
      <c r="Q171" t="s">
        <v>1871</v>
      </c>
      <c r="R171" t="str">
        <f t="shared" si="8"/>
        <v>doctor-male.jpg</v>
      </c>
      <c r="S171" s="8">
        <v>9291430527330894</v>
      </c>
      <c r="T171">
        <v>20</v>
      </c>
      <c r="V171" s="6" t="str" cm="1">
        <f t="array" ref="V171">INDEX(Folha1!$C$2:$C$396,W171)</f>
        <v>$2a$10$AsGyWrzAda5MIocv.hkow.CXefcUux2HlR0C.AUifICsOu6Wa86s6</v>
      </c>
      <c r="W171">
        <f>MATCH(C171,Folha1!$B$2:$B$396,0)</f>
        <v>170</v>
      </c>
      <c r="Y171" t="str">
        <f t="shared" si="9"/>
        <v>(170,'med181', '$2a$10$AsGyWrzAda5MIocv.hkow.CXefcUux2HlR0C.AUifICsOu6Wa86s6', 'Bruno Ana Correia Assunção', 'Masculino', '1937-07-24', 'Rua Ferreira Lapa', '2000-906', 'Santarém', 'Médico', 'Portuguesa', 'Bilhete de Identidade', '35026920', '838687825', '990344501', '938502983', 'med181@hospital.upskill.com', 'doctor-male.jpg'),</v>
      </c>
      <c r="Z171" t="str">
        <f t="shared" si="10"/>
        <v>(170,'9291430527330890', '20'),</v>
      </c>
      <c r="AA171" t="str">
        <f t="shared" si="11"/>
        <v>(170),</v>
      </c>
    </row>
    <row r="172" spans="1:27" x14ac:dyDescent="0.25">
      <c r="A172">
        <v>171</v>
      </c>
      <c r="B172" t="s">
        <v>1872</v>
      </c>
      <c r="C172" t="s">
        <v>1873</v>
      </c>
      <c r="D172" t="s">
        <v>1874</v>
      </c>
      <c r="E172" t="s">
        <v>53</v>
      </c>
      <c r="F172" s="7">
        <v>31325</v>
      </c>
      <c r="G172" t="s">
        <v>240</v>
      </c>
      <c r="H172" t="s">
        <v>1875</v>
      </c>
      <c r="I172" t="s">
        <v>205</v>
      </c>
      <c r="J172" t="s">
        <v>3726</v>
      </c>
      <c r="K172" t="s">
        <v>225</v>
      </c>
      <c r="L172" t="s">
        <v>265</v>
      </c>
      <c r="M172" t="s">
        <v>1876</v>
      </c>
      <c r="N172" t="s">
        <v>1877</v>
      </c>
      <c r="O172" t="s">
        <v>1878</v>
      </c>
      <c r="P172" t="s">
        <v>1879</v>
      </c>
      <c r="Q172" t="s">
        <v>1880</v>
      </c>
      <c r="R172" t="str">
        <f t="shared" si="8"/>
        <v>doctor-male.jpg</v>
      </c>
      <c r="S172" s="8">
        <v>7163528297413395</v>
      </c>
      <c r="T172">
        <v>21</v>
      </c>
      <c r="V172" s="6" t="str" cm="1">
        <f t="array" ref="V172">INDEX(Folha1!$C$2:$C$396,W172)</f>
        <v>$2a$10$WYp1K.bnp1i2/tz/yMOx/eXZCkAWPM5i6WEnMbRJgN1lGI7.dnn6e</v>
      </c>
      <c r="W172">
        <f>MATCH(C172,Folha1!$B$2:$B$396,0)</f>
        <v>171</v>
      </c>
      <c r="Y172" t="str">
        <f t="shared" si="9"/>
        <v>(171,'med182', '$2a$10$WYp1K.bnp1i2/tz/yMOx/eXZCkAWPM5i6WEnMbRJgN1lGI7.dnn6e', 'Pedro João Sá Pinheiro', 'Masculino', '1985-10-05', 'Calçada do Poço dos Mouros', '2009-763', 'Santarém', 'Médico', 'Portuguesa', 'Bilhete de Identidade', '69859903', '971954007', '291907089', '962322732', 'med182@hospital.upskill.com', 'doctor-male.jpg'),</v>
      </c>
      <c r="Z172" t="str">
        <f t="shared" si="10"/>
        <v>(171,'7163528297413390', '21'),</v>
      </c>
      <c r="AA172" t="str">
        <f t="shared" si="11"/>
        <v>(171),</v>
      </c>
    </row>
    <row r="173" spans="1:27" x14ac:dyDescent="0.25">
      <c r="A173">
        <v>172</v>
      </c>
      <c r="B173" t="s">
        <v>1881</v>
      </c>
      <c r="C173" t="s">
        <v>1882</v>
      </c>
      <c r="D173" t="s">
        <v>1883</v>
      </c>
      <c r="E173" t="s">
        <v>66</v>
      </c>
      <c r="F173" s="7">
        <v>21600</v>
      </c>
      <c r="G173" t="s">
        <v>226</v>
      </c>
      <c r="H173" t="s">
        <v>1884</v>
      </c>
      <c r="I173" t="s">
        <v>201</v>
      </c>
      <c r="J173" t="s">
        <v>3726</v>
      </c>
      <c r="K173" t="s">
        <v>225</v>
      </c>
      <c r="L173" t="s">
        <v>265</v>
      </c>
      <c r="M173" t="s">
        <v>1885</v>
      </c>
      <c r="N173" t="s">
        <v>1886</v>
      </c>
      <c r="O173" t="s">
        <v>1887</v>
      </c>
      <c r="P173" t="s">
        <v>1888</v>
      </c>
      <c r="Q173" t="s">
        <v>1889</v>
      </c>
      <c r="R173" t="str">
        <f t="shared" si="8"/>
        <v>doctor-female.jpg</v>
      </c>
      <c r="S173" s="8">
        <v>1938315496404926</v>
      </c>
      <c r="T173">
        <v>22</v>
      </c>
      <c r="V173" s="6" t="str" cm="1">
        <f t="array" ref="V173">INDEX(Folha1!$C$2:$C$396,W173)</f>
        <v>$2a$10$V36BqfX0i2dHSWc8uJsVJezTgG22XvykGDuqjacSjYw9KDndDbDZq</v>
      </c>
      <c r="W173">
        <f>MATCH(C173,Folha1!$B$2:$B$396,0)</f>
        <v>172</v>
      </c>
      <c r="Y173" t="str">
        <f t="shared" si="9"/>
        <v>(172,'med183', '$2a$10$V36BqfX0i2dHSWc8uJsVJezTgG22XvykGDuqjacSjYw9KDndDbDZq', 'Inês Sofia Campos Vicente', 'Feminino', '1959-02-19', 'Rua do Arsenal', '2420-766', 'Leiria', 'Médico', 'Portuguesa', 'Bilhete de Identidade', '79018748', '764542853', '195543716', '921294620', 'med183@hospital.upskill.com', 'doctor-female.jpg'),</v>
      </c>
      <c r="Z173" t="str">
        <f t="shared" si="10"/>
        <v>(172,'1938315496404930', '22'),</v>
      </c>
      <c r="AA173" t="str">
        <f t="shared" si="11"/>
        <v>(172),</v>
      </c>
    </row>
    <row r="174" spans="1:27" x14ac:dyDescent="0.25">
      <c r="A174">
        <v>173</v>
      </c>
      <c r="B174" t="s">
        <v>1890</v>
      </c>
      <c r="C174" t="s">
        <v>1891</v>
      </c>
      <c r="D174" t="s">
        <v>1892</v>
      </c>
      <c r="E174" t="s">
        <v>66</v>
      </c>
      <c r="F174" s="7">
        <v>42111</v>
      </c>
      <c r="G174" t="s">
        <v>263</v>
      </c>
      <c r="H174" t="s">
        <v>1893</v>
      </c>
      <c r="I174" t="s">
        <v>211</v>
      </c>
      <c r="J174" t="s">
        <v>3726</v>
      </c>
      <c r="K174" t="s">
        <v>225</v>
      </c>
      <c r="L174" t="s">
        <v>265</v>
      </c>
      <c r="M174" t="s">
        <v>1894</v>
      </c>
      <c r="N174" t="s">
        <v>1895</v>
      </c>
      <c r="O174" t="s">
        <v>1896</v>
      </c>
      <c r="P174" t="s">
        <v>1897</v>
      </c>
      <c r="Q174" t="s">
        <v>1898</v>
      </c>
      <c r="R174" t="str">
        <f t="shared" si="8"/>
        <v>doctor-female.jpg</v>
      </c>
      <c r="S174" s="8">
        <v>8264029270381544</v>
      </c>
      <c r="T174">
        <v>23</v>
      </c>
      <c r="V174" s="6" t="str" cm="1">
        <f t="array" ref="V174">INDEX(Folha1!$C$2:$C$396,W174)</f>
        <v>$2a$10$ODnLFtBLXgnovpQXlKOnsuE4DfI4pHPuCENN8TvWt81XS2bNkI8aC</v>
      </c>
      <c r="W174">
        <f>MATCH(C174,Folha1!$B$2:$B$396,0)</f>
        <v>173</v>
      </c>
      <c r="Y174" t="str">
        <f t="shared" si="9"/>
        <v>(173,'med184', '$2a$10$ODnLFtBLXgnovpQXlKOnsuE4DfI4pHPuCENN8TvWt81XS2bNkI8aC', 'Catarina João Sá Cardoso', 'Feminino', '2015-04-17', 'Rua da Junqueira', '1249-525', 'Lisboa', 'Médico', 'Portuguesa', 'Bilhete de Identidade', '70773267', '949578839', '144181235', '963143404', 'med184@hospital.upskill.com', 'doctor-female.jpg'),</v>
      </c>
      <c r="Z174" t="str">
        <f t="shared" si="10"/>
        <v>(173,'8264029270381540', '23'),</v>
      </c>
      <c r="AA174" t="str">
        <f t="shared" si="11"/>
        <v>(173),</v>
      </c>
    </row>
    <row r="175" spans="1:27" x14ac:dyDescent="0.25">
      <c r="A175">
        <v>174</v>
      </c>
      <c r="B175" t="s">
        <v>1899</v>
      </c>
      <c r="C175" t="s">
        <v>1900</v>
      </c>
      <c r="D175" t="s">
        <v>1901</v>
      </c>
      <c r="E175" t="s">
        <v>66</v>
      </c>
      <c r="F175" s="7">
        <v>30832</v>
      </c>
      <c r="G175" t="s">
        <v>248</v>
      </c>
      <c r="H175" t="s">
        <v>1902</v>
      </c>
      <c r="I175" t="s">
        <v>210</v>
      </c>
      <c r="J175" t="s">
        <v>3726</v>
      </c>
      <c r="K175" t="s">
        <v>225</v>
      </c>
      <c r="L175" t="s">
        <v>265</v>
      </c>
      <c r="M175" t="s">
        <v>1903</v>
      </c>
      <c r="N175" t="s">
        <v>1904</v>
      </c>
      <c r="O175" t="s">
        <v>1905</v>
      </c>
      <c r="P175" t="s">
        <v>1906</v>
      </c>
      <c r="Q175" t="s">
        <v>1907</v>
      </c>
      <c r="R175" t="str">
        <f t="shared" si="8"/>
        <v>doctor-female.jpg</v>
      </c>
      <c r="S175" s="8">
        <v>3855318289230651</v>
      </c>
      <c r="T175">
        <v>24</v>
      </c>
      <c r="V175" s="6" t="str" cm="1">
        <f t="array" ref="V175">INDEX(Folha1!$C$2:$C$396,W175)</f>
        <v>$2a$10$phTeni0UrlQQ/UoKXqk45.RHk2R6N1gAVMffYdlZGKfgRK1BppSGe</v>
      </c>
      <c r="W175">
        <f>MATCH(C175,Folha1!$B$2:$B$396,0)</f>
        <v>174</v>
      </c>
      <c r="Y175" t="str">
        <f t="shared" si="9"/>
        <v>(174,'med185', '$2a$10$phTeni0UrlQQ/UoKXqk45.RHk2R6N1gAVMffYdlZGKfgRK1BppSGe', 'Catarina Mariana Gonçalves Nunes', 'Feminino', '1984-05-30', 'Rua General Morais Sarmento', '2720-707', 'Amadora', 'Médico', 'Portuguesa', 'Bilhete de Identidade', '86408290', '387209795', '971556016', '966023653', 'med185@hospital.upskill.com', 'doctor-female.jpg'),</v>
      </c>
      <c r="Z175" t="str">
        <f t="shared" si="10"/>
        <v>(174,'3855318289230650', '24'),</v>
      </c>
      <c r="AA175" t="str">
        <f t="shared" si="11"/>
        <v>(174),</v>
      </c>
    </row>
    <row r="176" spans="1:27" x14ac:dyDescent="0.25">
      <c r="A176">
        <v>175</v>
      </c>
      <c r="B176" t="s">
        <v>1908</v>
      </c>
      <c r="C176" t="s">
        <v>1909</v>
      </c>
      <c r="D176" t="s">
        <v>1910</v>
      </c>
      <c r="E176" t="s">
        <v>53</v>
      </c>
      <c r="F176" s="7">
        <v>39033</v>
      </c>
      <c r="G176" t="s">
        <v>235</v>
      </c>
      <c r="H176" t="s">
        <v>1911</v>
      </c>
      <c r="I176" t="s">
        <v>208</v>
      </c>
      <c r="J176" t="s">
        <v>3726</v>
      </c>
      <c r="K176" t="s">
        <v>225</v>
      </c>
      <c r="L176" t="s">
        <v>265</v>
      </c>
      <c r="M176" t="s">
        <v>1912</v>
      </c>
      <c r="N176" t="s">
        <v>1913</v>
      </c>
      <c r="O176" t="s">
        <v>1914</v>
      </c>
      <c r="P176" t="s">
        <v>1915</v>
      </c>
      <c r="Q176" t="s">
        <v>1916</v>
      </c>
      <c r="R176" t="str">
        <f t="shared" si="8"/>
        <v>doctor-male.jpg</v>
      </c>
      <c r="S176" s="8">
        <v>5021269344033864</v>
      </c>
      <c r="T176">
        <v>25</v>
      </c>
      <c r="V176" s="6" t="str" cm="1">
        <f t="array" ref="V176">INDEX(Folha1!$C$2:$C$396,W176)</f>
        <v>$2a$10$uRm7fx4AsdgZ3fo1hPRGO.QCKjpy.l.Iu788PQSgswOJm6WqEyCh.</v>
      </c>
      <c r="W176">
        <f>MATCH(C176,Folha1!$B$2:$B$396,0)</f>
        <v>175</v>
      </c>
      <c r="Y176" t="str">
        <f t="shared" si="9"/>
        <v>(175,'med186', '$2a$10$uRm7fx4AsdgZ3fo1hPRGO.QCKjpy.l.Iu788PQSgswOJm6WqEyCh.', 'Afonso Francisco Moura Ribeiro', 'Masculino', '2006-11-12', 'Estrada das Laranjeiras', '2914-806', 'Setúbal', 'Médico', 'Portuguesa', 'Bilhete de Identidade', '12200888', '348828792', '623637816', '934842831', 'med186@hospital.upskill.com', 'doctor-male.jpg'),</v>
      </c>
      <c r="Z176" t="str">
        <f t="shared" si="10"/>
        <v>(175,'5021269344033860', '25'),</v>
      </c>
      <c r="AA176" t="str">
        <f t="shared" si="11"/>
        <v>(175),</v>
      </c>
    </row>
    <row r="177" spans="1:27" x14ac:dyDescent="0.25">
      <c r="A177">
        <v>176</v>
      </c>
      <c r="B177" t="s">
        <v>1917</v>
      </c>
      <c r="C177" t="s">
        <v>1918</v>
      </c>
      <c r="D177" t="s">
        <v>1919</v>
      </c>
      <c r="E177" t="s">
        <v>66</v>
      </c>
      <c r="F177" s="7">
        <v>27447</v>
      </c>
      <c r="G177" t="s">
        <v>253</v>
      </c>
      <c r="H177" t="s">
        <v>1920</v>
      </c>
      <c r="I177" t="s">
        <v>210</v>
      </c>
      <c r="J177" t="s">
        <v>3726</v>
      </c>
      <c r="K177" t="s">
        <v>225</v>
      </c>
      <c r="L177" t="s">
        <v>265</v>
      </c>
      <c r="M177" t="s">
        <v>1921</v>
      </c>
      <c r="N177" t="s">
        <v>1922</v>
      </c>
      <c r="O177" t="s">
        <v>1923</v>
      </c>
      <c r="P177" t="s">
        <v>1924</v>
      </c>
      <c r="Q177" t="s">
        <v>1925</v>
      </c>
      <c r="R177" t="str">
        <f t="shared" si="8"/>
        <v>doctor-female.jpg</v>
      </c>
      <c r="S177" s="8">
        <v>1301545634823567</v>
      </c>
      <c r="T177">
        <v>26</v>
      </c>
      <c r="V177" s="6" t="str" cm="1">
        <f t="array" ref="V177">INDEX(Folha1!$C$2:$C$396,W177)</f>
        <v>$2a$10$Qdr4RUTuMyv462eUorm1gOqmniFwFFsogMDY6ckjE9u1vdpXw5XHW</v>
      </c>
      <c r="W177">
        <f>MATCH(C177,Folha1!$B$2:$B$396,0)</f>
        <v>176</v>
      </c>
      <c r="Y177" t="str">
        <f t="shared" si="9"/>
        <v>(176,'med187', '$2a$10$Qdr4RUTuMyv462eUorm1gOqmniFwFFsogMDY6ckjE9u1vdpXw5XHW', 'Catarina Ana Azevedo Gomes', 'Feminino', '1975-02-22', 'Rua de São Mamede', '2614-774', 'Amadora', 'Médico', 'Portuguesa', 'Bilhete de Identidade', '34471969', '134902894', '678037833', '913784154', 'med187@hospital.upskill.com', 'doctor-female.jpg'),</v>
      </c>
      <c r="Z177" t="str">
        <f t="shared" si="10"/>
        <v>(176,'1301545634823570', '26'),</v>
      </c>
      <c r="AA177" t="str">
        <f t="shared" si="11"/>
        <v>(176),</v>
      </c>
    </row>
    <row r="178" spans="1:27" x14ac:dyDescent="0.25">
      <c r="A178">
        <v>177</v>
      </c>
      <c r="B178" t="s">
        <v>1926</v>
      </c>
      <c r="C178" t="s">
        <v>1927</v>
      </c>
      <c r="D178" t="s">
        <v>1928</v>
      </c>
      <c r="E178" t="s">
        <v>53</v>
      </c>
      <c r="F178" s="7">
        <v>19510</v>
      </c>
      <c r="G178" t="s">
        <v>226</v>
      </c>
      <c r="H178" t="s">
        <v>1929</v>
      </c>
      <c r="I178" t="s">
        <v>210</v>
      </c>
      <c r="J178" t="s">
        <v>3726</v>
      </c>
      <c r="K178" t="s">
        <v>225</v>
      </c>
      <c r="L178" t="s">
        <v>265</v>
      </c>
      <c r="M178" t="s">
        <v>1930</v>
      </c>
      <c r="N178" t="s">
        <v>1931</v>
      </c>
      <c r="O178" t="s">
        <v>1932</v>
      </c>
      <c r="P178" t="s">
        <v>1933</v>
      </c>
      <c r="Q178" t="s">
        <v>1934</v>
      </c>
      <c r="R178" t="str">
        <f t="shared" si="8"/>
        <v>doctor-male.jpg</v>
      </c>
      <c r="S178" s="8">
        <v>4364918685507582</v>
      </c>
      <c r="T178">
        <v>27</v>
      </c>
      <c r="V178" s="6" t="str" cm="1">
        <f t="array" ref="V178">INDEX(Folha1!$C$2:$C$396,W178)</f>
        <v>$2a$10$GCzIIUC6.vNP5oiq9/UHtuo1BWqDR0glaZyc5G7QueAw.1wLD1qJ2</v>
      </c>
      <c r="W178">
        <f>MATCH(C178,Folha1!$B$2:$B$396,0)</f>
        <v>177</v>
      </c>
      <c r="Y178" t="str">
        <f t="shared" si="9"/>
        <v>(177,'med188', '$2a$10$GCzIIUC6.vNP5oiq9/UHtuo1BWqDR0glaZyc5G7QueAw.1wLD1qJ2', 'Santiago Francisco Pinho Figueiredo', 'Masculino', '1953-05-31', 'Rua do Arsenal', '2610-539', 'Amadora', 'Médico', 'Portuguesa', 'Bilhete de Identidade', '83847944', '594422239', '242139838', '966524366', 'med188@hospital.upskill.com', 'doctor-male.jpg'),</v>
      </c>
      <c r="Z178" t="str">
        <f t="shared" si="10"/>
        <v>(177,'4364918685507580', '27'),</v>
      </c>
      <c r="AA178" t="str">
        <f t="shared" si="11"/>
        <v>(177),</v>
      </c>
    </row>
    <row r="179" spans="1:27" x14ac:dyDescent="0.25">
      <c r="A179">
        <v>178</v>
      </c>
      <c r="B179" t="s">
        <v>1935</v>
      </c>
      <c r="C179" t="s">
        <v>1936</v>
      </c>
      <c r="D179" t="s">
        <v>1937</v>
      </c>
      <c r="E179" t="s">
        <v>53</v>
      </c>
      <c r="F179" s="7">
        <v>35493</v>
      </c>
      <c r="G179" t="s">
        <v>238</v>
      </c>
      <c r="H179" t="s">
        <v>1938</v>
      </c>
      <c r="I179" t="s">
        <v>211</v>
      </c>
      <c r="J179" t="s">
        <v>3726</v>
      </c>
      <c r="K179" t="s">
        <v>225</v>
      </c>
      <c r="L179" t="s">
        <v>265</v>
      </c>
      <c r="M179" t="s">
        <v>1939</v>
      </c>
      <c r="N179" t="s">
        <v>1940</v>
      </c>
      <c r="O179" t="s">
        <v>1941</v>
      </c>
      <c r="P179" t="s">
        <v>1942</v>
      </c>
      <c r="Q179" t="s">
        <v>1943</v>
      </c>
      <c r="R179" t="str">
        <f t="shared" si="8"/>
        <v>doctor-male.jpg</v>
      </c>
      <c r="S179" s="8">
        <v>8095181122568575</v>
      </c>
      <c r="T179">
        <v>28</v>
      </c>
      <c r="V179" s="6" t="str" cm="1">
        <f t="array" ref="V179">INDEX(Folha1!$C$2:$C$396,W179)</f>
        <v>$2a$10$cKDOZ1L40XxsIPZRSaBKKuqqqPlyJS2MYBmc67wW1m7BQFKGby/bK</v>
      </c>
      <c r="W179">
        <f>MATCH(C179,Folha1!$B$2:$B$396,0)</f>
        <v>178</v>
      </c>
      <c r="Y179" t="str">
        <f t="shared" si="9"/>
        <v>(178,'med189', '$2a$10$cKDOZ1L40XxsIPZRSaBKKuqqqPlyJS2MYBmc67wW1m7BQFKGby/bK', 'Gabriel Mariana Borges Vieira', 'Masculino', '1997-03-04', 'Calçada do Moinho de Vento', '1998-946', 'Lisboa', 'Médico', 'Portuguesa', 'Bilhete de Identidade', '98067373', '225839730', '592972845', '922626874', 'med189@hospital.upskill.com', 'doctor-male.jpg'),</v>
      </c>
      <c r="Z179" t="str">
        <f t="shared" si="10"/>
        <v>(178,'8095181122568570', '28'),</v>
      </c>
      <c r="AA179" t="str">
        <f t="shared" si="11"/>
        <v>(178),</v>
      </c>
    </row>
    <row r="180" spans="1:27" x14ac:dyDescent="0.25">
      <c r="A180">
        <v>179</v>
      </c>
      <c r="B180" t="s">
        <v>1944</v>
      </c>
      <c r="C180" t="s">
        <v>1945</v>
      </c>
      <c r="D180" t="s">
        <v>1946</v>
      </c>
      <c r="E180" t="s">
        <v>53</v>
      </c>
      <c r="F180" s="7">
        <v>40749</v>
      </c>
      <c r="G180" t="s">
        <v>235</v>
      </c>
      <c r="H180" t="s">
        <v>1947</v>
      </c>
      <c r="I180" t="s">
        <v>212</v>
      </c>
      <c r="J180" t="s">
        <v>3726</v>
      </c>
      <c r="K180" t="s">
        <v>225</v>
      </c>
      <c r="L180" t="s">
        <v>265</v>
      </c>
      <c r="M180" t="s">
        <v>1948</v>
      </c>
      <c r="N180" t="s">
        <v>1949</v>
      </c>
      <c r="O180" t="s">
        <v>1950</v>
      </c>
      <c r="P180" t="s">
        <v>1951</v>
      </c>
      <c r="Q180" t="s">
        <v>1952</v>
      </c>
      <c r="R180" t="str">
        <f t="shared" si="8"/>
        <v>doctor-male.jpg</v>
      </c>
      <c r="S180" s="8">
        <v>5101452324871984</v>
      </c>
      <c r="T180">
        <v>29</v>
      </c>
      <c r="V180" s="6" t="str" cm="1">
        <f t="array" ref="V180">INDEX(Folha1!$C$2:$C$396,W180)</f>
        <v>$2a$10$ihnjtjP1iwhllnkrx0TtXeQa.Gof1.Mu7unJBcNmSmAmcXvITmP/q</v>
      </c>
      <c r="W180">
        <f>MATCH(C180,Folha1!$B$2:$B$396,0)</f>
        <v>179</v>
      </c>
      <c r="Y180" t="str">
        <f t="shared" si="9"/>
        <v>(179,'med190', '$2a$10$ihnjtjP1iwhllnkrx0TtXeQa.Gof1.Mu7unJBcNmSmAmcXvITmP/q', 'Pedro Martim Teixeira Jesus', 'Masculino', '2011-07-25', 'Estrada das Laranjeiras', '2670-880', 'Loures', 'Médico', 'Portuguesa', 'Bilhete de Identidade', '43402361', '166242901', '396655042', '920533116', 'med190@hospital.upskill.com', 'doctor-male.jpg'),</v>
      </c>
      <c r="Z180" t="str">
        <f t="shared" si="10"/>
        <v>(179,'5101452324871980', '29'),</v>
      </c>
      <c r="AA180" t="str">
        <f t="shared" si="11"/>
        <v>(179),</v>
      </c>
    </row>
    <row r="181" spans="1:27" x14ac:dyDescent="0.25">
      <c r="A181">
        <v>180</v>
      </c>
      <c r="B181" t="s">
        <v>1953</v>
      </c>
      <c r="C181" t="s">
        <v>1954</v>
      </c>
      <c r="D181" t="s">
        <v>1955</v>
      </c>
      <c r="E181" t="s">
        <v>66</v>
      </c>
      <c r="F181" s="7">
        <v>14252</v>
      </c>
      <c r="G181" t="s">
        <v>250</v>
      </c>
      <c r="H181" t="s">
        <v>1956</v>
      </c>
      <c r="I181" t="s">
        <v>223</v>
      </c>
      <c r="J181" t="s">
        <v>3726</v>
      </c>
      <c r="K181" t="s">
        <v>225</v>
      </c>
      <c r="L181" t="s">
        <v>265</v>
      </c>
      <c r="M181" t="s">
        <v>1957</v>
      </c>
      <c r="N181" t="s">
        <v>1958</v>
      </c>
      <c r="O181" t="s">
        <v>1959</v>
      </c>
      <c r="P181" t="s">
        <v>1960</v>
      </c>
      <c r="Q181" t="s">
        <v>1961</v>
      </c>
      <c r="R181" t="str">
        <f t="shared" si="8"/>
        <v>doctor-female.jpg</v>
      </c>
      <c r="S181" s="8">
        <v>7525359132044930</v>
      </c>
      <c r="T181">
        <v>30</v>
      </c>
      <c r="V181" s="6" t="str" cm="1">
        <f t="array" ref="V181">INDEX(Folha1!$C$2:$C$396,W181)</f>
        <v>$2a$10$L5kxgR1TUXROZ7mFBHgNIuSZqE.5hLPERu2I/5RnU85ZPMCkA2CMG</v>
      </c>
      <c r="W181">
        <f>MATCH(C181,Folha1!$B$2:$B$396,0)</f>
        <v>180</v>
      </c>
      <c r="Y181" t="str">
        <f t="shared" si="9"/>
        <v>(180,'med191', '$2a$10$L5kxgR1TUXROZ7mFBHgNIuSZqE.5hLPERu2I/5RnU85ZPMCkA2CMG', 'Diana Daniela Andrade Cunha', 'Feminino', '1939-01-07', 'Rua Nova do Almada', '2655-422', 'Ericeira', 'Médico', 'Portuguesa', 'Bilhete de Identidade', '10712331', '762479156', '161736413', '928731953', 'med191@hospital.upskill.com', 'doctor-female.jpg'),</v>
      </c>
      <c r="Z181" t="str">
        <f t="shared" si="10"/>
        <v>(180,'7525359132044930', '30'),</v>
      </c>
      <c r="AA181" t="str">
        <f t="shared" si="11"/>
        <v>(180),</v>
      </c>
    </row>
    <row r="182" spans="1:27" x14ac:dyDescent="0.25">
      <c r="A182">
        <v>181</v>
      </c>
      <c r="B182" t="s">
        <v>1962</v>
      </c>
      <c r="C182" t="s">
        <v>1963</v>
      </c>
      <c r="D182" t="s">
        <v>1964</v>
      </c>
      <c r="E182" t="s">
        <v>66</v>
      </c>
      <c r="F182" s="7">
        <v>31720</v>
      </c>
      <c r="G182" t="s">
        <v>232</v>
      </c>
      <c r="H182" t="s">
        <v>1965</v>
      </c>
      <c r="I182" t="s">
        <v>201</v>
      </c>
      <c r="J182" t="s">
        <v>3726</v>
      </c>
      <c r="K182" t="s">
        <v>225</v>
      </c>
      <c r="L182" t="s">
        <v>265</v>
      </c>
      <c r="M182" t="s">
        <v>1966</v>
      </c>
      <c r="N182" t="s">
        <v>1967</v>
      </c>
      <c r="O182" t="s">
        <v>1968</v>
      </c>
      <c r="P182" t="s">
        <v>1969</v>
      </c>
      <c r="Q182" t="s">
        <v>1970</v>
      </c>
      <c r="R182" t="str">
        <f t="shared" si="8"/>
        <v>doctor-female.jpg</v>
      </c>
      <c r="S182" s="8">
        <v>7564944218606953</v>
      </c>
      <c r="T182">
        <v>31</v>
      </c>
      <c r="V182" s="6" t="str" cm="1">
        <f t="array" ref="V182">INDEX(Folha1!$C$2:$C$396,W182)</f>
        <v>$2a$10$XeHiaNTHzTeEBx96Qi8W8.m0zLonpGQo9K9sADJzUHRent1I1n.mu</v>
      </c>
      <c r="W182">
        <f>MATCH(C182,Folha1!$B$2:$B$396,0)</f>
        <v>181</v>
      </c>
      <c r="Y182" t="str">
        <f t="shared" si="9"/>
        <v>(181,'med192', '$2a$10$XeHiaNTHzTeEBx96Qi8W8.m0zLonpGQo9K9sADJzUHRent1I1n.mu', 'Mariana Martim Pires Faria', 'Feminino', '1986-11-04', 'Rua Garrett', '2414-951', 'Leiria', 'Médico', 'Portuguesa', 'Bilhete de Identidade', '22901071', '715800421', '752066384', '925173370', 'med192@hospital.upskill.com', 'doctor-female.jpg'),</v>
      </c>
      <c r="Z182" t="str">
        <f t="shared" si="10"/>
        <v>(181,'7564944218606950', '31'),</v>
      </c>
      <c r="AA182" t="str">
        <f t="shared" si="11"/>
        <v>(181),</v>
      </c>
    </row>
    <row r="183" spans="1:27" x14ac:dyDescent="0.25">
      <c r="A183">
        <v>182</v>
      </c>
      <c r="B183" t="s">
        <v>1971</v>
      </c>
      <c r="C183" t="s">
        <v>1972</v>
      </c>
      <c r="D183" t="s">
        <v>1973</v>
      </c>
      <c r="E183" t="s">
        <v>66</v>
      </c>
      <c r="F183" s="7">
        <v>32584</v>
      </c>
      <c r="G183" t="s">
        <v>263</v>
      </c>
      <c r="H183" t="s">
        <v>1974</v>
      </c>
      <c r="I183" t="s">
        <v>214</v>
      </c>
      <c r="J183" t="s">
        <v>3726</v>
      </c>
      <c r="K183" t="s">
        <v>225</v>
      </c>
      <c r="L183" t="s">
        <v>265</v>
      </c>
      <c r="M183" t="s">
        <v>1975</v>
      </c>
      <c r="N183" t="s">
        <v>1976</v>
      </c>
      <c r="O183" t="s">
        <v>1977</v>
      </c>
      <c r="P183" t="s">
        <v>1978</v>
      </c>
      <c r="Q183" t="s">
        <v>1979</v>
      </c>
      <c r="R183" t="str">
        <f t="shared" si="8"/>
        <v>doctor-female.jpg</v>
      </c>
      <c r="S183" s="8">
        <v>5757311784409061</v>
      </c>
      <c r="T183">
        <v>32</v>
      </c>
      <c r="V183" s="6" t="str" cm="1">
        <f t="array" ref="V183">INDEX(Folha1!$C$2:$C$396,W183)</f>
        <v>$2a$10$OafYdl2Z6ZaxnksCwM6RN.vYAz8Q1zhypYeFrmY4zDnjkkXWSZOUW</v>
      </c>
      <c r="W183">
        <f>MATCH(C183,Folha1!$B$2:$B$396,0)</f>
        <v>182</v>
      </c>
      <c r="Y183" t="str">
        <f t="shared" si="9"/>
        <v>(182,'med193', '$2a$10$OafYdl2Z6ZaxnksCwM6RN.vYAz8Q1zhypYeFrmY4zDnjkkXWSZOUW', 'Carolina Martim Morais Domingues', 'Feminino', '1989-03-17', 'Rua da Junqueira', '2870-30', 'Montijo', 'Médico', 'Portuguesa', 'Bilhete de Identidade', '92143440', '473971105', '705377476', '916923694', 'med193@hospital.upskill.com', 'doctor-female.jpg'),</v>
      </c>
      <c r="Z183" t="str">
        <f t="shared" si="10"/>
        <v>(182,'5757311784409060', '32'),</v>
      </c>
      <c r="AA183" t="str">
        <f t="shared" si="11"/>
        <v>(182),</v>
      </c>
    </row>
    <row r="184" spans="1:27" x14ac:dyDescent="0.25">
      <c r="A184">
        <v>183</v>
      </c>
      <c r="B184" t="s">
        <v>1980</v>
      </c>
      <c r="C184" t="s">
        <v>1981</v>
      </c>
      <c r="D184" t="s">
        <v>1982</v>
      </c>
      <c r="E184" t="s">
        <v>66</v>
      </c>
      <c r="F184" s="7">
        <v>23808</v>
      </c>
      <c r="G184" t="s">
        <v>241</v>
      </c>
      <c r="H184" t="s">
        <v>1983</v>
      </c>
      <c r="I184" t="s">
        <v>211</v>
      </c>
      <c r="J184" t="s">
        <v>3726</v>
      </c>
      <c r="K184" t="s">
        <v>225</v>
      </c>
      <c r="L184" t="s">
        <v>265</v>
      </c>
      <c r="M184" t="s">
        <v>1984</v>
      </c>
      <c r="N184" t="s">
        <v>1985</v>
      </c>
      <c r="O184" t="s">
        <v>1986</v>
      </c>
      <c r="P184" t="s">
        <v>1987</v>
      </c>
      <c r="Q184" t="s">
        <v>1988</v>
      </c>
      <c r="R184" t="str">
        <f t="shared" si="8"/>
        <v>doctor-female.jpg</v>
      </c>
      <c r="S184" s="8">
        <v>5356665008258860</v>
      </c>
      <c r="T184">
        <v>33</v>
      </c>
      <c r="V184" s="6" t="str" cm="1">
        <f t="array" ref="V184">INDEX(Folha1!$C$2:$C$396,W184)</f>
        <v>$2a$10$0JUgB5VMwacAoxOpH/WuSeizI.UtIVJ/7If5N5UIrPh5eoudDDW9.</v>
      </c>
      <c r="W184">
        <f>MATCH(C184,Folha1!$B$2:$B$396,0)</f>
        <v>183</v>
      </c>
      <c r="Y184" t="str">
        <f t="shared" si="9"/>
        <v>(183,'med194', '$2a$10$0JUgB5VMwacAoxOpH/WuSeizI.UtIVJ/7If5N5UIrPh5eoudDDW9.', 'Ana Tiago Loureiro Batista', 'Feminino', '1965-03-07', 'Rua da Prata', '1067-588', 'Lisboa', 'Médico', 'Portuguesa', 'Bilhete de Identidade', '66334183', '455438770', '489240765', '928234479', 'med194@hospital.upskill.com', 'doctor-female.jpg'),</v>
      </c>
      <c r="Z184" t="str">
        <f t="shared" si="10"/>
        <v>(183,'5356665008258860', '33'),</v>
      </c>
      <c r="AA184" t="str">
        <f t="shared" si="11"/>
        <v>(183),</v>
      </c>
    </row>
    <row r="185" spans="1:27" x14ac:dyDescent="0.25">
      <c r="A185">
        <v>184</v>
      </c>
      <c r="B185" t="s">
        <v>1989</v>
      </c>
      <c r="C185" t="s">
        <v>1990</v>
      </c>
      <c r="D185" t="s">
        <v>1991</v>
      </c>
      <c r="E185" t="s">
        <v>53</v>
      </c>
      <c r="F185" s="7">
        <v>38168</v>
      </c>
      <c r="G185" t="s">
        <v>242</v>
      </c>
      <c r="H185" t="s">
        <v>1992</v>
      </c>
      <c r="I185" t="s">
        <v>210</v>
      </c>
      <c r="J185" t="s">
        <v>3726</v>
      </c>
      <c r="K185" t="s">
        <v>225</v>
      </c>
      <c r="L185" t="s">
        <v>265</v>
      </c>
      <c r="M185" t="s">
        <v>1993</v>
      </c>
      <c r="N185" t="s">
        <v>1994</v>
      </c>
      <c r="O185" t="s">
        <v>1995</v>
      </c>
      <c r="P185" t="s">
        <v>1996</v>
      </c>
      <c r="Q185" t="s">
        <v>1997</v>
      </c>
      <c r="R185" t="str">
        <f t="shared" si="8"/>
        <v>doctor-male.jpg</v>
      </c>
      <c r="S185" s="8">
        <v>7874189998519226</v>
      </c>
      <c r="T185">
        <v>34</v>
      </c>
      <c r="V185" s="6" t="str" cm="1">
        <f t="array" ref="V185">INDEX(Folha1!$C$2:$C$396,W185)</f>
        <v>$2a$10$IgfLGhsurxUk5R5ig2vRLOHLOjrzsG5HhAnj20kq13/4BvmTvswxG</v>
      </c>
      <c r="W185">
        <f>MATCH(C185,Folha1!$B$2:$B$396,0)</f>
        <v>184</v>
      </c>
      <c r="Y185" t="str">
        <f t="shared" si="9"/>
        <v>(184,'med195', '$2a$10$IgfLGhsurxUk5R5ig2vRLOHLOjrzsG5HhAnj20kq13/4BvmTvswxG', 'Martim Ana Almeida Cardoso', 'Masculino', '2004-06-30', 'Avenida Ressano Garcia', '2654-921', 'Amadora', 'Médico', 'Portuguesa', 'Bilhete de Identidade', '80316565', '124734537', '200947676', '914622488', 'med195@hospital.upskill.com', 'doctor-male.jpg'),</v>
      </c>
      <c r="Z185" t="str">
        <f t="shared" si="10"/>
        <v>(184,'7874189998519230', '34'),</v>
      </c>
      <c r="AA185" t="str">
        <f t="shared" si="11"/>
        <v>(184),</v>
      </c>
    </row>
    <row r="186" spans="1:27" x14ac:dyDescent="0.25">
      <c r="A186">
        <v>185</v>
      </c>
      <c r="B186" t="s">
        <v>1998</v>
      </c>
      <c r="C186" t="s">
        <v>1999</v>
      </c>
      <c r="D186" t="s">
        <v>2000</v>
      </c>
      <c r="E186" t="s">
        <v>66</v>
      </c>
      <c r="F186" s="7">
        <v>44443</v>
      </c>
      <c r="G186" t="s">
        <v>253</v>
      </c>
      <c r="H186" t="s">
        <v>2001</v>
      </c>
      <c r="I186" t="s">
        <v>200</v>
      </c>
      <c r="J186" t="s">
        <v>3726</v>
      </c>
      <c r="K186" t="s">
        <v>225</v>
      </c>
      <c r="L186" t="s">
        <v>265</v>
      </c>
      <c r="M186" t="s">
        <v>2002</v>
      </c>
      <c r="N186" t="s">
        <v>2003</v>
      </c>
      <c r="O186" t="s">
        <v>2004</v>
      </c>
      <c r="P186" t="s">
        <v>2005</v>
      </c>
      <c r="Q186" t="s">
        <v>2006</v>
      </c>
      <c r="R186" t="str">
        <f t="shared" si="8"/>
        <v>doctor-female.jpg</v>
      </c>
      <c r="S186" s="8">
        <v>5341922644182741</v>
      </c>
      <c r="T186">
        <v>35</v>
      </c>
      <c r="V186" s="6" t="str" cm="1">
        <f t="array" ref="V186">INDEX(Folha1!$C$2:$C$396,W186)</f>
        <v>$2a$10$/YFPGVjp6wS175cU866ZeOEimU84ZMsyXJ2z7zAvhN1.5f67IME0W</v>
      </c>
      <c r="W186">
        <f>MATCH(C186,Folha1!$B$2:$B$396,0)</f>
        <v>185</v>
      </c>
      <c r="Y186" t="str">
        <f t="shared" si="9"/>
        <v>(185,'med196', '$2a$10$/YFPGVjp6wS175cU866ZeOEimU84ZMsyXJ2z7zAvhN1.5f67IME0W', 'Mariana Daniela Branco Fonseca', 'Feminino', '2021-09-04', 'Rua de São Mamede', '3000-190', 'Coimbra', 'Médico', 'Portuguesa', 'Bilhete de Identidade', '78534413', '234074635', '209032635', '969511554', 'med196@hospital.upskill.com', 'doctor-female.jpg'),</v>
      </c>
      <c r="Z186" t="str">
        <f t="shared" si="10"/>
        <v>(185,'5341922644182740', '35'),</v>
      </c>
      <c r="AA186" t="str">
        <f t="shared" si="11"/>
        <v>(185),</v>
      </c>
    </row>
    <row r="187" spans="1:27" x14ac:dyDescent="0.25">
      <c r="A187">
        <v>186</v>
      </c>
      <c r="B187" t="s">
        <v>2007</v>
      </c>
      <c r="C187" t="s">
        <v>2008</v>
      </c>
      <c r="D187" t="s">
        <v>2009</v>
      </c>
      <c r="E187" t="s">
        <v>66</v>
      </c>
      <c r="F187" s="7">
        <v>14423</v>
      </c>
      <c r="G187" t="s">
        <v>242</v>
      </c>
      <c r="H187" t="s">
        <v>2010</v>
      </c>
      <c r="I187" t="s">
        <v>211</v>
      </c>
      <c r="J187" t="s">
        <v>3726</v>
      </c>
      <c r="K187" t="s">
        <v>225</v>
      </c>
      <c r="L187" t="s">
        <v>265</v>
      </c>
      <c r="M187" t="s">
        <v>2011</v>
      </c>
      <c r="N187" t="s">
        <v>2012</v>
      </c>
      <c r="O187" t="s">
        <v>2013</v>
      </c>
      <c r="P187" t="s">
        <v>2014</v>
      </c>
      <c r="Q187" t="s">
        <v>2015</v>
      </c>
      <c r="R187" t="str">
        <f t="shared" si="8"/>
        <v>doctor-female.jpg</v>
      </c>
      <c r="S187" s="8">
        <v>3480040035583454</v>
      </c>
      <c r="T187">
        <v>36</v>
      </c>
      <c r="V187" s="6" t="str" cm="1">
        <f t="array" ref="V187">INDEX(Folha1!$C$2:$C$396,W187)</f>
        <v>$2a$10$i6/8yhAtRG4IkgR0g86.hOeNVrw2dDUQy708IxH.A2OWsWkaBBWYe</v>
      </c>
      <c r="W187">
        <f>MATCH(C187,Folha1!$B$2:$B$396,0)</f>
        <v>186</v>
      </c>
      <c r="Y187" t="str">
        <f t="shared" si="9"/>
        <v>(186,'med197', '$2a$10$i6/8yhAtRG4IkgR0g86.hOeNVrw2dDUQy708IxH.A2OWsWkaBBWYe', 'Daniela Sara Branco Coelho', 'Feminino', '1939-06-27', 'Avenida Ressano Garcia', '1098-624', 'Lisboa', 'Médico', 'Portuguesa', 'Bilhete de Identidade', '95571505', '778129184', '429373531', '960726280', 'med197@hospital.upskill.com', 'doctor-female.jpg'),</v>
      </c>
      <c r="Z187" t="str">
        <f t="shared" si="10"/>
        <v>(186,'3480040035583450', '36'),</v>
      </c>
      <c r="AA187" t="str">
        <f t="shared" si="11"/>
        <v>(186),</v>
      </c>
    </row>
    <row r="188" spans="1:27" x14ac:dyDescent="0.25">
      <c r="A188">
        <v>187</v>
      </c>
      <c r="B188" t="s">
        <v>2016</v>
      </c>
      <c r="C188" t="s">
        <v>2017</v>
      </c>
      <c r="D188" t="s">
        <v>2018</v>
      </c>
      <c r="E188" t="s">
        <v>53</v>
      </c>
      <c r="F188" s="7">
        <v>12035</v>
      </c>
      <c r="G188" t="s">
        <v>241</v>
      </c>
      <c r="H188" t="s">
        <v>2019</v>
      </c>
      <c r="I188" t="s">
        <v>221</v>
      </c>
      <c r="J188" t="s">
        <v>3726</v>
      </c>
      <c r="K188" t="s">
        <v>225</v>
      </c>
      <c r="L188" t="s">
        <v>265</v>
      </c>
      <c r="M188" t="s">
        <v>2020</v>
      </c>
      <c r="N188" t="s">
        <v>2021</v>
      </c>
      <c r="O188" t="s">
        <v>2022</v>
      </c>
      <c r="P188" t="s">
        <v>2023</v>
      </c>
      <c r="Q188" t="s">
        <v>2024</v>
      </c>
      <c r="R188" t="str">
        <f t="shared" si="8"/>
        <v>doctor-male.jpg</v>
      </c>
      <c r="S188" s="8">
        <v>4372320463529393</v>
      </c>
      <c r="T188">
        <v>37</v>
      </c>
      <c r="V188" s="6" t="str" cm="1">
        <f t="array" ref="V188">INDEX(Folha1!$C$2:$C$396,W188)</f>
        <v>$2a$10$ZXx4ZlwZDziXHAqb3mHy0umncdW/xfSLK0XSHA0PzEj2hwxWOyGfC</v>
      </c>
      <c r="W188">
        <f>MATCH(C188,Folha1!$B$2:$B$396,0)</f>
        <v>187</v>
      </c>
      <c r="Y188" t="str">
        <f>"(" &amp;A188 &amp; ",'" &amp; B188 &amp; "', '" &amp; V188 &amp; "', '" &amp; D188 &amp; "', '" &amp; E188 &amp; "', '" &amp; TEXT(F188, "yyyy-mm-dd") &amp; "', '" &amp; G188 &amp; "', '" &amp; H188 &amp; "', '" &amp; I188 &amp; "', '" &amp; J188 &amp; "', '" &amp; K188 &amp; "', '" &amp; L188 &amp; "', '" &amp; M188 &amp; "', '" &amp; N188 &amp; "', '" &amp; O188 &amp; "', '" &amp; P188 &amp; "', '" &amp; Q188 &amp; "', '" &amp; R188 &amp; "');"</f>
        <v>(187,'med198', '$2a$10$ZXx4ZlwZDziXHAqb3mHy0umncdW/xfSLK0XSHA0PzEj2hwxWOyGfC', 'José Maria Domingues Nunes', 'Masculino', '1932-12-12', 'Rua da Prata', '2825-819', 'Costa de Caparica', 'Médico', 'Portuguesa', 'Bilhete de Identidade', '74770193', '451473099', '244018326', '928663067', 'med198@hospital.upskill.com', 'doctor-male.jpg');</v>
      </c>
      <c r="Z188" t="str">
        <f>"(" &amp;A188 &amp; ",'" &amp; S188 &amp; "', '" &amp; T188 &amp; "');"</f>
        <v>(187,'4372320463529390', '37');</v>
      </c>
      <c r="AA188" t="str">
        <f>"(" &amp;A188 &amp; ");"</f>
        <v>(187);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1C95A-1D62-41E4-8047-BE8F382ECF94}">
  <dimension ref="A1:AA11"/>
  <sheetViews>
    <sheetView tabSelected="1" workbookViewId="0">
      <selection activeCell="Y12" sqref="Y12"/>
    </sheetView>
  </sheetViews>
  <sheetFormatPr defaultRowHeight="15" x14ac:dyDescent="0.25"/>
  <cols>
    <col min="3" max="3" width="11.5703125" customWidth="1"/>
    <col min="4" max="4" width="16" customWidth="1"/>
    <col min="6" max="6" width="10.7109375" bestFit="1" customWidth="1"/>
    <col min="14" max="14" width="10" bestFit="1" customWidth="1"/>
    <col min="17" max="17" width="13" customWidth="1"/>
    <col min="18" max="18" width="10.28515625" customWidth="1"/>
    <col min="19" max="19" width="17.28515625" bestFit="1" customWidth="1"/>
    <col min="26" max="26" width="13.140625" customWidth="1"/>
  </cols>
  <sheetData>
    <row r="1" spans="1:27" x14ac:dyDescent="0.25">
      <c r="A1" t="s">
        <v>272</v>
      </c>
      <c r="B1" t="s">
        <v>273</v>
      </c>
      <c r="C1" t="s">
        <v>274</v>
      </c>
      <c r="D1" t="s">
        <v>275</v>
      </c>
      <c r="E1" t="s">
        <v>276</v>
      </c>
      <c r="F1" s="3" t="s">
        <v>187</v>
      </c>
      <c r="G1" s="3" t="s">
        <v>277</v>
      </c>
      <c r="H1" t="s">
        <v>2025</v>
      </c>
      <c r="I1" s="3" t="s">
        <v>334</v>
      </c>
      <c r="J1" s="3" t="s">
        <v>278</v>
      </c>
      <c r="K1" t="s">
        <v>279</v>
      </c>
      <c r="L1" s="3" t="s">
        <v>337</v>
      </c>
      <c r="M1" s="3" t="s">
        <v>335</v>
      </c>
      <c r="N1" t="s">
        <v>280</v>
      </c>
      <c r="O1" t="s">
        <v>336</v>
      </c>
      <c r="P1" t="s">
        <v>266</v>
      </c>
      <c r="Q1" t="s">
        <v>282</v>
      </c>
      <c r="R1" t="s">
        <v>283</v>
      </c>
      <c r="V1" s="6" t="s">
        <v>4230</v>
      </c>
      <c r="W1" s="6" t="s">
        <v>4229</v>
      </c>
      <c r="Y1" s="5" t="s">
        <v>3735</v>
      </c>
      <c r="Z1" s="5" t="s">
        <v>3833</v>
      </c>
      <c r="AA1" s="5" t="s">
        <v>3737</v>
      </c>
    </row>
    <row r="2" spans="1:27" x14ac:dyDescent="0.25">
      <c r="A2">
        <v>386</v>
      </c>
      <c r="B2" t="s">
        <v>3743</v>
      </c>
      <c r="C2" t="s">
        <v>3744</v>
      </c>
      <c r="D2" t="s">
        <v>3773</v>
      </c>
      <c r="E2" t="s">
        <v>53</v>
      </c>
      <c r="F2" s="7">
        <v>32673</v>
      </c>
      <c r="G2" t="s">
        <v>259</v>
      </c>
      <c r="H2" t="s">
        <v>3774</v>
      </c>
      <c r="I2" t="s">
        <v>210</v>
      </c>
      <c r="J2" t="s">
        <v>3742</v>
      </c>
      <c r="K2" t="s">
        <v>225</v>
      </c>
      <c r="L2" t="s">
        <v>265</v>
      </c>
      <c r="M2" t="s">
        <v>3775</v>
      </c>
      <c r="N2" t="s">
        <v>3776</v>
      </c>
      <c r="O2" t="s">
        <v>3777</v>
      </c>
      <c r="P2" t="s">
        <v>3778</v>
      </c>
      <c r="Q2" t="s">
        <v>3745</v>
      </c>
      <c r="R2" t="str">
        <f>IF(E2="Feminino","user-female.jpg","user-male.jpg")</f>
        <v>user-male.jpg</v>
      </c>
      <c r="S2" s="8"/>
      <c r="V2" s="6" t="str" cm="1">
        <f t="array" ref="V2">INDEX(Folha1!$C$2:$C$396,W2)</f>
        <v>$2a$10$5tkllqB5AeNPKoDxJ6ZmI.KW9rPH2.JpbLtOjQDYPcw.M1/4rEpCy</v>
      </c>
      <c r="W2">
        <f>MATCH(C2,Folha1!$B$2:$B$396,0)</f>
        <v>386</v>
      </c>
      <c r="Y2" t="str">
        <f>"VALUES (" &amp;A2 &amp; ",'" &amp; B2 &amp; "', '" &amp; V2 &amp; "', '" &amp; D2 &amp; "', '" &amp; E2 &amp; "', '" &amp; TEXT(F2, "yyyy-mm-dd") &amp; "', '" &amp; G2 &amp; "', '" &amp; H2 &amp; "', '" &amp; I2 &amp; "', '" &amp; J2 &amp; "', '" &amp; K2 &amp; "', '" &amp; L2 &amp; "', '" &amp; M2 &amp; "', '" &amp; N2 &amp; "', '" &amp; O2 &amp; "', '" &amp; P2 &amp; "', '" &amp; Q2 &amp; "', '" &amp; R2 &amp; "'),"</f>
        <v>VALUES (386,'rec001', '$2a$10$5tkllqB5AeNPKoDxJ6ZmI.KW9rPH2.JpbLtOjQDYPcw.M1/4rEpCy', 'Santiago Assunção Vieira', 'Masculino', '1989-06-14', 'Rua da Alfândega', '2614-241', 'Amadora', 'Recepcionista', 'Portuguesa', 'Bilhete de Identidade', '76127900', '213459174', '630516313', '912802112', 'rec001@hospital.upskill.com', 'user-male.jpg'),</v>
      </c>
      <c r="Z2" t="str">
        <f>"VALUES (" &amp;A2 &amp; "),"</f>
        <v>VALUES (386),</v>
      </c>
      <c r="AA2" t="str">
        <f>"VALUES (" &amp;A2 &amp; "),"</f>
        <v>VALUES (386),</v>
      </c>
    </row>
    <row r="3" spans="1:27" x14ac:dyDescent="0.25">
      <c r="A3">
        <v>387</v>
      </c>
      <c r="B3" t="s">
        <v>3746</v>
      </c>
      <c r="C3" t="s">
        <v>3747</v>
      </c>
      <c r="D3" t="s">
        <v>3779</v>
      </c>
      <c r="E3" t="s">
        <v>53</v>
      </c>
      <c r="F3" s="7">
        <v>20278</v>
      </c>
      <c r="G3" t="s">
        <v>252</v>
      </c>
      <c r="H3" t="s">
        <v>3780</v>
      </c>
      <c r="I3" t="s">
        <v>208</v>
      </c>
      <c r="J3" t="s">
        <v>3742</v>
      </c>
      <c r="K3" t="s">
        <v>225</v>
      </c>
      <c r="L3" t="s">
        <v>265</v>
      </c>
      <c r="M3" t="s">
        <v>3781</v>
      </c>
      <c r="N3" t="s">
        <v>3782</v>
      </c>
      <c r="O3" t="s">
        <v>3783</v>
      </c>
      <c r="P3" t="s">
        <v>3784</v>
      </c>
      <c r="Q3" t="s">
        <v>3748</v>
      </c>
      <c r="R3" t="str">
        <f t="shared" ref="R3:R11" si="0">IF(E3="Feminino","user-female.jpg","user-male.jpg")</f>
        <v>user-male.jpg</v>
      </c>
      <c r="S3" s="8"/>
      <c r="V3" s="6" t="str" cm="1">
        <f t="array" ref="V3">INDEX(Folha1!$C$2:$C$396,W3)</f>
        <v>$2a$10$0CdwfeL7wSTsUFEGkE/DXuk03M/daCTY6Xdtj4dl159ecWaBvqy7e</v>
      </c>
      <c r="W3">
        <f>MATCH(C3,Folha1!$B$2:$B$396,0)</f>
        <v>387</v>
      </c>
      <c r="Y3" t="str">
        <f>"(" &amp;A3 &amp; ",'" &amp; B3 &amp; "', '" &amp; V3 &amp; "', '" &amp; D3 &amp; "', '" &amp; E3 &amp; "', '" &amp; TEXT(F3, "yyyy-mm-dd") &amp; "', '" &amp; G3 &amp; "', '" &amp; H3 &amp; "', '" &amp; I3 &amp; "', '" &amp; J3 &amp; "', '" &amp; K3 &amp; "', '" &amp; L3 &amp; "', '" &amp; M3 &amp; "', '" &amp; N3 &amp; "', '" &amp; O3 &amp; "', '" &amp; P3 &amp; "', '" &amp; Q3 &amp; "', '" &amp; R3 &amp; "'),"</f>
        <v>(387,'rec002', '$2a$10$0CdwfeL7wSTsUFEGkE/DXuk03M/daCTY6Xdtj4dl159ecWaBvqy7e', 'José Pires Antunes', 'Masculino', '1955-07-08', 'Rua de São Julião', '2900-411', 'Setúbal', 'Recepcionista', 'Portuguesa', 'Bilhete de Identidade', '41324617', '848321758', '586932508', '966229913', 'rec002@hospital.upskill.com', 'user-male.jpg'),</v>
      </c>
      <c r="Z3" t="str">
        <f>"(" &amp;A3 &amp; "),"</f>
        <v>(387),</v>
      </c>
      <c r="AA3" t="str">
        <f>"(" &amp;A3 &amp; "),"</f>
        <v>(387),</v>
      </c>
    </row>
    <row r="4" spans="1:27" x14ac:dyDescent="0.25">
      <c r="A4">
        <v>388</v>
      </c>
      <c r="B4" t="s">
        <v>3749</v>
      </c>
      <c r="C4" t="s">
        <v>3750</v>
      </c>
      <c r="D4" t="s">
        <v>3785</v>
      </c>
      <c r="E4" t="s">
        <v>66</v>
      </c>
      <c r="F4" s="7">
        <v>19981</v>
      </c>
      <c r="G4" t="s">
        <v>254</v>
      </c>
      <c r="H4" t="s">
        <v>3786</v>
      </c>
      <c r="I4" t="s">
        <v>210</v>
      </c>
      <c r="J4" t="s">
        <v>3742</v>
      </c>
      <c r="K4" t="s">
        <v>225</v>
      </c>
      <c r="L4" t="s">
        <v>265</v>
      </c>
      <c r="M4" t="s">
        <v>3787</v>
      </c>
      <c r="N4" t="s">
        <v>3788</v>
      </c>
      <c r="O4" t="s">
        <v>3789</v>
      </c>
      <c r="P4" t="s">
        <v>3790</v>
      </c>
      <c r="Q4" t="s">
        <v>3751</v>
      </c>
      <c r="R4" t="str">
        <f t="shared" si="0"/>
        <v>user-female.jpg</v>
      </c>
      <c r="S4" s="8"/>
      <c r="V4" s="6" t="str" cm="1">
        <f t="array" ref="V4">INDEX(Folha1!$C$2:$C$396,W4)</f>
        <v>$2a$10$wgAoiQZCc6z0Qjz52r85Veg14M2ao4bmgOrr8f0oNOvri53mfpH2W</v>
      </c>
      <c r="W4">
        <f>MATCH(C4,Folha1!$B$2:$B$396,0)</f>
        <v>388</v>
      </c>
      <c r="Y4" t="str">
        <f t="shared" ref="Y4:Y11" si="1">"(" &amp;A4 &amp; ",'" &amp; B4 &amp; "', '" &amp; V4 &amp; "', '" &amp; D4 &amp; "', '" &amp; E4 &amp; "', '" &amp; TEXT(F4, "yyyy-mm-dd") &amp; "', '" &amp; G4 &amp; "', '" &amp; H4 &amp; "', '" &amp; I4 &amp; "', '" &amp; J4 &amp; "', '" &amp; K4 &amp; "', '" &amp; L4 &amp; "', '" &amp; M4 &amp; "', '" &amp; N4 &amp; "', '" &amp; O4 &amp; "', '" &amp; P4 &amp; "', '" &amp; Q4 &amp; "', '" &amp; R4 &amp; "'),"</f>
        <v>(388,'rec003', '$2a$10$wgAoiQZCc6z0Qjz52r85Veg14M2ao4bmgOrr8f0oNOvri53mfpH2W', 'Catarina Sofia Cunha Gomes', 'Feminino', '1954-09-14', 'Rua do Sacramento à Lapa', '2654-228', 'Amadora', 'Recepcionista', 'Portuguesa', 'Bilhete de Identidade', '47409942', '858039431', '349866136', '934738939', 'rec003@hospital.upskill.com', 'user-female.jpg'),</v>
      </c>
      <c r="Z4" t="str">
        <f t="shared" ref="Z4:Z10" si="2">"(" &amp;A4 &amp; "),"</f>
        <v>(388),</v>
      </c>
      <c r="AA4" t="str">
        <f t="shared" ref="AA4:AA10" si="3">"(" &amp;A4 &amp; "),"</f>
        <v>(388),</v>
      </c>
    </row>
    <row r="5" spans="1:27" x14ac:dyDescent="0.25">
      <c r="A5">
        <v>389</v>
      </c>
      <c r="B5" t="s">
        <v>3752</v>
      </c>
      <c r="C5" t="s">
        <v>3753</v>
      </c>
      <c r="D5" t="s">
        <v>3791</v>
      </c>
      <c r="E5" t="s">
        <v>53</v>
      </c>
      <c r="F5" s="7">
        <v>25381</v>
      </c>
      <c r="G5" t="s">
        <v>236</v>
      </c>
      <c r="H5" t="s">
        <v>3792</v>
      </c>
      <c r="I5" t="s">
        <v>211</v>
      </c>
      <c r="J5" t="s">
        <v>3742</v>
      </c>
      <c r="K5" t="s">
        <v>225</v>
      </c>
      <c r="L5" t="s">
        <v>265</v>
      </c>
      <c r="M5" t="s">
        <v>3793</v>
      </c>
      <c r="N5" t="s">
        <v>3794</v>
      </c>
      <c r="O5" t="s">
        <v>3795</v>
      </c>
      <c r="P5" t="s">
        <v>3796</v>
      </c>
      <c r="Q5" t="s">
        <v>3754</v>
      </c>
      <c r="R5" t="str">
        <f t="shared" si="0"/>
        <v>user-male.jpg</v>
      </c>
      <c r="S5" s="8"/>
      <c r="V5" s="6" t="str" cm="1">
        <f t="array" ref="V5">INDEX(Folha1!$C$2:$C$396,W5)</f>
        <v>$2a$10$NKQbCrzpB7F691m3iNivfuuPodGwR7li/6C/6QzRRN7bhkMMBl77.</v>
      </c>
      <c r="W5">
        <f>MATCH(C5,Folha1!$B$2:$B$396,0)</f>
        <v>389</v>
      </c>
      <c r="Y5" t="str">
        <f t="shared" si="1"/>
        <v>(389,'rec004', '$2a$10$NKQbCrzpB7F691m3iNivfuuPodGwR7li/6C/6QzRRN7bhkMMBl77.', 'Duarte José Miranda Oliveira', 'Masculino', '1969-06-27', 'Rua da Madalena', '1449-634', 'Lisboa', 'Recepcionista', 'Portuguesa', 'Bilhete de Identidade', '76178103', '427188848', '995257896', '918829948', 'rec004@hospital.upskill.com', 'user-male.jpg'),</v>
      </c>
      <c r="Z5" t="str">
        <f t="shared" si="2"/>
        <v>(389),</v>
      </c>
      <c r="AA5" t="str">
        <f t="shared" si="3"/>
        <v>(389),</v>
      </c>
    </row>
    <row r="6" spans="1:27" x14ac:dyDescent="0.25">
      <c r="A6">
        <v>390</v>
      </c>
      <c r="B6" t="s">
        <v>3755</v>
      </c>
      <c r="C6" t="s">
        <v>3756</v>
      </c>
      <c r="D6" t="s">
        <v>3797</v>
      </c>
      <c r="E6" t="s">
        <v>53</v>
      </c>
      <c r="F6" s="7">
        <v>30930</v>
      </c>
      <c r="G6" t="s">
        <v>246</v>
      </c>
      <c r="H6" t="s">
        <v>3798</v>
      </c>
      <c r="I6" t="s">
        <v>211</v>
      </c>
      <c r="J6" t="s">
        <v>3742</v>
      </c>
      <c r="K6" t="s">
        <v>225</v>
      </c>
      <c r="L6" t="s">
        <v>265</v>
      </c>
      <c r="M6" t="s">
        <v>3799</v>
      </c>
      <c r="N6" t="s">
        <v>3800</v>
      </c>
      <c r="O6" t="s">
        <v>3801</v>
      </c>
      <c r="P6" t="s">
        <v>3802</v>
      </c>
      <c r="Q6" t="s">
        <v>3757</v>
      </c>
      <c r="R6" t="str">
        <f t="shared" si="0"/>
        <v>user-male.jpg</v>
      </c>
      <c r="S6" s="8"/>
      <c r="V6" s="6" t="str" cm="1">
        <f t="array" ref="V6">INDEX(Folha1!$C$2:$C$396,W6)</f>
        <v>$2a$10$4DAuMna86H21uTRQ8D/7su2TTzSQ/vUvTMc3NATHEYwGS2RlFT9cK</v>
      </c>
      <c r="W6">
        <f>MATCH(C6,Folha1!$B$2:$B$396,0)</f>
        <v>390</v>
      </c>
      <c r="Y6" t="str">
        <f t="shared" si="1"/>
        <v>(390,'rec005', '$2a$10$4DAuMna86H21uTRQ8D/7su2TTzSQ/vUvTMc3NATHEYwGS2RlFT9cK', 'Santiago Matilde Figueiredo Figueiredo', 'Masculino', '1984-09-05', 'Rua do Guarda-Mor', '1549-731', 'Lisboa', 'Recepcionista', 'Portuguesa', 'Bilhete de Identidade', '62507076', '634350831', '684226986', '931373585', 'rec005@hospital.upskill.com', 'user-male.jpg'),</v>
      </c>
      <c r="Z6" t="str">
        <f t="shared" si="2"/>
        <v>(390),</v>
      </c>
      <c r="AA6" t="str">
        <f t="shared" si="3"/>
        <v>(390),</v>
      </c>
    </row>
    <row r="7" spans="1:27" x14ac:dyDescent="0.25">
      <c r="A7">
        <v>391</v>
      </c>
      <c r="B7" t="s">
        <v>3758</v>
      </c>
      <c r="C7" t="s">
        <v>3759</v>
      </c>
      <c r="D7" t="s">
        <v>3803</v>
      </c>
      <c r="E7" t="s">
        <v>53</v>
      </c>
      <c r="F7" s="7">
        <v>32308</v>
      </c>
      <c r="G7" t="s">
        <v>241</v>
      </c>
      <c r="H7" t="s">
        <v>3804</v>
      </c>
      <c r="I7" t="s">
        <v>210</v>
      </c>
      <c r="J7" t="s">
        <v>3742</v>
      </c>
      <c r="K7" t="s">
        <v>225</v>
      </c>
      <c r="L7" t="s">
        <v>265</v>
      </c>
      <c r="M7" t="s">
        <v>3805</v>
      </c>
      <c r="N7" t="s">
        <v>3806</v>
      </c>
      <c r="O7" t="s">
        <v>3807</v>
      </c>
      <c r="P7" t="s">
        <v>3808</v>
      </c>
      <c r="Q7" t="s">
        <v>3760</v>
      </c>
      <c r="R7" t="str">
        <f t="shared" si="0"/>
        <v>user-male.jpg</v>
      </c>
      <c r="S7" s="8"/>
      <c r="V7" s="6" t="str" cm="1">
        <f t="array" ref="V7">INDEX(Folha1!$C$2:$C$396,W7)</f>
        <v>$2a$10$gT5XPm2v0OWmNu1hhy2jgeY.dSioDEyQzJ.p79dMPW.i8Ii/m6Yj2</v>
      </c>
      <c r="W7">
        <f>MATCH(C7,Folha1!$B$2:$B$396,0)</f>
        <v>391</v>
      </c>
      <c r="Y7" t="str">
        <f t="shared" si="1"/>
        <v>(391,'rec006', '$2a$10$gT5XPm2v0OWmNu1hhy2jgeY.dSioDEyQzJ.p79dMPW.i8Ii/m6Yj2', 'Duarte Luís Castro Antunes', 'Masculino', '1988-06-14', 'Rua da Prata', '2654-578', 'Amadora', 'Recepcionista', 'Portuguesa', 'Bilhete de Identidade', '91496657', '489716842', '539816581', '963125267', 'rec006@hospital.upskill.com', 'user-male.jpg'),</v>
      </c>
      <c r="Z7" t="str">
        <f t="shared" si="2"/>
        <v>(391),</v>
      </c>
      <c r="AA7" t="str">
        <f t="shared" si="3"/>
        <v>(391),</v>
      </c>
    </row>
    <row r="8" spans="1:27" x14ac:dyDescent="0.25">
      <c r="A8">
        <v>392</v>
      </c>
      <c r="B8" t="s">
        <v>3761</v>
      </c>
      <c r="C8" t="s">
        <v>3762</v>
      </c>
      <c r="D8" t="s">
        <v>3809</v>
      </c>
      <c r="E8" t="s">
        <v>53</v>
      </c>
      <c r="F8" s="7">
        <v>25566</v>
      </c>
      <c r="G8" t="s">
        <v>238</v>
      </c>
      <c r="H8" t="s">
        <v>3810</v>
      </c>
      <c r="I8" t="s">
        <v>211</v>
      </c>
      <c r="J8" t="s">
        <v>3742</v>
      </c>
      <c r="K8" t="s">
        <v>225</v>
      </c>
      <c r="L8" t="s">
        <v>265</v>
      </c>
      <c r="M8" t="s">
        <v>3811</v>
      </c>
      <c r="N8" t="s">
        <v>3812</v>
      </c>
      <c r="O8" t="s">
        <v>3813</v>
      </c>
      <c r="P8" t="s">
        <v>3814</v>
      </c>
      <c r="Q8" t="s">
        <v>3763</v>
      </c>
      <c r="R8" t="str">
        <f t="shared" si="0"/>
        <v>user-male.jpg</v>
      </c>
      <c r="S8" s="8"/>
      <c r="V8" s="6" t="str" cm="1">
        <f t="array" ref="V8">INDEX(Folha1!$C$2:$C$396,W8)</f>
        <v>$2a$10$fu8zbn/yw4TqS090CpgOJ.FtKIlauUO5gjFk8EjcJNKWKNiolTWxi</v>
      </c>
      <c r="W8">
        <f>MATCH(C8,Folha1!$B$2:$B$396,0)</f>
        <v>392</v>
      </c>
      <c r="Y8" t="str">
        <f t="shared" si="1"/>
        <v>(392,'rec007', '$2a$10$fu8zbn/yw4TqS090CpgOJ.FtKIlauUO5gjFk8EjcJNKWKNiolTWxi', 'Tiago Rodrigo Cunha Ramos', 'Masculino', '1969-12-29', 'Calçada do Moinho de Vento', '1349-564', 'Lisboa', 'Recepcionista', 'Portuguesa', 'Bilhete de Identidade', '63387806', '829988758', '815702121', '914945528', 'rec007@hospital.upskill.com', 'user-male.jpg'),</v>
      </c>
      <c r="Z8" t="str">
        <f t="shared" si="2"/>
        <v>(392),</v>
      </c>
      <c r="AA8" t="str">
        <f t="shared" si="3"/>
        <v>(392),</v>
      </c>
    </row>
    <row r="9" spans="1:27" x14ac:dyDescent="0.25">
      <c r="A9">
        <v>393</v>
      </c>
      <c r="B9" t="s">
        <v>3764</v>
      </c>
      <c r="C9" t="s">
        <v>3765</v>
      </c>
      <c r="D9" t="s">
        <v>3815</v>
      </c>
      <c r="E9" t="s">
        <v>53</v>
      </c>
      <c r="F9" s="7">
        <v>31761</v>
      </c>
      <c r="G9" t="s">
        <v>256</v>
      </c>
      <c r="H9" t="s">
        <v>3816</v>
      </c>
      <c r="I9" t="s">
        <v>207</v>
      </c>
      <c r="J9" t="s">
        <v>3742</v>
      </c>
      <c r="K9" t="s">
        <v>225</v>
      </c>
      <c r="L9" t="s">
        <v>265</v>
      </c>
      <c r="M9" t="s">
        <v>3817</v>
      </c>
      <c r="N9" t="s">
        <v>3818</v>
      </c>
      <c r="O9" t="s">
        <v>3819</v>
      </c>
      <c r="P9" t="s">
        <v>3820</v>
      </c>
      <c r="Q9" t="s">
        <v>3766</v>
      </c>
      <c r="R9" t="str">
        <f t="shared" si="0"/>
        <v>user-male.jpg</v>
      </c>
      <c r="S9" s="8"/>
      <c r="V9" s="6" t="str" cm="1">
        <f t="array" ref="V9">INDEX(Folha1!$C$2:$C$396,W9)</f>
        <v>$2a$10$/5zAlafu6zGEUlEOARGfCOYlv4MZVKsrG7NlwPPrinM5TyYfvnWTm</v>
      </c>
      <c r="W9">
        <f>MATCH(C9,Folha1!$B$2:$B$396,0)</f>
        <v>393</v>
      </c>
      <c r="Y9" t="str">
        <f t="shared" si="1"/>
        <v>(393,'rec008', '$2a$10$/5zAlafu6zGEUlEOARGfCOYlv4MZVKsrG7NlwPPrinM5TyYfvnWTm', 'Gabriel João Torres Ferreira', 'Masculino', '1986-12-15', 'Travessa de São João da Praça', '2745-266', 'Queluz', 'Recepcionista', 'Portuguesa', 'Bilhete de Identidade', '93447178', '267136156', '608205890', '911291253', 'rec008@hospital.upskill.com', 'user-male.jpg'),</v>
      </c>
      <c r="Z9" t="str">
        <f t="shared" si="2"/>
        <v>(393),</v>
      </c>
      <c r="AA9" t="str">
        <f t="shared" si="3"/>
        <v>(393),</v>
      </c>
    </row>
    <row r="10" spans="1:27" x14ac:dyDescent="0.25">
      <c r="A10">
        <v>394</v>
      </c>
      <c r="B10" t="s">
        <v>3767</v>
      </c>
      <c r="C10" t="s">
        <v>3768</v>
      </c>
      <c r="D10" t="s">
        <v>3821</v>
      </c>
      <c r="E10" t="s">
        <v>53</v>
      </c>
      <c r="F10" s="7">
        <v>25164</v>
      </c>
      <c r="G10" t="s">
        <v>226</v>
      </c>
      <c r="H10" t="s">
        <v>3822</v>
      </c>
      <c r="I10" t="s">
        <v>220</v>
      </c>
      <c r="J10" t="s">
        <v>3742</v>
      </c>
      <c r="K10" t="s">
        <v>225</v>
      </c>
      <c r="L10" t="s">
        <v>265</v>
      </c>
      <c r="M10" t="s">
        <v>3823</v>
      </c>
      <c r="N10" t="s">
        <v>3824</v>
      </c>
      <c r="O10" t="s">
        <v>3825</v>
      </c>
      <c r="P10" t="s">
        <v>3826</v>
      </c>
      <c r="Q10" t="s">
        <v>3769</v>
      </c>
      <c r="R10" t="str">
        <f t="shared" si="0"/>
        <v>user-male.jpg</v>
      </c>
      <c r="S10" s="8"/>
      <c r="V10" s="6" t="str" cm="1">
        <f t="array" ref="V10">INDEX(Folha1!$C$2:$C$396,W10)</f>
        <v>$2a$10$kfxOm4/WtQb7k1icUSm7rO5cG9s68y.gOAIPgDc1JDd/sgN9vsIFS</v>
      </c>
      <c r="W10">
        <f>MATCH(C10,Folha1!$B$2:$B$396,0)</f>
        <v>394</v>
      </c>
      <c r="Y10" t="str">
        <f t="shared" si="1"/>
        <v>(394,'rec009', '$2a$10$kfxOm4/WtQb7k1icUSm7rO5cG9s68y.gOAIPgDc1JDd/sgN9vsIFS', 'Tiago Inês Pereira Henriques', 'Masculino', '1968-11-22', 'Rua do Arsenal', '2750-876', 'Cascais', 'Recepcionista', 'Portuguesa', 'Bilhete de Identidade', '37567118', '587506877', '884609656', '966490826', 'rec009@hospital.upskill.com', 'user-male.jpg'),</v>
      </c>
      <c r="Z10" t="str">
        <f t="shared" si="2"/>
        <v>(394),</v>
      </c>
      <c r="AA10" t="str">
        <f t="shared" si="3"/>
        <v>(394),</v>
      </c>
    </row>
    <row r="11" spans="1:27" x14ac:dyDescent="0.25">
      <c r="A11">
        <v>395</v>
      </c>
      <c r="B11" t="s">
        <v>3770</v>
      </c>
      <c r="C11" t="s">
        <v>3771</v>
      </c>
      <c r="D11" t="s">
        <v>3827</v>
      </c>
      <c r="E11" t="s">
        <v>53</v>
      </c>
      <c r="F11" s="7">
        <v>33052</v>
      </c>
      <c r="G11" t="s">
        <v>241</v>
      </c>
      <c r="H11" t="s">
        <v>3828</v>
      </c>
      <c r="I11" t="s">
        <v>217</v>
      </c>
      <c r="J11" t="s">
        <v>3742</v>
      </c>
      <c r="K11" t="s">
        <v>225</v>
      </c>
      <c r="L11" t="s">
        <v>265</v>
      </c>
      <c r="M11" t="s">
        <v>3829</v>
      </c>
      <c r="N11" t="s">
        <v>3830</v>
      </c>
      <c r="O11" t="s">
        <v>3831</v>
      </c>
      <c r="P11" t="s">
        <v>3832</v>
      </c>
      <c r="Q11" t="s">
        <v>3772</v>
      </c>
      <c r="R11" t="str">
        <f t="shared" si="0"/>
        <v>user-male.jpg</v>
      </c>
      <c r="S11" s="8"/>
      <c r="V11" s="6" t="str" cm="1">
        <f t="array" ref="V11">INDEX(Folha1!$C$2:$C$396,W11)</f>
        <v>$2a$10$RjEUP93OtrUwMf2UdcnScev2eZm1WdO4T0F085z45R2Xv7uE3HPgy</v>
      </c>
      <c r="W11">
        <f>MATCH(C11,Folha1!$B$2:$B$396,0)</f>
        <v>395</v>
      </c>
      <c r="Y11" t="str">
        <f>"(" &amp;A11 &amp; ",'" &amp; B11 &amp; "', '" &amp; V11 &amp; "', '" &amp; D11 &amp; "', '" &amp; E11 &amp; "', '" &amp; TEXT(F11, "yyyy-mm-dd") &amp; "', '" &amp; G11 &amp; "', '" &amp; H11 &amp; "', '" &amp; I11 &amp; "', '" &amp; J11 &amp; "', '" &amp; K11 &amp; "', '" &amp; L11 &amp; "', '" &amp; M11 &amp; "', '" &amp; N11 &amp; "', '" &amp; O11 &amp; "', '" &amp; P11 &amp; "', '" &amp; Q11 &amp; "', '" &amp; R11 &amp; "');"</f>
        <v>(395,'rec010', '$2a$10$RjEUP93OtrUwMf2UdcnScev2eZm1WdO4T0F085z45R2Xv7uE3HPgy', 'Marco Inês Reis Araújo', 'Masculino', '1990-06-28', 'Rua da Prata', '2829-427', 'Caparica', 'Recepcionista', 'Portuguesa', 'Bilhete de Identidade', '50227653', '692666346', '144598948', '939877634', 'rec010@hospital.upskill.com', 'user-male.jpg');</v>
      </c>
      <c r="Z11" t="str">
        <f>"(" &amp;A11 &amp; ");"</f>
        <v>(395);</v>
      </c>
      <c r="AA11" t="str">
        <f>"(" &amp;A11 &amp; ");"</f>
        <v>(395);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182B5-F9E1-4A35-873E-45AA060E2A5C}">
  <dimension ref="B2:C396"/>
  <sheetViews>
    <sheetView topLeftCell="A173" workbookViewId="0">
      <selection activeCell="B191" sqref="B191"/>
    </sheetView>
  </sheetViews>
  <sheetFormatPr defaultRowHeight="15" x14ac:dyDescent="0.25"/>
  <cols>
    <col min="2" max="2" width="18.140625" bestFit="1" customWidth="1"/>
    <col min="3" max="3" width="73.85546875" bestFit="1" customWidth="1"/>
  </cols>
  <sheetData>
    <row r="2" spans="2:3" x14ac:dyDescent="0.25">
      <c r="B2" t="s">
        <v>345</v>
      </c>
      <c r="C2" t="s">
        <v>3834</v>
      </c>
    </row>
    <row r="3" spans="2:3" x14ac:dyDescent="0.25">
      <c r="B3" t="s">
        <v>354</v>
      </c>
      <c r="C3" t="s">
        <v>3835</v>
      </c>
    </row>
    <row r="4" spans="2:3" x14ac:dyDescent="0.25">
      <c r="B4" t="s">
        <v>363</v>
      </c>
      <c r="C4" t="s">
        <v>3836</v>
      </c>
    </row>
    <row r="5" spans="2:3" x14ac:dyDescent="0.25">
      <c r="B5" t="s">
        <v>372</v>
      </c>
      <c r="C5" t="s">
        <v>3837</v>
      </c>
    </row>
    <row r="6" spans="2:3" x14ac:dyDescent="0.25">
      <c r="B6" t="s">
        <v>381</v>
      </c>
      <c r="C6" t="s">
        <v>3838</v>
      </c>
    </row>
    <row r="7" spans="2:3" x14ac:dyDescent="0.25">
      <c r="B7" t="s">
        <v>390</v>
      </c>
      <c r="C7" t="s">
        <v>3839</v>
      </c>
    </row>
    <row r="8" spans="2:3" x14ac:dyDescent="0.25">
      <c r="B8" t="s">
        <v>399</v>
      </c>
      <c r="C8" t="s">
        <v>3840</v>
      </c>
    </row>
    <row r="9" spans="2:3" x14ac:dyDescent="0.25">
      <c r="B9" t="s">
        <v>408</v>
      </c>
      <c r="C9" t="s">
        <v>3841</v>
      </c>
    </row>
    <row r="10" spans="2:3" x14ac:dyDescent="0.25">
      <c r="B10" t="s">
        <v>417</v>
      </c>
      <c r="C10" t="s">
        <v>3842</v>
      </c>
    </row>
    <row r="11" spans="2:3" x14ac:dyDescent="0.25">
      <c r="B11" t="s">
        <v>426</v>
      </c>
      <c r="C11" t="s">
        <v>3843</v>
      </c>
    </row>
    <row r="12" spans="2:3" x14ac:dyDescent="0.25">
      <c r="B12" t="s">
        <v>435</v>
      </c>
      <c r="C12" t="s">
        <v>3844</v>
      </c>
    </row>
    <row r="13" spans="2:3" x14ac:dyDescent="0.25">
      <c r="B13" t="s">
        <v>444</v>
      </c>
      <c r="C13" t="s">
        <v>3845</v>
      </c>
    </row>
    <row r="14" spans="2:3" x14ac:dyDescent="0.25">
      <c r="B14" t="s">
        <v>453</v>
      </c>
      <c r="C14" t="s">
        <v>3846</v>
      </c>
    </row>
    <row r="15" spans="2:3" x14ac:dyDescent="0.25">
      <c r="B15" t="s">
        <v>462</v>
      </c>
      <c r="C15" t="s">
        <v>3847</v>
      </c>
    </row>
    <row r="16" spans="2:3" x14ac:dyDescent="0.25">
      <c r="B16" t="s">
        <v>471</v>
      </c>
      <c r="C16" t="s">
        <v>3848</v>
      </c>
    </row>
    <row r="17" spans="2:3" x14ac:dyDescent="0.25">
      <c r="B17" t="s">
        <v>480</v>
      </c>
      <c r="C17" t="s">
        <v>3849</v>
      </c>
    </row>
    <row r="18" spans="2:3" x14ac:dyDescent="0.25">
      <c r="B18" t="s">
        <v>489</v>
      </c>
      <c r="C18" t="s">
        <v>3850</v>
      </c>
    </row>
    <row r="19" spans="2:3" x14ac:dyDescent="0.25">
      <c r="B19" t="s">
        <v>498</v>
      </c>
      <c r="C19" t="s">
        <v>3851</v>
      </c>
    </row>
    <row r="20" spans="2:3" x14ac:dyDescent="0.25">
      <c r="B20" t="s">
        <v>507</v>
      </c>
      <c r="C20" t="s">
        <v>3852</v>
      </c>
    </row>
    <row r="21" spans="2:3" x14ac:dyDescent="0.25">
      <c r="B21" t="s">
        <v>516</v>
      </c>
      <c r="C21" t="s">
        <v>3853</v>
      </c>
    </row>
    <row r="22" spans="2:3" x14ac:dyDescent="0.25">
      <c r="B22" t="s">
        <v>525</v>
      </c>
      <c r="C22" t="s">
        <v>3854</v>
      </c>
    </row>
    <row r="23" spans="2:3" x14ac:dyDescent="0.25">
      <c r="B23" t="s">
        <v>534</v>
      </c>
      <c r="C23" t="s">
        <v>3855</v>
      </c>
    </row>
    <row r="24" spans="2:3" x14ac:dyDescent="0.25">
      <c r="B24" t="s">
        <v>543</v>
      </c>
      <c r="C24" t="s">
        <v>3856</v>
      </c>
    </row>
    <row r="25" spans="2:3" x14ac:dyDescent="0.25">
      <c r="B25" t="s">
        <v>552</v>
      </c>
      <c r="C25" t="s">
        <v>3857</v>
      </c>
    </row>
    <row r="26" spans="2:3" x14ac:dyDescent="0.25">
      <c r="B26" t="s">
        <v>561</v>
      </c>
      <c r="C26" t="s">
        <v>3858</v>
      </c>
    </row>
    <row r="27" spans="2:3" x14ac:dyDescent="0.25">
      <c r="B27" t="s">
        <v>570</v>
      </c>
      <c r="C27" t="s">
        <v>3859</v>
      </c>
    </row>
    <row r="28" spans="2:3" x14ac:dyDescent="0.25">
      <c r="B28" t="s">
        <v>579</v>
      </c>
      <c r="C28" t="s">
        <v>3860</v>
      </c>
    </row>
    <row r="29" spans="2:3" x14ac:dyDescent="0.25">
      <c r="B29" t="s">
        <v>588</v>
      </c>
      <c r="C29" t="s">
        <v>3861</v>
      </c>
    </row>
    <row r="30" spans="2:3" x14ac:dyDescent="0.25">
      <c r="B30" t="s">
        <v>597</v>
      </c>
      <c r="C30" t="s">
        <v>3862</v>
      </c>
    </row>
    <row r="31" spans="2:3" x14ac:dyDescent="0.25">
      <c r="B31" t="s">
        <v>606</v>
      </c>
      <c r="C31" t="s">
        <v>3863</v>
      </c>
    </row>
    <row r="32" spans="2:3" x14ac:dyDescent="0.25">
      <c r="B32" t="s">
        <v>615</v>
      </c>
      <c r="C32" t="s">
        <v>3864</v>
      </c>
    </row>
    <row r="33" spans="2:3" x14ac:dyDescent="0.25">
      <c r="B33" t="s">
        <v>624</v>
      </c>
      <c r="C33" t="s">
        <v>3865</v>
      </c>
    </row>
    <row r="34" spans="2:3" x14ac:dyDescent="0.25">
      <c r="B34" t="s">
        <v>633</v>
      </c>
      <c r="C34" t="s">
        <v>3866</v>
      </c>
    </row>
    <row r="35" spans="2:3" x14ac:dyDescent="0.25">
      <c r="B35" t="s">
        <v>642</v>
      </c>
      <c r="C35" t="s">
        <v>3867</v>
      </c>
    </row>
    <row r="36" spans="2:3" x14ac:dyDescent="0.25">
      <c r="B36" t="s">
        <v>651</v>
      </c>
      <c r="C36" t="s">
        <v>3868</v>
      </c>
    </row>
    <row r="37" spans="2:3" x14ac:dyDescent="0.25">
      <c r="B37" t="s">
        <v>660</v>
      </c>
      <c r="C37" t="s">
        <v>3869</v>
      </c>
    </row>
    <row r="38" spans="2:3" x14ac:dyDescent="0.25">
      <c r="B38" t="s">
        <v>669</v>
      </c>
      <c r="C38" t="s">
        <v>3870</v>
      </c>
    </row>
    <row r="39" spans="2:3" x14ac:dyDescent="0.25">
      <c r="B39" t="s">
        <v>678</v>
      </c>
      <c r="C39" t="s">
        <v>3871</v>
      </c>
    </row>
    <row r="40" spans="2:3" x14ac:dyDescent="0.25">
      <c r="B40" t="s">
        <v>687</v>
      </c>
      <c r="C40" t="s">
        <v>3872</v>
      </c>
    </row>
    <row r="41" spans="2:3" x14ac:dyDescent="0.25">
      <c r="B41" t="s">
        <v>696</v>
      </c>
      <c r="C41" t="s">
        <v>3873</v>
      </c>
    </row>
    <row r="42" spans="2:3" x14ac:dyDescent="0.25">
      <c r="B42" t="s">
        <v>705</v>
      </c>
      <c r="C42" t="s">
        <v>3874</v>
      </c>
    </row>
    <row r="43" spans="2:3" x14ac:dyDescent="0.25">
      <c r="B43" t="s">
        <v>714</v>
      </c>
      <c r="C43" t="s">
        <v>3875</v>
      </c>
    </row>
    <row r="44" spans="2:3" x14ac:dyDescent="0.25">
      <c r="B44" t="s">
        <v>723</v>
      </c>
      <c r="C44" t="s">
        <v>3876</v>
      </c>
    </row>
    <row r="45" spans="2:3" x14ac:dyDescent="0.25">
      <c r="B45" t="s">
        <v>732</v>
      </c>
      <c r="C45" t="s">
        <v>3877</v>
      </c>
    </row>
    <row r="46" spans="2:3" x14ac:dyDescent="0.25">
      <c r="B46" t="s">
        <v>741</v>
      </c>
      <c r="C46" t="s">
        <v>3878</v>
      </c>
    </row>
    <row r="47" spans="2:3" x14ac:dyDescent="0.25">
      <c r="B47" t="s">
        <v>750</v>
      </c>
      <c r="C47" t="s">
        <v>3879</v>
      </c>
    </row>
    <row r="48" spans="2:3" x14ac:dyDescent="0.25">
      <c r="B48" t="s">
        <v>759</v>
      </c>
      <c r="C48" t="s">
        <v>3880</v>
      </c>
    </row>
    <row r="49" spans="2:3" x14ac:dyDescent="0.25">
      <c r="B49" t="s">
        <v>768</v>
      </c>
      <c r="C49" t="s">
        <v>3881</v>
      </c>
    </row>
    <row r="50" spans="2:3" x14ac:dyDescent="0.25">
      <c r="B50" t="s">
        <v>777</v>
      </c>
      <c r="C50" t="s">
        <v>3882</v>
      </c>
    </row>
    <row r="51" spans="2:3" x14ac:dyDescent="0.25">
      <c r="B51" t="s">
        <v>786</v>
      </c>
      <c r="C51" t="s">
        <v>3883</v>
      </c>
    </row>
    <row r="52" spans="2:3" x14ac:dyDescent="0.25">
      <c r="B52" t="s">
        <v>795</v>
      </c>
      <c r="C52" t="s">
        <v>3884</v>
      </c>
    </row>
    <row r="53" spans="2:3" x14ac:dyDescent="0.25">
      <c r="B53" t="s">
        <v>804</v>
      </c>
      <c r="C53" t="s">
        <v>3885</v>
      </c>
    </row>
    <row r="54" spans="2:3" x14ac:dyDescent="0.25">
      <c r="B54" t="s">
        <v>813</v>
      </c>
      <c r="C54" t="s">
        <v>3886</v>
      </c>
    </row>
    <row r="55" spans="2:3" x14ac:dyDescent="0.25">
      <c r="B55" t="s">
        <v>822</v>
      </c>
      <c r="C55" t="s">
        <v>3887</v>
      </c>
    </row>
    <row r="56" spans="2:3" x14ac:dyDescent="0.25">
      <c r="B56" t="s">
        <v>831</v>
      </c>
      <c r="C56" t="s">
        <v>3888</v>
      </c>
    </row>
    <row r="57" spans="2:3" x14ac:dyDescent="0.25">
      <c r="B57" t="s">
        <v>839</v>
      </c>
      <c r="C57" t="s">
        <v>3889</v>
      </c>
    </row>
    <row r="58" spans="2:3" x14ac:dyDescent="0.25">
      <c r="B58" t="s">
        <v>848</v>
      </c>
      <c r="C58" t="s">
        <v>3890</v>
      </c>
    </row>
    <row r="59" spans="2:3" x14ac:dyDescent="0.25">
      <c r="B59" t="s">
        <v>857</v>
      </c>
      <c r="C59" t="s">
        <v>3891</v>
      </c>
    </row>
    <row r="60" spans="2:3" x14ac:dyDescent="0.25">
      <c r="B60" t="s">
        <v>866</v>
      </c>
      <c r="C60" t="s">
        <v>3892</v>
      </c>
    </row>
    <row r="61" spans="2:3" x14ac:dyDescent="0.25">
      <c r="B61" t="s">
        <v>875</v>
      </c>
      <c r="C61" t="s">
        <v>3893</v>
      </c>
    </row>
    <row r="62" spans="2:3" x14ac:dyDescent="0.25">
      <c r="B62" t="s">
        <v>884</v>
      </c>
      <c r="C62" t="s">
        <v>3894</v>
      </c>
    </row>
    <row r="63" spans="2:3" x14ac:dyDescent="0.25">
      <c r="B63" t="s">
        <v>893</v>
      </c>
      <c r="C63" t="s">
        <v>3895</v>
      </c>
    </row>
    <row r="64" spans="2:3" x14ac:dyDescent="0.25">
      <c r="B64" t="s">
        <v>902</v>
      </c>
      <c r="C64" t="s">
        <v>3896</v>
      </c>
    </row>
    <row r="65" spans="2:3" x14ac:dyDescent="0.25">
      <c r="B65" t="s">
        <v>911</v>
      </c>
      <c r="C65" t="s">
        <v>3897</v>
      </c>
    </row>
    <row r="66" spans="2:3" x14ac:dyDescent="0.25">
      <c r="B66" t="s">
        <v>920</v>
      </c>
      <c r="C66" t="s">
        <v>3898</v>
      </c>
    </row>
    <row r="67" spans="2:3" x14ac:dyDescent="0.25">
      <c r="B67" t="s">
        <v>929</v>
      </c>
      <c r="C67" t="s">
        <v>3899</v>
      </c>
    </row>
    <row r="68" spans="2:3" x14ac:dyDescent="0.25">
      <c r="B68" t="s">
        <v>938</v>
      </c>
      <c r="C68" t="s">
        <v>3900</v>
      </c>
    </row>
    <row r="69" spans="2:3" x14ac:dyDescent="0.25">
      <c r="B69" t="s">
        <v>947</v>
      </c>
      <c r="C69" t="s">
        <v>3901</v>
      </c>
    </row>
    <row r="70" spans="2:3" x14ac:dyDescent="0.25">
      <c r="B70" t="s">
        <v>956</v>
      </c>
      <c r="C70" t="s">
        <v>3902</v>
      </c>
    </row>
    <row r="71" spans="2:3" x14ac:dyDescent="0.25">
      <c r="B71" t="s">
        <v>965</v>
      </c>
      <c r="C71" t="s">
        <v>3903</v>
      </c>
    </row>
    <row r="72" spans="2:3" x14ac:dyDescent="0.25">
      <c r="B72" t="s">
        <v>974</v>
      </c>
      <c r="C72" t="s">
        <v>3904</v>
      </c>
    </row>
    <row r="73" spans="2:3" x14ac:dyDescent="0.25">
      <c r="B73" t="s">
        <v>983</v>
      </c>
      <c r="C73" t="s">
        <v>3905</v>
      </c>
    </row>
    <row r="74" spans="2:3" x14ac:dyDescent="0.25">
      <c r="B74" t="s">
        <v>992</v>
      </c>
      <c r="C74" t="s">
        <v>3906</v>
      </c>
    </row>
    <row r="75" spans="2:3" x14ac:dyDescent="0.25">
      <c r="B75" t="s">
        <v>1001</v>
      </c>
      <c r="C75" t="s">
        <v>3907</v>
      </c>
    </row>
    <row r="76" spans="2:3" x14ac:dyDescent="0.25">
      <c r="B76" t="s">
        <v>1010</v>
      </c>
      <c r="C76" t="s">
        <v>3908</v>
      </c>
    </row>
    <row r="77" spans="2:3" x14ac:dyDescent="0.25">
      <c r="B77" t="s">
        <v>1019</v>
      </c>
      <c r="C77" t="s">
        <v>3909</v>
      </c>
    </row>
    <row r="78" spans="2:3" x14ac:dyDescent="0.25">
      <c r="B78" t="s">
        <v>1028</v>
      </c>
      <c r="C78" t="s">
        <v>3910</v>
      </c>
    </row>
    <row r="79" spans="2:3" x14ac:dyDescent="0.25">
      <c r="B79" t="s">
        <v>1037</v>
      </c>
      <c r="C79" t="s">
        <v>3911</v>
      </c>
    </row>
    <row r="80" spans="2:3" x14ac:dyDescent="0.25">
      <c r="B80" t="s">
        <v>1046</v>
      </c>
      <c r="C80" t="s">
        <v>3912</v>
      </c>
    </row>
    <row r="81" spans="2:3" x14ac:dyDescent="0.25">
      <c r="B81" t="s">
        <v>1055</v>
      </c>
      <c r="C81" t="s">
        <v>3913</v>
      </c>
    </row>
    <row r="82" spans="2:3" x14ac:dyDescent="0.25">
      <c r="B82" t="s">
        <v>1064</v>
      </c>
      <c r="C82" t="s">
        <v>3914</v>
      </c>
    </row>
    <row r="83" spans="2:3" x14ac:dyDescent="0.25">
      <c r="B83" t="s">
        <v>1073</v>
      </c>
      <c r="C83" t="s">
        <v>3915</v>
      </c>
    </row>
    <row r="84" spans="2:3" x14ac:dyDescent="0.25">
      <c r="B84" t="s">
        <v>1082</v>
      </c>
      <c r="C84" t="s">
        <v>3916</v>
      </c>
    </row>
    <row r="85" spans="2:3" x14ac:dyDescent="0.25">
      <c r="B85" t="s">
        <v>1091</v>
      </c>
      <c r="C85" t="s">
        <v>3917</v>
      </c>
    </row>
    <row r="86" spans="2:3" x14ac:dyDescent="0.25">
      <c r="B86" t="s">
        <v>1100</v>
      </c>
      <c r="C86" t="s">
        <v>3918</v>
      </c>
    </row>
    <row r="87" spans="2:3" x14ac:dyDescent="0.25">
      <c r="B87" t="s">
        <v>1109</v>
      </c>
      <c r="C87" t="s">
        <v>3919</v>
      </c>
    </row>
    <row r="88" spans="2:3" x14ac:dyDescent="0.25">
      <c r="B88" t="s">
        <v>1118</v>
      </c>
      <c r="C88" t="s">
        <v>3920</v>
      </c>
    </row>
    <row r="89" spans="2:3" x14ac:dyDescent="0.25">
      <c r="B89" t="s">
        <v>1127</v>
      </c>
      <c r="C89" t="s">
        <v>3921</v>
      </c>
    </row>
    <row r="90" spans="2:3" x14ac:dyDescent="0.25">
      <c r="B90" t="s">
        <v>1136</v>
      </c>
      <c r="C90" t="s">
        <v>3922</v>
      </c>
    </row>
    <row r="91" spans="2:3" x14ac:dyDescent="0.25">
      <c r="B91" t="s">
        <v>1145</v>
      </c>
      <c r="C91" t="s">
        <v>3923</v>
      </c>
    </row>
    <row r="92" spans="2:3" x14ac:dyDescent="0.25">
      <c r="B92" t="s">
        <v>1154</v>
      </c>
      <c r="C92" t="s">
        <v>3924</v>
      </c>
    </row>
    <row r="93" spans="2:3" x14ac:dyDescent="0.25">
      <c r="B93" t="s">
        <v>1163</v>
      </c>
      <c r="C93" t="s">
        <v>3925</v>
      </c>
    </row>
    <row r="94" spans="2:3" x14ac:dyDescent="0.25">
      <c r="B94" t="s">
        <v>1172</v>
      </c>
      <c r="C94" t="s">
        <v>3926</v>
      </c>
    </row>
    <row r="95" spans="2:3" x14ac:dyDescent="0.25">
      <c r="B95" t="s">
        <v>1181</v>
      </c>
      <c r="C95" t="s">
        <v>3927</v>
      </c>
    </row>
    <row r="96" spans="2:3" x14ac:dyDescent="0.25">
      <c r="B96" t="s">
        <v>1190</v>
      </c>
      <c r="C96" t="s">
        <v>3928</v>
      </c>
    </row>
    <row r="97" spans="2:3" x14ac:dyDescent="0.25">
      <c r="B97" t="s">
        <v>1199</v>
      </c>
      <c r="C97" t="s">
        <v>3929</v>
      </c>
    </row>
    <row r="98" spans="2:3" x14ac:dyDescent="0.25">
      <c r="B98" t="s">
        <v>1208</v>
      </c>
      <c r="C98" t="s">
        <v>3930</v>
      </c>
    </row>
    <row r="99" spans="2:3" x14ac:dyDescent="0.25">
      <c r="B99" t="s">
        <v>1217</v>
      </c>
      <c r="C99" t="s">
        <v>3931</v>
      </c>
    </row>
    <row r="100" spans="2:3" x14ac:dyDescent="0.25">
      <c r="B100" t="s">
        <v>1226</v>
      </c>
      <c r="C100" t="s">
        <v>3932</v>
      </c>
    </row>
    <row r="101" spans="2:3" x14ac:dyDescent="0.25">
      <c r="B101" t="s">
        <v>1235</v>
      </c>
      <c r="C101" t="s">
        <v>3933</v>
      </c>
    </row>
    <row r="102" spans="2:3" x14ac:dyDescent="0.25">
      <c r="B102" t="s">
        <v>1243</v>
      </c>
      <c r="C102" t="s">
        <v>3934</v>
      </c>
    </row>
    <row r="103" spans="2:3" x14ac:dyDescent="0.25">
      <c r="B103" t="s">
        <v>1252</v>
      </c>
      <c r="C103" t="s">
        <v>3935</v>
      </c>
    </row>
    <row r="104" spans="2:3" x14ac:dyDescent="0.25">
      <c r="B104" t="s">
        <v>1261</v>
      </c>
      <c r="C104" t="s">
        <v>3936</v>
      </c>
    </row>
    <row r="105" spans="2:3" x14ac:dyDescent="0.25">
      <c r="B105" t="s">
        <v>1270</v>
      </c>
      <c r="C105" t="s">
        <v>3937</v>
      </c>
    </row>
    <row r="106" spans="2:3" x14ac:dyDescent="0.25">
      <c r="B106" t="s">
        <v>1279</v>
      </c>
      <c r="C106" t="s">
        <v>3938</v>
      </c>
    </row>
    <row r="107" spans="2:3" x14ac:dyDescent="0.25">
      <c r="B107" t="s">
        <v>1288</v>
      </c>
      <c r="C107" t="s">
        <v>3939</v>
      </c>
    </row>
    <row r="108" spans="2:3" x14ac:dyDescent="0.25">
      <c r="B108" t="s">
        <v>1297</v>
      </c>
      <c r="C108" t="s">
        <v>3940</v>
      </c>
    </row>
    <row r="109" spans="2:3" x14ac:dyDescent="0.25">
      <c r="B109" t="s">
        <v>1306</v>
      </c>
      <c r="C109" t="s">
        <v>3941</v>
      </c>
    </row>
    <row r="110" spans="2:3" x14ac:dyDescent="0.25">
      <c r="B110" t="s">
        <v>1315</v>
      </c>
      <c r="C110" t="s">
        <v>3942</v>
      </c>
    </row>
    <row r="111" spans="2:3" x14ac:dyDescent="0.25">
      <c r="B111" t="s">
        <v>1324</v>
      </c>
      <c r="C111" t="s">
        <v>3943</v>
      </c>
    </row>
    <row r="112" spans="2:3" x14ac:dyDescent="0.25">
      <c r="B112" t="s">
        <v>1333</v>
      </c>
      <c r="C112" t="s">
        <v>3944</v>
      </c>
    </row>
    <row r="113" spans="2:3" x14ac:dyDescent="0.25">
      <c r="B113" t="s">
        <v>1342</v>
      </c>
      <c r="C113" t="s">
        <v>3945</v>
      </c>
    </row>
    <row r="114" spans="2:3" x14ac:dyDescent="0.25">
      <c r="B114" t="s">
        <v>1351</v>
      </c>
      <c r="C114" t="s">
        <v>3946</v>
      </c>
    </row>
    <row r="115" spans="2:3" x14ac:dyDescent="0.25">
      <c r="B115" t="s">
        <v>1360</v>
      </c>
      <c r="C115" t="s">
        <v>3947</v>
      </c>
    </row>
    <row r="116" spans="2:3" x14ac:dyDescent="0.25">
      <c r="B116" t="s">
        <v>1369</v>
      </c>
      <c r="C116" t="s">
        <v>3948</v>
      </c>
    </row>
    <row r="117" spans="2:3" x14ac:dyDescent="0.25">
      <c r="B117" t="s">
        <v>1378</v>
      </c>
      <c r="C117" t="s">
        <v>3949</v>
      </c>
    </row>
    <row r="118" spans="2:3" x14ac:dyDescent="0.25">
      <c r="B118" t="s">
        <v>1387</v>
      </c>
      <c r="C118" t="s">
        <v>3950</v>
      </c>
    </row>
    <row r="119" spans="2:3" x14ac:dyDescent="0.25">
      <c r="B119" t="s">
        <v>1396</v>
      </c>
      <c r="C119" t="s">
        <v>3951</v>
      </c>
    </row>
    <row r="120" spans="2:3" x14ac:dyDescent="0.25">
      <c r="B120" t="s">
        <v>1405</v>
      </c>
      <c r="C120" t="s">
        <v>3952</v>
      </c>
    </row>
    <row r="121" spans="2:3" x14ac:dyDescent="0.25">
      <c r="B121" t="s">
        <v>1414</v>
      </c>
      <c r="C121" t="s">
        <v>3953</v>
      </c>
    </row>
    <row r="122" spans="2:3" x14ac:dyDescent="0.25">
      <c r="B122" t="s">
        <v>1423</v>
      </c>
      <c r="C122" t="s">
        <v>3954</v>
      </c>
    </row>
    <row r="123" spans="2:3" x14ac:dyDescent="0.25">
      <c r="B123" t="s">
        <v>1432</v>
      </c>
      <c r="C123" t="s">
        <v>3955</v>
      </c>
    </row>
    <row r="124" spans="2:3" x14ac:dyDescent="0.25">
      <c r="B124" t="s">
        <v>1441</v>
      </c>
      <c r="C124" t="s">
        <v>3956</v>
      </c>
    </row>
    <row r="125" spans="2:3" x14ac:dyDescent="0.25">
      <c r="B125" t="s">
        <v>1450</v>
      </c>
      <c r="C125" t="s">
        <v>3957</v>
      </c>
    </row>
    <row r="126" spans="2:3" x14ac:dyDescent="0.25">
      <c r="B126" t="s">
        <v>1459</v>
      </c>
      <c r="C126" t="s">
        <v>3958</v>
      </c>
    </row>
    <row r="127" spans="2:3" x14ac:dyDescent="0.25">
      <c r="B127" t="s">
        <v>1468</v>
      </c>
      <c r="C127" t="s">
        <v>3959</v>
      </c>
    </row>
    <row r="128" spans="2:3" x14ac:dyDescent="0.25">
      <c r="B128" t="s">
        <v>1477</v>
      </c>
      <c r="C128" t="s">
        <v>3960</v>
      </c>
    </row>
    <row r="129" spans="2:3" x14ac:dyDescent="0.25">
      <c r="B129" t="s">
        <v>1486</v>
      </c>
      <c r="C129" t="s">
        <v>3961</v>
      </c>
    </row>
    <row r="130" spans="2:3" x14ac:dyDescent="0.25">
      <c r="B130" t="s">
        <v>1495</v>
      </c>
      <c r="C130" t="s">
        <v>3962</v>
      </c>
    </row>
    <row r="131" spans="2:3" x14ac:dyDescent="0.25">
      <c r="B131" t="s">
        <v>1504</v>
      </c>
      <c r="C131" t="s">
        <v>3963</v>
      </c>
    </row>
    <row r="132" spans="2:3" x14ac:dyDescent="0.25">
      <c r="B132" t="s">
        <v>1513</v>
      </c>
      <c r="C132" t="s">
        <v>3964</v>
      </c>
    </row>
    <row r="133" spans="2:3" x14ac:dyDescent="0.25">
      <c r="B133" t="s">
        <v>1522</v>
      </c>
      <c r="C133" t="s">
        <v>3965</v>
      </c>
    </row>
    <row r="134" spans="2:3" x14ac:dyDescent="0.25">
      <c r="B134" t="s">
        <v>1531</v>
      </c>
      <c r="C134" t="s">
        <v>3966</v>
      </c>
    </row>
    <row r="135" spans="2:3" x14ac:dyDescent="0.25">
      <c r="B135" t="s">
        <v>1540</v>
      </c>
      <c r="C135" t="s">
        <v>3967</v>
      </c>
    </row>
    <row r="136" spans="2:3" x14ac:dyDescent="0.25">
      <c r="B136" t="s">
        <v>1549</v>
      </c>
      <c r="C136" t="s">
        <v>3968</v>
      </c>
    </row>
    <row r="137" spans="2:3" x14ac:dyDescent="0.25">
      <c r="B137" t="s">
        <v>1558</v>
      </c>
      <c r="C137" t="s">
        <v>3969</v>
      </c>
    </row>
    <row r="138" spans="2:3" x14ac:dyDescent="0.25">
      <c r="B138" t="s">
        <v>1567</v>
      </c>
      <c r="C138" t="s">
        <v>3970</v>
      </c>
    </row>
    <row r="139" spans="2:3" x14ac:dyDescent="0.25">
      <c r="B139" t="s">
        <v>1576</v>
      </c>
      <c r="C139" t="s">
        <v>3971</v>
      </c>
    </row>
    <row r="140" spans="2:3" x14ac:dyDescent="0.25">
      <c r="B140" t="s">
        <v>1585</v>
      </c>
      <c r="C140" t="s">
        <v>3972</v>
      </c>
    </row>
    <row r="141" spans="2:3" x14ac:dyDescent="0.25">
      <c r="B141" t="s">
        <v>1594</v>
      </c>
      <c r="C141" t="s">
        <v>3973</v>
      </c>
    </row>
    <row r="142" spans="2:3" x14ac:dyDescent="0.25">
      <c r="B142" t="s">
        <v>1603</v>
      </c>
      <c r="C142" t="s">
        <v>3974</v>
      </c>
    </row>
    <row r="143" spans="2:3" x14ac:dyDescent="0.25">
      <c r="B143" t="s">
        <v>1612</v>
      </c>
      <c r="C143" t="s">
        <v>3975</v>
      </c>
    </row>
    <row r="144" spans="2:3" x14ac:dyDescent="0.25">
      <c r="B144" t="s">
        <v>1621</v>
      </c>
      <c r="C144" t="s">
        <v>3976</v>
      </c>
    </row>
    <row r="145" spans="2:3" x14ac:dyDescent="0.25">
      <c r="B145" t="s">
        <v>1630</v>
      </c>
      <c r="C145" t="s">
        <v>3977</v>
      </c>
    </row>
    <row r="146" spans="2:3" x14ac:dyDescent="0.25">
      <c r="B146" t="s">
        <v>1639</v>
      </c>
      <c r="C146" t="s">
        <v>3978</v>
      </c>
    </row>
    <row r="147" spans="2:3" x14ac:dyDescent="0.25">
      <c r="B147" t="s">
        <v>1648</v>
      </c>
      <c r="C147" t="s">
        <v>3979</v>
      </c>
    </row>
    <row r="148" spans="2:3" x14ac:dyDescent="0.25">
      <c r="B148" t="s">
        <v>1657</v>
      </c>
      <c r="C148" t="s">
        <v>3980</v>
      </c>
    </row>
    <row r="149" spans="2:3" x14ac:dyDescent="0.25">
      <c r="B149" t="s">
        <v>1666</v>
      </c>
      <c r="C149" t="s">
        <v>3981</v>
      </c>
    </row>
    <row r="150" spans="2:3" x14ac:dyDescent="0.25">
      <c r="B150" t="s">
        <v>1675</v>
      </c>
      <c r="C150" t="s">
        <v>3982</v>
      </c>
    </row>
    <row r="151" spans="2:3" x14ac:dyDescent="0.25">
      <c r="B151" t="s">
        <v>1684</v>
      </c>
      <c r="C151" t="s">
        <v>3983</v>
      </c>
    </row>
    <row r="152" spans="2:3" x14ac:dyDescent="0.25">
      <c r="B152" t="s">
        <v>1693</v>
      </c>
      <c r="C152" t="s">
        <v>3984</v>
      </c>
    </row>
    <row r="153" spans="2:3" x14ac:dyDescent="0.25">
      <c r="B153" t="s">
        <v>1702</v>
      </c>
      <c r="C153" t="s">
        <v>3985</v>
      </c>
    </row>
    <row r="154" spans="2:3" x14ac:dyDescent="0.25">
      <c r="B154" t="s">
        <v>1711</v>
      </c>
      <c r="C154" t="s">
        <v>3986</v>
      </c>
    </row>
    <row r="155" spans="2:3" x14ac:dyDescent="0.25">
      <c r="B155" t="s">
        <v>1720</v>
      </c>
      <c r="C155" t="s">
        <v>3987</v>
      </c>
    </row>
    <row r="156" spans="2:3" x14ac:dyDescent="0.25">
      <c r="B156" t="s">
        <v>1729</v>
      </c>
      <c r="C156" t="s">
        <v>3988</v>
      </c>
    </row>
    <row r="157" spans="2:3" x14ac:dyDescent="0.25">
      <c r="B157" t="s">
        <v>1738</v>
      </c>
      <c r="C157" t="s">
        <v>3989</v>
      </c>
    </row>
    <row r="158" spans="2:3" x14ac:dyDescent="0.25">
      <c r="B158" t="s">
        <v>1747</v>
      </c>
      <c r="C158" t="s">
        <v>3990</v>
      </c>
    </row>
    <row r="159" spans="2:3" x14ac:dyDescent="0.25">
      <c r="B159" t="s">
        <v>1756</v>
      </c>
      <c r="C159" t="s">
        <v>3991</v>
      </c>
    </row>
    <row r="160" spans="2:3" x14ac:dyDescent="0.25">
      <c r="B160" t="s">
        <v>1765</v>
      </c>
      <c r="C160" t="s">
        <v>3992</v>
      </c>
    </row>
    <row r="161" spans="2:3" x14ac:dyDescent="0.25">
      <c r="B161" t="s">
        <v>1774</v>
      </c>
      <c r="C161" t="s">
        <v>3993</v>
      </c>
    </row>
    <row r="162" spans="2:3" x14ac:dyDescent="0.25">
      <c r="B162" t="s">
        <v>1783</v>
      </c>
      <c r="C162" t="s">
        <v>3994</v>
      </c>
    </row>
    <row r="163" spans="2:3" x14ac:dyDescent="0.25">
      <c r="B163" t="s">
        <v>1792</v>
      </c>
      <c r="C163" t="s">
        <v>3995</v>
      </c>
    </row>
    <row r="164" spans="2:3" x14ac:dyDescent="0.25">
      <c r="B164" t="s">
        <v>1801</v>
      </c>
      <c r="C164" t="s">
        <v>3996</v>
      </c>
    </row>
    <row r="165" spans="2:3" x14ac:dyDescent="0.25">
      <c r="B165" t="s">
        <v>1810</v>
      </c>
      <c r="C165" t="s">
        <v>3997</v>
      </c>
    </row>
    <row r="166" spans="2:3" x14ac:dyDescent="0.25">
      <c r="B166" t="s">
        <v>1819</v>
      </c>
      <c r="C166" t="s">
        <v>3998</v>
      </c>
    </row>
    <row r="167" spans="2:3" x14ac:dyDescent="0.25">
      <c r="B167" t="s">
        <v>1828</v>
      </c>
      <c r="C167" t="s">
        <v>3999</v>
      </c>
    </row>
    <row r="168" spans="2:3" x14ac:dyDescent="0.25">
      <c r="B168" t="s">
        <v>1837</v>
      </c>
      <c r="C168" t="s">
        <v>4000</v>
      </c>
    </row>
    <row r="169" spans="2:3" x14ac:dyDescent="0.25">
      <c r="B169" t="s">
        <v>1846</v>
      </c>
      <c r="C169" t="s">
        <v>4001</v>
      </c>
    </row>
    <row r="170" spans="2:3" x14ac:dyDescent="0.25">
      <c r="B170" t="s">
        <v>1855</v>
      </c>
      <c r="C170" t="s">
        <v>4002</v>
      </c>
    </row>
    <row r="171" spans="2:3" x14ac:dyDescent="0.25">
      <c r="B171" t="s">
        <v>1864</v>
      </c>
      <c r="C171" t="s">
        <v>4003</v>
      </c>
    </row>
    <row r="172" spans="2:3" x14ac:dyDescent="0.25">
      <c r="B172" t="s">
        <v>1873</v>
      </c>
      <c r="C172" t="s">
        <v>4004</v>
      </c>
    </row>
    <row r="173" spans="2:3" x14ac:dyDescent="0.25">
      <c r="B173" t="s">
        <v>1882</v>
      </c>
      <c r="C173" t="s">
        <v>4005</v>
      </c>
    </row>
    <row r="174" spans="2:3" x14ac:dyDescent="0.25">
      <c r="B174" t="s">
        <v>1891</v>
      </c>
      <c r="C174" t="s">
        <v>4006</v>
      </c>
    </row>
    <row r="175" spans="2:3" x14ac:dyDescent="0.25">
      <c r="B175" t="s">
        <v>1900</v>
      </c>
      <c r="C175" t="s">
        <v>4007</v>
      </c>
    </row>
    <row r="176" spans="2:3" x14ac:dyDescent="0.25">
      <c r="B176" t="s">
        <v>1909</v>
      </c>
      <c r="C176" t="s">
        <v>4008</v>
      </c>
    </row>
    <row r="177" spans="2:3" x14ac:dyDescent="0.25">
      <c r="B177" t="s">
        <v>1918</v>
      </c>
      <c r="C177" t="s">
        <v>4009</v>
      </c>
    </row>
    <row r="178" spans="2:3" x14ac:dyDescent="0.25">
      <c r="B178" t="s">
        <v>1927</v>
      </c>
      <c r="C178" t="s">
        <v>4010</v>
      </c>
    </row>
    <row r="179" spans="2:3" x14ac:dyDescent="0.25">
      <c r="B179" t="s">
        <v>1936</v>
      </c>
      <c r="C179" t="s">
        <v>4011</v>
      </c>
    </row>
    <row r="180" spans="2:3" x14ac:dyDescent="0.25">
      <c r="B180" t="s">
        <v>1945</v>
      </c>
      <c r="C180" t="s">
        <v>4012</v>
      </c>
    </row>
    <row r="181" spans="2:3" x14ac:dyDescent="0.25">
      <c r="B181" t="s">
        <v>1954</v>
      </c>
      <c r="C181" t="s">
        <v>4013</v>
      </c>
    </row>
    <row r="182" spans="2:3" x14ac:dyDescent="0.25">
      <c r="B182" t="s">
        <v>1963</v>
      </c>
      <c r="C182" t="s">
        <v>4014</v>
      </c>
    </row>
    <row r="183" spans="2:3" x14ac:dyDescent="0.25">
      <c r="B183" t="s">
        <v>1972</v>
      </c>
      <c r="C183" t="s">
        <v>4015</v>
      </c>
    </row>
    <row r="184" spans="2:3" x14ac:dyDescent="0.25">
      <c r="B184" t="s">
        <v>1981</v>
      </c>
      <c r="C184" t="s">
        <v>4016</v>
      </c>
    </row>
    <row r="185" spans="2:3" x14ac:dyDescent="0.25">
      <c r="B185" t="s">
        <v>1990</v>
      </c>
      <c r="C185" t="s">
        <v>4017</v>
      </c>
    </row>
    <row r="186" spans="2:3" x14ac:dyDescent="0.25">
      <c r="B186" t="s">
        <v>1999</v>
      </c>
      <c r="C186" t="s">
        <v>4018</v>
      </c>
    </row>
    <row r="187" spans="2:3" x14ac:dyDescent="0.25">
      <c r="B187" t="s">
        <v>2008</v>
      </c>
      <c r="C187" t="s">
        <v>4019</v>
      </c>
    </row>
    <row r="188" spans="2:3" x14ac:dyDescent="0.25">
      <c r="B188" t="s">
        <v>2017</v>
      </c>
      <c r="C188" t="s">
        <v>4020</v>
      </c>
    </row>
    <row r="189" spans="2:3" x14ac:dyDescent="0.25">
      <c r="B189" t="s">
        <v>2027</v>
      </c>
      <c r="C189" t="s">
        <v>4021</v>
      </c>
    </row>
    <row r="190" spans="2:3" x14ac:dyDescent="0.25">
      <c r="B190" t="s">
        <v>2035</v>
      </c>
      <c r="C190" t="s">
        <v>4022</v>
      </c>
    </row>
    <row r="191" spans="2:3" x14ac:dyDescent="0.25">
      <c r="B191" t="s">
        <v>2043</v>
      </c>
      <c r="C191" t="s">
        <v>4023</v>
      </c>
    </row>
    <row r="192" spans="2:3" x14ac:dyDescent="0.25">
      <c r="B192" t="s">
        <v>2051</v>
      </c>
      <c r="C192" t="s">
        <v>4024</v>
      </c>
    </row>
    <row r="193" spans="2:3" x14ac:dyDescent="0.25">
      <c r="B193" t="s">
        <v>285</v>
      </c>
      <c r="C193" t="s">
        <v>4025</v>
      </c>
    </row>
    <row r="194" spans="2:3" x14ac:dyDescent="0.25">
      <c r="B194" t="s">
        <v>2065</v>
      </c>
      <c r="C194" t="s">
        <v>4026</v>
      </c>
    </row>
    <row r="195" spans="2:3" x14ac:dyDescent="0.25">
      <c r="B195" t="s">
        <v>305</v>
      </c>
      <c r="C195" t="s">
        <v>4027</v>
      </c>
    </row>
    <row r="196" spans="2:3" x14ac:dyDescent="0.25">
      <c r="B196" t="s">
        <v>2079</v>
      </c>
      <c r="C196" t="s">
        <v>4028</v>
      </c>
    </row>
    <row r="197" spans="2:3" x14ac:dyDescent="0.25">
      <c r="B197" t="s">
        <v>2087</v>
      </c>
      <c r="C197" t="s">
        <v>4029</v>
      </c>
    </row>
    <row r="198" spans="2:3" x14ac:dyDescent="0.25">
      <c r="B198" t="s">
        <v>2095</v>
      </c>
      <c r="C198" t="s">
        <v>4030</v>
      </c>
    </row>
    <row r="199" spans="2:3" x14ac:dyDescent="0.25">
      <c r="B199" t="s">
        <v>2103</v>
      </c>
      <c r="C199" t="s">
        <v>4031</v>
      </c>
    </row>
    <row r="200" spans="2:3" x14ac:dyDescent="0.25">
      <c r="B200" t="s">
        <v>2111</v>
      </c>
      <c r="C200" t="s">
        <v>4032</v>
      </c>
    </row>
    <row r="201" spans="2:3" x14ac:dyDescent="0.25">
      <c r="B201" t="s">
        <v>2120</v>
      </c>
      <c r="C201" t="s">
        <v>4033</v>
      </c>
    </row>
    <row r="202" spans="2:3" x14ac:dyDescent="0.25">
      <c r="B202" t="s">
        <v>2129</v>
      </c>
      <c r="C202" t="s">
        <v>4034</v>
      </c>
    </row>
    <row r="203" spans="2:3" x14ac:dyDescent="0.25">
      <c r="B203" t="s">
        <v>2138</v>
      </c>
      <c r="C203" t="s">
        <v>4035</v>
      </c>
    </row>
    <row r="204" spans="2:3" x14ac:dyDescent="0.25">
      <c r="B204" t="s">
        <v>2147</v>
      </c>
      <c r="C204" t="s">
        <v>4036</v>
      </c>
    </row>
    <row r="205" spans="2:3" x14ac:dyDescent="0.25">
      <c r="B205" t="s">
        <v>2156</v>
      </c>
      <c r="C205" t="s">
        <v>4037</v>
      </c>
    </row>
    <row r="206" spans="2:3" x14ac:dyDescent="0.25">
      <c r="B206" t="s">
        <v>2165</v>
      </c>
      <c r="C206" t="s">
        <v>4038</v>
      </c>
    </row>
    <row r="207" spans="2:3" x14ac:dyDescent="0.25">
      <c r="B207" t="s">
        <v>2174</v>
      </c>
      <c r="C207" t="s">
        <v>4039</v>
      </c>
    </row>
    <row r="208" spans="2:3" x14ac:dyDescent="0.25">
      <c r="B208" t="s">
        <v>2183</v>
      </c>
      <c r="C208" t="s">
        <v>4040</v>
      </c>
    </row>
    <row r="209" spans="2:3" x14ac:dyDescent="0.25">
      <c r="B209" t="s">
        <v>2192</v>
      </c>
      <c r="C209" t="s">
        <v>4041</v>
      </c>
    </row>
    <row r="210" spans="2:3" x14ac:dyDescent="0.25">
      <c r="B210" t="s">
        <v>2201</v>
      </c>
      <c r="C210" t="s">
        <v>4042</v>
      </c>
    </row>
    <row r="211" spans="2:3" x14ac:dyDescent="0.25">
      <c r="B211" t="s">
        <v>2210</v>
      </c>
      <c r="C211" t="s">
        <v>4043</v>
      </c>
    </row>
    <row r="212" spans="2:3" x14ac:dyDescent="0.25">
      <c r="B212" t="s">
        <v>2219</v>
      </c>
      <c r="C212" t="s">
        <v>4044</v>
      </c>
    </row>
    <row r="213" spans="2:3" x14ac:dyDescent="0.25">
      <c r="B213" t="s">
        <v>2228</v>
      </c>
      <c r="C213" t="s">
        <v>4045</v>
      </c>
    </row>
    <row r="214" spans="2:3" x14ac:dyDescent="0.25">
      <c r="B214" t="s">
        <v>2237</v>
      </c>
      <c r="C214" t="s">
        <v>4046</v>
      </c>
    </row>
    <row r="215" spans="2:3" x14ac:dyDescent="0.25">
      <c r="B215" t="s">
        <v>2246</v>
      </c>
      <c r="C215" t="s">
        <v>4047</v>
      </c>
    </row>
    <row r="216" spans="2:3" x14ac:dyDescent="0.25">
      <c r="B216" t="s">
        <v>2255</v>
      </c>
      <c r="C216" t="s">
        <v>4048</v>
      </c>
    </row>
    <row r="217" spans="2:3" x14ac:dyDescent="0.25">
      <c r="B217" t="s">
        <v>297</v>
      </c>
      <c r="C217" t="s">
        <v>4049</v>
      </c>
    </row>
    <row r="218" spans="2:3" x14ac:dyDescent="0.25">
      <c r="B218" t="s">
        <v>2270</v>
      </c>
      <c r="C218" t="s">
        <v>4050</v>
      </c>
    </row>
    <row r="219" spans="2:3" x14ac:dyDescent="0.25">
      <c r="B219" t="s">
        <v>2279</v>
      </c>
      <c r="C219" t="s">
        <v>4051</v>
      </c>
    </row>
    <row r="220" spans="2:3" x14ac:dyDescent="0.25">
      <c r="B220" t="s">
        <v>2288</v>
      </c>
      <c r="C220" t="s">
        <v>4052</v>
      </c>
    </row>
    <row r="221" spans="2:3" x14ac:dyDescent="0.25">
      <c r="B221" t="s">
        <v>2297</v>
      </c>
      <c r="C221" t="s">
        <v>4053</v>
      </c>
    </row>
    <row r="222" spans="2:3" x14ac:dyDescent="0.25">
      <c r="B222" t="s">
        <v>2306</v>
      </c>
      <c r="C222" t="s">
        <v>4054</v>
      </c>
    </row>
    <row r="223" spans="2:3" x14ac:dyDescent="0.25">
      <c r="B223" t="s">
        <v>2315</v>
      </c>
      <c r="C223" t="s">
        <v>4055</v>
      </c>
    </row>
    <row r="224" spans="2:3" x14ac:dyDescent="0.25">
      <c r="B224" t="s">
        <v>2324</v>
      </c>
      <c r="C224" t="s">
        <v>4056</v>
      </c>
    </row>
    <row r="225" spans="2:3" x14ac:dyDescent="0.25">
      <c r="B225" t="s">
        <v>2333</v>
      </c>
      <c r="C225" t="s">
        <v>4057</v>
      </c>
    </row>
    <row r="226" spans="2:3" x14ac:dyDescent="0.25">
      <c r="B226" t="s">
        <v>2342</v>
      </c>
      <c r="C226" t="s">
        <v>4058</v>
      </c>
    </row>
    <row r="227" spans="2:3" x14ac:dyDescent="0.25">
      <c r="B227" t="s">
        <v>2351</v>
      </c>
      <c r="C227" t="s">
        <v>4059</v>
      </c>
    </row>
    <row r="228" spans="2:3" x14ac:dyDescent="0.25">
      <c r="B228" t="s">
        <v>2360</v>
      </c>
      <c r="C228" t="s">
        <v>4060</v>
      </c>
    </row>
    <row r="229" spans="2:3" x14ac:dyDescent="0.25">
      <c r="B229" t="s">
        <v>2369</v>
      </c>
      <c r="C229" t="s">
        <v>4061</v>
      </c>
    </row>
    <row r="230" spans="2:3" x14ac:dyDescent="0.25">
      <c r="B230" t="s">
        <v>2378</v>
      </c>
      <c r="C230" t="s">
        <v>4062</v>
      </c>
    </row>
    <row r="231" spans="2:3" x14ac:dyDescent="0.25">
      <c r="B231" t="s">
        <v>2387</v>
      </c>
      <c r="C231" t="s">
        <v>4063</v>
      </c>
    </row>
    <row r="232" spans="2:3" x14ac:dyDescent="0.25">
      <c r="B232" t="s">
        <v>292</v>
      </c>
      <c r="C232" t="s">
        <v>4064</v>
      </c>
    </row>
    <row r="233" spans="2:3" x14ac:dyDescent="0.25">
      <c r="B233" t="s">
        <v>2402</v>
      </c>
      <c r="C233" t="s">
        <v>4065</v>
      </c>
    </row>
    <row r="234" spans="2:3" x14ac:dyDescent="0.25">
      <c r="B234" t="s">
        <v>2411</v>
      </c>
      <c r="C234" t="s">
        <v>4066</v>
      </c>
    </row>
    <row r="235" spans="2:3" x14ac:dyDescent="0.25">
      <c r="B235" t="s">
        <v>2420</v>
      </c>
      <c r="C235" t="s">
        <v>4067</v>
      </c>
    </row>
    <row r="236" spans="2:3" x14ac:dyDescent="0.25">
      <c r="B236" t="s">
        <v>2429</v>
      </c>
      <c r="C236" t="s">
        <v>4068</v>
      </c>
    </row>
    <row r="237" spans="2:3" x14ac:dyDescent="0.25">
      <c r="B237" t="s">
        <v>2438</v>
      </c>
      <c r="C237" t="s">
        <v>4069</v>
      </c>
    </row>
    <row r="238" spans="2:3" x14ac:dyDescent="0.25">
      <c r="B238" t="s">
        <v>2447</v>
      </c>
      <c r="C238" t="s">
        <v>4070</v>
      </c>
    </row>
    <row r="239" spans="2:3" x14ac:dyDescent="0.25">
      <c r="B239" t="s">
        <v>2456</v>
      </c>
      <c r="C239" t="s">
        <v>4071</v>
      </c>
    </row>
    <row r="240" spans="2:3" x14ac:dyDescent="0.25">
      <c r="B240" t="s">
        <v>2465</v>
      </c>
      <c r="C240" t="s">
        <v>4072</v>
      </c>
    </row>
    <row r="241" spans="2:3" x14ac:dyDescent="0.25">
      <c r="B241" t="s">
        <v>2474</v>
      </c>
      <c r="C241" t="s">
        <v>4073</v>
      </c>
    </row>
    <row r="242" spans="2:3" x14ac:dyDescent="0.25">
      <c r="B242" t="s">
        <v>2483</v>
      </c>
      <c r="C242" t="s">
        <v>4074</v>
      </c>
    </row>
    <row r="243" spans="2:3" x14ac:dyDescent="0.25">
      <c r="B243" t="s">
        <v>2492</v>
      </c>
      <c r="C243" t="s">
        <v>4075</v>
      </c>
    </row>
    <row r="244" spans="2:3" x14ac:dyDescent="0.25">
      <c r="B244" t="s">
        <v>2501</v>
      </c>
      <c r="C244" t="s">
        <v>4076</v>
      </c>
    </row>
    <row r="245" spans="2:3" x14ac:dyDescent="0.25">
      <c r="B245" t="s">
        <v>2510</v>
      </c>
      <c r="C245" t="s">
        <v>4077</v>
      </c>
    </row>
    <row r="246" spans="2:3" x14ac:dyDescent="0.25">
      <c r="B246" t="s">
        <v>2519</v>
      </c>
      <c r="C246" t="s">
        <v>4078</v>
      </c>
    </row>
    <row r="247" spans="2:3" x14ac:dyDescent="0.25">
      <c r="B247" t="s">
        <v>2528</v>
      </c>
      <c r="C247" t="s">
        <v>4079</v>
      </c>
    </row>
    <row r="248" spans="2:3" x14ac:dyDescent="0.25">
      <c r="B248" t="s">
        <v>2537</v>
      </c>
      <c r="C248" t="s">
        <v>4080</v>
      </c>
    </row>
    <row r="249" spans="2:3" x14ac:dyDescent="0.25">
      <c r="B249" t="s">
        <v>2546</v>
      </c>
      <c r="C249" t="s">
        <v>4081</v>
      </c>
    </row>
    <row r="250" spans="2:3" x14ac:dyDescent="0.25">
      <c r="B250" t="s">
        <v>2555</v>
      </c>
      <c r="C250" t="s">
        <v>4082</v>
      </c>
    </row>
    <row r="251" spans="2:3" x14ac:dyDescent="0.25">
      <c r="B251" t="s">
        <v>2564</v>
      </c>
      <c r="C251" t="s">
        <v>4083</v>
      </c>
    </row>
    <row r="252" spans="2:3" x14ac:dyDescent="0.25">
      <c r="B252" t="s">
        <v>2573</v>
      </c>
      <c r="C252" t="s">
        <v>4084</v>
      </c>
    </row>
    <row r="253" spans="2:3" x14ac:dyDescent="0.25">
      <c r="B253" t="s">
        <v>2582</v>
      </c>
      <c r="C253" t="s">
        <v>4085</v>
      </c>
    </row>
    <row r="254" spans="2:3" x14ac:dyDescent="0.25">
      <c r="B254" t="s">
        <v>2591</v>
      </c>
      <c r="C254" t="s">
        <v>4086</v>
      </c>
    </row>
    <row r="255" spans="2:3" x14ac:dyDescent="0.25">
      <c r="B255" t="s">
        <v>2600</v>
      </c>
      <c r="C255" t="s">
        <v>4087</v>
      </c>
    </row>
    <row r="256" spans="2:3" x14ac:dyDescent="0.25">
      <c r="B256" t="s">
        <v>330</v>
      </c>
      <c r="C256" t="s">
        <v>4088</v>
      </c>
    </row>
    <row r="257" spans="2:3" x14ac:dyDescent="0.25">
      <c r="B257" t="s">
        <v>2616</v>
      </c>
      <c r="C257" t="s">
        <v>4089</v>
      </c>
    </row>
    <row r="258" spans="2:3" x14ac:dyDescent="0.25">
      <c r="B258" t="s">
        <v>2625</v>
      </c>
      <c r="C258" t="s">
        <v>4090</v>
      </c>
    </row>
    <row r="259" spans="2:3" x14ac:dyDescent="0.25">
      <c r="B259" t="s">
        <v>2634</v>
      </c>
      <c r="C259" t="s">
        <v>4091</v>
      </c>
    </row>
    <row r="260" spans="2:3" x14ac:dyDescent="0.25">
      <c r="B260" t="s">
        <v>2643</v>
      </c>
      <c r="C260" t="s">
        <v>4092</v>
      </c>
    </row>
    <row r="261" spans="2:3" x14ac:dyDescent="0.25">
      <c r="B261" t="s">
        <v>2652</v>
      </c>
      <c r="C261" t="s">
        <v>4093</v>
      </c>
    </row>
    <row r="262" spans="2:3" x14ac:dyDescent="0.25">
      <c r="B262" t="s">
        <v>2661</v>
      </c>
      <c r="C262" t="s">
        <v>4094</v>
      </c>
    </row>
    <row r="263" spans="2:3" x14ac:dyDescent="0.25">
      <c r="B263" t="s">
        <v>2420</v>
      </c>
      <c r="C263" t="s">
        <v>4095</v>
      </c>
    </row>
    <row r="264" spans="2:3" x14ac:dyDescent="0.25">
      <c r="B264" t="s">
        <v>2676</v>
      </c>
      <c r="C264" t="s">
        <v>4096</v>
      </c>
    </row>
    <row r="265" spans="2:3" x14ac:dyDescent="0.25">
      <c r="B265" t="s">
        <v>2685</v>
      </c>
      <c r="C265" t="s">
        <v>4097</v>
      </c>
    </row>
    <row r="266" spans="2:3" x14ac:dyDescent="0.25">
      <c r="B266" t="s">
        <v>2694</v>
      </c>
      <c r="C266" t="s">
        <v>4098</v>
      </c>
    </row>
    <row r="267" spans="2:3" x14ac:dyDescent="0.25">
      <c r="B267" t="s">
        <v>2703</v>
      </c>
      <c r="C267" t="s">
        <v>4099</v>
      </c>
    </row>
    <row r="268" spans="2:3" x14ac:dyDescent="0.25">
      <c r="B268" t="s">
        <v>2712</v>
      </c>
      <c r="C268" t="s">
        <v>4100</v>
      </c>
    </row>
    <row r="269" spans="2:3" x14ac:dyDescent="0.25">
      <c r="B269" t="s">
        <v>2721</v>
      </c>
      <c r="C269" t="s">
        <v>4101</v>
      </c>
    </row>
    <row r="270" spans="2:3" x14ac:dyDescent="0.25">
      <c r="B270" t="s">
        <v>2730</v>
      </c>
      <c r="C270" t="s">
        <v>4102</v>
      </c>
    </row>
    <row r="271" spans="2:3" x14ac:dyDescent="0.25">
      <c r="B271" t="s">
        <v>327</v>
      </c>
      <c r="C271" t="s">
        <v>4103</v>
      </c>
    </row>
    <row r="272" spans="2:3" x14ac:dyDescent="0.25">
      <c r="B272" t="s">
        <v>2746</v>
      </c>
      <c r="C272" t="s">
        <v>4104</v>
      </c>
    </row>
    <row r="273" spans="2:3" x14ac:dyDescent="0.25">
      <c r="B273" t="s">
        <v>2755</v>
      </c>
      <c r="C273" t="s">
        <v>4105</v>
      </c>
    </row>
    <row r="274" spans="2:3" x14ac:dyDescent="0.25">
      <c r="B274" t="s">
        <v>2764</v>
      </c>
      <c r="C274" t="s">
        <v>4106</v>
      </c>
    </row>
    <row r="275" spans="2:3" x14ac:dyDescent="0.25">
      <c r="B275" t="s">
        <v>2773</v>
      </c>
      <c r="C275" t="s">
        <v>4107</v>
      </c>
    </row>
    <row r="276" spans="2:3" x14ac:dyDescent="0.25">
      <c r="B276" t="s">
        <v>2782</v>
      </c>
      <c r="C276" t="s">
        <v>4108</v>
      </c>
    </row>
    <row r="277" spans="2:3" x14ac:dyDescent="0.25">
      <c r="B277" t="s">
        <v>295</v>
      </c>
      <c r="C277" t="s">
        <v>4109</v>
      </c>
    </row>
    <row r="278" spans="2:3" x14ac:dyDescent="0.25">
      <c r="B278" t="s">
        <v>2798</v>
      </c>
      <c r="C278" t="s">
        <v>4110</v>
      </c>
    </row>
    <row r="279" spans="2:3" x14ac:dyDescent="0.25">
      <c r="B279" t="s">
        <v>2807</v>
      </c>
      <c r="C279" t="s">
        <v>4111</v>
      </c>
    </row>
    <row r="280" spans="2:3" x14ac:dyDescent="0.25">
      <c r="B280" t="s">
        <v>2816</v>
      </c>
      <c r="C280" t="s">
        <v>4112</v>
      </c>
    </row>
    <row r="281" spans="2:3" x14ac:dyDescent="0.25">
      <c r="B281" t="s">
        <v>333</v>
      </c>
      <c r="C281" t="s">
        <v>4113</v>
      </c>
    </row>
    <row r="282" spans="2:3" x14ac:dyDescent="0.25">
      <c r="B282" t="s">
        <v>2832</v>
      </c>
      <c r="C282" t="s">
        <v>4114</v>
      </c>
    </row>
    <row r="283" spans="2:3" x14ac:dyDescent="0.25">
      <c r="B283" t="s">
        <v>2841</v>
      </c>
      <c r="C283" t="s">
        <v>4115</v>
      </c>
    </row>
    <row r="284" spans="2:3" x14ac:dyDescent="0.25">
      <c r="B284" t="s">
        <v>2850</v>
      </c>
      <c r="C284" t="s">
        <v>4116</v>
      </c>
    </row>
    <row r="285" spans="2:3" x14ac:dyDescent="0.25">
      <c r="B285" t="s">
        <v>2859</v>
      </c>
      <c r="C285" t="s">
        <v>4117</v>
      </c>
    </row>
    <row r="286" spans="2:3" x14ac:dyDescent="0.25">
      <c r="B286" t="s">
        <v>2868</v>
      </c>
      <c r="C286" t="s">
        <v>4118</v>
      </c>
    </row>
    <row r="287" spans="2:3" x14ac:dyDescent="0.25">
      <c r="B287" t="s">
        <v>2877</v>
      </c>
      <c r="C287" t="s">
        <v>4119</v>
      </c>
    </row>
    <row r="288" spans="2:3" x14ac:dyDescent="0.25">
      <c r="B288" t="s">
        <v>2886</v>
      </c>
      <c r="C288" t="s">
        <v>4120</v>
      </c>
    </row>
    <row r="289" spans="2:3" x14ac:dyDescent="0.25">
      <c r="B289" t="s">
        <v>2324</v>
      </c>
      <c r="C289" t="s">
        <v>4121</v>
      </c>
    </row>
    <row r="290" spans="2:3" x14ac:dyDescent="0.25">
      <c r="B290" t="s">
        <v>2901</v>
      </c>
      <c r="C290" t="s">
        <v>4122</v>
      </c>
    </row>
    <row r="291" spans="2:3" x14ac:dyDescent="0.25">
      <c r="B291" t="s">
        <v>2910</v>
      </c>
      <c r="C291" t="s">
        <v>4123</v>
      </c>
    </row>
    <row r="292" spans="2:3" x14ac:dyDescent="0.25">
      <c r="B292" t="s">
        <v>2919</v>
      </c>
      <c r="C292" t="s">
        <v>4124</v>
      </c>
    </row>
    <row r="293" spans="2:3" x14ac:dyDescent="0.25">
      <c r="B293" t="s">
        <v>2928</v>
      </c>
      <c r="C293" t="s">
        <v>4125</v>
      </c>
    </row>
    <row r="294" spans="2:3" x14ac:dyDescent="0.25">
      <c r="B294" t="s">
        <v>327</v>
      </c>
      <c r="C294" t="s">
        <v>4126</v>
      </c>
    </row>
    <row r="295" spans="2:3" x14ac:dyDescent="0.25">
      <c r="B295" t="s">
        <v>2943</v>
      </c>
      <c r="C295" t="s">
        <v>4127</v>
      </c>
    </row>
    <row r="296" spans="2:3" x14ac:dyDescent="0.25">
      <c r="B296" t="s">
        <v>2952</v>
      </c>
      <c r="C296" t="s">
        <v>4128</v>
      </c>
    </row>
    <row r="297" spans="2:3" x14ac:dyDescent="0.25">
      <c r="B297" t="s">
        <v>2961</v>
      </c>
      <c r="C297" t="s">
        <v>4129</v>
      </c>
    </row>
    <row r="298" spans="2:3" x14ac:dyDescent="0.25">
      <c r="B298" t="s">
        <v>302</v>
      </c>
      <c r="C298" t="s">
        <v>4130</v>
      </c>
    </row>
    <row r="299" spans="2:3" x14ac:dyDescent="0.25">
      <c r="B299" t="s">
        <v>2035</v>
      </c>
      <c r="C299" t="s">
        <v>4131</v>
      </c>
    </row>
    <row r="300" spans="2:3" x14ac:dyDescent="0.25">
      <c r="B300" t="s">
        <v>2983</v>
      </c>
      <c r="C300" t="s">
        <v>4132</v>
      </c>
    </row>
    <row r="301" spans="2:3" x14ac:dyDescent="0.25">
      <c r="B301" t="s">
        <v>2992</v>
      </c>
      <c r="C301" t="s">
        <v>4133</v>
      </c>
    </row>
    <row r="302" spans="2:3" x14ac:dyDescent="0.25">
      <c r="B302" t="s">
        <v>3001</v>
      </c>
      <c r="C302" t="s">
        <v>4134</v>
      </c>
    </row>
    <row r="303" spans="2:3" x14ac:dyDescent="0.25">
      <c r="B303" t="s">
        <v>3010</v>
      </c>
      <c r="C303" t="s">
        <v>4135</v>
      </c>
    </row>
    <row r="304" spans="2:3" x14ac:dyDescent="0.25">
      <c r="B304" t="s">
        <v>3019</v>
      </c>
      <c r="C304" t="s">
        <v>4136</v>
      </c>
    </row>
    <row r="305" spans="2:3" x14ac:dyDescent="0.25">
      <c r="B305" t="s">
        <v>305</v>
      </c>
      <c r="C305" t="s">
        <v>4137</v>
      </c>
    </row>
    <row r="306" spans="2:3" x14ac:dyDescent="0.25">
      <c r="B306" t="s">
        <v>316</v>
      </c>
      <c r="C306" t="s">
        <v>4138</v>
      </c>
    </row>
    <row r="307" spans="2:3" x14ac:dyDescent="0.25">
      <c r="B307" t="s">
        <v>3041</v>
      </c>
      <c r="C307" t="s">
        <v>4139</v>
      </c>
    </row>
    <row r="308" spans="2:3" x14ac:dyDescent="0.25">
      <c r="B308" t="s">
        <v>3050</v>
      </c>
      <c r="C308" t="s">
        <v>4140</v>
      </c>
    </row>
    <row r="309" spans="2:3" x14ac:dyDescent="0.25">
      <c r="B309" t="s">
        <v>3059</v>
      </c>
      <c r="C309" t="s">
        <v>4141</v>
      </c>
    </row>
    <row r="310" spans="2:3" x14ac:dyDescent="0.25">
      <c r="B310" t="s">
        <v>3068</v>
      </c>
      <c r="C310" t="s">
        <v>4142</v>
      </c>
    </row>
    <row r="311" spans="2:3" x14ac:dyDescent="0.25">
      <c r="B311" t="s">
        <v>3077</v>
      </c>
      <c r="C311" t="s">
        <v>4143</v>
      </c>
    </row>
    <row r="312" spans="2:3" x14ac:dyDescent="0.25">
      <c r="B312" t="s">
        <v>3086</v>
      </c>
      <c r="C312" t="s">
        <v>4144</v>
      </c>
    </row>
    <row r="313" spans="2:3" x14ac:dyDescent="0.25">
      <c r="B313" t="s">
        <v>3095</v>
      </c>
      <c r="C313" t="s">
        <v>4145</v>
      </c>
    </row>
    <row r="314" spans="2:3" x14ac:dyDescent="0.25">
      <c r="B314" t="s">
        <v>3104</v>
      </c>
      <c r="C314" t="s">
        <v>4146</v>
      </c>
    </row>
    <row r="315" spans="2:3" x14ac:dyDescent="0.25">
      <c r="B315" t="s">
        <v>3113</v>
      </c>
      <c r="C315" t="s">
        <v>4147</v>
      </c>
    </row>
    <row r="316" spans="2:3" x14ac:dyDescent="0.25">
      <c r="B316" t="s">
        <v>3122</v>
      </c>
      <c r="C316" t="s">
        <v>4148</v>
      </c>
    </row>
    <row r="317" spans="2:3" x14ac:dyDescent="0.25">
      <c r="B317" t="s">
        <v>2402</v>
      </c>
      <c r="C317" t="s">
        <v>4149</v>
      </c>
    </row>
    <row r="318" spans="2:3" x14ac:dyDescent="0.25">
      <c r="B318" t="s">
        <v>3138</v>
      </c>
      <c r="C318" t="s">
        <v>4150</v>
      </c>
    </row>
    <row r="319" spans="2:3" x14ac:dyDescent="0.25">
      <c r="B319" t="s">
        <v>3147</v>
      </c>
      <c r="C319" t="s">
        <v>4151</v>
      </c>
    </row>
    <row r="320" spans="2:3" x14ac:dyDescent="0.25">
      <c r="B320" t="s">
        <v>3156</v>
      </c>
      <c r="C320" t="s">
        <v>4152</v>
      </c>
    </row>
    <row r="321" spans="2:3" x14ac:dyDescent="0.25">
      <c r="B321" t="s">
        <v>3165</v>
      </c>
      <c r="C321" t="s">
        <v>4153</v>
      </c>
    </row>
    <row r="322" spans="2:3" x14ac:dyDescent="0.25">
      <c r="B322" t="s">
        <v>3174</v>
      </c>
      <c r="C322" t="s">
        <v>4154</v>
      </c>
    </row>
    <row r="323" spans="2:3" x14ac:dyDescent="0.25">
      <c r="B323" t="s">
        <v>324</v>
      </c>
      <c r="C323" t="s">
        <v>4155</v>
      </c>
    </row>
    <row r="324" spans="2:3" x14ac:dyDescent="0.25">
      <c r="B324" t="s">
        <v>3189</v>
      </c>
      <c r="C324" t="s">
        <v>4156</v>
      </c>
    </row>
    <row r="325" spans="2:3" x14ac:dyDescent="0.25">
      <c r="B325" t="s">
        <v>3198</v>
      </c>
      <c r="C325" t="s">
        <v>4157</v>
      </c>
    </row>
    <row r="326" spans="2:3" x14ac:dyDescent="0.25">
      <c r="B326" t="s">
        <v>3207</v>
      </c>
      <c r="C326" t="s">
        <v>4158</v>
      </c>
    </row>
    <row r="327" spans="2:3" x14ac:dyDescent="0.25">
      <c r="B327" t="s">
        <v>2564</v>
      </c>
      <c r="C327" t="s">
        <v>4159</v>
      </c>
    </row>
    <row r="328" spans="2:3" x14ac:dyDescent="0.25">
      <c r="B328" t="s">
        <v>287</v>
      </c>
      <c r="C328" t="s">
        <v>4160</v>
      </c>
    </row>
    <row r="329" spans="2:3" x14ac:dyDescent="0.25">
      <c r="B329" t="s">
        <v>3230</v>
      </c>
      <c r="C329" t="s">
        <v>4161</v>
      </c>
    </row>
    <row r="330" spans="2:3" x14ac:dyDescent="0.25">
      <c r="B330" t="s">
        <v>3239</v>
      </c>
      <c r="C330" t="s">
        <v>4162</v>
      </c>
    </row>
    <row r="331" spans="2:3" x14ac:dyDescent="0.25">
      <c r="B331" t="s">
        <v>3248</v>
      </c>
      <c r="C331" t="s">
        <v>4163</v>
      </c>
    </row>
    <row r="332" spans="2:3" x14ac:dyDescent="0.25">
      <c r="B332" t="s">
        <v>3257</v>
      </c>
      <c r="C332" t="s">
        <v>4164</v>
      </c>
    </row>
    <row r="333" spans="2:3" x14ac:dyDescent="0.25">
      <c r="B333" t="s">
        <v>3266</v>
      </c>
      <c r="C333" t="s">
        <v>4165</v>
      </c>
    </row>
    <row r="334" spans="2:3" x14ac:dyDescent="0.25">
      <c r="B334" t="s">
        <v>3275</v>
      </c>
      <c r="C334" t="s">
        <v>4166</v>
      </c>
    </row>
    <row r="335" spans="2:3" x14ac:dyDescent="0.25">
      <c r="B335" t="s">
        <v>3284</v>
      </c>
      <c r="C335" t="s">
        <v>4167</v>
      </c>
    </row>
    <row r="336" spans="2:3" x14ac:dyDescent="0.25">
      <c r="B336" t="s">
        <v>3292</v>
      </c>
      <c r="C336" t="s">
        <v>4168</v>
      </c>
    </row>
    <row r="337" spans="2:3" x14ac:dyDescent="0.25">
      <c r="B337" t="s">
        <v>3301</v>
      </c>
      <c r="C337" t="s">
        <v>4169</v>
      </c>
    </row>
    <row r="338" spans="2:3" x14ac:dyDescent="0.25">
      <c r="B338" t="s">
        <v>3310</v>
      </c>
      <c r="C338" t="s">
        <v>4170</v>
      </c>
    </row>
    <row r="339" spans="2:3" x14ac:dyDescent="0.25">
      <c r="B339" t="s">
        <v>3319</v>
      </c>
      <c r="C339" t="s">
        <v>4171</v>
      </c>
    </row>
    <row r="340" spans="2:3" x14ac:dyDescent="0.25">
      <c r="B340" t="s">
        <v>322</v>
      </c>
      <c r="C340" t="s">
        <v>4172</v>
      </c>
    </row>
    <row r="341" spans="2:3" x14ac:dyDescent="0.25">
      <c r="B341" t="s">
        <v>3335</v>
      </c>
      <c r="C341" t="s">
        <v>4173</v>
      </c>
    </row>
    <row r="342" spans="2:3" x14ac:dyDescent="0.25">
      <c r="B342" t="s">
        <v>3344</v>
      </c>
      <c r="C342" t="s">
        <v>4174</v>
      </c>
    </row>
    <row r="343" spans="2:3" x14ac:dyDescent="0.25">
      <c r="B343" t="s">
        <v>299</v>
      </c>
      <c r="C343" t="s">
        <v>4175</v>
      </c>
    </row>
    <row r="344" spans="2:3" x14ac:dyDescent="0.25">
      <c r="B344" t="s">
        <v>3359</v>
      </c>
      <c r="C344" t="s">
        <v>4176</v>
      </c>
    </row>
    <row r="345" spans="2:3" x14ac:dyDescent="0.25">
      <c r="B345" t="s">
        <v>3368</v>
      </c>
      <c r="C345" t="s">
        <v>4177</v>
      </c>
    </row>
    <row r="346" spans="2:3" x14ac:dyDescent="0.25">
      <c r="B346" t="s">
        <v>310</v>
      </c>
      <c r="C346" t="s">
        <v>4178</v>
      </c>
    </row>
    <row r="347" spans="2:3" x14ac:dyDescent="0.25">
      <c r="B347" t="s">
        <v>3383</v>
      </c>
      <c r="C347" t="s">
        <v>4179</v>
      </c>
    </row>
    <row r="348" spans="2:3" x14ac:dyDescent="0.25">
      <c r="B348" t="s">
        <v>308</v>
      </c>
      <c r="C348" t="s">
        <v>4180</v>
      </c>
    </row>
    <row r="349" spans="2:3" x14ac:dyDescent="0.25">
      <c r="B349" t="s">
        <v>3399</v>
      </c>
      <c r="C349" t="s">
        <v>4181</v>
      </c>
    </row>
    <row r="350" spans="2:3" x14ac:dyDescent="0.25">
      <c r="B350" t="s">
        <v>3408</v>
      </c>
      <c r="C350" t="s">
        <v>4182</v>
      </c>
    </row>
    <row r="351" spans="2:3" x14ac:dyDescent="0.25">
      <c r="B351" t="s">
        <v>3417</v>
      </c>
      <c r="C351" t="s">
        <v>4183</v>
      </c>
    </row>
    <row r="352" spans="2:3" x14ac:dyDescent="0.25">
      <c r="B352" t="s">
        <v>313</v>
      </c>
      <c r="C352" t="s">
        <v>4184</v>
      </c>
    </row>
    <row r="353" spans="2:3" x14ac:dyDescent="0.25">
      <c r="B353" t="s">
        <v>289</v>
      </c>
      <c r="C353" t="s">
        <v>4185</v>
      </c>
    </row>
    <row r="354" spans="2:3" x14ac:dyDescent="0.25">
      <c r="B354" t="s">
        <v>3438</v>
      </c>
      <c r="C354" t="s">
        <v>4186</v>
      </c>
    </row>
    <row r="355" spans="2:3" x14ac:dyDescent="0.25">
      <c r="B355" t="s">
        <v>3447</v>
      </c>
      <c r="C355" t="s">
        <v>4187</v>
      </c>
    </row>
    <row r="356" spans="2:3" x14ac:dyDescent="0.25">
      <c r="B356" t="s">
        <v>2943</v>
      </c>
      <c r="C356" t="s">
        <v>4188</v>
      </c>
    </row>
    <row r="357" spans="2:3" x14ac:dyDescent="0.25">
      <c r="B357" t="s">
        <v>3463</v>
      </c>
      <c r="C357" t="s">
        <v>4189</v>
      </c>
    </row>
    <row r="358" spans="2:3" x14ac:dyDescent="0.25">
      <c r="B358" t="s">
        <v>3472</v>
      </c>
      <c r="C358" t="s">
        <v>4190</v>
      </c>
    </row>
    <row r="359" spans="2:3" x14ac:dyDescent="0.25">
      <c r="B359" t="s">
        <v>3481</v>
      </c>
      <c r="C359" t="s">
        <v>4191</v>
      </c>
    </row>
    <row r="360" spans="2:3" x14ac:dyDescent="0.25">
      <c r="B360" t="s">
        <v>3207</v>
      </c>
      <c r="C360" t="s">
        <v>4192</v>
      </c>
    </row>
    <row r="361" spans="2:3" x14ac:dyDescent="0.25">
      <c r="B361" t="s">
        <v>3497</v>
      </c>
      <c r="C361" t="s">
        <v>4193</v>
      </c>
    </row>
    <row r="362" spans="2:3" x14ac:dyDescent="0.25">
      <c r="B362" t="s">
        <v>3506</v>
      </c>
      <c r="C362" t="s">
        <v>4194</v>
      </c>
    </row>
    <row r="363" spans="2:3" x14ac:dyDescent="0.25">
      <c r="B363" t="s">
        <v>2721</v>
      </c>
      <c r="C363" t="s">
        <v>4195</v>
      </c>
    </row>
    <row r="364" spans="2:3" x14ac:dyDescent="0.25">
      <c r="B364" t="s">
        <v>3522</v>
      </c>
      <c r="C364" t="s">
        <v>4196</v>
      </c>
    </row>
    <row r="365" spans="2:3" x14ac:dyDescent="0.25">
      <c r="B365" t="s">
        <v>3531</v>
      </c>
      <c r="C365" t="s">
        <v>4197</v>
      </c>
    </row>
    <row r="366" spans="2:3" x14ac:dyDescent="0.25">
      <c r="B366" t="s">
        <v>3540</v>
      </c>
      <c r="C366" t="s">
        <v>4198</v>
      </c>
    </row>
    <row r="367" spans="2:3" x14ac:dyDescent="0.25">
      <c r="B367" t="s">
        <v>3549</v>
      </c>
      <c r="C367" t="s">
        <v>4199</v>
      </c>
    </row>
    <row r="368" spans="2:3" x14ac:dyDescent="0.25">
      <c r="B368" t="s">
        <v>319</v>
      </c>
      <c r="C368" t="s">
        <v>4200</v>
      </c>
    </row>
    <row r="369" spans="2:3" x14ac:dyDescent="0.25">
      <c r="B369" t="s">
        <v>3564</v>
      </c>
      <c r="C369" t="s">
        <v>4201</v>
      </c>
    </row>
    <row r="370" spans="2:3" x14ac:dyDescent="0.25">
      <c r="B370" t="s">
        <v>3573</v>
      </c>
      <c r="C370" t="s">
        <v>4202</v>
      </c>
    </row>
    <row r="371" spans="2:3" x14ac:dyDescent="0.25">
      <c r="B371" t="s">
        <v>2103</v>
      </c>
      <c r="C371" t="s">
        <v>4203</v>
      </c>
    </row>
    <row r="372" spans="2:3" x14ac:dyDescent="0.25">
      <c r="B372" t="s">
        <v>3589</v>
      </c>
      <c r="C372" t="s">
        <v>4204</v>
      </c>
    </row>
    <row r="373" spans="2:3" x14ac:dyDescent="0.25">
      <c r="B373" t="s">
        <v>3598</v>
      </c>
      <c r="C373" t="s">
        <v>4205</v>
      </c>
    </row>
    <row r="374" spans="2:3" x14ac:dyDescent="0.25">
      <c r="B374" t="s">
        <v>3607</v>
      </c>
      <c r="C374" t="s">
        <v>4206</v>
      </c>
    </row>
    <row r="375" spans="2:3" x14ac:dyDescent="0.25">
      <c r="B375" t="s">
        <v>3616</v>
      </c>
      <c r="C375" t="s">
        <v>4207</v>
      </c>
    </row>
    <row r="376" spans="2:3" x14ac:dyDescent="0.25">
      <c r="B376" t="s">
        <v>3625</v>
      </c>
      <c r="C376" t="s">
        <v>4208</v>
      </c>
    </row>
    <row r="377" spans="2:3" x14ac:dyDescent="0.25">
      <c r="B377" t="s">
        <v>3634</v>
      </c>
      <c r="C377" t="s">
        <v>4209</v>
      </c>
    </row>
    <row r="378" spans="2:3" x14ac:dyDescent="0.25">
      <c r="B378" t="s">
        <v>3643</v>
      </c>
      <c r="C378" t="s">
        <v>4210</v>
      </c>
    </row>
    <row r="379" spans="2:3" x14ac:dyDescent="0.25">
      <c r="B379" t="s">
        <v>3652</v>
      </c>
      <c r="C379" t="s">
        <v>4211</v>
      </c>
    </row>
    <row r="380" spans="2:3" x14ac:dyDescent="0.25">
      <c r="B380" t="s">
        <v>3661</v>
      </c>
      <c r="C380" t="s">
        <v>4212</v>
      </c>
    </row>
    <row r="381" spans="2:3" x14ac:dyDescent="0.25">
      <c r="B381" t="s">
        <v>3670</v>
      </c>
      <c r="C381" t="s">
        <v>4213</v>
      </c>
    </row>
    <row r="382" spans="2:3" x14ac:dyDescent="0.25">
      <c r="B382" t="s">
        <v>3679</v>
      </c>
      <c r="C382" t="s">
        <v>4214</v>
      </c>
    </row>
    <row r="383" spans="2:3" x14ac:dyDescent="0.25">
      <c r="B383" t="s">
        <v>3688</v>
      </c>
      <c r="C383" t="s">
        <v>4215</v>
      </c>
    </row>
    <row r="384" spans="2:3" x14ac:dyDescent="0.25">
      <c r="B384" t="s">
        <v>3697</v>
      </c>
      <c r="C384" t="s">
        <v>4216</v>
      </c>
    </row>
    <row r="385" spans="2:3" x14ac:dyDescent="0.25">
      <c r="B385" t="s">
        <v>3706</v>
      </c>
      <c r="C385" t="s">
        <v>4217</v>
      </c>
    </row>
    <row r="386" spans="2:3" x14ac:dyDescent="0.25">
      <c r="B386" t="s">
        <v>3715</v>
      </c>
      <c r="C386" t="s">
        <v>4218</v>
      </c>
    </row>
    <row r="387" spans="2:3" x14ac:dyDescent="0.25">
      <c r="B387" t="s">
        <v>3744</v>
      </c>
      <c r="C387" t="s">
        <v>4219</v>
      </c>
    </row>
    <row r="388" spans="2:3" x14ac:dyDescent="0.25">
      <c r="B388" t="s">
        <v>3747</v>
      </c>
      <c r="C388" t="s">
        <v>4220</v>
      </c>
    </row>
    <row r="389" spans="2:3" x14ac:dyDescent="0.25">
      <c r="B389" t="s">
        <v>3750</v>
      </c>
      <c r="C389" t="s">
        <v>4221</v>
      </c>
    </row>
    <row r="390" spans="2:3" x14ac:dyDescent="0.25">
      <c r="B390" t="s">
        <v>3753</v>
      </c>
      <c r="C390" t="s">
        <v>4222</v>
      </c>
    </row>
    <row r="391" spans="2:3" x14ac:dyDescent="0.25">
      <c r="B391" t="s">
        <v>3756</v>
      </c>
      <c r="C391" t="s">
        <v>4223</v>
      </c>
    </row>
    <row r="392" spans="2:3" x14ac:dyDescent="0.25">
      <c r="B392" t="s">
        <v>3759</v>
      </c>
      <c r="C392" t="s">
        <v>4224</v>
      </c>
    </row>
    <row r="393" spans="2:3" x14ac:dyDescent="0.25">
      <c r="B393" t="s">
        <v>3762</v>
      </c>
      <c r="C393" t="s">
        <v>4225</v>
      </c>
    </row>
    <row r="394" spans="2:3" x14ac:dyDescent="0.25">
      <c r="B394" t="s">
        <v>3765</v>
      </c>
      <c r="C394" t="s">
        <v>4226</v>
      </c>
    </row>
    <row r="395" spans="2:3" x14ac:dyDescent="0.25">
      <c r="B395" t="s">
        <v>3768</v>
      </c>
      <c r="C395" t="s">
        <v>4227</v>
      </c>
    </row>
    <row r="396" spans="2:3" x14ac:dyDescent="0.25">
      <c r="B396" t="s">
        <v>3771</v>
      </c>
      <c r="C396" t="s">
        <v>4228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Especialidades</vt:lpstr>
      <vt:lpstr>Nomes</vt:lpstr>
      <vt:lpstr>rua_cod</vt:lpstr>
      <vt:lpstr>Users</vt:lpstr>
      <vt:lpstr>Médicos</vt:lpstr>
      <vt:lpstr>Receptionist</vt:lpstr>
      <vt:lpstr>doctor_has_Speciality</vt:lpstr>
      <vt:lpstr>patient_db</vt:lpstr>
      <vt:lpstr>Medicos_db</vt:lpstr>
      <vt:lpstr>Receptionist_db</vt:lpstr>
      <vt:lpstr>Folha1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André</dc:creator>
  <cp:lastModifiedBy>Pedro André</cp:lastModifiedBy>
  <dcterms:created xsi:type="dcterms:W3CDTF">2021-02-22T16:28:19Z</dcterms:created>
  <dcterms:modified xsi:type="dcterms:W3CDTF">2021-03-07T17:14:55Z</dcterms:modified>
</cp:coreProperties>
</file>