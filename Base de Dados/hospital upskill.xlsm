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AA0673FB-4F4A-4DFD-8E5E-C7B09D5898D2}" xr6:coauthVersionLast="46" xr6:coauthVersionMax="46" xr10:uidLastSave="{00000000-0000-0000-0000-000000000000}"/>
  <bookViews>
    <workbookView xWindow="-120" yWindow="-120" windowWidth="29040" windowHeight="15840" tabRatio="522" firstSheet="1" activeTab="9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1" i="10" l="1"/>
  <c r="W11" i="10"/>
  <c r="X4" i="10"/>
  <c r="X5" i="10"/>
  <c r="X6" i="10"/>
  <c r="X7" i="10"/>
  <c r="X8" i="10"/>
  <c r="X9" i="10"/>
  <c r="X10" i="10"/>
  <c r="X3" i="10"/>
  <c r="X2" i="10"/>
  <c r="Y11" i="10"/>
  <c r="Y10" i="10"/>
  <c r="W10" i="10"/>
  <c r="Y9" i="10"/>
  <c r="W9" i="10"/>
  <c r="Y8" i="10"/>
  <c r="W8" i="10"/>
  <c r="Y7" i="10"/>
  <c r="W7" i="10"/>
  <c r="Y6" i="10"/>
  <c r="W6" i="10"/>
  <c r="Y5" i="10"/>
  <c r="W5" i="10"/>
  <c r="Y4" i="10"/>
  <c r="W4" i="10"/>
  <c r="Y3" i="10"/>
  <c r="W3" i="10"/>
  <c r="Y2" i="10"/>
  <c r="W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C11" i="9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I6" i="2"/>
  <c r="M6" i="2" s="1" a="1"/>
  <c r="M6" i="2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I20" i="2"/>
  <c r="M20" i="2" s="1" a="1"/>
  <c r="M20" i="2" s="1"/>
  <c r="I21" i="2"/>
  <c r="M21" i="2" s="1" a="1"/>
  <c r="M21" i="2" s="1"/>
  <c r="S21" i="2" s="1"/>
  <c r="E20" i="3" s="1"/>
  <c r="I22" i="2"/>
  <c r="M22" i="2" s="1" a="1"/>
  <c r="M22" i="2" s="1"/>
  <c r="I23" i="2"/>
  <c r="N23" i="2" s="1" a="1"/>
  <c r="N23" i="2" s="1"/>
  <c r="I24" i="2"/>
  <c r="M24" i="2" s="1" a="1"/>
  <c r="M24" i="2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I28" i="2"/>
  <c r="M28" i="2" s="1" a="1"/>
  <c r="M28" i="2" s="1"/>
  <c r="S28" i="2" s="1"/>
  <c r="E27" i="3" s="1"/>
  <c r="I29" i="2"/>
  <c r="M29" i="2" s="1" a="1"/>
  <c r="M29" i="2" s="1"/>
  <c r="I30" i="2"/>
  <c r="M30" i="2" s="1" a="1"/>
  <c r="M30" i="2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I44" i="2"/>
  <c r="M44" i="2" s="1" a="1"/>
  <c r="M44" i="2" s="1"/>
  <c r="I45" i="2"/>
  <c r="M45" i="2" s="1" a="1"/>
  <c r="M45" i="2" s="1"/>
  <c r="S45" i="2" s="1"/>
  <c r="E44" i="3" s="1"/>
  <c r="I46" i="2"/>
  <c r="M46" i="2" s="1" a="1"/>
  <c r="M46" i="2" s="1"/>
  <c r="I47" i="2"/>
  <c r="N47" i="2" s="1" a="1"/>
  <c r="N47" i="2" s="1"/>
  <c r="I48" i="2"/>
  <c r="M48" i="2" s="1" a="1"/>
  <c r="M48" i="2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I54" i="2"/>
  <c r="M54" i="2" s="1" a="1"/>
  <c r="M54" i="2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I62" i="2"/>
  <c r="M62" i="2" s="1" a="1"/>
  <c r="M62" i="2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I68" i="2"/>
  <c r="M68" i="2" s="1" a="1"/>
  <c r="M68" i="2" s="1"/>
  <c r="I69" i="2"/>
  <c r="M69" i="2" s="1" a="1"/>
  <c r="M69" i="2" s="1"/>
  <c r="S69" i="2" s="1"/>
  <c r="E68" i="3" s="1"/>
  <c r="I70" i="2"/>
  <c r="M70" i="2" s="1" a="1"/>
  <c r="M70" i="2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I76" i="2"/>
  <c r="M76" i="2" s="1" a="1"/>
  <c r="M76" i="2" s="1"/>
  <c r="S76" i="2" s="1"/>
  <c r="E75" i="3" s="1"/>
  <c r="I77" i="2"/>
  <c r="M77" i="2" s="1" a="1"/>
  <c r="M77" i="2" s="1"/>
  <c r="I78" i="2"/>
  <c r="M78" i="2" s="1" a="1"/>
  <c r="M78" i="2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I92" i="2"/>
  <c r="M92" i="2" s="1" a="1"/>
  <c r="M92" i="2" s="1"/>
  <c r="I93" i="2"/>
  <c r="M93" i="2" s="1" a="1"/>
  <c r="M93" i="2" s="1"/>
  <c r="S93" i="2" s="1"/>
  <c r="E92" i="3" s="1"/>
  <c r="I94" i="2"/>
  <c r="M94" i="2" s="1" a="1"/>
  <c r="M94" i="2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I102" i="2"/>
  <c r="M102" i="2" s="1" a="1"/>
  <c r="M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I116" i="2"/>
  <c r="M116" i="2" s="1" a="1"/>
  <c r="M116" i="2" s="1"/>
  <c r="I117" i="2"/>
  <c r="M117" i="2" s="1" a="1"/>
  <c r="M117" i="2" s="1"/>
  <c r="S117" i="2" s="1"/>
  <c r="I118" i="2"/>
  <c r="M118" i="2" s="1" a="1"/>
  <c r="M118" i="2" s="1"/>
  <c r="I119" i="2"/>
  <c r="N119" i="2" s="1" a="1"/>
  <c r="N119" i="2" s="1"/>
  <c r="I120" i="2"/>
  <c r="M120" i="2" s="1" a="1"/>
  <c r="M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I126" i="2"/>
  <c r="M126" i="2" s="1" a="1"/>
  <c r="M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I143" i="2"/>
  <c r="N143" i="2" s="1" a="1"/>
  <c r="N143" i="2" s="1"/>
  <c r="I144" i="2"/>
  <c r="M144" i="2" s="1" a="1"/>
  <c r="M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I150" i="2"/>
  <c r="M150" i="2" s="1" a="1"/>
  <c r="M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I164" i="2"/>
  <c r="M164" i="2" s="1" a="1"/>
  <c r="M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I172" i="2"/>
  <c r="M172" i="2" s="1" a="1"/>
  <c r="M172" i="2" s="1"/>
  <c r="S172" i="2" s="1"/>
  <c r="I173" i="2"/>
  <c r="M173" i="2" s="1" a="1"/>
  <c r="M173" i="2" s="1"/>
  <c r="I174" i="2"/>
  <c r="M174" i="2" s="1" a="1"/>
  <c r="M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I198" i="2"/>
  <c r="M198" i="2" s="1" a="1"/>
  <c r="M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E13" i="6" s="1"/>
  <c r="S19" i="2"/>
  <c r="E18" i="6" s="1"/>
  <c r="S20" i="2"/>
  <c r="E19" i="3" s="1"/>
  <c r="S22" i="2"/>
  <c r="E21" i="3" s="1"/>
  <c r="S24" i="2"/>
  <c r="E23" i="3" s="1"/>
  <c r="S26" i="2"/>
  <c r="E25" i="6" s="1"/>
  <c r="S27" i="2"/>
  <c r="E26" i="3" s="1"/>
  <c r="S29" i="2"/>
  <c r="E28" i="6" s="1"/>
  <c r="S30" i="2"/>
  <c r="E29" i="3" s="1"/>
  <c r="S32" i="2"/>
  <c r="E31" i="3" s="1"/>
  <c r="S38" i="2"/>
  <c r="E37" i="6" s="1"/>
  <c r="S43" i="2"/>
  <c r="E42" i="6" s="1"/>
  <c r="S44" i="2"/>
  <c r="E43" i="3" s="1"/>
  <c r="S46" i="2"/>
  <c r="E45" i="3" s="1"/>
  <c r="S48" i="2"/>
  <c r="E47" i="3" s="1"/>
  <c r="S53" i="2"/>
  <c r="E52" i="6" s="1"/>
  <c r="S54" i="2"/>
  <c r="E53" i="3" s="1"/>
  <c r="S61" i="2"/>
  <c r="E60" i="6" s="1"/>
  <c r="S62" i="2"/>
  <c r="E61" i="6" s="1"/>
  <c r="S67" i="2"/>
  <c r="E66" i="6" s="1"/>
  <c r="S68" i="2"/>
  <c r="E67" i="3" s="1"/>
  <c r="S70" i="2"/>
  <c r="E69" i="3" s="1"/>
  <c r="S72" i="2"/>
  <c r="E71" i="3" s="1"/>
  <c r="S75" i="2"/>
  <c r="E74" i="3" s="1"/>
  <c r="S77" i="2"/>
  <c r="E76" i="6" s="1"/>
  <c r="S78" i="2"/>
  <c r="E77" i="3" s="1"/>
  <c r="S86" i="2"/>
  <c r="E85" i="6" s="1"/>
  <c r="S91" i="2"/>
  <c r="S92" i="2"/>
  <c r="S94" i="2"/>
  <c r="E93" i="3" s="1"/>
  <c r="S96" i="2"/>
  <c r="S101" i="2"/>
  <c r="S102" i="2"/>
  <c r="S109" i="2"/>
  <c r="S110" i="2"/>
  <c r="S115" i="2"/>
  <c r="S116" i="2"/>
  <c r="S118" i="2"/>
  <c r="E117" i="3" s="1"/>
  <c r="S120" i="2"/>
  <c r="S125" i="2"/>
  <c r="S126" i="2"/>
  <c r="S133" i="2"/>
  <c r="S134" i="2"/>
  <c r="S139" i="2"/>
  <c r="S142" i="2"/>
  <c r="S144" i="2"/>
  <c r="S149" i="2"/>
  <c r="S150" i="2"/>
  <c r="S153" i="2"/>
  <c r="S158" i="2"/>
  <c r="S163" i="2"/>
  <c r="S164" i="2"/>
  <c r="S168" i="2"/>
  <c r="S171" i="2"/>
  <c r="S173" i="2"/>
  <c r="S174" i="2"/>
  <c r="S182" i="2"/>
  <c r="S192" i="2"/>
  <c r="S194" i="2"/>
  <c r="S197" i="2"/>
  <c r="S198" i="2"/>
  <c r="S5" i="2"/>
  <c r="E4" i="3" s="1"/>
  <c r="S6" i="2"/>
  <c r="E5" i="6" s="1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Q9" i="9" l="1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N183" i="2" a="1"/>
  <c r="N183" i="2" s="1"/>
  <c r="N159" i="2" a="1"/>
  <c r="N159" i="2" s="1"/>
  <c r="T159" i="2" s="1"/>
  <c r="E103" i="6"/>
  <c r="N181" i="2" a="1"/>
  <c r="N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N140" i="2" a="1"/>
  <c r="N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N80" i="2" a="1"/>
  <c r="N80" i="2" s="1"/>
  <c r="N68" i="2" a="1"/>
  <c r="N68" i="2" s="1"/>
  <c r="T68" i="2" s="1"/>
  <c r="N56" i="2" a="1"/>
  <c r="N56" i="2" s="1"/>
  <c r="N44" i="2" a="1"/>
  <c r="N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N178" i="2" a="1"/>
  <c r="N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N94" i="2" a="1"/>
  <c r="N94" i="2" s="1"/>
  <c r="N82" i="2" a="1"/>
  <c r="N82" i="2" s="1"/>
  <c r="N70" i="2" a="1"/>
  <c r="N70" i="2" s="1"/>
  <c r="N58" i="2" a="1"/>
  <c r="N58" i="2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N144" i="2" a="1"/>
  <c r="N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N72" i="2" a="1"/>
  <c r="N72" i="2" s="1"/>
  <c r="N60" i="2" a="1"/>
  <c r="N60" i="2" s="1"/>
  <c r="T60" i="2" s="1"/>
  <c r="N48" i="2" a="1"/>
  <c r="N48" i="2" s="1"/>
  <c r="N36" i="2" a="1"/>
  <c r="N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N31" i="2" a="1"/>
  <c r="N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N158" i="2" a="1"/>
  <c r="N158" i="2" s="1"/>
  <c r="N146" i="2" a="1"/>
  <c r="N146" i="2" s="1"/>
  <c r="T146" i="2" s="1"/>
  <c r="N134" i="2" a="1"/>
  <c r="N134" i="2" s="1"/>
  <c r="T134" i="2" s="1"/>
  <c r="N122" i="2" a="1"/>
  <c r="N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N45" i="2" a="1"/>
  <c r="N45" i="2" s="1"/>
  <c r="N33" i="2" a="1"/>
  <c r="N33" i="2" s="1"/>
  <c r="T33" i="2" s="1"/>
  <c r="N21" i="2" a="1"/>
  <c r="N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N28" i="2" a="1"/>
  <c r="N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64" i="2"/>
  <c r="T140" i="2"/>
  <c r="T92" i="2"/>
  <c r="T44" i="2"/>
  <c r="T43" i="2"/>
  <c r="T173" i="2"/>
  <c r="T75" i="2"/>
  <c r="T189" i="2"/>
  <c r="T36" i="2"/>
  <c r="T186" i="2"/>
  <c r="T162" i="2"/>
  <c r="T114" i="2"/>
  <c r="T66" i="2"/>
  <c r="T42" i="2"/>
  <c r="T35" i="2"/>
  <c r="T185" i="2"/>
  <c r="T161" i="2"/>
  <c r="T113" i="2"/>
  <c r="T65" i="2"/>
  <c r="T23" i="2"/>
  <c r="T100" i="2"/>
  <c r="T21" i="2"/>
  <c r="T40" i="2"/>
  <c r="T190" i="2"/>
  <c r="T45" i="2"/>
  <c r="T183" i="2"/>
  <c r="T70" i="2"/>
  <c r="T93" i="2"/>
  <c r="T158" i="2"/>
  <c r="T31" i="2"/>
  <c r="T181" i="2"/>
  <c r="T157" i="2"/>
  <c r="T94" i="2"/>
  <c r="T30" i="2"/>
  <c r="T156" i="2"/>
  <c r="T84" i="2"/>
  <c r="T142" i="2"/>
  <c r="T29" i="2"/>
  <c r="T179" i="2"/>
  <c r="T155" i="2"/>
  <c r="T131" i="2"/>
  <c r="T107" i="2"/>
  <c r="T83" i="2"/>
  <c r="T59" i="2"/>
  <c r="D11" i="9" s="1"/>
  <c r="T166" i="2"/>
  <c r="T28" i="2"/>
  <c r="T170" i="2"/>
  <c r="T122" i="2"/>
  <c r="T74" i="2"/>
  <c r="T73" i="2"/>
  <c r="T144" i="2"/>
  <c r="T120" i="2"/>
  <c r="T72" i="2"/>
  <c r="T191" i="2"/>
  <c r="T167" i="2"/>
  <c r="T143" i="2"/>
  <c r="T119" i="2"/>
  <c r="T95" i="2"/>
  <c r="T71" i="2"/>
  <c r="T47" i="2"/>
  <c r="T187" i="2"/>
  <c r="T178" i="2"/>
  <c r="T106" i="2"/>
  <c r="T82" i="2"/>
  <c r="T58" i="2"/>
  <c r="D10" i="9" s="1"/>
  <c r="T129" i="2"/>
  <c r="T57" i="2"/>
  <c r="D9" i="9" s="1"/>
  <c r="T200" i="2"/>
  <c r="T152" i="2"/>
  <c r="T128" i="2"/>
  <c r="T80" i="2"/>
  <c r="T56" i="2"/>
  <c r="D8" i="9" s="1"/>
  <c r="T199" i="2"/>
  <c r="T103" i="2"/>
  <c r="T78" i="2"/>
  <c r="T15" i="2"/>
  <c r="T14" i="2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0" i="3" a="1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W2" i="2"/>
  <c r="B2" i="3" a="1"/>
  <c r="B170" i="3" a="1"/>
  <c r="B20" i="3" a="1"/>
  <c r="B72" i="3" a="1"/>
  <c r="B106" i="3" a="1"/>
  <c r="B35" i="3" a="1"/>
  <c r="B174" i="3" a="1"/>
  <c r="B82" i="3" a="1"/>
  <c r="B192" i="3" a="1"/>
  <c r="B140" i="3" a="1"/>
  <c r="B63" i="3" a="1"/>
  <c r="B65" i="3" a="1"/>
  <c r="B141" i="3" a="1"/>
  <c r="B119" i="3" a="1"/>
  <c r="B18" i="3" a="1"/>
  <c r="B33" i="3" a="1"/>
  <c r="B198" i="3" a="1"/>
  <c r="B152" i="3" a="1"/>
  <c r="B181" i="3" a="1"/>
  <c r="B165" i="3" a="1"/>
  <c r="B29" i="3" a="1"/>
  <c r="B26" i="3" a="1"/>
  <c r="B185" i="3" a="1"/>
  <c r="B144" i="3" a="1"/>
  <c r="B157" i="3" a="1"/>
  <c r="B6" i="3" a="1"/>
  <c r="B43" i="3" a="1"/>
  <c r="B85" i="3" a="1"/>
  <c r="B161" i="3" a="1"/>
  <c r="B178" i="3" a="1"/>
  <c r="B107" i="3" a="1"/>
  <c r="B121" i="3" a="1"/>
  <c r="B54" i="3" a="1"/>
  <c r="B81" i="3" a="1"/>
  <c r="B7" i="3" a="1"/>
  <c r="B153" i="3" a="1"/>
  <c r="B28" i="3" a="1"/>
  <c r="B92" i="3" a="1"/>
  <c r="B14" i="3" a="1"/>
  <c r="B76" i="3" a="1"/>
  <c r="B129" i="3" a="1"/>
  <c r="B49" i="3" a="1"/>
  <c r="B89" i="3" a="1"/>
  <c r="B137" i="3" a="1"/>
  <c r="B149" i="3" a="1"/>
  <c r="B172" i="3" a="1"/>
  <c r="B110" i="3" a="1"/>
  <c r="B151" i="3" a="1"/>
  <c r="B139" i="3" a="1"/>
  <c r="B16" i="3" a="1"/>
  <c r="B188" i="3" a="1"/>
  <c r="B176" i="3" a="1"/>
  <c r="B166" i="3" a="1"/>
  <c r="B187" i="3" a="1"/>
  <c r="B59" i="3" a="1"/>
  <c r="B46" i="3" a="1"/>
  <c r="B50" i="3" a="1"/>
  <c r="B41" i="3" a="1"/>
  <c r="B97" i="3" a="1"/>
  <c r="B147" i="3" a="1"/>
  <c r="B124" i="3" a="1"/>
  <c r="B156" i="3" a="1"/>
  <c r="B183" i="3" a="1"/>
  <c r="B11" i="3" a="1"/>
  <c r="B55" i="3" a="1"/>
  <c r="B138" i="3" a="1"/>
  <c r="B22" i="3" a="1"/>
  <c r="B128" i="3" a="1"/>
  <c r="B58" i="3" a="1"/>
  <c r="B101" i="3" a="1"/>
  <c r="B32" i="3" a="1"/>
  <c r="B42" i="3" a="1"/>
  <c r="B102" i="3" a="1"/>
  <c r="B108" i="3" a="1"/>
  <c r="B66" i="3" a="1"/>
  <c r="B109" i="3" a="1"/>
  <c r="B40" i="3" a="1"/>
  <c r="B122" i="3" a="1"/>
  <c r="B93" i="3" a="1"/>
  <c r="B77" i="3" a="1"/>
  <c r="B84" i="3" a="1"/>
  <c r="B154" i="3" a="1"/>
  <c r="B96" i="3" a="1"/>
  <c r="B164" i="3" a="1"/>
  <c r="B52" i="3" a="1"/>
  <c r="B44" i="3" a="1"/>
  <c r="B133" i="3" a="1"/>
  <c r="B136" i="3" a="1"/>
  <c r="B39" i="3" a="1"/>
  <c r="B118" i="3" a="1"/>
  <c r="B127" i="3" a="1"/>
  <c r="B159" i="3" a="1"/>
  <c r="B171" i="3" a="1"/>
  <c r="B167" i="3" a="1"/>
  <c r="B115" i="3" a="1"/>
  <c r="B27" i="3" a="1"/>
  <c r="B193" i="3" a="1"/>
  <c r="B103" i="3" a="1"/>
  <c r="B99" i="3" a="1"/>
  <c r="B131" i="3" a="1"/>
  <c r="B104" i="3" a="1"/>
  <c r="B56" i="3" a="1"/>
  <c r="B160" i="3" a="1"/>
  <c r="B88" i="3" a="1"/>
  <c r="B114" i="3" a="1"/>
  <c r="B155" i="3" a="1"/>
  <c r="B19" i="3" a="1"/>
  <c r="B132" i="3" a="1"/>
  <c r="B78" i="3" a="1"/>
  <c r="B143" i="3" a="1"/>
  <c r="B60" i="3" a="1"/>
  <c r="B21" i="3" a="1"/>
  <c r="B191" i="3" a="1"/>
  <c r="B67" i="3" a="1"/>
  <c r="B8" i="3" a="1"/>
  <c r="B91" i="3" a="1"/>
  <c r="B31" i="3" a="1"/>
  <c r="B189" i="3" a="1"/>
  <c r="B30" i="3" a="1"/>
  <c r="B194" i="3" a="1"/>
  <c r="B98" i="3" a="1"/>
  <c r="B123" i="3" a="1"/>
  <c r="B145" i="3" a="1"/>
  <c r="B168" i="3" a="1"/>
  <c r="B199" i="3" a="1"/>
  <c r="B126" i="3" a="1"/>
  <c r="B51" i="3" a="1"/>
  <c r="B158" i="3" a="1"/>
  <c r="B196" i="3" a="1"/>
  <c r="B177" i="3" a="1"/>
  <c r="B71" i="3" a="1"/>
  <c r="B186" i="3" a="1"/>
  <c r="B179" i="3" a="1"/>
  <c r="B142" i="3" a="1"/>
  <c r="B150" i="3" a="1"/>
  <c r="B9" i="3" a="1"/>
  <c r="B184" i="3" a="1"/>
  <c r="B45" i="3" a="1"/>
  <c r="B47" i="3" a="1"/>
  <c r="B130" i="3" a="1"/>
  <c r="B75" i="3" a="1"/>
  <c r="B48" i="3" a="1"/>
  <c r="B4" i="3" a="1"/>
  <c r="B148" i="3" a="1"/>
  <c r="B190" i="3" a="1"/>
  <c r="B146" i="3" a="1"/>
  <c r="B135" i="3" a="1"/>
  <c r="B117" i="3" a="1"/>
  <c r="B68" i="3" a="1"/>
  <c r="B95" i="3" a="1"/>
  <c r="B12" i="3" a="1"/>
  <c r="B173" i="3" a="1"/>
  <c r="B180" i="3" a="1"/>
  <c r="B73" i="3" a="1"/>
  <c r="B62" i="3" a="1"/>
  <c r="B15" i="3" a="1"/>
  <c r="B5" i="3" a="1"/>
  <c r="B74" i="3" a="1"/>
  <c r="B38" i="3" a="1"/>
  <c r="B70" i="3" a="1"/>
  <c r="B116" i="3" a="1"/>
  <c r="B90" i="3" a="1"/>
  <c r="B197" i="3" a="1"/>
  <c r="B105" i="3" a="1"/>
  <c r="B3" i="3" a="1"/>
  <c r="B169" i="3" a="1"/>
  <c r="B195" i="3" a="1"/>
  <c r="B111" i="3" a="1"/>
  <c r="B57" i="3" a="1"/>
  <c r="B162" i="3" a="1"/>
  <c r="B64" i="3" a="1"/>
  <c r="B113" i="3" a="1"/>
  <c r="B86" i="3" a="1"/>
  <c r="B182" i="3" a="1"/>
  <c r="B175" i="3" a="1"/>
  <c r="B80" i="3" a="1"/>
  <c r="B94" i="3" a="1"/>
  <c r="B23" i="3" a="1"/>
  <c r="B69" i="3" a="1"/>
  <c r="B112" i="3" a="1"/>
  <c r="B17" i="3" a="1"/>
  <c r="B37" i="3" a="1"/>
  <c r="B24" i="3" a="1"/>
  <c r="B83" i="3" a="1"/>
  <c r="B13" i="3" a="1"/>
  <c r="B79" i="3" a="1"/>
  <c r="B25" i="3" a="1"/>
  <c r="B120" i="3" a="1"/>
  <c r="B125" i="3" a="1"/>
  <c r="B34" i="3" a="1"/>
  <c r="B61" i="3" a="1"/>
  <c r="B100" i="3" a="1"/>
  <c r="B134" i="3" a="1"/>
  <c r="B53" i="3" a="1"/>
  <c r="B163" i="3" a="1"/>
  <c r="B36" i="3" a="1"/>
  <c r="B87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8" i="3" a="1"/>
  <c r="Q8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R6" i="3"/>
  <c r="R3" i="3"/>
  <c r="Q153" i="3" a="1"/>
  <c r="Q153" i="3" s="1"/>
  <c r="R8" i="3"/>
  <c r="C153" i="3"/>
  <c r="Q12" i="3" a="1"/>
  <c r="Q12" i="3" s="1"/>
  <c r="Q4" i="3" a="1"/>
  <c r="Q4" i="3" s="1"/>
  <c r="R34" i="3"/>
  <c r="Q14" i="3" a="1"/>
  <c r="Q14" i="3" s="1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Q155" i="3" l="1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<sst xmlns="http://schemas.openxmlformats.org/spreadsheetml/2006/main" count="7888" uniqueCount="3844">
  <si>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</si>
  <si>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</si>
  <si>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</si>
  <si>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</si>
  <si>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</si>
  <si>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</si>
  <si>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</si>
  <si>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</si>
  <si>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</si>
  <si>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</si>
  <si>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</si>
  <si>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</si>
  <si>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</si>
  <si>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</si>
  <si>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</si>
  <si>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</si>
  <si>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</si>
  <si>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</si>
  <si>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</si>
  <si>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</si>
  <si>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</si>
  <si>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</si>
  <si>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</si>
  <si>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</si>
  <si>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</si>
  <si>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</si>
  <si>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</si>
  <si>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</si>
  <si>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</si>
  <si>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</si>
  <si>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</si>
  <si>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</si>
  <si>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</si>
  <si>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</si>
  <si>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</si>
  <si>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</si>
  <si>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</si>
  <si>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</si>
  <si>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</si>
  <si>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</si>
  <si>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</si>
  <si>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</si>
  <si>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</si>
  <si>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</si>
  <si>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</si>
  <si>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</si>
  <si>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</si>
  <si>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</si>
  <si>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</si>
  <si>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</si>
  <si>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</si>
  <si>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</si>
  <si>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</si>
  <si>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</si>
  <si>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</si>
  <si>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</si>
  <si>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</si>
  <si>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</si>
  <si>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</si>
  <si>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</si>
  <si>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</si>
  <si>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</si>
  <si>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</si>
  <si>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</si>
  <si>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</si>
  <si>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</si>
  <si>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</si>
  <si>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</si>
  <si>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</si>
  <si>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</si>
  <si>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</si>
  <si>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</si>
  <si>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</si>
  <si>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</si>
  <si>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</si>
  <si>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</si>
  <si>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</si>
  <si>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</si>
  <si>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</si>
  <si>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</si>
  <si>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</si>
  <si>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</si>
  <si>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</si>
  <si>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</si>
  <si>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</si>
  <si>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</si>
  <si>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</si>
  <si>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</si>
  <si>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</si>
  <si>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</si>
  <si>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</si>
  <si>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</si>
  <si>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</si>
  <si>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</si>
  <si>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</si>
  <si>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</si>
  <si>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</si>
  <si>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</si>
  <si>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</si>
  <si>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</si>
  <si>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</si>
  <si>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</si>
  <si>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</si>
  <si>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</si>
  <si>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</si>
  <si>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</si>
  <si>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</si>
  <si>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</si>
  <si>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</si>
  <si>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</si>
  <si>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</si>
  <si>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</si>
  <si>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</si>
  <si>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</si>
  <si>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</si>
  <si>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</si>
  <si>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</si>
  <si>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</si>
  <si>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</si>
  <si>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</si>
  <si>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</si>
  <si>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</si>
  <si>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</si>
  <si>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</si>
  <si>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</si>
  <si>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</si>
  <si>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</si>
  <si>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</si>
  <si>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</si>
  <si>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</si>
  <si>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</si>
  <si>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</si>
  <si>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</si>
  <si>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</si>
  <si>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</si>
  <si>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</si>
  <si>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</si>
  <si>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</si>
  <si>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</si>
  <si>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</si>
  <si>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</si>
  <si>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</si>
  <si>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</si>
  <si>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</si>
  <si>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</si>
  <si>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</si>
  <si>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</si>
  <si>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</si>
  <si>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</si>
  <si>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</si>
  <si>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</si>
  <si>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</si>
  <si>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</si>
  <si>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</si>
  <si>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</si>
  <si>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</si>
  <si>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</si>
  <si>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</si>
  <si>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</si>
  <si>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</si>
  <si>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</si>
  <si>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</si>
  <si>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</si>
  <si>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</si>
  <si>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</si>
  <si>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</si>
  <si>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</si>
  <si>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</si>
  <si>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</si>
  <si>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</si>
  <si>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</si>
  <si>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</si>
  <si>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</si>
  <si>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</si>
  <si>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</si>
  <si>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</si>
  <si>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</si>
  <si>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</si>
  <si>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</si>
  <si>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</si>
  <si>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</si>
  <si>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</si>
  <si>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</si>
  <si>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</si>
  <si>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</si>
  <si>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</si>
  <si>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</si>
  <si>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</si>
  <si>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</si>
  <si>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</si>
  <si>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</si>
  <si>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</si>
  <si>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</si>
  <si>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</si>
  <si>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</si>
  <si>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</si>
  <si>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</si>
  <si>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</si>
  <si>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</si>
  <si>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</si>
  <si>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</si>
  <si>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</si>
  <si>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</si>
  <si>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</si>
  <si>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</si>
  <si>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</si>
  <si>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</si>
  <si>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</si>
  <si>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</si>
  <si>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</si>
  <si>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</si>
  <si>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</si>
  <si>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</si>
  <si>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</si>
  <si>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</si>
  <si>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</si>
  <si>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</si>
  <si>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</si>
  <si>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</si>
  <si>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</si>
  <si>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</si>
  <si>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</si>
  <si>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</si>
  <si>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</si>
  <si>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</si>
  <si>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</si>
  <si>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</si>
  <si>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</si>
  <si>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</si>
  <si>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</si>
  <si>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</si>
  <si>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</si>
  <si>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</si>
  <si>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</si>
  <si>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</si>
  <si>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</si>
  <si>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</si>
  <si>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</si>
  <si>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</si>
  <si>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</si>
  <si>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</si>
  <si>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</si>
  <si>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</si>
  <si>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</si>
  <si>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</si>
  <si>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</si>
  <si>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</si>
  <si>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</si>
  <si>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</si>
  <si>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</si>
  <si>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</si>
  <si>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</si>
  <si>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</si>
  <si>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</si>
  <si>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</si>
  <si>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</si>
  <si>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</si>
  <si>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</si>
  <si>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</si>
  <si>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</si>
  <si>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</si>
  <si>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</si>
  <si>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</si>
  <si>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</si>
  <si>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</si>
  <si>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</si>
  <si>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</si>
  <si>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</si>
  <si>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</si>
  <si>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</si>
  <si>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</si>
  <si>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</si>
  <si>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</si>
  <si>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</si>
  <si>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</si>
  <si>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</si>
  <si>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</si>
  <si>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</si>
  <si>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</si>
  <si>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</si>
  <si>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</si>
  <si>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</si>
  <si>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</si>
  <si>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</si>
  <si>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</si>
  <si>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</si>
  <si>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</si>
  <si>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</si>
  <si>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</si>
  <si>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</si>
  <si>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</si>
  <si>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</si>
  <si>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</si>
  <si>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</si>
  <si>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</si>
  <si>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</si>
  <si>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</si>
  <si>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</si>
  <si>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</si>
  <si>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</si>
  <si>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</si>
  <si>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</si>
  <si>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</si>
  <si>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</si>
  <si>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</si>
  <si>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</si>
  <si>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</si>
  <si>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</si>
  <si>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</si>
  <si>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</si>
  <si>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</si>
  <si>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</si>
  <si>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</si>
  <si>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</si>
  <si>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</si>
  <si>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</si>
  <si>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</si>
  <si>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</si>
  <si>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</si>
  <si>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</si>
  <si>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</si>
  <si>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</si>
  <si>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</si>
  <si>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</si>
  <si>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</si>
  <si>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</si>
  <si>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</si>
  <si>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</si>
  <si>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</si>
  <si>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</si>
  <si>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</si>
  <si>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</si>
  <si>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</si>
  <si>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</si>
  <si>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</si>
  <si>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</si>
  <si>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</si>
  <si>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</si>
  <si>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</si>
  <si>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</si>
  <si>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</si>
  <si>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</si>
  <si>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</si>
  <si>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</si>
  <si>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</si>
  <si>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</si>
  <si>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</si>
  <si>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</si>
  <si>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</si>
  <si>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</si>
  <si>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</si>
  <si>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</si>
  <si>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</si>
  <si>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</si>
  <si>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</si>
  <si>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</si>
  <si>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</si>
  <si>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</si>
  <si>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</si>
  <si>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</si>
  <si>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</si>
  <si>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</si>
  <si>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</si>
  <si>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</si>
  <si>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</si>
  <si>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</si>
  <si>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</si>
  <si>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</si>
  <si>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</si>
  <si>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</si>
  <si>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</si>
  <si>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</si>
  <si>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</si>
  <si>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</si>
  <si>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</si>
  <si>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</si>
  <si>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</si>
  <si>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</si>
  <si>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</si>
  <si>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</si>
  <si>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</si>
  <si>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</si>
  <si>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</si>
  <si>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</si>
  <si>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</si>
  <si>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</si>
  <si>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</si>
  <si>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</si>
  <si>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</si>
  <si>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</si>
  <si>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</si>
  <si>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</si>
  <si>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</si>
  <si>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</si>
  <si>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</si>
  <si>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</si>
  <si>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</si>
  <si>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</si>
  <si>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</si>
  <si>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</si>
  <si>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</si>
  <si>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</si>
  <si>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</si>
  <si>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</si>
  <si>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</si>
  <si>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</si>
  <si>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</si>
  <si>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</si>
  <si>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</si>
  <si>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</si>
  <si>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</si>
  <si>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</si>
  <si>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</si>
  <si>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</si>
  <si>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</si>
  <si>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</si>
  <si>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</si>
  <si>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</si>
  <si>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</si>
  <si>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</si>
  <si>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</si>
  <si>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</si>
  <si>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</si>
  <si>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</si>
  <si>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</si>
  <si>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</si>
  <si>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</si>
  <si>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</si>
  <si>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</si>
  <si>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</si>
  <si>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</si>
  <si>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</si>
  <si>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</si>
  <si>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</si>
  <si>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</si>
  <si>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</si>
  <si>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</si>
  <si>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</si>
  <si>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</si>
  <si>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</si>
  <si>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</si>
  <si>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</si>
  <si>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</si>
  <si>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</si>
  <si>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</si>
  <si>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</si>
  <si>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</si>
  <si>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</si>
  <si>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</si>
  <si>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</si>
  <si>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</si>
  <si>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</si>
  <si>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</si>
  <si>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</si>
  <si>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</si>
  <si>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</si>
  <si>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</si>
  <si>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</si>
  <si>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</si>
  <si>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</si>
  <si>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</si>
  <si>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</si>
  <si>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</si>
  <si>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</si>
  <si>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</si>
  <si>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</si>
  <si>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</si>
  <si>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</si>
  <si>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</si>
  <si>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</si>
  <si>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</si>
  <si>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</si>
  <si>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</si>
  <si>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</si>
  <si>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</si>
  <si>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</si>
  <si>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</si>
  <si>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</si>
  <si>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</si>
  <si>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</si>
  <si>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</si>
  <si>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</si>
  <si>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</si>
  <si>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</si>
  <si>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</si>
  <si>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</si>
  <si>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</si>
  <si>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</si>
  <si>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</si>
  <si>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</si>
  <si>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</si>
  <si>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</si>
  <si>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</si>
  <si>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</si>
  <si>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</si>
  <si>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</si>
  <si>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</si>
  <si>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</si>
  <si>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</si>
  <si>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</si>
  <si>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</si>
  <si>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</si>
  <si>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</si>
  <si>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</si>
  <si>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</si>
  <si>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</si>
  <si>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</si>
  <si>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</si>
  <si>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</si>
  <si>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</si>
  <si>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</si>
  <si>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</si>
  <si>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</si>
  <si>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</si>
  <si>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</si>
  <si>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</si>
  <si>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</si>
  <si>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</si>
  <si>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</si>
  <si>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</si>
  <si>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</si>
  <si>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</si>
  <si>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</si>
  <si>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</si>
  <si>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</si>
  <si>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</si>
  <si>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</si>
  <si>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</si>
  <si>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</si>
  <si>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</si>
  <si>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</si>
  <si>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</si>
  <si>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</si>
  <si>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</si>
  <si>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</si>
  <si>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</si>
  <si>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</si>
  <si>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</si>
  <si>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</si>
  <si>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</si>
  <si>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</si>
  <si>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</si>
  <si>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</si>
  <si>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</si>
  <si>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</si>
  <si>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</si>
  <si>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</si>
  <si>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</si>
  <si>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</si>
  <si>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</si>
  <si>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</si>
  <si>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</si>
  <si>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</si>
  <si>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</si>
  <si>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</si>
  <si>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</si>
  <si>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</si>
  <si>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</si>
  <si>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</si>
  <si>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</si>
  <si>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</si>
  <si>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</si>
  <si>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</si>
  <si>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</si>
  <si>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</si>
  <si>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</si>
  <si>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</si>
  <si>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</si>
  <si>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</si>
  <si>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</si>
  <si>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</si>
  <si>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</si>
  <si>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</si>
  <si>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</si>
  <si>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</si>
  <si>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</si>
  <si>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</si>
  <si>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</si>
  <si>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</si>
  <si>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</si>
  <si>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</si>
  <si>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</si>
  <si>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</si>
  <si>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</si>
  <si>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</si>
  <si>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</si>
  <si>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</si>
  <si>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</si>
  <si>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</si>
  <si>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</si>
  <si>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</si>
  <si>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</si>
  <si>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</si>
  <si>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</si>
  <si>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</si>
  <si>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</si>
  <si>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</si>
  <si>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</si>
  <si>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</si>
  <si>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</si>
  <si>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</si>
  <si>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</si>
  <si>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</si>
  <si>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</si>
  <si>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</si>
  <si>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</si>
  <si>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</si>
  <si>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</si>
  <si>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</si>
  <si>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</si>
  <si>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</si>
  <si>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</si>
  <si>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</si>
  <si>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</si>
  <si>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</si>
  <si>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</si>
  <si>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</si>
  <si>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</si>
  <si>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</si>
  <si>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</si>
  <si>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</si>
  <si>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</si>
  <si>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</si>
  <si>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</si>
  <si>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</si>
  <si>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</si>
  <si>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</si>
  <si>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</si>
  <si>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</si>
  <si>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</si>
  <si>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</si>
  <si>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</si>
  <si>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</si>
  <si>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</si>
  <si>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</si>
  <si>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</si>
  <si>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</si>
  <si>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</si>
  <si>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</si>
  <si>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</si>
  <si>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</si>
  <si>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</si>
  <si>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</si>
  <si>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</si>
  <si>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</si>
  <si>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</si>
  <si>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</si>
  <si>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</si>
  <si>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</si>
  <si>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</si>
  <si>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</si>
  <si>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</si>
  <si>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</si>
  <si>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</si>
  <si>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</si>
  <si>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</si>
  <si>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</si>
  <si>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</si>
  <si>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</si>
  <si>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</si>
  <si>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</si>
  <si>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</si>
  <si>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</si>
  <si>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</si>
  <si>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</si>
  <si>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</si>
  <si>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</si>
  <si>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</si>
  <si>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</si>
  <si>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</si>
  <si>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</si>
  <si>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</si>
  <si>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</si>
  <si>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</si>
  <si>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</si>
  <si>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</si>
  <si>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</si>
  <si>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</si>
  <si>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</si>
  <si>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</si>
  <si>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</si>
  <si>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</si>
  <si>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</si>
  <si>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</si>
  <si>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</si>
  <si>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</si>
  <si>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</si>
  <si>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</si>
  <si>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</si>
  <si>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</si>
  <si>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</si>
  <si>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</si>
  <si>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</si>
  <si>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</si>
  <si>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</si>
  <si>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</si>
  <si>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</si>
  <si>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</si>
  <si>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</si>
  <si>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</si>
  <si>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</si>
  <si>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</si>
  <si>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</si>
  <si>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</si>
  <si>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</si>
  <si>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</si>
  <si>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</si>
  <si>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</si>
  <si>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</si>
  <si>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</si>
  <si>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</si>
  <si>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</si>
  <si>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</si>
  <si>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</si>
  <si>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</si>
  <si>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</si>
  <si>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</si>
  <si>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</si>
  <si>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</si>
  <si>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</si>
  <si>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</si>
  <si>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</si>
  <si>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</si>
  <si>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</si>
  <si>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</si>
  <si>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</si>
  <si>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</si>
  <si>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</si>
  <si>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</si>
  <si>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</si>
  <si>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</si>
  <si>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</si>
  <si>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</si>
  <si>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</si>
  <si>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</si>
  <si>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</si>
  <si>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</si>
  <si>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</si>
  <si>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</si>
  <si>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</si>
  <si>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</si>
  <si>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</si>
  <si>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</si>
  <si>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</si>
  <si>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</si>
  <si>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</si>
  <si>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</si>
  <si>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</si>
  <si>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</si>
  <si>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</si>
  <si>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</si>
  <si>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</si>
  <si>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</si>
  <si>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</si>
  <si>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</si>
  <si>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</si>
  <si>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</si>
  <si>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</si>
  <si>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</si>
  <si>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</si>
  <si>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</si>
  <si>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</si>
  <si>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</si>
  <si>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</si>
  <si>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</si>
  <si>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</si>
  <si>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</si>
  <si>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</si>
  <si>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</si>
  <si>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</si>
  <si>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</si>
  <si>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</si>
  <si>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</si>
  <si>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</si>
  <si>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</si>
  <si>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</si>
  <si>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</si>
  <si>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</si>
  <si>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</si>
  <si>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</si>
  <si>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</si>
  <si>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</si>
  <si>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</si>
  <si>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</si>
  <si>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</si>
  <si>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</si>
  <si>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</si>
  <si>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</si>
  <si>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</si>
  <si>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</si>
  <si>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</si>
  <si>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</si>
  <si>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</si>
  <si>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</si>
  <si>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</si>
  <si>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</si>
  <si>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</si>
  <si>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</si>
  <si>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</si>
  <si>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</si>
  <si>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</si>
  <si>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</si>
  <si>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</si>
  <si>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</si>
  <si>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</si>
  <si>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</si>
  <si>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</si>
  <si>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</si>
  <si>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</si>
  <si>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</si>
  <si>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</si>
  <si>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</si>
  <si>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</si>
  <si>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</si>
  <si>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</si>
  <si>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</si>
  <si>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</si>
  <si>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</si>
  <si>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</si>
  <si>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</si>
  <si>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</si>
  <si>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</si>
  <si>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</si>
  <si>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</si>
  <si>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</si>
  <si>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</si>
  <si>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</si>
  <si>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</si>
  <si>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</si>
  <si>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</si>
  <si>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</si>
  <si>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</si>
  <si>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</si>
  <si>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</si>
  <si>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</si>
  <si>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</si>
  <si>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</si>
  <si>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</si>
  <si>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</si>
  <si>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</si>
  <si>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</si>
  <si>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</si>
  <si>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</si>
  <si>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</si>
  <si>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</si>
  <si>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</si>
  <si>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</si>
  <si>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</si>
  <si>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</si>
  <si>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</si>
  <si>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</si>
  <si>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</si>
  <si>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</si>
  <si>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</si>
  <si>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</si>
  <si>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</si>
  <si>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</si>
  <si>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</si>
  <si>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</si>
  <si>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</si>
  <si>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</si>
  <si>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</si>
  <si>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</si>
  <si>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</si>
  <si>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</si>
  <si>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</si>
  <si>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</si>
  <si>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</si>
  <si>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</si>
  <si>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</si>
  <si>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</si>
  <si>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</si>
  <si>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</si>
  <si>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</si>
  <si>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</si>
  <si>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</si>
  <si>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</si>
  <si>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</si>
  <si>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</si>
  <si>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</si>
  <si>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</si>
  <si>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</si>
  <si>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</si>
  <si>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</si>
  <si>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</si>
  <si>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</si>
  <si>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</si>
  <si>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</si>
  <si>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</si>
  <si>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</si>
  <si>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</si>
  <si>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</si>
  <si>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</si>
  <si>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</si>
  <si>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</si>
  <si>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</si>
  <si>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</si>
  <si>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</si>
  <si>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</si>
  <si>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</si>
  <si>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</si>
  <si>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</si>
  <si>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</si>
  <si>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</si>
  <si>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</si>
  <si>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</si>
  <si>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</si>
  <si>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</si>
  <si>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</si>
  <si>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</si>
  <si>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</si>
  <si>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</si>
  <si>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</si>
  <si>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</si>
  <si>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</si>
  <si>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</si>
  <si>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</si>
  <si>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</si>
  <si>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</si>
  <si>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</si>
  <si>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</si>
  <si>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</si>
  <si>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</si>
  <si>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</si>
  <si>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</si>
  <si>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</si>
  <si>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</si>
  <si>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</si>
  <si>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</si>
  <si>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</si>
  <si>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</si>
  <si>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</si>
  <si>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</si>
  <si>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</si>
  <si>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</si>
  <si>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</si>
  <si>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</si>
  <si>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</si>
  <si>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</si>
  <si>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</si>
  <si>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</si>
  <si>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</si>
  <si>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</si>
  <si>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</si>
  <si>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</si>
  <si>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</si>
  <si>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</si>
  <si>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</si>
  <si>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</si>
  <si>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</si>
  <si>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</si>
  <si>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</si>
  <si>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</si>
  <si>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</si>
  <si>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</si>
  <si>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</si>
  <si>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</si>
  <si>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</si>
  <si>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</si>
  <si>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</si>
  <si>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</si>
  <si>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</si>
  <si>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</si>
  <si>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</si>
  <si>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</si>
  <si>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</si>
  <si>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</si>
  <si>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</si>
  <si>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</si>
  <si>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</si>
  <si>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</si>
  <si>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</si>
  <si>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</si>
  <si>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</si>
  <si>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</si>
  <si>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</si>
  <si>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</si>
  <si>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</si>
  <si>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</si>
  <si>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</si>
  <si>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</si>
  <si>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</si>
  <si>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</si>
  <si>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</si>
  <si>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</si>
  <si>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</si>
  <si>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</si>
  <si>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</si>
  <si>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</si>
  <si>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</si>
  <si>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</si>
  <si>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</si>
  <si>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</si>
  <si>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</si>
  <si>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</si>
  <si>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</si>
  <si>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</si>
  <si>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</si>
  <si>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</si>
  <si>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</si>
  <si>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</si>
  <si>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</si>
  <si>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</si>
  <si>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</si>
  <si>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</si>
  <si>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</si>
  <si>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</si>
  <si>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</si>
  <si>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</si>
  <si>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</si>
  <si>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</si>
  <si>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</si>
  <si>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</si>
  <si>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</si>
  <si>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</si>
  <si>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</si>
  <si>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</si>
  <si>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</si>
  <si>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</si>
  <si>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</si>
  <si>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</si>
  <si>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</si>
  <si>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</si>
  <si>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</si>
  <si>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</si>
  <si>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</si>
  <si>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</si>
  <si>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</si>
  <si>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</si>
  <si>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</si>
  <si>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</si>
  <si>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</si>
  <si>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</si>
  <si>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</si>
  <si>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</si>
  <si>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</si>
  <si>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</si>
  <si>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</si>
  <si>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</si>
  <si>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</si>
  <si>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</si>
  <si>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</si>
  <si>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</si>
  <si>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</si>
  <si>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</si>
  <si>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</si>
  <si>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</si>
  <si>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</si>
  <si>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</si>
  <si>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</si>
  <si>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</si>
  <si>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</si>
  <si>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</si>
  <si>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</si>
  <si>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</si>
  <si>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</si>
  <si>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</si>
  <si>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</si>
  <si>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</si>
  <si>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</si>
  <si>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</si>
  <si>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</si>
  <si>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</si>
  <si>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</si>
  <si>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</si>
  <si>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</si>
  <si>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</si>
  <si>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</si>
  <si>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</si>
  <si>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</si>
  <si>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</si>
  <si>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</si>
  <si>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</si>
  <si>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</si>
  <si>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</si>
  <si>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</si>
  <si>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</si>
  <si>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</si>
  <si>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</si>
  <si>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</si>
  <si>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</si>
  <si>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</si>
  <si>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</si>
  <si>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</si>
  <si>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</si>
  <si>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</si>
  <si>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</si>
  <si>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</si>
  <si>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</si>
  <si>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</si>
  <si>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</si>
  <si>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</si>
  <si>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</si>
  <si>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</si>
  <si>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</si>
  <si>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</si>
  <si>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</si>
  <si>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</si>
  <si>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</si>
  <si>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</si>
  <si>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</si>
  <si>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</si>
  <si>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</si>
  <si>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</si>
  <si>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</si>
  <si>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</si>
  <si>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</si>
  <si>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</si>
  <si>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</si>
  <si>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</si>
  <si>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</si>
  <si>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</si>
  <si>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</si>
  <si>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</si>
  <si>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</si>
  <si>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</si>
  <si>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</si>
  <si>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</si>
  <si>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</si>
  <si>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</si>
  <si>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</si>
  <si>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</si>
  <si>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</si>
  <si>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</si>
  <si>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</si>
  <si>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</si>
  <si>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</si>
  <si>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</si>
  <si>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</si>
  <si>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</si>
  <si>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</si>
  <si>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</si>
  <si>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</si>
  <si>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</si>
  <si>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</si>
  <si>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</si>
  <si>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</si>
  <si>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</si>
  <si>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</si>
  <si>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</si>
  <si>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</si>
  <si>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</si>
  <si>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</si>
  <si>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</si>
  <si>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</si>
  <si>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</si>
  <si>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</si>
  <si>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</si>
  <si>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</si>
  <si>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</si>
  <si>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</si>
  <si>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</si>
  <si>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</si>
  <si>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</si>
  <si>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</si>
  <si>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</si>
  <si>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</si>
  <si>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</si>
  <si>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</si>
  <si>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</si>
  <si>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</si>
  <si>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</si>
  <si>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</si>
  <si>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</si>
  <si>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</si>
  <si>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</si>
  <si>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</si>
  <si>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</si>
  <si>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</si>
  <si>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</si>
  <si>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</si>
  <si>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</si>
  <si>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</si>
  <si>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</si>
  <si>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</si>
  <si>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</si>
  <si>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</si>
  <si>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</si>
  <si>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</si>
  <si>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</si>
  <si>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</si>
  <si>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</si>
  <si>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</si>
  <si>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</si>
  <si>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</si>
  <si>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</si>
  <si>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</si>
  <si>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</si>
  <si>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</si>
  <si>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</si>
  <si>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</si>
  <si>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</si>
  <si>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</si>
  <si>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</si>
  <si>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</si>
  <si>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</si>
  <si>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</si>
  <si>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</si>
  <si>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</si>
  <si>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</si>
  <si>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</si>
  <si>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</si>
  <si>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</si>
  <si>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</si>
  <si>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</si>
  <si>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</si>
  <si>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</si>
  <si>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</si>
  <si>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</si>
  <si>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</si>
  <si>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</si>
  <si>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</si>
  <si>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</si>
  <si>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</si>
  <si>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</si>
  <si>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</si>
  <si>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</si>
  <si>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</si>
  <si>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</si>
  <si>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</si>
  <si>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</si>
  <si>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</si>
  <si>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</si>
  <si>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</si>
  <si>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</si>
  <si>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</si>
  <si>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</si>
  <si>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</si>
  <si>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</si>
  <si>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</si>
  <si>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</si>
  <si>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</si>
  <si>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</si>
  <si>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</si>
  <si>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</si>
  <si>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</si>
  <si>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</si>
  <si>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</si>
  <si>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</si>
  <si>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</si>
  <si>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</si>
  <si>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</si>
  <si>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</si>
  <si>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</si>
  <si>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</si>
  <si>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</si>
  <si>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</si>
  <si>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</si>
  <si>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</si>
  <si>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</si>
  <si>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</si>
  <si>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</si>
  <si>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</si>
  <si>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</si>
  <si>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</si>
  <si>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</si>
  <si>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</si>
  <si>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</si>
  <si>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</si>
  <si>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</si>
  <si>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</si>
  <si>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</si>
  <si>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</si>
  <si>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</si>
  <si>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</si>
  <si>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</si>
  <si>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</si>
  <si>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</si>
  <si>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</si>
  <si>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</si>
  <si>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</si>
  <si>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</si>
  <si>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</si>
  <si>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</si>
  <si>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</si>
  <si>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</si>
  <si>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</si>
  <si>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</si>
  <si>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</si>
  <si>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</si>
  <si>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</si>
  <si>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</si>
  <si>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</si>
  <si>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</si>
  <si>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</si>
  <si>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</si>
  <si>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</si>
  <si>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</si>
  <si>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</si>
  <si>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</si>
  <si>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</si>
  <si>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</si>
  <si>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</si>
  <si>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</si>
  <si>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</si>
  <si>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</si>
  <si>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</si>
  <si>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</si>
  <si>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</si>
  <si>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</si>
  <si>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</si>
  <si>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</si>
  <si>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</si>
  <si>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</si>
  <si>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</si>
  <si>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</si>
  <si>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</si>
  <si>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</si>
  <si>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</si>
  <si>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</si>
  <si>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</si>
  <si>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</si>
  <si>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</si>
  <si>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</si>
  <si>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</si>
  <si>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</si>
  <si>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</si>
  <si>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</si>
  <si>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</si>
  <si>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</si>
  <si>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</si>
  <si>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</si>
  <si>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</si>
  <si>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</si>
  <si>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</si>
  <si>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</si>
  <si>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</si>
  <si>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</si>
  <si>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</si>
  <si>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</si>
  <si>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</si>
  <si>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</si>
  <si>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</si>
  <si>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</si>
  <si>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</si>
  <si>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</si>
  <si>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</si>
  <si>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</si>
  <si>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</si>
  <si>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</si>
  <si>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</si>
  <si>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</si>
  <si>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</si>
  <si>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</si>
  <si>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</si>
  <si>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</si>
  <si>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</si>
  <si>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</si>
  <si>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</si>
  <si>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</si>
  <si>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</si>
  <si>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</si>
  <si>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</si>
  <si>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</si>
  <si>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</si>
  <si>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</si>
  <si>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</si>
  <si>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</si>
  <si>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</si>
  <si>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</si>
  <si>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</si>
  <si>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</si>
  <si>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</si>
  <si>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</si>
  <si>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</si>
  <si>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</si>
  <si>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</si>
  <si>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</si>
  <si>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</si>
  <si>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</si>
  <si>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</si>
  <si>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</si>
  <si>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</si>
  <si>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</si>
  <si>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</si>
  <si>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</si>
  <si>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</si>
  <si>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</si>
  <si>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</si>
  <si>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</si>
  <si>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</si>
  <si>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</si>
  <si>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</si>
  <si>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</si>
  <si>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</si>
  <si>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</si>
  <si>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</si>
  <si>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</si>
  <si>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</si>
  <si>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</si>
  <si>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</si>
  <si>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</si>
  <si>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</si>
  <si>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</si>
  <si>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</si>
  <si>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</si>
  <si>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</si>
  <si>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</si>
  <si>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</si>
  <si>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</si>
  <si>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</si>
  <si>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</si>
  <si>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</si>
  <si>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</si>
  <si>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</si>
  <si>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</si>
  <si>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</si>
  <si>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</si>
  <si>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</si>
  <si>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</si>
  <si>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</si>
  <si>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</si>
  <si>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</si>
  <si>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</si>
  <si>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</si>
  <si>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</si>
  <si>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</si>
  <si>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</si>
  <si>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</si>
  <si>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</si>
  <si>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</si>
  <si>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</si>
  <si>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</si>
  <si>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</si>
  <si>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</si>
  <si>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</si>
  <si>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</si>
  <si>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</si>
  <si>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</si>
  <si>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</si>
  <si>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</si>
  <si>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</si>
  <si>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</si>
  <si>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</si>
  <si>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</si>
  <si>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</si>
  <si>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</si>
  <si>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</si>
  <si>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</si>
  <si>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</si>
  <si>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</si>
  <si>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</si>
  <si>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</si>
  <si>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</si>
  <si>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</si>
  <si>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</si>
  <si>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</si>
  <si>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</si>
  <si>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</si>
  <si>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</si>
  <si>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</si>
  <si>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</si>
  <si>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</si>
  <si>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</si>
  <si>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</si>
  <si>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</si>
  <si>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</si>
  <si>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</si>
  <si>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</si>
  <si>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</si>
  <si>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</si>
  <si>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</si>
  <si>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</si>
  <si>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</si>
  <si>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</si>
  <si>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</si>
  <si>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</si>
  <si>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</si>
  <si>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</si>
  <si>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</si>
  <si>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</si>
  <si>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</si>
  <si>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</si>
  <si>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</si>
  <si>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</si>
  <si>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</si>
  <si>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</si>
  <si>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</si>
  <si>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</si>
  <si>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</si>
  <si>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</si>
  <si>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</si>
  <si>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</si>
  <si>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</si>
  <si>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</si>
  <si>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</si>
  <si>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</si>
  <si>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</si>
  <si>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</si>
  <si>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</si>
  <si>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</si>
  <si>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</si>
  <si>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</si>
  <si>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</si>
  <si>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</si>
  <si>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</si>
  <si>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</si>
  <si>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</si>
  <si>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</si>
  <si>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</si>
  <si>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</si>
  <si>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</si>
  <si>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</si>
  <si>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</si>
  <si>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</si>
  <si>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</si>
  <si>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</si>
  <si>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</si>
  <si>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</si>
  <si>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</si>
  <si>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</si>
  <si>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</si>
  <si>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</si>
  <si>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</si>
  <si>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</si>
  <si>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</si>
  <si>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</si>
  <si>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</si>
  <si>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</si>
  <si>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</si>
  <si>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</si>
  <si>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</si>
  <si>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</si>
  <si>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</si>
  <si>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</si>
  <si>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</si>
  <si>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</si>
  <si>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</si>
  <si>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</si>
  <si>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</si>
  <si>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</si>
  <si>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</si>
  <si>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</si>
  <si>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</si>
  <si>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</si>
  <si>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</si>
  <si>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</si>
  <si>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</si>
  <si>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</si>
  <si>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</si>
  <si>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</si>
  <si>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</si>
  <si>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</si>
  <si>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</si>
  <si>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</si>
  <si>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</si>
  <si>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</si>
  <si>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</si>
  <si>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</si>
  <si>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</si>
  <si>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</si>
  <si>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</si>
  <si>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</si>
  <si>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</si>
  <si>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</si>
  <si>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</si>
  <si>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</si>
  <si>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</si>
  <si>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</si>
  <si>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</si>
  <si>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</si>
  <si>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</si>
  <si>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</si>
  <si>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</si>
  <si>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</si>
  <si>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</si>
  <si>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</si>
  <si>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</si>
  <si>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</si>
  <si>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</si>
  <si>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</si>
  <si>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</si>
  <si>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</si>
  <si>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</si>
  <si>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</si>
  <si>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</si>
  <si>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</si>
  <si>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</si>
  <si>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</si>
  <si>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</si>
  <si>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</si>
  <si>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</si>
  <si>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</si>
  <si>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</si>
  <si>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</si>
  <si>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</si>
  <si>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</si>
  <si>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</si>
  <si>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</si>
  <si>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</si>
  <si>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</si>
  <si>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</si>
  <si>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</si>
  <si>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</si>
  <si>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</si>
  <si>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</si>
  <si>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</si>
  <si>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</si>
  <si>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</si>
  <si>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</si>
  <si>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</si>
  <si>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</si>
  <si>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</si>
  <si>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</si>
  <si>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</si>
  <si>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</si>
  <si>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</si>
  <si>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</si>
  <si>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</si>
  <si>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</si>
  <si>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</si>
  <si>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</si>
  <si>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</si>
  <si>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</si>
  <si>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</si>
  <si>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</si>
  <si>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</si>
  <si>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</si>
  <si>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</si>
  <si>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</si>
  <si>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</si>
  <si>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</si>
  <si>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</si>
  <si>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</si>
  <si>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</si>
  <si>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</si>
  <si>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</si>
  <si>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</si>
  <si>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</si>
  <si>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</si>
  <si>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</si>
  <si>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</si>
  <si>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</si>
  <si>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</si>
  <si>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</si>
  <si>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</si>
  <si>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</si>
  <si>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</si>
  <si>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</si>
  <si>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</si>
  <si>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</si>
  <si>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</si>
  <si>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</si>
  <si>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</si>
  <si>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</si>
  <si>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</si>
  <si>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</si>
  <si>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</si>
  <si>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</si>
  <si>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</si>
  <si>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</si>
  <si>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</si>
  <si>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</si>
  <si>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</si>
  <si>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</si>
  <si>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</si>
  <si>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</si>
  <si>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</si>
  <si>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</si>
  <si>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</si>
  <si>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</si>
  <si>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</si>
  <si>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</si>
  <si>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</si>
  <si>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</si>
  <si>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</si>
  <si>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</si>
  <si>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</si>
  <si>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</si>
  <si>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</si>
  <si>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</si>
  <si>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</si>
  <si>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</si>
  <si>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</si>
  <si>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</si>
  <si>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</si>
  <si>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</si>
  <si>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</si>
  <si>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</si>
  <si>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</si>
  <si>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</si>
  <si>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</si>
  <si>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</si>
  <si>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</si>
  <si>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</si>
  <si>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</si>
  <si>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</si>
  <si>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</si>
  <si>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</si>
  <si>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</si>
  <si>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</si>
  <si>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</si>
  <si>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</si>
  <si>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</si>
  <si>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</si>
  <si>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</si>
  <si>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</si>
  <si>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</si>
  <si>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</si>
  <si>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</si>
  <si>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</si>
  <si>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</si>
  <si>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</si>
  <si>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</si>
  <si>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</si>
  <si>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</si>
  <si>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</si>
  <si>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</si>
  <si>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</si>
  <si>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</si>
  <si>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</si>
  <si>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</si>
  <si>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</si>
  <si>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</si>
  <si>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</si>
  <si>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</si>
  <si>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</si>
  <si>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</si>
  <si>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</si>
  <si>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</si>
  <si>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</si>
  <si>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</si>
  <si>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</si>
  <si>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</si>
  <si>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</si>
  <si>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</si>
  <si>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</si>
  <si>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</si>
  <si>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</si>
  <si>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</si>
  <si>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</si>
  <si>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</si>
  <si>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</si>
  <si>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</si>
  <si>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</si>
  <si>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</si>
  <si>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</si>
  <si>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</si>
  <si>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</si>
  <si>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</si>
  <si>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</si>
  <si>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</si>
  <si>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</si>
  <si>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</si>
  <si>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</si>
  <si>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</si>
  <si>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</si>
  <si>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</si>
  <si>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</si>
  <si>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</si>
  <si>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</si>
  <si>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</si>
  <si>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</si>
  <si>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</si>
  <si>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</si>
  <si>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</si>
  <si>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</si>
  <si>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</si>
  <si>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</si>
  <si>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</si>
  <si>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</si>
  <si>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</si>
  <si>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</si>
  <si>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</si>
  <si>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</si>
  <si>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</si>
  <si>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</si>
  <si>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</si>
  <si>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</si>
  <si>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</si>
  <si>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</si>
  <si>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</si>
  <si>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</si>
  <si>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</si>
  <si>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</si>
  <si>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</si>
  <si>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</si>
  <si>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</si>
  <si>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</si>
  <si>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</si>
  <si>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</si>
  <si>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</si>
  <si>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</si>
  <si>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</si>
  <si>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</si>
  <si>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</si>
  <si>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</si>
  <si>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</si>
  <si>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</si>
  <si>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</si>
  <si>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</si>
  <si>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</si>
  <si>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</si>
  <si>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</si>
  <si>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</si>
  <si>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</si>
  <si>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</si>
  <si>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</si>
  <si>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</si>
  <si>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</si>
  <si>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</si>
  <si>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</si>
  <si>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</si>
  <si>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</si>
  <si>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</si>
  <si>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</si>
  <si>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</si>
  <si>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</si>
  <si>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</si>
  <si>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</si>
  <si>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</si>
  <si>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</si>
  <si>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</si>
  <si>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</si>
  <si>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</si>
  <si>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</si>
  <si>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</si>
  <si>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</si>
  <si>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</si>
  <si>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</si>
  <si>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</si>
  <si>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</si>
  <si>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</si>
  <si>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</si>
  <si>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</si>
  <si>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</si>
  <si>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</si>
  <si>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</si>
  <si>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</si>
  <si>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</si>
  <si>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</si>
  <si>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</si>
  <si>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</si>
  <si>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</si>
  <si>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</si>
  <si>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</si>
  <si>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</si>
  <si>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</si>
  <si>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</si>
  <si>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</si>
  <si>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</si>
  <si>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</si>
  <si>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</si>
  <si>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</si>
  <si>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</si>
  <si>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</si>
  <si>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</si>
  <si>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</si>
  <si>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</si>
  <si>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</si>
  <si>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</si>
  <si>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</si>
  <si>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</si>
  <si>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</si>
  <si>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</si>
  <si>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</si>
  <si>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</si>
  <si>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</si>
  <si>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</si>
  <si>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</si>
  <si>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</si>
  <si>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</si>
  <si>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</si>
  <si>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</si>
  <si>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</si>
  <si>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</si>
  <si>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</si>
  <si>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</si>
  <si>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</si>
  <si>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</si>
  <si>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</si>
  <si>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</si>
  <si>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</si>
  <si>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</si>
  <si>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</si>
  <si>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</si>
  <si>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</si>
  <si>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</si>
  <si>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</si>
  <si>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</si>
  <si>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</si>
  <si>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</si>
  <si>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</si>
  <si>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</si>
  <si>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</si>
  <si>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</si>
  <si>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</si>
  <si>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</si>
  <si>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</si>
  <si>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</si>
  <si>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</si>
  <si>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</si>
  <si>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</si>
  <si>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</si>
  <si>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</si>
  <si>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</si>
  <si>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</si>
  <si>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</si>
  <si>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</si>
  <si>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</si>
  <si>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</si>
  <si>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</si>
  <si>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</si>
  <si>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</si>
  <si>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</si>
  <si>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</si>
  <si>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</si>
  <si>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</si>
  <si>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</si>
  <si>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</si>
  <si>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</si>
  <si>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</si>
  <si>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</si>
  <si>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</si>
  <si>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</si>
  <si>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</si>
  <si>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</si>
  <si>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</si>
  <si>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</si>
  <si>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</si>
  <si>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</si>
  <si>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</si>
  <si>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</si>
  <si>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</si>
  <si>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</si>
  <si>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</si>
  <si>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</si>
  <si>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</si>
  <si>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</si>
  <si>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</si>
  <si>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</si>
  <si>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</si>
  <si>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</si>
  <si>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</si>
  <si>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</si>
  <si>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</si>
  <si>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</si>
  <si>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</si>
  <si>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</si>
  <si>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</si>
  <si>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</si>
  <si>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</si>
  <si>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</si>
  <si>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</si>
  <si>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</si>
  <si>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</si>
  <si>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</si>
  <si>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</si>
  <si>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</si>
  <si>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</si>
  <si>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</si>
  <si>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</si>
  <si>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</si>
  <si>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</si>
  <si>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</si>
  <si>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</si>
  <si>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</si>
  <si>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</si>
  <si>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</si>
  <si>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</si>
  <si>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</si>
  <si>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</si>
  <si>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</si>
  <si>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</si>
  <si>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</si>
  <si>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</si>
  <si>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</si>
  <si>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</si>
  <si>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</si>
  <si>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</si>
  <si>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</si>
  <si>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</si>
  <si>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</si>
  <si>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</si>
  <si>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</si>
  <si>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</si>
  <si>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</si>
  <si>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</si>
  <si>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</si>
  <si>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</si>
  <si>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</si>
  <si>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</si>
  <si>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</si>
  <si>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</si>
  <si>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</si>
  <si>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</si>
  <si>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</si>
  <si>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</si>
  <si>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</si>
  <si>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</si>
  <si>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</si>
  <si>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</si>
  <si>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</si>
  <si>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</si>
  <si>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</si>
  <si>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</si>
  <si>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</si>
  <si>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</si>
  <si>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</si>
  <si>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</si>
  <si>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</si>
  <si>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</si>
  <si>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</si>
  <si>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</si>
  <si>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</si>
  <si>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</si>
  <si>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</si>
  <si>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</si>
  <si>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</si>
  <si>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</si>
  <si>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</si>
  <si>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</si>
  <si>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</si>
  <si>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</si>
  <si>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</si>
  <si>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</si>
  <si>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</si>
  <si>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</si>
  <si>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</si>
  <si>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</si>
  <si>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</si>
  <si>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</si>
  <si>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</si>
  <si>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</si>
  <si>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</si>
  <si>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</si>
  <si>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</si>
  <si>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</si>
  <si>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</si>
  <si>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</si>
  <si>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</si>
  <si>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</si>
  <si>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</si>
  <si>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</si>
  <si>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</si>
  <si>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</si>
  <si>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</si>
  <si>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</si>
  <si>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</si>
  <si>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</si>
  <si>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</si>
  <si>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</si>
  <si>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</si>
  <si>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</si>
  <si>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</si>
  <si>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</si>
  <si>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</si>
  <si>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</si>
  <si>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</si>
  <si>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</si>
  <si>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</si>
  <si>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</si>
  <si>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</si>
  <si>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</si>
  <si>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</si>
  <si>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</si>
  <si>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</si>
  <si>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</si>
  <si>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</si>
  <si>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</si>
  <si>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</si>
  <si>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</si>
  <si>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</si>
  <si>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</si>
  <si>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</si>
  <si>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</si>
  <si>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</si>
  <si>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</si>
  <si>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</si>
  <si>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</si>
  <si>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</si>
  <si>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</si>
  <si>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</si>
  <si>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</si>
  <si>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</si>
  <si>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</si>
  <si>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</si>
  <si>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</si>
  <si>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</si>
  <si>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</si>
  <si>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</si>
  <si>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</si>
  <si>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</si>
  <si>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</si>
  <si>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</si>
  <si>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</si>
  <si>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</si>
  <si>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</si>
  <si>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</si>
  <si>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</si>
  <si>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</si>
  <si>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</si>
  <si>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</si>
  <si>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</si>
  <si>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</si>
  <si>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</si>
  <si>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</si>
  <si>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</si>
  <si>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</si>
  <si>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</si>
  <si>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</si>
  <si>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</si>
  <si>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</si>
  <si>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</si>
  <si>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</si>
  <si>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</si>
  <si>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</si>
  <si>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</si>
  <si>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</si>
  <si>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</si>
  <si>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</si>
  <si>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</si>
  <si>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</si>
  <si>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</si>
  <si>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</si>
  <si>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</si>
  <si>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</si>
  <si>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</si>
  <si>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</si>
  <si>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</si>
  <si>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</si>
  <si>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</si>
  <si>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</si>
  <si>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</si>
  <si>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</si>
  <si>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</si>
  <si>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</si>
  <si>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</si>
  <si>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</si>
  <si>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</si>
  <si>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</si>
  <si>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</si>
  <si>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</si>
  <si>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</si>
  <si>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</si>
  <si>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</si>
  <si>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</si>
  <si>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</si>
  <si>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</si>
  <si>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</si>
  <si>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</si>
  <si>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</si>
  <si>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</si>
  <si>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</si>
  <si>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</si>
  <si>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</si>
  <si>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</si>
  <si>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</si>
  <si>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</si>
  <si>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</si>
  <si>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</si>
  <si>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</si>
  <si>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</si>
  <si>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</si>
  <si>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</si>
  <si>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</si>
  <si>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</si>
  <si>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</si>
  <si>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</si>
  <si>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</si>
  <si>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</si>
  <si>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</si>
  <si>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</si>
  <si>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</si>
  <si>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</si>
  <si>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</si>
  <si>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</si>
  <si>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</si>
  <si>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</si>
  <si>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</si>
  <si>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</si>
  <si>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</si>
  <si>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</si>
  <si>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</si>
  <si>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</si>
  <si>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</si>
  <si>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</si>
  <si>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</si>
  <si>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</si>
  <si>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</si>
  <si>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</si>
  <si>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</si>
  <si>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</si>
  <si>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</si>
  <si>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</si>
  <si>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</si>
  <si>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</si>
  <si>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</si>
  <si>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</si>
  <si>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</si>
  <si>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</si>
  <si>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</si>
  <si>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</si>
  <si>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</si>
  <si>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</si>
  <si>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</si>
  <si>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</si>
  <si>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</si>
  <si>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</si>
  <si>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</si>
  <si>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</si>
  <si>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</si>
  <si>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</si>
  <si>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</si>
  <si>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</si>
  <si>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</si>
  <si>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</si>
  <si>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</si>
  <si>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</si>
  <si>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</si>
  <si>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</si>
  <si>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</si>
  <si>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</si>
  <si>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</si>
  <si>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</si>
  <si>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</si>
  <si>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</si>
  <si>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</si>
  <si>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</si>
  <si>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</si>
  <si>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</si>
  <si>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</si>
  <si>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</si>
  <si>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</si>
  <si>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</si>
  <si>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</si>
  <si>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</si>
  <si>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</si>
  <si>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</si>
  <si>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</si>
  <si>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</si>
  <si>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</si>
  <si>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</si>
  <si>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</si>
  <si>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</si>
  <si>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</si>
  <si>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</si>
  <si>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</si>
  <si>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</si>
  <si>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</si>
  <si>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</si>
  <si>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</si>
  <si>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</si>
  <si>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</si>
  <si>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</si>
  <si>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</si>
  <si>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</si>
  <si>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</si>
  <si>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</si>
  <si>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</si>
  <si>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</si>
  <si>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</si>
  <si>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</si>
  <si>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</si>
  <si>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</si>
  <si>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</si>
  <si>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</si>
  <si>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</si>
  <si>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</si>
  <si>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</si>
  <si>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</si>
  <si>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</si>
  <si>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</si>
  <si>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</si>
  <si>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</si>
  <si>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</si>
  <si>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</si>
  <si>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</si>
  <si>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</si>
  <si>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</si>
  <si>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</si>
  <si>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</si>
  <si>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</si>
  <si>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</si>
  <si>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</si>
  <si>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</si>
  <si>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</si>
  <si>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</si>
  <si>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</si>
  <si>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</si>
  <si>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</si>
  <si>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</si>
  <si>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</si>
  <si>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</si>
  <si>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</si>
  <si>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</si>
  <si>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</si>
  <si>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</si>
  <si>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</si>
  <si>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</si>
  <si>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</si>
  <si>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</si>
  <si>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</si>
  <si>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</si>
  <si>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</si>
  <si>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</si>
  <si>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</si>
  <si>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</si>
  <si>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</si>
  <si>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</si>
  <si>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</si>
  <si>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</si>
  <si>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</si>
  <si>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</si>
  <si>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</si>
  <si>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</si>
  <si>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</si>
  <si>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</si>
  <si>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</si>
  <si>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</si>
  <si>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</si>
  <si>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</si>
  <si>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</si>
  <si>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</si>
  <si>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</si>
  <si>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</si>
  <si>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</si>
  <si>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</si>
  <si>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</si>
  <si>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</si>
  <si>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</si>
  <si>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</si>
  <si>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</si>
  <si>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</si>
  <si>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</si>
  <si>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</si>
  <si>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</si>
  <si>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</si>
  <si>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</si>
  <si>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</si>
  <si>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</si>
  <si>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</si>
  <si>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</si>
  <si>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</si>
  <si>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</si>
  <si>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</si>
  <si>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</si>
  <si>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</si>
  <si>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</si>
  <si>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</si>
  <si>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</si>
  <si>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</si>
  <si>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</si>
  <si>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</si>
  <si>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</si>
  <si>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</si>
  <si>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</si>
  <si>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</si>
  <si>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</si>
  <si>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</si>
  <si>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</si>
  <si>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</si>
  <si>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</si>
  <si>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</si>
  <si>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</si>
  <si>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</si>
  <si>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</si>
  <si>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</si>
  <si>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</si>
  <si>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</si>
  <si>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</si>
  <si>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</si>
  <si>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</si>
  <si>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</si>
  <si>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</si>
  <si>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</si>
  <si>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</si>
  <si>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</si>
  <si>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</si>
  <si>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</si>
  <si>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</si>
  <si>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</si>
  <si>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</si>
  <si>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</si>
  <si>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</si>
  <si>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</si>
  <si>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</si>
  <si>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</si>
  <si>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</si>
  <si>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</si>
  <si>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</si>
  <si>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</si>
  <si>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</si>
  <si>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</si>
  <si>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</si>
  <si>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</si>
  <si>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</si>
  <si>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</si>
  <si>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</si>
  <si>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</si>
  <si>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</si>
  <si>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</si>
  <si>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</si>
  <si>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</si>
  <si>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</si>
  <si>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</si>
  <si>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</si>
  <si>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</si>
  <si>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</si>
  <si>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</si>
  <si>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</si>
  <si>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</si>
  <si>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</si>
  <si>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</si>
  <si>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</si>
  <si>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</si>
  <si>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</si>
  <si>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</si>
  <si>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</si>
  <si>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</si>
  <si>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</si>
  <si>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</si>
  <si>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</si>
  <si>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</si>
  <si>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</si>
  <si>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</si>
  <si>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</si>
  <si>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</si>
  <si>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</si>
  <si>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</si>
  <si>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</si>
  <si>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</si>
  <si>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</si>
  <si>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</si>
  <si>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</si>
  <si>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</si>
  <si>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</si>
  <si>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</si>
  <si>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</si>
  <si>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</si>
  <si>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</si>
  <si>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</si>
  <si>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</si>
  <si>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</si>
  <si>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</si>
  <si>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</si>
  <si>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</si>
  <si>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</si>
  <si>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</si>
  <si>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</si>
  <si>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</si>
  <si>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</si>
  <si>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</si>
  <si>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</si>
  <si>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</si>
  <si>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</si>
  <si>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</si>
  <si>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</si>
  <si>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</si>
  <si>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</si>
  <si>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</si>
  <si>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</si>
  <si>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</si>
  <si>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</si>
  <si>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</si>
  <si>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</si>
  <si>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</si>
  <si>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</si>
  <si>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</si>
  <si>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</si>
  <si>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</si>
  <si>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</si>
  <si>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</si>
  <si>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</si>
  <si>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</si>
  <si>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</si>
  <si>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</si>
  <si>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</si>
  <si>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</si>
  <si>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</si>
  <si>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</si>
  <si>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</si>
  <si>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</si>
  <si>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</si>
  <si>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</si>
  <si>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</si>
  <si>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</si>
  <si>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</si>
  <si>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</si>
  <si>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</si>
  <si>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</si>
  <si>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</si>
  <si>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</si>
  <si>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</si>
  <si>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</si>
  <si>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</si>
  <si>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</si>
  <si>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</si>
  <si>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</si>
  <si>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</si>
  <si>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</si>
  <si>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</si>
  <si>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</si>
  <si>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</si>
  <si>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</si>
  <si>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</si>
  <si>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</si>
  <si>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</si>
  <si>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</si>
  <si>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</si>
  <si>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</si>
  <si>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</si>
  <si>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</si>
  <si>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</si>
  <si>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</si>
  <si>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</si>
  <si>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</si>
  <si>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</si>
  <si>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</si>
  <si>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</si>
  <si>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</si>
  <si>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</si>
  <si>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</si>
  <si>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</si>
  <si>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</si>
  <si>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</si>
  <si>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</si>
  <si>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</si>
  <si>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</si>
  <si>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</si>
  <si>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</si>
  <si>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</si>
  <si>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</si>
  <si>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</si>
  <si>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</si>
  <si>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</si>
  <si>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</si>
  <si>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</si>
  <si>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</si>
  <si>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</si>
  <si>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</si>
  <si>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</si>
  <si>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</si>
  <si>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</si>
  <si>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</si>
  <si>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</si>
  <si>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</si>
  <si>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</si>
  <si>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</si>
  <si>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</si>
  <si>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</si>
  <si>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</si>
  <si>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</si>
  <si>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</si>
  <si>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</si>
  <si>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</si>
  <si>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</si>
  <si>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</si>
  <si>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</si>
  <si>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</si>
  <si>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</si>
  <si>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</si>
  <si>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</si>
  <si>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</si>
  <si>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</si>
  <si>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</si>
  <si>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</si>
  <si>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</si>
  <si>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</si>
  <si>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</si>
  <si>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</si>
  <si>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</si>
  <si>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</si>
  <si>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</si>
  <si>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</si>
  <si>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</si>
  <si>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</si>
  <si>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</si>
  <si>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</si>
  <si>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</si>
  <si>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</si>
  <si>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</si>
  <si>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</si>
  <si>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</si>
  <si>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</si>
  <si>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</si>
  <si>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</si>
  <si>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</si>
  <si>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</si>
  <si>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</si>
  <si>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</si>
  <si>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</si>
  <si>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</si>
  <si>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</si>
  <si>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</si>
  <si>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</si>
  <si>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</si>
  <si>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</si>
  <si>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</si>
  <si>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</si>
  <si>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</si>
  <si>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</si>
  <si>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</si>
  <si>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</si>
  <si>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</si>
  <si>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</si>
  <si>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</si>
  <si>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</si>
  <si>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</si>
  <si>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</si>
  <si>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</si>
  <si>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</si>
  <si>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</si>
  <si>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</si>
  <si>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</si>
  <si>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</si>
  <si>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</si>
  <si>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</si>
  <si>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</si>
  <si>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</si>
  <si>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</si>
  <si>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</si>
  <si>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</si>
  <si>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</si>
  <si>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</si>
  <si>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</si>
  <si>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</si>
  <si>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</si>
  <si>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</si>
  <si>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</si>
  <si>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</si>
  <si>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</si>
  <si>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</si>
  <si>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</si>
  <si>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</si>
  <si>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</si>
  <si>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</si>
  <si>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</si>
  <si>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</si>
  <si>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</si>
  <si>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</si>
  <si>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</si>
  <si>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</si>
  <si>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</si>
  <si>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</si>
  <si>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</si>
  <si>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</si>
  <si>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</si>
  <si>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</si>
  <si>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</si>
  <si>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</si>
  <si>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</si>
  <si>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</si>
  <si>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</si>
  <si>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</si>
  <si>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</si>
  <si>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</si>
  <si>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</si>
  <si>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</si>
  <si>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</si>
  <si>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</si>
  <si>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</si>
  <si>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</si>
  <si>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</si>
  <si>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</si>
  <si>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</si>
  <si>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</si>
  <si>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</si>
  <si>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</si>
  <si>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</si>
  <si>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</si>
  <si>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</si>
  <si>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</si>
  <si>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</si>
  <si>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</si>
  <si>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</si>
  <si>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</si>
  <si>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</si>
  <si>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</si>
  <si>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</si>
  <si>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</si>
  <si>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</si>
  <si>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</si>
  <si>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</si>
  <si>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</si>
  <si>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</si>
  <si>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</si>
  <si>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</si>
  <si>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</si>
  <si>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</si>
  <si>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</si>
  <si>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</si>
  <si>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</si>
  <si>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</si>
  <si>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</si>
  <si>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</si>
  <si>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</si>
  <si>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</si>
  <si>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</si>
  <si>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</si>
  <si>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</si>
  <si>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</si>
  <si>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</si>
  <si>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</si>
  <si>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</si>
  <si>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</si>
  <si>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</si>
  <si>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</si>
  <si>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</si>
  <si>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</si>
  <si>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</si>
  <si>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</si>
  <si>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</si>
  <si>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</si>
  <si>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</si>
  <si>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</si>
  <si>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</si>
  <si>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</si>
  <si>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</si>
  <si>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</si>
  <si>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</si>
  <si>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</si>
  <si>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</si>
  <si>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</si>
  <si>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</si>
  <si>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</si>
  <si>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</si>
  <si>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</si>
  <si>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</si>
  <si>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</si>
  <si>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</si>
  <si>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</si>
  <si>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</si>
  <si>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</si>
  <si>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</si>
  <si>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</si>
  <si>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</si>
  <si>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</si>
  <si>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</si>
  <si>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</si>
  <si>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</si>
  <si>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</si>
  <si>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</si>
  <si>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</si>
  <si>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</si>
  <si>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</si>
  <si>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</si>
  <si>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</si>
  <si>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</si>
  <si>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</si>
  <si>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</si>
  <si>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</si>
  <si>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</si>
  <si>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</si>
  <si>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</si>
  <si>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</si>
  <si>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</si>
  <si>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</si>
  <si>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</si>
  <si>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</si>
  <si>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</si>
  <si>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</si>
  <si>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</si>
  <si>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</si>
  <si>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</si>
  <si>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</si>
  <si>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</si>
  <si>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</si>
  <si>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</si>
  <si>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</si>
  <si>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</si>
  <si>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</si>
  <si>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</si>
  <si>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</si>
  <si>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</si>
  <si>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</si>
  <si>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</si>
  <si>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</si>
  <si>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</si>
  <si>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</si>
  <si>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</si>
  <si>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</si>
  <si>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</si>
  <si>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</si>
  <si>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</si>
  <si>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</si>
  <si>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</si>
  <si>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</si>
  <si>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</si>
  <si>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</si>
  <si>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</si>
  <si>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</si>
  <si>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</si>
  <si>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</si>
  <si>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</si>
  <si>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</si>
  <si>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</si>
  <si>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</si>
  <si>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</si>
  <si>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</si>
  <si>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</si>
  <si>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</si>
  <si>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</si>
  <si>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</si>
  <si>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</si>
  <si>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</si>
  <si>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</si>
  <si>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</si>
  <si>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</si>
  <si>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</si>
  <si>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</si>
  <si>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</si>
  <si>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</si>
  <si>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</si>
  <si>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</si>
  <si>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</si>
  <si>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</si>
  <si>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</si>
  <si>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</si>
  <si>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</si>
  <si>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</si>
  <si>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</si>
  <si>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</si>
  <si>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</si>
  <si>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</si>
  <si>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</si>
  <si>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</si>
  <si>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</si>
  <si>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</si>
  <si>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</si>
  <si>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</si>
  <si>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</si>
  <si>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</si>
  <si>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</si>
  <si>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</si>
  <si>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</si>
  <si>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</si>
  <si>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</si>
  <si>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</si>
  <si>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</si>
  <si>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</si>
  <si>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</si>
  <si>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</si>
  <si>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</si>
  <si>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</si>
  <si>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</si>
  <si>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</si>
  <si>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</si>
  <si>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</si>
  <si>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</si>
  <si>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</si>
  <si>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</si>
  <si>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</si>
  <si>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</si>
  <si>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</si>
  <si>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</si>
  <si>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</si>
  <si>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</si>
  <si>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</si>
  <si>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</si>
  <si>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</si>
  <si>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</si>
  <si>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</si>
  <si>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</si>
  <si>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</si>
  <si>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</si>
  <si>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</si>
  <si>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</si>
  <si>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</si>
  <si>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</si>
  <si>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</si>
  <si>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</si>
  <si>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</si>
  <si>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</si>
  <si>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</si>
  <si>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</si>
  <si>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</si>
  <si>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</si>
  <si>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</si>
  <si>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</si>
  <si>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</si>
  <si>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</si>
  <si>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</si>
  <si>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</si>
  <si>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</si>
  <si>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</si>
  <si>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</si>
  <si>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</si>
  <si>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</si>
  <si>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</si>
  <si>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</si>
  <si>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</si>
  <si>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</si>
  <si>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</si>
  <si>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</si>
  <si>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</si>
  <si>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</si>
  <si>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</si>
  <si>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</si>
  <si>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</si>
  <si>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</si>
  <si>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</si>
  <si>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</si>
  <si>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</si>
  <si>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</si>
  <si>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</si>
  <si>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</si>
  <si>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</si>
  <si>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</si>
  <si>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</si>
  <si>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</si>
  <si>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</si>
  <si>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</si>
  <si>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</si>
  <si>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</si>
  <si>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</si>
  <si>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</si>
  <si>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</si>
  <si>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</si>
  <si>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</si>
  <si>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</si>
  <si>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</si>
  <si>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</si>
  <si>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</si>
  <si>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</si>
  <si>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</si>
  <si>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</si>
  <si>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</si>
  <si>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</si>
  <si>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</si>
  <si>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</si>
  <si>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</si>
  <si>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</si>
  <si>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</si>
  <si>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</si>
  <si>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</si>
  <si>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</si>
  <si>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</si>
  <si>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</si>
  <si>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</si>
  <si>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</si>
  <si>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</si>
  <si>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</si>
  <si>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</si>
  <si>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</si>
  <si>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</si>
  <si>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</si>
  <si>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</si>
  <si>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</si>
  <si>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</si>
  <si>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</si>
  <si>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</si>
  <si>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</si>
  <si>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</si>
  <si>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</si>
  <si>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</si>
  <si>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</si>
  <si>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</si>
  <si>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</si>
  <si>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</si>
  <si>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</si>
  <si>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</si>
  <si>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</si>
  <si>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</si>
  <si>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</si>
  <si>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</si>
  <si>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</si>
  <si>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</si>
  <si>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</si>
  <si>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</si>
  <si>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</si>
  <si>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</si>
  <si>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</si>
  <si>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</si>
  <si>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</si>
  <si>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</si>
  <si>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</si>
  <si>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</si>
  <si>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</si>
  <si>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</si>
  <si>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</si>
  <si>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</si>
  <si>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</si>
  <si>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</si>
  <si>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</si>
  <si>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</si>
  <si>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</si>
  <si>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</si>
  <si>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</si>
  <si>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</si>
  <si>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</si>
  <si>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</si>
  <si>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</si>
  <si>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</si>
  <si>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</si>
  <si>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</si>
  <si>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</si>
  <si>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</si>
  <si>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</si>
  <si>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</si>
  <si>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</si>
  <si>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</si>
  <si>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</si>
  <si>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</si>
  <si>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</si>
  <si>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</si>
  <si>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</si>
  <si>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</si>
  <si>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</si>
  <si>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</si>
  <si>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</si>
  <si>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</si>
  <si>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</si>
  <si>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</si>
  <si>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</si>
  <si>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</si>
  <si>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</si>
  <si>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</si>
  <si>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</si>
  <si>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</si>
  <si>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</si>
  <si>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</si>
  <si>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</si>
  <si>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</si>
  <si>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</si>
  <si>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</si>
  <si>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</si>
  <si>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</si>
  <si>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</si>
  <si>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</si>
  <si>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</si>
  <si>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</si>
  <si>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</si>
  <si>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</si>
  <si>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</si>
  <si>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</si>
  <si>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</si>
  <si>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</si>
  <si>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</si>
  <si>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</si>
  <si>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</si>
  <si>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</si>
  <si>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</si>
  <si>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</si>
  <si>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</si>
  <si>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</si>
  <si>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</si>
  <si>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</si>
  <si>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</si>
  <si>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</si>
  <si>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</si>
  <si>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</si>
  <si>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</si>
  <si>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</si>
  <si>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</si>
  <si>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</si>
  <si>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</si>
  <si>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</si>
  <si>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</si>
  <si>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</si>
  <si>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</si>
  <si>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</si>
  <si>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</si>
  <si>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</si>
  <si>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</si>
  <si>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</si>
  <si>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</si>
  <si>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</si>
  <si>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</si>
  <si>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</si>
  <si>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</si>
  <si>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</si>
  <si>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</si>
  <si>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</si>
  <si>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</si>
  <si>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</si>
  <si>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</si>
  <si>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</si>
  <si>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</si>
  <si>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</si>
  <si>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</si>
  <si>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</si>
  <si>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</si>
  <si>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</si>
  <si>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</si>
  <si>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</si>
  <si>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</si>
  <si>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</si>
  <si>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</si>
  <si>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</si>
  <si>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</si>
  <si>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</si>
  <si>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</si>
  <si>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</si>
  <si>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</si>
  <si>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</si>
  <si>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</si>
  <si>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</si>
  <si>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</si>
  <si>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</si>
  <si>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</si>
  <si>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</si>
  <si>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</si>
  <si>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</si>
  <si>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</si>
  <si>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</si>
  <si>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</si>
  <si>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</si>
  <si>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</si>
  <si>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</si>
  <si>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</si>
  <si>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</si>
  <si>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</si>
  <si>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</si>
  <si>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</si>
  <si>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</si>
  <si>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</si>
  <si>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</si>
  <si>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</si>
  <si>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</si>
  <si>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</si>
  <si>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</si>
  <si>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</si>
  <si>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</si>
  <si>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</si>
  <si>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</si>
  <si>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</si>
  <si>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</si>
  <si>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</si>
  <si>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</si>
  <si>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</si>
  <si>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</si>
  <si>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</si>
  <si>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</si>
  <si>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</si>
  <si>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</si>
  <si>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</si>
  <si>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</si>
  <si>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</si>
  <si>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</si>
  <si>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</si>
  <si>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</si>
  <si>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</si>
  <si>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</si>
  <si>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</si>
  <si>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</si>
  <si>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</si>
  <si>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</si>
  <si>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</si>
  <si>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</si>
  <si>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</si>
  <si>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</si>
  <si>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</si>
  <si>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</si>
  <si>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</si>
  <si>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</si>
  <si>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</si>
  <si>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</si>
  <si>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</si>
  <si>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</si>
  <si>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</si>
  <si>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</si>
  <si>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</si>
  <si>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</si>
  <si>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</si>
  <si>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</si>
  <si>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</si>
  <si>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</si>
  <si>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</si>
  <si>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</si>
  <si>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</si>
  <si>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</si>
  <si>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</si>
  <si>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</si>
  <si>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</si>
  <si>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</si>
  <si>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</si>
  <si>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</si>
  <si>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</si>
  <si>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</si>
  <si>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</si>
  <si>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</si>
  <si>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</si>
  <si>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</si>
  <si>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</si>
  <si>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</si>
  <si>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</si>
  <si>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</si>
  <si>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</si>
  <si>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</si>
  <si>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</si>
  <si>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</si>
  <si>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</si>
  <si>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</si>
  <si>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</si>
  <si>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</si>
  <si>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</si>
  <si>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</si>
  <si>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</si>
  <si>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</si>
  <si>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</si>
  <si>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</si>
  <si>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</si>
  <si>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</si>
  <si>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</si>
  <si>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</si>
  <si>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</si>
  <si>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</si>
  <si>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</si>
  <si>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</si>
  <si>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</si>
  <si>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</si>
  <si>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</si>
  <si>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</si>
  <si>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</si>
  <si>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</si>
  <si>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</si>
  <si>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</si>
  <si>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</si>
  <si>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</si>
  <si>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</si>
  <si>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</si>
  <si>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</si>
  <si>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</si>
  <si>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</si>
  <si>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</si>
  <si>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</si>
  <si>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</si>
  <si>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</si>
  <si>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</si>
  <si>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</si>
  <si>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</si>
  <si>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</si>
  <si>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</si>
  <si>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</si>
  <si>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</si>
  <si>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</si>
  <si>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</si>
  <si>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</si>
  <si>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</si>
  <si>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</si>
  <si>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</si>
  <si>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</si>
  <si>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</si>
  <si>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</si>
  <si>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</si>
  <si>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</si>
  <si>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</si>
  <si>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</si>
  <si>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</si>
  <si>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</si>
  <si>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</si>
  <si>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</si>
  <si>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</si>
  <si>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</si>
  <si>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</si>
  <si>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</si>
  <si>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</si>
  <si>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</si>
  <si>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</si>
  <si>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</si>
  <si>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</si>
  <si>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</si>
  <si>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</si>
  <si>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</si>
  <si>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</si>
  <si>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</si>
  <si>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</si>
  <si>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</si>
  <si>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</si>
  <si>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</si>
  <si>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</si>
  <si>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</si>
  <si>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</si>
  <si>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</si>
  <si>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</si>
  <si>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</si>
  <si>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</si>
  <si>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</si>
  <si>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</si>
  <si>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</si>
  <si>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</si>
  <si>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</si>
  <si>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</si>
  <si>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</si>
  <si>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</si>
  <si>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</si>
  <si>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</si>
  <si>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</si>
  <si>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</si>
  <si>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</si>
  <si>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</si>
  <si>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</si>
  <si>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</si>
  <si>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</si>
  <si>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</si>
  <si>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</si>
  <si>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</si>
  <si>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</si>
  <si>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</si>
  <si>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</si>
  <si>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</si>
  <si>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</si>
  <si>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</si>
  <si>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</si>
  <si>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</si>
  <si>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</si>
  <si>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</si>
  <si>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</si>
  <si>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</si>
  <si>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</si>
  <si>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</si>
  <si>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</si>
  <si>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</si>
  <si>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</si>
  <si>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</si>
  <si>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</si>
  <si>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</si>
  <si>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</si>
  <si>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</si>
  <si>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</si>
  <si>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</si>
  <si>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</si>
  <si>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</si>
  <si>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</si>
  <si>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</si>
  <si>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</si>
  <si>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</si>
  <si>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</si>
  <si>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</si>
  <si>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</si>
  <si>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</si>
  <si>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</si>
  <si>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</si>
  <si>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</si>
  <si>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</si>
  <si>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</si>
  <si>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</si>
  <si>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</si>
  <si>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</si>
  <si>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</si>
  <si>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</si>
  <si>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</si>
  <si>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</si>
  <si>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</si>
  <si>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</si>
  <si>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</si>
  <si>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</si>
  <si>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</si>
  <si>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</si>
  <si>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</si>
  <si>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</si>
  <si>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</si>
  <si>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</si>
  <si>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</si>
  <si>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</si>
  <si>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</si>
  <si>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</si>
  <si>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</si>
  <si>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</si>
  <si>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</si>
  <si>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</si>
  <si>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</si>
  <si>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</si>
  <si>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</si>
  <si>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</si>
  <si>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</si>
  <si>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</si>
  <si>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</si>
  <si>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</si>
  <si>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</si>
  <si>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</si>
  <si>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</si>
  <si>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</si>
  <si>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</si>
  <si>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</si>
  <si>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</si>
  <si>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</si>
  <si>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</si>
  <si>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</si>
  <si>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</si>
  <si>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</si>
  <si>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</si>
  <si>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</si>
  <si>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</si>
  <si>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</si>
  <si>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</si>
  <si>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</si>
  <si>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</si>
  <si>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</si>
  <si>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</si>
  <si>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</si>
  <si>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</si>
  <si>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</si>
  <si>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</si>
  <si>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</si>
  <si>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</si>
  <si>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</si>
  <si>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</si>
  <si>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</si>
  <si>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</si>
  <si>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</si>
  <si>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</si>
  <si>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</si>
  <si>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</si>
  <si>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</si>
  <si>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</si>
  <si>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</si>
  <si>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</si>
  <si>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</si>
  <si>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</si>
  <si>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</si>
  <si>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</si>
  <si>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</si>
  <si>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</si>
  <si>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</si>
  <si>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</si>
  <si>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</si>
  <si>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</si>
  <si>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</si>
  <si>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</si>
  <si>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</si>
  <si>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</si>
  <si>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</si>
  <si>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</si>
  <si>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</si>
  <si>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</si>
  <si>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</si>
  <si>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</si>
  <si>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</si>
  <si>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</si>
  <si>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</si>
  <si>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</si>
  <si>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</si>
  <si>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</si>
  <si>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</si>
  <si>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</si>
  <si>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</si>
  <si>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</si>
  <si>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</si>
  <si>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</si>
  <si>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</si>
  <si>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</si>
  <si>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</si>
  <si>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</si>
  <si>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</si>
  <si>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</si>
  <si>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</si>
  <si>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</si>
  <si>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</si>
  <si>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</si>
  <si>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</si>
  <si>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</si>
  <si>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</si>
  <si>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</si>
  <si>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</si>
  <si>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</si>
  <si>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</si>
  <si>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</si>
  <si>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</si>
  <si>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</si>
  <si>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</si>
  <si>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</si>
  <si>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</si>
  <si>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</si>
  <si>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</si>
  <si>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</si>
  <si>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</si>
  <si>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</si>
  <si>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</si>
  <si>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</si>
  <si>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</si>
  <si>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</si>
  <si>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</si>
  <si>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</si>
  <si>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</si>
  <si>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</si>
  <si>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</si>
  <si>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</si>
  <si>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</si>
  <si>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</si>
  <si>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</si>
  <si>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</si>
  <si>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</si>
  <si>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</si>
  <si>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</si>
  <si>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</si>
  <si>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</si>
  <si>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</si>
  <si>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</si>
  <si>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</si>
  <si>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</si>
  <si>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</si>
  <si>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</si>
  <si>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</si>
  <si>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</si>
  <si>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</si>
  <si>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</si>
  <si>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</si>
  <si>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</si>
  <si>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</si>
  <si>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</si>
  <si>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</si>
  <si>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</si>
  <si>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</si>
  <si>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</si>
  <si>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</si>
  <si>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</si>
  <si>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</si>
  <si>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</si>
  <si>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</si>
  <si>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</si>
  <si>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</si>
  <si>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</si>
  <si>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</si>
  <si>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</si>
  <si>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</si>
  <si>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</si>
  <si>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</si>
  <si>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</si>
  <si>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</si>
  <si>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</si>
  <si>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</si>
  <si>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</si>
  <si>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</si>
  <si>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</si>
  <si>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</si>
  <si>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</si>
  <si>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</si>
  <si>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</si>
  <si>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</si>
  <si>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</si>
  <si>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</si>
  <si>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</si>
  <si>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</si>
  <si>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</si>
  <si>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</si>
  <si>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</si>
  <si>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</si>
  <si>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</si>
  <si>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</si>
  <si>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</si>
  <si>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</si>
  <si>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</si>
  <si>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</si>
  <si>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</si>
  <si>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</si>
  <si>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</si>
  <si>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</si>
  <si>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</si>
  <si>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</si>
  <si>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</si>
  <si>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</si>
  <si>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</si>
  <si>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</si>
  <si>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</si>
  <si>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</si>
  <si>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</si>
  <si>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</si>
  <si>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</si>
  <si>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</si>
  <si>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</si>
  <si>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</si>
  <si>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</si>
  <si>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</si>
  <si>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</si>
  <si>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</si>
  <si>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</si>
  <si>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</si>
  <si>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</si>
  <si>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</si>
  <si>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</si>
  <si>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</si>
  <si>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</si>
  <si>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</si>
  <si>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</si>
  <si>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</si>
  <si>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</si>
  <si>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</si>
  <si>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</si>
  <si>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</si>
  <si>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</si>
  <si>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</si>
  <si>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</si>
  <si>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</si>
  <si>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</si>
  <si>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</si>
  <si>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</si>
  <si>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</si>
  <si>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</si>
  <si>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</si>
  <si>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</si>
  <si>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</si>
  <si>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</si>
  <si>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</si>
  <si>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</si>
  <si>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</si>
  <si>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</si>
  <si>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</si>
  <si>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</si>
  <si>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</si>
  <si>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</si>
  <si>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</si>
  <si>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</si>
  <si>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</si>
  <si>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</si>
  <si>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</si>
  <si>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</si>
  <si>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</si>
  <si>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</si>
  <si>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</si>
  <si>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</si>
  <si>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</si>
  <si>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</si>
  <si>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</si>
  <si>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</si>
  <si>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</si>
  <si>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</si>
  <si>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</si>
  <si>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</si>
  <si>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</si>
  <si>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</si>
  <si>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</si>
  <si>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</si>
  <si>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</si>
  <si>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</si>
  <si>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</si>
  <si>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</si>
  <si>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</si>
  <si>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</si>
  <si>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</si>
  <si>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</si>
  <si>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</si>
  <si>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</si>
  <si>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</si>
  <si>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</si>
  <si>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</si>
  <si>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</si>
  <si>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</si>
  <si>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</si>
  <si>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</si>
  <si>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</si>
  <si>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</si>
  <si>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</si>
  <si>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</si>
  <si>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</si>
  <si>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</si>
  <si>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</si>
  <si>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</si>
  <si>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</si>
  <si>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</si>
  <si>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</si>
  <si>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</si>
  <si>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</si>
  <si>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</si>
  <si>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</si>
  <si>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</si>
  <si>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</si>
  <si>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</si>
  <si>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</si>
  <si>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</si>
  <si>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</si>
  <si>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</si>
  <si>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</si>
  <si>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</si>
  <si>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</si>
  <si>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</si>
  <si>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</si>
  <si>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</si>
  <si>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</si>
  <si>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</si>
  <si>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</si>
  <si>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</si>
  <si>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</si>
  <si>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</si>
  <si>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</si>
  <si>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</si>
  <si>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</si>
  <si>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</si>
  <si>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</si>
  <si>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</si>
  <si>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</si>
  <si>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</si>
  <si>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</si>
  <si>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</si>
  <si>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</si>
  <si>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</si>
  <si>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</si>
  <si>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</si>
  <si>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</si>
  <si>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</si>
  <si>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</si>
  <si>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</si>
  <si>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</si>
  <si>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</si>
  <si>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</si>
  <si>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</si>
  <si>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</si>
  <si>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</si>
  <si>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</si>
  <si>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</si>
  <si>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</si>
  <si>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</si>
  <si>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</si>
  <si>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</si>
  <si>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</si>
  <si>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</si>
  <si>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</si>
  <si>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</si>
  <si>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</si>
  <si>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</si>
  <si>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</si>
  <si>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</si>
  <si>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</si>
  <si>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</si>
  <si>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</si>
  <si>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</si>
  <si>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</si>
  <si>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</si>
  <si>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</si>
  <si>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</si>
  <si>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</si>
  <si>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</si>
  <si>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</si>
  <si>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</si>
  <si>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</si>
  <si>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</si>
  <si>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</si>
  <si>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</si>
  <si>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</si>
  <si>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</si>
  <si>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</si>
  <si>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</si>
  <si>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</si>
  <si>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</si>
  <si>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</si>
  <si>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</si>
  <si>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</si>
  <si>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</si>
  <si>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</si>
  <si>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</si>
  <si>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</si>
  <si>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</si>
  <si>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</si>
  <si>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</si>
  <si>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</si>
  <si>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</si>
  <si>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</si>
  <si>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</si>
  <si>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</si>
  <si>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</si>
  <si>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</si>
  <si>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</si>
  <si>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</si>
  <si>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</si>
  <si>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</si>
  <si>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rec001.jpg</t>
  </si>
  <si>
    <t>rec002</t>
  </si>
  <si>
    <t>pswrec002</t>
  </si>
  <si>
    <t>rec002@hospital.upskill.com</t>
  </si>
  <si>
    <t>rec002.jpg</t>
  </si>
  <si>
    <t>rec003</t>
  </si>
  <si>
    <t>pswrec003</t>
  </si>
  <si>
    <t>rec003@hospital.upskill.com</t>
  </si>
  <si>
    <t>rec003.jpg</t>
  </si>
  <si>
    <t>rec004</t>
  </si>
  <si>
    <t>pswrec004</t>
  </si>
  <si>
    <t>rec004@hospital.upskill.com</t>
  </si>
  <si>
    <t>rec004.jpg</t>
  </si>
  <si>
    <t>rec005</t>
  </si>
  <si>
    <t>pswrec005</t>
  </si>
  <si>
    <t>rec005@hospital.upskill.com</t>
  </si>
  <si>
    <t>rec005.jpg</t>
  </si>
  <si>
    <t>rec006</t>
  </si>
  <si>
    <t>pswrec006</t>
  </si>
  <si>
    <t>rec006@hospital.upskill.com</t>
  </si>
  <si>
    <t>rec006.jpg</t>
  </si>
  <si>
    <t>rec007</t>
  </si>
  <si>
    <t>pswrec007</t>
  </si>
  <si>
    <t>rec007@hospital.upskill.com</t>
  </si>
  <si>
    <t>rec007.jpg</t>
  </si>
  <si>
    <t>rec008</t>
  </si>
  <si>
    <t>pswrec008</t>
  </si>
  <si>
    <t>rec008@hospital.upskill.com</t>
  </si>
  <si>
    <t>rec008.jpg</t>
  </si>
  <si>
    <t>rec009</t>
  </si>
  <si>
    <t>pswrec009</t>
  </si>
  <si>
    <t>rec009@hospital.upskill.com</t>
  </si>
  <si>
    <t>rec009.jpg</t>
  </si>
  <si>
    <t>rec010</t>
  </si>
  <si>
    <t>pswrec010</t>
  </si>
  <si>
    <t>rec010@hospital.upskill.com</t>
  </si>
  <si>
    <t>rec010.jpg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</si>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</sst>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31</v>
      </c>
      <c r="J2">
        <f ca="1">RANDBETWEEN(1,39)</f>
        <v>16</v>
      </c>
      <c r="K2">
        <f ca="1">RANDBETWEEN(1,97)</f>
        <v>28</v>
      </c>
      <c r="L2">
        <f ca="1">RANDBETWEEN(1,97)</f>
        <v>83</v>
      </c>
      <c r="M2" s="3" t="str" cm="1">
        <f t="array" aca="1" ref="M2" ca="1">INDEX($A$2:$A$40,I2,1)</f>
        <v>Masculino</v>
      </c>
      <c r="N2" s="3" t="str" cm="1">
        <f t="array" aca="1" ref="N2" ca="1">INDEX($B$2:$B$40,I2,1)</f>
        <v>Rodrigo</v>
      </c>
      <c r="O2" s="3" t="str" cm="1">
        <f t="array" aca="1" ref="O2" ca="1">INDEX($B$2:$B$40,J2,1)</f>
        <v>Joana</v>
      </c>
      <c r="P2" s="3" t="str" cm="1">
        <f t="array" aca="1" ref="P2" ca="1">INDEX($E$2:$E$98,K2)</f>
        <v>Jesus</v>
      </c>
      <c r="Q2" s="3" t="str" cm="1">
        <f t="array" aca="1" ref="Q2" ca="1">INDEX($E$2:$E$98,L2)</f>
        <v>Valente</v>
      </c>
      <c r="W2">
        <f ca="1">COUNTIF(M:M,"Masculino")</f>
        <v>102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5</v>
      </c>
      <c r="J3">
        <f t="shared" ca="1" si="0"/>
        <v>20</v>
      </c>
      <c r="K3">
        <f t="shared" ref="K3:L66" ca="1" si="1">RANDBETWEEN(1,97)</f>
        <v>9</v>
      </c>
      <c r="L3">
        <f t="shared" ca="1" si="1"/>
        <v>9</v>
      </c>
      <c r="M3" s="6" t="str" cm="1">
        <f t="array" aca="1" ref="M3" ca="1">INDEX($A$2:$A$40,I3,1)</f>
        <v>Masculino</v>
      </c>
      <c r="N3" s="6" t="str" cm="1">
        <f t="array" aca="1" ref="N3" ca="1">INDEX($B$2:$B$40,I3,1)</f>
        <v>Bruno</v>
      </c>
      <c r="O3" s="6" t="str" cm="1">
        <f t="array" aca="1" ref="O3" ca="1">INDEX($B$2:$B$40,J3,1)</f>
        <v>Luís</v>
      </c>
      <c r="P3" s="6" t="str" cm="1">
        <f t="array" aca="1" ref="P3" ca="1">INDEX($E$2:$E$98,K3)</f>
        <v>Ramos</v>
      </c>
      <c r="Q3" s="6" t="str" cm="1">
        <f t="array" aca="1" ref="Q3" ca="1">INDEX($E$2:$E$98,L3)</f>
        <v>Ramos</v>
      </c>
      <c r="S3" t="str">
        <f ca="1">M3</f>
        <v>Masculino</v>
      </c>
      <c r="T3" t="str">
        <f ca="1">N3</f>
        <v>Bruno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33</v>
      </c>
      <c r="J4">
        <f t="shared" ca="1" si="0"/>
        <v>20</v>
      </c>
      <c r="K4">
        <f t="shared" ca="1" si="1"/>
        <v>78</v>
      </c>
      <c r="L4">
        <f t="shared" ca="1" si="1"/>
        <v>13</v>
      </c>
      <c r="M4" s="6" t="str" cm="1">
        <f t="array" aca="1" ref="M4" ca="1">INDEX($A$2:$A$40,I4,1)</f>
        <v>Feminino</v>
      </c>
      <c r="N4" s="6" t="str" cm="1">
        <f t="array" aca="1" ref="N4" ca="1">INDEX($B$2:$B$40,I4,1)</f>
        <v>Sara</v>
      </c>
      <c r="O4" s="6" t="str" cm="1">
        <f t="array" aca="1" ref="O4" ca="1">INDEX($B$2:$B$40,J4,1)</f>
        <v>Luís</v>
      </c>
      <c r="P4" s="6" t="str" cm="1">
        <f t="array" aca="1" ref="P4" ca="1">INDEX($E$2:$E$98,K4)</f>
        <v>Vicente</v>
      </c>
      <c r="Q4" s="6" t="str" cm="1">
        <f t="array" aca="1" ref="Q4" ca="1">INDEX($E$2:$E$98,L4)</f>
        <v>Santos</v>
      </c>
      <c r="S4" t="str">
        <f t="shared" ref="S4:S67" ca="1" si="2">M4</f>
        <v>Feminino</v>
      </c>
      <c r="T4" t="str">
        <f t="shared" ref="T4:T13" ca="1" si="3">N4</f>
        <v>Sara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23</v>
      </c>
      <c r="J5">
        <f t="shared" ca="1" si="0"/>
        <v>26</v>
      </c>
      <c r="K5">
        <f t="shared" ca="1" si="1"/>
        <v>61</v>
      </c>
      <c r="L5">
        <f t="shared" ca="1" si="1"/>
        <v>3</v>
      </c>
      <c r="M5" s="6" t="str" cm="1">
        <f t="array" aca="1" ref="M5" ca="1">INDEX($A$2:$A$40,I5,1)</f>
        <v>Feminino</v>
      </c>
      <c r="N5" s="6" t="str" cm="1">
        <f t="array" aca="1" ref="N5" ca="1">INDEX($B$2:$B$40,I5,1)</f>
        <v>Maria</v>
      </c>
      <c r="O5" s="6" t="str" cm="1">
        <f t="array" aca="1" ref="O5" ca="1">INDEX($B$2:$B$40,J5,1)</f>
        <v>Martim</v>
      </c>
      <c r="P5" s="6" t="str" cm="1">
        <f t="array" aca="1" ref="P5" ca="1">INDEX($E$2:$E$98,K5)</f>
        <v>Morais</v>
      </c>
      <c r="Q5" s="6" t="str" cm="1">
        <f t="array" aca="1" ref="Q5" ca="1">INDEX($E$2:$E$98,L5)</f>
        <v>Vieira</v>
      </c>
      <c r="S5" t="str">
        <f t="shared" ca="1" si="2"/>
        <v>Feminino</v>
      </c>
      <c r="T5" t="str">
        <f t="shared" ca="1" si="3"/>
        <v>Maria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35</v>
      </c>
      <c r="J6">
        <f t="shared" ca="1" si="0"/>
        <v>39</v>
      </c>
      <c r="K6">
        <f t="shared" ca="1" si="1"/>
        <v>37</v>
      </c>
      <c r="L6">
        <f t="shared" ca="1" si="1"/>
        <v>80</v>
      </c>
      <c r="M6" s="6" t="str" cm="1">
        <f t="array" aca="1" ref="M6" ca="1">INDEX($A$2:$A$40,I6,1)</f>
        <v>Masculino</v>
      </c>
      <c r="N6" s="6" t="str" cm="1">
        <f t="array" aca="1" ref="N6" ca="1">INDEX($B$2:$B$40,I6,1)</f>
        <v>Tiago</v>
      </c>
      <c r="O6" s="6" t="str" cm="1">
        <f t="array" aca="1" ref="O6" ca="1">INDEX($B$2:$B$40,J6,1)</f>
        <v>Lara</v>
      </c>
      <c r="P6" s="6" t="str" cm="1">
        <f t="array" aca="1" ref="P6" ca="1">INDEX($E$2:$E$98,K6)</f>
        <v>Rocha</v>
      </c>
      <c r="Q6" s="6" t="str" cm="1">
        <f t="array" aca="1" ref="Q6" ca="1">INDEX($E$2:$E$98,L6)</f>
        <v>Assunção</v>
      </c>
      <c r="S6" t="str">
        <f t="shared" ca="1" si="2"/>
        <v>Masculino</v>
      </c>
      <c r="T6" t="str">
        <f t="shared" ca="1" si="3"/>
        <v>Tiago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1</v>
      </c>
      <c r="J7">
        <f t="shared" ca="1" si="0"/>
        <v>28</v>
      </c>
      <c r="K7">
        <f t="shared" ca="1" si="1"/>
        <v>6</v>
      </c>
      <c r="L7">
        <f t="shared" ca="1" si="1"/>
        <v>46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Afonso</v>
      </c>
      <c r="O7" s="6" t="str" cm="1">
        <f t="array" aca="1" ref="O7" ca="1">INDEX($B$2:$B$40,J7,1)</f>
        <v>Miguel</v>
      </c>
      <c r="P7" s="6" t="str" cm="1">
        <f t="array" aca="1" ref="P7" ca="1">INDEX($E$2:$E$98,K7)</f>
        <v>Almeida</v>
      </c>
      <c r="Q7" s="6" t="str" cm="1">
        <f t="array" aca="1" ref="Q7" ca="1">INDEX($E$2:$E$98,L7)</f>
        <v>Tavares</v>
      </c>
      <c r="S7" t="str">
        <f t="shared" ca="1" si="2"/>
        <v>Masculino</v>
      </c>
      <c r="T7" t="str">
        <f t="shared" ca="1" si="3"/>
        <v>Afonso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13</v>
      </c>
      <c r="J8">
        <f t="shared" ca="1" si="0"/>
        <v>29</v>
      </c>
      <c r="K8">
        <f t="shared" ca="1" si="1"/>
        <v>73</v>
      </c>
      <c r="L8">
        <f t="shared" ca="1" si="1"/>
        <v>97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Francisco</v>
      </c>
      <c r="O8" s="6" t="str" cm="1">
        <f t="array" aca="1" ref="O8" ca="1">INDEX($B$2:$B$40,J8,1)</f>
        <v>Pedro</v>
      </c>
      <c r="P8" s="6" t="str" cm="1">
        <f t="array" aca="1" ref="P8" ca="1">INDEX($E$2:$E$98,K8)</f>
        <v>Abreu</v>
      </c>
      <c r="Q8" s="6" t="str" cm="1">
        <f t="array" aca="1" ref="Q8" ca="1">INDEX($E$2:$E$98,L8)</f>
        <v>Torres</v>
      </c>
      <c r="S8" t="str">
        <f t="shared" ca="1" si="2"/>
        <v>Masculino</v>
      </c>
      <c r="T8" t="str">
        <f t="shared" ca="1" si="3"/>
        <v>Francisco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15</v>
      </c>
      <c r="J9">
        <f t="shared" ca="1" si="0"/>
        <v>11</v>
      </c>
      <c r="K9">
        <f t="shared" ca="1" si="1"/>
        <v>93</v>
      </c>
      <c r="L9">
        <f t="shared" ca="1" si="1"/>
        <v>22</v>
      </c>
      <c r="M9" s="6" t="str" cm="1">
        <f t="array" aca="1" ref="M9" ca="1">INDEX($A$2:$A$40,I9,1)</f>
        <v>Feminino</v>
      </c>
      <c r="N9" s="6" t="str" cm="1">
        <f t="array" aca="1" ref="N9" ca="1">INDEX($B$2:$B$40,I9,1)</f>
        <v>Inês</v>
      </c>
      <c r="O9" s="6" t="str" cm="1">
        <f t="array" aca="1" ref="O9" ca="1">INDEX($B$2:$B$40,J9,1)</f>
        <v>Duarte</v>
      </c>
      <c r="P9" s="6" t="str" cm="1">
        <f t="array" aca="1" ref="P9" ca="1">INDEX($E$2:$E$98,K9)</f>
        <v>Macedo</v>
      </c>
      <c r="Q9" s="6" t="str" cm="1">
        <f t="array" aca="1" ref="Q9" ca="1">INDEX($E$2:$E$98,L9)</f>
        <v>Gonçalves</v>
      </c>
      <c r="S9" t="str">
        <f t="shared" ca="1" si="2"/>
        <v>Feminino</v>
      </c>
      <c r="T9" t="str">
        <f t="shared" ca="1" si="3"/>
        <v>Inês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29</v>
      </c>
      <c r="J10">
        <f t="shared" ca="1" si="0"/>
        <v>27</v>
      </c>
      <c r="K10">
        <f t="shared" ca="1" si="1"/>
        <v>52</v>
      </c>
      <c r="L10">
        <f t="shared" ca="1" si="1"/>
        <v>4</v>
      </c>
      <c r="M10" s="6" t="str" cm="1">
        <f t="array" aca="1" ref="M10" ca="1">INDEX($A$2:$A$40,I10,1)</f>
        <v>Masculino</v>
      </c>
      <c r="N10" s="6" t="str" cm="1">
        <f t="array" aca="1" ref="N10" ca="1">INDEX($B$2:$B$40,I10,1)</f>
        <v>Pedro</v>
      </c>
      <c r="O10" s="6" t="str" cm="1">
        <f t="array" aca="1" ref="O10" ca="1">INDEX($B$2:$B$40,J10,1)</f>
        <v>Matilde</v>
      </c>
      <c r="P10" s="6" t="str" cm="1">
        <f t="array" aca="1" ref="P10" ca="1">INDEX($E$2:$E$98,K10)</f>
        <v>Magalhães</v>
      </c>
      <c r="Q10" s="6" t="str" cm="1">
        <f t="array" aca="1" ref="Q10" ca="1">INDEX($E$2:$E$98,L10)</f>
        <v>Alves</v>
      </c>
      <c r="S10" t="str">
        <f t="shared" ca="1" si="2"/>
        <v>Masculino</v>
      </c>
      <c r="T10" t="str">
        <f t="shared" ca="1" si="3"/>
        <v>Pedro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25</v>
      </c>
      <c r="J11">
        <f t="shared" ca="1" si="0"/>
        <v>16</v>
      </c>
      <c r="K11">
        <f t="shared" ca="1" si="1"/>
        <v>36</v>
      </c>
      <c r="L11">
        <f t="shared" ca="1" si="1"/>
        <v>96</v>
      </c>
      <c r="M11" s="6" t="str" cm="1">
        <f t="array" aca="1" ref="M11" ca="1">INDEX($A$2:$A$40,I11,1)</f>
        <v>Feminino</v>
      </c>
      <c r="N11" s="6" t="str" cm="1">
        <f t="array" aca="1" ref="N11" ca="1">INDEX($B$2:$B$40,I11,1)</f>
        <v>Mariana</v>
      </c>
      <c r="O11" s="6" t="str" cm="1">
        <f t="array" aca="1" ref="O11" ca="1">INDEX($B$2:$B$40,J11,1)</f>
        <v>Joana</v>
      </c>
      <c r="P11" s="6" t="str" cm="1">
        <f t="array" aca="1" ref="P11" ca="1">INDEX($E$2:$E$98,K11)</f>
        <v>Rodrigues</v>
      </c>
      <c r="Q11" s="6" t="str" cm="1">
        <f t="array" aca="1" ref="Q11" ca="1">INDEX($E$2:$E$98,L11)</f>
        <v>Amorim</v>
      </c>
      <c r="S11" t="str">
        <f t="shared" ca="1" si="2"/>
        <v>Feminino</v>
      </c>
      <c r="T11" t="str">
        <f t="shared" ca="1" si="3"/>
        <v>Mariana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36</v>
      </c>
      <c r="J12">
        <f t="shared" ca="1" si="0"/>
        <v>16</v>
      </c>
      <c r="K12">
        <f t="shared" ca="1" si="1"/>
        <v>4</v>
      </c>
      <c r="L12">
        <f t="shared" ca="1" si="1"/>
        <v>88</v>
      </c>
      <c r="M12" s="6" t="str" cm="1">
        <f t="array" aca="1" ref="M12" ca="1">INDEX($A$2:$A$40,I12,1)</f>
        <v>Masculino</v>
      </c>
      <c r="N12" s="6" t="str" cm="1">
        <f t="array" aca="1" ref="N12" ca="1">INDEX($B$2:$B$40,I12,1)</f>
        <v>Tomás</v>
      </c>
      <c r="O12" s="6" t="str" cm="1">
        <f t="array" aca="1" ref="O12" ca="1">INDEX($B$2:$B$40,J12,1)</f>
        <v>Joana</v>
      </c>
      <c r="P12" s="6" t="str" cm="1">
        <f t="array" aca="1" ref="P12" ca="1">INDEX($E$2:$E$98,K12)</f>
        <v>Alves</v>
      </c>
      <c r="Q12" s="6" t="str" cm="1">
        <f t="array" aca="1" ref="Q12" ca="1">INDEX($E$2:$E$98,L12)</f>
        <v>Neto</v>
      </c>
      <c r="S12" t="str">
        <f t="shared" ca="1" si="2"/>
        <v>Masculino</v>
      </c>
      <c r="T12" t="str">
        <f t="shared" ca="1" si="3"/>
        <v>Tomás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31</v>
      </c>
      <c r="J13">
        <f t="shared" ca="1" si="0"/>
        <v>3</v>
      </c>
      <c r="K13">
        <f t="shared" ca="1" si="1"/>
        <v>26</v>
      </c>
      <c r="L13">
        <f t="shared" ca="1" si="1"/>
        <v>97</v>
      </c>
      <c r="M13" s="6" t="str" cm="1">
        <f t="array" aca="1" ref="M13" ca="1">INDEX($A$2:$A$40,I13,1)</f>
        <v>Masculino</v>
      </c>
      <c r="N13" s="6" t="str" cm="1">
        <f t="array" aca="1" ref="N13" ca="1">INDEX($B$2:$B$40,I13,1)</f>
        <v>Rodrigo</v>
      </c>
      <c r="O13" s="6" t="str" cm="1">
        <f t="array" aca="1" ref="O13" ca="1">INDEX($B$2:$B$40,J13,1)</f>
        <v>André</v>
      </c>
      <c r="P13" s="6" t="str" cm="1">
        <f t="array" aca="1" ref="P13" ca="1">INDEX($E$2:$E$98,K13)</f>
        <v>Costa</v>
      </c>
      <c r="Q13" s="6" t="str" cm="1">
        <f t="array" aca="1" ref="Q13" ca="1">INDEX($E$2:$E$98,L13)</f>
        <v>Torres</v>
      </c>
      <c r="S13" t="str">
        <f t="shared" ca="1" si="2"/>
        <v>Masculino</v>
      </c>
      <c r="T13" t="str">
        <f t="shared" ca="1" si="3"/>
        <v>Rodrigo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16</v>
      </c>
      <c r="J14">
        <f t="shared" ca="1" si="0"/>
        <v>32</v>
      </c>
      <c r="K14">
        <f t="shared" ca="1" si="1"/>
        <v>17</v>
      </c>
      <c r="L14">
        <f t="shared" ca="1" si="1"/>
        <v>11</v>
      </c>
      <c r="M14" s="6" t="str" cm="1">
        <f t="array" aca="1" ref="M14" ca="1">INDEX($A$2:$A$40,I14,1)</f>
        <v>Feminino</v>
      </c>
      <c r="N14" s="6" t="str" cm="1">
        <f t="array" aca="1" ref="N14" ca="1">INDEX($B$2:$B$40,I14,1)</f>
        <v>Joana</v>
      </c>
      <c r="O14" s="6" t="str" cm="1">
        <f t="array" aca="1" ref="O14" ca="1">INDEX($B$2:$B$40,J14,1)</f>
        <v>Santiago</v>
      </c>
      <c r="P14" s="6" t="str" cm="1">
        <f t="array" aca="1" ref="P14" ca="1">INDEX($E$2:$E$98,K14)</f>
        <v>Ferreira</v>
      </c>
      <c r="Q14" s="6" t="str" cm="1">
        <f t="array" aca="1" ref="Q14" ca="1">INDEX($E$2:$E$98,L14)</f>
        <v>Martins</v>
      </c>
      <c r="S14" t="str">
        <f t="shared" ca="1" si="2"/>
        <v>Feminino</v>
      </c>
      <c r="T14" t="str">
        <f ca="1">N14 &amp; " " &amp;Q14</f>
        <v>Joana Martins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35</v>
      </c>
      <c r="J15">
        <f t="shared" ca="1" si="0"/>
        <v>34</v>
      </c>
      <c r="K15">
        <f t="shared" ca="1" si="1"/>
        <v>41</v>
      </c>
      <c r="L15">
        <f t="shared" ca="1" si="1"/>
        <v>83</v>
      </c>
      <c r="M15" s="6" t="str" cm="1">
        <f t="array" aca="1" ref="M15" ca="1">INDEX($A$2:$A$40,I15,1)</f>
        <v>Masculino</v>
      </c>
      <c r="N15" s="6" t="str" cm="1">
        <f t="array" aca="1" ref="N15" ca="1">INDEX($B$2:$B$40,I15,1)</f>
        <v>Tiago</v>
      </c>
      <c r="O15" s="6" t="str" cm="1">
        <f t="array" aca="1" ref="O15" ca="1">INDEX($B$2:$B$40,J15,1)</f>
        <v>Sofia</v>
      </c>
      <c r="P15" s="6" t="str" cm="1">
        <f t="array" aca="1" ref="P15" ca="1">INDEX($E$2:$E$98,K15)</f>
        <v>Matos</v>
      </c>
      <c r="Q15" s="6" t="str" cm="1">
        <f t="array" aca="1" ref="Q15" ca="1">INDEX($E$2:$E$98,L15)</f>
        <v>Valente</v>
      </c>
      <c r="S15" t="str">
        <f t="shared" ca="1" si="2"/>
        <v>Masculino</v>
      </c>
      <c r="T15" t="str">
        <f t="shared" ref="T15:T34" ca="1" si="4">N15 &amp; " " &amp;Q15</f>
        <v>Tiago Valente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32</v>
      </c>
      <c r="J16">
        <f t="shared" ca="1" si="0"/>
        <v>4</v>
      </c>
      <c r="K16">
        <f t="shared" ca="1" si="1"/>
        <v>62</v>
      </c>
      <c r="L16">
        <f t="shared" ca="1" si="1"/>
        <v>69</v>
      </c>
      <c r="M16" s="6" t="str" cm="1">
        <f t="array" aca="1" ref="M16" ca="1">INDEX($A$2:$A$40,I16,1)</f>
        <v>Masculino</v>
      </c>
      <c r="N16" s="6" t="str" cm="1">
        <f t="array" aca="1" ref="N16" ca="1">INDEX($B$2:$B$40,I16,1)</f>
        <v>Santiago</v>
      </c>
      <c r="O16" s="6" t="str" cm="1">
        <f t="array" aca="1" ref="O16" ca="1">INDEX($B$2:$B$40,J16,1)</f>
        <v>Beatriz</v>
      </c>
      <c r="P16" s="6" t="str" cm="1">
        <f t="array" aca="1" ref="P16" ca="1">INDEX($E$2:$E$98,K16)</f>
        <v>Nogueira</v>
      </c>
      <c r="Q16" s="6" t="str" cm="1">
        <f t="array" aca="1" ref="Q16" ca="1">INDEX($E$2:$E$98,L16)</f>
        <v>Brito</v>
      </c>
      <c r="S16" t="str">
        <f t="shared" ca="1" si="2"/>
        <v>Masculino</v>
      </c>
      <c r="T16" t="str">
        <f t="shared" ca="1" si="4"/>
        <v>Santiago Brito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34</v>
      </c>
      <c r="J17">
        <f t="shared" ca="1" si="0"/>
        <v>7</v>
      </c>
      <c r="K17">
        <f t="shared" ca="1" si="1"/>
        <v>93</v>
      </c>
      <c r="L17">
        <f t="shared" ca="1" si="1"/>
        <v>76</v>
      </c>
      <c r="M17" s="6" t="str" cm="1">
        <f t="array" aca="1" ref="M17" ca="1">INDEX($A$2:$A$40,I17,1)</f>
        <v>Feminino</v>
      </c>
      <c r="N17" s="6" t="str" cm="1">
        <f t="array" aca="1" ref="N17" ca="1">INDEX($B$2:$B$40,I17,1)</f>
        <v>Sofia</v>
      </c>
      <c r="O17" s="6" t="str" cm="1">
        <f t="array" aca="1" ref="O17" ca="1">INDEX($B$2:$B$40,J17,1)</f>
        <v>Catarina</v>
      </c>
      <c r="P17" s="6" t="str" cm="1">
        <f t="array" aca="1" ref="P17" ca="1">INDEX($E$2:$E$98,K17)</f>
        <v>Macedo</v>
      </c>
      <c r="Q17" s="6" t="str" cm="1">
        <f t="array" aca="1" ref="Q17" ca="1">INDEX($E$2:$E$98,L17)</f>
        <v>Vaz</v>
      </c>
      <c r="S17" t="str">
        <f t="shared" ca="1" si="2"/>
        <v>Feminino</v>
      </c>
      <c r="T17" t="str">
        <f t="shared" ca="1" si="4"/>
        <v>Sofia Vaz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1</v>
      </c>
      <c r="J18">
        <f t="shared" ca="1" si="0"/>
        <v>2</v>
      </c>
      <c r="K18">
        <f t="shared" ca="1" si="1"/>
        <v>96</v>
      </c>
      <c r="L18">
        <f t="shared" ca="1" si="1"/>
        <v>54</v>
      </c>
      <c r="M18" s="6" t="str" cm="1">
        <f t="array" aca="1" ref="M18" ca="1">INDEX($A$2:$A$40,I18,1)</f>
        <v>Masculino</v>
      </c>
      <c r="N18" s="6" t="str" cm="1">
        <f t="array" aca="1" ref="N18" ca="1">INDEX($B$2:$B$40,I18,1)</f>
        <v>Afonso</v>
      </c>
      <c r="O18" s="6" t="str" cm="1">
        <f t="array" aca="1" ref="O18" ca="1">INDEX($B$2:$B$40,J18,1)</f>
        <v>Ana</v>
      </c>
      <c r="P18" s="6" t="str" cm="1">
        <f t="array" aca="1" ref="P18" ca="1">INDEX($E$2:$E$98,K18)</f>
        <v>Amorim</v>
      </c>
      <c r="Q18" s="6" t="str" cm="1">
        <f t="array" aca="1" ref="Q18" ca="1">INDEX($E$2:$E$98,L18)</f>
        <v>Lima</v>
      </c>
      <c r="S18" t="str">
        <f t="shared" ca="1" si="2"/>
        <v>Masculino</v>
      </c>
      <c r="T18" t="str">
        <f t="shared" ca="1" si="4"/>
        <v>Afonso Lima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10</v>
      </c>
      <c r="J19">
        <f t="shared" ca="1" si="0"/>
        <v>20</v>
      </c>
      <c r="K19">
        <f t="shared" ca="1" si="1"/>
        <v>83</v>
      </c>
      <c r="L19">
        <f t="shared" ca="1" si="1"/>
        <v>32</v>
      </c>
      <c r="M19" s="6" t="str" cm="1">
        <f t="array" aca="1" ref="M19" ca="1">INDEX($A$2:$A$40,I19,1)</f>
        <v>Masculino</v>
      </c>
      <c r="N19" s="6" t="str" cm="1">
        <f t="array" aca="1" ref="N19" ca="1">INDEX($B$2:$B$40,I19,1)</f>
        <v>Diogo</v>
      </c>
      <c r="O19" s="6" t="str" cm="1">
        <f t="array" aca="1" ref="O19" ca="1">INDEX($B$2:$B$40,J19,1)</f>
        <v>Luís</v>
      </c>
      <c r="P19" s="6" t="str" cm="1">
        <f t="array" aca="1" ref="P19" ca="1">INDEX($E$2:$E$98,K19)</f>
        <v>Valente</v>
      </c>
      <c r="Q19" s="6" t="str" cm="1">
        <f t="array" aca="1" ref="Q19" ca="1">INDEX($E$2:$E$98,L19)</f>
        <v>Silva</v>
      </c>
      <c r="S19" t="str">
        <f t="shared" ca="1" si="2"/>
        <v>Masculino</v>
      </c>
      <c r="T19" t="str">
        <f t="shared" ca="1" si="4"/>
        <v>Diogo Silva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29</v>
      </c>
      <c r="J20">
        <f t="shared" ca="1" si="0"/>
        <v>18</v>
      </c>
      <c r="K20">
        <f t="shared" ca="1" si="1"/>
        <v>53</v>
      </c>
      <c r="L20">
        <f t="shared" ca="1" si="1"/>
        <v>63</v>
      </c>
      <c r="M20" s="6" t="str" cm="1">
        <f t="array" aca="1" ref="M20" ca="1">INDEX($A$2:$A$40,I20,1)</f>
        <v>Masculino</v>
      </c>
      <c r="N20" s="6" t="str" cm="1">
        <f t="array" aca="1" ref="N20" ca="1">INDEX($B$2:$B$40,I20,1)</f>
        <v>Pedro</v>
      </c>
      <c r="O20" s="6" t="str" cm="1">
        <f t="array" aca="1" ref="O20" ca="1">INDEX($B$2:$B$40,J20,1)</f>
        <v>José</v>
      </c>
      <c r="P20" s="6" t="str" cm="1">
        <f t="array" aca="1" ref="P20" ca="1">INDEX($E$2:$E$98,K20)</f>
        <v>Henriques</v>
      </c>
      <c r="Q20" s="6" t="str" cm="1">
        <f t="array" aca="1" ref="Q20" ca="1">INDEX($E$2:$E$98,L20)</f>
        <v>Esteves</v>
      </c>
      <c r="S20" t="str">
        <f t="shared" ca="1" si="2"/>
        <v>Masculino</v>
      </c>
      <c r="T20" t="str">
        <f t="shared" ca="1" si="4"/>
        <v>Pedro Esteves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19</v>
      </c>
      <c r="J21">
        <f t="shared" ca="1" si="0"/>
        <v>2</v>
      </c>
      <c r="K21">
        <f t="shared" ca="1" si="1"/>
        <v>67</v>
      </c>
      <c r="L21">
        <f t="shared" ca="1" si="1"/>
        <v>73</v>
      </c>
      <c r="M21" s="6" t="str" cm="1">
        <f t="array" aca="1" ref="M21" ca="1">INDEX($A$2:$A$40,I21,1)</f>
        <v>Feminino</v>
      </c>
      <c r="N21" s="6" t="str" cm="1">
        <f t="array" aca="1" ref="N21" ca="1">INDEX($B$2:$B$40,I21,1)</f>
        <v>Leonor</v>
      </c>
      <c r="O21" s="6" t="str" cm="1">
        <f t="array" aca="1" ref="O21" ca="1">INDEX($B$2:$B$40,J21,1)</f>
        <v>Ana</v>
      </c>
      <c r="P21" s="6" t="str" cm="1">
        <f t="array" aca="1" ref="P21" ca="1">INDEX($E$2:$E$98,K21)</f>
        <v>Mota</v>
      </c>
      <c r="Q21" s="6" t="str" cm="1">
        <f t="array" aca="1" ref="Q21" ca="1">INDEX($E$2:$E$98,L21)</f>
        <v>Abreu</v>
      </c>
      <c r="S21" t="str">
        <f t="shared" ca="1" si="2"/>
        <v>Feminino</v>
      </c>
      <c r="T21" t="str">
        <f t="shared" ca="1" si="4"/>
        <v>Leonor Abreu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35</v>
      </c>
      <c r="J22">
        <f t="shared" ca="1" si="0"/>
        <v>7</v>
      </c>
      <c r="K22">
        <f t="shared" ca="1" si="1"/>
        <v>64</v>
      </c>
      <c r="L22">
        <f t="shared" ca="1" si="1"/>
        <v>80</v>
      </c>
      <c r="M22" s="6" t="str" cm="1">
        <f t="array" aca="1" ref="M22" ca="1">INDEX($A$2:$A$40,I22,1)</f>
        <v>Masculino</v>
      </c>
      <c r="N22" s="6" t="str" cm="1">
        <f t="array" aca="1" ref="N22" ca="1">INDEX($B$2:$B$40,I22,1)</f>
        <v>Tiago</v>
      </c>
      <c r="O22" s="6" t="str" cm="1">
        <f t="array" aca="1" ref="O22" ca="1">INDEX($B$2:$B$40,J22,1)</f>
        <v>Catarina</v>
      </c>
      <c r="P22" s="6" t="str" cm="1">
        <f t="array" aca="1" ref="P22" ca="1">INDEX($E$2:$E$98,K22)</f>
        <v>Anjos</v>
      </c>
      <c r="Q22" s="6" t="str" cm="1">
        <f t="array" aca="1" ref="Q22" ca="1">INDEX($E$2:$E$98,L22)</f>
        <v>Assunção</v>
      </c>
      <c r="S22" t="str">
        <f t="shared" ca="1" si="2"/>
        <v>Masculino</v>
      </c>
      <c r="T22" t="str">
        <f t="shared" ca="1" si="4"/>
        <v>Tiago Assunção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9</v>
      </c>
      <c r="J23">
        <f t="shared" ca="1" si="0"/>
        <v>19</v>
      </c>
      <c r="K23">
        <f t="shared" ca="1" si="1"/>
        <v>57</v>
      </c>
      <c r="L23">
        <f t="shared" ca="1" si="1"/>
        <v>14</v>
      </c>
      <c r="M23" s="6" t="str" cm="1">
        <f t="array" aca="1" ref="M23" ca="1">INDEX($A$2:$A$40,I23,1)</f>
        <v>Feminino</v>
      </c>
      <c r="N23" s="6" t="str" cm="1">
        <f t="array" aca="1" ref="N23" ca="1">INDEX($B$2:$B$40,I23,1)</f>
        <v>Diana</v>
      </c>
      <c r="O23" s="6" t="str" cm="1">
        <f t="array" aca="1" ref="O23" ca="1">INDEX($B$2:$B$40,J23,1)</f>
        <v>Leonor</v>
      </c>
      <c r="P23" s="6" t="str" cm="1">
        <f t="array" aca="1" ref="P23" ca="1">INDEX($E$2:$E$98,K23)</f>
        <v>Pinheiro</v>
      </c>
      <c r="Q23" s="6" t="str" cm="1">
        <f t="array" aca="1" ref="Q23" ca="1">INDEX($E$2:$E$98,L23)</f>
        <v>Sousa</v>
      </c>
      <c r="S23" t="str">
        <f t="shared" ca="1" si="2"/>
        <v>Feminino</v>
      </c>
      <c r="T23" t="str">
        <f t="shared" ca="1" si="4"/>
        <v>Diana Sousa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27</v>
      </c>
      <c r="J24">
        <f t="shared" ca="1" si="0"/>
        <v>4</v>
      </c>
      <c r="K24">
        <f t="shared" ca="1" si="1"/>
        <v>73</v>
      </c>
      <c r="L24">
        <f t="shared" ca="1" si="1"/>
        <v>14</v>
      </c>
      <c r="M24" s="6" t="str" cm="1">
        <f t="array" aca="1" ref="M24" ca="1">INDEX($A$2:$A$40,I24,1)</f>
        <v>Feminino</v>
      </c>
      <c r="N24" s="6" t="str" cm="1">
        <f t="array" aca="1" ref="N24" ca="1">INDEX($B$2:$B$40,I24,1)</f>
        <v>Matilde</v>
      </c>
      <c r="O24" s="6" t="str" cm="1">
        <f t="array" aca="1" ref="O24" ca="1">INDEX($B$2:$B$40,J24,1)</f>
        <v>Beatriz</v>
      </c>
      <c r="P24" s="6" t="str" cm="1">
        <f t="array" aca="1" ref="P24" ca="1">INDEX($E$2:$E$98,K24)</f>
        <v>Abreu</v>
      </c>
      <c r="Q24" s="6" t="str" cm="1">
        <f t="array" aca="1" ref="Q24" ca="1">INDEX($E$2:$E$98,L24)</f>
        <v>Sousa</v>
      </c>
      <c r="S24" t="str">
        <f t="shared" ca="1" si="2"/>
        <v>Feminino</v>
      </c>
      <c r="T24" t="str">
        <f t="shared" ca="1" si="4"/>
        <v>Matilde Sousa</v>
      </c>
    </row>
    <row r="25" spans="1:20" x14ac:dyDescent="0.25">
      <c r="A25" t="s">
        <v>66</v>
      </c>
      <c r="B25" t="s">
        <v>3740</v>
      </c>
      <c r="E25" t="s">
        <v>107</v>
      </c>
      <c r="I25">
        <f t="shared" ca="1" si="0"/>
        <v>19</v>
      </c>
      <c r="J25">
        <f t="shared" ca="1" si="0"/>
        <v>2</v>
      </c>
      <c r="K25">
        <f t="shared" ca="1" si="1"/>
        <v>9</v>
      </c>
      <c r="L25">
        <f t="shared" ca="1" si="1"/>
        <v>59</v>
      </c>
      <c r="M25" s="6" t="str" cm="1">
        <f t="array" aca="1" ref="M25" ca="1">INDEX($A$2:$A$40,I25,1)</f>
        <v>Feminino</v>
      </c>
      <c r="N25" s="6" t="str" cm="1">
        <f t="array" aca="1" ref="N25" ca="1">INDEX($B$2:$B$40,I25,1)</f>
        <v>Leonor</v>
      </c>
      <c r="O25" s="6" t="str" cm="1">
        <f t="array" aca="1" ref="O25" ca="1">INDEX($B$2:$B$40,J25,1)</f>
        <v>Ana</v>
      </c>
      <c r="P25" s="6" t="str" cm="1">
        <f t="array" aca="1" ref="P25" ca="1">INDEX($E$2:$E$98,K25)</f>
        <v>Ramos</v>
      </c>
      <c r="Q25" s="6" t="str" cm="1">
        <f t="array" aca="1" ref="Q25" ca="1">INDEX($E$2:$E$98,L25)</f>
        <v>Miranda</v>
      </c>
      <c r="S25" t="str">
        <f t="shared" ca="1" si="2"/>
        <v>Feminino</v>
      </c>
      <c r="T25" t="str">
        <f t="shared" ca="1" si="4"/>
        <v>Leonor Miranda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9</v>
      </c>
      <c r="J26">
        <f t="shared" ca="1" si="0"/>
        <v>39</v>
      </c>
      <c r="K26">
        <f t="shared" ca="1" si="1"/>
        <v>82</v>
      </c>
      <c r="L26">
        <f t="shared" ca="1" si="1"/>
        <v>35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Diana</v>
      </c>
      <c r="O26" s="6" t="str" cm="1">
        <f t="array" aca="1" ref="O26" ca="1">INDEX($B$2:$B$40,J26,1)</f>
        <v>Lara</v>
      </c>
      <c r="P26" s="6" t="str" cm="1">
        <f t="array" aca="1" ref="P26" ca="1">INDEX($E$2:$E$98,K26)</f>
        <v>Moura</v>
      </c>
      <c r="Q26" s="6" t="str" cm="1">
        <f t="array" aca="1" ref="Q26" ca="1">INDEX($E$2:$E$98,L26)</f>
        <v>Mendes</v>
      </c>
      <c r="S26" t="str">
        <f t="shared" ca="1" si="2"/>
        <v>Feminino</v>
      </c>
      <c r="T26" t="str">
        <f t="shared" ca="1" si="4"/>
        <v>Diana Mendes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19</v>
      </c>
      <c r="J27">
        <f t="shared" ca="1" si="0"/>
        <v>20</v>
      </c>
      <c r="K27">
        <f t="shared" ca="1" si="1"/>
        <v>17</v>
      </c>
      <c r="L27">
        <f t="shared" ca="1" si="1"/>
        <v>42</v>
      </c>
      <c r="M27" s="6" t="str" cm="1">
        <f t="array" aca="1" ref="M27" ca="1">INDEX($A$2:$A$40,I27,1)</f>
        <v>Feminino</v>
      </c>
      <c r="N27" s="6" t="str" cm="1">
        <f t="array" aca="1" ref="N27" ca="1">INDEX($B$2:$B$40,I27,1)</f>
        <v>Leonor</v>
      </c>
      <c r="O27" s="6" t="str" cm="1">
        <f t="array" aca="1" ref="O27" ca="1">INDEX($B$2:$B$40,J27,1)</f>
        <v>Luís</v>
      </c>
      <c r="P27" s="6" t="str" cm="1">
        <f t="array" aca="1" ref="P27" ca="1">INDEX($E$2:$E$98,K27)</f>
        <v>Ferreira</v>
      </c>
      <c r="Q27" s="6" t="str" cm="1">
        <f t="array" aca="1" ref="Q27" ca="1">INDEX($E$2:$E$98,L27)</f>
        <v>Fonseca</v>
      </c>
      <c r="S27" t="str">
        <f t="shared" ca="1" si="2"/>
        <v>Feminino</v>
      </c>
      <c r="T27" t="str">
        <f t="shared" ca="1" si="4"/>
        <v>Leonor Fonseca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33</v>
      </c>
      <c r="J28">
        <f t="shared" ca="1" si="0"/>
        <v>34</v>
      </c>
      <c r="K28">
        <f t="shared" ca="1" si="1"/>
        <v>56</v>
      </c>
      <c r="L28">
        <f t="shared" ca="1" si="1"/>
        <v>17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Sara</v>
      </c>
      <c r="O28" s="6" t="str" cm="1">
        <f t="array" aca="1" ref="O28" ca="1">INDEX($B$2:$B$40,J28,1)</f>
        <v>Sofia</v>
      </c>
      <c r="P28" s="6" t="str" cm="1">
        <f t="array" aca="1" ref="P28" ca="1">INDEX($E$2:$E$98,K28)</f>
        <v>Batista</v>
      </c>
      <c r="Q28" s="6" t="str" cm="1">
        <f t="array" aca="1" ref="Q28" ca="1">INDEX($E$2:$E$98,L28)</f>
        <v>Ferreira</v>
      </c>
      <c r="S28" t="str">
        <f t="shared" ca="1" si="2"/>
        <v>Feminino</v>
      </c>
      <c r="T28" t="str">
        <f t="shared" ca="1" si="4"/>
        <v>Sara Ferreira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36</v>
      </c>
      <c r="J29">
        <f t="shared" ca="1" si="0"/>
        <v>15</v>
      </c>
      <c r="K29">
        <f t="shared" ca="1" si="1"/>
        <v>47</v>
      </c>
      <c r="L29">
        <f t="shared" ca="1" si="1"/>
        <v>91</v>
      </c>
      <c r="M29" s="6" t="str" cm="1">
        <f t="array" aca="1" ref="M29" ca="1">INDEX($A$2:$A$40,I29,1)</f>
        <v>Masculino</v>
      </c>
      <c r="N29" s="6" t="str" cm="1">
        <f t="array" aca="1" ref="N29" ca="1">INDEX($B$2:$B$40,I29,1)</f>
        <v>Tomás</v>
      </c>
      <c r="O29" s="6" t="str" cm="1">
        <f t="array" aca="1" ref="O29" ca="1">INDEX($B$2:$B$40,J29,1)</f>
        <v>Inês</v>
      </c>
      <c r="P29" s="6" t="str" cm="1">
        <f t="array" aca="1" ref="P29" ca="1">INDEX($E$2:$E$98,K29)</f>
        <v>Lourenço</v>
      </c>
      <c r="Q29" s="6" t="str" cm="1">
        <f t="array" aca="1" ref="Q29" ca="1">INDEX($E$2:$E$98,L29)</f>
        <v>Leal</v>
      </c>
      <c r="S29" t="str">
        <f t="shared" ca="1" si="2"/>
        <v>Masculino</v>
      </c>
      <c r="T29" t="str">
        <f t="shared" ca="1" si="4"/>
        <v>Tomás Leal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2</v>
      </c>
      <c r="J30">
        <f t="shared" ca="1" si="0"/>
        <v>19</v>
      </c>
      <c r="K30">
        <f t="shared" ca="1" si="1"/>
        <v>72</v>
      </c>
      <c r="L30">
        <f t="shared" ca="1" si="1"/>
        <v>10</v>
      </c>
      <c r="M30" s="6" t="str" cm="1">
        <f t="array" aca="1" ref="M30" ca="1">INDEX($A$2:$A$40,I30,1)</f>
        <v>Feminino</v>
      </c>
      <c r="N30" s="6" t="str" cm="1">
        <f t="array" aca="1" ref="N30" ca="1">INDEX($B$2:$B$40,I30,1)</f>
        <v>Ana</v>
      </c>
      <c r="O30" s="6" t="str" cm="1">
        <f t="array" aca="1" ref="O30" ca="1">INDEX($B$2:$B$40,J30,1)</f>
        <v>Leonor</v>
      </c>
      <c r="P30" s="6" t="str" cm="1">
        <f t="array" aca="1" ref="P30" ca="1">INDEX($E$2:$E$98,K30)</f>
        <v>Leite</v>
      </c>
      <c r="Q30" s="6" t="str" cm="1">
        <f t="array" aca="1" ref="Q30" ca="1">INDEX($E$2:$E$98,L30)</f>
        <v>Correia</v>
      </c>
      <c r="S30" t="str">
        <f t="shared" ca="1" si="2"/>
        <v>Feminino</v>
      </c>
      <c r="T30" t="str">
        <f t="shared" ca="1" si="4"/>
        <v>Ana Correia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8</v>
      </c>
      <c r="J31">
        <f t="shared" ca="1" si="0"/>
        <v>6</v>
      </c>
      <c r="K31">
        <f t="shared" ca="1" si="1"/>
        <v>75</v>
      </c>
      <c r="L31">
        <f t="shared" ca="1" si="1"/>
        <v>27</v>
      </c>
      <c r="M31" s="6" t="str" cm="1">
        <f t="array" aca="1" ref="M31" ca="1">INDEX($A$2:$A$40,I31,1)</f>
        <v>Feminino</v>
      </c>
      <c r="N31" s="6" t="str" cm="1">
        <f t="array" aca="1" ref="N31" ca="1">INDEX($B$2:$B$40,I31,1)</f>
        <v>Daniela</v>
      </c>
      <c r="O31" s="6" t="str" cm="1">
        <f t="array" aca="1" ref="O31" ca="1">INDEX($B$2:$B$40,J31,1)</f>
        <v>Carolina</v>
      </c>
      <c r="P31" s="6" t="str" cm="1">
        <f t="array" aca="1" ref="P31" ca="1">INDEX($E$2:$E$98,K31)</f>
        <v>Melo</v>
      </c>
      <c r="Q31" s="6" t="str" cm="1">
        <f t="array" aca="1" ref="Q31" ca="1">INDEX($E$2:$E$98,L31)</f>
        <v>Marques</v>
      </c>
      <c r="S31" t="str">
        <f t="shared" ca="1" si="2"/>
        <v>Feminino</v>
      </c>
      <c r="T31" t="str">
        <f t="shared" ca="1" si="4"/>
        <v>Daniela Marques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12</v>
      </c>
      <c r="J32">
        <f t="shared" ca="1" si="0"/>
        <v>9</v>
      </c>
      <c r="K32">
        <f t="shared" ca="1" si="1"/>
        <v>22</v>
      </c>
      <c r="L32">
        <f t="shared" ca="1" si="1"/>
        <v>39</v>
      </c>
      <c r="M32" s="6" t="str" cm="1">
        <f t="array" aca="1" ref="M32" ca="1">INDEX($A$2:$A$40,I32,1)</f>
        <v>Feminino</v>
      </c>
      <c r="N32" s="6" t="str" cm="1">
        <f t="array" aca="1" ref="N32" ca="1">INDEX($B$2:$B$40,I32,1)</f>
        <v>Francisca</v>
      </c>
      <c r="O32" s="6" t="str" cm="1">
        <f t="array" aca="1" ref="O32" ca="1">INDEX($B$2:$B$40,J32,1)</f>
        <v>Diana</v>
      </c>
      <c r="P32" s="6" t="str" cm="1">
        <f t="array" aca="1" ref="P32" ca="1">INDEX($E$2:$E$98,K32)</f>
        <v>Gonçalves</v>
      </c>
      <c r="Q32" s="6" t="str" cm="1">
        <f t="array" aca="1" ref="Q32" ca="1">INDEX($E$2:$E$98,L32)</f>
        <v>Simões</v>
      </c>
      <c r="S32" t="str">
        <f t="shared" ca="1" si="2"/>
        <v>Feminino</v>
      </c>
      <c r="T32" t="str">
        <f t="shared" ca="1" si="4"/>
        <v>Francisca Simões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5</v>
      </c>
      <c r="J33">
        <f t="shared" ca="1" si="0"/>
        <v>6</v>
      </c>
      <c r="K33">
        <f t="shared" ca="1" si="1"/>
        <v>39</v>
      </c>
      <c r="L33">
        <f t="shared" ca="1" si="1"/>
        <v>43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Bruno</v>
      </c>
      <c r="O33" s="6" t="str" cm="1">
        <f t="array" aca="1" ref="O33" ca="1">INDEX($B$2:$B$40,J33,1)</f>
        <v>Carolina</v>
      </c>
      <c r="P33" s="6" t="str" cm="1">
        <f t="array" aca="1" ref="P33" ca="1">INDEX($E$2:$E$98,K33)</f>
        <v>Simões</v>
      </c>
      <c r="Q33" s="6" t="str" cm="1">
        <f t="array" aca="1" ref="Q33" ca="1">INDEX($E$2:$E$98,L33)</f>
        <v>Machado</v>
      </c>
      <c r="S33" t="str">
        <f t="shared" ca="1" si="2"/>
        <v>Masculino</v>
      </c>
      <c r="T33" t="str">
        <f t="shared" ca="1" si="4"/>
        <v>Bruno Machado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21</v>
      </c>
      <c r="J34">
        <f t="shared" ca="1" si="0"/>
        <v>11</v>
      </c>
      <c r="K34">
        <f t="shared" ca="1" si="1"/>
        <v>20</v>
      </c>
      <c r="L34">
        <f t="shared" ca="1" si="1"/>
        <v>88</v>
      </c>
      <c r="M34" s="6" t="str" cm="1">
        <f t="array" aca="1" ref="M34" ca="1">INDEX($A$2:$A$40,I34,1)</f>
        <v>Feminino</v>
      </c>
      <c r="N34" s="6" t="str" cm="1">
        <f t="array" aca="1" ref="N34" ca="1">INDEX($B$2:$B$40,I34,1)</f>
        <v>Lurdes</v>
      </c>
      <c r="O34" s="6" t="str" cm="1">
        <f t="array" aca="1" ref="O34" ca="1">INDEX($B$2:$B$40,J34,1)</f>
        <v>Duarte</v>
      </c>
      <c r="P34" s="6" t="str" cm="1">
        <f t="array" aca="1" ref="P34" ca="1">INDEX($E$2:$E$98,K34)</f>
        <v>Cardoso</v>
      </c>
      <c r="Q34" s="6" t="str" cm="1">
        <f t="array" aca="1" ref="Q34" ca="1">INDEX($E$2:$E$98,L34)</f>
        <v>Neto</v>
      </c>
      <c r="S34" t="str">
        <f t="shared" ca="1" si="2"/>
        <v>Feminino</v>
      </c>
      <c r="T34" t="str">
        <f t="shared" ca="1" si="4"/>
        <v>Lurdes Neto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6</v>
      </c>
      <c r="J35">
        <f t="shared" ca="1" si="0"/>
        <v>2</v>
      </c>
      <c r="K35">
        <f t="shared" ca="1" si="1"/>
        <v>17</v>
      </c>
      <c r="L35">
        <f t="shared" ca="1" si="1"/>
        <v>38</v>
      </c>
      <c r="M35" s="6" t="str" cm="1">
        <f t="array" aca="1" ref="M35" ca="1">INDEX($A$2:$A$40,I35,1)</f>
        <v>Feminino</v>
      </c>
      <c r="N35" s="6" t="str" cm="1">
        <f t="array" aca="1" ref="N35" ca="1">INDEX($B$2:$B$40,I35,1)</f>
        <v>Carolina</v>
      </c>
      <c r="O35" s="6" t="str" cm="1">
        <f t="array" aca="1" ref="O35" ca="1">INDEX($B$2:$B$40,J35,1)</f>
        <v>Ana</v>
      </c>
      <c r="P35" s="6" t="str" cm="1">
        <f t="array" aca="1" ref="P35" ca="1">INDEX($E$2:$E$98,K35)</f>
        <v>Ferreira</v>
      </c>
      <c r="Q35" s="6" t="str" cm="1">
        <f t="array" aca="1" ref="Q35" ca="1">INDEX($E$2:$E$98,L35)</f>
        <v>Reis</v>
      </c>
      <c r="S35" t="str">
        <f t="shared" ca="1" si="2"/>
        <v>Feminino</v>
      </c>
      <c r="T35" t="str">
        <f ca="1">N35 &amp; " " &amp; P35 &amp; " " &amp; Q35</f>
        <v>Carolina Ferreira Reis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29</v>
      </c>
      <c r="J36">
        <f t="shared" ca="1" si="0"/>
        <v>2</v>
      </c>
      <c r="K36">
        <f t="shared" ca="1" si="1"/>
        <v>87</v>
      </c>
      <c r="L36">
        <f t="shared" ca="1" si="1"/>
        <v>89</v>
      </c>
      <c r="M36" s="6" t="str" cm="1">
        <f t="array" aca="1" ref="M36" ca="1">INDEX($A$2:$A$40,I36,1)</f>
        <v>Masculino</v>
      </c>
      <c r="N36" s="6" t="str" cm="1">
        <f t="array" aca="1" ref="N36" ca="1">INDEX($B$2:$B$40,I36,1)</f>
        <v>Pedro</v>
      </c>
      <c r="O36" s="6" t="str" cm="1">
        <f t="array" aca="1" ref="O36" ca="1">INDEX($B$2:$B$40,J36,1)</f>
        <v>Ana</v>
      </c>
      <c r="P36" s="6" t="str" cm="1">
        <f t="array" aca="1" ref="P36" ca="1">INDEX($E$2:$E$98,K36)</f>
        <v>Loureiro</v>
      </c>
      <c r="Q36" s="6" t="str" cm="1">
        <f t="array" aca="1" ref="Q36" ca="1">INDEX($E$2:$E$98,L36)</f>
        <v>Amaral</v>
      </c>
      <c r="S36" t="str">
        <f t="shared" ca="1" si="2"/>
        <v>Masculino</v>
      </c>
      <c r="T36" t="str">
        <f t="shared" ref="T36:T51" ca="1" si="5">N36 &amp; " " &amp; P36 &amp; " " &amp; Q36</f>
        <v>Pedro Loureiro Amaral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20</v>
      </c>
      <c r="J37">
        <f t="shared" ca="1" si="0"/>
        <v>31</v>
      </c>
      <c r="K37">
        <f t="shared" ca="1" si="1"/>
        <v>3</v>
      </c>
      <c r="L37">
        <f t="shared" ca="1" si="1"/>
        <v>85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Luís</v>
      </c>
      <c r="O37" s="6" t="str" cm="1">
        <f t="array" aca="1" ref="O37" ca="1">INDEX($B$2:$B$40,J37,1)</f>
        <v>Rodrigo</v>
      </c>
      <c r="P37" s="6" t="str" cm="1">
        <f t="array" aca="1" ref="P37" ca="1">INDEX($E$2:$E$98,K37)</f>
        <v>Vieira</v>
      </c>
      <c r="Q37" s="6" t="str" cm="1">
        <f t="array" aca="1" ref="Q37" ca="1">INDEX($E$2:$E$98,L37)</f>
        <v>Garcia</v>
      </c>
      <c r="S37" t="str">
        <f t="shared" ca="1" si="2"/>
        <v>Masculino</v>
      </c>
      <c r="T37" t="str">
        <f t="shared" ca="1" si="5"/>
        <v>Luís Vieira Garcia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38</v>
      </c>
      <c r="J38">
        <f t="shared" ca="1" si="0"/>
        <v>25</v>
      </c>
      <c r="K38">
        <f t="shared" ca="1" si="1"/>
        <v>30</v>
      </c>
      <c r="L38">
        <f t="shared" ca="1" si="1"/>
        <v>18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Joaquim</v>
      </c>
      <c r="O38" s="6" t="str" cm="1">
        <f t="array" aca="1" ref="O38" ca="1">INDEX($B$2:$B$40,J38,1)</f>
        <v>Mariana</v>
      </c>
      <c r="P38" s="6" t="str" cm="1">
        <f t="array" aca="1" ref="P38" ca="1">INDEX($E$2:$E$98,K38)</f>
        <v>Monteiro</v>
      </c>
      <c r="Q38" s="6" t="str" cm="1">
        <f t="array" aca="1" ref="Q38" ca="1">INDEX($E$2:$E$98,L38)</f>
        <v>Soares</v>
      </c>
      <c r="S38" t="str">
        <f t="shared" ca="1" si="2"/>
        <v>Masculino</v>
      </c>
      <c r="T38" t="str">
        <f t="shared" ca="1" si="5"/>
        <v>Joaquim Monteiro Soares</v>
      </c>
    </row>
    <row r="39" spans="1:20" x14ac:dyDescent="0.25">
      <c r="A39" t="s">
        <v>53</v>
      </c>
      <c r="B39" t="s">
        <v>3739</v>
      </c>
      <c r="E39" t="s">
        <v>127</v>
      </c>
      <c r="I39">
        <f t="shared" ca="1" si="0"/>
        <v>32</v>
      </c>
      <c r="J39">
        <f t="shared" ca="1" si="0"/>
        <v>33</v>
      </c>
      <c r="K39">
        <f t="shared" ca="1" si="1"/>
        <v>89</v>
      </c>
      <c r="L39">
        <f t="shared" ca="1" si="1"/>
        <v>28</v>
      </c>
      <c r="M39" s="6" t="str" cm="1">
        <f t="array" aca="1" ref="M39" ca="1">INDEX($A$2:$A$40,I39,1)</f>
        <v>Masculino</v>
      </c>
      <c r="N39" s="6" t="str" cm="1">
        <f t="array" aca="1" ref="N39" ca="1">INDEX($B$2:$B$40,I39,1)</f>
        <v>Santiago</v>
      </c>
      <c r="O39" s="6" t="str" cm="1">
        <f t="array" aca="1" ref="O39" ca="1">INDEX($B$2:$B$40,J39,1)</f>
        <v>Sara</v>
      </c>
      <c r="P39" s="6" t="str" cm="1">
        <f t="array" aca="1" ref="P39" ca="1">INDEX($E$2:$E$98,K39)</f>
        <v>Amaral</v>
      </c>
      <c r="Q39" s="6" t="str" cm="1">
        <f t="array" aca="1" ref="Q39" ca="1">INDEX($E$2:$E$98,L39)</f>
        <v>Jesus</v>
      </c>
      <c r="S39" t="str">
        <f t="shared" ca="1" si="2"/>
        <v>Masculino</v>
      </c>
      <c r="T39" t="str">
        <f t="shared" ca="1" si="5"/>
        <v>Santiago Amaral Jesus</v>
      </c>
    </row>
    <row r="40" spans="1:20" x14ac:dyDescent="0.25">
      <c r="A40" t="s">
        <v>66</v>
      </c>
      <c r="B40" t="s">
        <v>3741</v>
      </c>
      <c r="E40" t="s">
        <v>128</v>
      </c>
      <c r="I40">
        <f t="shared" ca="1" si="0"/>
        <v>13</v>
      </c>
      <c r="J40">
        <f t="shared" ca="1" si="0"/>
        <v>7</v>
      </c>
      <c r="K40">
        <f t="shared" ca="1" si="1"/>
        <v>97</v>
      </c>
      <c r="L40">
        <f t="shared" ca="1" si="1"/>
        <v>72</v>
      </c>
      <c r="M40" s="6" t="str" cm="1">
        <f t="array" aca="1" ref="M40" ca="1">INDEX($A$2:$A$40,I40,1)</f>
        <v>Masculino</v>
      </c>
      <c r="N40" s="6" t="str" cm="1">
        <f t="array" aca="1" ref="N40" ca="1">INDEX($B$2:$B$40,I40,1)</f>
        <v>Francisco</v>
      </c>
      <c r="O40" s="6" t="str" cm="1">
        <f t="array" aca="1" ref="O40" ca="1">INDEX($B$2:$B$40,J40,1)</f>
        <v>Catarina</v>
      </c>
      <c r="P40" s="6" t="str" cm="1">
        <f t="array" aca="1" ref="P40" ca="1">INDEX($E$2:$E$98,K40)</f>
        <v>Torres</v>
      </c>
      <c r="Q40" s="6" t="str" cm="1">
        <f t="array" aca="1" ref="Q40" ca="1">INDEX($E$2:$E$98,L40)</f>
        <v>Leite</v>
      </c>
      <c r="S40" t="str">
        <f t="shared" ca="1" si="2"/>
        <v>Masculino</v>
      </c>
      <c r="T40" t="str">
        <f t="shared" ca="1" si="5"/>
        <v>Francisco Torres Leite</v>
      </c>
    </row>
    <row r="41" spans="1:20" x14ac:dyDescent="0.25">
      <c r="E41" t="s">
        <v>129</v>
      </c>
      <c r="I41">
        <f t="shared" ca="1" si="0"/>
        <v>7</v>
      </c>
      <c r="J41">
        <f t="shared" ca="1" si="0"/>
        <v>13</v>
      </c>
      <c r="K41">
        <f t="shared" ca="1" si="1"/>
        <v>8</v>
      </c>
      <c r="L41">
        <f t="shared" ca="1" si="1"/>
        <v>37</v>
      </c>
      <c r="M41" s="6" t="str" cm="1">
        <f t="array" aca="1" ref="M41" ca="1">INDEX($A$2:$A$40,I41,1)</f>
        <v>Feminino</v>
      </c>
      <c r="N41" s="6" t="str" cm="1">
        <f t="array" aca="1" ref="N41" ca="1">INDEX($B$2:$B$40,I41,1)</f>
        <v>Catarina</v>
      </c>
      <c r="O41" s="6" t="str" cm="1">
        <f t="array" aca="1" ref="O41" ca="1">INDEX($B$2:$B$40,J41,1)</f>
        <v>Francisco</v>
      </c>
      <c r="P41" s="6" t="str" cm="1">
        <f t="array" aca="1" ref="P41" ca="1">INDEX($E$2:$E$98,K41)</f>
        <v>Pires</v>
      </c>
      <c r="Q41" s="6" t="str" cm="1">
        <f t="array" aca="1" ref="Q41" ca="1">INDEX($E$2:$E$98,L41)</f>
        <v>Rocha</v>
      </c>
      <c r="S41" t="str">
        <f t="shared" ca="1" si="2"/>
        <v>Feminino</v>
      </c>
      <c r="T41" t="str">
        <f t="shared" ca="1" si="5"/>
        <v>Catarina Pires Rocha</v>
      </c>
    </row>
    <row r="42" spans="1:20" x14ac:dyDescent="0.25">
      <c r="E42" t="s">
        <v>130</v>
      </c>
      <c r="I42">
        <f t="shared" ca="1" si="0"/>
        <v>5</v>
      </c>
      <c r="J42">
        <f t="shared" ca="1" si="0"/>
        <v>37</v>
      </c>
      <c r="K42">
        <f t="shared" ca="1" si="1"/>
        <v>97</v>
      </c>
      <c r="L42">
        <f t="shared" ca="1" si="1"/>
        <v>31</v>
      </c>
      <c r="M42" s="6" t="str" cm="1">
        <f t="array" aca="1" ref="M42" ca="1">INDEX($A$2:$A$40,I42,1)</f>
        <v>Masculino</v>
      </c>
      <c r="N42" s="6" t="str" cm="1">
        <f t="array" aca="1" ref="N42" ca="1">INDEX($B$2:$B$40,I42,1)</f>
        <v>Bruno</v>
      </c>
      <c r="O42" s="6" t="str" cm="1">
        <f t="array" aca="1" ref="O42" ca="1">INDEX($B$2:$B$40,J42,1)</f>
        <v>Vera</v>
      </c>
      <c r="P42" s="6" t="str" cm="1">
        <f t="array" aca="1" ref="P42" ca="1">INDEX($E$2:$E$98,K42)</f>
        <v>Torres</v>
      </c>
      <c r="Q42" s="6" t="str" cm="1">
        <f t="array" aca="1" ref="Q42" ca="1">INDEX($E$2:$E$98,L42)</f>
        <v>Oliveira</v>
      </c>
      <c r="S42" t="str">
        <f t="shared" ca="1" si="2"/>
        <v>Masculino</v>
      </c>
      <c r="T42" t="str">
        <f t="shared" ca="1" si="5"/>
        <v>Bruno Torres Oliveira</v>
      </c>
    </row>
    <row r="43" spans="1:20" x14ac:dyDescent="0.25">
      <c r="E43" t="s">
        <v>131</v>
      </c>
      <c r="I43">
        <f t="shared" ca="1" si="0"/>
        <v>2</v>
      </c>
      <c r="J43">
        <f t="shared" ca="1" si="0"/>
        <v>39</v>
      </c>
      <c r="K43">
        <f t="shared" ca="1" si="1"/>
        <v>60</v>
      </c>
      <c r="L43">
        <f t="shared" ca="1" si="1"/>
        <v>19</v>
      </c>
      <c r="M43" s="6" t="str" cm="1">
        <f t="array" aca="1" ref="M43" ca="1">INDEX($A$2:$A$40,I43,1)</f>
        <v>Feminino</v>
      </c>
      <c r="N43" s="6" t="str" cm="1">
        <f t="array" aca="1" ref="N43" ca="1">INDEX($B$2:$B$40,I43,1)</f>
        <v>Ana</v>
      </c>
      <c r="O43" s="6" t="str" cm="1">
        <f t="array" aca="1" ref="O43" ca="1">INDEX($B$2:$B$40,J43,1)</f>
        <v>Lara</v>
      </c>
      <c r="P43" s="6" t="str" cm="1">
        <f t="array" aca="1" ref="P43" ca="1">INDEX($E$2:$E$98,K43)</f>
        <v>Barros</v>
      </c>
      <c r="Q43" s="6" t="str" cm="1">
        <f t="array" aca="1" ref="Q43" ca="1">INDEX($E$2:$E$98,L43)</f>
        <v>Lopes</v>
      </c>
      <c r="S43" t="str">
        <f t="shared" ca="1" si="2"/>
        <v>Feminino</v>
      </c>
      <c r="T43" t="str">
        <f t="shared" ca="1" si="5"/>
        <v>Ana Barros Lopes</v>
      </c>
    </row>
    <row r="44" spans="1:20" x14ac:dyDescent="0.25">
      <c r="E44" t="s">
        <v>132</v>
      </c>
      <c r="I44">
        <f t="shared" ca="1" si="0"/>
        <v>1</v>
      </c>
      <c r="J44">
        <f t="shared" ca="1" si="0"/>
        <v>17</v>
      </c>
      <c r="K44">
        <f t="shared" ca="1" si="1"/>
        <v>13</v>
      </c>
      <c r="L44">
        <f t="shared" ca="1" si="1"/>
        <v>16</v>
      </c>
      <c r="M44" s="6" t="str" cm="1">
        <f t="array" aca="1" ref="M44" ca="1">INDEX($A$2:$A$40,I44,1)</f>
        <v>Masculino</v>
      </c>
      <c r="N44" s="6" t="str" cm="1">
        <f t="array" aca="1" ref="N44" ca="1">INDEX($B$2:$B$40,I44,1)</f>
        <v>Afonso</v>
      </c>
      <c r="O44" s="6" t="str" cm="1">
        <f t="array" aca="1" ref="O44" ca="1">INDEX($B$2:$B$40,J44,1)</f>
        <v>João</v>
      </c>
      <c r="P44" s="6" t="str" cm="1">
        <f t="array" aca="1" ref="P44" ca="1">INDEX($E$2:$E$98,K44)</f>
        <v>Santos</v>
      </c>
      <c r="Q44" s="6" t="str" cm="1">
        <f t="array" aca="1" ref="Q44" ca="1">INDEX($E$2:$E$98,L44)</f>
        <v>Neves</v>
      </c>
      <c r="S44" t="str">
        <f t="shared" ca="1" si="2"/>
        <v>Masculino</v>
      </c>
      <c r="T44" t="str">
        <f t="shared" ca="1" si="5"/>
        <v>Afonso Santos Neves</v>
      </c>
    </row>
    <row r="45" spans="1:20" x14ac:dyDescent="0.25">
      <c r="E45" t="s">
        <v>133</v>
      </c>
      <c r="I45">
        <f t="shared" ca="1" si="0"/>
        <v>27</v>
      </c>
      <c r="J45">
        <f t="shared" ca="1" si="0"/>
        <v>15</v>
      </c>
      <c r="K45">
        <f t="shared" ca="1" si="1"/>
        <v>86</v>
      </c>
      <c r="L45">
        <f t="shared" ca="1" si="1"/>
        <v>94</v>
      </c>
      <c r="M45" s="6" t="str" cm="1">
        <f t="array" aca="1" ref="M45" ca="1">INDEX($A$2:$A$40,I45,1)</f>
        <v>Feminino</v>
      </c>
      <c r="N45" s="6" t="str" cm="1">
        <f t="array" aca="1" ref="N45" ca="1">INDEX($B$2:$B$40,I45,1)</f>
        <v>Matilde</v>
      </c>
      <c r="O45" s="6" t="str" cm="1">
        <f t="array" aca="1" ref="O45" ca="1">INDEX($B$2:$B$40,J45,1)</f>
        <v>Inês</v>
      </c>
      <c r="P45" s="6" t="str" cm="1">
        <f t="array" aca="1" ref="P45" ca="1">INDEX($E$2:$E$98,K45)</f>
        <v>Carneiro</v>
      </c>
      <c r="Q45" s="6" t="str" cm="1">
        <f t="array" aca="1" ref="Q45" ca="1">INDEX($E$2:$E$98,L45)</f>
        <v>Paiva</v>
      </c>
      <c r="S45" t="str">
        <f t="shared" ca="1" si="2"/>
        <v>Feminino</v>
      </c>
      <c r="T45" t="str">
        <f t="shared" ca="1" si="5"/>
        <v>Matilde Carneiro Paiva</v>
      </c>
    </row>
    <row r="46" spans="1:20" x14ac:dyDescent="0.25">
      <c r="E46" t="s">
        <v>134</v>
      </c>
      <c r="I46">
        <f t="shared" ca="1" si="0"/>
        <v>20</v>
      </c>
      <c r="J46">
        <f t="shared" ca="1" si="0"/>
        <v>26</v>
      </c>
      <c r="K46">
        <f t="shared" ca="1" si="1"/>
        <v>54</v>
      </c>
      <c r="L46">
        <f t="shared" ca="1" si="1"/>
        <v>28</v>
      </c>
      <c r="M46" s="6" t="str" cm="1">
        <f t="array" aca="1" ref="M46" ca="1">INDEX($A$2:$A$40,I46,1)</f>
        <v>Masculino</v>
      </c>
      <c r="N46" s="6" t="str" cm="1">
        <f t="array" aca="1" ref="N46" ca="1">INDEX($B$2:$B$40,I46,1)</f>
        <v>Luís</v>
      </c>
      <c r="O46" s="6" t="str" cm="1">
        <f t="array" aca="1" ref="O46" ca="1">INDEX($B$2:$B$40,J46,1)</f>
        <v>Martim</v>
      </c>
      <c r="P46" s="6" t="str" cm="1">
        <f t="array" aca="1" ref="P46" ca="1">INDEX($E$2:$E$98,K46)</f>
        <v>Lima</v>
      </c>
      <c r="Q46" s="6" t="str" cm="1">
        <f t="array" aca="1" ref="Q46" ca="1">INDEX($E$2:$E$98,L46)</f>
        <v>Jesus</v>
      </c>
      <c r="S46" t="str">
        <f t="shared" ca="1" si="2"/>
        <v>Masculino</v>
      </c>
      <c r="T46" t="str">
        <f t="shared" ca="1" si="5"/>
        <v>Luís Lima Jesus</v>
      </c>
    </row>
    <row r="47" spans="1:20" x14ac:dyDescent="0.25">
      <c r="E47" t="s">
        <v>135</v>
      </c>
      <c r="I47">
        <f t="shared" ca="1" si="0"/>
        <v>25</v>
      </c>
      <c r="J47">
        <f t="shared" ca="1" si="0"/>
        <v>29</v>
      </c>
      <c r="K47">
        <f t="shared" ca="1" si="1"/>
        <v>19</v>
      </c>
      <c r="L47">
        <f t="shared" ca="1" si="1"/>
        <v>10</v>
      </c>
      <c r="M47" s="6" t="str" cm="1">
        <f t="array" aca="1" ref="M47" ca="1">INDEX($A$2:$A$40,I47,1)</f>
        <v>Feminino</v>
      </c>
      <c r="N47" s="6" t="str" cm="1">
        <f t="array" aca="1" ref="N47" ca="1">INDEX($B$2:$B$40,I47,1)</f>
        <v>Mariana</v>
      </c>
      <c r="O47" s="6" t="str" cm="1">
        <f t="array" aca="1" ref="O47" ca="1">INDEX($B$2:$B$40,J47,1)</f>
        <v>Pedro</v>
      </c>
      <c r="P47" s="6" t="str" cm="1">
        <f t="array" aca="1" ref="P47" ca="1">INDEX($E$2:$E$98,K47)</f>
        <v>Lopes</v>
      </c>
      <c r="Q47" s="6" t="str" cm="1">
        <f t="array" aca="1" ref="Q47" ca="1">INDEX($E$2:$E$98,L47)</f>
        <v>Correia</v>
      </c>
      <c r="S47" t="str">
        <f t="shared" ca="1" si="2"/>
        <v>Feminino</v>
      </c>
      <c r="T47" t="str">
        <f t="shared" ca="1" si="5"/>
        <v>Mariana Lopes Correia</v>
      </c>
    </row>
    <row r="48" spans="1:20" x14ac:dyDescent="0.25">
      <c r="E48" t="s">
        <v>136</v>
      </c>
      <c r="I48">
        <f t="shared" ca="1" si="0"/>
        <v>32</v>
      </c>
      <c r="J48">
        <f t="shared" ca="1" si="0"/>
        <v>33</v>
      </c>
      <c r="K48">
        <f t="shared" ca="1" si="1"/>
        <v>13</v>
      </c>
      <c r="L48">
        <f t="shared" ca="1" si="1"/>
        <v>78</v>
      </c>
      <c r="M48" s="6" t="str" cm="1">
        <f t="array" aca="1" ref="M48" ca="1">INDEX($A$2:$A$40,I48,1)</f>
        <v>Masculino</v>
      </c>
      <c r="N48" s="6" t="str" cm="1">
        <f t="array" aca="1" ref="N48" ca="1">INDEX($B$2:$B$40,I48,1)</f>
        <v>Santiago</v>
      </c>
      <c r="O48" s="6" t="str" cm="1">
        <f t="array" aca="1" ref="O48" ca="1">INDEX($B$2:$B$40,J48,1)</f>
        <v>Sara</v>
      </c>
      <c r="P48" s="6" t="str" cm="1">
        <f t="array" aca="1" ref="P48" ca="1">INDEX($E$2:$E$98,K48)</f>
        <v>Santos</v>
      </c>
      <c r="Q48" s="6" t="str" cm="1">
        <f t="array" aca="1" ref="Q48" ca="1">INDEX($E$2:$E$98,L48)</f>
        <v>Vicente</v>
      </c>
      <c r="S48" t="str">
        <f t="shared" ca="1" si="2"/>
        <v>Masculino</v>
      </c>
      <c r="T48" t="str">
        <f t="shared" ca="1" si="5"/>
        <v>Santiago Santos Vicente</v>
      </c>
    </row>
    <row r="49" spans="5:20" x14ac:dyDescent="0.25">
      <c r="E49" t="s">
        <v>137</v>
      </c>
      <c r="I49">
        <f t="shared" ca="1" si="0"/>
        <v>20</v>
      </c>
      <c r="J49">
        <f t="shared" ca="1" si="0"/>
        <v>8</v>
      </c>
      <c r="K49">
        <f t="shared" ca="1" si="1"/>
        <v>47</v>
      </c>
      <c r="L49">
        <f t="shared" ca="1" si="1"/>
        <v>53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Luís</v>
      </c>
      <c r="O49" s="6" t="str" cm="1">
        <f t="array" aca="1" ref="O49" ca="1">INDEX($B$2:$B$40,J49,1)</f>
        <v>Daniela</v>
      </c>
      <c r="P49" s="6" t="str" cm="1">
        <f t="array" aca="1" ref="P49" ca="1">INDEX($E$2:$E$98,K49)</f>
        <v>Lourenço</v>
      </c>
      <c r="Q49" s="6" t="str" cm="1">
        <f t="array" aca="1" ref="Q49" ca="1">INDEX($E$2:$E$98,L49)</f>
        <v>Henriques</v>
      </c>
      <c r="S49" t="str">
        <f t="shared" ca="1" si="2"/>
        <v>Masculino</v>
      </c>
      <c r="T49" t="str">
        <f t="shared" ca="1" si="5"/>
        <v>Luís Lourenço Henriques</v>
      </c>
    </row>
    <row r="50" spans="5:20" x14ac:dyDescent="0.25">
      <c r="E50" t="s">
        <v>138</v>
      </c>
      <c r="I50">
        <f t="shared" ca="1" si="0"/>
        <v>25</v>
      </c>
      <c r="J50">
        <f t="shared" ca="1" si="0"/>
        <v>29</v>
      </c>
      <c r="K50">
        <f t="shared" ca="1" si="1"/>
        <v>45</v>
      </c>
      <c r="L50">
        <f t="shared" ca="1" si="1"/>
        <v>39</v>
      </c>
      <c r="M50" s="6" t="str" cm="1">
        <f t="array" aca="1" ref="M50" ca="1">INDEX($A$2:$A$40,I50,1)</f>
        <v>Feminino</v>
      </c>
      <c r="N50" s="6" t="str" cm="1">
        <f t="array" aca="1" ref="N50" ca="1">INDEX($B$2:$B$40,I50,1)</f>
        <v>Mariana</v>
      </c>
      <c r="O50" s="6" t="str" cm="1">
        <f t="array" aca="1" ref="O50" ca="1">INDEX($B$2:$B$40,J50,1)</f>
        <v>Pedro</v>
      </c>
      <c r="P50" s="6" t="str" cm="1">
        <f t="array" aca="1" ref="P50" ca="1">INDEX($E$2:$E$98,K50)</f>
        <v>Barbosa</v>
      </c>
      <c r="Q50" s="6" t="str" cm="1">
        <f t="array" aca="1" ref="Q50" ca="1">INDEX($E$2:$E$98,L50)</f>
        <v>Simões</v>
      </c>
      <c r="S50" t="str">
        <f t="shared" ca="1" si="2"/>
        <v>Feminino</v>
      </c>
      <c r="T50" t="str">
        <f t="shared" ca="1" si="5"/>
        <v>Mariana Barbosa Simões</v>
      </c>
    </row>
    <row r="51" spans="5:20" x14ac:dyDescent="0.25">
      <c r="E51" t="s">
        <v>139</v>
      </c>
      <c r="I51">
        <f t="shared" ca="1" si="0"/>
        <v>21</v>
      </c>
      <c r="J51">
        <f t="shared" ca="1" si="0"/>
        <v>30</v>
      </c>
      <c r="K51">
        <f t="shared" ca="1" si="1"/>
        <v>13</v>
      </c>
      <c r="L51">
        <f t="shared" ca="1" si="1"/>
        <v>56</v>
      </c>
      <c r="M51" s="6" t="str" cm="1">
        <f t="array" aca="1" ref="M51" ca="1">INDEX($A$2:$A$40,I51,1)</f>
        <v>Feminino</v>
      </c>
      <c r="N51" s="6" t="str" cm="1">
        <f t="array" aca="1" ref="N51" ca="1">INDEX($B$2:$B$40,I51,1)</f>
        <v>Lurdes</v>
      </c>
      <c r="O51" s="6" t="str" cm="1">
        <f t="array" aca="1" ref="O51" ca="1">INDEX($B$2:$B$40,J51,1)</f>
        <v>Ricardo</v>
      </c>
      <c r="P51" s="6" t="str" cm="1">
        <f t="array" aca="1" ref="P51" ca="1">INDEX($E$2:$E$98,K51)</f>
        <v>Santos</v>
      </c>
      <c r="Q51" s="6" t="str" cm="1">
        <f t="array" aca="1" ref="Q51" ca="1">INDEX($E$2:$E$98,L51)</f>
        <v>Batista</v>
      </c>
      <c r="S51" t="str">
        <f t="shared" ca="1" si="2"/>
        <v>Feminino</v>
      </c>
      <c r="T51" t="str">
        <f t="shared" ca="1" si="5"/>
        <v>Lurdes Santos Batista</v>
      </c>
    </row>
    <row r="52" spans="5:20" x14ac:dyDescent="0.25">
      <c r="E52" t="s">
        <v>140</v>
      </c>
      <c r="I52">
        <f t="shared" ca="1" si="0"/>
        <v>2</v>
      </c>
      <c r="J52">
        <f t="shared" ca="1" si="0"/>
        <v>39</v>
      </c>
      <c r="K52">
        <f t="shared" ca="1" si="1"/>
        <v>30</v>
      </c>
      <c r="L52">
        <f t="shared" ca="1" si="1"/>
        <v>3</v>
      </c>
      <c r="M52" s="6" t="str" cm="1">
        <f t="array" aca="1" ref="M52" ca="1">INDEX($A$2:$A$40,I52,1)</f>
        <v>Feminino</v>
      </c>
      <c r="N52" s="6" t="str" cm="1">
        <f t="array" aca="1" ref="N52" ca="1">INDEX($B$2:$B$40,I52,1)</f>
        <v>Ana</v>
      </c>
      <c r="O52" s="6" t="str" cm="1">
        <f t="array" aca="1" ref="O52" ca="1">INDEX($B$2:$B$40,J52,1)</f>
        <v>Lara</v>
      </c>
      <c r="P52" s="6" t="str" cm="1">
        <f t="array" aca="1" ref="P52" ca="1">INDEX($E$2:$E$98,K52)</f>
        <v>Monteiro</v>
      </c>
      <c r="Q52" s="6" t="str" cm="1">
        <f t="array" aca="1" ref="Q52" ca="1">INDEX($E$2:$E$98,L52)</f>
        <v>Vieira</v>
      </c>
      <c r="S52" t="str">
        <f t="shared" ca="1" si="2"/>
        <v>Feminino</v>
      </c>
      <c r="T52" t="str">
        <f ca="1">N52 &amp; " " &amp; O52 &amp; " " &amp; P52  &amp; " " &amp; Q52</f>
        <v>Ana Lara Monteiro Vieira</v>
      </c>
    </row>
    <row r="53" spans="5:20" x14ac:dyDescent="0.25">
      <c r="E53" t="s">
        <v>141</v>
      </c>
      <c r="I53">
        <f t="shared" ca="1" si="0"/>
        <v>15</v>
      </c>
      <c r="J53">
        <f t="shared" ca="1" si="0"/>
        <v>28</v>
      </c>
      <c r="K53">
        <f t="shared" ca="1" si="1"/>
        <v>4</v>
      </c>
      <c r="L53">
        <f t="shared" ca="1" si="1"/>
        <v>67</v>
      </c>
      <c r="M53" s="6" t="str" cm="1">
        <f t="array" aca="1" ref="M53" ca="1">INDEX($A$2:$A$40,I53,1)</f>
        <v>Feminino</v>
      </c>
      <c r="N53" s="6" t="str" cm="1">
        <f t="array" aca="1" ref="N53" ca="1">INDEX($B$2:$B$40,I53,1)</f>
        <v>Inês</v>
      </c>
      <c r="O53" s="6" t="str" cm="1">
        <f t="array" aca="1" ref="O53" ca="1">INDEX($B$2:$B$40,J53,1)</f>
        <v>Miguel</v>
      </c>
      <c r="P53" s="6" t="str" cm="1">
        <f t="array" aca="1" ref="P53" ca="1">INDEX($E$2:$E$98,K53)</f>
        <v>Alves</v>
      </c>
      <c r="Q53" s="6" t="str" cm="1">
        <f t="array" aca="1" ref="Q53" ca="1">INDEX($E$2:$E$98,L53)</f>
        <v>Mota</v>
      </c>
      <c r="S53" t="str">
        <f t="shared" ca="1" si="2"/>
        <v>Feminino</v>
      </c>
      <c r="T53" t="str">
        <f t="shared" ref="T53:T116" ca="1" si="6">N53 &amp; " " &amp; O53 &amp; " " &amp; P53  &amp; " " &amp; Q53</f>
        <v>Inês Miguel Alves Mota</v>
      </c>
    </row>
    <row r="54" spans="5:20" x14ac:dyDescent="0.25">
      <c r="E54" t="s">
        <v>142</v>
      </c>
      <c r="I54">
        <f t="shared" ca="1" si="0"/>
        <v>23</v>
      </c>
      <c r="J54">
        <f t="shared" ca="1" si="0"/>
        <v>25</v>
      </c>
      <c r="K54">
        <f t="shared" ca="1" si="1"/>
        <v>20</v>
      </c>
      <c r="L54">
        <f t="shared" ca="1" si="1"/>
        <v>77</v>
      </c>
      <c r="M54" s="6" t="str" cm="1">
        <f t="array" aca="1" ref="M54" ca="1">INDEX($A$2:$A$40,I54,1)</f>
        <v>Feminino</v>
      </c>
      <c r="N54" s="6" t="str" cm="1">
        <f t="array" aca="1" ref="N54" ca="1">INDEX($B$2:$B$40,I54,1)</f>
        <v>Maria</v>
      </c>
      <c r="O54" s="6" t="str" cm="1">
        <f t="array" aca="1" ref="O54" ca="1">INDEX($B$2:$B$40,J54,1)</f>
        <v>Mariana</v>
      </c>
      <c r="P54" s="6" t="str" cm="1">
        <f t="array" aca="1" ref="P54" ca="1">INDEX($E$2:$E$98,K54)</f>
        <v>Cardoso</v>
      </c>
      <c r="Q54" s="6" t="str" cm="1">
        <f t="array" aca="1" ref="Q54" ca="1">INDEX($E$2:$E$98,L54)</f>
        <v>Pinho</v>
      </c>
      <c r="S54" t="str">
        <f t="shared" ca="1" si="2"/>
        <v>Feminino</v>
      </c>
      <c r="T54" t="str">
        <f t="shared" ca="1" si="6"/>
        <v>Maria Mariana Cardoso Pinho</v>
      </c>
    </row>
    <row r="55" spans="5:20" x14ac:dyDescent="0.25">
      <c r="E55" t="s">
        <v>143</v>
      </c>
      <c r="I55">
        <f t="shared" ca="1" si="0"/>
        <v>2</v>
      </c>
      <c r="J55">
        <f t="shared" ca="1" si="0"/>
        <v>16</v>
      </c>
      <c r="K55">
        <f t="shared" ca="1" si="1"/>
        <v>7</v>
      </c>
      <c r="L55">
        <f t="shared" ca="1" si="1"/>
        <v>7</v>
      </c>
      <c r="M55" s="6" t="str" cm="1">
        <f t="array" aca="1" ref="M55" ca="1">INDEX($A$2:$A$40,I55,1)</f>
        <v>Feminino</v>
      </c>
      <c r="N55" s="6" t="str" cm="1">
        <f t="array" aca="1" ref="N55" ca="1">INDEX($B$2:$B$40,I55,1)</f>
        <v>Ana</v>
      </c>
      <c r="O55" s="6" t="str" cm="1">
        <f t="array" aca="1" ref="O55" ca="1">INDEX($B$2:$B$40,J55,1)</f>
        <v>Joana</v>
      </c>
      <c r="P55" s="6" t="str" cm="1">
        <f t="array" aca="1" ref="P55" ca="1">INDEX($E$2:$E$98,K55)</f>
        <v>Coelho</v>
      </c>
      <c r="Q55" s="6" t="str" cm="1">
        <f t="array" aca="1" ref="Q55" ca="1">INDEX($E$2:$E$98,L55)</f>
        <v>Coelho</v>
      </c>
      <c r="S55" t="str">
        <f t="shared" ca="1" si="2"/>
        <v>Feminino</v>
      </c>
      <c r="T55" t="str">
        <f t="shared" ca="1" si="6"/>
        <v>Ana Joana Coelho Coelho</v>
      </c>
    </row>
    <row r="56" spans="5:20" x14ac:dyDescent="0.25">
      <c r="E56" t="s">
        <v>144</v>
      </c>
      <c r="I56">
        <f t="shared" ca="1" si="0"/>
        <v>27</v>
      </c>
      <c r="J56">
        <f t="shared" ca="1" si="0"/>
        <v>31</v>
      </c>
      <c r="K56">
        <f t="shared" ca="1" si="1"/>
        <v>39</v>
      </c>
      <c r="L56">
        <f t="shared" ca="1" si="1"/>
        <v>91</v>
      </c>
      <c r="M56" s="6" t="str" cm="1">
        <f t="array" aca="1" ref="M56" ca="1">INDEX($A$2:$A$40,I56,1)</f>
        <v>Feminino</v>
      </c>
      <c r="N56" s="6" t="str" cm="1">
        <f t="array" aca="1" ref="N56" ca="1">INDEX($B$2:$B$40,I56,1)</f>
        <v>Matilde</v>
      </c>
      <c r="O56" s="6" t="str" cm="1">
        <f t="array" aca="1" ref="O56" ca="1">INDEX($B$2:$B$40,J56,1)</f>
        <v>Rodrigo</v>
      </c>
      <c r="P56" s="6" t="str" cm="1">
        <f t="array" aca="1" ref="P56" ca="1">INDEX($E$2:$E$98,K56)</f>
        <v>Simões</v>
      </c>
      <c r="Q56" s="6" t="str" cm="1">
        <f t="array" aca="1" ref="Q56" ca="1">INDEX($E$2:$E$98,L56)</f>
        <v>Leal</v>
      </c>
      <c r="S56" t="str">
        <f t="shared" ca="1" si="2"/>
        <v>Feminino</v>
      </c>
      <c r="T56" t="str">
        <f t="shared" ca="1" si="6"/>
        <v>Matilde Rodrigo Simões Leal</v>
      </c>
    </row>
    <row r="57" spans="5:20" x14ac:dyDescent="0.25">
      <c r="E57" t="s">
        <v>145</v>
      </c>
      <c r="I57">
        <f t="shared" ca="1" si="0"/>
        <v>25</v>
      </c>
      <c r="J57">
        <f t="shared" ca="1" si="0"/>
        <v>38</v>
      </c>
      <c r="K57">
        <f t="shared" ca="1" si="1"/>
        <v>42</v>
      </c>
      <c r="L57">
        <f t="shared" ca="1" si="1"/>
        <v>55</v>
      </c>
      <c r="M57" s="6" t="str" cm="1">
        <f t="array" aca="1" ref="M57" ca="1">INDEX($A$2:$A$40,I57,1)</f>
        <v>Feminino</v>
      </c>
      <c r="N57" s="6" t="str" cm="1">
        <f t="array" aca="1" ref="N57" ca="1">INDEX($B$2:$B$40,I57,1)</f>
        <v>Mariana</v>
      </c>
      <c r="O57" s="6" t="str" cm="1">
        <f t="array" aca="1" ref="O57" ca="1">INDEX($B$2:$B$40,J57,1)</f>
        <v>Joaquim</v>
      </c>
      <c r="P57" s="6" t="str" cm="1">
        <f t="array" aca="1" ref="P57" ca="1">INDEX($E$2:$E$98,K57)</f>
        <v>Fonseca</v>
      </c>
      <c r="Q57" s="6" t="str" cm="1">
        <f t="array" aca="1" ref="Q57" ca="1">INDEX($E$2:$E$98,L57)</f>
        <v>Guerreiro</v>
      </c>
      <c r="S57" t="str">
        <f t="shared" ca="1" si="2"/>
        <v>Feminino</v>
      </c>
      <c r="T57" t="str">
        <f t="shared" ca="1" si="6"/>
        <v>Mariana Joaquim Fonseca Guerreiro</v>
      </c>
    </row>
    <row r="58" spans="5:20" x14ac:dyDescent="0.25">
      <c r="E58" t="s">
        <v>146</v>
      </c>
      <c r="I58">
        <f t="shared" ca="1" si="0"/>
        <v>7</v>
      </c>
      <c r="J58">
        <f t="shared" ca="1" si="0"/>
        <v>37</v>
      </c>
      <c r="K58">
        <f t="shared" ca="1" si="1"/>
        <v>4</v>
      </c>
      <c r="L58">
        <f t="shared" ca="1" si="1"/>
        <v>31</v>
      </c>
      <c r="M58" s="6" t="str" cm="1">
        <f t="array" aca="1" ref="M58" ca="1">INDEX($A$2:$A$40,I58,1)</f>
        <v>Feminino</v>
      </c>
      <c r="N58" s="6" t="str" cm="1">
        <f t="array" aca="1" ref="N58" ca="1">INDEX($B$2:$B$40,I58,1)</f>
        <v>Catarina</v>
      </c>
      <c r="O58" s="6" t="str" cm="1">
        <f t="array" aca="1" ref="O58" ca="1">INDEX($B$2:$B$40,J58,1)</f>
        <v>Vera</v>
      </c>
      <c r="P58" s="6" t="str" cm="1">
        <f t="array" aca="1" ref="P58" ca="1">INDEX($E$2:$E$98,K58)</f>
        <v>Alves</v>
      </c>
      <c r="Q58" s="6" t="str" cm="1">
        <f t="array" aca="1" ref="Q58" ca="1">INDEX($E$2:$E$98,L58)</f>
        <v>Oliveira</v>
      </c>
      <c r="S58" t="str">
        <f t="shared" ca="1" si="2"/>
        <v>Feminino</v>
      </c>
      <c r="T58" t="str">
        <f t="shared" ca="1" si="6"/>
        <v>Catarina Vera Alves Oliveira</v>
      </c>
    </row>
    <row r="59" spans="5:20" x14ac:dyDescent="0.25">
      <c r="E59" t="s">
        <v>147</v>
      </c>
      <c r="I59">
        <f t="shared" ca="1" si="0"/>
        <v>2</v>
      </c>
      <c r="J59">
        <f t="shared" ca="1" si="0"/>
        <v>20</v>
      </c>
      <c r="K59">
        <f t="shared" ca="1" si="1"/>
        <v>54</v>
      </c>
      <c r="L59">
        <f t="shared" ca="1" si="1"/>
        <v>16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Ana</v>
      </c>
      <c r="O59" s="6" t="str" cm="1">
        <f t="array" aca="1" ref="O59" ca="1">INDEX($B$2:$B$40,J59,1)</f>
        <v>Luís</v>
      </c>
      <c r="P59" s="6" t="str" cm="1">
        <f t="array" aca="1" ref="P59" ca="1">INDEX($E$2:$E$98,K59)</f>
        <v>Lima</v>
      </c>
      <c r="Q59" s="6" t="str" cm="1">
        <f t="array" aca="1" ref="Q59" ca="1">INDEX($E$2:$E$98,L59)</f>
        <v>Neves</v>
      </c>
      <c r="S59" t="str">
        <f t="shared" ca="1" si="2"/>
        <v>Feminino</v>
      </c>
      <c r="T59" t="str">
        <f t="shared" ca="1" si="6"/>
        <v>Ana Luís Lima Neves</v>
      </c>
    </row>
    <row r="60" spans="5:20" x14ac:dyDescent="0.25">
      <c r="E60" t="s">
        <v>148</v>
      </c>
      <c r="I60">
        <f t="shared" ca="1" si="0"/>
        <v>22</v>
      </c>
      <c r="J60">
        <f t="shared" ca="1" si="0"/>
        <v>22</v>
      </c>
      <c r="K60">
        <f t="shared" ca="1" si="1"/>
        <v>41</v>
      </c>
      <c r="L60">
        <f t="shared" ca="1" si="1"/>
        <v>48</v>
      </c>
      <c r="M60" s="6" t="str" cm="1">
        <f t="array" aca="1" ref="M60" ca="1">INDEX($A$2:$A$40,I60,1)</f>
        <v>Masculino</v>
      </c>
      <c r="N60" s="6" t="str" cm="1">
        <f t="array" aca="1" ref="N60" ca="1">INDEX($B$2:$B$40,I60,1)</f>
        <v>Marco</v>
      </c>
      <c r="O60" s="6" t="str" cm="1">
        <f t="array" aca="1" ref="O60" ca="1">INDEX($B$2:$B$40,J60,1)</f>
        <v>Marco</v>
      </c>
      <c r="P60" s="6" t="str" cm="1">
        <f t="array" aca="1" ref="P60" ca="1">INDEX($E$2:$E$98,K60)</f>
        <v>Matos</v>
      </c>
      <c r="Q60" s="6" t="str" cm="1">
        <f t="array" aca="1" ref="Q60" ca="1">INDEX($E$2:$E$98,L60)</f>
        <v>Castro</v>
      </c>
      <c r="S60" t="str">
        <f t="shared" ca="1" si="2"/>
        <v>Masculino</v>
      </c>
      <c r="T60" t="str">
        <f t="shared" ca="1" si="6"/>
        <v>Marco Marco Matos Castro</v>
      </c>
    </row>
    <row r="61" spans="5:20" x14ac:dyDescent="0.25">
      <c r="E61" t="s">
        <v>149</v>
      </c>
      <c r="I61">
        <f t="shared" ca="1" si="0"/>
        <v>13</v>
      </c>
      <c r="J61">
        <f t="shared" ca="1" si="0"/>
        <v>34</v>
      </c>
      <c r="K61">
        <f t="shared" ca="1" si="1"/>
        <v>67</v>
      </c>
      <c r="L61">
        <f t="shared" ca="1" si="1"/>
        <v>18</v>
      </c>
      <c r="M61" s="6" t="str" cm="1">
        <f t="array" aca="1" ref="M61" ca="1">INDEX($A$2:$A$40,I61,1)</f>
        <v>Masculino</v>
      </c>
      <c r="N61" s="6" t="str" cm="1">
        <f t="array" aca="1" ref="N61" ca="1">INDEX($B$2:$B$40,I61,1)</f>
        <v>Francisco</v>
      </c>
      <c r="O61" s="6" t="str" cm="1">
        <f t="array" aca="1" ref="O61" ca="1">INDEX($B$2:$B$40,J61,1)</f>
        <v>Sofia</v>
      </c>
      <c r="P61" s="6" t="str" cm="1">
        <f t="array" aca="1" ref="P61" ca="1">INDEX($E$2:$E$98,K61)</f>
        <v>Mota</v>
      </c>
      <c r="Q61" s="6" t="str" cm="1">
        <f t="array" aca="1" ref="Q61" ca="1">INDEX($E$2:$E$98,L61)</f>
        <v>Soares</v>
      </c>
      <c r="S61" t="str">
        <f t="shared" ca="1" si="2"/>
        <v>Masculino</v>
      </c>
      <c r="T61" t="str">
        <f t="shared" ca="1" si="6"/>
        <v>Francisco Sofia Mota Soares</v>
      </c>
    </row>
    <row r="62" spans="5:20" x14ac:dyDescent="0.25">
      <c r="E62" t="s">
        <v>150</v>
      </c>
      <c r="I62">
        <f t="shared" ca="1" si="0"/>
        <v>23</v>
      </c>
      <c r="J62">
        <f t="shared" ca="1" si="0"/>
        <v>26</v>
      </c>
      <c r="K62">
        <f t="shared" ca="1" si="1"/>
        <v>14</v>
      </c>
      <c r="L62">
        <f t="shared" ca="1" si="1"/>
        <v>94</v>
      </c>
      <c r="M62" s="6" t="str" cm="1">
        <f t="array" aca="1" ref="M62" ca="1">INDEX($A$2:$A$40,I62,1)</f>
        <v>Feminino</v>
      </c>
      <c r="N62" s="6" t="str" cm="1">
        <f t="array" aca="1" ref="N62" ca="1">INDEX($B$2:$B$40,I62,1)</f>
        <v>Maria</v>
      </c>
      <c r="O62" s="6" t="str" cm="1">
        <f t="array" aca="1" ref="O62" ca="1">INDEX($B$2:$B$40,J62,1)</f>
        <v>Martim</v>
      </c>
      <c r="P62" s="6" t="str" cm="1">
        <f t="array" aca="1" ref="P62" ca="1">INDEX($E$2:$E$98,K62)</f>
        <v>Sousa</v>
      </c>
      <c r="Q62" s="6" t="str" cm="1">
        <f t="array" aca="1" ref="Q62" ca="1">INDEX($E$2:$E$98,L62)</f>
        <v>Paiva</v>
      </c>
      <c r="S62" t="str">
        <f t="shared" ca="1" si="2"/>
        <v>Feminino</v>
      </c>
      <c r="T62" t="str">
        <f t="shared" ca="1" si="6"/>
        <v>Maria Martim Sousa Paiva</v>
      </c>
    </row>
    <row r="63" spans="5:20" x14ac:dyDescent="0.25">
      <c r="E63" t="s">
        <v>151</v>
      </c>
      <c r="I63">
        <f t="shared" ca="1" si="0"/>
        <v>28</v>
      </c>
      <c r="J63">
        <f t="shared" ca="1" si="0"/>
        <v>23</v>
      </c>
      <c r="K63">
        <f t="shared" ca="1" si="1"/>
        <v>23</v>
      </c>
      <c r="L63">
        <f t="shared" ca="1" si="1"/>
        <v>18</v>
      </c>
      <c r="M63" s="6" t="str" cm="1">
        <f t="array" aca="1" ref="M63" ca="1">INDEX($A$2:$A$40,I63,1)</f>
        <v>Masculino</v>
      </c>
      <c r="N63" s="6" t="str" cm="1">
        <f t="array" aca="1" ref="N63" ca="1">INDEX($B$2:$B$40,I63,1)</f>
        <v>Miguel</v>
      </c>
      <c r="O63" s="6" t="str" cm="1">
        <f t="array" aca="1" ref="O63" ca="1">INDEX($B$2:$B$40,J63,1)</f>
        <v>Maria</v>
      </c>
      <c r="P63" s="6" t="str" cm="1">
        <f t="array" aca="1" ref="P63" ca="1">INDEX($E$2:$E$98,K63)</f>
        <v>Gomes</v>
      </c>
      <c r="Q63" s="6" t="str" cm="1">
        <f t="array" aca="1" ref="Q63" ca="1">INDEX($E$2:$E$98,L63)</f>
        <v>Soares</v>
      </c>
      <c r="S63" t="str">
        <f t="shared" ca="1" si="2"/>
        <v>Masculino</v>
      </c>
      <c r="T63" t="str">
        <f t="shared" ca="1" si="6"/>
        <v>Miguel Maria Gomes Soares</v>
      </c>
    </row>
    <row r="64" spans="5:20" x14ac:dyDescent="0.25">
      <c r="E64" t="s">
        <v>152</v>
      </c>
      <c r="I64">
        <f t="shared" ca="1" si="0"/>
        <v>13</v>
      </c>
      <c r="J64">
        <f t="shared" ca="1" si="0"/>
        <v>36</v>
      </c>
      <c r="K64">
        <f t="shared" ca="1" si="1"/>
        <v>46</v>
      </c>
      <c r="L64">
        <f t="shared" ca="1" si="1"/>
        <v>21</v>
      </c>
      <c r="M64" s="6" t="str" cm="1">
        <f t="array" aca="1" ref="M64" ca="1">INDEX($A$2:$A$40,I64,1)</f>
        <v>Masculino</v>
      </c>
      <c r="N64" s="6" t="str" cm="1">
        <f t="array" aca="1" ref="N64" ca="1">INDEX($B$2:$B$40,I64,1)</f>
        <v>Francisco</v>
      </c>
      <c r="O64" s="6" t="str" cm="1">
        <f t="array" aca="1" ref="O64" ca="1">INDEX($B$2:$B$40,J64,1)</f>
        <v>Tomás</v>
      </c>
      <c r="P64" s="6" t="str" cm="1">
        <f t="array" aca="1" ref="P64" ca="1">INDEX($E$2:$E$98,K64)</f>
        <v>Tavares</v>
      </c>
      <c r="Q64" s="6" t="str" cm="1">
        <f t="array" aca="1" ref="Q64" ca="1">INDEX($E$2:$E$98,L64)</f>
        <v>Raposo</v>
      </c>
      <c r="S64" t="str">
        <f t="shared" ca="1" si="2"/>
        <v>Masculino</v>
      </c>
      <c r="T64" t="str">
        <f t="shared" ca="1" si="6"/>
        <v>Francisco Tomás Tavares Raposo</v>
      </c>
    </row>
    <row r="65" spans="5:20" x14ac:dyDescent="0.25">
      <c r="E65" t="s">
        <v>153</v>
      </c>
      <c r="I65">
        <f t="shared" ca="1" si="0"/>
        <v>25</v>
      </c>
      <c r="J65">
        <f t="shared" ca="1" si="0"/>
        <v>32</v>
      </c>
      <c r="K65">
        <f t="shared" ca="1" si="1"/>
        <v>85</v>
      </c>
      <c r="L65">
        <f t="shared" ca="1" si="1"/>
        <v>60</v>
      </c>
      <c r="M65" s="6" t="str" cm="1">
        <f t="array" aca="1" ref="M65" ca="1">INDEX($A$2:$A$40,I65,1)</f>
        <v>Feminino</v>
      </c>
      <c r="N65" s="6" t="str" cm="1">
        <f t="array" aca="1" ref="N65" ca="1">INDEX($B$2:$B$40,I65,1)</f>
        <v>Mariana</v>
      </c>
      <c r="O65" s="6" t="str" cm="1">
        <f t="array" aca="1" ref="O65" ca="1">INDEX($B$2:$B$40,J65,1)</f>
        <v>Santiago</v>
      </c>
      <c r="P65" s="6" t="str" cm="1">
        <f t="array" aca="1" ref="P65" ca="1">INDEX($E$2:$E$98,K65)</f>
        <v>Garcia</v>
      </c>
      <c r="Q65" s="6" t="str" cm="1">
        <f t="array" aca="1" ref="Q65" ca="1">INDEX($E$2:$E$98,L65)</f>
        <v>Barros</v>
      </c>
      <c r="S65" t="str">
        <f t="shared" ca="1" si="2"/>
        <v>Feminino</v>
      </c>
      <c r="T65" t="str">
        <f t="shared" ca="1" si="6"/>
        <v>Mariana Santiago Garcia Barros</v>
      </c>
    </row>
    <row r="66" spans="5:20" x14ac:dyDescent="0.25">
      <c r="E66" t="s">
        <v>154</v>
      </c>
      <c r="I66">
        <f t="shared" ca="1" si="0"/>
        <v>31</v>
      </c>
      <c r="J66">
        <f t="shared" ca="1" si="0"/>
        <v>3</v>
      </c>
      <c r="K66">
        <f t="shared" ca="1" si="1"/>
        <v>8</v>
      </c>
      <c r="L66">
        <f t="shared" ca="1" si="1"/>
        <v>29</v>
      </c>
      <c r="M66" s="6" t="str" cm="1">
        <f t="array" aca="1" ref="M66" ca="1">INDEX($A$2:$A$40,I66,1)</f>
        <v>Masculino</v>
      </c>
      <c r="N66" s="6" t="str" cm="1">
        <f t="array" aca="1" ref="N66" ca="1">INDEX($B$2:$B$40,I66,1)</f>
        <v>Rodrigo</v>
      </c>
      <c r="O66" s="6" t="str" cm="1">
        <f t="array" aca="1" ref="O66" ca="1">INDEX($B$2:$B$40,J66,1)</f>
        <v>André</v>
      </c>
      <c r="P66" s="6" t="str" cm="1">
        <f t="array" aca="1" ref="P66" ca="1">INDEX($E$2:$E$98,K66)</f>
        <v>Pires</v>
      </c>
      <c r="Q66" s="6" t="str" cm="1">
        <f t="array" aca="1" ref="Q66" ca="1">INDEX($E$2:$E$98,L66)</f>
        <v>Fernandes</v>
      </c>
      <c r="S66" t="str">
        <f t="shared" ca="1" si="2"/>
        <v>Masculino</v>
      </c>
      <c r="T66" t="str">
        <f t="shared" ca="1" si="6"/>
        <v>Rodrigo André Pires Fernandes</v>
      </c>
    </row>
    <row r="67" spans="5:20" x14ac:dyDescent="0.25">
      <c r="E67" t="s">
        <v>155</v>
      </c>
      <c r="I67">
        <f t="shared" ref="I67:J130" ca="1" si="7">RANDBETWEEN(1,39)</f>
        <v>1</v>
      </c>
      <c r="J67">
        <f t="shared" ca="1" si="7"/>
        <v>24</v>
      </c>
      <c r="K67">
        <f t="shared" ref="K67:L130" ca="1" si="8">RANDBETWEEN(1,97)</f>
        <v>22</v>
      </c>
      <c r="L67">
        <f t="shared" ca="1" si="8"/>
        <v>25</v>
      </c>
      <c r="M67" s="6" t="str" cm="1">
        <f t="array" aca="1" ref="M67" ca="1">INDEX($A$2:$A$40,I67,1)</f>
        <v>Masculino</v>
      </c>
      <c r="N67" s="6" t="str" cm="1">
        <f t="array" aca="1" ref="N67" ca="1">INDEX($B$2:$B$40,I67,1)</f>
        <v>Afonso</v>
      </c>
      <c r="O67" s="6" t="str" cm="1">
        <f t="array" aca="1" ref="O67" ca="1">INDEX($B$2:$B$40,J67,1)</f>
        <v>Laura</v>
      </c>
      <c r="P67" s="6" t="str" cm="1">
        <f t="array" aca="1" ref="P67" ca="1">INDEX($E$2:$E$98,K67)</f>
        <v>Gonçalves</v>
      </c>
      <c r="Q67" s="6" t="str" cm="1">
        <f t="array" aca="1" ref="Q67" ca="1">INDEX($E$2:$E$98,L67)</f>
        <v>Cruz</v>
      </c>
      <c r="S67" t="str">
        <f t="shared" ca="1" si="2"/>
        <v>Masculino</v>
      </c>
      <c r="T67" t="str">
        <f t="shared" ca="1" si="6"/>
        <v>Afonso Laura Gonçalves Cruz</v>
      </c>
    </row>
    <row r="68" spans="5:20" x14ac:dyDescent="0.25">
      <c r="E68" t="s">
        <v>156</v>
      </c>
      <c r="I68">
        <f t="shared" ca="1" si="7"/>
        <v>38</v>
      </c>
      <c r="J68">
        <f t="shared" ca="1" si="7"/>
        <v>29</v>
      </c>
      <c r="K68">
        <f t="shared" ca="1" si="8"/>
        <v>62</v>
      </c>
      <c r="L68">
        <f t="shared" ca="1" si="8"/>
        <v>35</v>
      </c>
      <c r="M68" s="6" t="str" cm="1">
        <f t="array" aca="1" ref="M68" ca="1">INDEX($A$2:$A$40,I68,1)</f>
        <v>Masculino</v>
      </c>
      <c r="N68" s="6" t="str" cm="1">
        <f t="array" aca="1" ref="N68" ca="1">INDEX($B$2:$B$40,I68,1)</f>
        <v>Joaquim</v>
      </c>
      <c r="O68" s="6" t="str" cm="1">
        <f t="array" aca="1" ref="O68" ca="1">INDEX($B$2:$B$40,J68,1)</f>
        <v>Pedro</v>
      </c>
      <c r="P68" s="6" t="str" cm="1">
        <f t="array" aca="1" ref="P68" ca="1">INDEX($E$2:$E$98,K68)</f>
        <v>Nogueira</v>
      </c>
      <c r="Q68" s="6" t="str" cm="1">
        <f t="array" aca="1" ref="Q68" ca="1">INDEX($E$2:$E$98,L68)</f>
        <v>Mendes</v>
      </c>
      <c r="S68" t="str">
        <f t="shared" ref="S68:S131" ca="1" si="9">M68</f>
        <v>Masculino</v>
      </c>
      <c r="T68" t="str">
        <f t="shared" ca="1" si="6"/>
        <v>Joaquim Pedro Nogueira Mendes</v>
      </c>
    </row>
    <row r="69" spans="5:20" x14ac:dyDescent="0.25">
      <c r="E69" t="s">
        <v>157</v>
      </c>
      <c r="I69">
        <f t="shared" ca="1" si="7"/>
        <v>24</v>
      </c>
      <c r="J69">
        <f t="shared" ca="1" si="7"/>
        <v>9</v>
      </c>
      <c r="K69">
        <f t="shared" ca="1" si="8"/>
        <v>36</v>
      </c>
      <c r="L69">
        <f t="shared" ca="1" si="8"/>
        <v>52</v>
      </c>
      <c r="M69" s="6" t="str" cm="1">
        <f t="array" aca="1" ref="M69" ca="1">INDEX($A$2:$A$40,I69,1)</f>
        <v>Feminino</v>
      </c>
      <c r="N69" s="6" t="str" cm="1">
        <f t="array" aca="1" ref="N69" ca="1">INDEX($B$2:$B$40,I69,1)</f>
        <v>Laura</v>
      </c>
      <c r="O69" s="6" t="str" cm="1">
        <f t="array" aca="1" ref="O69" ca="1">INDEX($B$2:$B$40,J69,1)</f>
        <v>Diana</v>
      </c>
      <c r="P69" s="6" t="str" cm="1">
        <f t="array" aca="1" ref="P69" ca="1">INDEX($E$2:$E$98,K69)</f>
        <v>Rodrigues</v>
      </c>
      <c r="Q69" s="6" t="str" cm="1">
        <f t="array" aca="1" ref="Q69" ca="1">INDEX($E$2:$E$98,L69)</f>
        <v>Magalhães</v>
      </c>
      <c r="S69" t="str">
        <f t="shared" ca="1" si="9"/>
        <v>Feminino</v>
      </c>
      <c r="T69" t="str">
        <f t="shared" ca="1" si="6"/>
        <v>Laura Diana Rodrigues Magalhães</v>
      </c>
    </row>
    <row r="70" spans="5:20" x14ac:dyDescent="0.25">
      <c r="E70" t="s">
        <v>158</v>
      </c>
      <c r="I70">
        <f t="shared" ca="1" si="7"/>
        <v>20</v>
      </c>
      <c r="J70">
        <f t="shared" ca="1" si="7"/>
        <v>9</v>
      </c>
      <c r="K70">
        <f t="shared" ca="1" si="8"/>
        <v>78</v>
      </c>
      <c r="L70">
        <f t="shared" ca="1" si="8"/>
        <v>36</v>
      </c>
      <c r="M70" s="6" t="str" cm="1">
        <f t="array" aca="1" ref="M70" ca="1">INDEX($A$2:$A$40,I70,1)</f>
        <v>Masculino</v>
      </c>
      <c r="N70" s="6" t="str" cm="1">
        <f t="array" aca="1" ref="N70" ca="1">INDEX($B$2:$B$40,I70,1)</f>
        <v>Luís</v>
      </c>
      <c r="O70" s="6" t="str" cm="1">
        <f t="array" aca="1" ref="O70" ca="1">INDEX($B$2:$B$40,J70,1)</f>
        <v>Diana</v>
      </c>
      <c r="P70" s="6" t="str" cm="1">
        <f t="array" aca="1" ref="P70" ca="1">INDEX($E$2:$E$98,K70)</f>
        <v>Vicente</v>
      </c>
      <c r="Q70" s="6" t="str" cm="1">
        <f t="array" aca="1" ref="Q70" ca="1">INDEX($E$2:$E$98,L70)</f>
        <v>Rodrigues</v>
      </c>
      <c r="S70" t="str">
        <f t="shared" ca="1" si="9"/>
        <v>Masculino</v>
      </c>
      <c r="T70" t="str">
        <f t="shared" ca="1" si="6"/>
        <v>Luís Diana Vicente Rodrigues</v>
      </c>
    </row>
    <row r="71" spans="5:20" x14ac:dyDescent="0.25">
      <c r="E71" t="s">
        <v>159</v>
      </c>
      <c r="I71">
        <f t="shared" ca="1" si="7"/>
        <v>27</v>
      </c>
      <c r="J71">
        <f t="shared" ca="1" si="7"/>
        <v>9</v>
      </c>
      <c r="K71">
        <f t="shared" ca="1" si="8"/>
        <v>48</v>
      </c>
      <c r="L71">
        <f t="shared" ca="1" si="8"/>
        <v>43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Matilde</v>
      </c>
      <c r="O71" s="6" t="str" cm="1">
        <f t="array" aca="1" ref="O71" ca="1">INDEX($B$2:$B$40,J71,1)</f>
        <v>Diana</v>
      </c>
      <c r="P71" s="6" t="str" cm="1">
        <f t="array" aca="1" ref="P71" ca="1">INDEX($E$2:$E$98,K71)</f>
        <v>Castro</v>
      </c>
      <c r="Q71" s="6" t="str" cm="1">
        <f t="array" aca="1" ref="Q71" ca="1">INDEX($E$2:$E$98,L71)</f>
        <v>Machado</v>
      </c>
      <c r="S71" t="str">
        <f t="shared" ca="1" si="9"/>
        <v>Feminino</v>
      </c>
      <c r="T71" t="str">
        <f t="shared" ca="1" si="6"/>
        <v>Matilde Diana Castro Machado</v>
      </c>
    </row>
    <row r="72" spans="5:20" x14ac:dyDescent="0.25">
      <c r="E72" t="s">
        <v>160</v>
      </c>
      <c r="I72">
        <f t="shared" ca="1" si="7"/>
        <v>35</v>
      </c>
      <c r="J72">
        <f t="shared" ca="1" si="7"/>
        <v>32</v>
      </c>
      <c r="K72">
        <f t="shared" ca="1" si="8"/>
        <v>37</v>
      </c>
      <c r="L72">
        <f t="shared" ca="1" si="8"/>
        <v>89</v>
      </c>
      <c r="M72" s="6" t="str" cm="1">
        <f t="array" aca="1" ref="M72" ca="1">INDEX($A$2:$A$40,I72,1)</f>
        <v>Masculino</v>
      </c>
      <c r="N72" s="6" t="str" cm="1">
        <f t="array" aca="1" ref="N72" ca="1">INDEX($B$2:$B$40,I72,1)</f>
        <v>Tiago</v>
      </c>
      <c r="O72" s="6" t="str" cm="1">
        <f t="array" aca="1" ref="O72" ca="1">INDEX($B$2:$B$40,J72,1)</f>
        <v>Santiago</v>
      </c>
      <c r="P72" s="6" t="str" cm="1">
        <f t="array" aca="1" ref="P72" ca="1">INDEX($E$2:$E$98,K72)</f>
        <v>Rocha</v>
      </c>
      <c r="Q72" s="6" t="str" cm="1">
        <f t="array" aca="1" ref="Q72" ca="1">INDEX($E$2:$E$98,L72)</f>
        <v>Amaral</v>
      </c>
      <c r="S72" t="str">
        <f t="shared" ca="1" si="9"/>
        <v>Masculino</v>
      </c>
      <c r="T72" t="str">
        <f t="shared" ca="1" si="6"/>
        <v>Tiago Santiago Rocha Amaral</v>
      </c>
    </row>
    <row r="73" spans="5:20" x14ac:dyDescent="0.25">
      <c r="E73" t="s">
        <v>161</v>
      </c>
      <c r="I73">
        <f t="shared" ca="1" si="7"/>
        <v>18</v>
      </c>
      <c r="J73">
        <f t="shared" ca="1" si="7"/>
        <v>27</v>
      </c>
      <c r="K73">
        <f t="shared" ca="1" si="8"/>
        <v>79</v>
      </c>
      <c r="L73">
        <f t="shared" ca="1" si="8"/>
        <v>11</v>
      </c>
      <c r="M73" s="6" t="str" cm="1">
        <f t="array" aca="1" ref="M73" ca="1">INDEX($A$2:$A$40,I73,1)</f>
        <v>Masculino</v>
      </c>
      <c r="N73" s="6" t="str" cm="1">
        <f t="array" aca="1" ref="N73" ca="1">INDEX($B$2:$B$40,I73,1)</f>
        <v>José</v>
      </c>
      <c r="O73" s="6" t="str" cm="1">
        <f t="array" aca="1" ref="O73" ca="1">INDEX($B$2:$B$40,J73,1)</f>
        <v>Matilde</v>
      </c>
      <c r="P73" s="6" t="str" cm="1">
        <f t="array" aca="1" ref="P73" ca="1">INDEX($E$2:$E$98,K73)</f>
        <v>Gaspar</v>
      </c>
      <c r="Q73" s="6" t="str" cm="1">
        <f t="array" aca="1" ref="Q73" ca="1">INDEX($E$2:$E$98,L73)</f>
        <v>Martins</v>
      </c>
      <c r="S73" t="str">
        <f t="shared" ca="1" si="9"/>
        <v>Masculino</v>
      </c>
      <c r="T73" t="str">
        <f t="shared" ca="1" si="6"/>
        <v>José Matilde Gaspar Martins</v>
      </c>
    </row>
    <row r="74" spans="5:20" x14ac:dyDescent="0.25">
      <c r="E74" t="s">
        <v>162</v>
      </c>
      <c r="I74">
        <f t="shared" ca="1" si="7"/>
        <v>3</v>
      </c>
      <c r="J74">
        <f t="shared" ca="1" si="7"/>
        <v>16</v>
      </c>
      <c r="K74">
        <f t="shared" ca="1" si="8"/>
        <v>71</v>
      </c>
      <c r="L74">
        <f t="shared" ca="1" si="8"/>
        <v>19</v>
      </c>
      <c r="M74" s="6" t="str" cm="1">
        <f t="array" aca="1" ref="M74" ca="1">INDEX($A$2:$A$40,I74,1)</f>
        <v>Masculino</v>
      </c>
      <c r="N74" s="6" t="str" cm="1">
        <f t="array" aca="1" ref="N74" ca="1">INDEX($B$2:$B$40,I74,1)</f>
        <v>André</v>
      </c>
      <c r="O74" s="6" t="str" cm="1">
        <f t="array" aca="1" ref="O74" ca="1">INDEX($B$2:$B$40,J74,1)</f>
        <v>Joana</v>
      </c>
      <c r="P74" s="6" t="str" cm="1">
        <f t="array" aca="1" ref="P74" ca="1">INDEX($E$2:$E$98,K74)</f>
        <v>Nascimento</v>
      </c>
      <c r="Q74" s="6" t="str" cm="1">
        <f t="array" aca="1" ref="Q74" ca="1">INDEX($E$2:$E$98,L74)</f>
        <v>Lopes</v>
      </c>
      <c r="S74" t="str">
        <f t="shared" ca="1" si="9"/>
        <v>Masculino</v>
      </c>
      <c r="T74" t="str">
        <f t="shared" ca="1" si="6"/>
        <v>André Joana Nascimento Lopes</v>
      </c>
    </row>
    <row r="75" spans="5:20" x14ac:dyDescent="0.25">
      <c r="E75" t="s">
        <v>163</v>
      </c>
      <c r="I75">
        <f t="shared" ca="1" si="7"/>
        <v>15</v>
      </c>
      <c r="J75">
        <f t="shared" ca="1" si="7"/>
        <v>5</v>
      </c>
      <c r="K75">
        <f t="shared" ca="1" si="8"/>
        <v>67</v>
      </c>
      <c r="L75">
        <f t="shared" ca="1" si="8"/>
        <v>92</v>
      </c>
      <c r="M75" s="6" t="str" cm="1">
        <f t="array" aca="1" ref="M75" ca="1">INDEX($A$2:$A$40,I75,1)</f>
        <v>Feminino</v>
      </c>
      <c r="N75" s="6" t="str" cm="1">
        <f t="array" aca="1" ref="N75" ca="1">INDEX($B$2:$B$40,I75,1)</f>
        <v>Inês</v>
      </c>
      <c r="O75" s="6" t="str" cm="1">
        <f t="array" aca="1" ref="O75" ca="1">INDEX($B$2:$B$40,J75,1)</f>
        <v>Bruno</v>
      </c>
      <c r="P75" s="6" t="str" cm="1">
        <f t="array" aca="1" ref="P75" ca="1">INDEX($E$2:$E$98,K75)</f>
        <v>Mota</v>
      </c>
      <c r="Q75" s="6" t="str" cm="1">
        <f t="array" aca="1" ref="Q75" ca="1">INDEX($E$2:$E$98,L75)</f>
        <v>Pacheco</v>
      </c>
      <c r="S75" t="str">
        <f t="shared" ca="1" si="9"/>
        <v>Feminino</v>
      </c>
      <c r="T75" t="str">
        <f t="shared" ca="1" si="6"/>
        <v>Inês Bruno Mota Pacheco</v>
      </c>
    </row>
    <row r="76" spans="5:20" x14ac:dyDescent="0.25">
      <c r="E76" t="s">
        <v>164</v>
      </c>
      <c r="I76">
        <f t="shared" ca="1" si="7"/>
        <v>12</v>
      </c>
      <c r="J76">
        <f t="shared" ca="1" si="7"/>
        <v>7</v>
      </c>
      <c r="K76">
        <f t="shared" ca="1" si="8"/>
        <v>6</v>
      </c>
      <c r="L76">
        <f t="shared" ca="1" si="8"/>
        <v>22</v>
      </c>
      <c r="M76" s="6" t="str" cm="1">
        <f t="array" aca="1" ref="M76" ca="1">INDEX($A$2:$A$40,I76,1)</f>
        <v>Feminino</v>
      </c>
      <c r="N76" s="6" t="str" cm="1">
        <f t="array" aca="1" ref="N76" ca="1">INDEX($B$2:$B$40,I76,1)</f>
        <v>Francisca</v>
      </c>
      <c r="O76" s="6" t="str" cm="1">
        <f t="array" aca="1" ref="O76" ca="1">INDEX($B$2:$B$40,J76,1)</f>
        <v>Catarina</v>
      </c>
      <c r="P76" s="6" t="str" cm="1">
        <f t="array" aca="1" ref="P76" ca="1">INDEX($E$2:$E$98,K76)</f>
        <v>Almeida</v>
      </c>
      <c r="Q76" s="6" t="str" cm="1">
        <f t="array" aca="1" ref="Q76" ca="1">INDEX($E$2:$E$98,L76)</f>
        <v>Gonçalves</v>
      </c>
      <c r="S76" t="str">
        <f t="shared" ca="1" si="9"/>
        <v>Feminino</v>
      </c>
      <c r="T76" t="str">
        <f t="shared" ca="1" si="6"/>
        <v>Francisca Catarina Almeida Gonçalves</v>
      </c>
    </row>
    <row r="77" spans="5:20" x14ac:dyDescent="0.25">
      <c r="E77" t="s">
        <v>165</v>
      </c>
      <c r="I77">
        <f t="shared" ca="1" si="7"/>
        <v>11</v>
      </c>
      <c r="J77">
        <f t="shared" ca="1" si="7"/>
        <v>34</v>
      </c>
      <c r="K77">
        <f t="shared" ca="1" si="8"/>
        <v>40</v>
      </c>
      <c r="L77">
        <f t="shared" ca="1" si="8"/>
        <v>86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Duarte</v>
      </c>
      <c r="O77" s="6" t="str" cm="1">
        <f t="array" aca="1" ref="O77" ca="1">INDEX($B$2:$B$40,J77,1)</f>
        <v>Sofia</v>
      </c>
      <c r="P77" s="6" t="str" cm="1">
        <f t="array" aca="1" ref="P77" ca="1">INDEX($E$2:$E$98,K77)</f>
        <v>Antunes</v>
      </c>
      <c r="Q77" s="6" t="str" cm="1">
        <f t="array" aca="1" ref="Q77" ca="1">INDEX($E$2:$E$98,L77)</f>
        <v>Carneiro</v>
      </c>
      <c r="S77" t="str">
        <f t="shared" ca="1" si="9"/>
        <v>Masculino</v>
      </c>
      <c r="T77" t="str">
        <f t="shared" ca="1" si="6"/>
        <v>Duarte Sofia Antunes Carneiro</v>
      </c>
    </row>
    <row r="78" spans="5:20" x14ac:dyDescent="0.25">
      <c r="E78" t="s">
        <v>166</v>
      </c>
      <c r="I78">
        <f t="shared" ca="1" si="7"/>
        <v>30</v>
      </c>
      <c r="J78">
        <f t="shared" ca="1" si="7"/>
        <v>39</v>
      </c>
      <c r="K78">
        <f t="shared" ca="1" si="8"/>
        <v>70</v>
      </c>
      <c r="L78">
        <f t="shared" ca="1" si="8"/>
        <v>10</v>
      </c>
      <c r="M78" s="6" t="str" cm="1">
        <f t="array" aca="1" ref="M78" ca="1">INDEX($A$2:$A$40,I78,1)</f>
        <v>Masculino</v>
      </c>
      <c r="N78" s="6" t="str" cm="1">
        <f t="array" aca="1" ref="N78" ca="1">INDEX($B$2:$B$40,I78,1)</f>
        <v>Ricardo</v>
      </c>
      <c r="O78" s="6" t="str" cm="1">
        <f t="array" aca="1" ref="O78" ca="1">INDEX($B$2:$B$40,J78,1)</f>
        <v>Lara</v>
      </c>
      <c r="P78" s="6" t="str" cm="1">
        <f t="array" aca="1" ref="P78" ca="1">INDEX($E$2:$E$98,K78)</f>
        <v>Sá</v>
      </c>
      <c r="Q78" s="6" t="str" cm="1">
        <f t="array" aca="1" ref="Q78" ca="1">INDEX($E$2:$E$98,L78)</f>
        <v>Correia</v>
      </c>
      <c r="S78" t="str">
        <f t="shared" ca="1" si="9"/>
        <v>Masculino</v>
      </c>
      <c r="T78" t="str">
        <f t="shared" ca="1" si="6"/>
        <v>Ricardo Lara Sá Correia</v>
      </c>
    </row>
    <row r="79" spans="5:20" x14ac:dyDescent="0.25">
      <c r="E79" t="s">
        <v>167</v>
      </c>
      <c r="I79">
        <f t="shared" ca="1" si="7"/>
        <v>13</v>
      </c>
      <c r="J79">
        <f t="shared" ca="1" si="7"/>
        <v>27</v>
      </c>
      <c r="K79">
        <f t="shared" ca="1" si="8"/>
        <v>13</v>
      </c>
      <c r="L79">
        <f t="shared" ca="1" si="8"/>
        <v>33</v>
      </c>
      <c r="M79" s="6" t="str" cm="1">
        <f t="array" aca="1" ref="M79" ca="1">INDEX($A$2:$A$40,I79,1)</f>
        <v>Masculino</v>
      </c>
      <c r="N79" s="6" t="str" cm="1">
        <f t="array" aca="1" ref="N79" ca="1">INDEX($B$2:$B$40,I79,1)</f>
        <v>Francisco</v>
      </c>
      <c r="O79" s="6" t="str" cm="1">
        <f t="array" aca="1" ref="O79" ca="1">INDEX($B$2:$B$40,J79,1)</f>
        <v>Matilde</v>
      </c>
      <c r="P79" s="6" t="str" cm="1">
        <f t="array" aca="1" ref="P79" ca="1">INDEX($E$2:$E$98,K79)</f>
        <v>Santos</v>
      </c>
      <c r="Q79" s="6" t="str" cm="1">
        <f t="array" aca="1" ref="Q79" ca="1">INDEX($E$2:$E$98,L79)</f>
        <v>Cunha</v>
      </c>
      <c r="S79" t="str">
        <f t="shared" ca="1" si="9"/>
        <v>Masculino</v>
      </c>
      <c r="T79" t="str">
        <f t="shared" ca="1" si="6"/>
        <v>Francisco Matilde Santos Cunha</v>
      </c>
    </row>
    <row r="80" spans="5:20" x14ac:dyDescent="0.25">
      <c r="E80" t="s">
        <v>168</v>
      </c>
      <c r="I80">
        <f t="shared" ca="1" si="7"/>
        <v>33</v>
      </c>
      <c r="J80">
        <f t="shared" ca="1" si="7"/>
        <v>22</v>
      </c>
      <c r="K80">
        <f t="shared" ca="1" si="8"/>
        <v>37</v>
      </c>
      <c r="L80">
        <f t="shared" ca="1" si="8"/>
        <v>24</v>
      </c>
      <c r="M80" s="6" t="str" cm="1">
        <f t="array" aca="1" ref="M80" ca="1">INDEX($A$2:$A$40,I80,1)</f>
        <v>Feminino</v>
      </c>
      <c r="N80" s="6" t="str" cm="1">
        <f t="array" aca="1" ref="N80" ca="1">INDEX($B$2:$B$40,I80,1)</f>
        <v>Sara</v>
      </c>
      <c r="O80" s="6" t="str" cm="1">
        <f t="array" aca="1" ref="O80" ca="1">INDEX($B$2:$B$40,J80,1)</f>
        <v>Marco</v>
      </c>
      <c r="P80" s="6" t="str" cm="1">
        <f t="array" aca="1" ref="P80" ca="1">INDEX($E$2:$E$98,K80)</f>
        <v>Rocha</v>
      </c>
      <c r="Q80" s="6" t="str" cm="1">
        <f t="array" aca="1" ref="Q80" ca="1">INDEX($E$2:$E$98,L80)</f>
        <v>Ribeiro</v>
      </c>
      <c r="S80" t="str">
        <f t="shared" ca="1" si="9"/>
        <v>Feminino</v>
      </c>
      <c r="T80" t="str">
        <f t="shared" ca="1" si="6"/>
        <v>Sara Marco Rocha Ribeiro</v>
      </c>
    </row>
    <row r="81" spans="5:20" x14ac:dyDescent="0.25">
      <c r="E81" t="s">
        <v>169</v>
      </c>
      <c r="I81">
        <f t="shared" ca="1" si="7"/>
        <v>9</v>
      </c>
      <c r="J81">
        <f t="shared" ca="1" si="7"/>
        <v>4</v>
      </c>
      <c r="K81">
        <f t="shared" ca="1" si="8"/>
        <v>45</v>
      </c>
      <c r="L81">
        <f t="shared" ca="1" si="8"/>
        <v>47</v>
      </c>
      <c r="M81" s="6" t="str" cm="1">
        <f t="array" aca="1" ref="M81" ca="1">INDEX($A$2:$A$40,I81,1)</f>
        <v>Feminino</v>
      </c>
      <c r="N81" s="6" t="str" cm="1">
        <f t="array" aca="1" ref="N81" ca="1">INDEX($B$2:$B$40,I81,1)</f>
        <v>Diana</v>
      </c>
      <c r="O81" s="6" t="str" cm="1">
        <f t="array" aca="1" ref="O81" ca="1">INDEX($B$2:$B$40,J81,1)</f>
        <v>Beatriz</v>
      </c>
      <c r="P81" s="6" t="str" cm="1">
        <f t="array" aca="1" ref="P81" ca="1">INDEX($E$2:$E$98,K81)</f>
        <v>Barbosa</v>
      </c>
      <c r="Q81" s="6" t="str" cm="1">
        <f t="array" aca="1" ref="Q81" ca="1">INDEX($E$2:$E$98,L81)</f>
        <v>Lourenço</v>
      </c>
      <c r="S81" t="str">
        <f t="shared" ca="1" si="9"/>
        <v>Feminino</v>
      </c>
      <c r="T81" t="str">
        <f t="shared" ca="1" si="6"/>
        <v>Diana Beatriz Barbosa Lourenço</v>
      </c>
    </row>
    <row r="82" spans="5:20" x14ac:dyDescent="0.25">
      <c r="E82" t="s">
        <v>170</v>
      </c>
      <c r="I82">
        <f t="shared" ca="1" si="7"/>
        <v>30</v>
      </c>
      <c r="J82">
        <f t="shared" ca="1" si="7"/>
        <v>30</v>
      </c>
      <c r="K82">
        <f t="shared" ca="1" si="8"/>
        <v>9</v>
      </c>
      <c r="L82">
        <f t="shared" ca="1" si="8"/>
        <v>46</v>
      </c>
      <c r="M82" s="6" t="str" cm="1">
        <f t="array" aca="1" ref="M82" ca="1">INDEX($A$2:$A$40,I82,1)</f>
        <v>Masculino</v>
      </c>
      <c r="N82" s="6" t="str" cm="1">
        <f t="array" aca="1" ref="N82" ca="1">INDEX($B$2:$B$40,I82,1)</f>
        <v>Ricardo</v>
      </c>
      <c r="O82" s="6" t="str" cm="1">
        <f t="array" aca="1" ref="O82" ca="1">INDEX($B$2:$B$40,J82,1)</f>
        <v>Ricardo</v>
      </c>
      <c r="P82" s="6" t="str" cm="1">
        <f t="array" aca="1" ref="P82" ca="1">INDEX($E$2:$E$98,K82)</f>
        <v>Ramos</v>
      </c>
      <c r="Q82" s="6" t="str" cm="1">
        <f t="array" aca="1" ref="Q82" ca="1">INDEX($E$2:$E$98,L82)</f>
        <v>Tavares</v>
      </c>
      <c r="S82" t="str">
        <f t="shared" ca="1" si="9"/>
        <v>Masculino</v>
      </c>
      <c r="T82" t="str">
        <f t="shared" ca="1" si="6"/>
        <v>Ricardo Ricardo Ramos Tavares</v>
      </c>
    </row>
    <row r="83" spans="5:20" x14ac:dyDescent="0.25">
      <c r="E83" t="s">
        <v>171</v>
      </c>
      <c r="I83">
        <f t="shared" ca="1" si="7"/>
        <v>8</v>
      </c>
      <c r="J83">
        <f t="shared" ca="1" si="7"/>
        <v>39</v>
      </c>
      <c r="K83">
        <f t="shared" ca="1" si="8"/>
        <v>79</v>
      </c>
      <c r="L83">
        <f t="shared" ca="1" si="8"/>
        <v>77</v>
      </c>
      <c r="M83" s="6" t="str" cm="1">
        <f t="array" aca="1" ref="M83" ca="1">INDEX($A$2:$A$40,I83,1)</f>
        <v>Feminino</v>
      </c>
      <c r="N83" s="6" t="str" cm="1">
        <f t="array" aca="1" ref="N83" ca="1">INDEX($B$2:$B$40,I83,1)</f>
        <v>Daniela</v>
      </c>
      <c r="O83" s="6" t="str" cm="1">
        <f t="array" aca="1" ref="O83" ca="1">INDEX($B$2:$B$40,J83,1)</f>
        <v>Lara</v>
      </c>
      <c r="P83" s="6" t="str" cm="1">
        <f t="array" aca="1" ref="P83" ca="1">INDEX($E$2:$E$98,K83)</f>
        <v>Gaspar</v>
      </c>
      <c r="Q83" s="6" t="str" cm="1">
        <f t="array" aca="1" ref="Q83" ca="1">INDEX($E$2:$E$98,L83)</f>
        <v>Pinho</v>
      </c>
      <c r="S83" t="str">
        <f t="shared" ca="1" si="9"/>
        <v>Feminino</v>
      </c>
      <c r="T83" t="str">
        <f t="shared" ca="1" si="6"/>
        <v>Daniela Lara Gaspar Pinho</v>
      </c>
    </row>
    <row r="84" spans="5:20" x14ac:dyDescent="0.25">
      <c r="E84" t="s">
        <v>172</v>
      </c>
      <c r="I84">
        <f t="shared" ca="1" si="7"/>
        <v>5</v>
      </c>
      <c r="J84">
        <f t="shared" ca="1" si="7"/>
        <v>22</v>
      </c>
      <c r="K84">
        <f t="shared" ca="1" si="8"/>
        <v>27</v>
      </c>
      <c r="L84">
        <f t="shared" ca="1" si="8"/>
        <v>92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Bruno</v>
      </c>
      <c r="O84" s="6" t="str" cm="1">
        <f t="array" aca="1" ref="O84" ca="1">INDEX($B$2:$B$40,J84,1)</f>
        <v>Marco</v>
      </c>
      <c r="P84" s="6" t="str" cm="1">
        <f t="array" aca="1" ref="P84" ca="1">INDEX($E$2:$E$98,K84)</f>
        <v>Marques</v>
      </c>
      <c r="Q84" s="6" t="str" cm="1">
        <f t="array" aca="1" ref="Q84" ca="1">INDEX($E$2:$E$98,L84)</f>
        <v>Pacheco</v>
      </c>
      <c r="S84" t="str">
        <f t="shared" ca="1" si="9"/>
        <v>Masculino</v>
      </c>
      <c r="T84" t="str">
        <f t="shared" ca="1" si="6"/>
        <v>Bruno Marco Marques Pacheco</v>
      </c>
    </row>
    <row r="85" spans="5:20" x14ac:dyDescent="0.25">
      <c r="E85" t="s">
        <v>173</v>
      </c>
      <c r="I85">
        <f t="shared" ca="1" si="7"/>
        <v>26</v>
      </c>
      <c r="J85">
        <f t="shared" ca="1" si="7"/>
        <v>16</v>
      </c>
      <c r="K85">
        <f t="shared" ca="1" si="8"/>
        <v>18</v>
      </c>
      <c r="L85">
        <f t="shared" ca="1" si="8"/>
        <v>73</v>
      </c>
      <c r="M85" s="6" t="str" cm="1">
        <f t="array" aca="1" ref="M85" ca="1">INDEX($A$2:$A$40,I85,1)</f>
        <v>Masculino</v>
      </c>
      <c r="N85" s="6" t="str" cm="1">
        <f t="array" aca="1" ref="N85" ca="1">INDEX($B$2:$B$40,I85,1)</f>
        <v>Martim</v>
      </c>
      <c r="O85" s="6" t="str" cm="1">
        <f t="array" aca="1" ref="O85" ca="1">INDEX($B$2:$B$40,J85,1)</f>
        <v>Joana</v>
      </c>
      <c r="P85" s="6" t="str" cm="1">
        <f t="array" aca="1" ref="P85" ca="1">INDEX($E$2:$E$98,K85)</f>
        <v>Soares</v>
      </c>
      <c r="Q85" s="6" t="str" cm="1">
        <f t="array" aca="1" ref="Q85" ca="1">INDEX($E$2:$E$98,L85)</f>
        <v>Abreu</v>
      </c>
      <c r="S85" t="str">
        <f t="shared" ca="1" si="9"/>
        <v>Masculino</v>
      </c>
      <c r="T85" t="str">
        <f t="shared" ca="1" si="6"/>
        <v>Martim Joana Soares Abreu</v>
      </c>
    </row>
    <row r="86" spans="5:20" x14ac:dyDescent="0.25">
      <c r="E86" t="s">
        <v>174</v>
      </c>
      <c r="I86">
        <f t="shared" ca="1" si="7"/>
        <v>29</v>
      </c>
      <c r="J86">
        <f t="shared" ca="1" si="7"/>
        <v>7</v>
      </c>
      <c r="K86">
        <f t="shared" ca="1" si="8"/>
        <v>81</v>
      </c>
      <c r="L86">
        <f t="shared" ca="1" si="8"/>
        <v>57</v>
      </c>
      <c r="M86" s="6" t="str" cm="1">
        <f t="array" aca="1" ref="M86" ca="1">INDEX($A$2:$A$40,I86,1)</f>
        <v>Masculino</v>
      </c>
      <c r="N86" s="6" t="str" cm="1">
        <f t="array" aca="1" ref="N86" ca="1">INDEX($B$2:$B$40,I86,1)</f>
        <v>Pedro</v>
      </c>
      <c r="O86" s="6" t="str" cm="1">
        <f t="array" aca="1" ref="O86" ca="1">INDEX($B$2:$B$40,J86,1)</f>
        <v>Catarina</v>
      </c>
      <c r="P86" s="6" t="str" cm="1">
        <f t="array" aca="1" ref="P86" ca="1">INDEX($E$2:$E$98,K86)</f>
        <v>Maia</v>
      </c>
      <c r="Q86" s="6" t="str" cm="1">
        <f t="array" aca="1" ref="Q86" ca="1">INDEX($E$2:$E$98,L86)</f>
        <v>Pinheiro</v>
      </c>
      <c r="S86" t="str">
        <f t="shared" ca="1" si="9"/>
        <v>Masculino</v>
      </c>
      <c r="T86" t="str">
        <f t="shared" ca="1" si="6"/>
        <v>Pedro Catarina Maia Pinheiro</v>
      </c>
    </row>
    <row r="87" spans="5:20" x14ac:dyDescent="0.25">
      <c r="E87" t="s">
        <v>175</v>
      </c>
      <c r="I87">
        <f t="shared" ca="1" si="7"/>
        <v>19</v>
      </c>
      <c r="J87">
        <f t="shared" ca="1" si="7"/>
        <v>34</v>
      </c>
      <c r="K87">
        <f t="shared" ca="1" si="8"/>
        <v>9</v>
      </c>
      <c r="L87">
        <f t="shared" ca="1" si="8"/>
        <v>39</v>
      </c>
      <c r="M87" s="6" t="str" cm="1">
        <f t="array" aca="1" ref="M87" ca="1">INDEX($A$2:$A$40,I87,1)</f>
        <v>Feminino</v>
      </c>
      <c r="N87" s="6" t="str" cm="1">
        <f t="array" aca="1" ref="N87" ca="1">INDEX($B$2:$B$40,I87,1)</f>
        <v>Leonor</v>
      </c>
      <c r="O87" s="6" t="str" cm="1">
        <f t="array" aca="1" ref="O87" ca="1">INDEX($B$2:$B$40,J87,1)</f>
        <v>Sofia</v>
      </c>
      <c r="P87" s="6" t="str" cm="1">
        <f t="array" aca="1" ref="P87" ca="1">INDEX($E$2:$E$98,K87)</f>
        <v>Ramos</v>
      </c>
      <c r="Q87" s="6" t="str" cm="1">
        <f t="array" aca="1" ref="Q87" ca="1">INDEX($E$2:$E$98,L87)</f>
        <v>Simões</v>
      </c>
      <c r="S87" t="str">
        <f t="shared" ca="1" si="9"/>
        <v>Feminino</v>
      </c>
      <c r="T87" t="str">
        <f t="shared" ca="1" si="6"/>
        <v>Leonor Sofia Ramos Simões</v>
      </c>
    </row>
    <row r="88" spans="5:20" x14ac:dyDescent="0.25">
      <c r="E88" t="s">
        <v>176</v>
      </c>
      <c r="I88">
        <f t="shared" ca="1" si="7"/>
        <v>21</v>
      </c>
      <c r="J88">
        <f t="shared" ca="1" si="7"/>
        <v>18</v>
      </c>
      <c r="K88">
        <f t="shared" ca="1" si="8"/>
        <v>2</v>
      </c>
      <c r="L88">
        <f t="shared" ca="1" si="8"/>
        <v>70</v>
      </c>
      <c r="M88" s="6" t="str" cm="1">
        <f t="array" aca="1" ref="M88" ca="1">INDEX($A$2:$A$40,I88,1)</f>
        <v>Feminino</v>
      </c>
      <c r="N88" s="6" t="str" cm="1">
        <f t="array" aca="1" ref="N88" ca="1">INDEX($B$2:$B$40,I88,1)</f>
        <v>Lurdes</v>
      </c>
      <c r="O88" s="6" t="str" cm="1">
        <f t="array" aca="1" ref="O88" ca="1">INDEX($B$2:$B$40,J88,1)</f>
        <v>José</v>
      </c>
      <c r="P88" s="6" t="str" cm="1">
        <f t="array" aca="1" ref="P88" ca="1">INDEX($E$2:$E$98,K88)</f>
        <v>Pinto</v>
      </c>
      <c r="Q88" s="6" t="str" cm="1">
        <f t="array" aca="1" ref="Q88" ca="1">INDEX($E$2:$E$98,L88)</f>
        <v>Sá</v>
      </c>
      <c r="S88" t="str">
        <f t="shared" ca="1" si="9"/>
        <v>Feminino</v>
      </c>
      <c r="T88" t="str">
        <f t="shared" ca="1" si="6"/>
        <v>Lurdes José Pinto Sá</v>
      </c>
    </row>
    <row r="89" spans="5:20" x14ac:dyDescent="0.25">
      <c r="E89" t="s">
        <v>177</v>
      </c>
      <c r="I89">
        <f t="shared" ca="1" si="7"/>
        <v>39</v>
      </c>
      <c r="J89">
        <f t="shared" ca="1" si="7"/>
        <v>19</v>
      </c>
      <c r="K89">
        <f t="shared" ca="1" si="8"/>
        <v>48</v>
      </c>
      <c r="L89">
        <f t="shared" ca="1" si="8"/>
        <v>1</v>
      </c>
      <c r="M89" s="6" t="str" cm="1">
        <f t="array" aca="1" ref="M89" ca="1">INDEX($A$2:$A$40,I89,1)</f>
        <v>Feminino</v>
      </c>
      <c r="N89" s="6" t="str" cm="1">
        <f t="array" aca="1" ref="N89" ca="1">INDEX($B$2:$B$40,I89,1)</f>
        <v>Lara</v>
      </c>
      <c r="O89" s="6" t="str" cm="1">
        <f t="array" aca="1" ref="O89" ca="1">INDEX($B$2:$B$40,J89,1)</f>
        <v>Leonor</v>
      </c>
      <c r="P89" s="6" t="str" cm="1">
        <f t="array" aca="1" ref="P89" ca="1">INDEX($E$2:$E$98,K89)</f>
        <v>Castro</v>
      </c>
      <c r="Q89" s="6" t="str" cm="1">
        <f t="array" aca="1" ref="Q89" ca="1">INDEX($E$2:$E$98,L89)</f>
        <v>Pereira</v>
      </c>
      <c r="S89" t="str">
        <f t="shared" ca="1" si="9"/>
        <v>Feminino</v>
      </c>
      <c r="T89" t="str">
        <f t="shared" ca="1" si="6"/>
        <v>Lara Leonor Castro Pereira</v>
      </c>
    </row>
    <row r="90" spans="5:20" x14ac:dyDescent="0.25">
      <c r="E90" t="s">
        <v>178</v>
      </c>
      <c r="I90">
        <f t="shared" ca="1" si="7"/>
        <v>17</v>
      </c>
      <c r="J90">
        <f t="shared" ca="1" si="7"/>
        <v>5</v>
      </c>
      <c r="K90">
        <f t="shared" ca="1" si="8"/>
        <v>6</v>
      </c>
      <c r="L90">
        <f t="shared" ca="1" si="8"/>
        <v>5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João</v>
      </c>
      <c r="O90" s="6" t="str" cm="1">
        <f t="array" aca="1" ref="O90" ca="1">INDEX($B$2:$B$40,J90,1)</f>
        <v>Bruno</v>
      </c>
      <c r="P90" s="6" t="str" cm="1">
        <f t="array" aca="1" ref="P90" ca="1">INDEX($E$2:$E$98,K90)</f>
        <v>Almeida</v>
      </c>
      <c r="Q90" s="6" t="str" cm="1">
        <f t="array" aca="1" ref="Q90" ca="1">INDEX($E$2:$E$98,L90)</f>
        <v>Nunes</v>
      </c>
      <c r="S90" t="str">
        <f t="shared" ca="1" si="9"/>
        <v>Masculino</v>
      </c>
      <c r="T90" t="str">
        <f t="shared" ca="1" si="6"/>
        <v>João Bruno Almeida Nunes</v>
      </c>
    </row>
    <row r="91" spans="5:20" x14ac:dyDescent="0.25">
      <c r="E91" t="s">
        <v>179</v>
      </c>
      <c r="I91">
        <f t="shared" ca="1" si="7"/>
        <v>26</v>
      </c>
      <c r="J91">
        <f t="shared" ca="1" si="7"/>
        <v>24</v>
      </c>
      <c r="K91">
        <f t="shared" ca="1" si="8"/>
        <v>22</v>
      </c>
      <c r="L91">
        <f t="shared" ca="1" si="8"/>
        <v>81</v>
      </c>
      <c r="M91" s="6" t="str" cm="1">
        <f t="array" aca="1" ref="M91" ca="1">INDEX($A$2:$A$40,I91,1)</f>
        <v>Masculino</v>
      </c>
      <c r="N91" s="6" t="str" cm="1">
        <f t="array" aca="1" ref="N91" ca="1">INDEX($B$2:$B$40,I91,1)</f>
        <v>Martim</v>
      </c>
      <c r="O91" s="6" t="str" cm="1">
        <f t="array" aca="1" ref="O91" ca="1">INDEX($B$2:$B$40,J91,1)</f>
        <v>Laura</v>
      </c>
      <c r="P91" s="6" t="str" cm="1">
        <f t="array" aca="1" ref="P91" ca="1">INDEX($E$2:$E$98,K91)</f>
        <v>Gonçalves</v>
      </c>
      <c r="Q91" s="6" t="str" cm="1">
        <f t="array" aca="1" ref="Q91" ca="1">INDEX($E$2:$E$98,L91)</f>
        <v>Maia</v>
      </c>
      <c r="S91" t="str">
        <f t="shared" ca="1" si="9"/>
        <v>Masculino</v>
      </c>
      <c r="T91" t="str">
        <f t="shared" ca="1" si="6"/>
        <v>Martim Laura Gonçalves Maia</v>
      </c>
    </row>
    <row r="92" spans="5:20" x14ac:dyDescent="0.25">
      <c r="E92" t="s">
        <v>180</v>
      </c>
      <c r="I92">
        <f t="shared" ca="1" si="7"/>
        <v>3</v>
      </c>
      <c r="J92">
        <f t="shared" ca="1" si="7"/>
        <v>37</v>
      </c>
      <c r="K92">
        <f t="shared" ca="1" si="8"/>
        <v>47</v>
      </c>
      <c r="L92">
        <f t="shared" ca="1" si="8"/>
        <v>83</v>
      </c>
      <c r="M92" s="6" t="str" cm="1">
        <f t="array" aca="1" ref="M92" ca="1">INDEX($A$2:$A$40,I92,1)</f>
        <v>Masculino</v>
      </c>
      <c r="N92" s="6" t="str" cm="1">
        <f t="array" aca="1" ref="N92" ca="1">INDEX($B$2:$B$40,I92,1)</f>
        <v>André</v>
      </c>
      <c r="O92" s="6" t="str" cm="1">
        <f t="array" aca="1" ref="O92" ca="1">INDEX($B$2:$B$40,J92,1)</f>
        <v>Vera</v>
      </c>
      <c r="P92" s="6" t="str" cm="1">
        <f t="array" aca="1" ref="P92" ca="1">INDEX($E$2:$E$98,K92)</f>
        <v>Lourenço</v>
      </c>
      <c r="Q92" s="6" t="str" cm="1">
        <f t="array" aca="1" ref="Q92" ca="1">INDEX($E$2:$E$98,L92)</f>
        <v>Valente</v>
      </c>
      <c r="S92" t="str">
        <f t="shared" ca="1" si="9"/>
        <v>Masculino</v>
      </c>
      <c r="T92" t="str">
        <f t="shared" ca="1" si="6"/>
        <v>André Vera Lourenço Valente</v>
      </c>
    </row>
    <row r="93" spans="5:20" x14ac:dyDescent="0.25">
      <c r="E93" t="s">
        <v>181</v>
      </c>
      <c r="I93">
        <f t="shared" ca="1" si="7"/>
        <v>11</v>
      </c>
      <c r="J93">
        <f t="shared" ca="1" si="7"/>
        <v>17</v>
      </c>
      <c r="K93">
        <f t="shared" ca="1" si="8"/>
        <v>9</v>
      </c>
      <c r="L93">
        <f t="shared" ca="1" si="8"/>
        <v>41</v>
      </c>
      <c r="M93" s="6" t="str" cm="1">
        <f t="array" aca="1" ref="M93" ca="1">INDEX($A$2:$A$40,I93,1)</f>
        <v>Masculino</v>
      </c>
      <c r="N93" s="6" t="str" cm="1">
        <f t="array" aca="1" ref="N93" ca="1">INDEX($B$2:$B$40,I93,1)</f>
        <v>Duarte</v>
      </c>
      <c r="O93" s="6" t="str" cm="1">
        <f t="array" aca="1" ref="O93" ca="1">INDEX($B$2:$B$40,J93,1)</f>
        <v>João</v>
      </c>
      <c r="P93" s="6" t="str" cm="1">
        <f t="array" aca="1" ref="P93" ca="1">INDEX($E$2:$E$98,K93)</f>
        <v>Ramos</v>
      </c>
      <c r="Q93" s="6" t="str" cm="1">
        <f t="array" aca="1" ref="Q93" ca="1">INDEX($E$2:$E$98,L93)</f>
        <v>Matos</v>
      </c>
      <c r="S93" t="str">
        <f t="shared" ca="1" si="9"/>
        <v>Masculino</v>
      </c>
      <c r="T93" t="str">
        <f t="shared" ca="1" si="6"/>
        <v>Duarte João Ramos Matos</v>
      </c>
    </row>
    <row r="94" spans="5:20" x14ac:dyDescent="0.25">
      <c r="E94" t="s">
        <v>182</v>
      </c>
      <c r="I94">
        <f t="shared" ca="1" si="7"/>
        <v>13</v>
      </c>
      <c r="J94">
        <f t="shared" ca="1" si="7"/>
        <v>32</v>
      </c>
      <c r="K94">
        <f t="shared" ca="1" si="8"/>
        <v>50</v>
      </c>
      <c r="L94">
        <f t="shared" ca="1" si="8"/>
        <v>50</v>
      </c>
      <c r="M94" s="6" t="str" cm="1">
        <f t="array" aca="1" ref="M94" ca="1">INDEX($A$2:$A$40,I94,1)</f>
        <v>Masculino</v>
      </c>
      <c r="N94" s="6" t="str" cm="1">
        <f t="array" aca="1" ref="N94" ca="1">INDEX($B$2:$B$40,I94,1)</f>
        <v>Francisco</v>
      </c>
      <c r="O94" s="6" t="str" cm="1">
        <f t="array" aca="1" ref="O94" ca="1">INDEX($B$2:$B$40,J94,1)</f>
        <v>Santiago</v>
      </c>
      <c r="P94" s="6" t="str" cm="1">
        <f t="array" aca="1" ref="P94" ca="1">INDEX($E$2:$E$98,K94)</f>
        <v>Azevedo</v>
      </c>
      <c r="Q94" s="6" t="str" cm="1">
        <f t="array" aca="1" ref="Q94" ca="1">INDEX($E$2:$E$98,L94)</f>
        <v>Azevedo</v>
      </c>
      <c r="S94" t="str">
        <f t="shared" ca="1" si="9"/>
        <v>Masculino</v>
      </c>
      <c r="T94" t="str">
        <f t="shared" ca="1" si="6"/>
        <v>Francisco Santiago Azevedo Azevedo</v>
      </c>
    </row>
    <row r="95" spans="5:20" x14ac:dyDescent="0.25">
      <c r="E95" t="s">
        <v>183</v>
      </c>
      <c r="I95">
        <f t="shared" ca="1" si="7"/>
        <v>4</v>
      </c>
      <c r="J95">
        <f t="shared" ca="1" si="7"/>
        <v>36</v>
      </c>
      <c r="K95">
        <f t="shared" ca="1" si="8"/>
        <v>10</v>
      </c>
      <c r="L95">
        <f t="shared" ca="1" si="8"/>
        <v>19</v>
      </c>
      <c r="M95" s="6" t="str" cm="1">
        <f t="array" aca="1" ref="M95" ca="1">INDEX($A$2:$A$40,I95,1)</f>
        <v>Feminino</v>
      </c>
      <c r="N95" s="6" t="str" cm="1">
        <f t="array" aca="1" ref="N95" ca="1">INDEX($B$2:$B$40,I95,1)</f>
        <v>Beatriz</v>
      </c>
      <c r="O95" s="6" t="str" cm="1">
        <f t="array" aca="1" ref="O95" ca="1">INDEX($B$2:$B$40,J95,1)</f>
        <v>Tomás</v>
      </c>
      <c r="P95" s="6" t="str" cm="1">
        <f t="array" aca="1" ref="P95" ca="1">INDEX($E$2:$E$98,K95)</f>
        <v>Correia</v>
      </c>
      <c r="Q95" s="6" t="str" cm="1">
        <f t="array" aca="1" ref="Q95" ca="1">INDEX($E$2:$E$98,L95)</f>
        <v>Lopes</v>
      </c>
      <c r="S95" t="str">
        <f t="shared" ca="1" si="9"/>
        <v>Feminino</v>
      </c>
      <c r="T95" t="str">
        <f t="shared" ca="1" si="6"/>
        <v>Beatriz Tomás Correia Lopes</v>
      </c>
    </row>
    <row r="96" spans="5:20" x14ac:dyDescent="0.25">
      <c r="E96" t="s">
        <v>184</v>
      </c>
      <c r="I96">
        <f t="shared" ca="1" si="7"/>
        <v>27</v>
      </c>
      <c r="J96">
        <f t="shared" ca="1" si="7"/>
        <v>4</v>
      </c>
      <c r="K96">
        <f t="shared" ca="1" si="8"/>
        <v>23</v>
      </c>
      <c r="L96">
        <f t="shared" ca="1" si="8"/>
        <v>92</v>
      </c>
      <c r="M96" s="6" t="str" cm="1">
        <f t="array" aca="1" ref="M96" ca="1">INDEX($A$2:$A$40,I96,1)</f>
        <v>Feminino</v>
      </c>
      <c r="N96" s="6" t="str" cm="1">
        <f t="array" aca="1" ref="N96" ca="1">INDEX($B$2:$B$40,I96,1)</f>
        <v>Matilde</v>
      </c>
      <c r="O96" s="6" t="str" cm="1">
        <f t="array" aca="1" ref="O96" ca="1">INDEX($B$2:$B$40,J96,1)</f>
        <v>Beatriz</v>
      </c>
      <c r="P96" s="6" t="str" cm="1">
        <f t="array" aca="1" ref="P96" ca="1">INDEX($E$2:$E$98,K96)</f>
        <v>Gomes</v>
      </c>
      <c r="Q96" s="6" t="str" cm="1">
        <f t="array" aca="1" ref="Q96" ca="1">INDEX($E$2:$E$98,L96)</f>
        <v>Pacheco</v>
      </c>
      <c r="S96" t="str">
        <f t="shared" ca="1" si="9"/>
        <v>Feminino</v>
      </c>
      <c r="T96" t="str">
        <f t="shared" ca="1" si="6"/>
        <v>Matilde Beatriz Gomes Pacheco</v>
      </c>
    </row>
    <row r="97" spans="5:20" x14ac:dyDescent="0.25">
      <c r="E97" t="s">
        <v>185</v>
      </c>
      <c r="I97">
        <f t="shared" ca="1" si="7"/>
        <v>21</v>
      </c>
      <c r="J97">
        <f t="shared" ca="1" si="7"/>
        <v>16</v>
      </c>
      <c r="K97">
        <f t="shared" ca="1" si="8"/>
        <v>24</v>
      </c>
      <c r="L97">
        <f t="shared" ca="1" si="8"/>
        <v>76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Lurdes</v>
      </c>
      <c r="O97" s="6" t="str" cm="1">
        <f t="array" aca="1" ref="O97" ca="1">INDEX($B$2:$B$40,J97,1)</f>
        <v>Joana</v>
      </c>
      <c r="P97" s="6" t="str" cm="1">
        <f t="array" aca="1" ref="P97" ca="1">INDEX($E$2:$E$98,K97)</f>
        <v>Ribeiro</v>
      </c>
      <c r="Q97" s="6" t="str" cm="1">
        <f t="array" aca="1" ref="Q97" ca="1">INDEX($E$2:$E$98,L97)</f>
        <v>Vaz</v>
      </c>
      <c r="S97" t="str">
        <f t="shared" ca="1" si="9"/>
        <v>Feminino</v>
      </c>
      <c r="T97" t="str">
        <f t="shared" ca="1" si="6"/>
        <v>Lurdes Joana Ribeiro Vaz</v>
      </c>
    </row>
    <row r="98" spans="5:20" x14ac:dyDescent="0.25">
      <c r="E98" t="s">
        <v>186</v>
      </c>
      <c r="I98">
        <f t="shared" ca="1" si="7"/>
        <v>19</v>
      </c>
      <c r="J98">
        <f t="shared" ca="1" si="7"/>
        <v>36</v>
      </c>
      <c r="K98">
        <f t="shared" ca="1" si="8"/>
        <v>9</v>
      </c>
      <c r="L98">
        <f t="shared" ca="1" si="8"/>
        <v>1</v>
      </c>
      <c r="M98" s="6" t="str" cm="1">
        <f t="array" aca="1" ref="M98" ca="1">INDEX($A$2:$A$40,I98,1)</f>
        <v>Feminino</v>
      </c>
      <c r="N98" s="6" t="str" cm="1">
        <f t="array" aca="1" ref="N98" ca="1">INDEX($B$2:$B$40,I98,1)</f>
        <v>Leonor</v>
      </c>
      <c r="O98" s="6" t="str" cm="1">
        <f t="array" aca="1" ref="O98" ca="1">INDEX($B$2:$B$40,J98,1)</f>
        <v>Tomás</v>
      </c>
      <c r="P98" s="6" t="str" cm="1">
        <f t="array" aca="1" ref="P98" ca="1">INDEX($E$2:$E$98,K98)</f>
        <v>Ramos</v>
      </c>
      <c r="Q98" s="6" t="str" cm="1">
        <f t="array" aca="1" ref="Q98" ca="1">INDEX($E$2:$E$98,L98)</f>
        <v>Pereira</v>
      </c>
      <c r="S98" t="str">
        <f t="shared" ca="1" si="9"/>
        <v>Feminino</v>
      </c>
      <c r="T98" t="str">
        <f t="shared" ca="1" si="6"/>
        <v>Leonor Tomás Ramos Pereira</v>
      </c>
    </row>
    <row r="99" spans="5:20" x14ac:dyDescent="0.25">
      <c r="I99">
        <f t="shared" ca="1" si="7"/>
        <v>11</v>
      </c>
      <c r="J99">
        <f t="shared" ca="1" si="7"/>
        <v>39</v>
      </c>
      <c r="K99">
        <f t="shared" ca="1" si="8"/>
        <v>88</v>
      </c>
      <c r="L99">
        <f t="shared" ca="1" si="8"/>
        <v>74</v>
      </c>
      <c r="M99" s="6" t="str" cm="1">
        <f t="array" aca="1" ref="M99" ca="1">INDEX($A$2:$A$40,I99,1)</f>
        <v>Masculino</v>
      </c>
      <c r="N99" s="6" t="str" cm="1">
        <f t="array" aca="1" ref="N99" ca="1">INDEX($B$2:$B$40,I99,1)</f>
        <v>Duarte</v>
      </c>
      <c r="O99" s="6" t="str" cm="1">
        <f t="array" aca="1" ref="O99" ca="1">INDEX($B$2:$B$40,J99,1)</f>
        <v>Lara</v>
      </c>
      <c r="P99" s="6" t="str" cm="1">
        <f t="array" aca="1" ref="P99" ca="1">INDEX($E$2:$E$98,K99)</f>
        <v>Neto</v>
      </c>
      <c r="Q99" s="6" t="str" cm="1">
        <f t="array" aca="1" ref="Q99" ca="1">INDEX($E$2:$E$98,L99)</f>
        <v>Borges</v>
      </c>
      <c r="S99" t="str">
        <f t="shared" ca="1" si="9"/>
        <v>Masculino</v>
      </c>
      <c r="T99" t="str">
        <f t="shared" ca="1" si="6"/>
        <v>Duarte Lara Neto Borges</v>
      </c>
    </row>
    <row r="100" spans="5:20" x14ac:dyDescent="0.25">
      <c r="I100">
        <f t="shared" ca="1" si="7"/>
        <v>21</v>
      </c>
      <c r="J100">
        <f t="shared" ca="1" si="7"/>
        <v>21</v>
      </c>
      <c r="K100">
        <f t="shared" ca="1" si="8"/>
        <v>31</v>
      </c>
      <c r="L100">
        <f t="shared" ca="1" si="8"/>
        <v>82</v>
      </c>
      <c r="M100" s="6" t="str" cm="1">
        <f t="array" aca="1" ref="M100" ca="1">INDEX($A$2:$A$40,I100,1)</f>
        <v>Feminino</v>
      </c>
      <c r="N100" s="6" t="str" cm="1">
        <f t="array" aca="1" ref="N100" ca="1">INDEX($B$2:$B$40,I100,1)</f>
        <v>Lurdes</v>
      </c>
      <c r="O100" s="6" t="str" cm="1">
        <f t="array" aca="1" ref="O100" ca="1">INDEX($B$2:$B$40,J100,1)</f>
        <v>Lurdes</v>
      </c>
      <c r="P100" s="6" t="str" cm="1">
        <f t="array" aca="1" ref="P100" ca="1">INDEX($E$2:$E$98,K100)</f>
        <v>Oliveira</v>
      </c>
      <c r="Q100" s="6" t="str" cm="1">
        <f t="array" aca="1" ref="Q100" ca="1">INDEX($E$2:$E$98,L100)</f>
        <v>Moura</v>
      </c>
      <c r="S100" t="str">
        <f t="shared" ca="1" si="9"/>
        <v>Feminino</v>
      </c>
      <c r="T100" t="str">
        <f t="shared" ca="1" si="6"/>
        <v>Lurdes Lurdes Oliveira Moura</v>
      </c>
    </row>
    <row r="101" spans="5:20" x14ac:dyDescent="0.25">
      <c r="I101">
        <f t="shared" ca="1" si="7"/>
        <v>27</v>
      </c>
      <c r="J101">
        <f t="shared" ca="1" si="7"/>
        <v>10</v>
      </c>
      <c r="K101">
        <f t="shared" ca="1" si="8"/>
        <v>2</v>
      </c>
      <c r="L101">
        <f t="shared" ca="1" si="8"/>
        <v>24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Matilde</v>
      </c>
      <c r="O101" s="6" t="str" cm="1">
        <f t="array" aca="1" ref="O101" ca="1">INDEX($B$2:$B$40,J101,1)</f>
        <v>Diogo</v>
      </c>
      <c r="P101" s="6" t="str" cm="1">
        <f t="array" aca="1" ref="P101" ca="1">INDEX($E$2:$E$98,K101)</f>
        <v>Pinto</v>
      </c>
      <c r="Q101" s="6" t="str" cm="1">
        <f t="array" aca="1" ref="Q101" ca="1">INDEX($E$2:$E$98,L101)</f>
        <v>Ribeiro</v>
      </c>
      <c r="S101" t="str">
        <f t="shared" ca="1" si="9"/>
        <v>Feminino</v>
      </c>
      <c r="T101" t="str">
        <f t="shared" ca="1" si="6"/>
        <v>Matilde Diogo Pinto Ribeiro</v>
      </c>
    </row>
    <row r="102" spans="5:20" x14ac:dyDescent="0.25">
      <c r="I102">
        <f t="shared" ca="1" si="7"/>
        <v>17</v>
      </c>
      <c r="J102">
        <f t="shared" ca="1" si="7"/>
        <v>23</v>
      </c>
      <c r="K102">
        <f t="shared" ca="1" si="8"/>
        <v>83</v>
      </c>
      <c r="L102">
        <f t="shared" ca="1" si="8"/>
        <v>20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João</v>
      </c>
      <c r="O102" s="6" t="str" cm="1">
        <f t="array" aca="1" ref="O102" ca="1">INDEX($B$2:$B$40,J102,1)</f>
        <v>Maria</v>
      </c>
      <c r="P102" s="6" t="str" cm="1">
        <f t="array" aca="1" ref="P102" ca="1">INDEX($E$2:$E$98,K102)</f>
        <v>Valente</v>
      </c>
      <c r="Q102" s="6" t="str" cm="1">
        <f t="array" aca="1" ref="Q102" ca="1">INDEX($E$2:$E$98,L102)</f>
        <v>Cardoso</v>
      </c>
      <c r="S102" t="str">
        <f t="shared" ca="1" si="9"/>
        <v>Masculino</v>
      </c>
      <c r="T102" t="str">
        <f t="shared" ca="1" si="6"/>
        <v>João Maria Valente Cardoso</v>
      </c>
    </row>
    <row r="103" spans="5:20" x14ac:dyDescent="0.25">
      <c r="I103">
        <f t="shared" ca="1" si="7"/>
        <v>20</v>
      </c>
      <c r="J103">
        <f t="shared" ca="1" si="7"/>
        <v>36</v>
      </c>
      <c r="K103">
        <f t="shared" ca="1" si="8"/>
        <v>37</v>
      </c>
      <c r="L103">
        <f t="shared" ca="1" si="8"/>
        <v>27</v>
      </c>
      <c r="M103" s="6" t="str" cm="1">
        <f t="array" aca="1" ref="M103" ca="1">INDEX($A$2:$A$40,I103,1)</f>
        <v>Masculino</v>
      </c>
      <c r="N103" s="6" t="str" cm="1">
        <f t="array" aca="1" ref="N103" ca="1">INDEX($B$2:$B$40,I103,1)</f>
        <v>Luís</v>
      </c>
      <c r="O103" s="6" t="str" cm="1">
        <f t="array" aca="1" ref="O103" ca="1">INDEX($B$2:$B$40,J103,1)</f>
        <v>Tomás</v>
      </c>
      <c r="P103" s="6" t="str" cm="1">
        <f t="array" aca="1" ref="P103" ca="1">INDEX($E$2:$E$98,K103)</f>
        <v>Rocha</v>
      </c>
      <c r="Q103" s="6" t="str" cm="1">
        <f t="array" aca="1" ref="Q103" ca="1">INDEX($E$2:$E$98,L103)</f>
        <v>Marques</v>
      </c>
      <c r="S103" t="str">
        <f t="shared" ca="1" si="9"/>
        <v>Masculino</v>
      </c>
      <c r="T103" t="str">
        <f t="shared" ca="1" si="6"/>
        <v>Luís Tomás Rocha Marques</v>
      </c>
    </row>
    <row r="104" spans="5:20" x14ac:dyDescent="0.25">
      <c r="I104">
        <f t="shared" ca="1" si="7"/>
        <v>15</v>
      </c>
      <c r="J104">
        <f t="shared" ca="1" si="7"/>
        <v>38</v>
      </c>
      <c r="K104">
        <f t="shared" ca="1" si="8"/>
        <v>61</v>
      </c>
      <c r="L104">
        <f t="shared" ca="1" si="8"/>
        <v>64</v>
      </c>
      <c r="M104" s="6" t="str" cm="1">
        <f t="array" aca="1" ref="M104" ca="1">INDEX($A$2:$A$40,I104,1)</f>
        <v>Feminino</v>
      </c>
      <c r="N104" s="6" t="str" cm="1">
        <f t="array" aca="1" ref="N104" ca="1">INDEX($B$2:$B$40,I104,1)</f>
        <v>Inês</v>
      </c>
      <c r="O104" s="6" t="str" cm="1">
        <f t="array" aca="1" ref="O104" ca="1">INDEX($B$2:$B$40,J104,1)</f>
        <v>Joaquim</v>
      </c>
      <c r="P104" s="6" t="str" cm="1">
        <f t="array" aca="1" ref="P104" ca="1">INDEX($E$2:$E$98,K104)</f>
        <v>Morais</v>
      </c>
      <c r="Q104" s="6" t="str" cm="1">
        <f t="array" aca="1" ref="Q104" ca="1">INDEX($E$2:$E$98,L104)</f>
        <v>Anjos</v>
      </c>
      <c r="S104" t="str">
        <f t="shared" ca="1" si="9"/>
        <v>Feminino</v>
      </c>
      <c r="T104" t="str">
        <f t="shared" ca="1" si="6"/>
        <v>Inês Joaquim Morais Anjos</v>
      </c>
    </row>
    <row r="105" spans="5:20" x14ac:dyDescent="0.25">
      <c r="I105">
        <f t="shared" ca="1" si="7"/>
        <v>9</v>
      </c>
      <c r="J105">
        <f t="shared" ca="1" si="7"/>
        <v>8</v>
      </c>
      <c r="K105">
        <f t="shared" ca="1" si="8"/>
        <v>67</v>
      </c>
      <c r="L105">
        <f t="shared" ca="1" si="8"/>
        <v>80</v>
      </c>
      <c r="M105" s="6" t="str" cm="1">
        <f t="array" aca="1" ref="M105" ca="1">INDEX($A$2:$A$40,I105,1)</f>
        <v>Feminino</v>
      </c>
      <c r="N105" s="6" t="str" cm="1">
        <f t="array" aca="1" ref="N105" ca="1">INDEX($B$2:$B$40,I105,1)</f>
        <v>Diana</v>
      </c>
      <c r="O105" s="6" t="str" cm="1">
        <f t="array" aca="1" ref="O105" ca="1">INDEX($B$2:$B$40,J105,1)</f>
        <v>Daniela</v>
      </c>
      <c r="P105" s="6" t="str" cm="1">
        <f t="array" aca="1" ref="P105" ca="1">INDEX($E$2:$E$98,K105)</f>
        <v>Mota</v>
      </c>
      <c r="Q105" s="6" t="str" cm="1">
        <f t="array" aca="1" ref="Q105" ca="1">INDEX($E$2:$E$98,L105)</f>
        <v>Assunção</v>
      </c>
      <c r="S105" t="str">
        <f t="shared" ca="1" si="9"/>
        <v>Feminino</v>
      </c>
      <c r="T105" t="str">
        <f t="shared" ca="1" si="6"/>
        <v>Diana Daniela Mota Assunção</v>
      </c>
    </row>
    <row r="106" spans="5:20" x14ac:dyDescent="0.25">
      <c r="I106">
        <f t="shared" ca="1" si="7"/>
        <v>10</v>
      </c>
      <c r="J106">
        <f t="shared" ca="1" si="7"/>
        <v>22</v>
      </c>
      <c r="K106">
        <f t="shared" ca="1" si="8"/>
        <v>72</v>
      </c>
      <c r="L106">
        <f t="shared" ca="1" si="8"/>
        <v>79</v>
      </c>
      <c r="M106" s="6" t="str" cm="1">
        <f t="array" aca="1" ref="M106" ca="1">INDEX($A$2:$A$40,I106,1)</f>
        <v>Masculino</v>
      </c>
      <c r="N106" s="6" t="str" cm="1">
        <f t="array" aca="1" ref="N106" ca="1">INDEX($B$2:$B$40,I106,1)</f>
        <v>Diogo</v>
      </c>
      <c r="O106" s="6" t="str" cm="1">
        <f t="array" aca="1" ref="O106" ca="1">INDEX($B$2:$B$40,J106,1)</f>
        <v>Marco</v>
      </c>
      <c r="P106" s="6" t="str" cm="1">
        <f t="array" aca="1" ref="P106" ca="1">INDEX($E$2:$E$98,K106)</f>
        <v>Leite</v>
      </c>
      <c r="Q106" s="6" t="str" cm="1">
        <f t="array" aca="1" ref="Q106" ca="1">INDEX($E$2:$E$98,L106)</f>
        <v>Gaspar</v>
      </c>
      <c r="S106" t="str">
        <f t="shared" ca="1" si="9"/>
        <v>Masculino</v>
      </c>
      <c r="T106" t="str">
        <f t="shared" ca="1" si="6"/>
        <v>Diogo Marco Leite Gaspar</v>
      </c>
    </row>
    <row r="107" spans="5:20" x14ac:dyDescent="0.25">
      <c r="I107">
        <f t="shared" ca="1" si="7"/>
        <v>8</v>
      </c>
      <c r="J107">
        <f t="shared" ca="1" si="7"/>
        <v>39</v>
      </c>
      <c r="K107">
        <f t="shared" ca="1" si="8"/>
        <v>13</v>
      </c>
      <c r="L107">
        <f t="shared" ca="1" si="8"/>
        <v>90</v>
      </c>
      <c r="M107" s="6" t="str" cm="1">
        <f t="array" aca="1" ref="M107" ca="1">INDEX($A$2:$A$40,I107,1)</f>
        <v>Feminino</v>
      </c>
      <c r="N107" s="6" t="str" cm="1">
        <f t="array" aca="1" ref="N107" ca="1">INDEX($B$2:$B$40,I107,1)</f>
        <v>Daniela</v>
      </c>
      <c r="O107" s="6" t="str" cm="1">
        <f t="array" aca="1" ref="O107" ca="1">INDEX($B$2:$B$40,J107,1)</f>
        <v>Lara</v>
      </c>
      <c r="P107" s="6" t="str" cm="1">
        <f t="array" aca="1" ref="P107" ca="1">INDEX($E$2:$E$98,K107)</f>
        <v>Santos</v>
      </c>
      <c r="Q107" s="6" t="str" cm="1">
        <f t="array" aca="1" ref="Q107" ca="1">INDEX($E$2:$E$98,L107)</f>
        <v>Branco</v>
      </c>
      <c r="S107" t="str">
        <f t="shared" ca="1" si="9"/>
        <v>Feminino</v>
      </c>
      <c r="T107" t="str">
        <f t="shared" ca="1" si="6"/>
        <v>Daniela Lara Santos Branco</v>
      </c>
    </row>
    <row r="108" spans="5:20" x14ac:dyDescent="0.25">
      <c r="I108">
        <f t="shared" ca="1" si="7"/>
        <v>5</v>
      </c>
      <c r="J108">
        <f t="shared" ca="1" si="7"/>
        <v>13</v>
      </c>
      <c r="K108">
        <f t="shared" ca="1" si="8"/>
        <v>42</v>
      </c>
      <c r="L108">
        <f t="shared" ca="1" si="8"/>
        <v>66</v>
      </c>
      <c r="M108" s="6" t="str" cm="1">
        <f t="array" aca="1" ref="M108" ca="1">INDEX($A$2:$A$40,I108,1)</f>
        <v>Masculino</v>
      </c>
      <c r="N108" s="6" t="str" cm="1">
        <f t="array" aca="1" ref="N108" ca="1">INDEX($B$2:$B$40,I108,1)</f>
        <v>Bruno</v>
      </c>
      <c r="O108" s="6" t="str" cm="1">
        <f t="array" aca="1" ref="O108" ca="1">INDEX($B$2:$B$40,J108,1)</f>
        <v>Francisco</v>
      </c>
      <c r="P108" s="6" t="str" cm="1">
        <f t="array" aca="1" ref="P108" ca="1">INDEX($E$2:$E$98,K108)</f>
        <v>Fonseca</v>
      </c>
      <c r="Q108" s="6" t="str" cm="1">
        <f t="array" aca="1" ref="Q108" ca="1">INDEX($E$2:$E$98,L108)</f>
        <v>Campos</v>
      </c>
      <c r="S108" t="str">
        <f t="shared" ca="1" si="9"/>
        <v>Masculino</v>
      </c>
      <c r="T108" t="str">
        <f t="shared" ca="1" si="6"/>
        <v>Bruno Francisco Fonseca Campos</v>
      </c>
    </row>
    <row r="109" spans="5:20" x14ac:dyDescent="0.25">
      <c r="I109">
        <f t="shared" ca="1" si="7"/>
        <v>2</v>
      </c>
      <c r="J109">
        <f t="shared" ca="1" si="7"/>
        <v>1</v>
      </c>
      <c r="K109">
        <f t="shared" ca="1" si="8"/>
        <v>14</v>
      </c>
      <c r="L109">
        <f t="shared" ca="1" si="8"/>
        <v>64</v>
      </c>
      <c r="M109" s="6" t="str" cm="1">
        <f t="array" aca="1" ref="M109" ca="1">INDEX($A$2:$A$40,I109,1)</f>
        <v>Feminino</v>
      </c>
      <c r="N109" s="6" t="str" cm="1">
        <f t="array" aca="1" ref="N109" ca="1">INDEX($B$2:$B$40,I109,1)</f>
        <v>Ana</v>
      </c>
      <c r="O109" s="6" t="str" cm="1">
        <f t="array" aca="1" ref="O109" ca="1">INDEX($B$2:$B$40,J109,1)</f>
        <v>Afonso</v>
      </c>
      <c r="P109" s="6" t="str" cm="1">
        <f t="array" aca="1" ref="P109" ca="1">INDEX($E$2:$E$98,K109)</f>
        <v>Sousa</v>
      </c>
      <c r="Q109" s="6" t="str" cm="1">
        <f t="array" aca="1" ref="Q109" ca="1">INDEX($E$2:$E$98,L109)</f>
        <v>Anjos</v>
      </c>
      <c r="S109" t="str">
        <f t="shared" ca="1" si="9"/>
        <v>Feminino</v>
      </c>
      <c r="T109" t="str">
        <f t="shared" ca="1" si="6"/>
        <v>Ana Afonso Sousa Anjos</v>
      </c>
    </row>
    <row r="110" spans="5:20" x14ac:dyDescent="0.25">
      <c r="I110">
        <f t="shared" ca="1" si="7"/>
        <v>37</v>
      </c>
      <c r="J110">
        <f t="shared" ca="1" si="7"/>
        <v>6</v>
      </c>
      <c r="K110">
        <f t="shared" ca="1" si="8"/>
        <v>77</v>
      </c>
      <c r="L110">
        <f t="shared" ca="1" si="8"/>
        <v>72</v>
      </c>
      <c r="M110" s="6" t="str" cm="1">
        <f t="array" aca="1" ref="M110" ca="1">INDEX($A$2:$A$40,I110,1)</f>
        <v>Feminino</v>
      </c>
      <c r="N110" s="6" t="str" cm="1">
        <f t="array" aca="1" ref="N110" ca="1">INDEX($B$2:$B$40,I110,1)</f>
        <v>Vera</v>
      </c>
      <c r="O110" s="6" t="str" cm="1">
        <f t="array" aca="1" ref="O110" ca="1">INDEX($B$2:$B$40,J110,1)</f>
        <v>Carolina</v>
      </c>
      <c r="P110" s="6" t="str" cm="1">
        <f t="array" aca="1" ref="P110" ca="1">INDEX($E$2:$E$98,K110)</f>
        <v>Pinho</v>
      </c>
      <c r="Q110" s="6" t="str" cm="1">
        <f t="array" aca="1" ref="Q110" ca="1">INDEX($E$2:$E$98,L110)</f>
        <v>Leite</v>
      </c>
      <c r="S110" t="str">
        <f t="shared" ca="1" si="9"/>
        <v>Feminino</v>
      </c>
      <c r="T110" t="str">
        <f t="shared" ca="1" si="6"/>
        <v>Vera Carolina Pinho Leite</v>
      </c>
    </row>
    <row r="111" spans="5:20" x14ac:dyDescent="0.25">
      <c r="I111">
        <f t="shared" ca="1" si="7"/>
        <v>26</v>
      </c>
      <c r="J111">
        <f t="shared" ca="1" si="7"/>
        <v>33</v>
      </c>
      <c r="K111">
        <f t="shared" ca="1" si="8"/>
        <v>76</v>
      </c>
      <c r="L111">
        <f t="shared" ca="1" si="8"/>
        <v>35</v>
      </c>
      <c r="M111" s="6" t="str" cm="1">
        <f t="array" aca="1" ref="M111" ca="1">INDEX($A$2:$A$40,I111,1)</f>
        <v>Masculino</v>
      </c>
      <c r="N111" s="6" t="str" cm="1">
        <f t="array" aca="1" ref="N111" ca="1">INDEX($B$2:$B$40,I111,1)</f>
        <v>Martim</v>
      </c>
      <c r="O111" s="6" t="str" cm="1">
        <f t="array" aca="1" ref="O111" ca="1">INDEX($B$2:$B$40,J111,1)</f>
        <v>Sara</v>
      </c>
      <c r="P111" s="6" t="str" cm="1">
        <f t="array" aca="1" ref="P111" ca="1">INDEX($E$2:$E$98,K111)</f>
        <v>Vaz</v>
      </c>
      <c r="Q111" s="6" t="str" cm="1">
        <f t="array" aca="1" ref="Q111" ca="1">INDEX($E$2:$E$98,L111)</f>
        <v>Mendes</v>
      </c>
      <c r="S111" t="str">
        <f t="shared" ca="1" si="9"/>
        <v>Masculino</v>
      </c>
      <c r="T111" t="str">
        <f t="shared" ca="1" si="6"/>
        <v>Martim Sara Vaz Mendes</v>
      </c>
    </row>
    <row r="112" spans="5:20" x14ac:dyDescent="0.25">
      <c r="I112">
        <f t="shared" ca="1" si="7"/>
        <v>6</v>
      </c>
      <c r="J112">
        <f t="shared" ca="1" si="7"/>
        <v>33</v>
      </c>
      <c r="K112">
        <f t="shared" ca="1" si="8"/>
        <v>50</v>
      </c>
      <c r="L112">
        <f t="shared" ca="1" si="8"/>
        <v>40</v>
      </c>
      <c r="M112" s="6" t="str" cm="1">
        <f t="array" aca="1" ref="M112" ca="1">INDEX($A$2:$A$40,I112,1)</f>
        <v>Feminino</v>
      </c>
      <c r="N112" s="6" t="str" cm="1">
        <f t="array" aca="1" ref="N112" ca="1">INDEX($B$2:$B$40,I112,1)</f>
        <v>Carolina</v>
      </c>
      <c r="O112" s="6" t="str" cm="1">
        <f t="array" aca="1" ref="O112" ca="1">INDEX($B$2:$B$40,J112,1)</f>
        <v>Sara</v>
      </c>
      <c r="P112" s="6" t="str" cm="1">
        <f t="array" aca="1" ref="P112" ca="1">INDEX($E$2:$E$98,K112)</f>
        <v>Azevedo</v>
      </c>
      <c r="Q112" s="6" t="str" cm="1">
        <f t="array" aca="1" ref="Q112" ca="1">INDEX($E$2:$E$98,L112)</f>
        <v>Antunes</v>
      </c>
      <c r="S112" t="str">
        <f t="shared" ca="1" si="9"/>
        <v>Feminino</v>
      </c>
      <c r="T112" t="str">
        <f t="shared" ca="1" si="6"/>
        <v>Carolina Sara Azevedo Antunes</v>
      </c>
    </row>
    <row r="113" spans="9:20" x14ac:dyDescent="0.25">
      <c r="I113">
        <f t="shared" ca="1" si="7"/>
        <v>20</v>
      </c>
      <c r="J113">
        <f t="shared" ca="1" si="7"/>
        <v>10</v>
      </c>
      <c r="K113">
        <f t="shared" ca="1" si="8"/>
        <v>38</v>
      </c>
      <c r="L113">
        <f t="shared" ca="1" si="8"/>
        <v>52</v>
      </c>
      <c r="M113" s="6" t="str" cm="1">
        <f t="array" aca="1" ref="M113" ca="1">INDEX($A$2:$A$40,I113,1)</f>
        <v>Masculino</v>
      </c>
      <c r="N113" s="6" t="str" cm="1">
        <f t="array" aca="1" ref="N113" ca="1">INDEX($B$2:$B$40,I113,1)</f>
        <v>Luís</v>
      </c>
      <c r="O113" s="6" t="str" cm="1">
        <f t="array" aca="1" ref="O113" ca="1">INDEX($B$2:$B$40,J113,1)</f>
        <v>Diogo</v>
      </c>
      <c r="P113" s="6" t="str" cm="1">
        <f t="array" aca="1" ref="P113" ca="1">INDEX($E$2:$E$98,K113)</f>
        <v>Reis</v>
      </c>
      <c r="Q113" s="6" t="str" cm="1">
        <f t="array" aca="1" ref="Q113" ca="1">INDEX($E$2:$E$98,L113)</f>
        <v>Magalhães</v>
      </c>
      <c r="S113" t="str">
        <f t="shared" ca="1" si="9"/>
        <v>Masculino</v>
      </c>
      <c r="T113" t="str">
        <f t="shared" ca="1" si="6"/>
        <v>Luís Diogo Reis Magalhães</v>
      </c>
    </row>
    <row r="114" spans="9:20" x14ac:dyDescent="0.25">
      <c r="I114">
        <f t="shared" ca="1" si="7"/>
        <v>8</v>
      </c>
      <c r="J114">
        <f t="shared" ca="1" si="7"/>
        <v>29</v>
      </c>
      <c r="K114">
        <f t="shared" ca="1" si="8"/>
        <v>85</v>
      </c>
      <c r="L114">
        <f t="shared" ca="1" si="8"/>
        <v>20</v>
      </c>
      <c r="M114" s="6" t="str" cm="1">
        <f t="array" aca="1" ref="M114" ca="1">INDEX($A$2:$A$40,I114,1)</f>
        <v>Feminino</v>
      </c>
      <c r="N114" s="6" t="str" cm="1">
        <f t="array" aca="1" ref="N114" ca="1">INDEX($B$2:$B$40,I114,1)</f>
        <v>Daniela</v>
      </c>
      <c r="O114" s="6" t="str" cm="1">
        <f t="array" aca="1" ref="O114" ca="1">INDEX($B$2:$B$40,J114,1)</f>
        <v>Pedro</v>
      </c>
      <c r="P114" s="6" t="str" cm="1">
        <f t="array" aca="1" ref="P114" ca="1">INDEX($E$2:$E$98,K114)</f>
        <v>Garcia</v>
      </c>
      <c r="Q114" s="6" t="str" cm="1">
        <f t="array" aca="1" ref="Q114" ca="1">INDEX($E$2:$E$98,L114)</f>
        <v>Cardoso</v>
      </c>
      <c r="S114" t="str">
        <f t="shared" ca="1" si="9"/>
        <v>Feminino</v>
      </c>
      <c r="T114" t="str">
        <f t="shared" ca="1" si="6"/>
        <v>Daniela Pedro Garcia Cardoso</v>
      </c>
    </row>
    <row r="115" spans="9:20" x14ac:dyDescent="0.25">
      <c r="I115">
        <f t="shared" ca="1" si="7"/>
        <v>23</v>
      </c>
      <c r="J115">
        <f t="shared" ca="1" si="7"/>
        <v>25</v>
      </c>
      <c r="K115">
        <f t="shared" ca="1" si="8"/>
        <v>58</v>
      </c>
      <c r="L115">
        <f t="shared" ca="1" si="8"/>
        <v>56</v>
      </c>
      <c r="M115" s="6" t="str" cm="1">
        <f t="array" aca="1" ref="M115" ca="1">INDEX($A$2:$A$40,I115,1)</f>
        <v>Feminino</v>
      </c>
      <c r="N115" s="6" t="str" cm="1">
        <f t="array" aca="1" ref="N115" ca="1">INDEX($B$2:$B$40,I115,1)</f>
        <v>Maria</v>
      </c>
      <c r="O115" s="6" t="str" cm="1">
        <f t="array" aca="1" ref="O115" ca="1">INDEX($B$2:$B$40,J115,1)</f>
        <v>Mariana</v>
      </c>
      <c r="P115" s="6" t="str" cm="1">
        <f t="array" aca="1" ref="P115" ca="1">INDEX($E$2:$E$98,K115)</f>
        <v>Faria</v>
      </c>
      <c r="Q115" s="6" t="str" cm="1">
        <f t="array" aca="1" ref="Q115" ca="1">INDEX($E$2:$E$98,L115)</f>
        <v>Batista</v>
      </c>
      <c r="S115" t="str">
        <f t="shared" ca="1" si="9"/>
        <v>Feminino</v>
      </c>
      <c r="T115" t="str">
        <f t="shared" ca="1" si="6"/>
        <v>Maria Mariana Faria Batista</v>
      </c>
    </row>
    <row r="116" spans="9:20" x14ac:dyDescent="0.25">
      <c r="I116">
        <f t="shared" ca="1" si="7"/>
        <v>6</v>
      </c>
      <c r="J116">
        <f t="shared" ca="1" si="7"/>
        <v>4</v>
      </c>
      <c r="K116">
        <f t="shared" ca="1" si="8"/>
        <v>39</v>
      </c>
      <c r="L116">
        <f t="shared" ca="1" si="8"/>
        <v>31</v>
      </c>
      <c r="M116" s="6" t="str" cm="1">
        <f t="array" aca="1" ref="M116" ca="1">INDEX($A$2:$A$40,I116,1)</f>
        <v>Feminino</v>
      </c>
      <c r="N116" s="6" t="str" cm="1">
        <f t="array" aca="1" ref="N116" ca="1">INDEX($B$2:$B$40,I116,1)</f>
        <v>Carolina</v>
      </c>
      <c r="O116" s="6" t="str" cm="1">
        <f t="array" aca="1" ref="O116" ca="1">INDEX($B$2:$B$40,J116,1)</f>
        <v>Beatriz</v>
      </c>
      <c r="P116" s="6" t="str" cm="1">
        <f t="array" aca="1" ref="P116" ca="1">INDEX($E$2:$E$98,K116)</f>
        <v>Simões</v>
      </c>
      <c r="Q116" s="6" t="str" cm="1">
        <f t="array" aca="1" ref="Q116" ca="1">INDEX($E$2:$E$98,L116)</f>
        <v>Oliveira</v>
      </c>
      <c r="S116" t="str">
        <f t="shared" ca="1" si="9"/>
        <v>Feminino</v>
      </c>
      <c r="T116" t="str">
        <f t="shared" ca="1" si="6"/>
        <v>Carolina Beatriz Simões Oliveira</v>
      </c>
    </row>
    <row r="117" spans="9:20" x14ac:dyDescent="0.25">
      <c r="I117">
        <f t="shared" ca="1" si="7"/>
        <v>12</v>
      </c>
      <c r="J117">
        <f t="shared" ca="1" si="7"/>
        <v>33</v>
      </c>
      <c r="K117">
        <f t="shared" ca="1" si="8"/>
        <v>25</v>
      </c>
      <c r="L117">
        <f t="shared" ca="1" si="8"/>
        <v>8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Francisca</v>
      </c>
      <c r="O117" s="6" t="str" cm="1">
        <f t="array" aca="1" ref="O117" ca="1">INDEX($B$2:$B$40,J117,1)</f>
        <v>Sara</v>
      </c>
      <c r="P117" s="6" t="str" cm="1">
        <f t="array" aca="1" ref="P117" ca="1">INDEX($E$2:$E$98,K117)</f>
        <v>Cruz</v>
      </c>
      <c r="Q117" s="6" t="str" cm="1">
        <f t="array" aca="1" ref="Q117" ca="1">INDEX($E$2:$E$98,L117)</f>
        <v>Pires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Francisca Sara Cruz Pires</v>
      </c>
    </row>
    <row r="118" spans="9:20" x14ac:dyDescent="0.25">
      <c r="I118">
        <f t="shared" ca="1" si="7"/>
        <v>26</v>
      </c>
      <c r="J118">
        <f t="shared" ca="1" si="7"/>
        <v>2</v>
      </c>
      <c r="K118">
        <f t="shared" ca="1" si="8"/>
        <v>33</v>
      </c>
      <c r="L118">
        <f t="shared" ca="1" si="8"/>
        <v>35</v>
      </c>
      <c r="M118" s="6" t="str" cm="1">
        <f t="array" aca="1" ref="M118" ca="1">INDEX($A$2:$A$40,I118,1)</f>
        <v>Masculino</v>
      </c>
      <c r="N118" s="6" t="str" cm="1">
        <f t="array" aca="1" ref="N118" ca="1">INDEX($B$2:$B$40,I118,1)</f>
        <v>Martim</v>
      </c>
      <c r="O118" s="6" t="str" cm="1">
        <f t="array" aca="1" ref="O118" ca="1">INDEX($B$2:$B$40,J118,1)</f>
        <v>Ana</v>
      </c>
      <c r="P118" s="6" t="str" cm="1">
        <f t="array" aca="1" ref="P118" ca="1">INDEX($E$2:$E$98,K118)</f>
        <v>Cunha</v>
      </c>
      <c r="Q118" s="6" t="str" cm="1">
        <f t="array" aca="1" ref="Q118" ca="1">INDEX($E$2:$E$98,L118)</f>
        <v>Mendes</v>
      </c>
      <c r="S118" t="str">
        <f t="shared" ca="1" si="9"/>
        <v>Masculino</v>
      </c>
      <c r="T118" t="str">
        <f t="shared" ca="1" si="10"/>
        <v>Martim Ana Cunha Mendes</v>
      </c>
    </row>
    <row r="119" spans="9:20" x14ac:dyDescent="0.25">
      <c r="I119">
        <f t="shared" ca="1" si="7"/>
        <v>11</v>
      </c>
      <c r="J119">
        <f t="shared" ca="1" si="7"/>
        <v>27</v>
      </c>
      <c r="K119">
        <f t="shared" ca="1" si="8"/>
        <v>15</v>
      </c>
      <c r="L119">
        <f t="shared" ca="1" si="8"/>
        <v>71</v>
      </c>
      <c r="M119" s="6" t="str" cm="1">
        <f t="array" aca="1" ref="M119" ca="1">INDEX($A$2:$A$40,I119,1)</f>
        <v>Masculino</v>
      </c>
      <c r="N119" s="6" t="str" cm="1">
        <f t="array" aca="1" ref="N119" ca="1">INDEX($B$2:$B$40,I119,1)</f>
        <v>Duarte</v>
      </c>
      <c r="O119" s="6" t="str" cm="1">
        <f t="array" aca="1" ref="O119" ca="1">INDEX($B$2:$B$40,J119,1)</f>
        <v>Matilde</v>
      </c>
      <c r="P119" s="6" t="str" cm="1">
        <f t="array" aca="1" ref="P119" ca="1">INDEX($E$2:$E$98,K119)</f>
        <v>Moreira</v>
      </c>
      <c r="Q119" s="6" t="str" cm="1">
        <f t="array" aca="1" ref="Q119" ca="1">INDEX($E$2:$E$98,L119)</f>
        <v>Nascimento</v>
      </c>
      <c r="S119" t="str">
        <f t="shared" ca="1" si="9"/>
        <v>Masculino</v>
      </c>
      <c r="T119" t="str">
        <f t="shared" ca="1" si="10"/>
        <v>Duarte Matilde Moreira Nascimento</v>
      </c>
    </row>
    <row r="120" spans="9:20" x14ac:dyDescent="0.25">
      <c r="I120">
        <f t="shared" ca="1" si="7"/>
        <v>33</v>
      </c>
      <c r="J120">
        <f t="shared" ca="1" si="7"/>
        <v>19</v>
      </c>
      <c r="K120">
        <f t="shared" ca="1" si="8"/>
        <v>3</v>
      </c>
      <c r="L120">
        <f t="shared" ca="1" si="8"/>
        <v>97</v>
      </c>
      <c r="M120" s="6" t="str" cm="1">
        <f t="array" aca="1" ref="M120" ca="1">INDEX($A$2:$A$40,I120,1)</f>
        <v>Feminino</v>
      </c>
      <c r="N120" s="6" t="str" cm="1">
        <f t="array" aca="1" ref="N120" ca="1">INDEX($B$2:$B$40,I120,1)</f>
        <v>Sara</v>
      </c>
      <c r="O120" s="6" t="str" cm="1">
        <f t="array" aca="1" ref="O120" ca="1">INDEX($B$2:$B$40,J120,1)</f>
        <v>Leonor</v>
      </c>
      <c r="P120" s="6" t="str" cm="1">
        <f t="array" aca="1" ref="P120" ca="1">INDEX($E$2:$E$98,K120)</f>
        <v>Vieira</v>
      </c>
      <c r="Q120" s="6" t="str" cm="1">
        <f t="array" aca="1" ref="Q120" ca="1">INDEX($E$2:$E$98,L120)</f>
        <v>Torres</v>
      </c>
      <c r="S120" t="str">
        <f t="shared" ca="1" si="9"/>
        <v>Feminino</v>
      </c>
      <c r="T120" t="str">
        <f t="shared" ca="1" si="10"/>
        <v>Sara Leonor Vieira Torres</v>
      </c>
    </row>
    <row r="121" spans="9:20" x14ac:dyDescent="0.25">
      <c r="I121">
        <f t="shared" ca="1" si="7"/>
        <v>14</v>
      </c>
      <c r="J121">
        <f t="shared" ca="1" si="7"/>
        <v>12</v>
      </c>
      <c r="K121">
        <f t="shared" ca="1" si="8"/>
        <v>97</v>
      </c>
      <c r="L121">
        <f t="shared" ca="1" si="8"/>
        <v>15</v>
      </c>
      <c r="M121" s="6" t="str" cm="1">
        <f t="array" aca="1" ref="M121" ca="1">INDEX($A$2:$A$40,I121,1)</f>
        <v>Masculino</v>
      </c>
      <c r="N121" s="6" t="str" cm="1">
        <f t="array" aca="1" ref="N121" ca="1">INDEX($B$2:$B$40,I121,1)</f>
        <v>Gabriel</v>
      </c>
      <c r="O121" s="6" t="str" cm="1">
        <f t="array" aca="1" ref="O121" ca="1">INDEX($B$2:$B$40,J121,1)</f>
        <v>Francisca</v>
      </c>
      <c r="P121" s="6" t="str" cm="1">
        <f t="array" aca="1" ref="P121" ca="1">INDEX($E$2:$E$98,K121)</f>
        <v>Torres</v>
      </c>
      <c r="Q121" s="6" t="str" cm="1">
        <f t="array" aca="1" ref="Q121" ca="1">INDEX($E$2:$E$98,L121)</f>
        <v>Moreira</v>
      </c>
      <c r="S121" t="str">
        <f t="shared" ca="1" si="9"/>
        <v>Masculino</v>
      </c>
      <c r="T121" t="str">
        <f t="shared" ca="1" si="10"/>
        <v>Gabriel Francisca Torres Moreira</v>
      </c>
    </row>
    <row r="122" spans="9:20" x14ac:dyDescent="0.25">
      <c r="I122">
        <f t="shared" ca="1" si="7"/>
        <v>25</v>
      </c>
      <c r="J122">
        <f t="shared" ca="1" si="7"/>
        <v>22</v>
      </c>
      <c r="K122">
        <f t="shared" ca="1" si="8"/>
        <v>50</v>
      </c>
      <c r="L122">
        <f t="shared" ca="1" si="8"/>
        <v>19</v>
      </c>
      <c r="M122" s="6" t="str" cm="1">
        <f t="array" aca="1" ref="M122" ca="1">INDEX($A$2:$A$40,I122,1)</f>
        <v>Feminino</v>
      </c>
      <c r="N122" s="6" t="str" cm="1">
        <f t="array" aca="1" ref="N122" ca="1">INDEX($B$2:$B$40,I122,1)</f>
        <v>Mariana</v>
      </c>
      <c r="O122" s="6" t="str" cm="1">
        <f t="array" aca="1" ref="O122" ca="1">INDEX($B$2:$B$40,J122,1)</f>
        <v>Marco</v>
      </c>
      <c r="P122" s="6" t="str" cm="1">
        <f t="array" aca="1" ref="P122" ca="1">INDEX($E$2:$E$98,K122)</f>
        <v>Azevedo</v>
      </c>
      <c r="Q122" s="6" t="str" cm="1">
        <f t="array" aca="1" ref="Q122" ca="1">INDEX($E$2:$E$98,L122)</f>
        <v>Lopes</v>
      </c>
      <c r="S122" t="str">
        <f t="shared" ca="1" si="9"/>
        <v>Feminino</v>
      </c>
      <c r="T122" t="str">
        <f t="shared" ca="1" si="10"/>
        <v>Mariana Marco Azevedo Lopes</v>
      </c>
    </row>
    <row r="123" spans="9:20" x14ac:dyDescent="0.25">
      <c r="I123">
        <f t="shared" ca="1" si="7"/>
        <v>12</v>
      </c>
      <c r="J123">
        <f t="shared" ca="1" si="7"/>
        <v>10</v>
      </c>
      <c r="K123">
        <f t="shared" ca="1" si="8"/>
        <v>73</v>
      </c>
      <c r="L123">
        <f t="shared" ca="1" si="8"/>
        <v>90</v>
      </c>
      <c r="M123" s="6" t="str" cm="1">
        <f t="array" aca="1" ref="M123" ca="1">INDEX($A$2:$A$40,I123,1)</f>
        <v>Feminino</v>
      </c>
      <c r="N123" s="6" t="str" cm="1">
        <f t="array" aca="1" ref="N123" ca="1">INDEX($B$2:$B$40,I123,1)</f>
        <v>Francisca</v>
      </c>
      <c r="O123" s="6" t="str" cm="1">
        <f t="array" aca="1" ref="O123" ca="1">INDEX($B$2:$B$40,J123,1)</f>
        <v>Diogo</v>
      </c>
      <c r="P123" s="6" t="str" cm="1">
        <f t="array" aca="1" ref="P123" ca="1">INDEX($E$2:$E$98,K123)</f>
        <v>Abreu</v>
      </c>
      <c r="Q123" s="6" t="str" cm="1">
        <f t="array" aca="1" ref="Q123" ca="1">INDEX($E$2:$E$98,L123)</f>
        <v>Branco</v>
      </c>
      <c r="S123" t="str">
        <f t="shared" ca="1" si="9"/>
        <v>Feminino</v>
      </c>
      <c r="T123" t="str">
        <f t="shared" ca="1" si="10"/>
        <v>Francisca Diogo Abreu Branco</v>
      </c>
    </row>
    <row r="124" spans="9:20" x14ac:dyDescent="0.25">
      <c r="I124">
        <f t="shared" ca="1" si="7"/>
        <v>2</v>
      </c>
      <c r="J124">
        <f t="shared" ca="1" si="7"/>
        <v>16</v>
      </c>
      <c r="K124">
        <f t="shared" ca="1" si="8"/>
        <v>76</v>
      </c>
      <c r="L124">
        <f t="shared" ca="1" si="8"/>
        <v>19</v>
      </c>
      <c r="M124" s="6" t="str" cm="1">
        <f t="array" aca="1" ref="M124" ca="1">INDEX($A$2:$A$40,I124,1)</f>
        <v>Feminino</v>
      </c>
      <c r="N124" s="6" t="str" cm="1">
        <f t="array" aca="1" ref="N124" ca="1">INDEX($B$2:$B$40,I124,1)</f>
        <v>Ana</v>
      </c>
      <c r="O124" s="6" t="str" cm="1">
        <f t="array" aca="1" ref="O124" ca="1">INDEX($B$2:$B$40,J124,1)</f>
        <v>Joana</v>
      </c>
      <c r="P124" s="6" t="str" cm="1">
        <f t="array" aca="1" ref="P124" ca="1">INDEX($E$2:$E$98,K124)</f>
        <v>Vaz</v>
      </c>
      <c r="Q124" s="6" t="str" cm="1">
        <f t="array" aca="1" ref="Q124" ca="1">INDEX($E$2:$E$98,L124)</f>
        <v>Lopes</v>
      </c>
      <c r="S124" t="str">
        <f t="shared" ca="1" si="9"/>
        <v>Feminino</v>
      </c>
      <c r="T124" t="str">
        <f t="shared" ca="1" si="10"/>
        <v>Ana Joana Vaz Lopes</v>
      </c>
    </row>
    <row r="125" spans="9:20" x14ac:dyDescent="0.25">
      <c r="I125">
        <f t="shared" ca="1" si="7"/>
        <v>37</v>
      </c>
      <c r="J125">
        <f t="shared" ca="1" si="7"/>
        <v>25</v>
      </c>
      <c r="K125">
        <f t="shared" ca="1" si="8"/>
        <v>3</v>
      </c>
      <c r="L125">
        <f t="shared" ca="1" si="8"/>
        <v>34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Vera</v>
      </c>
      <c r="O125" s="6" t="str" cm="1">
        <f t="array" aca="1" ref="O125" ca="1">INDEX($B$2:$B$40,J125,1)</f>
        <v>Mariana</v>
      </c>
      <c r="P125" s="6" t="str" cm="1">
        <f t="array" aca="1" ref="P125" ca="1">INDEX($E$2:$E$98,K125)</f>
        <v>Vieira</v>
      </c>
      <c r="Q125" s="6" t="str" cm="1">
        <f t="array" aca="1" ref="Q125" ca="1">INDEX($E$2:$E$98,L125)</f>
        <v>Carvalho</v>
      </c>
      <c r="S125" t="str">
        <f t="shared" ca="1" si="9"/>
        <v>Feminino</v>
      </c>
      <c r="T125" t="str">
        <f t="shared" ca="1" si="10"/>
        <v>Vera Mariana Vieira Carvalho</v>
      </c>
    </row>
    <row r="126" spans="9:20" x14ac:dyDescent="0.25">
      <c r="I126">
        <f t="shared" ca="1" si="7"/>
        <v>1</v>
      </c>
      <c r="J126">
        <f t="shared" ca="1" si="7"/>
        <v>15</v>
      </c>
      <c r="K126">
        <f t="shared" ca="1" si="8"/>
        <v>23</v>
      </c>
      <c r="L126">
        <f t="shared" ca="1" si="8"/>
        <v>20</v>
      </c>
      <c r="M126" s="6" t="str" cm="1">
        <f t="array" aca="1" ref="M126" ca="1">INDEX($A$2:$A$40,I126,1)</f>
        <v>Masculino</v>
      </c>
      <c r="N126" s="6" t="str" cm="1">
        <f t="array" aca="1" ref="N126" ca="1">INDEX($B$2:$B$40,I126,1)</f>
        <v>Afonso</v>
      </c>
      <c r="O126" s="6" t="str" cm="1">
        <f t="array" aca="1" ref="O126" ca="1">INDEX($B$2:$B$40,J126,1)</f>
        <v>Inês</v>
      </c>
      <c r="P126" s="6" t="str" cm="1">
        <f t="array" aca="1" ref="P126" ca="1">INDEX($E$2:$E$98,K126)</f>
        <v>Gomes</v>
      </c>
      <c r="Q126" s="6" t="str" cm="1">
        <f t="array" aca="1" ref="Q126" ca="1">INDEX($E$2:$E$98,L126)</f>
        <v>Cardoso</v>
      </c>
      <c r="S126" t="str">
        <f t="shared" ca="1" si="9"/>
        <v>Masculino</v>
      </c>
      <c r="T126" t="str">
        <f t="shared" ca="1" si="10"/>
        <v>Afonso Inês Gomes Cardoso</v>
      </c>
    </row>
    <row r="127" spans="9:20" x14ac:dyDescent="0.25">
      <c r="I127">
        <f t="shared" ca="1" si="7"/>
        <v>11</v>
      </c>
      <c r="J127">
        <f t="shared" ca="1" si="7"/>
        <v>9</v>
      </c>
      <c r="K127">
        <f t="shared" ca="1" si="8"/>
        <v>9</v>
      </c>
      <c r="L127">
        <f t="shared" ca="1" si="8"/>
        <v>4</v>
      </c>
      <c r="M127" s="6" t="str" cm="1">
        <f t="array" aca="1" ref="M127" ca="1">INDEX($A$2:$A$40,I127,1)</f>
        <v>Masculino</v>
      </c>
      <c r="N127" s="6" t="str" cm="1">
        <f t="array" aca="1" ref="N127" ca="1">INDEX($B$2:$B$40,I127,1)</f>
        <v>Duarte</v>
      </c>
      <c r="O127" s="6" t="str" cm="1">
        <f t="array" aca="1" ref="O127" ca="1">INDEX($B$2:$B$40,J127,1)</f>
        <v>Diana</v>
      </c>
      <c r="P127" s="6" t="str" cm="1">
        <f t="array" aca="1" ref="P127" ca="1">INDEX($E$2:$E$98,K127)</f>
        <v>Ramos</v>
      </c>
      <c r="Q127" s="6" t="str" cm="1">
        <f t="array" aca="1" ref="Q127" ca="1">INDEX($E$2:$E$98,L127)</f>
        <v>Alves</v>
      </c>
      <c r="S127" t="str">
        <f t="shared" ca="1" si="9"/>
        <v>Masculino</v>
      </c>
      <c r="T127" t="str">
        <f t="shared" ca="1" si="10"/>
        <v>Duarte Diana Ramos Alves</v>
      </c>
    </row>
    <row r="128" spans="9:20" x14ac:dyDescent="0.25">
      <c r="I128">
        <f t="shared" ca="1" si="7"/>
        <v>19</v>
      </c>
      <c r="J128">
        <f t="shared" ca="1" si="7"/>
        <v>9</v>
      </c>
      <c r="K128">
        <f t="shared" ca="1" si="8"/>
        <v>94</v>
      </c>
      <c r="L128">
        <f t="shared" ca="1" si="8"/>
        <v>64</v>
      </c>
      <c r="M128" s="6" t="str" cm="1">
        <f t="array" aca="1" ref="M128" ca="1">INDEX($A$2:$A$40,I128,1)</f>
        <v>Feminino</v>
      </c>
      <c r="N128" s="6" t="str" cm="1">
        <f t="array" aca="1" ref="N128" ca="1">INDEX($B$2:$B$40,I128,1)</f>
        <v>Leonor</v>
      </c>
      <c r="O128" s="6" t="str" cm="1">
        <f t="array" aca="1" ref="O128" ca="1">INDEX($B$2:$B$40,J128,1)</f>
        <v>Diana</v>
      </c>
      <c r="P128" s="6" t="str" cm="1">
        <f t="array" aca="1" ref="P128" ca="1">INDEX($E$2:$E$98,K128)</f>
        <v>Paiva</v>
      </c>
      <c r="Q128" s="6" t="str" cm="1">
        <f t="array" aca="1" ref="Q128" ca="1">INDEX($E$2:$E$98,L128)</f>
        <v>Anjos</v>
      </c>
      <c r="S128" t="str">
        <f t="shared" ca="1" si="9"/>
        <v>Feminino</v>
      </c>
      <c r="T128" t="str">
        <f t="shared" ca="1" si="10"/>
        <v>Leonor Diana Paiva Anjos</v>
      </c>
    </row>
    <row r="129" spans="9:20" x14ac:dyDescent="0.25">
      <c r="I129">
        <f t="shared" ca="1" si="7"/>
        <v>32</v>
      </c>
      <c r="J129">
        <f t="shared" ca="1" si="7"/>
        <v>24</v>
      </c>
      <c r="K129">
        <f t="shared" ca="1" si="8"/>
        <v>84</v>
      </c>
      <c r="L129">
        <f t="shared" ca="1" si="8"/>
        <v>38</v>
      </c>
      <c r="M129" s="6" t="str" cm="1">
        <f t="array" aca="1" ref="M129" ca="1">INDEX($A$2:$A$40,I129,1)</f>
        <v>Masculino</v>
      </c>
      <c r="N129" s="6" t="str" cm="1">
        <f t="array" aca="1" ref="N129" ca="1">INDEX($B$2:$B$40,I129,1)</f>
        <v>Santiago</v>
      </c>
      <c r="O129" s="6" t="str" cm="1">
        <f t="array" aca="1" ref="O129" ca="1">INDEX($B$2:$B$40,J129,1)</f>
        <v>Laura</v>
      </c>
      <c r="P129" s="6" t="str" cm="1">
        <f t="array" aca="1" ref="P129" ca="1">INDEX($E$2:$E$98,K129)</f>
        <v>Domingues</v>
      </c>
      <c r="Q129" s="6" t="str" cm="1">
        <f t="array" aca="1" ref="Q129" ca="1">INDEX($E$2:$E$98,L129)</f>
        <v>Reis</v>
      </c>
      <c r="S129" t="str">
        <f t="shared" ca="1" si="9"/>
        <v>Masculino</v>
      </c>
      <c r="T129" t="str">
        <f t="shared" ca="1" si="10"/>
        <v>Santiago Laura Domingues Reis</v>
      </c>
    </row>
    <row r="130" spans="9:20" x14ac:dyDescent="0.25">
      <c r="I130">
        <f t="shared" ca="1" si="7"/>
        <v>32</v>
      </c>
      <c r="J130">
        <f t="shared" ca="1" si="7"/>
        <v>27</v>
      </c>
      <c r="K130">
        <f t="shared" ca="1" si="8"/>
        <v>59</v>
      </c>
      <c r="L130">
        <f t="shared" ca="1" si="8"/>
        <v>72</v>
      </c>
      <c r="M130" s="6" t="str" cm="1">
        <f t="array" aca="1" ref="M130" ca="1">INDEX($A$2:$A$40,I130,1)</f>
        <v>Masculino</v>
      </c>
      <c r="N130" s="6" t="str" cm="1">
        <f t="array" aca="1" ref="N130" ca="1">INDEX($B$2:$B$40,I130,1)</f>
        <v>Santiago</v>
      </c>
      <c r="O130" s="6" t="str" cm="1">
        <f t="array" aca="1" ref="O130" ca="1">INDEX($B$2:$B$40,J130,1)</f>
        <v>Matilde</v>
      </c>
      <c r="P130" s="6" t="str" cm="1">
        <f t="array" aca="1" ref="P130" ca="1">INDEX($E$2:$E$98,K130)</f>
        <v>Miranda</v>
      </c>
      <c r="Q130" s="6" t="str" cm="1">
        <f t="array" aca="1" ref="Q130" ca="1">INDEX($E$2:$E$98,L130)</f>
        <v>Leite</v>
      </c>
      <c r="S130" t="str">
        <f t="shared" ca="1" si="9"/>
        <v>Masculino</v>
      </c>
      <c r="T130" t="str">
        <f t="shared" ca="1" si="10"/>
        <v>Santiago Matilde Miranda Leite</v>
      </c>
    </row>
    <row r="131" spans="9:20" x14ac:dyDescent="0.25">
      <c r="I131">
        <f t="shared" ref="I131:J194" ca="1" si="11">RANDBETWEEN(1,39)</f>
        <v>33</v>
      </c>
      <c r="J131">
        <f t="shared" ca="1" si="11"/>
        <v>19</v>
      </c>
      <c r="K131">
        <f t="shared" ref="K131:L194" ca="1" si="12">RANDBETWEEN(1,97)</f>
        <v>12</v>
      </c>
      <c r="L131">
        <f t="shared" ca="1" si="12"/>
        <v>2</v>
      </c>
      <c r="M131" s="6" t="str" cm="1">
        <f t="array" aca="1" ref="M131" ca="1">INDEX($A$2:$A$40,I131,1)</f>
        <v>Feminino</v>
      </c>
      <c r="N131" s="6" t="str" cm="1">
        <f t="array" aca="1" ref="N131" ca="1">INDEX($B$2:$B$40,I131,1)</f>
        <v>Sara</v>
      </c>
      <c r="O131" s="6" t="str" cm="1">
        <f t="array" aca="1" ref="O131" ca="1">INDEX($B$2:$B$40,J131,1)</f>
        <v>Leonor</v>
      </c>
      <c r="P131" s="6" t="str" cm="1">
        <f t="array" aca="1" ref="P131" ca="1">INDEX($E$2:$E$98,K131)</f>
        <v>Teixeira</v>
      </c>
      <c r="Q131" s="6" t="str" cm="1">
        <f t="array" aca="1" ref="Q131" ca="1">INDEX($E$2:$E$98,L131)</f>
        <v>Pinto</v>
      </c>
      <c r="S131" t="str">
        <f t="shared" ca="1" si="9"/>
        <v>Feminino</v>
      </c>
      <c r="T131" t="str">
        <f t="shared" ca="1" si="10"/>
        <v>Sara Leonor Teixeira Pinto</v>
      </c>
    </row>
    <row r="132" spans="9:20" x14ac:dyDescent="0.25">
      <c r="I132">
        <f t="shared" ca="1" si="11"/>
        <v>38</v>
      </c>
      <c r="J132">
        <f t="shared" ca="1" si="11"/>
        <v>26</v>
      </c>
      <c r="K132">
        <f t="shared" ca="1" si="12"/>
        <v>69</v>
      </c>
      <c r="L132">
        <f t="shared" ca="1" si="12"/>
        <v>19</v>
      </c>
      <c r="M132" s="6" t="str" cm="1">
        <f t="array" aca="1" ref="M132" ca="1">INDEX($A$2:$A$40,I132,1)</f>
        <v>Masculino</v>
      </c>
      <c r="N132" s="6" t="str" cm="1">
        <f t="array" aca="1" ref="N132" ca="1">INDEX($B$2:$B$40,I132,1)</f>
        <v>Joaquim</v>
      </c>
      <c r="O132" s="6" t="str" cm="1">
        <f t="array" aca="1" ref="O132" ca="1">INDEX($B$2:$B$40,J132,1)</f>
        <v>Martim</v>
      </c>
      <c r="P132" s="6" t="str" cm="1">
        <f t="array" aca="1" ref="P132" ca="1">INDEX($E$2:$E$98,K132)</f>
        <v>Brito</v>
      </c>
      <c r="Q132" s="6" t="str" cm="1">
        <f t="array" aca="1" ref="Q132" ca="1">INDEX($E$2:$E$98,L132)</f>
        <v>Lopes</v>
      </c>
      <c r="S132" t="str">
        <f t="shared" ref="S132:S195" ca="1" si="13">M132</f>
        <v>Masculino</v>
      </c>
      <c r="T132" t="str">
        <f t="shared" ca="1" si="10"/>
        <v>Joaquim Martim Brito Lopes</v>
      </c>
    </row>
    <row r="133" spans="9:20" x14ac:dyDescent="0.25">
      <c r="I133">
        <f t="shared" ca="1" si="11"/>
        <v>16</v>
      </c>
      <c r="J133">
        <f t="shared" ca="1" si="11"/>
        <v>8</v>
      </c>
      <c r="K133">
        <f t="shared" ca="1" si="12"/>
        <v>43</v>
      </c>
      <c r="L133">
        <f t="shared" ca="1" si="12"/>
        <v>85</v>
      </c>
      <c r="M133" s="6" t="str" cm="1">
        <f t="array" aca="1" ref="M133" ca="1">INDEX($A$2:$A$40,I133,1)</f>
        <v>Feminino</v>
      </c>
      <c r="N133" s="6" t="str" cm="1">
        <f t="array" aca="1" ref="N133" ca="1">INDEX($B$2:$B$40,I133,1)</f>
        <v>Joana</v>
      </c>
      <c r="O133" s="6" t="str" cm="1">
        <f t="array" aca="1" ref="O133" ca="1">INDEX($B$2:$B$40,J133,1)</f>
        <v>Daniela</v>
      </c>
      <c r="P133" s="6" t="str" cm="1">
        <f t="array" aca="1" ref="P133" ca="1">INDEX($E$2:$E$98,K133)</f>
        <v>Machado</v>
      </c>
      <c r="Q133" s="6" t="str" cm="1">
        <f t="array" aca="1" ref="Q133" ca="1">INDEX($E$2:$E$98,L133)</f>
        <v>Garcia</v>
      </c>
      <c r="S133" t="str">
        <f t="shared" ca="1" si="13"/>
        <v>Feminino</v>
      </c>
      <c r="T133" t="str">
        <f t="shared" ca="1" si="10"/>
        <v>Joana Daniela Machado Garcia</v>
      </c>
    </row>
    <row r="134" spans="9:20" x14ac:dyDescent="0.25">
      <c r="I134">
        <f t="shared" ca="1" si="11"/>
        <v>25</v>
      </c>
      <c r="J134">
        <f t="shared" ca="1" si="11"/>
        <v>14</v>
      </c>
      <c r="K134">
        <f t="shared" ca="1" si="12"/>
        <v>85</v>
      </c>
      <c r="L134">
        <f t="shared" ca="1" si="12"/>
        <v>5</v>
      </c>
      <c r="M134" s="6" t="str" cm="1">
        <f t="array" aca="1" ref="M134" ca="1">INDEX($A$2:$A$40,I134,1)</f>
        <v>Feminino</v>
      </c>
      <c r="N134" s="6" t="str" cm="1">
        <f t="array" aca="1" ref="N134" ca="1">INDEX($B$2:$B$40,I134,1)</f>
        <v>Mariana</v>
      </c>
      <c r="O134" s="6" t="str" cm="1">
        <f t="array" aca="1" ref="O134" ca="1">INDEX($B$2:$B$40,J134,1)</f>
        <v>Gabriel</v>
      </c>
      <c r="P134" s="6" t="str" cm="1">
        <f t="array" aca="1" ref="P134" ca="1">INDEX($E$2:$E$98,K134)</f>
        <v>Garcia</v>
      </c>
      <c r="Q134" s="6" t="str" cm="1">
        <f t="array" aca="1" ref="Q134" ca="1">INDEX($E$2:$E$98,L134)</f>
        <v>Nunes</v>
      </c>
      <c r="S134" t="str">
        <f t="shared" ca="1" si="13"/>
        <v>Feminino</v>
      </c>
      <c r="T134" t="str">
        <f t="shared" ca="1" si="10"/>
        <v>Mariana Gabriel Garcia Nunes</v>
      </c>
    </row>
    <row r="135" spans="9:20" x14ac:dyDescent="0.25">
      <c r="I135">
        <f t="shared" ca="1" si="11"/>
        <v>7</v>
      </c>
      <c r="J135">
        <f t="shared" ca="1" si="11"/>
        <v>2</v>
      </c>
      <c r="K135">
        <f t="shared" ca="1" si="12"/>
        <v>1</v>
      </c>
      <c r="L135">
        <f t="shared" ca="1" si="12"/>
        <v>91</v>
      </c>
      <c r="M135" s="6" t="str" cm="1">
        <f t="array" aca="1" ref="M135" ca="1">INDEX($A$2:$A$40,I135,1)</f>
        <v>Feminino</v>
      </c>
      <c r="N135" s="6" t="str" cm="1">
        <f t="array" aca="1" ref="N135" ca="1">INDEX($B$2:$B$40,I135,1)</f>
        <v>Catarina</v>
      </c>
      <c r="O135" s="6" t="str" cm="1">
        <f t="array" aca="1" ref="O135" ca="1">INDEX($B$2:$B$40,J135,1)</f>
        <v>Ana</v>
      </c>
      <c r="P135" s="6" t="str" cm="1">
        <f t="array" aca="1" ref="P135" ca="1">INDEX($E$2:$E$98,K135)</f>
        <v>Pereira</v>
      </c>
      <c r="Q135" s="6" t="str" cm="1">
        <f t="array" aca="1" ref="Q135" ca="1">INDEX($E$2:$E$98,L135)</f>
        <v>Leal</v>
      </c>
      <c r="S135" t="str">
        <f t="shared" ca="1" si="13"/>
        <v>Feminino</v>
      </c>
      <c r="T135" t="str">
        <f t="shared" ca="1" si="10"/>
        <v>Catarina Ana Pereira Leal</v>
      </c>
    </row>
    <row r="136" spans="9:20" x14ac:dyDescent="0.25">
      <c r="I136">
        <f t="shared" ca="1" si="11"/>
        <v>32</v>
      </c>
      <c r="J136">
        <f t="shared" ca="1" si="11"/>
        <v>29</v>
      </c>
      <c r="K136">
        <f t="shared" ca="1" si="12"/>
        <v>93</v>
      </c>
      <c r="L136">
        <f t="shared" ca="1" si="12"/>
        <v>13</v>
      </c>
      <c r="M136" s="6" t="str" cm="1">
        <f t="array" aca="1" ref="M136" ca="1">INDEX($A$2:$A$40,I136,1)</f>
        <v>Masculino</v>
      </c>
      <c r="N136" s="6" t="str" cm="1">
        <f t="array" aca="1" ref="N136" ca="1">INDEX($B$2:$B$40,I136,1)</f>
        <v>Santiago</v>
      </c>
      <c r="O136" s="6" t="str" cm="1">
        <f t="array" aca="1" ref="O136" ca="1">INDEX($B$2:$B$40,J136,1)</f>
        <v>Pedro</v>
      </c>
      <c r="P136" s="6" t="str" cm="1">
        <f t="array" aca="1" ref="P136" ca="1">INDEX($E$2:$E$98,K136)</f>
        <v>Macedo</v>
      </c>
      <c r="Q136" s="6" t="str" cm="1">
        <f t="array" aca="1" ref="Q136" ca="1">INDEX($E$2:$E$98,L136)</f>
        <v>Santos</v>
      </c>
      <c r="S136" t="str">
        <f t="shared" ca="1" si="13"/>
        <v>Masculino</v>
      </c>
      <c r="T136" t="str">
        <f t="shared" ca="1" si="10"/>
        <v>Santiago Pedro Macedo Santos</v>
      </c>
    </row>
    <row r="137" spans="9:20" x14ac:dyDescent="0.25">
      <c r="I137">
        <f t="shared" ca="1" si="11"/>
        <v>28</v>
      </c>
      <c r="J137">
        <f t="shared" ca="1" si="11"/>
        <v>38</v>
      </c>
      <c r="K137">
        <f t="shared" ca="1" si="12"/>
        <v>85</v>
      </c>
      <c r="L137">
        <f t="shared" ca="1" si="12"/>
        <v>96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Miguel</v>
      </c>
      <c r="O137" s="6" t="str" cm="1">
        <f t="array" aca="1" ref="O137" ca="1">INDEX($B$2:$B$40,J137,1)</f>
        <v>Joaquim</v>
      </c>
      <c r="P137" s="6" t="str" cm="1">
        <f t="array" aca="1" ref="P137" ca="1">INDEX($E$2:$E$98,K137)</f>
        <v>Garcia</v>
      </c>
      <c r="Q137" s="6" t="str" cm="1">
        <f t="array" aca="1" ref="Q137" ca="1">INDEX($E$2:$E$98,L137)</f>
        <v>Amorim</v>
      </c>
      <c r="S137" t="str">
        <f t="shared" ca="1" si="13"/>
        <v>Masculino</v>
      </c>
      <c r="T137" t="str">
        <f t="shared" ca="1" si="10"/>
        <v>Miguel Joaquim Garcia Amorim</v>
      </c>
    </row>
    <row r="138" spans="9:20" x14ac:dyDescent="0.25">
      <c r="I138">
        <f t="shared" ca="1" si="11"/>
        <v>20</v>
      </c>
      <c r="J138">
        <f t="shared" ca="1" si="11"/>
        <v>12</v>
      </c>
      <c r="K138">
        <f t="shared" ca="1" si="12"/>
        <v>61</v>
      </c>
      <c r="L138">
        <f t="shared" ca="1" si="12"/>
        <v>63</v>
      </c>
      <c r="M138" s="6" t="str" cm="1">
        <f t="array" aca="1" ref="M138" ca="1">INDEX($A$2:$A$40,I138,1)</f>
        <v>Masculino</v>
      </c>
      <c r="N138" s="6" t="str" cm="1">
        <f t="array" aca="1" ref="N138" ca="1">INDEX($B$2:$B$40,I138,1)</f>
        <v>Luís</v>
      </c>
      <c r="O138" s="6" t="str" cm="1">
        <f t="array" aca="1" ref="O138" ca="1">INDEX($B$2:$B$40,J138,1)</f>
        <v>Francisca</v>
      </c>
      <c r="P138" s="6" t="str" cm="1">
        <f t="array" aca="1" ref="P138" ca="1">INDEX($E$2:$E$98,K138)</f>
        <v>Morais</v>
      </c>
      <c r="Q138" s="6" t="str" cm="1">
        <f t="array" aca="1" ref="Q138" ca="1">INDEX($E$2:$E$98,L138)</f>
        <v>Esteves</v>
      </c>
      <c r="S138" t="str">
        <f t="shared" ca="1" si="13"/>
        <v>Masculino</v>
      </c>
      <c r="T138" t="str">
        <f t="shared" ca="1" si="10"/>
        <v>Luís Francisca Morais Esteves</v>
      </c>
    </row>
    <row r="139" spans="9:20" x14ac:dyDescent="0.25">
      <c r="I139">
        <f t="shared" ca="1" si="11"/>
        <v>2</v>
      </c>
      <c r="J139">
        <f t="shared" ca="1" si="11"/>
        <v>36</v>
      </c>
      <c r="K139">
        <f t="shared" ca="1" si="12"/>
        <v>64</v>
      </c>
      <c r="L139">
        <f t="shared" ca="1" si="12"/>
        <v>73</v>
      </c>
      <c r="M139" s="6" t="str" cm="1">
        <f t="array" aca="1" ref="M139" ca="1">INDEX($A$2:$A$40,I139,1)</f>
        <v>Feminino</v>
      </c>
      <c r="N139" s="6" t="str" cm="1">
        <f t="array" aca="1" ref="N139" ca="1">INDEX($B$2:$B$40,I139,1)</f>
        <v>Ana</v>
      </c>
      <c r="O139" s="6" t="str" cm="1">
        <f t="array" aca="1" ref="O139" ca="1">INDEX($B$2:$B$40,J139,1)</f>
        <v>Tomás</v>
      </c>
      <c r="P139" s="6" t="str" cm="1">
        <f t="array" aca="1" ref="P139" ca="1">INDEX($E$2:$E$98,K139)</f>
        <v>Anjos</v>
      </c>
      <c r="Q139" s="6" t="str" cm="1">
        <f t="array" aca="1" ref="Q139" ca="1">INDEX($E$2:$E$98,L139)</f>
        <v>Abreu</v>
      </c>
      <c r="S139" t="str">
        <f t="shared" ca="1" si="13"/>
        <v>Feminino</v>
      </c>
      <c r="T139" t="str">
        <f t="shared" ca="1" si="10"/>
        <v>Ana Tomás Anjos Abreu</v>
      </c>
    </row>
    <row r="140" spans="9:20" x14ac:dyDescent="0.25">
      <c r="I140">
        <f t="shared" ca="1" si="11"/>
        <v>18</v>
      </c>
      <c r="J140">
        <f t="shared" ca="1" si="11"/>
        <v>10</v>
      </c>
      <c r="K140">
        <f t="shared" ca="1" si="12"/>
        <v>43</v>
      </c>
      <c r="L140">
        <f t="shared" ca="1" si="12"/>
        <v>73</v>
      </c>
      <c r="M140" s="6" t="str" cm="1">
        <f t="array" aca="1" ref="M140" ca="1">INDEX($A$2:$A$40,I140,1)</f>
        <v>Masculino</v>
      </c>
      <c r="N140" s="6" t="str" cm="1">
        <f t="array" aca="1" ref="N140" ca="1">INDEX($B$2:$B$40,I140,1)</f>
        <v>José</v>
      </c>
      <c r="O140" s="6" t="str" cm="1">
        <f t="array" aca="1" ref="O140" ca="1">INDEX($B$2:$B$40,J140,1)</f>
        <v>Diogo</v>
      </c>
      <c r="P140" s="6" t="str" cm="1">
        <f t="array" aca="1" ref="P140" ca="1">INDEX($E$2:$E$98,K140)</f>
        <v>Machado</v>
      </c>
      <c r="Q140" s="6" t="str" cm="1">
        <f t="array" aca="1" ref="Q140" ca="1">INDEX($E$2:$E$98,L140)</f>
        <v>Abreu</v>
      </c>
      <c r="S140" t="str">
        <f t="shared" ca="1" si="13"/>
        <v>Masculino</v>
      </c>
      <c r="T140" t="str">
        <f t="shared" ca="1" si="10"/>
        <v>José Diogo Machado Abreu</v>
      </c>
    </row>
    <row r="141" spans="9:20" x14ac:dyDescent="0.25">
      <c r="I141">
        <f t="shared" ca="1" si="11"/>
        <v>21</v>
      </c>
      <c r="J141">
        <f t="shared" ca="1" si="11"/>
        <v>35</v>
      </c>
      <c r="K141">
        <f t="shared" ca="1" si="12"/>
        <v>15</v>
      </c>
      <c r="L141">
        <f t="shared" ca="1" si="12"/>
        <v>54</v>
      </c>
      <c r="M141" s="6" t="str" cm="1">
        <f t="array" aca="1" ref="M141" ca="1">INDEX($A$2:$A$40,I141,1)</f>
        <v>Feminino</v>
      </c>
      <c r="N141" s="6" t="str" cm="1">
        <f t="array" aca="1" ref="N141" ca="1">INDEX($B$2:$B$40,I141,1)</f>
        <v>Lurdes</v>
      </c>
      <c r="O141" s="6" t="str" cm="1">
        <f t="array" aca="1" ref="O141" ca="1">INDEX($B$2:$B$40,J141,1)</f>
        <v>Tiago</v>
      </c>
      <c r="P141" s="6" t="str" cm="1">
        <f t="array" aca="1" ref="P141" ca="1">INDEX($E$2:$E$98,K141)</f>
        <v>Moreira</v>
      </c>
      <c r="Q141" s="6" t="str" cm="1">
        <f t="array" aca="1" ref="Q141" ca="1">INDEX($E$2:$E$98,L141)</f>
        <v>Lima</v>
      </c>
      <c r="S141" t="str">
        <f t="shared" ca="1" si="13"/>
        <v>Feminino</v>
      </c>
      <c r="T141" t="str">
        <f t="shared" ca="1" si="10"/>
        <v>Lurdes Tiago Moreira Lima</v>
      </c>
    </row>
    <row r="142" spans="9:20" x14ac:dyDescent="0.25">
      <c r="I142">
        <f t="shared" ca="1" si="11"/>
        <v>11</v>
      </c>
      <c r="J142">
        <f t="shared" ca="1" si="11"/>
        <v>31</v>
      </c>
      <c r="K142">
        <f t="shared" ca="1" si="12"/>
        <v>68</v>
      </c>
      <c r="L142">
        <f t="shared" ca="1" si="12"/>
        <v>22</v>
      </c>
      <c r="M142" s="6" t="str" cm="1">
        <f t="array" aca="1" ref="M142" ca="1">INDEX($A$2:$A$40,I142,1)</f>
        <v>Masculino</v>
      </c>
      <c r="N142" s="6" t="str" cm="1">
        <f t="array" aca="1" ref="N142" ca="1">INDEX($B$2:$B$40,I142,1)</f>
        <v>Duarte</v>
      </c>
      <c r="O142" s="6" t="str" cm="1">
        <f t="array" aca="1" ref="O142" ca="1">INDEX($B$2:$B$40,J142,1)</f>
        <v>Rodrigo</v>
      </c>
      <c r="P142" s="6" t="str" cm="1">
        <f t="array" aca="1" ref="P142" ca="1">INDEX($E$2:$E$98,K142)</f>
        <v>Andrade</v>
      </c>
      <c r="Q142" s="6" t="str" cm="1">
        <f t="array" aca="1" ref="Q142" ca="1">INDEX($E$2:$E$98,L142)</f>
        <v>Gonçalves</v>
      </c>
      <c r="S142" t="str">
        <f t="shared" ca="1" si="13"/>
        <v>Masculino</v>
      </c>
      <c r="T142" t="str">
        <f t="shared" ca="1" si="10"/>
        <v>Duarte Rodrigo Andrade Gonçalves</v>
      </c>
    </row>
    <row r="143" spans="9:20" x14ac:dyDescent="0.25">
      <c r="I143">
        <f t="shared" ca="1" si="11"/>
        <v>5</v>
      </c>
      <c r="J143">
        <f t="shared" ca="1" si="11"/>
        <v>21</v>
      </c>
      <c r="K143">
        <f t="shared" ca="1" si="12"/>
        <v>72</v>
      </c>
      <c r="L143">
        <f t="shared" ca="1" si="12"/>
        <v>16</v>
      </c>
      <c r="M143" s="6" t="str" cm="1">
        <f t="array" aca="1" ref="M143" ca="1">INDEX($A$2:$A$40,I143,1)</f>
        <v>Masculino</v>
      </c>
      <c r="N143" s="6" t="str" cm="1">
        <f t="array" aca="1" ref="N143" ca="1">INDEX($B$2:$B$40,I143,1)</f>
        <v>Bruno</v>
      </c>
      <c r="O143" s="6" t="str" cm="1">
        <f t="array" aca="1" ref="O143" ca="1">INDEX($B$2:$B$40,J143,1)</f>
        <v>Lurdes</v>
      </c>
      <c r="P143" s="6" t="str" cm="1">
        <f t="array" aca="1" ref="P143" ca="1">INDEX($E$2:$E$98,K143)</f>
        <v>Leite</v>
      </c>
      <c r="Q143" s="6" t="str" cm="1">
        <f t="array" aca="1" ref="Q143" ca="1">INDEX($E$2:$E$98,L143)</f>
        <v>Neves</v>
      </c>
      <c r="S143" t="str">
        <f t="shared" ca="1" si="13"/>
        <v>Masculino</v>
      </c>
      <c r="T143" t="str">
        <f t="shared" ca="1" si="10"/>
        <v>Bruno Lurdes Leite Neves</v>
      </c>
    </row>
    <row r="144" spans="9:20" x14ac:dyDescent="0.25">
      <c r="I144">
        <f t="shared" ca="1" si="11"/>
        <v>3</v>
      </c>
      <c r="J144">
        <f t="shared" ca="1" si="11"/>
        <v>11</v>
      </c>
      <c r="K144">
        <f t="shared" ca="1" si="12"/>
        <v>74</v>
      </c>
      <c r="L144">
        <f t="shared" ca="1" si="12"/>
        <v>56</v>
      </c>
      <c r="M144" s="6" t="str" cm="1">
        <f t="array" aca="1" ref="M144" ca="1">INDEX($A$2:$A$40,I144,1)</f>
        <v>Masculino</v>
      </c>
      <c r="N144" s="6" t="str" cm="1">
        <f t="array" aca="1" ref="N144" ca="1">INDEX($B$2:$B$40,I144,1)</f>
        <v>André</v>
      </c>
      <c r="O144" s="6" t="str" cm="1">
        <f t="array" aca="1" ref="O144" ca="1">INDEX($B$2:$B$40,J144,1)</f>
        <v>Duarte</v>
      </c>
      <c r="P144" s="6" t="str" cm="1">
        <f t="array" aca="1" ref="P144" ca="1">INDEX($E$2:$E$98,K144)</f>
        <v>Borges</v>
      </c>
      <c r="Q144" s="6" t="str" cm="1">
        <f t="array" aca="1" ref="Q144" ca="1">INDEX($E$2:$E$98,L144)</f>
        <v>Batista</v>
      </c>
      <c r="S144" t="str">
        <f t="shared" ca="1" si="13"/>
        <v>Masculino</v>
      </c>
      <c r="T144" t="str">
        <f t="shared" ca="1" si="10"/>
        <v>André Duarte Borges Batista</v>
      </c>
    </row>
    <row r="145" spans="9:20" x14ac:dyDescent="0.25">
      <c r="I145">
        <f t="shared" ca="1" si="11"/>
        <v>11</v>
      </c>
      <c r="J145">
        <f t="shared" ca="1" si="11"/>
        <v>22</v>
      </c>
      <c r="K145">
        <f t="shared" ca="1" si="12"/>
        <v>52</v>
      </c>
      <c r="L145">
        <f t="shared" ca="1" si="12"/>
        <v>52</v>
      </c>
      <c r="M145" s="6" t="str" cm="1">
        <f t="array" aca="1" ref="M145" ca="1">INDEX($A$2:$A$40,I145,1)</f>
        <v>Masculino</v>
      </c>
      <c r="N145" s="6" t="str" cm="1">
        <f t="array" aca="1" ref="N145" ca="1">INDEX($B$2:$B$40,I145,1)</f>
        <v>Duarte</v>
      </c>
      <c r="O145" s="6" t="str" cm="1">
        <f t="array" aca="1" ref="O145" ca="1">INDEX($B$2:$B$40,J145,1)</f>
        <v>Marco</v>
      </c>
      <c r="P145" s="6" t="str" cm="1">
        <f t="array" aca="1" ref="P145" ca="1">INDEX($E$2:$E$98,K145)</f>
        <v>Magalhães</v>
      </c>
      <c r="Q145" s="6" t="str" cm="1">
        <f t="array" aca="1" ref="Q145" ca="1">INDEX($E$2:$E$98,L145)</f>
        <v>Magalhães</v>
      </c>
      <c r="S145" t="str">
        <f t="shared" ca="1" si="13"/>
        <v>Masculino</v>
      </c>
      <c r="T145" t="str">
        <f t="shared" ca="1" si="10"/>
        <v>Duarte Marco Magalhães Magalhães</v>
      </c>
    </row>
    <row r="146" spans="9:20" x14ac:dyDescent="0.25">
      <c r="I146">
        <f t="shared" ca="1" si="11"/>
        <v>28</v>
      </c>
      <c r="J146">
        <f t="shared" ca="1" si="11"/>
        <v>4</v>
      </c>
      <c r="K146">
        <f t="shared" ca="1" si="12"/>
        <v>50</v>
      </c>
      <c r="L146">
        <f t="shared" ca="1" si="12"/>
        <v>93</v>
      </c>
      <c r="M146" s="6" t="str" cm="1">
        <f t="array" aca="1" ref="M146" ca="1">INDEX($A$2:$A$40,I146,1)</f>
        <v>Masculino</v>
      </c>
      <c r="N146" s="6" t="str" cm="1">
        <f t="array" aca="1" ref="N146" ca="1">INDEX($B$2:$B$40,I146,1)</f>
        <v>Miguel</v>
      </c>
      <c r="O146" s="6" t="str" cm="1">
        <f t="array" aca="1" ref="O146" ca="1">INDEX($B$2:$B$40,J146,1)</f>
        <v>Beatriz</v>
      </c>
      <c r="P146" s="6" t="str" cm="1">
        <f t="array" aca="1" ref="P146" ca="1">INDEX($E$2:$E$98,K146)</f>
        <v>Azevedo</v>
      </c>
      <c r="Q146" s="6" t="str" cm="1">
        <f t="array" aca="1" ref="Q146" ca="1">INDEX($E$2:$E$98,L146)</f>
        <v>Macedo</v>
      </c>
      <c r="S146" t="str">
        <f t="shared" ca="1" si="13"/>
        <v>Masculino</v>
      </c>
      <c r="T146" t="str">
        <f t="shared" ca="1" si="10"/>
        <v>Miguel Beatriz Azevedo Macedo</v>
      </c>
    </row>
    <row r="147" spans="9:20" x14ac:dyDescent="0.25">
      <c r="I147">
        <f t="shared" ca="1" si="11"/>
        <v>31</v>
      </c>
      <c r="J147">
        <f t="shared" ca="1" si="11"/>
        <v>1</v>
      </c>
      <c r="K147">
        <f t="shared" ca="1" si="12"/>
        <v>92</v>
      </c>
      <c r="L147">
        <f t="shared" ca="1" si="12"/>
        <v>83</v>
      </c>
      <c r="M147" s="6" t="str" cm="1">
        <f t="array" aca="1" ref="M147" ca="1">INDEX($A$2:$A$40,I147,1)</f>
        <v>Masculino</v>
      </c>
      <c r="N147" s="6" t="str" cm="1">
        <f t="array" aca="1" ref="N147" ca="1">INDEX($B$2:$B$40,I147,1)</f>
        <v>Rodrigo</v>
      </c>
      <c r="O147" s="6" t="str" cm="1">
        <f t="array" aca="1" ref="O147" ca="1">INDEX($B$2:$B$40,J147,1)</f>
        <v>Afonso</v>
      </c>
      <c r="P147" s="6" t="str" cm="1">
        <f t="array" aca="1" ref="P147" ca="1">INDEX($E$2:$E$98,K147)</f>
        <v>Pacheco</v>
      </c>
      <c r="Q147" s="6" t="str" cm="1">
        <f t="array" aca="1" ref="Q147" ca="1">INDEX($E$2:$E$98,L147)</f>
        <v>Valente</v>
      </c>
      <c r="S147" t="str">
        <f t="shared" ca="1" si="13"/>
        <v>Masculino</v>
      </c>
      <c r="T147" t="str">
        <f t="shared" ca="1" si="10"/>
        <v>Rodrigo Afonso Pacheco Valente</v>
      </c>
    </row>
    <row r="148" spans="9:20" x14ac:dyDescent="0.25">
      <c r="I148">
        <f t="shared" ca="1" si="11"/>
        <v>38</v>
      </c>
      <c r="J148">
        <f t="shared" ca="1" si="11"/>
        <v>2</v>
      </c>
      <c r="K148">
        <f t="shared" ca="1" si="12"/>
        <v>82</v>
      </c>
      <c r="L148">
        <f t="shared" ca="1" si="12"/>
        <v>48</v>
      </c>
      <c r="M148" s="6" t="str" cm="1">
        <f t="array" aca="1" ref="M148" ca="1">INDEX($A$2:$A$40,I148,1)</f>
        <v>Masculino</v>
      </c>
      <c r="N148" s="6" t="str" cm="1">
        <f t="array" aca="1" ref="N148" ca="1">INDEX($B$2:$B$40,I148,1)</f>
        <v>Joaquim</v>
      </c>
      <c r="O148" s="6" t="str" cm="1">
        <f t="array" aca="1" ref="O148" ca="1">INDEX($B$2:$B$40,J148,1)</f>
        <v>Ana</v>
      </c>
      <c r="P148" s="6" t="str" cm="1">
        <f t="array" aca="1" ref="P148" ca="1">INDEX($E$2:$E$98,K148)</f>
        <v>Moura</v>
      </c>
      <c r="Q148" s="6" t="str" cm="1">
        <f t="array" aca="1" ref="Q148" ca="1">INDEX($E$2:$E$98,L148)</f>
        <v>Castro</v>
      </c>
      <c r="S148" t="str">
        <f t="shared" ca="1" si="13"/>
        <v>Masculino</v>
      </c>
      <c r="T148" t="str">
        <f t="shared" ca="1" si="10"/>
        <v>Joaquim Ana Moura Castro</v>
      </c>
    </row>
    <row r="149" spans="9:20" x14ac:dyDescent="0.25">
      <c r="I149">
        <f t="shared" ca="1" si="11"/>
        <v>20</v>
      </c>
      <c r="J149">
        <f t="shared" ca="1" si="11"/>
        <v>22</v>
      </c>
      <c r="K149">
        <f t="shared" ca="1" si="12"/>
        <v>94</v>
      </c>
      <c r="L149">
        <f t="shared" ca="1" si="12"/>
        <v>77</v>
      </c>
      <c r="M149" s="6" t="str" cm="1">
        <f t="array" aca="1" ref="M149" ca="1">INDEX($A$2:$A$40,I149,1)</f>
        <v>Masculino</v>
      </c>
      <c r="N149" s="6" t="str" cm="1">
        <f t="array" aca="1" ref="N149" ca="1">INDEX($B$2:$B$40,I149,1)</f>
        <v>Luís</v>
      </c>
      <c r="O149" s="6" t="str" cm="1">
        <f t="array" aca="1" ref="O149" ca="1">INDEX($B$2:$B$40,J149,1)</f>
        <v>Marco</v>
      </c>
      <c r="P149" s="6" t="str" cm="1">
        <f t="array" aca="1" ref="P149" ca="1">INDEX($E$2:$E$98,K149)</f>
        <v>Paiva</v>
      </c>
      <c r="Q149" s="6" t="str" cm="1">
        <f t="array" aca="1" ref="Q149" ca="1">INDEX($E$2:$E$98,L149)</f>
        <v>Pinho</v>
      </c>
      <c r="S149" t="str">
        <f t="shared" ca="1" si="13"/>
        <v>Masculino</v>
      </c>
      <c r="T149" t="str">
        <f t="shared" ca="1" si="10"/>
        <v>Luís Marco Paiva Pinho</v>
      </c>
    </row>
    <row r="150" spans="9:20" x14ac:dyDescent="0.25">
      <c r="I150">
        <f t="shared" ca="1" si="11"/>
        <v>39</v>
      </c>
      <c r="J150">
        <f t="shared" ca="1" si="11"/>
        <v>27</v>
      </c>
      <c r="K150">
        <f t="shared" ca="1" si="12"/>
        <v>45</v>
      </c>
      <c r="L150">
        <f t="shared" ca="1" si="12"/>
        <v>89</v>
      </c>
      <c r="M150" s="6" t="str" cm="1">
        <f t="array" aca="1" ref="M150" ca="1">INDEX($A$2:$A$40,I150,1)</f>
        <v>Feminino</v>
      </c>
      <c r="N150" s="6" t="str" cm="1">
        <f t="array" aca="1" ref="N150" ca="1">INDEX($B$2:$B$40,I150,1)</f>
        <v>Lara</v>
      </c>
      <c r="O150" s="6" t="str" cm="1">
        <f t="array" aca="1" ref="O150" ca="1">INDEX($B$2:$B$40,J150,1)</f>
        <v>Matilde</v>
      </c>
      <c r="P150" s="6" t="str" cm="1">
        <f t="array" aca="1" ref="P150" ca="1">INDEX($E$2:$E$98,K150)</f>
        <v>Barbosa</v>
      </c>
      <c r="Q150" s="6" t="str" cm="1">
        <f t="array" aca="1" ref="Q150" ca="1">INDEX($E$2:$E$98,L150)</f>
        <v>Amaral</v>
      </c>
      <c r="S150" t="str">
        <f t="shared" ca="1" si="13"/>
        <v>Feminino</v>
      </c>
      <c r="T150" t="str">
        <f t="shared" ca="1" si="10"/>
        <v>Lara Matilde Barbosa Amaral</v>
      </c>
    </row>
    <row r="151" spans="9:20" x14ac:dyDescent="0.25">
      <c r="I151">
        <f t="shared" ca="1" si="11"/>
        <v>3</v>
      </c>
      <c r="J151">
        <f t="shared" ca="1" si="11"/>
        <v>29</v>
      </c>
      <c r="K151">
        <f t="shared" ca="1" si="12"/>
        <v>53</v>
      </c>
      <c r="L151">
        <f t="shared" ca="1" si="12"/>
        <v>91</v>
      </c>
      <c r="M151" s="6" t="str" cm="1">
        <f t="array" aca="1" ref="M151" ca="1">INDEX($A$2:$A$40,I151,1)</f>
        <v>Masculino</v>
      </c>
      <c r="N151" s="6" t="str" cm="1">
        <f t="array" aca="1" ref="N151" ca="1">INDEX($B$2:$B$40,I151,1)</f>
        <v>André</v>
      </c>
      <c r="O151" s="6" t="str" cm="1">
        <f t="array" aca="1" ref="O151" ca="1">INDEX($B$2:$B$40,J151,1)</f>
        <v>Pedro</v>
      </c>
      <c r="P151" s="6" t="str" cm="1">
        <f t="array" aca="1" ref="P151" ca="1">INDEX($E$2:$E$98,K151)</f>
        <v>Henriques</v>
      </c>
      <c r="Q151" s="6" t="str" cm="1">
        <f t="array" aca="1" ref="Q151" ca="1">INDEX($E$2:$E$98,L151)</f>
        <v>Leal</v>
      </c>
      <c r="S151" t="str">
        <f t="shared" ca="1" si="13"/>
        <v>Masculino</v>
      </c>
      <c r="T151" t="str">
        <f t="shared" ca="1" si="10"/>
        <v>André Pedro Henriques Leal</v>
      </c>
    </row>
    <row r="152" spans="9:20" x14ac:dyDescent="0.25">
      <c r="I152">
        <f t="shared" ca="1" si="11"/>
        <v>20</v>
      </c>
      <c r="J152">
        <f t="shared" ca="1" si="11"/>
        <v>16</v>
      </c>
      <c r="K152">
        <f t="shared" ca="1" si="12"/>
        <v>32</v>
      </c>
      <c r="L152">
        <f t="shared" ca="1" si="12"/>
        <v>39</v>
      </c>
      <c r="M152" s="6" t="str" cm="1">
        <f t="array" aca="1" ref="M152" ca="1">INDEX($A$2:$A$40,I152,1)</f>
        <v>Masculino</v>
      </c>
      <c r="N152" s="6" t="str" cm="1">
        <f t="array" aca="1" ref="N152" ca="1">INDEX($B$2:$B$40,I152,1)</f>
        <v>Luís</v>
      </c>
      <c r="O152" s="6" t="str" cm="1">
        <f t="array" aca="1" ref="O152" ca="1">INDEX($B$2:$B$40,J152,1)</f>
        <v>Joana</v>
      </c>
      <c r="P152" s="6" t="str" cm="1">
        <f t="array" aca="1" ref="P152" ca="1">INDEX($E$2:$E$98,K152)</f>
        <v>Silva</v>
      </c>
      <c r="Q152" s="6" t="str" cm="1">
        <f t="array" aca="1" ref="Q152" ca="1">INDEX($E$2:$E$98,L152)</f>
        <v>Simões</v>
      </c>
      <c r="S152" t="str">
        <f t="shared" ca="1" si="13"/>
        <v>Masculino</v>
      </c>
      <c r="T152" t="str">
        <f t="shared" ca="1" si="10"/>
        <v>Luís Joana Silva Simões</v>
      </c>
    </row>
    <row r="153" spans="9:20" x14ac:dyDescent="0.25">
      <c r="I153">
        <f t="shared" ca="1" si="11"/>
        <v>34</v>
      </c>
      <c r="J153">
        <f t="shared" ca="1" si="11"/>
        <v>3</v>
      </c>
      <c r="K153">
        <f t="shared" ca="1" si="12"/>
        <v>97</v>
      </c>
      <c r="L153">
        <f t="shared" ca="1" si="12"/>
        <v>63</v>
      </c>
      <c r="M153" s="6" t="str" cm="1">
        <f t="array" aca="1" ref="M153" ca="1">INDEX($A$2:$A$40,I153,1)</f>
        <v>Feminino</v>
      </c>
      <c r="N153" s="6" t="str" cm="1">
        <f t="array" aca="1" ref="N153" ca="1">INDEX($B$2:$B$40,I153,1)</f>
        <v>Sofia</v>
      </c>
      <c r="O153" s="6" t="str" cm="1">
        <f t="array" aca="1" ref="O153" ca="1">INDEX($B$2:$B$40,J153,1)</f>
        <v>André</v>
      </c>
      <c r="P153" s="6" t="str" cm="1">
        <f t="array" aca="1" ref="P153" ca="1">INDEX($E$2:$E$98,K153)</f>
        <v>Torres</v>
      </c>
      <c r="Q153" s="6" t="str" cm="1">
        <f t="array" aca="1" ref="Q153" ca="1">INDEX($E$2:$E$98,L153)</f>
        <v>Esteves</v>
      </c>
      <c r="S153" t="str">
        <f t="shared" ca="1" si="13"/>
        <v>Feminino</v>
      </c>
      <c r="T153" t="str">
        <f t="shared" ca="1" si="10"/>
        <v>Sofia André Torres Esteves</v>
      </c>
    </row>
    <row r="154" spans="9:20" x14ac:dyDescent="0.25">
      <c r="I154">
        <f t="shared" ca="1" si="11"/>
        <v>13</v>
      </c>
      <c r="J154">
        <f t="shared" ca="1" si="11"/>
        <v>39</v>
      </c>
      <c r="K154">
        <f t="shared" ca="1" si="12"/>
        <v>66</v>
      </c>
      <c r="L154">
        <f t="shared" ca="1" si="12"/>
        <v>83</v>
      </c>
      <c r="M154" s="6" t="str" cm="1">
        <f t="array" aca="1" ref="M154" ca="1">INDEX($A$2:$A$40,I154,1)</f>
        <v>Masculino</v>
      </c>
      <c r="N154" s="6" t="str" cm="1">
        <f t="array" aca="1" ref="N154" ca="1">INDEX($B$2:$B$40,I154,1)</f>
        <v>Francisco</v>
      </c>
      <c r="O154" s="6" t="str" cm="1">
        <f t="array" aca="1" ref="O154" ca="1">INDEX($B$2:$B$40,J154,1)</f>
        <v>Lara</v>
      </c>
      <c r="P154" s="6" t="str" cm="1">
        <f t="array" aca="1" ref="P154" ca="1">INDEX($E$2:$E$98,K154)</f>
        <v>Campos</v>
      </c>
      <c r="Q154" s="6" t="str" cm="1">
        <f t="array" aca="1" ref="Q154" ca="1">INDEX($E$2:$E$98,L154)</f>
        <v>Valente</v>
      </c>
      <c r="S154" t="str">
        <f t="shared" ca="1" si="13"/>
        <v>Masculino</v>
      </c>
      <c r="T154" t="str">
        <f t="shared" ca="1" si="10"/>
        <v>Francisco Lara Campos Valente</v>
      </c>
    </row>
    <row r="155" spans="9:20" x14ac:dyDescent="0.25">
      <c r="I155">
        <f t="shared" ca="1" si="11"/>
        <v>3</v>
      </c>
      <c r="J155">
        <f t="shared" ca="1" si="11"/>
        <v>14</v>
      </c>
      <c r="K155">
        <f t="shared" ca="1" si="12"/>
        <v>69</v>
      </c>
      <c r="L155">
        <f t="shared" ca="1" si="12"/>
        <v>60</v>
      </c>
      <c r="M155" s="6" t="str" cm="1">
        <f t="array" aca="1" ref="M155" ca="1">INDEX($A$2:$A$40,I155,1)</f>
        <v>Masculino</v>
      </c>
      <c r="N155" s="6" t="str" cm="1">
        <f t="array" aca="1" ref="N155" ca="1">INDEX($B$2:$B$40,I155,1)</f>
        <v>André</v>
      </c>
      <c r="O155" s="6" t="str" cm="1">
        <f t="array" aca="1" ref="O155" ca="1">INDEX($B$2:$B$40,J155,1)</f>
        <v>Gabriel</v>
      </c>
      <c r="P155" s="6" t="str" cm="1">
        <f t="array" aca="1" ref="P155" ca="1">INDEX($E$2:$E$98,K155)</f>
        <v>Brito</v>
      </c>
      <c r="Q155" s="6" t="str" cm="1">
        <f t="array" aca="1" ref="Q155" ca="1">INDEX($E$2:$E$98,L155)</f>
        <v>Barros</v>
      </c>
      <c r="S155" t="str">
        <f t="shared" ca="1" si="13"/>
        <v>Masculino</v>
      </c>
      <c r="T155" t="str">
        <f t="shared" ca="1" si="10"/>
        <v>André Gabriel Brito Barros</v>
      </c>
    </row>
    <row r="156" spans="9:20" x14ac:dyDescent="0.25">
      <c r="I156">
        <f t="shared" ca="1" si="11"/>
        <v>19</v>
      </c>
      <c r="J156">
        <f t="shared" ca="1" si="11"/>
        <v>24</v>
      </c>
      <c r="K156">
        <f t="shared" ca="1" si="12"/>
        <v>85</v>
      </c>
      <c r="L156">
        <f t="shared" ca="1" si="12"/>
        <v>79</v>
      </c>
      <c r="M156" s="6" t="str" cm="1">
        <f t="array" aca="1" ref="M156" ca="1">INDEX($A$2:$A$40,I156,1)</f>
        <v>Feminino</v>
      </c>
      <c r="N156" s="6" t="str" cm="1">
        <f t="array" aca="1" ref="N156" ca="1">INDEX($B$2:$B$40,I156,1)</f>
        <v>Leonor</v>
      </c>
      <c r="O156" s="6" t="str" cm="1">
        <f t="array" aca="1" ref="O156" ca="1">INDEX($B$2:$B$40,J156,1)</f>
        <v>Laura</v>
      </c>
      <c r="P156" s="6" t="str" cm="1">
        <f t="array" aca="1" ref="P156" ca="1">INDEX($E$2:$E$98,K156)</f>
        <v>Garcia</v>
      </c>
      <c r="Q156" s="6" t="str" cm="1">
        <f t="array" aca="1" ref="Q156" ca="1">INDEX($E$2:$E$98,L156)</f>
        <v>Gaspar</v>
      </c>
      <c r="S156" t="str">
        <f t="shared" ca="1" si="13"/>
        <v>Feminino</v>
      </c>
      <c r="T156" t="str">
        <f t="shared" ca="1" si="10"/>
        <v>Leonor Laura Garcia Gaspar</v>
      </c>
    </row>
    <row r="157" spans="9:20" x14ac:dyDescent="0.25">
      <c r="I157">
        <f t="shared" ca="1" si="11"/>
        <v>16</v>
      </c>
      <c r="J157">
        <f t="shared" ca="1" si="11"/>
        <v>28</v>
      </c>
      <c r="K157">
        <f t="shared" ca="1" si="12"/>
        <v>39</v>
      </c>
      <c r="L157">
        <f t="shared" ca="1" si="12"/>
        <v>52</v>
      </c>
      <c r="M157" s="6" t="str" cm="1">
        <f t="array" aca="1" ref="M157" ca="1">INDEX($A$2:$A$40,I157,1)</f>
        <v>Feminino</v>
      </c>
      <c r="N157" s="6" t="str" cm="1">
        <f t="array" aca="1" ref="N157" ca="1">INDEX($B$2:$B$40,I157,1)</f>
        <v>Joana</v>
      </c>
      <c r="O157" s="6" t="str" cm="1">
        <f t="array" aca="1" ref="O157" ca="1">INDEX($B$2:$B$40,J157,1)</f>
        <v>Miguel</v>
      </c>
      <c r="P157" s="6" t="str" cm="1">
        <f t="array" aca="1" ref="P157" ca="1">INDEX($E$2:$E$98,K157)</f>
        <v>Simões</v>
      </c>
      <c r="Q157" s="6" t="str" cm="1">
        <f t="array" aca="1" ref="Q157" ca="1">INDEX($E$2:$E$98,L157)</f>
        <v>Magalhães</v>
      </c>
      <c r="S157" t="str">
        <f t="shared" ca="1" si="13"/>
        <v>Feminino</v>
      </c>
      <c r="T157" t="str">
        <f t="shared" ca="1" si="10"/>
        <v>Joana Miguel Simões Magalhães</v>
      </c>
    </row>
    <row r="158" spans="9:20" x14ac:dyDescent="0.25">
      <c r="I158">
        <f t="shared" ca="1" si="11"/>
        <v>20</v>
      </c>
      <c r="J158">
        <f t="shared" ca="1" si="11"/>
        <v>34</v>
      </c>
      <c r="K158">
        <f t="shared" ca="1" si="12"/>
        <v>88</v>
      </c>
      <c r="L158">
        <f t="shared" ca="1" si="12"/>
        <v>29</v>
      </c>
      <c r="M158" s="6" t="str" cm="1">
        <f t="array" aca="1" ref="M158" ca="1">INDEX($A$2:$A$40,I158,1)</f>
        <v>Masculino</v>
      </c>
      <c r="N158" s="6" t="str" cm="1">
        <f t="array" aca="1" ref="N158" ca="1">INDEX($B$2:$B$40,I158,1)</f>
        <v>Luís</v>
      </c>
      <c r="O158" s="6" t="str" cm="1">
        <f t="array" aca="1" ref="O158" ca="1">INDEX($B$2:$B$40,J158,1)</f>
        <v>Sofia</v>
      </c>
      <c r="P158" s="6" t="str" cm="1">
        <f t="array" aca="1" ref="P158" ca="1">INDEX($E$2:$E$98,K158)</f>
        <v>Neto</v>
      </c>
      <c r="Q158" s="6" t="str" cm="1">
        <f t="array" aca="1" ref="Q158" ca="1">INDEX($E$2:$E$98,L158)</f>
        <v>Fernandes</v>
      </c>
      <c r="S158" t="str">
        <f t="shared" ca="1" si="13"/>
        <v>Masculino</v>
      </c>
      <c r="T158" t="str">
        <f t="shared" ca="1" si="10"/>
        <v>Luís Sofia Neto Fernandes</v>
      </c>
    </row>
    <row r="159" spans="9:20" x14ac:dyDescent="0.25">
      <c r="I159">
        <f t="shared" ca="1" si="11"/>
        <v>31</v>
      </c>
      <c r="J159">
        <f t="shared" ca="1" si="11"/>
        <v>21</v>
      </c>
      <c r="K159">
        <f t="shared" ca="1" si="12"/>
        <v>65</v>
      </c>
      <c r="L159">
        <f t="shared" ca="1" si="12"/>
        <v>39</v>
      </c>
      <c r="M159" s="6" t="str" cm="1">
        <f t="array" aca="1" ref="M159" ca="1">INDEX($A$2:$A$40,I159,1)</f>
        <v>Masculino</v>
      </c>
      <c r="N159" s="6" t="str" cm="1">
        <f t="array" aca="1" ref="N159" ca="1">INDEX($B$2:$B$40,I159,1)</f>
        <v>Rodrigo</v>
      </c>
      <c r="O159" s="6" t="str" cm="1">
        <f t="array" aca="1" ref="O159" ca="1">INDEX($B$2:$B$40,J159,1)</f>
        <v>Lurdes</v>
      </c>
      <c r="P159" s="6" t="str" cm="1">
        <f t="array" aca="1" ref="P159" ca="1">INDEX($E$2:$E$98,K159)</f>
        <v>Baptista</v>
      </c>
      <c r="Q159" s="6" t="str" cm="1">
        <f t="array" aca="1" ref="Q159" ca="1">INDEX($E$2:$E$98,L159)</f>
        <v>Simões</v>
      </c>
      <c r="S159" t="str">
        <f t="shared" ca="1" si="13"/>
        <v>Masculino</v>
      </c>
      <c r="T159" t="str">
        <f t="shared" ca="1" si="10"/>
        <v>Rodrigo Lurdes Baptista Simões</v>
      </c>
    </row>
    <row r="160" spans="9:20" x14ac:dyDescent="0.25">
      <c r="I160">
        <f t="shared" ca="1" si="11"/>
        <v>24</v>
      </c>
      <c r="J160">
        <f t="shared" ca="1" si="11"/>
        <v>33</v>
      </c>
      <c r="K160">
        <f t="shared" ca="1" si="12"/>
        <v>55</v>
      </c>
      <c r="L160">
        <f t="shared" ca="1" si="12"/>
        <v>85</v>
      </c>
      <c r="M160" s="6" t="str" cm="1">
        <f t="array" aca="1" ref="M160" ca="1">INDEX($A$2:$A$40,I160,1)</f>
        <v>Feminino</v>
      </c>
      <c r="N160" s="6" t="str" cm="1">
        <f t="array" aca="1" ref="N160" ca="1">INDEX($B$2:$B$40,I160,1)</f>
        <v>Laura</v>
      </c>
      <c r="O160" s="6" t="str" cm="1">
        <f t="array" aca="1" ref="O160" ca="1">INDEX($B$2:$B$40,J160,1)</f>
        <v>Sara</v>
      </c>
      <c r="P160" s="6" t="str" cm="1">
        <f t="array" aca="1" ref="P160" ca="1">INDEX($E$2:$E$98,K160)</f>
        <v>Guerreiro</v>
      </c>
      <c r="Q160" s="6" t="str" cm="1">
        <f t="array" aca="1" ref="Q160" ca="1">INDEX($E$2:$E$98,L160)</f>
        <v>Garcia</v>
      </c>
      <c r="S160" t="str">
        <f t="shared" ca="1" si="13"/>
        <v>Feminino</v>
      </c>
      <c r="T160" t="str">
        <f t="shared" ca="1" si="10"/>
        <v>Laura Sara Guerreiro Garcia</v>
      </c>
    </row>
    <row r="161" spans="9:20" x14ac:dyDescent="0.25">
      <c r="I161">
        <f t="shared" ca="1" si="11"/>
        <v>15</v>
      </c>
      <c r="J161">
        <f t="shared" ca="1" si="11"/>
        <v>32</v>
      </c>
      <c r="K161">
        <f t="shared" ca="1" si="12"/>
        <v>80</v>
      </c>
      <c r="L161">
        <f t="shared" ca="1" si="12"/>
        <v>74</v>
      </c>
      <c r="M161" s="6" t="str" cm="1">
        <f t="array" aca="1" ref="M161" ca="1">INDEX($A$2:$A$40,I161,1)</f>
        <v>Feminino</v>
      </c>
      <c r="N161" s="6" t="str" cm="1">
        <f t="array" aca="1" ref="N161" ca="1">INDEX($B$2:$B$40,I161,1)</f>
        <v>Inês</v>
      </c>
      <c r="O161" s="6" t="str" cm="1">
        <f t="array" aca="1" ref="O161" ca="1">INDEX($B$2:$B$40,J161,1)</f>
        <v>Santiago</v>
      </c>
      <c r="P161" s="6" t="str" cm="1">
        <f t="array" aca="1" ref="P161" ca="1">INDEX($E$2:$E$98,K161)</f>
        <v>Assunção</v>
      </c>
      <c r="Q161" s="6" t="str" cm="1">
        <f t="array" aca="1" ref="Q161" ca="1">INDEX($E$2:$E$98,L161)</f>
        <v>Borges</v>
      </c>
      <c r="S161" t="str">
        <f t="shared" ca="1" si="13"/>
        <v>Feminino</v>
      </c>
      <c r="T161" t="str">
        <f t="shared" ca="1" si="10"/>
        <v>Inês Santiago Assunção Borges</v>
      </c>
    </row>
    <row r="162" spans="9:20" x14ac:dyDescent="0.25">
      <c r="I162">
        <f t="shared" ca="1" si="11"/>
        <v>16</v>
      </c>
      <c r="J162">
        <f t="shared" ca="1" si="11"/>
        <v>8</v>
      </c>
      <c r="K162">
        <f t="shared" ca="1" si="12"/>
        <v>22</v>
      </c>
      <c r="L162">
        <f t="shared" ca="1" si="12"/>
        <v>65</v>
      </c>
      <c r="M162" s="6" t="str" cm="1">
        <f t="array" aca="1" ref="M162" ca="1">INDEX($A$2:$A$40,I162,1)</f>
        <v>Feminino</v>
      </c>
      <c r="N162" s="6" t="str" cm="1">
        <f t="array" aca="1" ref="N162" ca="1">INDEX($B$2:$B$40,I162,1)</f>
        <v>Joana</v>
      </c>
      <c r="O162" s="6" t="str" cm="1">
        <f t="array" aca="1" ref="O162" ca="1">INDEX($B$2:$B$40,J162,1)</f>
        <v>Daniela</v>
      </c>
      <c r="P162" s="6" t="str" cm="1">
        <f t="array" aca="1" ref="P162" ca="1">INDEX($E$2:$E$98,K162)</f>
        <v>Gonçalves</v>
      </c>
      <c r="Q162" s="6" t="str" cm="1">
        <f t="array" aca="1" ref="Q162" ca="1">INDEX($E$2:$E$98,L162)</f>
        <v>Baptista</v>
      </c>
      <c r="S162" t="str">
        <f t="shared" ca="1" si="13"/>
        <v>Feminino</v>
      </c>
      <c r="T162" t="str">
        <f t="shared" ca="1" si="10"/>
        <v>Joana Daniela Gonçalves Baptista</v>
      </c>
    </row>
    <row r="163" spans="9:20" x14ac:dyDescent="0.25">
      <c r="I163">
        <f t="shared" ca="1" si="11"/>
        <v>24</v>
      </c>
      <c r="J163">
        <f t="shared" ca="1" si="11"/>
        <v>9</v>
      </c>
      <c r="K163">
        <f t="shared" ca="1" si="12"/>
        <v>44</v>
      </c>
      <c r="L163">
        <f t="shared" ca="1" si="12"/>
        <v>64</v>
      </c>
      <c r="M163" s="6" t="str" cm="1">
        <f t="array" aca="1" ref="M163" ca="1">INDEX($A$2:$A$40,I163,1)</f>
        <v>Feminino</v>
      </c>
      <c r="N163" s="6" t="str" cm="1">
        <f t="array" aca="1" ref="N163" ca="1">INDEX($B$2:$B$40,I163,1)</f>
        <v>Laura</v>
      </c>
      <c r="O163" s="6" t="str" cm="1">
        <f t="array" aca="1" ref="O163" ca="1">INDEX($B$2:$B$40,J163,1)</f>
        <v>Diana</v>
      </c>
      <c r="P163" s="6" t="str" cm="1">
        <f t="array" aca="1" ref="P163" ca="1">INDEX($E$2:$E$98,K163)</f>
        <v>Araújo</v>
      </c>
      <c r="Q163" s="6" t="str" cm="1">
        <f t="array" aca="1" ref="Q163" ca="1">INDEX($E$2:$E$98,L163)</f>
        <v>Anjos</v>
      </c>
      <c r="S163" t="str">
        <f t="shared" ca="1" si="13"/>
        <v>Feminino</v>
      </c>
      <c r="T163" t="str">
        <f t="shared" ca="1" si="10"/>
        <v>Laura Diana Araújo Anjos</v>
      </c>
    </row>
    <row r="164" spans="9:20" x14ac:dyDescent="0.25">
      <c r="I164">
        <f t="shared" ca="1" si="11"/>
        <v>37</v>
      </c>
      <c r="J164">
        <f t="shared" ca="1" si="11"/>
        <v>2</v>
      </c>
      <c r="K164">
        <f t="shared" ca="1" si="12"/>
        <v>26</v>
      </c>
      <c r="L164">
        <f t="shared" ca="1" si="12"/>
        <v>50</v>
      </c>
      <c r="M164" s="6" t="str" cm="1">
        <f t="array" aca="1" ref="M164" ca="1">INDEX($A$2:$A$40,I164,1)</f>
        <v>Feminino</v>
      </c>
      <c r="N164" s="6" t="str" cm="1">
        <f t="array" aca="1" ref="N164" ca="1">INDEX($B$2:$B$40,I164,1)</f>
        <v>Vera</v>
      </c>
      <c r="O164" s="6" t="str" cm="1">
        <f t="array" aca="1" ref="O164" ca="1">INDEX($B$2:$B$40,J164,1)</f>
        <v>Ana</v>
      </c>
      <c r="P164" s="6" t="str" cm="1">
        <f t="array" aca="1" ref="P164" ca="1">INDEX($E$2:$E$98,K164)</f>
        <v>Costa</v>
      </c>
      <c r="Q164" s="6" t="str" cm="1">
        <f t="array" aca="1" ref="Q164" ca="1">INDEX($E$2:$E$98,L164)</f>
        <v>Azevedo</v>
      </c>
      <c r="S164" t="str">
        <f t="shared" ca="1" si="13"/>
        <v>Feminino</v>
      </c>
      <c r="T164" t="str">
        <f t="shared" ca="1" si="10"/>
        <v>Vera Ana Costa Azevedo</v>
      </c>
    </row>
    <row r="165" spans="9:20" x14ac:dyDescent="0.25">
      <c r="I165">
        <f t="shared" ca="1" si="11"/>
        <v>17</v>
      </c>
      <c r="J165">
        <f t="shared" ca="1" si="11"/>
        <v>14</v>
      </c>
      <c r="K165">
        <f t="shared" ca="1" si="12"/>
        <v>34</v>
      </c>
      <c r="L165">
        <f t="shared" ca="1" si="12"/>
        <v>19</v>
      </c>
      <c r="M165" s="6" t="str" cm="1">
        <f t="array" aca="1" ref="M165" ca="1">INDEX($A$2:$A$40,I165,1)</f>
        <v>Masculino</v>
      </c>
      <c r="N165" s="6" t="str" cm="1">
        <f t="array" aca="1" ref="N165" ca="1">INDEX($B$2:$B$40,I165,1)</f>
        <v>João</v>
      </c>
      <c r="O165" s="6" t="str" cm="1">
        <f t="array" aca="1" ref="O165" ca="1">INDEX($B$2:$B$40,J165,1)</f>
        <v>Gabriel</v>
      </c>
      <c r="P165" s="6" t="str" cm="1">
        <f t="array" aca="1" ref="P165" ca="1">INDEX($E$2:$E$98,K165)</f>
        <v>Carvalho</v>
      </c>
      <c r="Q165" s="6" t="str" cm="1">
        <f t="array" aca="1" ref="Q165" ca="1">INDEX($E$2:$E$98,L165)</f>
        <v>Lopes</v>
      </c>
      <c r="S165" t="str">
        <f t="shared" ca="1" si="13"/>
        <v>Masculino</v>
      </c>
      <c r="T165" t="str">
        <f t="shared" ca="1" si="10"/>
        <v>João Gabriel Carvalho Lopes</v>
      </c>
    </row>
    <row r="166" spans="9:20" x14ac:dyDescent="0.25">
      <c r="I166">
        <f t="shared" ca="1" si="11"/>
        <v>16</v>
      </c>
      <c r="J166">
        <f t="shared" ca="1" si="11"/>
        <v>26</v>
      </c>
      <c r="K166">
        <f t="shared" ca="1" si="12"/>
        <v>77</v>
      </c>
      <c r="L166">
        <f t="shared" ca="1" si="12"/>
        <v>51</v>
      </c>
      <c r="M166" s="6" t="str" cm="1">
        <f t="array" aca="1" ref="M166" ca="1">INDEX($A$2:$A$40,I166,1)</f>
        <v>Feminino</v>
      </c>
      <c r="N166" s="6" t="str" cm="1">
        <f t="array" aca="1" ref="N166" ca="1">INDEX($B$2:$B$40,I166,1)</f>
        <v>Joana</v>
      </c>
      <c r="O166" s="6" t="str" cm="1">
        <f t="array" aca="1" ref="O166" ca="1">INDEX($B$2:$B$40,J166,1)</f>
        <v>Martim</v>
      </c>
      <c r="P166" s="6" t="str" cm="1">
        <f t="array" aca="1" ref="P166" ca="1">INDEX($E$2:$E$98,K166)</f>
        <v>Pinho</v>
      </c>
      <c r="Q166" s="6" t="str" cm="1">
        <f t="array" aca="1" ref="Q166" ca="1">INDEX($E$2:$E$98,L166)</f>
        <v>Freitas</v>
      </c>
      <c r="S166" t="str">
        <f t="shared" ca="1" si="13"/>
        <v>Feminino</v>
      </c>
      <c r="T166" t="str">
        <f t="shared" ca="1" si="10"/>
        <v>Joana Martim Pinho Freitas</v>
      </c>
    </row>
    <row r="167" spans="9:20" x14ac:dyDescent="0.25">
      <c r="I167">
        <f t="shared" ca="1" si="11"/>
        <v>1</v>
      </c>
      <c r="J167">
        <f t="shared" ca="1" si="11"/>
        <v>26</v>
      </c>
      <c r="K167">
        <f t="shared" ca="1" si="12"/>
        <v>70</v>
      </c>
      <c r="L167">
        <f t="shared" ca="1" si="12"/>
        <v>28</v>
      </c>
      <c r="M167" s="6" t="str" cm="1">
        <f t="array" aca="1" ref="M167" ca="1">INDEX($A$2:$A$40,I167,1)</f>
        <v>Masculino</v>
      </c>
      <c r="N167" s="6" t="str" cm="1">
        <f t="array" aca="1" ref="N167" ca="1">INDEX($B$2:$B$40,I167,1)</f>
        <v>Afonso</v>
      </c>
      <c r="O167" s="6" t="str" cm="1">
        <f t="array" aca="1" ref="O167" ca="1">INDEX($B$2:$B$40,J167,1)</f>
        <v>Martim</v>
      </c>
      <c r="P167" s="6" t="str" cm="1">
        <f t="array" aca="1" ref="P167" ca="1">INDEX($E$2:$E$98,K167)</f>
        <v>Sá</v>
      </c>
      <c r="Q167" s="6" t="str" cm="1">
        <f t="array" aca="1" ref="Q167" ca="1">INDEX($E$2:$E$98,L167)</f>
        <v>Jesus</v>
      </c>
      <c r="S167" t="str">
        <f t="shared" ca="1" si="13"/>
        <v>Masculino</v>
      </c>
      <c r="T167" t="str">
        <f t="shared" ca="1" si="10"/>
        <v>Afonso Martim Sá Jesus</v>
      </c>
    </row>
    <row r="168" spans="9:20" x14ac:dyDescent="0.25">
      <c r="I168">
        <f t="shared" ca="1" si="11"/>
        <v>5</v>
      </c>
      <c r="J168">
        <f t="shared" ca="1" si="11"/>
        <v>2</v>
      </c>
      <c r="K168">
        <f t="shared" ca="1" si="12"/>
        <v>64</v>
      </c>
      <c r="L168">
        <f t="shared" ca="1" si="12"/>
        <v>74</v>
      </c>
      <c r="M168" s="6" t="str" cm="1">
        <f t="array" aca="1" ref="M168" ca="1">INDEX($A$2:$A$40,I168,1)</f>
        <v>Masculino</v>
      </c>
      <c r="N168" s="6" t="str" cm="1">
        <f t="array" aca="1" ref="N168" ca="1">INDEX($B$2:$B$40,I168,1)</f>
        <v>Bruno</v>
      </c>
      <c r="O168" s="6" t="str" cm="1">
        <f t="array" aca="1" ref="O168" ca="1">INDEX($B$2:$B$40,J168,1)</f>
        <v>Ana</v>
      </c>
      <c r="P168" s="6" t="str" cm="1">
        <f t="array" aca="1" ref="P168" ca="1">INDEX($E$2:$E$98,K168)</f>
        <v>Anjos</v>
      </c>
      <c r="Q168" s="6" t="str" cm="1">
        <f t="array" aca="1" ref="Q168" ca="1">INDEX($E$2:$E$98,L168)</f>
        <v>Borges</v>
      </c>
      <c r="S168" t="str">
        <f t="shared" ca="1" si="13"/>
        <v>Masculino</v>
      </c>
      <c r="T168" t="str">
        <f t="shared" ca="1" si="10"/>
        <v>Bruno Ana Anjos Borges</v>
      </c>
    </row>
    <row r="169" spans="9:20" x14ac:dyDescent="0.25">
      <c r="I169">
        <f t="shared" ca="1" si="11"/>
        <v>20</v>
      </c>
      <c r="J169">
        <f t="shared" ca="1" si="11"/>
        <v>21</v>
      </c>
      <c r="K169">
        <f t="shared" ca="1" si="12"/>
        <v>72</v>
      </c>
      <c r="L169">
        <f t="shared" ca="1" si="12"/>
        <v>9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Luís</v>
      </c>
      <c r="O169" s="6" t="str" cm="1">
        <f t="array" aca="1" ref="O169" ca="1">INDEX($B$2:$B$40,J169,1)</f>
        <v>Lurdes</v>
      </c>
      <c r="P169" s="6" t="str" cm="1">
        <f t="array" aca="1" ref="P169" ca="1">INDEX($E$2:$E$98,K169)</f>
        <v>Leite</v>
      </c>
      <c r="Q169" s="6" t="str" cm="1">
        <f t="array" aca="1" ref="Q169" ca="1">INDEX($E$2:$E$98,L169)</f>
        <v>Ramos</v>
      </c>
      <c r="S169" t="str">
        <f t="shared" ca="1" si="13"/>
        <v>Masculino</v>
      </c>
      <c r="T169" t="str">
        <f t="shared" ca="1" si="10"/>
        <v>Luís Lurdes Leite Ramos</v>
      </c>
    </row>
    <row r="170" spans="9:20" x14ac:dyDescent="0.25">
      <c r="I170">
        <f t="shared" ca="1" si="11"/>
        <v>39</v>
      </c>
      <c r="J170">
        <f t="shared" ca="1" si="11"/>
        <v>33</v>
      </c>
      <c r="K170">
        <f t="shared" ca="1" si="12"/>
        <v>15</v>
      </c>
      <c r="L170">
        <f t="shared" ca="1" si="12"/>
        <v>10</v>
      </c>
      <c r="M170" s="6" t="str" cm="1">
        <f t="array" aca="1" ref="M170" ca="1">INDEX($A$2:$A$40,I170,1)</f>
        <v>Feminino</v>
      </c>
      <c r="N170" s="6" t="str" cm="1">
        <f t="array" aca="1" ref="N170" ca="1">INDEX($B$2:$B$40,I170,1)</f>
        <v>Lara</v>
      </c>
      <c r="O170" s="6" t="str" cm="1">
        <f t="array" aca="1" ref="O170" ca="1">INDEX($B$2:$B$40,J170,1)</f>
        <v>Sara</v>
      </c>
      <c r="P170" s="6" t="str" cm="1">
        <f t="array" aca="1" ref="P170" ca="1">INDEX($E$2:$E$98,K170)</f>
        <v>Moreira</v>
      </c>
      <c r="Q170" s="6" t="str" cm="1">
        <f t="array" aca="1" ref="Q170" ca="1">INDEX($E$2:$E$98,L170)</f>
        <v>Correia</v>
      </c>
      <c r="S170" t="str">
        <f t="shared" ca="1" si="13"/>
        <v>Feminino</v>
      </c>
      <c r="T170" t="str">
        <f t="shared" ca="1" si="10"/>
        <v>Lara Sara Moreira Correia</v>
      </c>
    </row>
    <row r="171" spans="9:20" x14ac:dyDescent="0.25">
      <c r="I171">
        <f t="shared" ca="1" si="11"/>
        <v>17</v>
      </c>
      <c r="J171">
        <f t="shared" ca="1" si="11"/>
        <v>10</v>
      </c>
      <c r="K171">
        <f t="shared" ca="1" si="12"/>
        <v>7</v>
      </c>
      <c r="L171">
        <f t="shared" ca="1" si="12"/>
        <v>47</v>
      </c>
      <c r="M171" s="6" t="str" cm="1">
        <f t="array" aca="1" ref="M171" ca="1">INDEX($A$2:$A$40,I171,1)</f>
        <v>Masculino</v>
      </c>
      <c r="N171" s="6" t="str" cm="1">
        <f t="array" aca="1" ref="N171" ca="1">INDEX($B$2:$B$40,I171,1)</f>
        <v>João</v>
      </c>
      <c r="O171" s="6" t="str" cm="1">
        <f t="array" aca="1" ref="O171" ca="1">INDEX($B$2:$B$40,J171,1)</f>
        <v>Diogo</v>
      </c>
      <c r="P171" s="6" t="str" cm="1">
        <f t="array" aca="1" ref="P171" ca="1">INDEX($E$2:$E$98,K171)</f>
        <v>Coelho</v>
      </c>
      <c r="Q171" s="6" t="str" cm="1">
        <f t="array" aca="1" ref="Q171" ca="1">INDEX($E$2:$E$98,L171)</f>
        <v>Lourenço</v>
      </c>
      <c r="S171" t="str">
        <f t="shared" ca="1" si="13"/>
        <v>Masculino</v>
      </c>
      <c r="T171" t="str">
        <f t="shared" ca="1" si="10"/>
        <v>João Diogo Coelho Lourenço</v>
      </c>
    </row>
    <row r="172" spans="9:20" x14ac:dyDescent="0.25">
      <c r="I172">
        <f t="shared" ca="1" si="11"/>
        <v>9</v>
      </c>
      <c r="J172">
        <f t="shared" ca="1" si="11"/>
        <v>2</v>
      </c>
      <c r="K172">
        <f t="shared" ca="1" si="12"/>
        <v>19</v>
      </c>
      <c r="L172">
        <f t="shared" ca="1" si="12"/>
        <v>91</v>
      </c>
      <c r="M172" s="6" t="str" cm="1">
        <f t="array" aca="1" ref="M172" ca="1">INDEX($A$2:$A$40,I172,1)</f>
        <v>Feminino</v>
      </c>
      <c r="N172" s="6" t="str" cm="1">
        <f t="array" aca="1" ref="N172" ca="1">INDEX($B$2:$B$40,I172,1)</f>
        <v>Diana</v>
      </c>
      <c r="O172" s="6" t="str" cm="1">
        <f t="array" aca="1" ref="O172" ca="1">INDEX($B$2:$B$40,J172,1)</f>
        <v>Ana</v>
      </c>
      <c r="P172" s="6" t="str" cm="1">
        <f t="array" aca="1" ref="P172" ca="1">INDEX($E$2:$E$98,K172)</f>
        <v>Lopes</v>
      </c>
      <c r="Q172" s="6" t="str" cm="1">
        <f t="array" aca="1" ref="Q172" ca="1">INDEX($E$2:$E$98,L172)</f>
        <v>Leal</v>
      </c>
      <c r="S172" t="str">
        <f t="shared" ca="1" si="13"/>
        <v>Feminino</v>
      </c>
      <c r="T172" t="str">
        <f t="shared" ca="1" si="10"/>
        <v>Diana Ana Lopes Leal</v>
      </c>
    </row>
    <row r="173" spans="9:20" x14ac:dyDescent="0.25">
      <c r="I173">
        <f t="shared" ca="1" si="11"/>
        <v>5</v>
      </c>
      <c r="J173">
        <f t="shared" ca="1" si="11"/>
        <v>26</v>
      </c>
      <c r="K173">
        <f t="shared" ca="1" si="12"/>
        <v>4</v>
      </c>
      <c r="L173">
        <f t="shared" ca="1" si="12"/>
        <v>96</v>
      </c>
      <c r="M173" s="6" t="str" cm="1">
        <f t="array" aca="1" ref="M173" ca="1">INDEX($A$2:$A$40,I173,1)</f>
        <v>Masculino</v>
      </c>
      <c r="N173" s="6" t="str" cm="1">
        <f t="array" aca="1" ref="N173" ca="1">INDEX($B$2:$B$40,I173,1)</f>
        <v>Bruno</v>
      </c>
      <c r="O173" s="6" t="str" cm="1">
        <f t="array" aca="1" ref="O173" ca="1">INDEX($B$2:$B$40,J173,1)</f>
        <v>Martim</v>
      </c>
      <c r="P173" s="6" t="str" cm="1">
        <f t="array" aca="1" ref="P173" ca="1">INDEX($E$2:$E$98,K173)</f>
        <v>Alves</v>
      </c>
      <c r="Q173" s="6" t="str" cm="1">
        <f t="array" aca="1" ref="Q173" ca="1">INDEX($E$2:$E$98,L173)</f>
        <v>Amorim</v>
      </c>
      <c r="S173" t="str">
        <f t="shared" ca="1" si="13"/>
        <v>Masculino</v>
      </c>
      <c r="T173" t="str">
        <f t="shared" ca="1" si="10"/>
        <v>Bruno Martim Alves Amorim</v>
      </c>
    </row>
    <row r="174" spans="9:20" x14ac:dyDescent="0.25">
      <c r="I174">
        <f t="shared" ca="1" si="11"/>
        <v>32</v>
      </c>
      <c r="J174">
        <f t="shared" ca="1" si="11"/>
        <v>36</v>
      </c>
      <c r="K174">
        <f t="shared" ca="1" si="12"/>
        <v>33</v>
      </c>
      <c r="L174">
        <f t="shared" ca="1" si="12"/>
        <v>37</v>
      </c>
      <c r="M174" s="6" t="str" cm="1">
        <f t="array" aca="1" ref="M174" ca="1">INDEX($A$2:$A$40,I174,1)</f>
        <v>Masculino</v>
      </c>
      <c r="N174" s="6" t="str" cm="1">
        <f t="array" aca="1" ref="N174" ca="1">INDEX($B$2:$B$40,I174,1)</f>
        <v>Santiago</v>
      </c>
      <c r="O174" s="6" t="str" cm="1">
        <f t="array" aca="1" ref="O174" ca="1">INDEX($B$2:$B$40,J174,1)</f>
        <v>Tomás</v>
      </c>
      <c r="P174" s="6" t="str" cm="1">
        <f t="array" aca="1" ref="P174" ca="1">INDEX($E$2:$E$98,K174)</f>
        <v>Cunha</v>
      </c>
      <c r="Q174" s="6" t="str" cm="1">
        <f t="array" aca="1" ref="Q174" ca="1">INDEX($E$2:$E$98,L174)</f>
        <v>Rocha</v>
      </c>
      <c r="S174" t="str">
        <f t="shared" ca="1" si="13"/>
        <v>Masculino</v>
      </c>
      <c r="T174" t="str">
        <f t="shared" ca="1" si="10"/>
        <v>Santiago Tomás Cunha Rocha</v>
      </c>
    </row>
    <row r="175" spans="9:20" x14ac:dyDescent="0.25">
      <c r="I175">
        <f t="shared" ca="1" si="11"/>
        <v>5</v>
      </c>
      <c r="J175">
        <f t="shared" ca="1" si="11"/>
        <v>5</v>
      </c>
      <c r="K175">
        <f t="shared" ca="1" si="12"/>
        <v>34</v>
      </c>
      <c r="L175">
        <f t="shared" ca="1" si="12"/>
        <v>81</v>
      </c>
      <c r="M175" s="6" t="str" cm="1">
        <f t="array" aca="1" ref="M175" ca="1">INDEX($A$2:$A$40,I175,1)</f>
        <v>Masculino</v>
      </c>
      <c r="N175" s="6" t="str" cm="1">
        <f t="array" aca="1" ref="N175" ca="1">INDEX($B$2:$B$40,I175,1)</f>
        <v>Bruno</v>
      </c>
      <c r="O175" s="6" t="str" cm="1">
        <f t="array" aca="1" ref="O175" ca="1">INDEX($B$2:$B$40,J175,1)</f>
        <v>Bruno</v>
      </c>
      <c r="P175" s="6" t="str" cm="1">
        <f t="array" aca="1" ref="P175" ca="1">INDEX($E$2:$E$98,K175)</f>
        <v>Carvalho</v>
      </c>
      <c r="Q175" s="6" t="str" cm="1">
        <f t="array" aca="1" ref="Q175" ca="1">INDEX($E$2:$E$98,L175)</f>
        <v>Maia</v>
      </c>
      <c r="S175" t="str">
        <f t="shared" ca="1" si="13"/>
        <v>Masculino</v>
      </c>
      <c r="T175" t="str">
        <f t="shared" ca="1" si="10"/>
        <v>Bruno Bruno Carvalho Maia</v>
      </c>
    </row>
    <row r="176" spans="9:20" x14ac:dyDescent="0.25">
      <c r="I176">
        <f t="shared" ca="1" si="11"/>
        <v>33</v>
      </c>
      <c r="J176">
        <f t="shared" ca="1" si="11"/>
        <v>8</v>
      </c>
      <c r="K176">
        <f t="shared" ca="1" si="12"/>
        <v>12</v>
      </c>
      <c r="L176">
        <f t="shared" ca="1" si="12"/>
        <v>57</v>
      </c>
      <c r="M176" s="6" t="str" cm="1">
        <f t="array" aca="1" ref="M176" ca="1">INDEX($A$2:$A$40,I176,1)</f>
        <v>Feminino</v>
      </c>
      <c r="N176" s="6" t="str" cm="1">
        <f t="array" aca="1" ref="N176" ca="1">INDEX($B$2:$B$40,I176,1)</f>
        <v>Sara</v>
      </c>
      <c r="O176" s="6" t="str" cm="1">
        <f t="array" aca="1" ref="O176" ca="1">INDEX($B$2:$B$40,J176,1)</f>
        <v>Daniela</v>
      </c>
      <c r="P176" s="6" t="str" cm="1">
        <f t="array" aca="1" ref="P176" ca="1">INDEX($E$2:$E$98,K176)</f>
        <v>Teixeira</v>
      </c>
      <c r="Q176" s="6" t="str" cm="1">
        <f t="array" aca="1" ref="Q176" ca="1">INDEX($E$2:$E$98,L176)</f>
        <v>Pinheiro</v>
      </c>
      <c r="S176" t="str">
        <f t="shared" ca="1" si="13"/>
        <v>Feminino</v>
      </c>
      <c r="T176" t="str">
        <f t="shared" ca="1" si="10"/>
        <v>Sara Daniela Teixeira Pinheiro</v>
      </c>
    </row>
    <row r="177" spans="9:20" x14ac:dyDescent="0.25">
      <c r="I177">
        <f t="shared" ca="1" si="11"/>
        <v>12</v>
      </c>
      <c r="J177">
        <f t="shared" ca="1" si="11"/>
        <v>33</v>
      </c>
      <c r="K177">
        <f t="shared" ca="1" si="12"/>
        <v>53</v>
      </c>
      <c r="L177">
        <f t="shared" ca="1" si="12"/>
        <v>41</v>
      </c>
      <c r="M177" s="6" t="str" cm="1">
        <f t="array" aca="1" ref="M177" ca="1">INDEX($A$2:$A$40,I177,1)</f>
        <v>Feminino</v>
      </c>
      <c r="N177" s="6" t="str" cm="1">
        <f t="array" aca="1" ref="N177" ca="1">INDEX($B$2:$B$40,I177,1)</f>
        <v>Francisca</v>
      </c>
      <c r="O177" s="6" t="str" cm="1">
        <f t="array" aca="1" ref="O177" ca="1">INDEX($B$2:$B$40,J177,1)</f>
        <v>Sara</v>
      </c>
      <c r="P177" s="6" t="str" cm="1">
        <f t="array" aca="1" ref="P177" ca="1">INDEX($E$2:$E$98,K177)</f>
        <v>Henriques</v>
      </c>
      <c r="Q177" s="6" t="str" cm="1">
        <f t="array" aca="1" ref="Q177" ca="1">INDEX($E$2:$E$98,L177)</f>
        <v>Matos</v>
      </c>
      <c r="S177" t="str">
        <f t="shared" ca="1" si="13"/>
        <v>Feminino</v>
      </c>
      <c r="T177" t="str">
        <f t="shared" ca="1" si="10"/>
        <v>Francisca Sara Henriques Matos</v>
      </c>
    </row>
    <row r="178" spans="9:20" x14ac:dyDescent="0.25">
      <c r="I178">
        <f t="shared" ca="1" si="11"/>
        <v>13</v>
      </c>
      <c r="J178">
        <f t="shared" ca="1" si="11"/>
        <v>18</v>
      </c>
      <c r="K178">
        <f t="shared" ca="1" si="12"/>
        <v>27</v>
      </c>
      <c r="L178">
        <f t="shared" ca="1" si="12"/>
        <v>31</v>
      </c>
      <c r="M178" s="6" t="str" cm="1">
        <f t="array" aca="1" ref="M178" ca="1">INDEX($A$2:$A$40,I178,1)</f>
        <v>Masculino</v>
      </c>
      <c r="N178" s="6" t="str" cm="1">
        <f t="array" aca="1" ref="N178" ca="1">INDEX($B$2:$B$40,I178,1)</f>
        <v>Francisco</v>
      </c>
      <c r="O178" s="6" t="str" cm="1">
        <f t="array" aca="1" ref="O178" ca="1">INDEX($B$2:$B$40,J178,1)</f>
        <v>José</v>
      </c>
      <c r="P178" s="6" t="str" cm="1">
        <f t="array" aca="1" ref="P178" ca="1">INDEX($E$2:$E$98,K178)</f>
        <v>Marques</v>
      </c>
      <c r="Q178" s="6" t="str" cm="1">
        <f t="array" aca="1" ref="Q178" ca="1">INDEX($E$2:$E$98,L178)</f>
        <v>Oliveira</v>
      </c>
      <c r="S178" t="str">
        <f t="shared" ca="1" si="13"/>
        <v>Masculino</v>
      </c>
      <c r="T178" t="str">
        <f t="shared" ca="1" si="10"/>
        <v>Francisco José Marques Oliveira</v>
      </c>
    </row>
    <row r="179" spans="9:20" x14ac:dyDescent="0.25">
      <c r="I179">
        <f t="shared" ca="1" si="11"/>
        <v>18</v>
      </c>
      <c r="J179">
        <f t="shared" ca="1" si="11"/>
        <v>3</v>
      </c>
      <c r="K179">
        <f t="shared" ca="1" si="12"/>
        <v>95</v>
      </c>
      <c r="L179">
        <f t="shared" ca="1" si="12"/>
        <v>7</v>
      </c>
      <c r="M179" s="6" t="str" cm="1">
        <f t="array" aca="1" ref="M179" ca="1">INDEX($A$2:$A$40,I179,1)</f>
        <v>Masculino</v>
      </c>
      <c r="N179" s="6" t="str" cm="1">
        <f t="array" aca="1" ref="N179" ca="1">INDEX($B$2:$B$40,I179,1)</f>
        <v>José</v>
      </c>
      <c r="O179" s="6" t="str" cm="1">
        <f t="array" aca="1" ref="O179" ca="1">INDEX($B$2:$B$40,J179,1)</f>
        <v>André</v>
      </c>
      <c r="P179" s="6" t="str" cm="1">
        <f t="array" aca="1" ref="P179" ca="1">INDEX($E$2:$E$98,K179)</f>
        <v>Matias</v>
      </c>
      <c r="Q179" s="6" t="str" cm="1">
        <f t="array" aca="1" ref="Q179" ca="1">INDEX($E$2:$E$98,L179)</f>
        <v>Coelho</v>
      </c>
      <c r="S179" t="str">
        <f t="shared" ca="1" si="13"/>
        <v>Masculino</v>
      </c>
      <c r="T179" t="str">
        <f t="shared" ca="1" si="10"/>
        <v>José André Matias Coelho</v>
      </c>
    </row>
    <row r="180" spans="9:20" x14ac:dyDescent="0.25">
      <c r="I180">
        <f t="shared" ca="1" si="11"/>
        <v>1</v>
      </c>
      <c r="J180">
        <f t="shared" ca="1" si="11"/>
        <v>12</v>
      </c>
      <c r="K180">
        <f t="shared" ca="1" si="12"/>
        <v>2</v>
      </c>
      <c r="L180">
        <f t="shared" ca="1" si="12"/>
        <v>8</v>
      </c>
      <c r="M180" s="6" t="str" cm="1">
        <f t="array" aca="1" ref="M180" ca="1">INDEX($A$2:$A$40,I180,1)</f>
        <v>Masculino</v>
      </c>
      <c r="N180" s="6" t="str" cm="1">
        <f t="array" aca="1" ref="N180" ca="1">INDEX($B$2:$B$40,I180,1)</f>
        <v>Afonso</v>
      </c>
      <c r="O180" s="6" t="str" cm="1">
        <f t="array" aca="1" ref="O180" ca="1">INDEX($B$2:$B$40,J180,1)</f>
        <v>Francisca</v>
      </c>
      <c r="P180" s="6" t="str" cm="1">
        <f t="array" aca="1" ref="P180" ca="1">INDEX($E$2:$E$98,K180)</f>
        <v>Pinto</v>
      </c>
      <c r="Q180" s="6" t="str" cm="1">
        <f t="array" aca="1" ref="Q180" ca="1">INDEX($E$2:$E$98,L180)</f>
        <v>Pires</v>
      </c>
      <c r="S180" t="str">
        <f t="shared" ca="1" si="13"/>
        <v>Masculino</v>
      </c>
      <c r="T180" t="str">
        <f t="shared" ca="1" si="10"/>
        <v>Afonso Francisca Pinto Pires</v>
      </c>
    </row>
    <row r="181" spans="9:20" x14ac:dyDescent="0.25">
      <c r="I181">
        <f t="shared" ca="1" si="11"/>
        <v>27</v>
      </c>
      <c r="J181">
        <f t="shared" ca="1" si="11"/>
        <v>37</v>
      </c>
      <c r="K181">
        <f t="shared" ca="1" si="12"/>
        <v>2</v>
      </c>
      <c r="L181">
        <f t="shared" ca="1" si="12"/>
        <v>10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Matilde</v>
      </c>
      <c r="O181" s="6" t="str" cm="1">
        <f t="array" aca="1" ref="O181" ca="1">INDEX($B$2:$B$40,J181,1)</f>
        <v>Vera</v>
      </c>
      <c r="P181" s="6" t="str" cm="1">
        <f t="array" aca="1" ref="P181" ca="1">INDEX($E$2:$E$98,K181)</f>
        <v>Pinto</v>
      </c>
      <c r="Q181" s="6" t="str" cm="1">
        <f t="array" aca="1" ref="Q181" ca="1">INDEX($E$2:$E$98,L181)</f>
        <v>Correia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Matilde Vera Pinto Correia</v>
      </c>
    </row>
    <row r="182" spans="9:20" x14ac:dyDescent="0.25">
      <c r="I182">
        <f t="shared" ca="1" si="11"/>
        <v>24</v>
      </c>
      <c r="J182">
        <f t="shared" ca="1" si="11"/>
        <v>8</v>
      </c>
      <c r="K182">
        <f t="shared" ca="1" si="12"/>
        <v>24</v>
      </c>
      <c r="L182">
        <f t="shared" ca="1" si="12"/>
        <v>49</v>
      </c>
      <c r="M182" s="6" t="str" cm="1">
        <f t="array" aca="1" ref="M182" ca="1">INDEX($A$2:$A$40,I182,1)</f>
        <v>Feminino</v>
      </c>
      <c r="N182" s="6" t="str" cm="1">
        <f t="array" aca="1" ref="N182" ca="1">INDEX($B$2:$B$40,I182,1)</f>
        <v>Laura</v>
      </c>
      <c r="O182" s="6" t="str" cm="1">
        <f t="array" aca="1" ref="O182" ca="1">INDEX($B$2:$B$40,J182,1)</f>
        <v>Daniela</v>
      </c>
      <c r="P182" s="6" t="str" cm="1">
        <f t="array" aca="1" ref="P182" ca="1">INDEX($E$2:$E$98,K182)</f>
        <v>Ribeiro</v>
      </c>
      <c r="Q182" s="6" t="str" cm="1">
        <f t="array" aca="1" ref="Q182" ca="1">INDEX($E$2:$E$98,L182)</f>
        <v>Figueiredo</v>
      </c>
      <c r="S182" t="str">
        <f t="shared" ca="1" si="13"/>
        <v>Feminino</v>
      </c>
      <c r="T182" t="str">
        <f t="shared" ca="1" si="14"/>
        <v>Laura Daniela Ribeiro Figueiredo</v>
      </c>
    </row>
    <row r="183" spans="9:20" x14ac:dyDescent="0.25">
      <c r="I183">
        <f t="shared" ca="1" si="11"/>
        <v>9</v>
      </c>
      <c r="J183">
        <f t="shared" ca="1" si="11"/>
        <v>14</v>
      </c>
      <c r="K183">
        <f t="shared" ca="1" si="12"/>
        <v>8</v>
      </c>
      <c r="L183">
        <f t="shared" ca="1" si="12"/>
        <v>80</v>
      </c>
      <c r="M183" s="6" t="str" cm="1">
        <f t="array" aca="1" ref="M183" ca="1">INDEX($A$2:$A$40,I183,1)</f>
        <v>Feminino</v>
      </c>
      <c r="N183" s="6" t="str" cm="1">
        <f t="array" aca="1" ref="N183" ca="1">INDEX($B$2:$B$40,I183,1)</f>
        <v>Diana</v>
      </c>
      <c r="O183" s="6" t="str" cm="1">
        <f t="array" aca="1" ref="O183" ca="1">INDEX($B$2:$B$40,J183,1)</f>
        <v>Gabriel</v>
      </c>
      <c r="P183" s="6" t="str" cm="1">
        <f t="array" aca="1" ref="P183" ca="1">INDEX($E$2:$E$98,K183)</f>
        <v>Pires</v>
      </c>
      <c r="Q183" s="6" t="str" cm="1">
        <f t="array" aca="1" ref="Q183" ca="1">INDEX($E$2:$E$98,L183)</f>
        <v>Assunção</v>
      </c>
      <c r="S183" t="str">
        <f t="shared" ca="1" si="13"/>
        <v>Feminino</v>
      </c>
      <c r="T183" t="str">
        <f t="shared" ca="1" si="14"/>
        <v>Diana Gabriel Pires Assunção</v>
      </c>
    </row>
    <row r="184" spans="9:20" x14ac:dyDescent="0.25">
      <c r="I184">
        <f t="shared" ca="1" si="11"/>
        <v>8</v>
      </c>
      <c r="J184">
        <f t="shared" ca="1" si="11"/>
        <v>30</v>
      </c>
      <c r="K184">
        <f t="shared" ca="1" si="12"/>
        <v>73</v>
      </c>
      <c r="L184">
        <f t="shared" ca="1" si="12"/>
        <v>7</v>
      </c>
      <c r="M184" s="6" t="str" cm="1">
        <f t="array" aca="1" ref="M184" ca="1">INDEX($A$2:$A$40,I184,1)</f>
        <v>Feminino</v>
      </c>
      <c r="N184" s="6" t="str" cm="1">
        <f t="array" aca="1" ref="N184" ca="1">INDEX($B$2:$B$40,I184,1)</f>
        <v>Daniela</v>
      </c>
      <c r="O184" s="6" t="str" cm="1">
        <f t="array" aca="1" ref="O184" ca="1">INDEX($B$2:$B$40,J184,1)</f>
        <v>Ricardo</v>
      </c>
      <c r="P184" s="6" t="str" cm="1">
        <f t="array" aca="1" ref="P184" ca="1">INDEX($E$2:$E$98,K184)</f>
        <v>Abreu</v>
      </c>
      <c r="Q184" s="6" t="str" cm="1">
        <f t="array" aca="1" ref="Q184" ca="1">INDEX($E$2:$E$98,L184)</f>
        <v>Coelho</v>
      </c>
      <c r="S184" t="str">
        <f t="shared" ca="1" si="13"/>
        <v>Feminino</v>
      </c>
      <c r="T184" t="str">
        <f t="shared" ca="1" si="14"/>
        <v>Daniela Ricardo Abreu Coelho</v>
      </c>
    </row>
    <row r="185" spans="9:20" x14ac:dyDescent="0.25">
      <c r="I185">
        <f t="shared" ca="1" si="11"/>
        <v>38</v>
      </c>
      <c r="J185">
        <f t="shared" ca="1" si="11"/>
        <v>23</v>
      </c>
      <c r="K185">
        <f t="shared" ca="1" si="12"/>
        <v>39</v>
      </c>
      <c r="L185">
        <f t="shared" ca="1" si="12"/>
        <v>38</v>
      </c>
      <c r="M185" s="6" t="str" cm="1">
        <f t="array" aca="1" ref="M185" ca="1">INDEX($A$2:$A$40,I185,1)</f>
        <v>Masculino</v>
      </c>
      <c r="N185" s="6" t="str" cm="1">
        <f t="array" aca="1" ref="N185" ca="1">INDEX($B$2:$B$40,I185,1)</f>
        <v>Joaquim</v>
      </c>
      <c r="O185" s="6" t="str" cm="1">
        <f t="array" aca="1" ref="O185" ca="1">INDEX($B$2:$B$40,J185,1)</f>
        <v>Maria</v>
      </c>
      <c r="P185" s="6" t="str" cm="1">
        <f t="array" aca="1" ref="P185" ca="1">INDEX($E$2:$E$98,K185)</f>
        <v>Simões</v>
      </c>
      <c r="Q185" s="6" t="str" cm="1">
        <f t="array" aca="1" ref="Q185" ca="1">INDEX($E$2:$E$98,L185)</f>
        <v>Reis</v>
      </c>
      <c r="S185" t="str">
        <f t="shared" ca="1" si="13"/>
        <v>Masculino</v>
      </c>
      <c r="T185" t="str">
        <f t="shared" ca="1" si="14"/>
        <v>Joaquim Maria Simões Reis</v>
      </c>
    </row>
    <row r="186" spans="9:20" x14ac:dyDescent="0.25">
      <c r="I186">
        <f t="shared" ca="1" si="11"/>
        <v>10</v>
      </c>
      <c r="J186">
        <f t="shared" ca="1" si="11"/>
        <v>33</v>
      </c>
      <c r="K186">
        <f t="shared" ca="1" si="12"/>
        <v>22</v>
      </c>
      <c r="L186">
        <f t="shared" ca="1" si="12"/>
        <v>32</v>
      </c>
      <c r="M186" s="6" t="str" cm="1">
        <f t="array" aca="1" ref="M186" ca="1">INDEX($A$2:$A$40,I186,1)</f>
        <v>Masculino</v>
      </c>
      <c r="N186" s="6" t="str" cm="1">
        <f t="array" aca="1" ref="N186" ca="1">INDEX($B$2:$B$40,I186,1)</f>
        <v>Diogo</v>
      </c>
      <c r="O186" s="6" t="str" cm="1">
        <f t="array" aca="1" ref="O186" ca="1">INDEX($B$2:$B$40,J186,1)</f>
        <v>Sara</v>
      </c>
      <c r="P186" s="6" t="str" cm="1">
        <f t="array" aca="1" ref="P186" ca="1">INDEX($E$2:$E$98,K186)</f>
        <v>Gonçalves</v>
      </c>
      <c r="Q186" s="6" t="str" cm="1">
        <f t="array" aca="1" ref="Q186" ca="1">INDEX($E$2:$E$98,L186)</f>
        <v>Silva</v>
      </c>
      <c r="S186" t="str">
        <f t="shared" ca="1" si="13"/>
        <v>Masculino</v>
      </c>
      <c r="T186" t="str">
        <f t="shared" ca="1" si="14"/>
        <v>Diogo Sara Gonçalves Silva</v>
      </c>
    </row>
    <row r="187" spans="9:20" x14ac:dyDescent="0.25">
      <c r="I187">
        <f t="shared" ca="1" si="11"/>
        <v>12</v>
      </c>
      <c r="J187">
        <f t="shared" ca="1" si="11"/>
        <v>4</v>
      </c>
      <c r="K187">
        <f t="shared" ca="1" si="12"/>
        <v>84</v>
      </c>
      <c r="L187">
        <f t="shared" ca="1" si="12"/>
        <v>95</v>
      </c>
      <c r="M187" s="6" t="str" cm="1">
        <f t="array" aca="1" ref="M187" ca="1">INDEX($A$2:$A$40,I187,1)</f>
        <v>Feminino</v>
      </c>
      <c r="N187" s="6" t="str" cm="1">
        <f t="array" aca="1" ref="N187" ca="1">INDEX($B$2:$B$40,I187,1)</f>
        <v>Francisca</v>
      </c>
      <c r="O187" s="6" t="str" cm="1">
        <f t="array" aca="1" ref="O187" ca="1">INDEX($B$2:$B$40,J187,1)</f>
        <v>Beatriz</v>
      </c>
      <c r="P187" s="6" t="str" cm="1">
        <f t="array" aca="1" ref="P187" ca="1">INDEX($E$2:$E$98,K187)</f>
        <v>Domingues</v>
      </c>
      <c r="Q187" s="6" t="str" cm="1">
        <f t="array" aca="1" ref="Q187" ca="1">INDEX($E$2:$E$98,L187)</f>
        <v>Matias</v>
      </c>
      <c r="S187" t="str">
        <f t="shared" ca="1" si="13"/>
        <v>Feminino</v>
      </c>
      <c r="T187" t="str">
        <f t="shared" ca="1" si="14"/>
        <v>Francisca Beatriz Domingues Matias</v>
      </c>
    </row>
    <row r="188" spans="9:20" x14ac:dyDescent="0.25">
      <c r="I188">
        <f t="shared" ca="1" si="11"/>
        <v>18</v>
      </c>
      <c r="J188">
        <f t="shared" ca="1" si="11"/>
        <v>14</v>
      </c>
      <c r="K188">
        <f t="shared" ca="1" si="12"/>
        <v>57</v>
      </c>
      <c r="L188">
        <f t="shared" ca="1" si="12"/>
        <v>35</v>
      </c>
      <c r="M188" s="6" t="str" cm="1">
        <f t="array" aca="1" ref="M188" ca="1">INDEX($A$2:$A$40,I188,1)</f>
        <v>Masculino</v>
      </c>
      <c r="N188" s="6" t="str" cm="1">
        <f t="array" aca="1" ref="N188" ca="1">INDEX($B$2:$B$40,I188,1)</f>
        <v>José</v>
      </c>
      <c r="O188" s="6" t="str" cm="1">
        <f t="array" aca="1" ref="O188" ca="1">INDEX($B$2:$B$40,J188,1)</f>
        <v>Gabriel</v>
      </c>
      <c r="P188" s="6" t="str" cm="1">
        <f t="array" aca="1" ref="P188" ca="1">INDEX($E$2:$E$98,K188)</f>
        <v>Pinheiro</v>
      </c>
      <c r="Q188" s="6" t="str" cm="1">
        <f t="array" aca="1" ref="Q188" ca="1">INDEX($E$2:$E$98,L188)</f>
        <v>Mendes</v>
      </c>
      <c r="S188" t="str">
        <f t="shared" ca="1" si="13"/>
        <v>Masculino</v>
      </c>
      <c r="T188" t="str">
        <f t="shared" ca="1" si="14"/>
        <v>José Gabriel Pinheiro Mendes</v>
      </c>
    </row>
    <row r="189" spans="9:20" x14ac:dyDescent="0.25">
      <c r="I189">
        <f t="shared" ca="1" si="11"/>
        <v>9</v>
      </c>
      <c r="J189">
        <f t="shared" ca="1" si="11"/>
        <v>2</v>
      </c>
      <c r="K189">
        <f t="shared" ca="1" si="12"/>
        <v>97</v>
      </c>
      <c r="L189">
        <f t="shared" ca="1" si="12"/>
        <v>77</v>
      </c>
      <c r="M189" s="6" t="str" cm="1">
        <f t="array" aca="1" ref="M189" ca="1">INDEX($A$2:$A$40,I189,1)</f>
        <v>Feminino</v>
      </c>
      <c r="N189" s="6" t="str" cm="1">
        <f t="array" aca="1" ref="N189" ca="1">INDEX($B$2:$B$40,I189,1)</f>
        <v>Diana</v>
      </c>
      <c r="O189" s="6" t="str" cm="1">
        <f t="array" aca="1" ref="O189" ca="1">INDEX($B$2:$B$40,J189,1)</f>
        <v>Ana</v>
      </c>
      <c r="P189" s="6" t="str" cm="1">
        <f t="array" aca="1" ref="P189" ca="1">INDEX($E$2:$E$98,K189)</f>
        <v>Torres</v>
      </c>
      <c r="Q189" s="6" t="str" cm="1">
        <f t="array" aca="1" ref="Q189" ca="1">INDEX($E$2:$E$98,L189)</f>
        <v>Pinho</v>
      </c>
      <c r="S189" t="str">
        <f t="shared" ca="1" si="13"/>
        <v>Feminino</v>
      </c>
      <c r="T189" t="str">
        <f t="shared" ca="1" si="14"/>
        <v>Diana Ana Torres Pinho</v>
      </c>
    </row>
    <row r="190" spans="9:20" x14ac:dyDescent="0.25">
      <c r="I190">
        <f t="shared" ca="1" si="11"/>
        <v>9</v>
      </c>
      <c r="J190">
        <f t="shared" ca="1" si="11"/>
        <v>28</v>
      </c>
      <c r="K190">
        <f t="shared" ca="1" si="12"/>
        <v>43</v>
      </c>
      <c r="L190">
        <f t="shared" ca="1" si="12"/>
        <v>82</v>
      </c>
      <c r="M190" s="6" t="str" cm="1">
        <f t="array" aca="1" ref="M190" ca="1">INDEX($A$2:$A$40,I190,1)</f>
        <v>Feminino</v>
      </c>
      <c r="N190" s="6" t="str" cm="1">
        <f t="array" aca="1" ref="N190" ca="1">INDEX($B$2:$B$40,I190,1)</f>
        <v>Diana</v>
      </c>
      <c r="O190" s="6" t="str" cm="1">
        <f t="array" aca="1" ref="O190" ca="1">INDEX($B$2:$B$40,J190,1)</f>
        <v>Miguel</v>
      </c>
      <c r="P190" s="6" t="str" cm="1">
        <f t="array" aca="1" ref="P190" ca="1">INDEX($E$2:$E$98,K190)</f>
        <v>Machado</v>
      </c>
      <c r="Q190" s="6" t="str" cm="1">
        <f t="array" aca="1" ref="Q190" ca="1">INDEX($E$2:$E$98,L190)</f>
        <v>Moura</v>
      </c>
      <c r="S190" t="str">
        <f t="shared" ca="1" si="13"/>
        <v>Feminino</v>
      </c>
      <c r="T190" t="str">
        <f t="shared" ca="1" si="14"/>
        <v>Diana Miguel Machado Moura</v>
      </c>
    </row>
    <row r="191" spans="9:20" x14ac:dyDescent="0.25">
      <c r="I191">
        <f t="shared" ca="1" si="11"/>
        <v>20</v>
      </c>
      <c r="J191">
        <f t="shared" ca="1" si="11"/>
        <v>34</v>
      </c>
      <c r="K191">
        <f t="shared" ca="1" si="12"/>
        <v>78</v>
      </c>
      <c r="L191">
        <f t="shared" ca="1" si="12"/>
        <v>37</v>
      </c>
      <c r="M191" s="6" t="str" cm="1">
        <f t="array" aca="1" ref="M191" ca="1">INDEX($A$2:$A$40,I191,1)</f>
        <v>Masculino</v>
      </c>
      <c r="N191" s="6" t="str" cm="1">
        <f t="array" aca="1" ref="N191" ca="1">INDEX($B$2:$B$40,I191,1)</f>
        <v>Luís</v>
      </c>
      <c r="O191" s="6" t="str" cm="1">
        <f t="array" aca="1" ref="O191" ca="1">INDEX($B$2:$B$40,J191,1)</f>
        <v>Sofia</v>
      </c>
      <c r="P191" s="6" t="str" cm="1">
        <f t="array" aca="1" ref="P191" ca="1">INDEX($E$2:$E$98,K191)</f>
        <v>Vicente</v>
      </c>
      <c r="Q191" s="6" t="str" cm="1">
        <f t="array" aca="1" ref="Q191" ca="1">INDEX($E$2:$E$98,L191)</f>
        <v>Rocha</v>
      </c>
      <c r="S191" t="str">
        <f t="shared" ca="1" si="13"/>
        <v>Masculino</v>
      </c>
      <c r="T191" t="str">
        <f t="shared" ca="1" si="14"/>
        <v>Luís Sofia Vicente Rocha</v>
      </c>
    </row>
    <row r="192" spans="9:20" x14ac:dyDescent="0.25">
      <c r="I192">
        <f t="shared" ca="1" si="11"/>
        <v>21</v>
      </c>
      <c r="J192">
        <f t="shared" ca="1" si="11"/>
        <v>34</v>
      </c>
      <c r="K192">
        <f t="shared" ca="1" si="12"/>
        <v>81</v>
      </c>
      <c r="L192">
        <f t="shared" ca="1" si="12"/>
        <v>76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Lurdes</v>
      </c>
      <c r="O192" s="6" t="str" cm="1">
        <f t="array" aca="1" ref="O192" ca="1">INDEX($B$2:$B$40,J192,1)</f>
        <v>Sofia</v>
      </c>
      <c r="P192" s="6" t="str" cm="1">
        <f t="array" aca="1" ref="P192" ca="1">INDEX($E$2:$E$98,K192)</f>
        <v>Maia</v>
      </c>
      <c r="Q192" s="6" t="str" cm="1">
        <f t="array" aca="1" ref="Q192" ca="1">INDEX($E$2:$E$98,L192)</f>
        <v>Vaz</v>
      </c>
      <c r="S192" t="str">
        <f t="shared" ca="1" si="13"/>
        <v>Feminino</v>
      </c>
      <c r="T192" t="str">
        <f t="shared" ca="1" si="14"/>
        <v>Lurdes Sofia Maia Vaz</v>
      </c>
    </row>
    <row r="193" spans="9:20" x14ac:dyDescent="0.25">
      <c r="I193">
        <f t="shared" ca="1" si="11"/>
        <v>8</v>
      </c>
      <c r="J193">
        <f t="shared" ca="1" si="11"/>
        <v>18</v>
      </c>
      <c r="K193">
        <f t="shared" ca="1" si="12"/>
        <v>24</v>
      </c>
      <c r="L193">
        <f t="shared" ca="1" si="12"/>
        <v>3</v>
      </c>
      <c r="M193" s="6" t="str" cm="1">
        <f t="array" aca="1" ref="M193" ca="1">INDEX($A$2:$A$40,I193,1)</f>
        <v>Feminino</v>
      </c>
      <c r="N193" s="6" t="str" cm="1">
        <f t="array" aca="1" ref="N193" ca="1">INDEX($B$2:$B$40,I193,1)</f>
        <v>Daniela</v>
      </c>
      <c r="O193" s="6" t="str" cm="1">
        <f t="array" aca="1" ref="O193" ca="1">INDEX($B$2:$B$40,J193,1)</f>
        <v>José</v>
      </c>
      <c r="P193" s="6" t="str" cm="1">
        <f t="array" aca="1" ref="P193" ca="1">INDEX($E$2:$E$98,K193)</f>
        <v>Ribeiro</v>
      </c>
      <c r="Q193" s="6" t="str" cm="1">
        <f t="array" aca="1" ref="Q193" ca="1">INDEX($E$2:$E$98,L193)</f>
        <v>Vieira</v>
      </c>
      <c r="S193" t="str">
        <f t="shared" ca="1" si="13"/>
        <v>Feminino</v>
      </c>
      <c r="T193" t="str">
        <f t="shared" ca="1" si="14"/>
        <v>Daniela José Ribeiro Vieira</v>
      </c>
    </row>
    <row r="194" spans="9:20" x14ac:dyDescent="0.25">
      <c r="I194">
        <f t="shared" ca="1" si="11"/>
        <v>26</v>
      </c>
      <c r="J194">
        <f t="shared" ca="1" si="11"/>
        <v>34</v>
      </c>
      <c r="K194">
        <f t="shared" ca="1" si="12"/>
        <v>5</v>
      </c>
      <c r="L194">
        <f t="shared" ca="1" si="12"/>
        <v>81</v>
      </c>
      <c r="M194" s="6" t="str" cm="1">
        <f t="array" aca="1" ref="M194" ca="1">INDEX($A$2:$A$40,I194,1)</f>
        <v>Masculino</v>
      </c>
      <c r="N194" s="6" t="str" cm="1">
        <f t="array" aca="1" ref="N194" ca="1">INDEX($B$2:$B$40,I194,1)</f>
        <v>Martim</v>
      </c>
      <c r="O194" s="6" t="str" cm="1">
        <f t="array" aca="1" ref="O194" ca="1">INDEX($B$2:$B$40,J194,1)</f>
        <v>Sofia</v>
      </c>
      <c r="P194" s="6" t="str" cm="1">
        <f t="array" aca="1" ref="P194" ca="1">INDEX($E$2:$E$98,K194)</f>
        <v>Nunes</v>
      </c>
      <c r="Q194" s="6" t="str" cm="1">
        <f t="array" aca="1" ref="Q194" ca="1">INDEX($E$2:$E$98,L194)</f>
        <v>Maia</v>
      </c>
      <c r="S194" t="str">
        <f t="shared" ca="1" si="13"/>
        <v>Masculino</v>
      </c>
      <c r="T194" t="str">
        <f t="shared" ca="1" si="14"/>
        <v>Martim Sofia Nunes Maia</v>
      </c>
    </row>
    <row r="195" spans="9:20" x14ac:dyDescent="0.25">
      <c r="I195">
        <f t="shared" ref="I195:J200" ca="1" si="15">RANDBETWEEN(1,39)</f>
        <v>18</v>
      </c>
      <c r="J195">
        <f t="shared" ca="1" si="15"/>
        <v>12</v>
      </c>
      <c r="K195">
        <f t="shared" ref="K195:L200" ca="1" si="16">RANDBETWEEN(1,97)</f>
        <v>56</v>
      </c>
      <c r="L195">
        <f t="shared" ca="1" si="16"/>
        <v>66</v>
      </c>
      <c r="M195" s="6" t="str" cm="1">
        <f t="array" aca="1" ref="M195" ca="1">INDEX($A$2:$A$40,I195,1)</f>
        <v>Masculino</v>
      </c>
      <c r="N195" s="6" t="str" cm="1">
        <f t="array" aca="1" ref="N195" ca="1">INDEX($B$2:$B$40,I195,1)</f>
        <v>José</v>
      </c>
      <c r="O195" s="6" t="str" cm="1">
        <f t="array" aca="1" ref="O195" ca="1">INDEX($B$2:$B$40,J195,1)</f>
        <v>Francisca</v>
      </c>
      <c r="P195" s="6" t="str" cm="1">
        <f t="array" aca="1" ref="P195" ca="1">INDEX($E$2:$E$98,K195)</f>
        <v>Batista</v>
      </c>
      <c r="Q195" s="6" t="str" cm="1">
        <f t="array" aca="1" ref="Q195" ca="1">INDEX($E$2:$E$98,L195)</f>
        <v>Campos</v>
      </c>
      <c r="S195" t="str">
        <f t="shared" ca="1" si="13"/>
        <v>Masculino</v>
      </c>
      <c r="T195" t="str">
        <f t="shared" ca="1" si="14"/>
        <v>José Francisca Batista Campos</v>
      </c>
    </row>
    <row r="196" spans="9:20" x14ac:dyDescent="0.25">
      <c r="I196">
        <f t="shared" ca="1" si="15"/>
        <v>12</v>
      </c>
      <c r="J196">
        <f t="shared" ca="1" si="15"/>
        <v>14</v>
      </c>
      <c r="K196">
        <f t="shared" ca="1" si="16"/>
        <v>13</v>
      </c>
      <c r="L196">
        <f t="shared" ca="1" si="16"/>
        <v>17</v>
      </c>
      <c r="M196" s="6" t="str" cm="1">
        <f t="array" aca="1" ref="M196" ca="1">INDEX($A$2:$A$40,I196,1)</f>
        <v>Feminino</v>
      </c>
      <c r="N196" s="6" t="str" cm="1">
        <f t="array" aca="1" ref="N196" ca="1">INDEX($B$2:$B$40,I196,1)</f>
        <v>Francisca</v>
      </c>
      <c r="O196" s="6" t="str" cm="1">
        <f t="array" aca="1" ref="O196" ca="1">INDEX($B$2:$B$40,J196,1)</f>
        <v>Gabriel</v>
      </c>
      <c r="P196" s="6" t="str" cm="1">
        <f t="array" aca="1" ref="P196" ca="1">INDEX($E$2:$E$98,K196)</f>
        <v>Santos</v>
      </c>
      <c r="Q196" s="6" t="str" cm="1">
        <f t="array" aca="1" ref="Q196" ca="1">INDEX($E$2:$E$98,L196)</f>
        <v>Ferreira</v>
      </c>
      <c r="S196" t="str">
        <f t="shared" ref="S196:S200" ca="1" si="17">M196</f>
        <v>Feminino</v>
      </c>
      <c r="T196" t="str">
        <f t="shared" ca="1" si="14"/>
        <v>Francisca Gabriel Santos Ferreira</v>
      </c>
    </row>
    <row r="197" spans="9:20" x14ac:dyDescent="0.25">
      <c r="I197">
        <f t="shared" ca="1" si="15"/>
        <v>28</v>
      </c>
      <c r="J197">
        <f t="shared" ca="1" si="15"/>
        <v>37</v>
      </c>
      <c r="K197">
        <f t="shared" ca="1" si="16"/>
        <v>23</v>
      </c>
      <c r="L197">
        <f t="shared" ca="1" si="16"/>
        <v>41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Miguel</v>
      </c>
      <c r="O197" s="6" t="str" cm="1">
        <f t="array" aca="1" ref="O197" ca="1">INDEX($B$2:$B$40,J197,1)</f>
        <v>Vera</v>
      </c>
      <c r="P197" s="6" t="str" cm="1">
        <f t="array" aca="1" ref="P197" ca="1">INDEX($E$2:$E$98,K197)</f>
        <v>Gomes</v>
      </c>
      <c r="Q197" s="6" t="str" cm="1">
        <f t="array" aca="1" ref="Q197" ca="1">INDEX($E$2:$E$98,L197)</f>
        <v>Matos</v>
      </c>
      <c r="S197" t="str">
        <f t="shared" ca="1" si="17"/>
        <v>Masculino</v>
      </c>
      <c r="T197" t="str">
        <f t="shared" ca="1" si="14"/>
        <v>Miguel Vera Gomes Matos</v>
      </c>
    </row>
    <row r="198" spans="9:20" x14ac:dyDescent="0.25">
      <c r="I198">
        <f t="shared" ca="1" si="15"/>
        <v>22</v>
      </c>
      <c r="J198">
        <f t="shared" ca="1" si="15"/>
        <v>20</v>
      </c>
      <c r="K198">
        <f t="shared" ca="1" si="16"/>
        <v>11</v>
      </c>
      <c r="L198">
        <f t="shared" ca="1" si="16"/>
        <v>70</v>
      </c>
      <c r="M198" s="6" t="str" cm="1">
        <f t="array" aca="1" ref="M198" ca="1">INDEX($A$2:$A$40,I198,1)</f>
        <v>Masculino</v>
      </c>
      <c r="N198" s="6" t="str" cm="1">
        <f t="array" aca="1" ref="N198" ca="1">INDEX($B$2:$B$40,I198,1)</f>
        <v>Marco</v>
      </c>
      <c r="O198" s="6" t="str" cm="1">
        <f t="array" aca="1" ref="O198" ca="1">INDEX($B$2:$B$40,J198,1)</f>
        <v>Luís</v>
      </c>
      <c r="P198" s="6" t="str" cm="1">
        <f t="array" aca="1" ref="P198" ca="1">INDEX($E$2:$E$98,K198)</f>
        <v>Martins</v>
      </c>
      <c r="Q198" s="6" t="str" cm="1">
        <f t="array" aca="1" ref="Q198" ca="1">INDEX($E$2:$E$98,L198)</f>
        <v>Sá</v>
      </c>
      <c r="S198" t="str">
        <f t="shared" ca="1" si="17"/>
        <v>Masculino</v>
      </c>
      <c r="T198" t="str">
        <f t="shared" ca="1" si="14"/>
        <v>Marco Luís Martins Sá</v>
      </c>
    </row>
    <row r="199" spans="9:20" x14ac:dyDescent="0.25">
      <c r="I199">
        <f t="shared" ca="1" si="15"/>
        <v>18</v>
      </c>
      <c r="J199">
        <f t="shared" ca="1" si="15"/>
        <v>33</v>
      </c>
      <c r="K199">
        <f t="shared" ca="1" si="16"/>
        <v>2</v>
      </c>
      <c r="L199">
        <f t="shared" ca="1" si="16"/>
        <v>18</v>
      </c>
      <c r="M199" s="6" t="str" cm="1">
        <f t="array" aca="1" ref="M199" ca="1">INDEX($A$2:$A$40,I199,1)</f>
        <v>Masculino</v>
      </c>
      <c r="N199" s="6" t="str" cm="1">
        <f t="array" aca="1" ref="N199" ca="1">INDEX($B$2:$B$40,I199,1)</f>
        <v>José</v>
      </c>
      <c r="O199" s="6" t="str" cm="1">
        <f t="array" aca="1" ref="O199" ca="1">INDEX($B$2:$B$40,J199,1)</f>
        <v>Sara</v>
      </c>
      <c r="P199" s="6" t="str" cm="1">
        <f t="array" aca="1" ref="P199" ca="1">INDEX($E$2:$E$98,K199)</f>
        <v>Pinto</v>
      </c>
      <c r="Q199" s="6" t="str" cm="1">
        <f t="array" aca="1" ref="Q199" ca="1">INDEX($E$2:$E$98,L199)</f>
        <v>Soares</v>
      </c>
      <c r="S199" t="str">
        <f t="shared" ca="1" si="17"/>
        <v>Masculino</v>
      </c>
      <c r="T199" t="str">
        <f t="shared" ca="1" si="14"/>
        <v>José Sara Pinto Soares</v>
      </c>
    </row>
    <row r="200" spans="9:20" x14ac:dyDescent="0.25">
      <c r="I200">
        <f t="shared" ca="1" si="15"/>
        <v>24</v>
      </c>
      <c r="J200">
        <f t="shared" ca="1" si="15"/>
        <v>31</v>
      </c>
      <c r="K200">
        <f t="shared" ca="1" si="16"/>
        <v>61</v>
      </c>
      <c r="L200">
        <f t="shared" ca="1" si="16"/>
        <v>84</v>
      </c>
      <c r="M200" s="6" t="str" cm="1">
        <f t="array" aca="1" ref="M200" ca="1">INDEX($A$2:$A$40,I200,1)</f>
        <v>Feminino</v>
      </c>
      <c r="N200" s="6" t="str" cm="1">
        <f t="array" aca="1" ref="N200" ca="1">INDEX($B$2:$B$40,I200,1)</f>
        <v>Laura</v>
      </c>
      <c r="O200" s="6" t="str" cm="1">
        <f t="array" aca="1" ref="O200" ca="1">INDEX($B$2:$B$40,J200,1)</f>
        <v>Rodrigo</v>
      </c>
      <c r="P200" s="6" t="str" cm="1">
        <f t="array" aca="1" ref="P200" ca="1">INDEX($E$2:$E$98,K200)</f>
        <v>Morais</v>
      </c>
      <c r="Q200" s="6" t="str" cm="1">
        <f t="array" aca="1" ref="Q200" ca="1">INDEX($E$2:$E$98,L200)</f>
        <v>Domingues</v>
      </c>
      <c r="S200" t="str">
        <f t="shared" ca="1" si="17"/>
        <v>Feminino</v>
      </c>
      <c r="T200" t="str">
        <f t="shared" ca="1" si="14"/>
        <v>Laura Rodrigo Morais Domingues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bruboa1998</v>
      </c>
      <c r="C2" t="str">
        <f ca="1">"psw" &amp; B2</f>
        <v>pswbruboa1998</v>
      </c>
      <c r="D2" t="str">
        <f ca="1">Nomes!T3</f>
        <v>Bruno</v>
      </c>
      <c r="E2" t="str">
        <f ca="1">Nomes!S3</f>
        <v>Masculino</v>
      </c>
      <c r="F2" s="2">
        <f ca="1">DATE(Y2,Z2,AA2)</f>
        <v>30504</v>
      </c>
      <c r="G2" t="str" cm="1">
        <f t="array" aca="1" ref="G2" ca="1">INDEX(rua_cod!$F:$F,RANDBETWEEN(2,COUNTA(rua_cod!F:F)))</f>
        <v>Rua dos Bacalhoeiros</v>
      </c>
      <c r="H2" t="str" cm="1">
        <f t="array" aca="1" ref="H2" ca="1">INDEX(rua_cod!$A:$A,Users!V2) &amp; "-" &amp; TEXT(RANDBETWEEN(0,999),"000")</f>
        <v>1998-117</v>
      </c>
      <c r="I2" t="str" cm="1">
        <f t="array" aca="1" ref="I2" ca="1">INDEX(rua_cod!$B:$B,Users!V2)</f>
        <v>Lisboa</v>
      </c>
      <c r="J2" t="s">
        <v>3727</v>
      </c>
      <c r="K2" t="s">
        <v>225</v>
      </c>
      <c r="L2" t="s">
        <v>265</v>
      </c>
      <c r="M2" t="str">
        <f ca="1">TEXT(RANDBETWEEN(10000000,99999999),"00000000")</f>
        <v>25923105</v>
      </c>
      <c r="N2" t="str">
        <f ca="1">TEXT(RANDBETWEEN(100000000,999999999),"000000000")</f>
        <v>241303323</v>
      </c>
      <c r="O2" t="str">
        <f ca="1">TEXT(RANDBETWEEN(100000000,999999999),"000000000")</f>
        <v>238975273</v>
      </c>
      <c r="P2" t="str" cm="1">
        <f t="array" aca="1" ref="P2" ca="1">9 &amp; INDEX($AF$3:$AF$6,W2)&amp; TEXT(RANDBETWEEN(0,9999999),"0000000")</f>
        <v>919488896</v>
      </c>
      <c r="Q2" t="str" cm="1">
        <f t="array" aca="1" ref="Q2" ca="1">LOWER(B2) &amp; INDEX($AF$9:$AF$11,X2)</f>
        <v>bruboa1998@sapo.pt</v>
      </c>
      <c r="R2" t="str">
        <f ca="1">B2 &amp; ".jpg"</f>
        <v>bruboa1998.jpg</v>
      </c>
      <c r="T2" s="4"/>
      <c r="V2">
        <f ca="1">RANDBETWEEN(2,COUNTA(rua_cod!A:A))</f>
        <v>78</v>
      </c>
      <c r="W2">
        <f ca="1">RANDBETWEEN(1,4)</f>
        <v>1</v>
      </c>
      <c r="X2">
        <f ca="1">RANDBETWEEN(1,3)</f>
        <v>3</v>
      </c>
      <c r="Y2">
        <f ca="1">INT(NORMINV(RAND(),1976,22))</f>
        <v>1983</v>
      </c>
      <c r="Z2">
        <f ca="1">RANDBETWEEN(1,12)</f>
        <v>7</v>
      </c>
      <c r="AA2">
        <f ca="1">RANDBETWEEN(1,31)</f>
        <v>7</v>
      </c>
      <c r="AB2">
        <f ca="1">2020-Y2</f>
        <v>37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sarluz2749</v>
      </c>
      <c r="C3" t="str">
        <f t="shared" ref="C3:C66" ca="1" si="0">"psw" &amp; B3</f>
        <v>pswsarluz2749</v>
      </c>
      <c r="D3" t="str">
        <f ca="1">Nomes!T4</f>
        <v>Sara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do Arsenal</v>
      </c>
      <c r="H3" t="str" cm="1">
        <f t="array" aca="1" ref="H3" ca="1">INDEX(rua_cod!$A:$A,Users!V3) &amp; "-" &amp; TEXT(RANDBETWEEN(0,999),"000")</f>
        <v>2749-702</v>
      </c>
      <c r="I3" t="str" cm="1">
        <f t="array" aca="1" ref="I3" ca="1">INDEX(rua_cod!$B:$B,Users!V3)</f>
        <v>Queluz</v>
      </c>
      <c r="J3" t="s">
        <v>3727</v>
      </c>
      <c r="K3" t="s">
        <v>225</v>
      </c>
      <c r="L3" t="s">
        <v>265</v>
      </c>
      <c r="M3" t="str">
        <f t="shared" ref="M3:M66" ca="1" si="1">TEXT(RANDBETWEEN(10000000,99999999),"00000000")</f>
        <v>51266709</v>
      </c>
      <c r="N3" t="str">
        <f t="shared" ref="N3:O66" ca="1" si="2">TEXT(RANDBETWEEN(100000000,999999999),"000000000")</f>
        <v>929397790</v>
      </c>
      <c r="O3" t="str">
        <f t="shared" ca="1" si="2"/>
        <v>425686523</v>
      </c>
      <c r="P3" t="str" cm="1">
        <f t="array" aca="1" ref="P3" ca="1">9 &amp; INDEX($AF$3:$AF$6,W3)&amp; TEXT(RANDBETWEEN(0,9999999),"0000000")</f>
        <v>918445844</v>
      </c>
      <c r="Q3" t="str" cm="1">
        <f t="array" aca="1" ref="Q3" ca="1">LOWER(B3) &amp; INDEX($AF$9:$AF$11,X3)</f>
        <v>sarluz2749@gmail.com</v>
      </c>
      <c r="R3" t="str">
        <f t="shared" ref="R3:R66" ca="1" si="3">B3 &amp; ".jpg"</f>
        <v>sarluz2749.jpg</v>
      </c>
      <c r="T3" s="4"/>
      <c r="V3">
        <f ca="1">RANDBETWEEN(2,COUNTA(rua_cod!A:A))</f>
        <v>91</v>
      </c>
      <c r="W3">
        <f t="shared" ref="W3:W66" ca="1" si="4">RANDBETWEEN(1,4)</f>
        <v>1</v>
      </c>
      <c r="X3">
        <f t="shared" ref="X3:X66" ca="1" si="5">RANDBETWEEN(1,3)</f>
        <v>2</v>
      </c>
      <c r="Y3">
        <f t="shared" ref="Y3:Y66" ca="1" si="6">INT(NORMINV(RAND(),1976,22))</f>
        <v>1946</v>
      </c>
      <c r="Z3">
        <f t="shared" ref="Z3:Z66" ca="1" si="7">RANDBETWEEN(1,12)</f>
        <v>3</v>
      </c>
      <c r="AA3">
        <f t="shared" ref="AA3:AA66" ca="1" si="8">RANDBETWEEN(1,31)</f>
        <v>16</v>
      </c>
      <c r="AB3">
        <f t="shared" ref="AB3:AB66" ca="1" si="9">2020-Y3</f>
        <v>74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marboa1098</v>
      </c>
      <c r="C4" t="str">
        <f t="shared" ca="1" si="0"/>
        <v>pswmarboa1098</v>
      </c>
      <c r="D4" t="str">
        <f ca="1">Nomes!T5</f>
        <v>Maria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do Sol a Santana</v>
      </c>
      <c r="H4" t="str" cm="1">
        <f t="array" aca="1" ref="H4" ca="1">INDEX(rua_cod!$A:$A,Users!V4) &amp; "-" &amp; TEXT(RANDBETWEEN(0,999),"000")</f>
        <v>1098-750</v>
      </c>
      <c r="I4" t="str" cm="1">
        <f t="array" aca="1" ref="I4" ca="1">INDEX(rua_cod!$B:$B,Users!V4)</f>
        <v>Lisboa</v>
      </c>
      <c r="J4" t="s">
        <v>3727</v>
      </c>
      <c r="K4" t="s">
        <v>225</v>
      </c>
      <c r="L4" t="s">
        <v>265</v>
      </c>
      <c r="M4" t="str">
        <f t="shared" ca="1" si="1"/>
        <v>86951339</v>
      </c>
      <c r="N4" t="str">
        <f t="shared" ca="1" si="2"/>
        <v>417878975</v>
      </c>
      <c r="O4" t="str">
        <f t="shared" ca="1" si="2"/>
        <v>206011751</v>
      </c>
      <c r="P4" t="str" cm="1">
        <f t="array" aca="1" ref="P4" ca="1">9 &amp; INDEX($AF$3:$AF$6,W4)&amp; TEXT(RANDBETWEEN(0,9999999),"0000000")</f>
        <v>921660323</v>
      </c>
      <c r="Q4" t="str" cm="1">
        <f t="array" aca="1" ref="Q4" ca="1">LOWER(B4) &amp; INDEX($AF$9:$AF$11,X4)</f>
        <v>marboa1098@sapo.pt</v>
      </c>
      <c r="R4" t="str">
        <f t="shared" ca="1" si="3"/>
        <v>marboa1098.jpg</v>
      </c>
      <c r="T4" s="4"/>
      <c r="V4">
        <f ca="1">RANDBETWEEN(2,COUNTA(rua_cod!A:A))</f>
        <v>80</v>
      </c>
      <c r="W4">
        <f t="shared" ca="1" si="4"/>
        <v>2</v>
      </c>
      <c r="X4">
        <f t="shared" ca="1" si="5"/>
        <v>3</v>
      </c>
      <c r="Y4">
        <f t="shared" ca="1" si="6"/>
        <v>1959</v>
      </c>
      <c r="Z4">
        <f t="shared" ca="1" si="7"/>
        <v>8</v>
      </c>
      <c r="AA4">
        <f t="shared" ca="1" si="8"/>
        <v>11</v>
      </c>
      <c r="AB4">
        <f t="shared" ca="1" si="9"/>
        <v>61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tiaras2784</v>
      </c>
      <c r="C5" t="str">
        <f t="shared" ca="1" si="0"/>
        <v>pswtiaras2784</v>
      </c>
      <c r="D5" t="str">
        <f ca="1">Nomes!T6</f>
        <v>Tiago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do Comércio</v>
      </c>
      <c r="H5" t="str" cm="1">
        <f t="array" aca="1" ref="H5" ca="1">INDEX(rua_cod!$A:$A,Users!V5) &amp; "-" &amp; TEXT(RANDBETWEEN(0,999),"000")</f>
        <v>2784-076</v>
      </c>
      <c r="I5" t="str" cm="1">
        <f t="array" aca="1" ref="I5" ca="1">INDEX(rua_cod!$B:$B,Users!V5)</f>
        <v>Oeiras</v>
      </c>
      <c r="J5" t="s">
        <v>3727</v>
      </c>
      <c r="K5" t="s">
        <v>225</v>
      </c>
      <c r="L5" t="s">
        <v>265</v>
      </c>
      <c r="M5" t="str">
        <f t="shared" ca="1" si="1"/>
        <v>28162134</v>
      </c>
      <c r="N5" t="str">
        <f t="shared" ca="1" si="2"/>
        <v>542074801</v>
      </c>
      <c r="O5" t="str">
        <f t="shared" ca="1" si="2"/>
        <v>350902458</v>
      </c>
      <c r="P5" t="str" cm="1">
        <f t="array" aca="1" ref="P5" ca="1">9 &amp; INDEX($AF$3:$AF$6,W5)&amp; TEXT(RANDBETWEEN(0,9999999),"0000000")</f>
        <v>967321750</v>
      </c>
      <c r="Q5" t="str" cm="1">
        <f t="array" aca="1" ref="Q5" ca="1">LOWER(B5) &amp; INDEX($AF$9:$AF$11,X5)</f>
        <v>tiaras2784@sapo.pt</v>
      </c>
      <c r="R5" t="str">
        <f t="shared" ca="1" si="3"/>
        <v>tiaras2784.jpg</v>
      </c>
      <c r="T5" s="4"/>
      <c r="V5">
        <f ca="1">RANDBETWEEN(2,COUNTA(rua_cod!A:A))</f>
        <v>89</v>
      </c>
      <c r="W5">
        <f t="shared" ca="1" si="4"/>
        <v>4</v>
      </c>
      <c r="X5">
        <f t="shared" ca="1" si="5"/>
        <v>3</v>
      </c>
      <c r="Y5">
        <f t="shared" ca="1" si="6"/>
        <v>1964</v>
      </c>
      <c r="Z5">
        <f t="shared" ca="1" si="7"/>
        <v>10</v>
      </c>
      <c r="AA5">
        <f t="shared" ca="1" si="8"/>
        <v>22</v>
      </c>
      <c r="AB5">
        <f t="shared" ca="1" si="9"/>
        <v>56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afoboa1100</v>
      </c>
      <c r="C6" t="str">
        <f t="shared" ca="1" si="0"/>
        <v>pswafoboa1100</v>
      </c>
      <c r="D6" t="str">
        <f ca="1">Nomes!T7</f>
        <v>Afonso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Júlio César Machado</v>
      </c>
      <c r="H6" t="str" cm="1">
        <f t="array" aca="1" ref="H6" ca="1">INDEX(rua_cod!$A:$A,Users!V6) &amp; "-" &amp; TEXT(RANDBETWEEN(0,999),"000")</f>
        <v>1100-886</v>
      </c>
      <c r="I6" t="str" cm="1">
        <f t="array" aca="1" ref="I6" ca="1">INDEX(rua_cod!$B:$B,Users!V6)</f>
        <v>Lisboa</v>
      </c>
      <c r="J6" t="s">
        <v>3727</v>
      </c>
      <c r="K6" t="s">
        <v>225</v>
      </c>
      <c r="L6" t="s">
        <v>265</v>
      </c>
      <c r="M6" t="str">
        <f t="shared" ca="1" si="1"/>
        <v>67063069</v>
      </c>
      <c r="N6" t="str">
        <f t="shared" ca="1" si="2"/>
        <v>310677596</v>
      </c>
      <c r="O6" t="str">
        <f t="shared" ca="1" si="2"/>
        <v>519149780</v>
      </c>
      <c r="P6" t="str" cm="1">
        <f t="array" aca="1" ref="P6" ca="1">9 &amp; INDEX($AF$3:$AF$6,W6)&amp; TEXT(RANDBETWEEN(0,9999999),"0000000")</f>
        <v>962050115</v>
      </c>
      <c r="Q6" t="str" cm="1">
        <f t="array" aca="1" ref="Q6" ca="1">LOWER(B6) &amp; INDEX($AF$9:$AF$11,X6)</f>
        <v>afoboa1100@gmail.com</v>
      </c>
      <c r="R6" t="str">
        <f t="shared" ca="1" si="3"/>
        <v>afoboa1100.jpg</v>
      </c>
      <c r="T6" s="4"/>
      <c r="V6">
        <f ca="1">RANDBETWEEN(2,COUNTA(rua_cod!A:A))</f>
        <v>46</v>
      </c>
      <c r="W6">
        <f t="shared" ca="1" si="4"/>
        <v>4</v>
      </c>
      <c r="X6">
        <f t="shared" ca="1" si="5"/>
        <v>2</v>
      </c>
      <c r="Y6">
        <f t="shared" ca="1" si="6"/>
        <v>1952</v>
      </c>
      <c r="Z6">
        <f t="shared" ca="1" si="7"/>
        <v>12</v>
      </c>
      <c r="AA6">
        <f t="shared" ca="1" si="8"/>
        <v>17</v>
      </c>
      <c r="AB6">
        <f t="shared" ca="1" si="9"/>
        <v>68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fraboa1700</v>
      </c>
      <c r="C7" t="str">
        <f t="shared" ca="1" si="0"/>
        <v>pswfraboa1700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de São Bento</v>
      </c>
      <c r="H7" t="str" cm="1">
        <f t="array" aca="1" ref="H7" ca="1">INDEX(rua_cod!$A:$A,Users!V7) &amp; "-" &amp; TEXT(RANDBETWEEN(0,999),"000")</f>
        <v>1700-209</v>
      </c>
      <c r="I7" t="str" cm="1">
        <f t="array" aca="1" ref="I7" ca="1">INDEX(rua_cod!$B:$B,Users!V7)</f>
        <v>Lisboa</v>
      </c>
      <c r="J7" t="s">
        <v>3727</v>
      </c>
      <c r="K7" t="s">
        <v>225</v>
      </c>
      <c r="L7" t="s">
        <v>265</v>
      </c>
      <c r="M7" t="str">
        <f t="shared" ca="1" si="1"/>
        <v>65813104</v>
      </c>
      <c r="N7" t="str">
        <f t="shared" ca="1" si="2"/>
        <v>869066631</v>
      </c>
      <c r="O7" t="str">
        <f t="shared" ca="1" si="2"/>
        <v>713520842</v>
      </c>
      <c r="P7" t="str" cm="1">
        <f t="array" aca="1" ref="P7" ca="1">9 &amp; INDEX($AF$3:$AF$6,W7)&amp; TEXT(RANDBETWEEN(0,9999999),"0000000")</f>
        <v>931677366</v>
      </c>
      <c r="Q7" t="str" cm="1">
        <f t="array" aca="1" ref="Q7" ca="1">LOWER(B7) &amp; INDEX($AF$9:$AF$11,X7)</f>
        <v>fraboa1700@outlook.com</v>
      </c>
      <c r="R7" t="str">
        <f t="shared" ca="1" si="3"/>
        <v>fraboa1700.jpg</v>
      </c>
      <c r="T7" s="4"/>
      <c r="V7">
        <f ca="1">RANDBETWEEN(2,COUNTA(rua_cod!A:A))</f>
        <v>40</v>
      </c>
      <c r="W7">
        <f t="shared" ca="1" si="4"/>
        <v>3</v>
      </c>
      <c r="X7">
        <f t="shared" ca="1" si="5"/>
        <v>1</v>
      </c>
      <c r="Y7">
        <f t="shared" ca="1" si="6"/>
        <v>1968</v>
      </c>
      <c r="Z7">
        <f t="shared" ca="1" si="7"/>
        <v>5</v>
      </c>
      <c r="AA7">
        <f t="shared" ca="1" si="8"/>
        <v>21</v>
      </c>
      <c r="AB7">
        <f t="shared" ca="1" si="9"/>
        <v>52</v>
      </c>
    </row>
    <row r="8" spans="1:32" x14ac:dyDescent="0.25">
      <c r="A8">
        <v>7</v>
      </c>
      <c r="B8" t="str" cm="1">
        <f t="array" aca="1" ref="B8" ca="1">replaceChar(LOWER(LEFT(D8,3)&amp;RIGHT(I8,3))&amp;LEFT(H8,4))</f>
        <v>ineria2415</v>
      </c>
      <c r="C8" t="str">
        <f t="shared" ca="1" si="0"/>
        <v>pswineria2415</v>
      </c>
      <c r="D8" t="str">
        <f ca="1">Nomes!T9</f>
        <v>Inês</v>
      </c>
      <c r="E8" t="str">
        <f ca="1">Nomes!S9</f>
        <v>Feminino</v>
      </c>
      <c r="F8" s="2">
        <v>26214</v>
      </c>
      <c r="G8" t="str" cm="1">
        <f t="array" aca="1" ref="G8" ca="1">INDEX(rua_cod!$F:$F,RANDBETWEEN(2,COUNTA(rua_cod!F:F)))</f>
        <v>Avenida Ressano Garcia</v>
      </c>
      <c r="H8" t="str" cm="1">
        <f t="array" aca="1" ref="H8" ca="1">INDEX(rua_cod!$A:$A,Users!V8) &amp; "-" &amp; TEXT(RANDBETWEEN(0,999),"000")</f>
        <v>2415-912</v>
      </c>
      <c r="I8" t="str" cm="1">
        <f t="array" aca="1" ref="I8" ca="1">INDEX(rua_cod!$B:$B,Users!V8)</f>
        <v>Leiria</v>
      </c>
      <c r="J8" t="s">
        <v>3727</v>
      </c>
      <c r="K8" t="s">
        <v>225</v>
      </c>
      <c r="L8" t="s">
        <v>265</v>
      </c>
      <c r="M8" t="str">
        <f t="shared" ca="1" si="1"/>
        <v>14680391</v>
      </c>
      <c r="N8" t="str">
        <f t="shared" ca="1" si="2"/>
        <v>340379575</v>
      </c>
      <c r="O8" t="str">
        <f t="shared" ca="1" si="2"/>
        <v>744070364</v>
      </c>
      <c r="P8" t="str" cm="1">
        <f t="array" aca="1" ref="P8" ca="1">9 &amp; INDEX($AF$3:$AF$6,W8)&amp; TEXT(RANDBETWEEN(0,9999999),"0000000")</f>
        <v>911258010</v>
      </c>
      <c r="Q8" t="str" cm="1">
        <f t="array" aca="1" ref="Q8" ca="1">LOWER(B8) &amp; INDEX($AF$9:$AF$11,X8)</f>
        <v>ineria2415@outlook.com</v>
      </c>
      <c r="R8" t="str">
        <f t="shared" ca="1" si="3"/>
        <v>ineria2415.jpg</v>
      </c>
      <c r="T8" s="4"/>
      <c r="V8">
        <f ca="1">RANDBETWEEN(2,COUNTA(rua_cod!A:A))</f>
        <v>35</v>
      </c>
      <c r="W8">
        <f t="shared" ca="1" si="4"/>
        <v>1</v>
      </c>
      <c r="X8">
        <f t="shared" ca="1" si="5"/>
        <v>1</v>
      </c>
      <c r="Y8">
        <f t="shared" ca="1" si="6"/>
        <v>1971</v>
      </c>
      <c r="Z8">
        <f t="shared" ca="1" si="7"/>
        <v>10</v>
      </c>
      <c r="AA8">
        <f t="shared" ca="1" si="8"/>
        <v>10</v>
      </c>
      <c r="AB8">
        <f t="shared" ca="1" si="9"/>
        <v>49</v>
      </c>
    </row>
    <row r="9" spans="1:32" x14ac:dyDescent="0.25">
      <c r="A9">
        <v>8</v>
      </c>
      <c r="B9" t="str" cm="1">
        <f t="array" aca="1" ref="B9" ca="1">replaceChar(LOWER(LEFT(D9,3)&amp;RIGHT(I9,3))&amp;LEFT(H9,4))</f>
        <v>pedada2800</v>
      </c>
      <c r="C9" t="str">
        <f t="shared" ca="1" si="0"/>
        <v>pswpedada2800</v>
      </c>
      <c r="D9" t="str">
        <f ca="1">Nomes!T10</f>
        <v>Pedro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dos Bacalhoeiros</v>
      </c>
      <c r="H9" t="str" cm="1">
        <f t="array" aca="1" ref="H9" ca="1">INDEX(rua_cod!$A:$A,Users!V9) &amp; "-" &amp; TEXT(RANDBETWEEN(0,999),"000")</f>
        <v>2800-086</v>
      </c>
      <c r="I9" t="str" cm="1">
        <f t="array" aca="1" ref="I9" ca="1">INDEX(rua_cod!$B:$B,Users!V9)</f>
        <v>Almada</v>
      </c>
      <c r="J9" t="s">
        <v>3727</v>
      </c>
      <c r="K9" t="s">
        <v>225</v>
      </c>
      <c r="L9" t="s">
        <v>265</v>
      </c>
      <c r="M9" t="str">
        <f t="shared" ca="1" si="1"/>
        <v>89937972</v>
      </c>
      <c r="N9" t="str">
        <f t="shared" ca="1" si="2"/>
        <v>640682373</v>
      </c>
      <c r="O9" t="str">
        <f t="shared" ca="1" si="2"/>
        <v>112068416</v>
      </c>
      <c r="P9" t="str" cm="1">
        <f t="array" aca="1" ref="P9" ca="1">9 &amp; INDEX($AF$3:$AF$6,W9)&amp; TEXT(RANDBETWEEN(0,9999999),"0000000")</f>
        <v>914598752</v>
      </c>
      <c r="Q9" t="str" cm="1">
        <f t="array" aca="1" ref="Q9" ca="1">LOWER(B9) &amp; INDEX($AF$9:$AF$11,X9)</f>
        <v>pedada2800@gmail.com</v>
      </c>
      <c r="R9" t="str">
        <f t="shared" ca="1" si="3"/>
        <v>pedada2800.jpg</v>
      </c>
      <c r="T9" s="4"/>
      <c r="V9">
        <f ca="1">RANDBETWEEN(2,COUNTA(rua_cod!A:A))</f>
        <v>2</v>
      </c>
      <c r="W9">
        <f t="shared" ca="1" si="4"/>
        <v>1</v>
      </c>
      <c r="X9">
        <f t="shared" ca="1" si="5"/>
        <v>2</v>
      </c>
      <c r="Y9">
        <f t="shared" ca="1" si="6"/>
        <v>1936</v>
      </c>
      <c r="Z9">
        <f t="shared" ca="1" si="7"/>
        <v>3</v>
      </c>
      <c r="AA9">
        <f t="shared" ca="1" si="8"/>
        <v>31</v>
      </c>
      <c r="AB9">
        <f t="shared" ca="1" si="9"/>
        <v>84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marlos2779</v>
      </c>
      <c r="C10" t="str">
        <f t="shared" ca="1" si="0"/>
        <v>pswmarlos2779</v>
      </c>
      <c r="D10" t="str">
        <f ca="1">Nomes!T11</f>
        <v>Mariana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da Oliveira ao Carmo</v>
      </c>
      <c r="H10" t="str" cm="1">
        <f t="array" aca="1" ref="H10" ca="1">INDEX(rua_cod!$A:$A,Users!V10) &amp; "-" &amp; TEXT(RANDBETWEEN(0,999),"000")</f>
        <v>2779-883</v>
      </c>
      <c r="I10" t="str" cm="1">
        <f t="array" aca="1" ref="I10" ca="1">INDEX(rua_cod!$B:$B,Users!V10)</f>
        <v>Carcavelos</v>
      </c>
      <c r="J10" t="s">
        <v>3727</v>
      </c>
      <c r="K10" t="s">
        <v>225</v>
      </c>
      <c r="L10" t="s">
        <v>265</v>
      </c>
      <c r="M10" t="str">
        <f t="shared" ca="1" si="1"/>
        <v>59923807</v>
      </c>
      <c r="N10" t="str">
        <f t="shared" ca="1" si="2"/>
        <v>422954717</v>
      </c>
      <c r="O10" t="str">
        <f t="shared" ca="1" si="2"/>
        <v>665392149</v>
      </c>
      <c r="P10" t="str" cm="1">
        <f t="array" aca="1" ref="P10" ca="1">9 &amp; INDEX($AF$3:$AF$6,W10)&amp; TEXT(RANDBETWEEN(0,9999999),"0000000")</f>
        <v>911638240</v>
      </c>
      <c r="Q10" t="str" cm="1">
        <f t="array" aca="1" ref="Q10" ca="1">LOWER(B10) &amp; INDEX($AF$9:$AF$11,X10)</f>
        <v>marlos2779@gmail.com</v>
      </c>
      <c r="R10" t="str">
        <f t="shared" ca="1" si="3"/>
        <v>marlos2779.jpg</v>
      </c>
      <c r="T10" s="4"/>
      <c r="V10">
        <f ca="1">RANDBETWEEN(2,COUNTA(rua_cod!A:A))</f>
        <v>21</v>
      </c>
      <c r="W10">
        <f t="shared" ca="1" si="4"/>
        <v>1</v>
      </c>
      <c r="X10">
        <f t="shared" ca="1" si="5"/>
        <v>2</v>
      </c>
      <c r="Y10">
        <f t="shared" ca="1" si="6"/>
        <v>1952</v>
      </c>
      <c r="Z10">
        <f t="shared" ca="1" si="7"/>
        <v>6</v>
      </c>
      <c r="AA10">
        <f t="shared" ca="1" si="8"/>
        <v>10</v>
      </c>
      <c r="AB10">
        <f t="shared" ca="1" si="9"/>
        <v>68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tomboa1449</v>
      </c>
      <c r="C11" t="str">
        <f t="shared" ca="1" si="0"/>
        <v>pswtomboa1449</v>
      </c>
      <c r="D11" t="str">
        <f ca="1">Nomes!T12</f>
        <v>Tomás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do Comércio</v>
      </c>
      <c r="H11" t="str" cm="1">
        <f t="array" aca="1" ref="H11" ca="1">INDEX(rua_cod!$A:$A,Users!V11) &amp; "-" &amp; TEXT(RANDBETWEEN(0,999),"000")</f>
        <v>1449-952</v>
      </c>
      <c r="I11" t="str" cm="1">
        <f t="array" aca="1" ref="I11" ca="1">INDEX(rua_cod!$B:$B,Users!V11)</f>
        <v>Lisboa</v>
      </c>
      <c r="J11" t="s">
        <v>3727</v>
      </c>
      <c r="K11" t="s">
        <v>225</v>
      </c>
      <c r="L11" t="s">
        <v>265</v>
      </c>
      <c r="M11" t="str">
        <f t="shared" ca="1" si="1"/>
        <v>51757949</v>
      </c>
      <c r="N11" t="str">
        <f t="shared" ca="1" si="2"/>
        <v>315408630</v>
      </c>
      <c r="O11" t="str">
        <f t="shared" ca="1" si="2"/>
        <v>722456647</v>
      </c>
      <c r="P11" t="str" cm="1">
        <f t="array" aca="1" ref="P11" ca="1">9 &amp; INDEX($AF$3:$AF$6,W11)&amp; TEXT(RANDBETWEEN(0,9999999),"0000000")</f>
        <v>933635447</v>
      </c>
      <c r="Q11" t="str" cm="1">
        <f t="array" aca="1" ref="Q11" ca="1">LOWER(B11) &amp; INDEX($AF$9:$AF$11,X11)</f>
        <v>tomboa1449@outlook.com</v>
      </c>
      <c r="R11" t="str">
        <f t="shared" ca="1" si="3"/>
        <v>tomboa1449.jpg</v>
      </c>
      <c r="T11" s="4"/>
      <c r="V11">
        <f ca="1">RANDBETWEEN(2,COUNTA(rua_cod!A:A))</f>
        <v>73</v>
      </c>
      <c r="W11">
        <f t="shared" ca="1" si="4"/>
        <v>3</v>
      </c>
      <c r="X11">
        <f t="shared" ca="1" si="5"/>
        <v>1</v>
      </c>
      <c r="Y11">
        <f t="shared" ca="1" si="6"/>
        <v>1958</v>
      </c>
      <c r="Z11">
        <f t="shared" ca="1" si="7"/>
        <v>2</v>
      </c>
      <c r="AA11">
        <f t="shared" ca="1" si="8"/>
        <v>9</v>
      </c>
      <c r="AB11">
        <f t="shared" ca="1" si="9"/>
        <v>62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rodboa1749</v>
      </c>
      <c r="C12" t="str">
        <f t="shared" ca="1" si="0"/>
        <v>pswrodboa1749</v>
      </c>
      <c r="D12" t="str">
        <f ca="1">Nomes!T13</f>
        <v>Rodrigo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Augusta</v>
      </c>
      <c r="H12" t="str" cm="1">
        <f t="array" aca="1" ref="H12" ca="1">INDEX(rua_cod!$A:$A,Users!V12) &amp; "-" &amp; TEXT(RANDBETWEEN(0,999),"000")</f>
        <v>1749-260</v>
      </c>
      <c r="I12" t="str" cm="1">
        <f t="array" aca="1" ref="I12" ca="1">INDEX(rua_cod!$B:$B,Users!V12)</f>
        <v>Lisboa</v>
      </c>
      <c r="J12" t="s">
        <v>3727</v>
      </c>
      <c r="K12" t="s">
        <v>225</v>
      </c>
      <c r="L12" t="s">
        <v>265</v>
      </c>
      <c r="M12" t="str">
        <f t="shared" ca="1" si="1"/>
        <v>46359848</v>
      </c>
      <c r="N12" t="str">
        <f t="shared" ca="1" si="2"/>
        <v>217807251</v>
      </c>
      <c r="O12" t="str">
        <f t="shared" ca="1" si="2"/>
        <v>462551158</v>
      </c>
      <c r="P12" t="str" cm="1">
        <f t="array" aca="1" ref="P12" ca="1">9 &amp; INDEX($AF$3:$AF$6,W12)&amp; TEXT(RANDBETWEEN(0,9999999),"0000000")</f>
        <v>939540607</v>
      </c>
      <c r="Q12" t="str" cm="1">
        <f t="array" aca="1" ref="Q12" ca="1">LOWER(B12) &amp; INDEX($AF$9:$AF$11,X12)</f>
        <v>rodboa1749@sapo.pt</v>
      </c>
      <c r="R12" t="str">
        <f t="shared" ca="1" si="3"/>
        <v>rodboa1749.jpg</v>
      </c>
      <c r="T12" s="4"/>
      <c r="V12">
        <f ca="1">RANDBETWEEN(2,COUNTA(rua_cod!A:A))</f>
        <v>61</v>
      </c>
      <c r="W12">
        <f t="shared" ca="1" si="4"/>
        <v>3</v>
      </c>
      <c r="X12">
        <f t="shared" ca="1" si="5"/>
        <v>3</v>
      </c>
      <c r="Y12">
        <f t="shared" ca="1" si="6"/>
        <v>1982</v>
      </c>
      <c r="Z12">
        <f t="shared" ca="1" si="7"/>
        <v>6</v>
      </c>
      <c r="AA12">
        <f t="shared" ca="1" si="8"/>
        <v>20</v>
      </c>
      <c r="AB12">
        <f t="shared" ca="1" si="9"/>
        <v>38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joaada2804</v>
      </c>
      <c r="C13" t="str">
        <f t="shared" ca="1" si="0"/>
        <v>pswjoaada2804</v>
      </c>
      <c r="D13" t="str">
        <f ca="1">Nomes!T14</f>
        <v>Joana Martins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Augusta</v>
      </c>
      <c r="H13" t="str" cm="1">
        <f t="array" aca="1" ref="H13" ca="1">INDEX(rua_cod!$A:$A,Users!V13) &amp; "-" &amp; TEXT(RANDBETWEEN(0,999),"000")</f>
        <v>2804-119</v>
      </c>
      <c r="I13" t="str" cm="1">
        <f t="array" aca="1" ref="I13" ca="1">INDEX(rua_cod!$B:$B,Users!V13)</f>
        <v>Almada</v>
      </c>
      <c r="J13" t="s">
        <v>3727</v>
      </c>
      <c r="K13" t="s">
        <v>225</v>
      </c>
      <c r="L13" t="s">
        <v>265</v>
      </c>
      <c r="M13" t="str">
        <f t="shared" ca="1" si="1"/>
        <v>36924810</v>
      </c>
      <c r="N13" t="str">
        <f t="shared" ca="1" si="2"/>
        <v>429136383</v>
      </c>
      <c r="O13" t="str">
        <f t="shared" ca="1" si="2"/>
        <v>780598789</v>
      </c>
      <c r="P13" t="str" cm="1">
        <f t="array" aca="1" ref="P13" ca="1">9 &amp; INDEX($AF$3:$AF$6,W13)&amp; TEXT(RANDBETWEEN(0,9999999),"0000000")</f>
        <v>965444552</v>
      </c>
      <c r="Q13" t="str" cm="1">
        <f t="array" aca="1" ref="Q13" ca="1">LOWER(B13) &amp; INDEX($AF$9:$AF$11,X13)</f>
        <v>joaada2804@sapo.pt</v>
      </c>
      <c r="R13" t="str">
        <f t="shared" ca="1" si="3"/>
        <v>joaada2804.jpg</v>
      </c>
      <c r="T13" s="4"/>
      <c r="V13">
        <f ca="1">RANDBETWEEN(2,COUNTA(rua_cod!A:A))</f>
        <v>7</v>
      </c>
      <c r="W13">
        <f t="shared" ca="1" si="4"/>
        <v>4</v>
      </c>
      <c r="X13">
        <f t="shared" ca="1" si="5"/>
        <v>3</v>
      </c>
      <c r="Y13">
        <f t="shared" ca="1" si="6"/>
        <v>1980</v>
      </c>
      <c r="Z13">
        <f t="shared" ca="1" si="7"/>
        <v>11</v>
      </c>
      <c r="AA13">
        <f t="shared" ca="1" si="8"/>
        <v>1</v>
      </c>
      <c r="AB13">
        <f t="shared" ca="1" si="9"/>
        <v>40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tiairo2834</v>
      </c>
      <c r="C14" t="str">
        <f t="shared" ca="1" si="0"/>
        <v>pswtiairo2834</v>
      </c>
      <c r="D14" t="str">
        <f ca="1">Nomes!T15</f>
        <v>Tiago Valente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Travessa de São João da Praça</v>
      </c>
      <c r="H14" t="str" cm="1">
        <f t="array" aca="1" ref="H14" ca="1">INDEX(rua_cod!$A:$A,Users!V14) &amp; "-" &amp; TEXT(RANDBETWEEN(0,999),"000")</f>
        <v>2834-990</v>
      </c>
      <c r="I14" t="str" cm="1">
        <f t="array" aca="1" ref="I14" ca="1">INDEX(rua_cod!$B:$B,Users!V14)</f>
        <v>Barreiro</v>
      </c>
      <c r="J14" t="s">
        <v>3727</v>
      </c>
      <c r="K14" t="s">
        <v>225</v>
      </c>
      <c r="L14" t="s">
        <v>265</v>
      </c>
      <c r="M14" t="str">
        <f t="shared" ca="1" si="1"/>
        <v>27530322</v>
      </c>
      <c r="N14" t="str">
        <f t="shared" ca="1" si="2"/>
        <v>775555688</v>
      </c>
      <c r="O14" t="str">
        <f t="shared" ca="1" si="2"/>
        <v>776084018</v>
      </c>
      <c r="P14" t="str" cm="1">
        <f t="array" aca="1" ref="P14" ca="1">9 &amp; INDEX($AF$3:$AF$6,W14)&amp; TEXT(RANDBETWEEN(0,9999999),"0000000")</f>
        <v>964779039</v>
      </c>
      <c r="Q14" t="str" cm="1">
        <f t="array" aca="1" ref="Q14" ca="1">LOWER(B14) &amp; INDEX($AF$9:$AF$11,X14)</f>
        <v>tiairo2834@gmail.com</v>
      </c>
      <c r="R14" t="str">
        <f t="shared" ca="1" si="3"/>
        <v>tiairo2834.jpg</v>
      </c>
      <c r="T14" s="4"/>
      <c r="V14">
        <f ca="1">RANDBETWEEN(2,COUNTA(rua_cod!A:A))</f>
        <v>17</v>
      </c>
      <c r="W14">
        <f t="shared" ca="1" si="4"/>
        <v>4</v>
      </c>
      <c r="X14">
        <f t="shared" ca="1" si="5"/>
        <v>2</v>
      </c>
      <c r="Y14">
        <f t="shared" ca="1" si="6"/>
        <v>1986</v>
      </c>
      <c r="Z14">
        <f t="shared" ca="1" si="7"/>
        <v>12</v>
      </c>
      <c r="AA14">
        <f t="shared" ca="1" si="8"/>
        <v>21</v>
      </c>
      <c r="AB14">
        <f t="shared" ca="1" si="9"/>
        <v>34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sanijo2870</v>
      </c>
      <c r="C15" t="str">
        <f t="shared" ca="1" si="0"/>
        <v>pswsanijo2870</v>
      </c>
      <c r="D15" t="str">
        <f ca="1">Nomes!T16</f>
        <v>Santiago Brito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Estrada da Circunvalação de Lisboa</v>
      </c>
      <c r="H15" t="str" cm="1">
        <f t="array" aca="1" ref="H15" ca="1">INDEX(rua_cod!$A:$A,Users!V15) &amp; "-" &amp; TEXT(RANDBETWEEN(0,999),"000")</f>
        <v>2870-475</v>
      </c>
      <c r="I15" t="str" cm="1">
        <f t="array" aca="1" ref="I15" ca="1">INDEX(rua_cod!$B:$B,Users!V15)</f>
        <v>Montijo</v>
      </c>
      <c r="J15" t="s">
        <v>3727</v>
      </c>
      <c r="K15" t="s">
        <v>225</v>
      </c>
      <c r="L15" t="s">
        <v>265</v>
      </c>
      <c r="M15" t="str">
        <f t="shared" ca="1" si="1"/>
        <v>91798052</v>
      </c>
      <c r="N15" t="str">
        <f t="shared" ca="1" si="2"/>
        <v>999889308</v>
      </c>
      <c r="O15" t="str">
        <f t="shared" ca="1" si="2"/>
        <v>339809034</v>
      </c>
      <c r="P15" t="str" cm="1">
        <f t="array" aca="1" ref="P15" ca="1">9 &amp; INDEX($AF$3:$AF$6,W15)&amp; TEXT(RANDBETWEEN(0,9999999),"0000000")</f>
        <v>965361679</v>
      </c>
      <c r="Q15" t="str" cm="1">
        <f t="array" aca="1" ref="Q15" ca="1">LOWER(B15) &amp; INDEX($AF$9:$AF$11,X15)</f>
        <v>sanijo2870@gmail.com</v>
      </c>
      <c r="R15" t="str">
        <f t="shared" ca="1" si="3"/>
        <v>sanijo2870.jpg</v>
      </c>
      <c r="T15" s="4"/>
      <c r="V15">
        <f ca="1">RANDBETWEEN(2,COUNTA(rua_cod!A:A))</f>
        <v>87</v>
      </c>
      <c r="W15">
        <f t="shared" ca="1" si="4"/>
        <v>4</v>
      </c>
      <c r="X15">
        <f t="shared" ca="1" si="5"/>
        <v>2</v>
      </c>
      <c r="Y15">
        <f t="shared" ca="1" si="6"/>
        <v>1972</v>
      </c>
      <c r="Z15">
        <f t="shared" ca="1" si="7"/>
        <v>10</v>
      </c>
      <c r="AA15">
        <f t="shared" ca="1" si="8"/>
        <v>5</v>
      </c>
      <c r="AB15">
        <f t="shared" ca="1" si="9"/>
        <v>48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sofboa1200</v>
      </c>
      <c r="C16" t="str">
        <f t="shared" ca="1" si="0"/>
        <v>pswsofboa1200</v>
      </c>
      <c r="D16" t="str">
        <f ca="1">Nomes!T17</f>
        <v>Sofia Vaz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Rua de São Bento</v>
      </c>
      <c r="H16" t="str" cm="1">
        <f t="array" aca="1" ref="H16" ca="1">INDEX(rua_cod!$A:$A,Users!V16) &amp; "-" &amp; TEXT(RANDBETWEEN(0,999),"000")</f>
        <v>1200-612</v>
      </c>
      <c r="I16" t="str" cm="1">
        <f t="array" aca="1" ref="I16" ca="1">INDEX(rua_cod!$B:$B,Users!V16)</f>
        <v>Lisboa</v>
      </c>
      <c r="J16" t="s">
        <v>3727</v>
      </c>
      <c r="K16" t="s">
        <v>225</v>
      </c>
      <c r="L16" t="s">
        <v>265</v>
      </c>
      <c r="M16" t="str">
        <f t="shared" ca="1" si="1"/>
        <v>30717708</v>
      </c>
      <c r="N16" t="str">
        <f t="shared" ca="1" si="2"/>
        <v>419688698</v>
      </c>
      <c r="O16" t="str">
        <f t="shared" ca="1" si="2"/>
        <v>843164770</v>
      </c>
      <c r="P16" t="str" cm="1">
        <f t="array" aca="1" ref="P16" ca="1">9 &amp; INDEX($AF$3:$AF$6,W16)&amp; TEXT(RANDBETWEEN(0,9999999),"0000000")</f>
        <v>917086538</v>
      </c>
      <c r="Q16" t="str" cm="1">
        <f t="array" aca="1" ref="Q16" ca="1">LOWER(B16) &amp; INDEX($AF$9:$AF$11,X16)</f>
        <v>sofboa1200@outlook.com</v>
      </c>
      <c r="R16" t="str">
        <f t="shared" ca="1" si="3"/>
        <v>sofboa1200.jpg</v>
      </c>
      <c r="T16" s="4"/>
      <c r="V16">
        <f ca="1">RANDBETWEEN(2,COUNTA(rua_cod!A:A))</f>
        <v>48</v>
      </c>
      <c r="W16">
        <f t="shared" ca="1" si="4"/>
        <v>1</v>
      </c>
      <c r="X16">
        <f t="shared" ca="1" si="5"/>
        <v>1</v>
      </c>
      <c r="Y16">
        <f t="shared" ca="1" si="6"/>
        <v>1980</v>
      </c>
      <c r="Z16">
        <f t="shared" ca="1" si="7"/>
        <v>2</v>
      </c>
      <c r="AA16">
        <f t="shared" ca="1" si="8"/>
        <v>14</v>
      </c>
      <c r="AB16">
        <f t="shared" ca="1" si="9"/>
        <v>40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afoboa1500</v>
      </c>
      <c r="C17" t="str">
        <f t="shared" ca="1" si="0"/>
        <v>pswafoboa1500</v>
      </c>
      <c r="D17" t="str">
        <f ca="1">Nomes!T18</f>
        <v>Afonso Lima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Estrada Militar</v>
      </c>
      <c r="H17" t="str" cm="1">
        <f t="array" aca="1" ref="H17" ca="1">INDEX(rua_cod!$A:$A,Users!V17) &amp; "-" &amp; TEXT(RANDBETWEEN(0,999),"000")</f>
        <v>1500-542</v>
      </c>
      <c r="I17" t="str" cm="1">
        <f t="array" aca="1" ref="I17" ca="1">INDEX(rua_cod!$B:$B,Users!V17)</f>
        <v>Lisboa</v>
      </c>
      <c r="J17" t="s">
        <v>3727</v>
      </c>
      <c r="K17" t="s">
        <v>225</v>
      </c>
      <c r="L17" t="s">
        <v>265</v>
      </c>
      <c r="M17" t="str">
        <f t="shared" ca="1" si="1"/>
        <v>72742655</v>
      </c>
      <c r="N17" t="str">
        <f t="shared" ca="1" si="2"/>
        <v>961520581</v>
      </c>
      <c r="O17" t="str">
        <f t="shared" ca="1" si="2"/>
        <v>150482649</v>
      </c>
      <c r="P17" t="str" cm="1">
        <f t="array" aca="1" ref="P17" ca="1">9 &amp; INDEX($AF$3:$AF$6,W17)&amp; TEXT(RANDBETWEEN(0,9999999),"0000000")</f>
        <v>937069312</v>
      </c>
      <c r="Q17" t="str" cm="1">
        <f t="array" aca="1" ref="Q17" ca="1">LOWER(B17) &amp; INDEX($AF$9:$AF$11,X17)</f>
        <v>afoboa1500@gmail.com</v>
      </c>
      <c r="R17" t="str">
        <f t="shared" ca="1" si="3"/>
        <v>afoboa1500.jpg</v>
      </c>
      <c r="T17" s="4"/>
      <c r="V17">
        <f ca="1">RANDBETWEEN(2,COUNTA(rua_cod!A:A))</f>
        <v>43</v>
      </c>
      <c r="W17">
        <f t="shared" ca="1" si="4"/>
        <v>3</v>
      </c>
      <c r="X17">
        <f t="shared" ca="1" si="5"/>
        <v>2</v>
      </c>
      <c r="Y17">
        <f t="shared" ca="1" si="6"/>
        <v>1995</v>
      </c>
      <c r="Z17">
        <f t="shared" ca="1" si="7"/>
        <v>10</v>
      </c>
      <c r="AA17">
        <f t="shared" ca="1" si="8"/>
        <v>1</v>
      </c>
      <c r="AB17">
        <f t="shared" ca="1" si="9"/>
        <v>25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dioria2419</v>
      </c>
      <c r="C18" t="str">
        <f t="shared" ca="1" si="0"/>
        <v>pswdioria2419</v>
      </c>
      <c r="D18" t="str">
        <f ca="1">Nomes!T19</f>
        <v>Diogo Silva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de São Bento</v>
      </c>
      <c r="H18" t="str" cm="1">
        <f t="array" aca="1" ref="H18" ca="1">INDEX(rua_cod!$A:$A,Users!V18) &amp; "-" &amp; TEXT(RANDBETWEEN(0,999),"000")</f>
        <v>2419-615</v>
      </c>
      <c r="I18" t="str" cm="1">
        <f t="array" aca="1" ref="I18" ca="1">INDEX(rua_cod!$B:$B,Users!V18)</f>
        <v>Leiria</v>
      </c>
      <c r="J18" t="s">
        <v>3727</v>
      </c>
      <c r="K18" t="s">
        <v>225</v>
      </c>
      <c r="L18" t="s">
        <v>265</v>
      </c>
      <c r="M18" t="str">
        <f t="shared" ca="1" si="1"/>
        <v>43833757</v>
      </c>
      <c r="N18" t="str">
        <f t="shared" ca="1" si="2"/>
        <v>381477136</v>
      </c>
      <c r="O18" t="str">
        <f t="shared" ca="1" si="2"/>
        <v>139938616</v>
      </c>
      <c r="P18" t="str" cm="1">
        <f t="array" aca="1" ref="P18" ca="1">9 &amp; INDEX($AF$3:$AF$6,W18)&amp; TEXT(RANDBETWEEN(0,9999999),"0000000")</f>
        <v>935341740</v>
      </c>
      <c r="Q18" t="str" cm="1">
        <f t="array" aca="1" ref="Q18" ca="1">LOWER(B18) &amp; INDEX($AF$9:$AF$11,X18)</f>
        <v>dioria2419@outlook.com</v>
      </c>
      <c r="R18" t="str">
        <f t="shared" ca="1" si="3"/>
        <v>dioria2419.jpg</v>
      </c>
      <c r="T18" s="4"/>
      <c r="V18">
        <f ca="1">RANDBETWEEN(2,COUNTA(rua_cod!A:A))</f>
        <v>37</v>
      </c>
      <c r="W18">
        <f t="shared" ca="1" si="4"/>
        <v>3</v>
      </c>
      <c r="X18">
        <f t="shared" ca="1" si="5"/>
        <v>1</v>
      </c>
      <c r="Y18">
        <f t="shared" ca="1" si="6"/>
        <v>1982</v>
      </c>
      <c r="Z18">
        <f t="shared" ca="1" si="7"/>
        <v>8</v>
      </c>
      <c r="AA18">
        <f t="shared" ca="1" si="8"/>
        <v>30</v>
      </c>
      <c r="AB18">
        <f t="shared" ca="1" si="9"/>
        <v>38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pedboa1098</v>
      </c>
      <c r="C19" t="str">
        <f t="shared" ca="1" si="0"/>
        <v>pswpedboa1098</v>
      </c>
      <c r="D19" t="str">
        <f ca="1">Nomes!T20</f>
        <v>Pedro Esteves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Rua Nova do Almada</v>
      </c>
      <c r="H19" t="str" cm="1">
        <f t="array" aca="1" ref="H19" ca="1">INDEX(rua_cod!$A:$A,Users!V19) &amp; "-" &amp; TEXT(RANDBETWEEN(0,999),"000")</f>
        <v>1098-002</v>
      </c>
      <c r="I19" t="str" cm="1">
        <f t="array" aca="1" ref="I19" ca="1">INDEX(rua_cod!$B:$B,Users!V19)</f>
        <v>Lisboa</v>
      </c>
      <c r="J19" t="s">
        <v>3727</v>
      </c>
      <c r="K19" t="s">
        <v>225</v>
      </c>
      <c r="L19" t="s">
        <v>265</v>
      </c>
      <c r="M19" t="str">
        <f t="shared" ca="1" si="1"/>
        <v>60007920</v>
      </c>
      <c r="N19" t="str">
        <f t="shared" ca="1" si="2"/>
        <v>477703764</v>
      </c>
      <c r="O19" t="str">
        <f t="shared" ca="1" si="2"/>
        <v>775433688</v>
      </c>
      <c r="P19" t="str" cm="1">
        <f t="array" aca="1" ref="P19" ca="1">9 &amp; INDEX($AF$3:$AF$6,W19)&amp; TEXT(RANDBETWEEN(0,9999999),"0000000")</f>
        <v>910107696</v>
      </c>
      <c r="Q19" t="str" cm="1">
        <f t="array" aca="1" ref="Q19" ca="1">LOWER(B19) &amp; INDEX($AF$9:$AF$11,X19)</f>
        <v>pedboa1098@gmail.com</v>
      </c>
      <c r="R19" t="str">
        <f t="shared" ca="1" si="3"/>
        <v>pedboa1098.jpg</v>
      </c>
      <c r="T19" s="4"/>
      <c r="V19">
        <f ca="1">RANDBETWEEN(2,COUNTA(rua_cod!A:A))</f>
        <v>80</v>
      </c>
      <c r="W19">
        <f t="shared" ca="1" si="4"/>
        <v>1</v>
      </c>
      <c r="X19">
        <f t="shared" ca="1" si="5"/>
        <v>2</v>
      </c>
      <c r="Y19">
        <f t="shared" ca="1" si="6"/>
        <v>2000</v>
      </c>
      <c r="Z19">
        <f t="shared" ca="1" si="7"/>
        <v>3</v>
      </c>
      <c r="AA19">
        <f t="shared" ca="1" si="8"/>
        <v>28</v>
      </c>
      <c r="AB19">
        <f t="shared" ca="1" si="9"/>
        <v>20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leoiro2834</v>
      </c>
      <c r="C20" t="str">
        <f t="shared" ca="1" si="0"/>
        <v>pswleoiro2834</v>
      </c>
      <c r="D20" t="str">
        <f ca="1">Nomes!T21</f>
        <v>Leonor Abreu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Calçada de Carriche</v>
      </c>
      <c r="H20" t="str" cm="1">
        <f t="array" aca="1" ref="H20" ca="1">INDEX(rua_cod!$A:$A,Users!V20) &amp; "-" &amp; TEXT(RANDBETWEEN(0,999),"000")</f>
        <v>2834-560</v>
      </c>
      <c r="I20" t="str" cm="1">
        <f t="array" aca="1" ref="I20" ca="1">INDEX(rua_cod!$B:$B,Users!V20)</f>
        <v>Barreiro</v>
      </c>
      <c r="J20" t="s">
        <v>3727</v>
      </c>
      <c r="K20" t="s">
        <v>225</v>
      </c>
      <c r="L20" t="s">
        <v>265</v>
      </c>
      <c r="M20" t="str">
        <f t="shared" ca="1" si="1"/>
        <v>68310897</v>
      </c>
      <c r="N20" t="str">
        <f t="shared" ca="1" si="2"/>
        <v>359473168</v>
      </c>
      <c r="O20" t="str">
        <f t="shared" ca="1" si="2"/>
        <v>692829483</v>
      </c>
      <c r="P20" t="str" cm="1">
        <f t="array" aca="1" ref="P20" ca="1">9 &amp; INDEX($AF$3:$AF$6,W20)&amp; TEXT(RANDBETWEEN(0,9999999),"0000000")</f>
        <v>921302906</v>
      </c>
      <c r="Q20" t="str" cm="1">
        <f t="array" aca="1" ref="Q20" ca="1">LOWER(B20) &amp; INDEX($AF$9:$AF$11,X20)</f>
        <v>leoiro2834@outlook.com</v>
      </c>
      <c r="R20" t="str">
        <f t="shared" ca="1" si="3"/>
        <v>leoiro2834.jpg</v>
      </c>
      <c r="T20" s="4"/>
      <c r="V20">
        <f ca="1">RANDBETWEEN(2,COUNTA(rua_cod!A:A))</f>
        <v>17</v>
      </c>
      <c r="W20">
        <f t="shared" ca="1" si="4"/>
        <v>2</v>
      </c>
      <c r="X20">
        <f t="shared" ca="1" si="5"/>
        <v>1</v>
      </c>
      <c r="Y20">
        <f t="shared" ca="1" si="6"/>
        <v>2001</v>
      </c>
      <c r="Z20">
        <f t="shared" ca="1" si="7"/>
        <v>12</v>
      </c>
      <c r="AA20">
        <f t="shared" ca="1" si="8"/>
        <v>15</v>
      </c>
      <c r="AB20">
        <f t="shared" ca="1" si="9"/>
        <v>19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tiabal2900</v>
      </c>
      <c r="C21" t="str">
        <f t="shared" ca="1" si="0"/>
        <v>pswtiabal2900</v>
      </c>
      <c r="D21" t="str">
        <f ca="1">Nomes!T22</f>
        <v>Tiago Assunção</v>
      </c>
      <c r="E21" t="str">
        <f ca="1">Nomes!S22</f>
        <v>Masculino</v>
      </c>
      <c r="F21" s="2">
        <v>29267</v>
      </c>
      <c r="G21" t="str" cm="1">
        <f t="array" aca="1" ref="G21" ca="1">INDEX(rua_cod!$F:$F,RANDBETWEEN(2,COUNTA(rua_cod!F:F)))</f>
        <v>Rua do Sacramento à Lapa</v>
      </c>
      <c r="H21" t="str" cm="1">
        <f t="array" aca="1" ref="H21" ca="1">INDEX(rua_cod!$A:$A,Users!V21) &amp; "-" &amp; TEXT(RANDBETWEEN(0,999),"000")</f>
        <v>2900-408</v>
      </c>
      <c r="I21" t="str" cm="1">
        <f t="array" aca="1" ref="I21" ca="1">INDEX(rua_cod!$B:$B,Users!V21)</f>
        <v>Setúbal</v>
      </c>
      <c r="J21" t="s">
        <v>3727</v>
      </c>
      <c r="K21" t="s">
        <v>225</v>
      </c>
      <c r="L21" t="s">
        <v>265</v>
      </c>
      <c r="M21" t="str">
        <f t="shared" ca="1" si="1"/>
        <v>23473550</v>
      </c>
      <c r="N21" t="str">
        <f t="shared" ca="1" si="2"/>
        <v>155428487</v>
      </c>
      <c r="O21" t="str">
        <f t="shared" ca="1" si="2"/>
        <v>739229357</v>
      </c>
      <c r="P21" t="str" cm="1">
        <f t="array" aca="1" ref="P21" ca="1">9 &amp; INDEX($AF$3:$AF$6,W21)&amp; TEXT(RANDBETWEEN(0,9999999),"0000000")</f>
        <v>967631323</v>
      </c>
      <c r="Q21" t="str" cm="1">
        <f t="array" aca="1" ref="Q21" ca="1">LOWER(B21) &amp; INDEX($AF$9:$AF$11,X21)</f>
        <v>tiabal2900@gmail.com</v>
      </c>
      <c r="R21" t="str">
        <f t="shared" ca="1" si="3"/>
        <v>tiabal2900.jpg</v>
      </c>
      <c r="T21" s="4"/>
      <c r="V21">
        <f ca="1">RANDBETWEEN(2,COUNTA(rua_cod!A:A))</f>
        <v>96</v>
      </c>
      <c r="W21">
        <f t="shared" ca="1" si="4"/>
        <v>4</v>
      </c>
      <c r="X21">
        <f t="shared" ca="1" si="5"/>
        <v>2</v>
      </c>
      <c r="Y21">
        <f t="shared" ca="1" si="6"/>
        <v>1966</v>
      </c>
      <c r="Z21">
        <f t="shared" ca="1" si="7"/>
        <v>9</v>
      </c>
      <c r="AA21">
        <f t="shared" ca="1" si="8"/>
        <v>17</v>
      </c>
      <c r="AB21">
        <f t="shared" ca="1" si="9"/>
        <v>54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diaboa1998</v>
      </c>
      <c r="C22" t="str">
        <f t="shared" ca="1" si="0"/>
        <v>pswdiaboa1998</v>
      </c>
      <c r="D22" t="str">
        <f ca="1">Nomes!T23</f>
        <v>Diana Sousa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Rua da Oliveira ao Carmo</v>
      </c>
      <c r="H22" t="str" cm="1">
        <f t="array" aca="1" ref="H22" ca="1">INDEX(rua_cod!$A:$A,Users!V22) &amp; "-" &amp; TEXT(RANDBETWEEN(0,999),"000")</f>
        <v>1998-775</v>
      </c>
      <c r="I22" t="str" cm="1">
        <f t="array" aca="1" ref="I22" ca="1">INDEX(rua_cod!$B:$B,Users!V22)</f>
        <v>Lisboa</v>
      </c>
      <c r="J22" t="s">
        <v>3727</v>
      </c>
      <c r="K22" t="s">
        <v>225</v>
      </c>
      <c r="L22" t="s">
        <v>265</v>
      </c>
      <c r="M22" t="str">
        <f t="shared" ca="1" si="1"/>
        <v>16896758</v>
      </c>
      <c r="N22" t="str">
        <f t="shared" ca="1" si="2"/>
        <v>336763623</v>
      </c>
      <c r="O22" t="str">
        <f t="shared" ca="1" si="2"/>
        <v>296200652</v>
      </c>
      <c r="P22" t="str" cm="1">
        <f t="array" aca="1" ref="P22" ca="1">9 &amp; INDEX($AF$3:$AF$6,W22)&amp; TEXT(RANDBETWEEN(0,9999999),"0000000")</f>
        <v>935867613</v>
      </c>
      <c r="Q22" t="str" cm="1">
        <f t="array" aca="1" ref="Q22" ca="1">LOWER(B22) &amp; INDEX($AF$9:$AF$11,X22)</f>
        <v>diaboa1998@sapo.pt</v>
      </c>
      <c r="R22" t="str">
        <f t="shared" ca="1" si="3"/>
        <v>diaboa1998.jpg</v>
      </c>
      <c r="T22" s="4"/>
      <c r="V22">
        <f ca="1">RANDBETWEEN(2,COUNTA(rua_cod!A:A))</f>
        <v>78</v>
      </c>
      <c r="W22">
        <f t="shared" ca="1" si="4"/>
        <v>3</v>
      </c>
      <c r="X22">
        <f t="shared" ca="1" si="5"/>
        <v>3</v>
      </c>
      <c r="Y22">
        <f t="shared" ca="1" si="6"/>
        <v>1987</v>
      </c>
      <c r="Z22">
        <f t="shared" ca="1" si="7"/>
        <v>4</v>
      </c>
      <c r="AA22">
        <f t="shared" ca="1" si="8"/>
        <v>16</v>
      </c>
      <c r="AB22">
        <f t="shared" ca="1" si="9"/>
        <v>33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mattra2714</v>
      </c>
      <c r="C23" t="str">
        <f t="shared" ca="1" si="0"/>
        <v>pswmattra2714</v>
      </c>
      <c r="D23" t="str">
        <f ca="1">Nomes!T24</f>
        <v>Matilde Sousa</v>
      </c>
      <c r="E23" t="str">
        <f ca="1">Nomes!S24</f>
        <v>Feminino</v>
      </c>
      <c r="F23" s="2">
        <v>22513</v>
      </c>
      <c r="G23" t="str" cm="1">
        <f t="array" aca="1" ref="G23" ca="1">INDEX(rua_cod!$F:$F,RANDBETWEEN(2,COUNTA(rua_cod!F:F)))</f>
        <v>Rua do Arsenal</v>
      </c>
      <c r="H23" t="str" cm="1">
        <f t="array" aca="1" ref="H23" ca="1">INDEX(rua_cod!$A:$A,Users!V23) &amp; "-" &amp; TEXT(RANDBETWEEN(0,999),"000")</f>
        <v>2714-511</v>
      </c>
      <c r="I23" t="str" cm="1">
        <f t="array" aca="1" ref="I23" ca="1">INDEX(rua_cod!$B:$B,Users!V23)</f>
        <v>Sintra</v>
      </c>
      <c r="J23" t="s">
        <v>3727</v>
      </c>
      <c r="K23" t="s">
        <v>225</v>
      </c>
      <c r="L23" t="s">
        <v>265</v>
      </c>
      <c r="M23" t="str">
        <f t="shared" ca="1" si="1"/>
        <v>64812594</v>
      </c>
      <c r="N23" t="str">
        <f t="shared" ca="1" si="2"/>
        <v>620682169</v>
      </c>
      <c r="O23" t="str">
        <f t="shared" ca="1" si="2"/>
        <v>625382836</v>
      </c>
      <c r="P23" t="str" cm="1">
        <f t="array" aca="1" ref="P23" ca="1">9 &amp; INDEX($AF$3:$AF$6,W23)&amp; TEXT(RANDBETWEEN(0,9999999),"0000000")</f>
        <v>936003725</v>
      </c>
      <c r="Q23" t="str" cm="1">
        <f t="array" aca="1" ref="Q23" ca="1">LOWER(B23) &amp; INDEX($AF$9:$AF$11,X23)</f>
        <v>mattra2714@outlook.com</v>
      </c>
      <c r="R23" t="str">
        <f t="shared" ca="1" si="3"/>
        <v>mattra2714.jpg</v>
      </c>
      <c r="T23" s="4"/>
      <c r="V23">
        <f ca="1">RANDBETWEEN(2,COUNTA(rua_cod!A:A))</f>
        <v>101</v>
      </c>
      <c r="W23">
        <f t="shared" ca="1" si="4"/>
        <v>3</v>
      </c>
      <c r="X23">
        <f t="shared" ca="1" si="5"/>
        <v>1</v>
      </c>
      <c r="Y23">
        <f t="shared" ca="1" si="6"/>
        <v>1969</v>
      </c>
      <c r="Z23">
        <f t="shared" ca="1" si="7"/>
        <v>3</v>
      </c>
      <c r="AA23">
        <f t="shared" ca="1" si="8"/>
        <v>23</v>
      </c>
      <c r="AB23">
        <f t="shared" ca="1" si="9"/>
        <v>51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leoboa1349</v>
      </c>
      <c r="C24" t="str">
        <f t="shared" ca="1" si="0"/>
        <v>pswleoboa1349</v>
      </c>
      <c r="D24" t="str">
        <f ca="1">Nomes!T25</f>
        <v>Leonor Miranda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Rua General Morais Sarmento</v>
      </c>
      <c r="H24" t="str" cm="1">
        <f t="array" aca="1" ref="H24" ca="1">INDEX(rua_cod!$A:$A,Users!V24) &amp; "-" &amp; TEXT(RANDBETWEEN(0,999),"000")</f>
        <v>1349-469</v>
      </c>
      <c r="I24" t="str" cm="1">
        <f t="array" aca="1" ref="I24" ca="1">INDEX(rua_cod!$B:$B,Users!V24)</f>
        <v>Lisboa</v>
      </c>
      <c r="J24" t="s">
        <v>3727</v>
      </c>
      <c r="K24" t="s">
        <v>225</v>
      </c>
      <c r="L24" t="s">
        <v>265</v>
      </c>
      <c r="M24" t="str">
        <f t="shared" ca="1" si="1"/>
        <v>84057438</v>
      </c>
      <c r="N24" t="str">
        <f t="shared" ca="1" si="2"/>
        <v>295248149</v>
      </c>
      <c r="O24" t="str">
        <f t="shared" ca="1" si="2"/>
        <v>307650495</v>
      </c>
      <c r="P24" t="str" cm="1">
        <f t="array" aca="1" ref="P24" ca="1">9 &amp; INDEX($AF$3:$AF$6,W24)&amp; TEXT(RANDBETWEEN(0,9999999),"0000000")</f>
        <v>924516733</v>
      </c>
      <c r="Q24" t="str" cm="1">
        <f t="array" aca="1" ref="Q24" ca="1">LOWER(B24) &amp; INDEX($AF$9:$AF$11,X24)</f>
        <v>leoboa1349@outlook.com</v>
      </c>
      <c r="R24" t="str">
        <f t="shared" ca="1" si="3"/>
        <v>leoboa1349.jpg</v>
      </c>
      <c r="T24" s="4"/>
      <c r="V24">
        <f ca="1">RANDBETWEEN(2,COUNTA(rua_cod!A:A))</f>
        <v>71</v>
      </c>
      <c r="W24">
        <f t="shared" ca="1" si="4"/>
        <v>2</v>
      </c>
      <c r="X24">
        <f t="shared" ca="1" si="5"/>
        <v>1</v>
      </c>
      <c r="Y24">
        <f t="shared" ca="1" si="6"/>
        <v>2001</v>
      </c>
      <c r="Z24">
        <f t="shared" ca="1" si="7"/>
        <v>10</v>
      </c>
      <c r="AA24">
        <f t="shared" ca="1" si="8"/>
        <v>21</v>
      </c>
      <c r="AB24">
        <f t="shared" ca="1" si="9"/>
        <v>19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diaada2804</v>
      </c>
      <c r="C25" t="str">
        <f t="shared" ca="1" si="0"/>
        <v>pswdiaada2804</v>
      </c>
      <c r="D25" t="str">
        <f ca="1">Nomes!T26</f>
        <v>Diana Mendes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Ferreira Lapa</v>
      </c>
      <c r="H25" t="str" cm="1">
        <f t="array" aca="1" ref="H25" ca="1">INDEX(rua_cod!$A:$A,Users!V25) &amp; "-" &amp; TEXT(RANDBETWEEN(0,999),"000")</f>
        <v>2804-930</v>
      </c>
      <c r="I25" t="str" cm="1">
        <f t="array" aca="1" ref="I25" ca="1">INDEX(rua_cod!$B:$B,Users!V25)</f>
        <v>Almada</v>
      </c>
      <c r="J25" t="s">
        <v>3727</v>
      </c>
      <c r="K25" t="s">
        <v>225</v>
      </c>
      <c r="L25" t="s">
        <v>265</v>
      </c>
      <c r="M25" t="str">
        <f t="shared" ca="1" si="1"/>
        <v>47700886</v>
      </c>
      <c r="N25" t="str">
        <f t="shared" ca="1" si="2"/>
        <v>843176636</v>
      </c>
      <c r="O25" t="str">
        <f t="shared" ca="1" si="2"/>
        <v>912462778</v>
      </c>
      <c r="P25" t="str" cm="1">
        <f t="array" aca="1" ref="P25" ca="1">9 &amp; INDEX($AF$3:$AF$6,W25)&amp; TEXT(RANDBETWEEN(0,9999999),"0000000")</f>
        <v>916203330</v>
      </c>
      <c r="Q25" t="str" cm="1">
        <f t="array" aca="1" ref="Q25" ca="1">LOWER(B25) &amp; INDEX($AF$9:$AF$11,X25)</f>
        <v>diaada2804@gmail.com</v>
      </c>
      <c r="R25" t="str">
        <f t="shared" ca="1" si="3"/>
        <v>diaada2804.jpg</v>
      </c>
      <c r="T25" s="4"/>
      <c r="V25">
        <f ca="1">RANDBETWEEN(2,COUNTA(rua_cod!A:A))</f>
        <v>7</v>
      </c>
      <c r="W25">
        <f t="shared" ca="1" si="4"/>
        <v>1</v>
      </c>
      <c r="X25">
        <f t="shared" ca="1" si="5"/>
        <v>2</v>
      </c>
      <c r="Y25">
        <f t="shared" ca="1" si="6"/>
        <v>1933</v>
      </c>
      <c r="Z25">
        <f t="shared" ca="1" si="7"/>
        <v>1</v>
      </c>
      <c r="AA25">
        <f t="shared" ca="1" si="8"/>
        <v>25</v>
      </c>
      <c r="AB25">
        <f t="shared" ca="1" si="9"/>
        <v>87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leoboa1999</v>
      </c>
      <c r="C26" t="str">
        <f t="shared" ca="1" si="0"/>
        <v>pswleoboa1999</v>
      </c>
      <c r="D26" t="str">
        <f ca="1">Nomes!T27</f>
        <v>Leonor Fonseca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do Sacramento à Lapa</v>
      </c>
      <c r="H26" t="str" cm="1">
        <f t="array" aca="1" ref="H26" ca="1">INDEX(rua_cod!$A:$A,Users!V26) &amp; "-" &amp; TEXT(RANDBETWEEN(0,999),"000")</f>
        <v>1999-343</v>
      </c>
      <c r="I26" t="str" cm="1">
        <f t="array" aca="1" ref="I26" ca="1">INDEX(rua_cod!$B:$B,Users!V26)</f>
        <v>Lisboa</v>
      </c>
      <c r="J26" t="s">
        <v>3727</v>
      </c>
      <c r="K26" t="s">
        <v>225</v>
      </c>
      <c r="L26" t="s">
        <v>265</v>
      </c>
      <c r="M26" t="str">
        <f t="shared" ca="1" si="1"/>
        <v>96900427</v>
      </c>
      <c r="N26" t="str">
        <f t="shared" ca="1" si="2"/>
        <v>731849710</v>
      </c>
      <c r="O26" t="str">
        <f t="shared" ca="1" si="2"/>
        <v>425555391</v>
      </c>
      <c r="P26" t="str" cm="1">
        <f t="array" aca="1" ref="P26" ca="1">9 &amp; INDEX($AF$3:$AF$6,W26)&amp; TEXT(RANDBETWEEN(0,9999999),"0000000")</f>
        <v>917111654</v>
      </c>
      <c r="Q26" t="str" cm="1">
        <f t="array" aca="1" ref="Q26" ca="1">LOWER(B26) &amp; INDEX($AF$9:$AF$11,X26)</f>
        <v>leoboa1999@gmail.com</v>
      </c>
      <c r="R26" t="str">
        <f t="shared" ca="1" si="3"/>
        <v>leoboa1999.jpg</v>
      </c>
      <c r="T26" s="4"/>
      <c r="V26">
        <f ca="1">RANDBETWEEN(2,COUNTA(rua_cod!A:A))</f>
        <v>79</v>
      </c>
      <c r="W26">
        <f t="shared" ca="1" si="4"/>
        <v>1</v>
      </c>
      <c r="X26">
        <f t="shared" ca="1" si="5"/>
        <v>2</v>
      </c>
      <c r="Y26">
        <f t="shared" ca="1" si="6"/>
        <v>1963</v>
      </c>
      <c r="Z26">
        <f t="shared" ca="1" si="7"/>
        <v>12</v>
      </c>
      <c r="AA26">
        <f t="shared" ca="1" si="8"/>
        <v>30</v>
      </c>
      <c r="AB26">
        <f t="shared" ca="1" si="9"/>
        <v>57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sarboa1200</v>
      </c>
      <c r="C27" t="str">
        <f t="shared" ca="1" si="0"/>
        <v>pswsarboa1200</v>
      </c>
      <c r="D27" t="str">
        <f ca="1">Nomes!T28</f>
        <v>Sara Ferreira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Travessa de São João da Praça</v>
      </c>
      <c r="H27" t="str" cm="1">
        <f t="array" aca="1" ref="H27" ca="1">INDEX(rua_cod!$A:$A,Users!V27) &amp; "-" &amp; TEXT(RANDBETWEEN(0,999),"000")</f>
        <v>1200-331</v>
      </c>
      <c r="I27" t="str" cm="1">
        <f t="array" aca="1" ref="I27" ca="1">INDEX(rua_cod!$B:$B,Users!V27)</f>
        <v>Lisboa</v>
      </c>
      <c r="J27" t="s">
        <v>3727</v>
      </c>
      <c r="K27" t="s">
        <v>225</v>
      </c>
      <c r="L27" t="s">
        <v>265</v>
      </c>
      <c r="M27" t="str">
        <f t="shared" ca="1" si="1"/>
        <v>69393838</v>
      </c>
      <c r="N27" t="str">
        <f t="shared" ca="1" si="2"/>
        <v>986999817</v>
      </c>
      <c r="O27" t="str">
        <f t="shared" ca="1" si="2"/>
        <v>705624997</v>
      </c>
      <c r="P27" t="str" cm="1">
        <f t="array" aca="1" ref="P27" ca="1">9 &amp; INDEX($AF$3:$AF$6,W27)&amp; TEXT(RANDBETWEEN(0,9999999),"0000000")</f>
        <v>912809378</v>
      </c>
      <c r="Q27" t="str" cm="1">
        <f t="array" aca="1" ref="Q27" ca="1">LOWER(B27) &amp; INDEX($AF$9:$AF$11,X27)</f>
        <v>sarboa1200@outlook.com</v>
      </c>
      <c r="R27" t="str">
        <f t="shared" ca="1" si="3"/>
        <v>sarboa1200.jpg</v>
      </c>
      <c r="T27" s="4"/>
      <c r="V27">
        <f ca="1">RANDBETWEEN(2,COUNTA(rua_cod!A:A))</f>
        <v>48</v>
      </c>
      <c r="W27">
        <f t="shared" ca="1" si="4"/>
        <v>1</v>
      </c>
      <c r="X27">
        <f t="shared" ca="1" si="5"/>
        <v>1</v>
      </c>
      <c r="Y27">
        <f t="shared" ca="1" si="6"/>
        <v>1989</v>
      </c>
      <c r="Z27">
        <f t="shared" ca="1" si="7"/>
        <v>5</v>
      </c>
      <c r="AA27">
        <f t="shared" ca="1" si="8"/>
        <v>28</v>
      </c>
      <c r="AB27">
        <f t="shared" ca="1" si="9"/>
        <v>31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tomiro2830</v>
      </c>
      <c r="C28" t="str">
        <f t="shared" ca="1" si="0"/>
        <v>pswtomiro2830</v>
      </c>
      <c r="D28" t="str">
        <f ca="1">Nomes!T29</f>
        <v>Tomás Leal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Calçada de Carriche</v>
      </c>
      <c r="H28" t="str" cm="1">
        <f t="array" aca="1" ref="H28" ca="1">INDEX(rua_cod!$A:$A,Users!V28) &amp; "-" &amp; TEXT(RANDBETWEEN(0,999),"000")</f>
        <v>2830-518</v>
      </c>
      <c r="I28" t="str" cm="1">
        <f t="array" aca="1" ref="I28" ca="1">INDEX(rua_cod!$B:$B,Users!V28)</f>
        <v>Barreiro</v>
      </c>
      <c r="J28" t="s">
        <v>3727</v>
      </c>
      <c r="K28" t="s">
        <v>225</v>
      </c>
      <c r="L28" t="s">
        <v>265</v>
      </c>
      <c r="M28" t="str">
        <f t="shared" ca="1" si="1"/>
        <v>50801988</v>
      </c>
      <c r="N28" t="str">
        <f t="shared" ca="1" si="2"/>
        <v>416270749</v>
      </c>
      <c r="O28" t="str">
        <f t="shared" ca="1" si="2"/>
        <v>535652212</v>
      </c>
      <c r="P28" t="str" cm="1">
        <f t="array" aca="1" ref="P28" ca="1">9 &amp; INDEX($AF$3:$AF$6,W28)&amp; TEXT(RANDBETWEEN(0,9999999),"0000000")</f>
        <v>915524053</v>
      </c>
      <c r="Q28" t="str" cm="1">
        <f t="array" aca="1" ref="Q28" ca="1">LOWER(B28) &amp; INDEX($AF$9:$AF$11,X28)</f>
        <v>tomiro2830@sapo.pt</v>
      </c>
      <c r="R28" t="str">
        <f t="shared" ca="1" si="3"/>
        <v>tomiro2830.jpg</v>
      </c>
      <c r="T28" s="4"/>
      <c r="V28">
        <f ca="1">RANDBETWEEN(2,COUNTA(rua_cod!A:A))</f>
        <v>16</v>
      </c>
      <c r="W28">
        <f t="shared" ca="1" si="4"/>
        <v>1</v>
      </c>
      <c r="X28">
        <f t="shared" ca="1" si="5"/>
        <v>3</v>
      </c>
      <c r="Y28">
        <f t="shared" ca="1" si="6"/>
        <v>1982</v>
      </c>
      <c r="Z28">
        <f t="shared" ca="1" si="7"/>
        <v>2</v>
      </c>
      <c r="AA28">
        <f t="shared" ca="1" si="8"/>
        <v>17</v>
      </c>
      <c r="AB28">
        <f t="shared" ca="1" si="9"/>
        <v>38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anabal2914</v>
      </c>
      <c r="C29" t="str">
        <f t="shared" ca="1" si="0"/>
        <v>pswanabal2914</v>
      </c>
      <c r="D29" t="str">
        <f ca="1">Nomes!T30</f>
        <v>Ana Correia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de São Mamede</v>
      </c>
      <c r="H29" t="str" cm="1">
        <f t="array" aca="1" ref="H29" ca="1">INDEX(rua_cod!$A:$A,Users!V29) &amp; "-" &amp; TEXT(RANDBETWEEN(0,999),"000")</f>
        <v>2914-525</v>
      </c>
      <c r="I29" t="str" cm="1">
        <f t="array" aca="1" ref="I29" ca="1">INDEX(rua_cod!$B:$B,Users!V29)</f>
        <v>Setúbal</v>
      </c>
      <c r="J29" t="s">
        <v>3727</v>
      </c>
      <c r="K29" t="s">
        <v>225</v>
      </c>
      <c r="L29" t="s">
        <v>265</v>
      </c>
      <c r="M29" t="str">
        <f t="shared" ca="1" si="1"/>
        <v>25593964</v>
      </c>
      <c r="N29" t="str">
        <f t="shared" ca="1" si="2"/>
        <v>984947263</v>
      </c>
      <c r="O29" t="str">
        <f t="shared" ca="1" si="2"/>
        <v>461344810</v>
      </c>
      <c r="P29" t="str" cm="1">
        <f t="array" aca="1" ref="P29" ca="1">9 &amp; INDEX($AF$3:$AF$6,W29)&amp; TEXT(RANDBETWEEN(0,9999999),"0000000")</f>
        <v>922099128</v>
      </c>
      <c r="Q29" t="str" cm="1">
        <f t="array" aca="1" ref="Q29" ca="1">LOWER(B29) &amp; INDEX($AF$9:$AF$11,X29)</f>
        <v>anabal2914@gmail.com</v>
      </c>
      <c r="R29" t="str">
        <f t="shared" ca="1" si="3"/>
        <v>anabal2914.jpg</v>
      </c>
      <c r="T29" s="4"/>
      <c r="V29">
        <f ca="1">RANDBETWEEN(2,COUNTA(rua_cod!A:A))</f>
        <v>98</v>
      </c>
      <c r="W29">
        <f t="shared" ca="1" si="4"/>
        <v>2</v>
      </c>
      <c r="X29">
        <f t="shared" ca="1" si="5"/>
        <v>2</v>
      </c>
      <c r="Y29">
        <f t="shared" ca="1" si="6"/>
        <v>2014</v>
      </c>
      <c r="Z29">
        <f t="shared" ca="1" si="7"/>
        <v>8</v>
      </c>
      <c r="AA29">
        <f t="shared" ca="1" si="8"/>
        <v>1</v>
      </c>
      <c r="AB29">
        <f t="shared" ca="1" si="9"/>
        <v>6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danbal2914</v>
      </c>
      <c r="C30" t="str">
        <f t="shared" ca="1" si="0"/>
        <v>pswdanbal2914</v>
      </c>
      <c r="D30" t="str">
        <f ca="1">Nomes!T31</f>
        <v>Daniela Marques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Calçada do Poço dos Mouros</v>
      </c>
      <c r="H30" t="str" cm="1">
        <f t="array" aca="1" ref="H30" ca="1">INDEX(rua_cod!$A:$A,Users!V30) &amp; "-" &amp; TEXT(RANDBETWEEN(0,999),"000")</f>
        <v>2914-980</v>
      </c>
      <c r="I30" t="str" cm="1">
        <f t="array" aca="1" ref="I30" ca="1">INDEX(rua_cod!$B:$B,Users!V30)</f>
        <v>Setúbal</v>
      </c>
      <c r="J30" t="s">
        <v>3727</v>
      </c>
      <c r="K30" t="s">
        <v>225</v>
      </c>
      <c r="L30" t="s">
        <v>265</v>
      </c>
      <c r="M30" t="str">
        <f t="shared" ca="1" si="1"/>
        <v>88370876</v>
      </c>
      <c r="N30" t="str">
        <f t="shared" ca="1" si="2"/>
        <v>352121075</v>
      </c>
      <c r="O30" t="str">
        <f t="shared" ca="1" si="2"/>
        <v>830533911</v>
      </c>
      <c r="P30" t="str" cm="1">
        <f t="array" aca="1" ref="P30" ca="1">9 &amp; INDEX($AF$3:$AF$6,W30)&amp; TEXT(RANDBETWEEN(0,9999999),"0000000")</f>
        <v>931276569</v>
      </c>
      <c r="Q30" t="str" cm="1">
        <f t="array" aca="1" ref="Q30" ca="1">LOWER(B30) &amp; INDEX($AF$9:$AF$11,X30)</f>
        <v>danbal2914@outlook.com</v>
      </c>
      <c r="R30" t="str">
        <f t="shared" ca="1" si="3"/>
        <v>danbal2914.jpg</v>
      </c>
      <c r="T30" s="4"/>
      <c r="V30">
        <f ca="1">RANDBETWEEN(2,COUNTA(rua_cod!A:A))</f>
        <v>98</v>
      </c>
      <c r="W30">
        <f t="shared" ca="1" si="4"/>
        <v>3</v>
      </c>
      <c r="X30">
        <f t="shared" ca="1" si="5"/>
        <v>1</v>
      </c>
      <c r="Y30">
        <f t="shared" ca="1" si="6"/>
        <v>2005</v>
      </c>
      <c r="Z30">
        <f t="shared" ca="1" si="7"/>
        <v>5</v>
      </c>
      <c r="AA30">
        <f t="shared" ca="1" si="8"/>
        <v>30</v>
      </c>
      <c r="AB30">
        <f t="shared" ca="1" si="9"/>
        <v>15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fraboa1600</v>
      </c>
      <c r="C31" t="str">
        <f t="shared" ca="1" si="0"/>
        <v>pswfraboa1600</v>
      </c>
      <c r="D31" t="str">
        <f ca="1">Nomes!T32</f>
        <v>Francisca Simões</v>
      </c>
      <c r="E31" t="str">
        <f ca="1">Nomes!S32</f>
        <v>Feminino</v>
      </c>
      <c r="F31" s="2">
        <v>15242</v>
      </c>
      <c r="G31" t="str" cm="1">
        <f t="array" aca="1" ref="G31" ca="1">INDEX(rua_cod!$F:$F,RANDBETWEEN(2,COUNTA(rua_cod!F:F)))</f>
        <v>Calçada do Moinho de Vento</v>
      </c>
      <c r="H31" t="str" cm="1">
        <f t="array" aca="1" ref="H31" ca="1">INDEX(rua_cod!$A:$A,Users!V31) &amp; "-" &amp; TEXT(RANDBETWEEN(0,999),"000")</f>
        <v>1600-561</v>
      </c>
      <c r="I31" t="str" cm="1">
        <f t="array" aca="1" ref="I31" ca="1">INDEX(rua_cod!$B:$B,Users!V31)</f>
        <v>Lisboa</v>
      </c>
      <c r="J31" t="s">
        <v>3727</v>
      </c>
      <c r="K31" t="s">
        <v>225</v>
      </c>
      <c r="L31" t="s">
        <v>265</v>
      </c>
      <c r="M31" t="str">
        <f t="shared" ca="1" si="1"/>
        <v>30491004</v>
      </c>
      <c r="N31" t="str">
        <f t="shared" ca="1" si="2"/>
        <v>189687097</v>
      </c>
      <c r="O31" t="str">
        <f t="shared" ca="1" si="2"/>
        <v>649931029</v>
      </c>
      <c r="P31" t="str" cm="1">
        <f t="array" aca="1" ref="P31" ca="1">9 &amp; INDEX($AF$3:$AF$6,W31)&amp; TEXT(RANDBETWEEN(0,9999999),"0000000")</f>
        <v>924729734</v>
      </c>
      <c r="Q31" t="str" cm="1">
        <f t="array" aca="1" ref="Q31" ca="1">LOWER(B31) &amp; INDEX($AF$9:$AF$11,X31)</f>
        <v>fraboa1600@gmail.com</v>
      </c>
      <c r="R31" t="str">
        <f t="shared" ca="1" si="3"/>
        <v>fraboa1600.jpg</v>
      </c>
      <c r="T31" s="4"/>
      <c r="V31">
        <f ca="1">RANDBETWEEN(2,COUNTA(rua_cod!A:A))</f>
        <v>60</v>
      </c>
      <c r="W31">
        <f t="shared" ca="1" si="4"/>
        <v>2</v>
      </c>
      <c r="X31">
        <f t="shared" ca="1" si="5"/>
        <v>2</v>
      </c>
      <c r="Y31">
        <f t="shared" ca="1" si="6"/>
        <v>1994</v>
      </c>
      <c r="Z31">
        <f t="shared" ca="1" si="7"/>
        <v>1</v>
      </c>
      <c r="AA31">
        <f t="shared" ca="1" si="8"/>
        <v>24</v>
      </c>
      <c r="AB31">
        <f t="shared" ca="1" si="9"/>
        <v>26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brubal2900</v>
      </c>
      <c r="C32" t="str">
        <f t="shared" ca="1" si="0"/>
        <v>pswbrubal2900</v>
      </c>
      <c r="D32" t="str">
        <f ca="1">Nomes!T33</f>
        <v>Bruno Machado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do Arsenal</v>
      </c>
      <c r="H32" t="str" cm="1">
        <f t="array" aca="1" ref="H32" ca="1">INDEX(rua_cod!$A:$A,Users!V32) &amp; "-" &amp; TEXT(RANDBETWEEN(0,999),"000")</f>
        <v>2900-198</v>
      </c>
      <c r="I32" t="str" cm="1">
        <f t="array" aca="1" ref="I32" ca="1">INDEX(rua_cod!$B:$B,Users!V32)</f>
        <v>Setúbal</v>
      </c>
      <c r="J32" t="s">
        <v>3727</v>
      </c>
      <c r="K32" t="s">
        <v>225</v>
      </c>
      <c r="L32" t="s">
        <v>265</v>
      </c>
      <c r="M32" t="str">
        <f t="shared" ca="1" si="1"/>
        <v>17985477</v>
      </c>
      <c r="N32" t="str">
        <f t="shared" ca="1" si="2"/>
        <v>389266125</v>
      </c>
      <c r="O32" t="str">
        <f t="shared" ca="1" si="2"/>
        <v>378974483</v>
      </c>
      <c r="P32" t="str" cm="1">
        <f t="array" aca="1" ref="P32" ca="1">9 &amp; INDEX($AF$3:$AF$6,W32)&amp; TEXT(RANDBETWEEN(0,9999999),"0000000")</f>
        <v>915626548</v>
      </c>
      <c r="Q32" t="str" cm="1">
        <f t="array" aca="1" ref="Q32" ca="1">LOWER(B32) &amp; INDEX($AF$9:$AF$11,X32)</f>
        <v>brubal2900@sapo.pt</v>
      </c>
      <c r="R32" t="str">
        <f t="shared" ca="1" si="3"/>
        <v>brubal2900.jpg</v>
      </c>
      <c r="T32" s="4"/>
      <c r="V32">
        <f ca="1">RANDBETWEEN(2,COUNTA(rua_cod!A:A))</f>
        <v>96</v>
      </c>
      <c r="W32">
        <f t="shared" ca="1" si="4"/>
        <v>1</v>
      </c>
      <c r="X32">
        <f t="shared" ca="1" si="5"/>
        <v>3</v>
      </c>
      <c r="Y32">
        <f t="shared" ca="1" si="6"/>
        <v>1984</v>
      </c>
      <c r="Z32">
        <f t="shared" ca="1" si="7"/>
        <v>1</v>
      </c>
      <c r="AA32">
        <f t="shared" ca="1" si="8"/>
        <v>30</v>
      </c>
      <c r="AB32">
        <f t="shared" ca="1" si="9"/>
        <v>36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lurbal2914</v>
      </c>
      <c r="C33" t="str">
        <f t="shared" ca="1" si="0"/>
        <v>pswlurbal2914</v>
      </c>
      <c r="D33" t="str">
        <f ca="1">Nomes!T34</f>
        <v>Lurdes Neto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de São Bento</v>
      </c>
      <c r="H33" t="str" cm="1">
        <f t="array" aca="1" ref="H33" ca="1">INDEX(rua_cod!$A:$A,Users!V33) &amp; "-" &amp; TEXT(RANDBETWEEN(0,999),"000")</f>
        <v>2914-391</v>
      </c>
      <c r="I33" t="str" cm="1">
        <f t="array" aca="1" ref="I33" ca="1">INDEX(rua_cod!$B:$B,Users!V33)</f>
        <v>Setúbal</v>
      </c>
      <c r="J33" t="s">
        <v>3727</v>
      </c>
      <c r="K33" t="s">
        <v>225</v>
      </c>
      <c r="L33" t="s">
        <v>265</v>
      </c>
      <c r="M33" t="str">
        <f t="shared" ca="1" si="1"/>
        <v>85551018</v>
      </c>
      <c r="N33" t="str">
        <f t="shared" ca="1" si="2"/>
        <v>163110841</v>
      </c>
      <c r="O33" t="str">
        <f t="shared" ca="1" si="2"/>
        <v>530537535</v>
      </c>
      <c r="P33" t="str" cm="1">
        <f t="array" aca="1" ref="P33" ca="1">9 &amp; INDEX($AF$3:$AF$6,W33)&amp; TEXT(RANDBETWEEN(0,9999999),"0000000")</f>
        <v>969542879</v>
      </c>
      <c r="Q33" t="str" cm="1">
        <f t="array" aca="1" ref="Q33" ca="1">LOWER(B33) &amp; INDEX($AF$9:$AF$11,X33)</f>
        <v>lurbal2914@gmail.com</v>
      </c>
      <c r="R33" t="str">
        <f t="shared" ca="1" si="3"/>
        <v>lurbal2914.jpg</v>
      </c>
      <c r="T33" s="4"/>
      <c r="V33">
        <f ca="1">RANDBETWEEN(2,COUNTA(rua_cod!A:A))</f>
        <v>98</v>
      </c>
      <c r="W33">
        <f t="shared" ca="1" si="4"/>
        <v>4</v>
      </c>
      <c r="X33">
        <f t="shared" ca="1" si="5"/>
        <v>2</v>
      </c>
      <c r="Y33">
        <f t="shared" ca="1" si="6"/>
        <v>1948</v>
      </c>
      <c r="Z33">
        <f t="shared" ca="1" si="7"/>
        <v>10</v>
      </c>
      <c r="AA33">
        <f t="shared" ca="1" si="8"/>
        <v>11</v>
      </c>
      <c r="AB33">
        <f t="shared" ca="1" si="9"/>
        <v>72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carres2674</v>
      </c>
      <c r="C34" t="str">
        <f t="shared" ca="1" si="0"/>
        <v>pswcarres2674</v>
      </c>
      <c r="D34" t="str">
        <f ca="1">Nomes!T35</f>
        <v>Carolina Ferreira Reis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Estrada Militar</v>
      </c>
      <c r="H34" t="str" cm="1">
        <f t="array" aca="1" ref="H34" ca="1">INDEX(rua_cod!$A:$A,Users!V34) &amp; "-" &amp; TEXT(RANDBETWEEN(0,999),"000")</f>
        <v>2674-995</v>
      </c>
      <c r="I34" t="str" cm="1">
        <f t="array" aca="1" ref="I34" ca="1">INDEX(rua_cod!$B:$B,Users!V34)</f>
        <v>Loures</v>
      </c>
      <c r="J34" t="s">
        <v>3727</v>
      </c>
      <c r="K34" t="s">
        <v>225</v>
      </c>
      <c r="L34" t="s">
        <v>265</v>
      </c>
      <c r="M34" t="str">
        <f t="shared" ca="1" si="1"/>
        <v>41323342</v>
      </c>
      <c r="N34" t="str">
        <f t="shared" ca="1" si="2"/>
        <v>989292542</v>
      </c>
      <c r="O34" t="str">
        <f t="shared" ca="1" si="2"/>
        <v>314152090</v>
      </c>
      <c r="P34" t="str" cm="1">
        <f t="array" aca="1" ref="P34" ca="1">9 &amp; INDEX($AF$3:$AF$6,W34)&amp; TEXT(RANDBETWEEN(0,9999999),"0000000")</f>
        <v>931417983</v>
      </c>
      <c r="Q34" t="str" cm="1">
        <f t="array" aca="1" ref="Q34" ca="1">LOWER(B34) &amp; INDEX($AF$9:$AF$11,X34)</f>
        <v>carres2674@outlook.com</v>
      </c>
      <c r="R34" t="str">
        <f t="shared" ca="1" si="3"/>
        <v>carres2674.jpg</v>
      </c>
      <c r="T34" s="4"/>
      <c r="V34">
        <f ca="1">RANDBETWEEN(2,COUNTA(rua_cod!A:A))</f>
        <v>84</v>
      </c>
      <c r="W34">
        <f t="shared" ca="1" si="4"/>
        <v>3</v>
      </c>
      <c r="X34">
        <f t="shared" ca="1" si="5"/>
        <v>1</v>
      </c>
      <c r="Y34">
        <f t="shared" ca="1" si="6"/>
        <v>1967</v>
      </c>
      <c r="Z34">
        <f t="shared" ca="1" si="7"/>
        <v>12</v>
      </c>
      <c r="AA34">
        <f t="shared" ca="1" si="8"/>
        <v>13</v>
      </c>
      <c r="AB34">
        <f t="shared" ca="1" si="9"/>
        <v>53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pedada2804</v>
      </c>
      <c r="C35" t="str">
        <f t="shared" ca="1" si="0"/>
        <v>pswpedada2804</v>
      </c>
      <c r="D35" t="str">
        <f ca="1">Nomes!T36</f>
        <v>Pedro Loureiro Amaral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Garrett</v>
      </c>
      <c r="H35" t="str" cm="1">
        <f t="array" aca="1" ref="H35" ca="1">INDEX(rua_cod!$A:$A,Users!V35) &amp; "-" &amp; TEXT(RANDBETWEEN(0,999),"000")</f>
        <v>2804-089</v>
      </c>
      <c r="I35" t="str" cm="1">
        <f t="array" aca="1" ref="I35" ca="1">INDEX(rua_cod!$B:$B,Users!V35)</f>
        <v>Almada</v>
      </c>
      <c r="J35" t="s">
        <v>3727</v>
      </c>
      <c r="K35" t="s">
        <v>225</v>
      </c>
      <c r="L35" t="s">
        <v>265</v>
      </c>
      <c r="M35" t="str">
        <f t="shared" ca="1" si="1"/>
        <v>39372559</v>
      </c>
      <c r="N35" t="str">
        <f t="shared" ca="1" si="2"/>
        <v>654324184</v>
      </c>
      <c r="O35" t="str">
        <f t="shared" ca="1" si="2"/>
        <v>276031605</v>
      </c>
      <c r="P35" t="str" cm="1">
        <f t="array" aca="1" ref="P35" ca="1">9 &amp; INDEX($AF$3:$AF$6,W35)&amp; TEXT(RANDBETWEEN(0,9999999),"0000000")</f>
        <v>913993235</v>
      </c>
      <c r="Q35" t="str" cm="1">
        <f t="array" aca="1" ref="Q35" ca="1">LOWER(B35) &amp; INDEX($AF$9:$AF$11,X35)</f>
        <v>pedada2804@outlook.com</v>
      </c>
      <c r="R35" t="str">
        <f t="shared" ca="1" si="3"/>
        <v>pedada2804.jpg</v>
      </c>
      <c r="T35" s="4"/>
      <c r="V35">
        <f ca="1">RANDBETWEEN(2,COUNTA(rua_cod!A:A))</f>
        <v>7</v>
      </c>
      <c r="W35">
        <f t="shared" ca="1" si="4"/>
        <v>1</v>
      </c>
      <c r="X35">
        <f t="shared" ca="1" si="5"/>
        <v>1</v>
      </c>
      <c r="Y35">
        <f t="shared" ca="1" si="6"/>
        <v>1936</v>
      </c>
      <c r="Z35">
        <f t="shared" ca="1" si="7"/>
        <v>6</v>
      </c>
      <c r="AA35">
        <f t="shared" ca="1" si="8"/>
        <v>23</v>
      </c>
      <c r="AB35">
        <f t="shared" ca="1" si="9"/>
        <v>84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luiora2610</v>
      </c>
      <c r="C36" t="str">
        <f t="shared" ca="1" si="0"/>
        <v>pswluiora2610</v>
      </c>
      <c r="D36" t="str">
        <f ca="1">Nomes!T37</f>
        <v>Luís Vieira Garcia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do Arsenal</v>
      </c>
      <c r="H36" t="str" cm="1">
        <f t="array" aca="1" ref="H36" ca="1">INDEX(rua_cod!$A:$A,Users!V36) &amp; "-" &amp; TEXT(RANDBETWEEN(0,999),"000")</f>
        <v>2610-609</v>
      </c>
      <c r="I36" t="str" cm="1">
        <f t="array" aca="1" ref="I36" ca="1">INDEX(rua_cod!$B:$B,Users!V36)</f>
        <v>Amadora</v>
      </c>
      <c r="J36" t="s">
        <v>3727</v>
      </c>
      <c r="K36" t="s">
        <v>225</v>
      </c>
      <c r="L36" t="s">
        <v>265</v>
      </c>
      <c r="M36" t="str">
        <f t="shared" ca="1" si="1"/>
        <v>18239083</v>
      </c>
      <c r="N36" t="str">
        <f t="shared" ca="1" si="2"/>
        <v>432227351</v>
      </c>
      <c r="O36" t="str">
        <f t="shared" ca="1" si="2"/>
        <v>413334686</v>
      </c>
      <c r="P36" t="str" cm="1">
        <f t="array" aca="1" ref="P36" ca="1">9 &amp; INDEX($AF$3:$AF$6,W36)&amp; TEXT(RANDBETWEEN(0,9999999),"0000000")</f>
        <v>920280492</v>
      </c>
      <c r="Q36" t="str" cm="1">
        <f t="array" aca="1" ref="Q36" ca="1">LOWER(B36) &amp; INDEX($AF$9:$AF$11,X36)</f>
        <v>luiora2610@sapo.pt</v>
      </c>
      <c r="R36" t="str">
        <f t="shared" ca="1" si="3"/>
        <v>luiora2610.jpg</v>
      </c>
      <c r="T36" s="4"/>
      <c r="V36">
        <f ca="1">RANDBETWEEN(2,COUNTA(rua_cod!A:A))</f>
        <v>12</v>
      </c>
      <c r="W36">
        <f t="shared" ca="1" si="4"/>
        <v>2</v>
      </c>
      <c r="X36">
        <f t="shared" ca="1" si="5"/>
        <v>3</v>
      </c>
      <c r="Y36">
        <f t="shared" ca="1" si="6"/>
        <v>2011</v>
      </c>
      <c r="Z36">
        <f t="shared" ca="1" si="7"/>
        <v>2</v>
      </c>
      <c r="AA36">
        <f t="shared" ca="1" si="8"/>
        <v>1</v>
      </c>
      <c r="AB36">
        <f t="shared" ca="1" si="9"/>
        <v>9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joaais2750</v>
      </c>
      <c r="C37" t="str">
        <f t="shared" ca="1" si="0"/>
        <v>pswjoaais2750</v>
      </c>
      <c r="D37" t="str">
        <f ca="1">Nomes!T38</f>
        <v>Joaquim Monteiro Soares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Calçada Marquês de Abrantes</v>
      </c>
      <c r="H37" t="str" cm="1">
        <f t="array" aca="1" ref="H37" ca="1">INDEX(rua_cod!$A:$A,Users!V37) &amp; "-" &amp; TEXT(RANDBETWEEN(0,999),"000")</f>
        <v>2750-336</v>
      </c>
      <c r="I37" t="str" cm="1">
        <f t="array" aca="1" ref="I37" ca="1">INDEX(rua_cod!$B:$B,Users!V37)</f>
        <v>Cascais</v>
      </c>
      <c r="J37" t="s">
        <v>3727</v>
      </c>
      <c r="K37" t="s">
        <v>225</v>
      </c>
      <c r="L37" t="s">
        <v>265</v>
      </c>
      <c r="M37" t="str">
        <f t="shared" ca="1" si="1"/>
        <v>34125479</v>
      </c>
      <c r="N37" t="str">
        <f t="shared" ca="1" si="2"/>
        <v>300919278</v>
      </c>
      <c r="O37" t="str">
        <f t="shared" ca="1" si="2"/>
        <v>503561034</v>
      </c>
      <c r="P37" t="str" cm="1">
        <f t="array" aca="1" ref="P37" ca="1">9 &amp; INDEX($AF$3:$AF$6,W37)&amp; TEXT(RANDBETWEEN(0,9999999),"0000000")</f>
        <v>930961497</v>
      </c>
      <c r="Q37" t="str" cm="1">
        <f t="array" aca="1" ref="Q37" ca="1">LOWER(B37) &amp; INDEX($AF$9:$AF$11,X37)</f>
        <v>joaais2750@sapo.pt</v>
      </c>
      <c r="R37" t="str">
        <f t="shared" ca="1" si="3"/>
        <v>joaais2750.jpg</v>
      </c>
      <c r="T37" s="4"/>
      <c r="V37">
        <f ca="1">RANDBETWEEN(2,COUNTA(rua_cod!A:A))</f>
        <v>24</v>
      </c>
      <c r="W37">
        <f t="shared" ca="1" si="4"/>
        <v>3</v>
      </c>
      <c r="X37">
        <f t="shared" ca="1" si="5"/>
        <v>3</v>
      </c>
      <c r="Y37">
        <f t="shared" ca="1" si="6"/>
        <v>1976</v>
      </c>
      <c r="Z37">
        <f t="shared" ca="1" si="7"/>
        <v>3</v>
      </c>
      <c r="AA37">
        <f t="shared" ca="1" si="8"/>
        <v>18</v>
      </c>
      <c r="AB37">
        <f t="shared" ca="1" si="9"/>
        <v>44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sanora2700</v>
      </c>
      <c r="C38" t="str">
        <f t="shared" ca="1" si="0"/>
        <v>pswsanora2700</v>
      </c>
      <c r="D38" t="str">
        <f ca="1">Nomes!T39</f>
        <v>Santiago Amaral Jesus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Estrada da Circunvalação de Lisboa</v>
      </c>
      <c r="H38" t="str" cm="1">
        <f t="array" aca="1" ref="H38" ca="1">INDEX(rua_cod!$A:$A,Users!V38) &amp; "-" &amp; TEXT(RANDBETWEEN(0,999),"000")</f>
        <v>2700-486</v>
      </c>
      <c r="I38" t="str" cm="1">
        <f t="array" aca="1" ref="I38" ca="1">INDEX(rua_cod!$B:$B,Users!V38)</f>
        <v>Amadora</v>
      </c>
      <c r="J38" t="s">
        <v>3727</v>
      </c>
      <c r="K38" t="s">
        <v>225</v>
      </c>
      <c r="L38" t="s">
        <v>265</v>
      </c>
      <c r="M38" t="str">
        <f t="shared" ca="1" si="1"/>
        <v>74234235</v>
      </c>
      <c r="N38" t="str">
        <f t="shared" ca="1" si="2"/>
        <v>701162059</v>
      </c>
      <c r="O38" t="str">
        <f t="shared" ca="1" si="2"/>
        <v>152355747</v>
      </c>
      <c r="P38" t="str" cm="1">
        <f t="array" aca="1" ref="P38" ca="1">9 &amp; INDEX($AF$3:$AF$6,W38)&amp; TEXT(RANDBETWEEN(0,9999999),"0000000")</f>
        <v>915764755</v>
      </c>
      <c r="Q38" t="str" cm="1">
        <f t="array" aca="1" ref="Q38" ca="1">LOWER(B38) &amp; INDEX($AF$9:$AF$11,X38)</f>
        <v>sanora2700@outlook.com</v>
      </c>
      <c r="R38" t="str">
        <f t="shared" ca="1" si="3"/>
        <v>sanora2700.jpg</v>
      </c>
      <c r="T38" s="4"/>
      <c r="V38">
        <f ca="1">RANDBETWEEN(2,COUNTA(rua_cod!A:A))</f>
        <v>10</v>
      </c>
      <c r="W38">
        <f t="shared" ca="1" si="4"/>
        <v>1</v>
      </c>
      <c r="X38">
        <f t="shared" ca="1" si="5"/>
        <v>1</v>
      </c>
      <c r="Y38">
        <f t="shared" ca="1" si="6"/>
        <v>1963</v>
      </c>
      <c r="Z38">
        <f t="shared" ca="1" si="7"/>
        <v>10</v>
      </c>
      <c r="AA38">
        <f t="shared" ca="1" si="8"/>
        <v>15</v>
      </c>
      <c r="AB38">
        <f t="shared" ca="1" si="9"/>
        <v>57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fraboa1350</v>
      </c>
      <c r="C39" t="str">
        <f t="shared" ca="1" si="0"/>
        <v>pswfraboa1350</v>
      </c>
      <c r="D39" t="str">
        <f ca="1">Nomes!T40</f>
        <v>Francisco Torres Leite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Rua do Salitre</v>
      </c>
      <c r="H39" t="str" cm="1">
        <f t="array" aca="1" ref="H39" ca="1">INDEX(rua_cod!$A:$A,Users!V39) &amp; "-" &amp; TEXT(RANDBETWEEN(0,999),"000")</f>
        <v>1350-286</v>
      </c>
      <c r="I39" t="str" cm="1">
        <f t="array" aca="1" ref="I39" ca="1">INDEX(rua_cod!$B:$B,Users!V39)</f>
        <v>Lisboa</v>
      </c>
      <c r="J39" t="s">
        <v>3727</v>
      </c>
      <c r="K39" t="s">
        <v>225</v>
      </c>
      <c r="L39" t="s">
        <v>265</v>
      </c>
      <c r="M39" t="str">
        <f t="shared" ca="1" si="1"/>
        <v>21476785</v>
      </c>
      <c r="N39" t="str">
        <f t="shared" ca="1" si="2"/>
        <v>845899792</v>
      </c>
      <c r="O39" t="str">
        <f t="shared" ca="1" si="2"/>
        <v>530964776</v>
      </c>
      <c r="P39" t="str" cm="1">
        <f t="array" aca="1" ref="P39" ca="1">9 &amp; INDEX($AF$3:$AF$6,W39)&amp; TEXT(RANDBETWEEN(0,9999999),"0000000")</f>
        <v>910182801</v>
      </c>
      <c r="Q39" t="str" cm="1">
        <f t="array" aca="1" ref="Q39" ca="1">LOWER(B39) &amp; INDEX($AF$9:$AF$11,X39)</f>
        <v>fraboa1350@sapo.pt</v>
      </c>
      <c r="R39" t="str">
        <f t="shared" ca="1" si="3"/>
        <v>fraboa1350.jpg</v>
      </c>
      <c r="T39" s="4"/>
      <c r="V39">
        <f ca="1">RANDBETWEEN(2,COUNTA(rua_cod!A:A))</f>
        <v>54</v>
      </c>
      <c r="W39">
        <f t="shared" ca="1" si="4"/>
        <v>1</v>
      </c>
      <c r="X39">
        <f t="shared" ca="1" si="5"/>
        <v>3</v>
      </c>
      <c r="Y39">
        <f t="shared" ca="1" si="6"/>
        <v>1959</v>
      </c>
      <c r="Z39">
        <f t="shared" ca="1" si="7"/>
        <v>2</v>
      </c>
      <c r="AA39">
        <f t="shared" ca="1" si="8"/>
        <v>18</v>
      </c>
      <c r="AB39">
        <f t="shared" ca="1" si="9"/>
        <v>61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catrem2000</v>
      </c>
      <c r="C40" t="str">
        <f t="shared" ca="1" si="0"/>
        <v>pswcatrem2000</v>
      </c>
      <c r="D40" t="str">
        <f ca="1">Nomes!T41</f>
        <v>Catarina Pires Rocha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Estrada Militar</v>
      </c>
      <c r="H40" t="str" cm="1">
        <f t="array" aca="1" ref="H40" ca="1">INDEX(rua_cod!$A:$A,Users!V40) &amp; "-" &amp; TEXT(RANDBETWEEN(0,999),"000")</f>
        <v>2000-541</v>
      </c>
      <c r="I40" t="str" cm="1">
        <f t="array" aca="1" ref="I40" ca="1">INDEX(rua_cod!$B:$B,Users!V40)</f>
        <v>Santarém</v>
      </c>
      <c r="J40" t="s">
        <v>3727</v>
      </c>
      <c r="K40" t="s">
        <v>225</v>
      </c>
      <c r="L40" t="s">
        <v>265</v>
      </c>
      <c r="M40" t="str">
        <f t="shared" ca="1" si="1"/>
        <v>78747017</v>
      </c>
      <c r="N40" t="str">
        <f t="shared" ca="1" si="2"/>
        <v>743129049</v>
      </c>
      <c r="O40" t="str">
        <f t="shared" ca="1" si="2"/>
        <v>586707270</v>
      </c>
      <c r="P40" t="str" cm="1">
        <f t="array" aca="1" ref="P40" ca="1">9 &amp; INDEX($AF$3:$AF$6,W40)&amp; TEXT(RANDBETWEEN(0,9999999),"0000000")</f>
        <v>927315467</v>
      </c>
      <c r="Q40" t="str" cm="1">
        <f t="array" aca="1" ref="Q40" ca="1">LOWER(B40) &amp; INDEX($AF$9:$AF$11,X40)</f>
        <v>catrem2000@sapo.pt</v>
      </c>
      <c r="R40" t="str">
        <f t="shared" ca="1" si="3"/>
        <v>catrem2000.jpg</v>
      </c>
      <c r="T40" s="4"/>
      <c r="V40">
        <f ca="1">RANDBETWEEN(2,COUNTA(rua_cod!A:A))</f>
        <v>93</v>
      </c>
      <c r="W40">
        <f t="shared" ca="1" si="4"/>
        <v>2</v>
      </c>
      <c r="X40">
        <f t="shared" ca="1" si="5"/>
        <v>3</v>
      </c>
      <c r="Y40">
        <f t="shared" ca="1" si="6"/>
        <v>2023</v>
      </c>
      <c r="Z40">
        <f t="shared" ca="1" si="7"/>
        <v>5</v>
      </c>
      <c r="AA40">
        <f t="shared" ca="1" si="8"/>
        <v>20</v>
      </c>
      <c r="AB40">
        <f t="shared" ca="1" si="9"/>
        <v>-3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brumar2300</v>
      </c>
      <c r="C41" t="str">
        <f t="shared" ca="1" si="0"/>
        <v>pswbrumar2300</v>
      </c>
      <c r="D41" t="str">
        <f ca="1">Nomes!T42</f>
        <v>Bruno Torres Oliveira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Estrada das Laranjeiras</v>
      </c>
      <c r="H41" t="str" cm="1">
        <f t="array" aca="1" ref="H41" ca="1">INDEX(rua_cod!$A:$A,Users!V41) &amp; "-" &amp; TEXT(RANDBETWEEN(0,999),"000")</f>
        <v>2300-935</v>
      </c>
      <c r="I41" t="str" cm="1">
        <f t="array" aca="1" ref="I41" ca="1">INDEX(rua_cod!$B:$B,Users!V41)</f>
        <v>Tomar</v>
      </c>
      <c r="J41" t="s">
        <v>3727</v>
      </c>
      <c r="K41" t="s">
        <v>225</v>
      </c>
      <c r="L41" t="s">
        <v>265</v>
      </c>
      <c r="M41" t="str">
        <f t="shared" ca="1" si="1"/>
        <v>50455836</v>
      </c>
      <c r="N41" t="str">
        <f t="shared" ca="1" si="2"/>
        <v>118834225</v>
      </c>
      <c r="O41" t="str">
        <f t="shared" ca="1" si="2"/>
        <v>416661806</v>
      </c>
      <c r="P41" t="str" cm="1">
        <f t="array" aca="1" ref="P41" ca="1">9 &amp; INDEX($AF$3:$AF$6,W41)&amp; TEXT(RANDBETWEEN(0,9999999),"0000000")</f>
        <v>926728367</v>
      </c>
      <c r="Q41" t="str" cm="1">
        <f t="array" aca="1" ref="Q41" ca="1">LOWER(B41) &amp; INDEX($AF$9:$AF$11,X41)</f>
        <v>brumar2300@outlook.com</v>
      </c>
      <c r="R41" t="str">
        <f t="shared" ca="1" si="3"/>
        <v>brumar2300.jpg</v>
      </c>
      <c r="T41" s="4"/>
      <c r="V41">
        <f ca="1">RANDBETWEEN(2,COUNTA(rua_cod!A:A))</f>
        <v>102</v>
      </c>
      <c r="W41">
        <f t="shared" ca="1" si="4"/>
        <v>2</v>
      </c>
      <c r="X41">
        <f t="shared" ca="1" si="5"/>
        <v>1</v>
      </c>
      <c r="Y41">
        <f t="shared" ca="1" si="6"/>
        <v>1988</v>
      </c>
      <c r="Z41">
        <f t="shared" ca="1" si="7"/>
        <v>4</v>
      </c>
      <c r="AA41">
        <f t="shared" ca="1" si="8"/>
        <v>30</v>
      </c>
      <c r="AB41">
        <f t="shared" ca="1" si="9"/>
        <v>32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anaboa1169</v>
      </c>
      <c r="C42" t="str">
        <f t="shared" ca="1" si="0"/>
        <v>pswanaboa1169</v>
      </c>
      <c r="D42" t="str">
        <f ca="1">Nomes!T43</f>
        <v>Ana Barros Lopes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do Sol a Santana</v>
      </c>
      <c r="H42" t="str" cm="1">
        <f t="array" aca="1" ref="H42" ca="1">INDEX(rua_cod!$A:$A,Users!V42) &amp; "-" &amp; TEXT(RANDBETWEEN(0,999),"000")</f>
        <v>1169-202</v>
      </c>
      <c r="I42" t="str" cm="1">
        <f t="array" aca="1" ref="I42" ca="1">INDEX(rua_cod!$B:$B,Users!V42)</f>
        <v>Lisboa</v>
      </c>
      <c r="J42" t="s">
        <v>3727</v>
      </c>
      <c r="K42" t="s">
        <v>225</v>
      </c>
      <c r="L42" t="s">
        <v>265</v>
      </c>
      <c r="M42" t="str">
        <f t="shared" ca="1" si="1"/>
        <v>93428950</v>
      </c>
      <c r="N42" t="str">
        <f t="shared" ca="1" si="2"/>
        <v>199180082</v>
      </c>
      <c r="O42" t="str">
        <f t="shared" ca="1" si="2"/>
        <v>764765440</v>
      </c>
      <c r="P42" t="str" cm="1">
        <f t="array" aca="1" ref="P42" ca="1">9 &amp; INDEX($AF$3:$AF$6,W42)&amp; TEXT(RANDBETWEEN(0,9999999),"0000000")</f>
        <v>934923138</v>
      </c>
      <c r="Q42" t="str" cm="1">
        <f t="array" aca="1" ref="Q42" ca="1">LOWER(B42) &amp; INDEX($AF$9:$AF$11,X42)</f>
        <v>anaboa1169@gmail.com</v>
      </c>
      <c r="R42" t="str">
        <f t="shared" ca="1" si="3"/>
        <v>anaboa1169.jpg</v>
      </c>
      <c r="T42" s="4"/>
      <c r="V42">
        <f ca="1">RANDBETWEEN(2,COUNTA(rua_cod!A:A))</f>
        <v>70</v>
      </c>
      <c r="W42">
        <f t="shared" ca="1" si="4"/>
        <v>3</v>
      </c>
      <c r="X42">
        <f t="shared" ca="1" si="5"/>
        <v>2</v>
      </c>
      <c r="Y42">
        <f t="shared" ca="1" si="6"/>
        <v>1973</v>
      </c>
      <c r="Z42">
        <f t="shared" ca="1" si="7"/>
        <v>12</v>
      </c>
      <c r="AA42">
        <f t="shared" ca="1" si="8"/>
        <v>21</v>
      </c>
      <c r="AB42">
        <f t="shared" ca="1" si="9"/>
        <v>47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afoboa1149</v>
      </c>
      <c r="C43" t="str">
        <f t="shared" ca="1" si="0"/>
        <v>pswafoboa1149</v>
      </c>
      <c r="D43" t="str">
        <f ca="1">Nomes!T44</f>
        <v>Afonso Santos Neves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do Comércio</v>
      </c>
      <c r="H43" t="str" cm="1">
        <f t="array" aca="1" ref="H43" ca="1">INDEX(rua_cod!$A:$A,Users!V43) &amp; "-" &amp; TEXT(RANDBETWEEN(0,999),"000")</f>
        <v>1149-797</v>
      </c>
      <c r="I43" t="str" cm="1">
        <f t="array" aca="1" ref="I43" ca="1">INDEX(rua_cod!$B:$B,Users!V43)</f>
        <v>Lisboa</v>
      </c>
      <c r="J43" t="s">
        <v>3727</v>
      </c>
      <c r="K43" t="s">
        <v>225</v>
      </c>
      <c r="L43" t="s">
        <v>265</v>
      </c>
      <c r="M43" t="str">
        <f t="shared" ca="1" si="1"/>
        <v>71673907</v>
      </c>
      <c r="N43" t="str">
        <f t="shared" ca="1" si="2"/>
        <v>127504167</v>
      </c>
      <c r="O43" t="str">
        <f t="shared" ca="1" si="2"/>
        <v>568369630</v>
      </c>
      <c r="P43" t="str" cm="1">
        <f t="array" aca="1" ref="P43" ca="1">9 &amp; INDEX($AF$3:$AF$6,W43)&amp; TEXT(RANDBETWEEN(0,9999999),"0000000")</f>
        <v>964559374</v>
      </c>
      <c r="Q43" t="str" cm="1">
        <f t="array" aca="1" ref="Q43" ca="1">LOWER(B43) &amp; INDEX($AF$9:$AF$11,X43)</f>
        <v>afoboa1149@outlook.com</v>
      </c>
      <c r="R43" t="str">
        <f t="shared" ca="1" si="3"/>
        <v>afoboa1149.jpg</v>
      </c>
      <c r="T43" s="4"/>
      <c r="V43">
        <f ca="1">RANDBETWEEN(2,COUNTA(rua_cod!A:A))</f>
        <v>59</v>
      </c>
      <c r="W43">
        <f t="shared" ca="1" si="4"/>
        <v>4</v>
      </c>
      <c r="X43">
        <f t="shared" ca="1" si="5"/>
        <v>1</v>
      </c>
      <c r="Y43">
        <f t="shared" ca="1" si="6"/>
        <v>2054</v>
      </c>
      <c r="Z43">
        <f t="shared" ca="1" si="7"/>
        <v>9</v>
      </c>
      <c r="AA43">
        <f t="shared" ca="1" si="8"/>
        <v>21</v>
      </c>
      <c r="AB43">
        <f t="shared" ca="1" si="9"/>
        <v>-34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matboa1300</v>
      </c>
      <c r="C44" t="str">
        <f t="shared" ca="1" si="0"/>
        <v>pswmatboa1300</v>
      </c>
      <c r="D44" t="str">
        <f ca="1">Nomes!T45</f>
        <v>Matilde Carneiro Paiva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Júlio César Machado</v>
      </c>
      <c r="H44" t="str" cm="1">
        <f t="array" aca="1" ref="H44" ca="1">INDEX(rua_cod!$A:$A,Users!V44) &amp; "-" &amp; TEXT(RANDBETWEEN(0,999),"000")</f>
        <v>1300-694</v>
      </c>
      <c r="I44" t="str" cm="1">
        <f t="array" aca="1" ref="I44" ca="1">INDEX(rua_cod!$B:$B,Users!V44)</f>
        <v>Lisboa</v>
      </c>
      <c r="J44" t="s">
        <v>3727</v>
      </c>
      <c r="K44" t="s">
        <v>225</v>
      </c>
      <c r="L44" t="s">
        <v>265</v>
      </c>
      <c r="M44" t="str">
        <f t="shared" ca="1" si="1"/>
        <v>39630651</v>
      </c>
      <c r="N44" t="str">
        <f t="shared" ca="1" si="2"/>
        <v>614219689</v>
      </c>
      <c r="O44" t="str">
        <f t="shared" ca="1" si="2"/>
        <v>490128826</v>
      </c>
      <c r="P44" t="str" cm="1">
        <f t="array" aca="1" ref="P44" ca="1">9 &amp; INDEX($AF$3:$AF$6,W44)&amp; TEXT(RANDBETWEEN(0,9999999),"0000000")</f>
        <v>922662144</v>
      </c>
      <c r="Q44" t="str" cm="1">
        <f t="array" aca="1" ref="Q44" ca="1">LOWER(B44) &amp; INDEX($AF$9:$AF$11,X44)</f>
        <v>matboa1300@gmail.com</v>
      </c>
      <c r="R44" t="str">
        <f t="shared" ca="1" si="3"/>
        <v>matboa1300.jpg</v>
      </c>
      <c r="T44" s="4"/>
      <c r="V44">
        <f ca="1">RANDBETWEEN(2,COUNTA(rua_cod!A:A))</f>
        <v>58</v>
      </c>
      <c r="W44">
        <f t="shared" ca="1" si="4"/>
        <v>2</v>
      </c>
      <c r="X44">
        <f t="shared" ca="1" si="5"/>
        <v>2</v>
      </c>
      <c r="Y44">
        <f t="shared" ca="1" si="6"/>
        <v>1975</v>
      </c>
      <c r="Z44">
        <f t="shared" ca="1" si="7"/>
        <v>6</v>
      </c>
      <c r="AA44">
        <f t="shared" ca="1" si="8"/>
        <v>27</v>
      </c>
      <c r="AB44">
        <f t="shared" ca="1" si="9"/>
        <v>45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luiboa1170</v>
      </c>
      <c r="C45" t="str">
        <f t="shared" ca="1" si="0"/>
        <v>pswluiboa1170</v>
      </c>
      <c r="D45" t="str">
        <f ca="1">Nomes!T46</f>
        <v>Luís Lima Jesus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do Guarda-Mor</v>
      </c>
      <c r="H45" t="str" cm="1">
        <f t="array" aca="1" ref="H45" ca="1">INDEX(rua_cod!$A:$A,Users!V45) &amp; "-" &amp; TEXT(RANDBETWEEN(0,999),"000")</f>
        <v>1170-828</v>
      </c>
      <c r="I45" t="str" cm="1">
        <f t="array" aca="1" ref="I45" ca="1">INDEX(rua_cod!$B:$B,Users!V45)</f>
        <v>Lisboa</v>
      </c>
      <c r="J45" t="s">
        <v>3727</v>
      </c>
      <c r="K45" t="s">
        <v>225</v>
      </c>
      <c r="L45" t="s">
        <v>265</v>
      </c>
      <c r="M45" t="str">
        <f t="shared" ca="1" si="1"/>
        <v>64102121</v>
      </c>
      <c r="N45" t="str">
        <f t="shared" ca="1" si="2"/>
        <v>982109862</v>
      </c>
      <c r="O45" t="str">
        <f t="shared" ca="1" si="2"/>
        <v>926884023</v>
      </c>
      <c r="P45" t="str" cm="1">
        <f t="array" aca="1" ref="P45" ca="1">9 &amp; INDEX($AF$3:$AF$6,W45)&amp; TEXT(RANDBETWEEN(0,9999999),"0000000")</f>
        <v>962420524</v>
      </c>
      <c r="Q45" t="str" cm="1">
        <f t="array" aca="1" ref="Q45" ca="1">LOWER(B45) &amp; INDEX($AF$9:$AF$11,X45)</f>
        <v>luiboa1170@gmail.com</v>
      </c>
      <c r="R45" t="str">
        <f t="shared" ca="1" si="3"/>
        <v>luiboa1170.jpg</v>
      </c>
      <c r="T45" s="4"/>
      <c r="V45">
        <f ca="1">RANDBETWEEN(2,COUNTA(rua_cod!A:A))</f>
        <v>47</v>
      </c>
      <c r="W45">
        <f t="shared" ca="1" si="4"/>
        <v>4</v>
      </c>
      <c r="X45">
        <f t="shared" ca="1" si="5"/>
        <v>2</v>
      </c>
      <c r="Y45">
        <f t="shared" ca="1" si="6"/>
        <v>1987</v>
      </c>
      <c r="Z45">
        <f t="shared" ca="1" si="7"/>
        <v>9</v>
      </c>
      <c r="AA45">
        <f t="shared" ca="1" si="8"/>
        <v>15</v>
      </c>
      <c r="AB45">
        <f t="shared" ca="1" si="9"/>
        <v>33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marijo2870</v>
      </c>
      <c r="C46" t="str">
        <f t="shared" ca="1" si="0"/>
        <v>pswmarijo2870</v>
      </c>
      <c r="D46" t="str">
        <f ca="1">Nomes!T47</f>
        <v>Mariana Lopes Correia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Rua dos Heróis de Quionga</v>
      </c>
      <c r="H46" t="str" cm="1">
        <f t="array" aca="1" ref="H46" ca="1">INDEX(rua_cod!$A:$A,Users!V46) &amp; "-" &amp; TEXT(RANDBETWEEN(0,999),"000")</f>
        <v>2870-462</v>
      </c>
      <c r="I46" t="str" cm="1">
        <f t="array" aca="1" ref="I46" ca="1">INDEX(rua_cod!$B:$B,Users!V46)</f>
        <v>Montijo</v>
      </c>
      <c r="J46" t="s">
        <v>3727</v>
      </c>
      <c r="K46" t="s">
        <v>225</v>
      </c>
      <c r="L46" t="s">
        <v>265</v>
      </c>
      <c r="M46" t="str">
        <f t="shared" ca="1" si="1"/>
        <v>88574624</v>
      </c>
      <c r="N46" t="str">
        <f t="shared" ca="1" si="2"/>
        <v>465928503</v>
      </c>
      <c r="O46" t="str">
        <f t="shared" ca="1" si="2"/>
        <v>793270787</v>
      </c>
      <c r="P46" t="str" cm="1">
        <f t="array" aca="1" ref="P46" ca="1">9 &amp; INDEX($AF$3:$AF$6,W46)&amp; TEXT(RANDBETWEEN(0,9999999),"0000000")</f>
        <v>961001385</v>
      </c>
      <c r="Q46" t="str" cm="1">
        <f t="array" aca="1" ref="Q46" ca="1">LOWER(B46) &amp; INDEX($AF$9:$AF$11,X46)</f>
        <v>marijo2870@gmail.com</v>
      </c>
      <c r="R46" t="str">
        <f t="shared" ca="1" si="3"/>
        <v>marijo2870.jpg</v>
      </c>
      <c r="T46" s="4"/>
      <c r="V46">
        <f ca="1">RANDBETWEEN(2,COUNTA(rua_cod!A:A))</f>
        <v>87</v>
      </c>
      <c r="W46">
        <f t="shared" ca="1" si="4"/>
        <v>4</v>
      </c>
      <c r="X46">
        <f t="shared" ca="1" si="5"/>
        <v>2</v>
      </c>
      <c r="Y46">
        <f t="shared" ca="1" si="6"/>
        <v>1958</v>
      </c>
      <c r="Z46">
        <f t="shared" ca="1" si="7"/>
        <v>3</v>
      </c>
      <c r="AA46">
        <f t="shared" ca="1" si="8"/>
        <v>31</v>
      </c>
      <c r="AB46">
        <f t="shared" ca="1" si="9"/>
        <v>62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sanboa1749</v>
      </c>
      <c r="C47" t="str">
        <f t="shared" ca="1" si="0"/>
        <v>pswsanboa1749</v>
      </c>
      <c r="D47" t="str">
        <f ca="1">Nomes!T48</f>
        <v>Santiago Santos Vicente</v>
      </c>
      <c r="E47" t="str">
        <f ca="1">Nomes!S48</f>
        <v>Masculino</v>
      </c>
      <c r="F47" s="2">
        <v>41931</v>
      </c>
      <c r="G47" t="str" cm="1">
        <f t="array" aca="1" ref="G47" ca="1">INDEX(rua_cod!$F:$F,RANDBETWEEN(2,COUNTA(rua_cod!F:F)))</f>
        <v>Estrada Militar</v>
      </c>
      <c r="H47" t="str" cm="1">
        <f t="array" aca="1" ref="H47" ca="1">INDEX(rua_cod!$A:$A,Users!V47) &amp; "-" &amp; TEXT(RANDBETWEEN(0,999),"000")</f>
        <v>1749-250</v>
      </c>
      <c r="I47" t="str" cm="1">
        <f t="array" aca="1" ref="I47" ca="1">INDEX(rua_cod!$B:$B,Users!V47)</f>
        <v>Lisboa</v>
      </c>
      <c r="J47" t="s">
        <v>3727</v>
      </c>
      <c r="K47" t="s">
        <v>225</v>
      </c>
      <c r="L47" t="s">
        <v>265</v>
      </c>
      <c r="M47" t="str">
        <f t="shared" ca="1" si="1"/>
        <v>58273525</v>
      </c>
      <c r="N47" t="str">
        <f t="shared" ca="1" si="2"/>
        <v>534059208</v>
      </c>
      <c r="O47" t="str">
        <f t="shared" ca="1" si="2"/>
        <v>146172015</v>
      </c>
      <c r="P47" t="str" cm="1">
        <f t="array" aca="1" ref="P47" ca="1">9 &amp; INDEX($AF$3:$AF$6,W47)&amp; TEXT(RANDBETWEEN(0,9999999),"0000000")</f>
        <v>961332051</v>
      </c>
      <c r="Q47" t="str" cm="1">
        <f t="array" aca="1" ref="Q47" ca="1">LOWER(B47) &amp; INDEX($AF$9:$AF$11,X47)</f>
        <v>sanboa1749@gmail.com</v>
      </c>
      <c r="R47" t="str">
        <f t="shared" ca="1" si="3"/>
        <v>sanboa1749.jpg</v>
      </c>
      <c r="T47" s="4"/>
      <c r="V47">
        <f ca="1">RANDBETWEEN(2,COUNTA(rua_cod!A:A))</f>
        <v>61</v>
      </c>
      <c r="W47">
        <f t="shared" ca="1" si="4"/>
        <v>4</v>
      </c>
      <c r="X47">
        <f t="shared" ca="1" si="5"/>
        <v>2</v>
      </c>
      <c r="Y47">
        <f t="shared" ca="1" si="6"/>
        <v>1981</v>
      </c>
      <c r="Z47">
        <f t="shared" ca="1" si="7"/>
        <v>4</v>
      </c>
      <c r="AA47">
        <f t="shared" ca="1" si="8"/>
        <v>26</v>
      </c>
      <c r="AB47">
        <f t="shared" ca="1" si="9"/>
        <v>39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luibal2900</v>
      </c>
      <c r="C48" t="str">
        <f t="shared" ca="1" si="0"/>
        <v>pswluibal2900</v>
      </c>
      <c r="D48" t="str">
        <f ca="1">Nomes!T49</f>
        <v>Luís Lourenço Henriques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 Comércio</v>
      </c>
      <c r="H48" t="str" cm="1">
        <f t="array" aca="1" ref="H48" ca="1">INDEX(rua_cod!$A:$A,Users!V48) &amp; "-" &amp; TEXT(RANDBETWEEN(0,999),"000")</f>
        <v>2900-689</v>
      </c>
      <c r="I48" t="str" cm="1">
        <f t="array" aca="1" ref="I48" ca="1">INDEX(rua_cod!$B:$B,Users!V48)</f>
        <v>Setúbal</v>
      </c>
      <c r="J48" t="s">
        <v>3727</v>
      </c>
      <c r="K48" t="s">
        <v>225</v>
      </c>
      <c r="L48" t="s">
        <v>265</v>
      </c>
      <c r="M48" t="str">
        <f t="shared" ca="1" si="1"/>
        <v>34494756</v>
      </c>
      <c r="N48" t="str">
        <f t="shared" ca="1" si="2"/>
        <v>522089151</v>
      </c>
      <c r="O48" t="str">
        <f t="shared" ca="1" si="2"/>
        <v>311962399</v>
      </c>
      <c r="P48" t="str" cm="1">
        <f t="array" aca="1" ref="P48" ca="1">9 &amp; INDEX($AF$3:$AF$6,W48)&amp; TEXT(RANDBETWEEN(0,9999999),"0000000")</f>
        <v>937906446</v>
      </c>
      <c r="Q48" t="str" cm="1">
        <f t="array" aca="1" ref="Q48" ca="1">LOWER(B48) &amp; INDEX($AF$9:$AF$11,X48)</f>
        <v>luibal2900@gmail.com</v>
      </c>
      <c r="R48" t="str">
        <f t="shared" ca="1" si="3"/>
        <v>luibal2900.jpg</v>
      </c>
      <c r="T48" s="4"/>
      <c r="V48">
        <f ca="1">RANDBETWEEN(2,COUNTA(rua_cod!A:A))</f>
        <v>96</v>
      </c>
      <c r="W48">
        <f t="shared" ca="1" si="4"/>
        <v>3</v>
      </c>
      <c r="X48">
        <f t="shared" ca="1" si="5"/>
        <v>2</v>
      </c>
      <c r="Y48">
        <f t="shared" ca="1" si="6"/>
        <v>1976</v>
      </c>
      <c r="Z48">
        <f t="shared" ca="1" si="7"/>
        <v>6</v>
      </c>
      <c r="AA48">
        <f t="shared" ca="1" si="8"/>
        <v>8</v>
      </c>
      <c r="AB48">
        <f t="shared" ca="1" si="9"/>
        <v>44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marora2720</v>
      </c>
      <c r="C49" t="str">
        <f t="shared" ca="1" si="0"/>
        <v>pswmarora2720</v>
      </c>
      <c r="D49" t="str">
        <f ca="1">Nomes!T50</f>
        <v>Mariana Barbosa Simões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Rua Garrett</v>
      </c>
      <c r="H49" t="str" cm="1">
        <f t="array" aca="1" ref="H49" ca="1">INDEX(rua_cod!$A:$A,Users!V49) &amp; "-" &amp; TEXT(RANDBETWEEN(0,999),"000")</f>
        <v>2720-929</v>
      </c>
      <c r="I49" t="str" cm="1">
        <f t="array" aca="1" ref="I49" ca="1">INDEX(rua_cod!$B:$B,Users!V49)</f>
        <v>Amadora</v>
      </c>
      <c r="J49" t="s">
        <v>3727</v>
      </c>
      <c r="K49" t="s">
        <v>225</v>
      </c>
      <c r="L49" t="s">
        <v>265</v>
      </c>
      <c r="M49" t="str">
        <f t="shared" ca="1" si="1"/>
        <v>86170952</v>
      </c>
      <c r="N49" t="str">
        <f t="shared" ca="1" si="2"/>
        <v>923451070</v>
      </c>
      <c r="O49" t="str">
        <f t="shared" ca="1" si="2"/>
        <v>728114370</v>
      </c>
      <c r="P49" t="str" cm="1">
        <f t="array" aca="1" ref="P49" ca="1">9 &amp; INDEX($AF$3:$AF$6,W49)&amp; TEXT(RANDBETWEEN(0,9999999),"0000000")</f>
        <v>929546166</v>
      </c>
      <c r="Q49" t="str" cm="1">
        <f t="array" aca="1" ref="Q49" ca="1">LOWER(B49) &amp; INDEX($AF$9:$AF$11,X49)</f>
        <v>marora2720@outlook.com</v>
      </c>
      <c r="R49" t="str">
        <f t="shared" ca="1" si="3"/>
        <v>marora2720.jpg</v>
      </c>
      <c r="T49" s="4"/>
      <c r="V49">
        <f ca="1">RANDBETWEEN(2,COUNTA(rua_cod!A:A))</f>
        <v>8</v>
      </c>
      <c r="W49">
        <f t="shared" ca="1" si="4"/>
        <v>2</v>
      </c>
      <c r="X49">
        <f t="shared" ca="1" si="5"/>
        <v>1</v>
      </c>
      <c r="Y49">
        <f t="shared" ca="1" si="6"/>
        <v>1964</v>
      </c>
      <c r="Z49">
        <f t="shared" ca="1" si="7"/>
        <v>2</v>
      </c>
      <c r="AA49">
        <f t="shared" ca="1" si="8"/>
        <v>30</v>
      </c>
      <c r="AB49">
        <f t="shared" ca="1" si="9"/>
        <v>56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luriro2834</v>
      </c>
      <c r="C50" t="str">
        <f t="shared" ca="1" si="0"/>
        <v>pswluriro2834</v>
      </c>
      <c r="D50" t="str">
        <f ca="1">Nomes!T51</f>
        <v>Lurdes Santos Batista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Estrada das Laranjeiras</v>
      </c>
      <c r="H50" t="str" cm="1">
        <f t="array" aca="1" ref="H50" ca="1">INDEX(rua_cod!$A:$A,Users!V50) &amp; "-" &amp; TEXT(RANDBETWEEN(0,999),"000")</f>
        <v>2834-639</v>
      </c>
      <c r="I50" t="str" cm="1">
        <f t="array" aca="1" ref="I50" ca="1">INDEX(rua_cod!$B:$B,Users!V50)</f>
        <v>Barreiro</v>
      </c>
      <c r="J50" t="s">
        <v>3727</v>
      </c>
      <c r="K50" t="s">
        <v>225</v>
      </c>
      <c r="L50" t="s">
        <v>265</v>
      </c>
      <c r="M50" t="str">
        <f t="shared" ca="1" si="1"/>
        <v>47352275</v>
      </c>
      <c r="N50" t="str">
        <f t="shared" ca="1" si="2"/>
        <v>372660716</v>
      </c>
      <c r="O50" t="str">
        <f t="shared" ca="1" si="2"/>
        <v>882352360</v>
      </c>
      <c r="P50" t="str" cm="1">
        <f t="array" aca="1" ref="P50" ca="1">9 &amp; INDEX($AF$3:$AF$6,W50)&amp; TEXT(RANDBETWEEN(0,9999999),"0000000")</f>
        <v>928521570</v>
      </c>
      <c r="Q50" t="str" cm="1">
        <f t="array" aca="1" ref="Q50" ca="1">LOWER(B50) &amp; INDEX($AF$9:$AF$11,X50)</f>
        <v>luriro2834@gmail.com</v>
      </c>
      <c r="R50" t="str">
        <f t="shared" ca="1" si="3"/>
        <v>luriro2834.jpg</v>
      </c>
      <c r="T50" s="4"/>
      <c r="V50">
        <f ca="1">RANDBETWEEN(2,COUNTA(rua_cod!A:A))</f>
        <v>17</v>
      </c>
      <c r="W50">
        <f t="shared" ca="1" si="4"/>
        <v>2</v>
      </c>
      <c r="X50">
        <f t="shared" ca="1" si="5"/>
        <v>2</v>
      </c>
      <c r="Y50">
        <f t="shared" ca="1" si="6"/>
        <v>1970</v>
      </c>
      <c r="Z50">
        <f t="shared" ca="1" si="7"/>
        <v>5</v>
      </c>
      <c r="AA50">
        <f t="shared" ca="1" si="8"/>
        <v>21</v>
      </c>
      <c r="AB50">
        <f t="shared" ca="1" si="9"/>
        <v>50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anaica2829</v>
      </c>
      <c r="C51" t="str">
        <f t="shared" ca="1" si="0"/>
        <v>pswanaica2829</v>
      </c>
      <c r="D51" t="str">
        <f ca="1">Nomes!T52</f>
        <v>Ana Lara Monteiro Vieira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Rua de São Bento</v>
      </c>
      <c r="H51" t="str" cm="1">
        <f t="array" aca="1" ref="H51" ca="1">INDEX(rua_cod!$A:$A,Users!V51) &amp; "-" &amp; TEXT(RANDBETWEEN(0,999),"000")</f>
        <v>2829-736</v>
      </c>
      <c r="I51" t="str" cm="1">
        <f t="array" aca="1" ref="I51" ca="1">INDEX(rua_cod!$B:$B,Users!V51)</f>
        <v>Costa de Caparica</v>
      </c>
      <c r="J51" t="s">
        <v>3727</v>
      </c>
      <c r="K51" t="s">
        <v>225</v>
      </c>
      <c r="L51" t="s">
        <v>265</v>
      </c>
      <c r="M51" t="str">
        <f t="shared" ca="1" si="1"/>
        <v>79966082</v>
      </c>
      <c r="N51" t="str">
        <f t="shared" ca="1" si="2"/>
        <v>516720383</v>
      </c>
      <c r="O51" t="str">
        <f t="shared" ca="1" si="2"/>
        <v>823870081</v>
      </c>
      <c r="P51" t="str" cm="1">
        <f t="array" aca="1" ref="P51" ca="1">9 &amp; INDEX($AF$3:$AF$6,W51)&amp; TEXT(RANDBETWEEN(0,9999999),"0000000")</f>
        <v>910750792</v>
      </c>
      <c r="Q51" t="str" cm="1">
        <f t="array" aca="1" ref="Q51" ca="1">LOWER(B51) &amp; INDEX($AF$9:$AF$11,X51)</f>
        <v>anaica2829@outlook.com</v>
      </c>
      <c r="R51" t="str">
        <f t="shared" ca="1" si="3"/>
        <v>anaica2829.jpg</v>
      </c>
      <c r="T51" s="4"/>
      <c r="V51">
        <f ca="1">RANDBETWEEN(2,COUNTA(rua_cod!A:A))</f>
        <v>28</v>
      </c>
      <c r="W51">
        <f t="shared" ca="1" si="4"/>
        <v>1</v>
      </c>
      <c r="X51">
        <f t="shared" ca="1" si="5"/>
        <v>1</v>
      </c>
      <c r="Y51">
        <f t="shared" ca="1" si="6"/>
        <v>1959</v>
      </c>
      <c r="Z51">
        <f t="shared" ca="1" si="7"/>
        <v>12</v>
      </c>
      <c r="AA51">
        <f t="shared" ca="1" si="8"/>
        <v>27</v>
      </c>
      <c r="AB51">
        <f t="shared" ca="1" si="9"/>
        <v>61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ineboa1399</v>
      </c>
      <c r="C52" t="str">
        <f t="shared" ca="1" si="0"/>
        <v>pswineboa1399</v>
      </c>
      <c r="D52" t="str">
        <f ca="1">Nomes!T53</f>
        <v>Inês Miguel Alves Mota</v>
      </c>
      <c r="E52" t="str">
        <f ca="1">Nomes!S53</f>
        <v>Feminino</v>
      </c>
      <c r="F52" s="2">
        <v>16409</v>
      </c>
      <c r="G52" t="str" cm="1">
        <f t="array" aca="1" ref="G52" ca="1">INDEX(rua_cod!$F:$F,RANDBETWEEN(2,COUNTA(rua_cod!F:F)))</f>
        <v>Travessa de São João da Praça</v>
      </c>
      <c r="H52" t="str" cm="1">
        <f t="array" aca="1" ref="H52" ca="1">INDEX(rua_cod!$A:$A,Users!V52) &amp; "-" &amp; TEXT(RANDBETWEEN(0,999),"000")</f>
        <v>1399-523</v>
      </c>
      <c r="I52" t="str" cm="1">
        <f t="array" aca="1" ref="I52" ca="1">INDEX(rua_cod!$B:$B,Users!V52)</f>
        <v>Lisboa</v>
      </c>
      <c r="J52" t="s">
        <v>3727</v>
      </c>
      <c r="K52" t="s">
        <v>225</v>
      </c>
      <c r="L52" t="s">
        <v>265</v>
      </c>
      <c r="M52" t="str">
        <f t="shared" ca="1" si="1"/>
        <v>31446593</v>
      </c>
      <c r="N52" t="str">
        <f t="shared" ca="1" si="2"/>
        <v>631631824</v>
      </c>
      <c r="O52" t="str">
        <f t="shared" ca="1" si="2"/>
        <v>774138021</v>
      </c>
      <c r="P52" t="str" cm="1">
        <f t="array" aca="1" ref="P52" ca="1">9 &amp; INDEX($AF$3:$AF$6,W52)&amp; TEXT(RANDBETWEEN(0,9999999),"0000000")</f>
        <v>923306574</v>
      </c>
      <c r="Q52" t="str" cm="1">
        <f t="array" aca="1" ref="Q52" ca="1">LOWER(B52) &amp; INDEX($AF$9:$AF$11,X52)</f>
        <v>ineboa1399@sapo.pt</v>
      </c>
      <c r="R52" t="str">
        <f t="shared" ca="1" si="3"/>
        <v>ineboa1399.jpg</v>
      </c>
      <c r="T52" s="4"/>
      <c r="V52">
        <f ca="1">RANDBETWEEN(2,COUNTA(rua_cod!A:A))</f>
        <v>55</v>
      </c>
      <c r="W52">
        <f t="shared" ca="1" si="4"/>
        <v>2</v>
      </c>
      <c r="X52">
        <f t="shared" ca="1" si="5"/>
        <v>3</v>
      </c>
      <c r="Y52">
        <f t="shared" ca="1" si="6"/>
        <v>1995</v>
      </c>
      <c r="Z52">
        <f t="shared" ca="1" si="7"/>
        <v>4</v>
      </c>
      <c r="AA52">
        <f t="shared" ca="1" si="8"/>
        <v>26</v>
      </c>
      <c r="AB52">
        <f t="shared" ca="1" si="9"/>
        <v>25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marboa1400</v>
      </c>
      <c r="C53" t="str">
        <f t="shared" ca="1" si="0"/>
        <v>pswmarboa1400</v>
      </c>
      <c r="D53" t="str">
        <f ca="1">Nomes!T54</f>
        <v>Maria Mariana Cardoso Pinho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da Prata</v>
      </c>
      <c r="H53" t="str" cm="1">
        <f t="array" aca="1" ref="H53" ca="1">INDEX(rua_cod!$A:$A,Users!V53) &amp; "-" &amp; TEXT(RANDBETWEEN(0,999),"000")</f>
        <v>1400-365</v>
      </c>
      <c r="I53" t="str" cm="1">
        <f t="array" aca="1" ref="I53" ca="1">INDEX(rua_cod!$B:$B,Users!V53)</f>
        <v>Lisboa</v>
      </c>
      <c r="J53" t="s">
        <v>3727</v>
      </c>
      <c r="K53" t="s">
        <v>225</v>
      </c>
      <c r="L53" t="s">
        <v>265</v>
      </c>
      <c r="M53" t="str">
        <f t="shared" ca="1" si="1"/>
        <v>79951041</v>
      </c>
      <c r="N53" t="str">
        <f t="shared" ca="1" si="2"/>
        <v>965569112</v>
      </c>
      <c r="O53" t="str">
        <f t="shared" ca="1" si="2"/>
        <v>288978523</v>
      </c>
      <c r="P53" t="str" cm="1">
        <f t="array" aca="1" ref="P53" ca="1">9 &amp; INDEX($AF$3:$AF$6,W53)&amp; TEXT(RANDBETWEEN(0,9999999),"0000000")</f>
        <v>918338961</v>
      </c>
      <c r="Q53" t="str" cm="1">
        <f t="array" aca="1" ref="Q53" ca="1">LOWER(B53) &amp; INDEX($AF$9:$AF$11,X53)</f>
        <v>marboa1400@sapo.pt</v>
      </c>
      <c r="R53" t="str">
        <f t="shared" ca="1" si="3"/>
        <v>marboa1400.jpg</v>
      </c>
      <c r="T53" s="4"/>
      <c r="V53">
        <f ca="1">RANDBETWEEN(2,COUNTA(rua_cod!A:A))</f>
        <v>57</v>
      </c>
      <c r="W53">
        <f t="shared" ca="1" si="4"/>
        <v>1</v>
      </c>
      <c r="X53">
        <f t="shared" ca="1" si="5"/>
        <v>3</v>
      </c>
      <c r="Y53">
        <f t="shared" ca="1" si="6"/>
        <v>1977</v>
      </c>
      <c r="Z53">
        <f t="shared" ca="1" si="7"/>
        <v>10</v>
      </c>
      <c r="AA53">
        <f t="shared" ca="1" si="8"/>
        <v>4</v>
      </c>
      <c r="AB53">
        <f t="shared" ca="1" si="9"/>
        <v>43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anaboa1449</v>
      </c>
      <c r="C54" t="str">
        <f t="shared" ca="1" si="0"/>
        <v>pswanaboa1449</v>
      </c>
      <c r="D54" t="str">
        <f ca="1">Nomes!T55</f>
        <v>Ana Joana Coelho Coelho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dos Fanqueiros</v>
      </c>
      <c r="H54" t="str" cm="1">
        <f t="array" aca="1" ref="H54" ca="1">INDEX(rua_cod!$A:$A,Users!V54) &amp; "-" &amp; TEXT(RANDBETWEEN(0,999),"000")</f>
        <v>1449-677</v>
      </c>
      <c r="I54" t="str" cm="1">
        <f t="array" aca="1" ref="I54" ca="1">INDEX(rua_cod!$B:$B,Users!V54)</f>
        <v>Lisboa</v>
      </c>
      <c r="J54" t="s">
        <v>3727</v>
      </c>
      <c r="K54" t="s">
        <v>225</v>
      </c>
      <c r="L54" t="s">
        <v>265</v>
      </c>
      <c r="M54" t="str">
        <f t="shared" ca="1" si="1"/>
        <v>87856075</v>
      </c>
      <c r="N54" t="str">
        <f t="shared" ca="1" si="2"/>
        <v>459722654</v>
      </c>
      <c r="O54" t="str">
        <f t="shared" ca="1" si="2"/>
        <v>647615918</v>
      </c>
      <c r="P54" t="str" cm="1">
        <f t="array" aca="1" ref="P54" ca="1">9 &amp; INDEX($AF$3:$AF$6,W54)&amp; TEXT(RANDBETWEEN(0,9999999),"0000000")</f>
        <v>935240192</v>
      </c>
      <c r="Q54" t="str" cm="1">
        <f t="array" aca="1" ref="Q54" ca="1">LOWER(B54) &amp; INDEX($AF$9:$AF$11,X54)</f>
        <v>anaboa1449@sapo.pt</v>
      </c>
      <c r="R54" t="str">
        <f t="shared" ca="1" si="3"/>
        <v>anaboa1449.jpg</v>
      </c>
      <c r="T54" s="4"/>
      <c r="V54">
        <f ca="1">RANDBETWEEN(2,COUNTA(rua_cod!A:A))</f>
        <v>73</v>
      </c>
      <c r="W54">
        <f t="shared" ca="1" si="4"/>
        <v>3</v>
      </c>
      <c r="X54">
        <f t="shared" ca="1" si="5"/>
        <v>3</v>
      </c>
      <c r="Y54">
        <f t="shared" ca="1" si="6"/>
        <v>1991</v>
      </c>
      <c r="Z54">
        <f t="shared" ca="1" si="7"/>
        <v>9</v>
      </c>
      <c r="AA54">
        <f t="shared" ca="1" si="8"/>
        <v>8</v>
      </c>
      <c r="AB54">
        <f t="shared" ca="1" si="9"/>
        <v>29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matora2704</v>
      </c>
      <c r="C55" t="str">
        <f t="shared" ca="1" si="0"/>
        <v>pswmatora2704</v>
      </c>
      <c r="D55" t="str">
        <f ca="1">Nomes!T56</f>
        <v>Matilde Rodrigo Simões Leal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Rua dos Heróis de Quionga</v>
      </c>
      <c r="H55" t="str" cm="1">
        <f t="array" aca="1" ref="H55" ca="1">INDEX(rua_cod!$A:$A,Users!V55) &amp; "-" &amp; TEXT(RANDBETWEEN(0,999),"000")</f>
        <v>2704-116</v>
      </c>
      <c r="I55" t="str" cm="1">
        <f t="array" aca="1" ref="I55" ca="1">INDEX(rua_cod!$B:$B,Users!V55)</f>
        <v>Amadora</v>
      </c>
      <c r="J55" t="s">
        <v>3727</v>
      </c>
      <c r="K55" t="s">
        <v>225</v>
      </c>
      <c r="L55" t="s">
        <v>265</v>
      </c>
      <c r="M55" t="str">
        <f t="shared" ca="1" si="1"/>
        <v>60863589</v>
      </c>
      <c r="N55" t="str">
        <f t="shared" ca="1" si="2"/>
        <v>140822950</v>
      </c>
      <c r="O55" t="str">
        <f t="shared" ca="1" si="2"/>
        <v>962209338</v>
      </c>
      <c r="P55" t="str" cm="1">
        <f t="array" aca="1" ref="P55" ca="1">9 &amp; INDEX($AF$3:$AF$6,W55)&amp; TEXT(RANDBETWEEN(0,9999999),"0000000")</f>
        <v>914640957</v>
      </c>
      <c r="Q55" t="str" cm="1">
        <f t="array" aca="1" ref="Q55" ca="1">LOWER(B55) &amp; INDEX($AF$9:$AF$11,X55)</f>
        <v>matora2704@sapo.pt</v>
      </c>
      <c r="R55" t="str">
        <f t="shared" ca="1" si="3"/>
        <v>matora2704.jpg</v>
      </c>
      <c r="T55" s="4"/>
      <c r="V55">
        <f ca="1">RANDBETWEEN(2,COUNTA(rua_cod!A:A))</f>
        <v>15</v>
      </c>
      <c r="W55">
        <f t="shared" ca="1" si="4"/>
        <v>1</v>
      </c>
      <c r="X55">
        <f t="shared" ca="1" si="5"/>
        <v>3</v>
      </c>
      <c r="Y55">
        <f t="shared" ca="1" si="6"/>
        <v>1957</v>
      </c>
      <c r="Z55">
        <f t="shared" ca="1" si="7"/>
        <v>3</v>
      </c>
      <c r="AA55">
        <f t="shared" ca="1" si="8"/>
        <v>28</v>
      </c>
      <c r="AB55">
        <f t="shared" ca="1" si="9"/>
        <v>63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marras2784</v>
      </c>
      <c r="C56" t="str">
        <f t="shared" ca="1" si="0"/>
        <v>pswmarras2784</v>
      </c>
      <c r="D56" t="str">
        <f ca="1">Nomes!T57</f>
        <v>Mariana Joaquim Fonseca Guerreiro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Rua Garrett</v>
      </c>
      <c r="H56" t="str" cm="1">
        <f t="array" aca="1" ref="H56" ca="1">INDEX(rua_cod!$A:$A,Users!V56) &amp; "-" &amp; TEXT(RANDBETWEEN(0,999),"000")</f>
        <v>2784-265</v>
      </c>
      <c r="I56" t="str" cm="1">
        <f t="array" aca="1" ref="I56" ca="1">INDEX(rua_cod!$B:$B,Users!V56)</f>
        <v>Oeiras</v>
      </c>
      <c r="J56" t="s">
        <v>3727</v>
      </c>
      <c r="K56" t="s">
        <v>225</v>
      </c>
      <c r="L56" t="s">
        <v>265</v>
      </c>
      <c r="M56" t="str">
        <f t="shared" ca="1" si="1"/>
        <v>13082665</v>
      </c>
      <c r="N56" t="str">
        <f t="shared" ca="1" si="2"/>
        <v>815317889</v>
      </c>
      <c r="O56" t="str">
        <f t="shared" ca="1" si="2"/>
        <v>448335629</v>
      </c>
      <c r="P56" t="str" cm="1">
        <f t="array" aca="1" ref="P56" ca="1">9 &amp; INDEX($AF$3:$AF$6,W56)&amp; TEXT(RANDBETWEEN(0,9999999),"0000000")</f>
        <v>925883011</v>
      </c>
      <c r="Q56" t="str" cm="1">
        <f t="array" aca="1" ref="Q56" ca="1">LOWER(B56) &amp; INDEX($AF$9:$AF$11,X56)</f>
        <v>marras2784@outlook.com</v>
      </c>
      <c r="R56" t="str">
        <f t="shared" ca="1" si="3"/>
        <v>marras2784.jpg</v>
      </c>
      <c r="T56" s="4"/>
      <c r="V56">
        <f ca="1">RANDBETWEEN(2,COUNTA(rua_cod!A:A))</f>
        <v>89</v>
      </c>
      <c r="W56">
        <f t="shared" ca="1" si="4"/>
        <v>2</v>
      </c>
      <c r="X56">
        <f t="shared" ca="1" si="5"/>
        <v>1</v>
      </c>
      <c r="Y56">
        <f t="shared" ca="1" si="6"/>
        <v>1956</v>
      </c>
      <c r="Z56">
        <f t="shared" ca="1" si="7"/>
        <v>1</v>
      </c>
      <c r="AA56">
        <f t="shared" ca="1" si="8"/>
        <v>25</v>
      </c>
      <c r="AB56">
        <f t="shared" ca="1" si="9"/>
        <v>64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catide2790</v>
      </c>
      <c r="C57" t="str">
        <f t="shared" ca="1" si="0"/>
        <v>pswcatide2790</v>
      </c>
      <c r="D57" t="str">
        <f ca="1">Nomes!T58</f>
        <v>Catarina Vera Alves Oliveira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Calçada Marquês de Abrantes</v>
      </c>
      <c r="H57" t="str" cm="1">
        <f t="array" aca="1" ref="H57" ca="1">INDEX(rua_cod!$A:$A,Users!V57) &amp; "-" &amp; TEXT(RANDBETWEEN(0,999),"000")</f>
        <v>2790-312</v>
      </c>
      <c r="I57" t="str" cm="1">
        <f t="array" aca="1" ref="I57" ca="1">INDEX(rua_cod!$B:$B,Users!V57)</f>
        <v>Carnaxide</v>
      </c>
      <c r="J57" t="s">
        <v>3727</v>
      </c>
      <c r="K57" t="s">
        <v>225</v>
      </c>
      <c r="L57" t="s">
        <v>265</v>
      </c>
      <c r="M57" t="str">
        <f t="shared" ca="1" si="1"/>
        <v>31195357</v>
      </c>
      <c r="N57" t="str">
        <f t="shared" ca="1" si="2"/>
        <v>131308565</v>
      </c>
      <c r="O57" t="str">
        <f t="shared" ca="1" si="2"/>
        <v>457615893</v>
      </c>
      <c r="P57" t="str" cm="1">
        <f t="array" aca="1" ref="P57" ca="1">9 &amp; INDEX($AF$3:$AF$6,W57)&amp; TEXT(RANDBETWEEN(0,9999999),"0000000")</f>
        <v>961783405</v>
      </c>
      <c r="Q57" t="str" cm="1">
        <f t="array" aca="1" ref="Q57" ca="1">LOWER(B57) &amp; INDEX($AF$9:$AF$11,X57)</f>
        <v>catide2790@sapo.pt</v>
      </c>
      <c r="R57" t="str">
        <f t="shared" ca="1" si="3"/>
        <v>catide2790.jpg</v>
      </c>
      <c r="T57" s="4"/>
      <c r="V57">
        <f ca="1">RANDBETWEEN(2,COUNTA(rua_cod!A:A))</f>
        <v>22</v>
      </c>
      <c r="W57">
        <f t="shared" ca="1" si="4"/>
        <v>4</v>
      </c>
      <c r="X57">
        <f t="shared" ca="1" si="5"/>
        <v>3</v>
      </c>
      <c r="Y57">
        <f t="shared" ca="1" si="6"/>
        <v>2001</v>
      </c>
      <c r="Z57">
        <f t="shared" ca="1" si="7"/>
        <v>7</v>
      </c>
      <c r="AA57">
        <f t="shared" ca="1" si="8"/>
        <v>31</v>
      </c>
      <c r="AB57">
        <f t="shared" ca="1" si="9"/>
        <v>19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anarem2000</v>
      </c>
      <c r="C58" t="str">
        <f t="shared" ca="1" si="0"/>
        <v>pswanarem2000</v>
      </c>
      <c r="D58" t="str">
        <f ca="1">Nomes!T59</f>
        <v>Ana Luís Lima Neves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dos Fanqueiros</v>
      </c>
      <c r="H58" t="str" cm="1">
        <f t="array" aca="1" ref="H58" ca="1">INDEX(rua_cod!$A:$A,Users!V58) &amp; "-" &amp; TEXT(RANDBETWEEN(0,999),"000")</f>
        <v>2000-120</v>
      </c>
      <c r="I58" t="str" cm="1">
        <f t="array" aca="1" ref="I58" ca="1">INDEX(rua_cod!$B:$B,Users!V58)</f>
        <v>Santarém</v>
      </c>
      <c r="J58" t="s">
        <v>3727</v>
      </c>
      <c r="K58" t="s">
        <v>225</v>
      </c>
      <c r="L58" t="s">
        <v>265</v>
      </c>
      <c r="M58" t="str">
        <f t="shared" ca="1" si="1"/>
        <v>74924742</v>
      </c>
      <c r="N58" t="str">
        <f t="shared" ca="1" si="2"/>
        <v>128493253</v>
      </c>
      <c r="O58" t="str">
        <f t="shared" ca="1" si="2"/>
        <v>321656509</v>
      </c>
      <c r="P58" t="str" cm="1">
        <f t="array" aca="1" ref="P58" ca="1">9 &amp; INDEX($AF$3:$AF$6,W58)&amp; TEXT(RANDBETWEEN(0,9999999),"0000000")</f>
        <v>912448906</v>
      </c>
      <c r="Q58" t="str" cm="1">
        <f t="array" aca="1" ref="Q58" ca="1">LOWER(B58) &amp; INDEX($AF$9:$AF$11,X58)</f>
        <v>anarem2000@sapo.pt</v>
      </c>
      <c r="R58" t="str">
        <f t="shared" ca="1" si="3"/>
        <v>anarem2000.jpg</v>
      </c>
      <c r="T58" s="4"/>
      <c r="V58">
        <f ca="1">RANDBETWEEN(2,COUNTA(rua_cod!A:A))</f>
        <v>93</v>
      </c>
      <c r="W58">
        <f t="shared" ca="1" si="4"/>
        <v>1</v>
      </c>
      <c r="X58">
        <f t="shared" ca="1" si="5"/>
        <v>3</v>
      </c>
      <c r="Y58">
        <f t="shared" ca="1" si="6"/>
        <v>1972</v>
      </c>
      <c r="Z58">
        <f t="shared" ca="1" si="7"/>
        <v>9</v>
      </c>
      <c r="AA58">
        <f t="shared" ca="1" si="8"/>
        <v>31</v>
      </c>
      <c r="AB58">
        <f t="shared" ca="1" si="9"/>
        <v>48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marais2754</v>
      </c>
      <c r="C59" t="str">
        <f t="shared" ca="1" si="0"/>
        <v>pswmarais2754</v>
      </c>
      <c r="D59" t="str">
        <f ca="1">Nomes!T60</f>
        <v>Marco Marco Matos Castro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Rua dos Fanqueiros</v>
      </c>
      <c r="H59" t="str" cm="1">
        <f t="array" aca="1" ref="H59" ca="1">INDEX(rua_cod!$A:$A,Users!V59) &amp; "-" &amp; TEXT(RANDBETWEEN(0,999),"000")</f>
        <v>2754-601</v>
      </c>
      <c r="I59" t="str" cm="1">
        <f t="array" aca="1" ref="I59" ca="1">INDEX(rua_cod!$B:$B,Users!V59)</f>
        <v>Cascais</v>
      </c>
      <c r="J59" t="s">
        <v>3727</v>
      </c>
      <c r="K59" t="s">
        <v>225</v>
      </c>
      <c r="L59" t="s">
        <v>265</v>
      </c>
      <c r="M59" t="str">
        <f t="shared" ca="1" si="1"/>
        <v>17173604</v>
      </c>
      <c r="N59" t="str">
        <f t="shared" ca="1" si="2"/>
        <v>407135210</v>
      </c>
      <c r="O59" t="str">
        <f t="shared" ca="1" si="2"/>
        <v>108020435</v>
      </c>
      <c r="P59" t="str" cm="1">
        <f t="array" aca="1" ref="P59" ca="1">9 &amp; INDEX($AF$3:$AF$6,W59)&amp; TEXT(RANDBETWEEN(0,9999999),"0000000")</f>
        <v>933341765</v>
      </c>
      <c r="Q59" t="str" cm="1">
        <f t="array" aca="1" ref="Q59" ca="1">LOWER(B59) &amp; INDEX($AF$9:$AF$11,X59)</f>
        <v>marais2754@gmail.com</v>
      </c>
      <c r="R59" t="str">
        <f t="shared" ca="1" si="3"/>
        <v>marais2754.jpg</v>
      </c>
      <c r="T59" s="4"/>
      <c r="V59">
        <f ca="1">RANDBETWEEN(2,COUNTA(rua_cod!A:A))</f>
        <v>25</v>
      </c>
      <c r="W59">
        <f t="shared" ca="1" si="4"/>
        <v>3</v>
      </c>
      <c r="X59">
        <f t="shared" ca="1" si="5"/>
        <v>2</v>
      </c>
      <c r="Y59">
        <f t="shared" ca="1" si="6"/>
        <v>1985</v>
      </c>
      <c r="Z59">
        <f t="shared" ca="1" si="7"/>
        <v>5</v>
      </c>
      <c r="AA59">
        <f t="shared" ca="1" si="8"/>
        <v>2</v>
      </c>
      <c r="AB59">
        <f t="shared" ca="1" si="9"/>
        <v>35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fraada2809</v>
      </c>
      <c r="C60" t="str">
        <f t="shared" ca="1" si="0"/>
        <v>pswfraada2809</v>
      </c>
      <c r="D60" t="str">
        <f ca="1">Nomes!T61</f>
        <v>Francisco Sofia Mota Soares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Rua Cidade de Bolama</v>
      </c>
      <c r="H60" t="str" cm="1">
        <f t="array" aca="1" ref="H60" ca="1">INDEX(rua_cod!$A:$A,Users!V60) &amp; "-" &amp; TEXT(RANDBETWEEN(0,999),"000")</f>
        <v>2809-440</v>
      </c>
      <c r="I60" t="str" cm="1">
        <f t="array" aca="1" ref="I60" ca="1">INDEX(rua_cod!$B:$B,Users!V60)</f>
        <v>Almada</v>
      </c>
      <c r="J60" t="s">
        <v>3727</v>
      </c>
      <c r="K60" t="s">
        <v>225</v>
      </c>
      <c r="L60" t="s">
        <v>265</v>
      </c>
      <c r="M60" t="str">
        <f t="shared" ca="1" si="1"/>
        <v>33498247</v>
      </c>
      <c r="N60" t="str">
        <f t="shared" ca="1" si="2"/>
        <v>465745726</v>
      </c>
      <c r="O60" t="str">
        <f t="shared" ca="1" si="2"/>
        <v>374810426</v>
      </c>
      <c r="P60" t="str" cm="1">
        <f t="array" aca="1" ref="P60" ca="1">9 &amp; INDEX($AF$3:$AF$6,W60)&amp; TEXT(RANDBETWEEN(0,9999999),"0000000")</f>
        <v>918105547</v>
      </c>
      <c r="Q60" t="str" cm="1">
        <f t="array" aca="1" ref="Q60" ca="1">LOWER(B60) &amp; INDEX($AF$9:$AF$11,X60)</f>
        <v>fraada2809@gmail.com</v>
      </c>
      <c r="R60" t="str">
        <f t="shared" ca="1" si="3"/>
        <v>fraada2809.jpg</v>
      </c>
      <c r="T60" s="4"/>
      <c r="V60">
        <f ca="1">RANDBETWEEN(2,COUNTA(rua_cod!A:A))</f>
        <v>5</v>
      </c>
      <c r="W60">
        <f t="shared" ca="1" si="4"/>
        <v>1</v>
      </c>
      <c r="X60">
        <f t="shared" ca="1" si="5"/>
        <v>2</v>
      </c>
      <c r="Y60">
        <f t="shared" ca="1" si="6"/>
        <v>1983</v>
      </c>
      <c r="Z60">
        <f t="shared" ca="1" si="7"/>
        <v>7</v>
      </c>
      <c r="AA60">
        <f t="shared" ca="1" si="8"/>
        <v>16</v>
      </c>
      <c r="AB60">
        <f t="shared" ca="1" si="9"/>
        <v>37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marijo2870</v>
      </c>
      <c r="C61" t="str">
        <f t="shared" ca="1" si="0"/>
        <v>pswmarijo2870</v>
      </c>
      <c r="D61" t="str">
        <f ca="1">Nomes!T62</f>
        <v>Maria Martim Sousa Paiva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Calçada Marquês de Abrantes</v>
      </c>
      <c r="H61" t="str" cm="1">
        <f t="array" aca="1" ref="H61" ca="1">INDEX(rua_cod!$A:$A,Users!V61) &amp; "-" &amp; TEXT(RANDBETWEEN(0,999),"000")</f>
        <v>2870-540</v>
      </c>
      <c r="I61" t="str" cm="1">
        <f t="array" aca="1" ref="I61" ca="1">INDEX(rua_cod!$B:$B,Users!V61)</f>
        <v>Montijo</v>
      </c>
      <c r="J61" t="s">
        <v>3727</v>
      </c>
      <c r="K61" t="s">
        <v>225</v>
      </c>
      <c r="L61" t="s">
        <v>265</v>
      </c>
      <c r="M61" t="str">
        <f t="shared" ca="1" si="1"/>
        <v>68040159</v>
      </c>
      <c r="N61" t="str">
        <f t="shared" ca="1" si="2"/>
        <v>246180193</v>
      </c>
      <c r="O61" t="str">
        <f t="shared" ca="1" si="2"/>
        <v>636768008</v>
      </c>
      <c r="P61" t="str" cm="1">
        <f t="array" aca="1" ref="P61" ca="1">9 &amp; INDEX($AF$3:$AF$6,W61)&amp; TEXT(RANDBETWEEN(0,9999999),"0000000")</f>
        <v>926475813</v>
      </c>
      <c r="Q61" t="str" cm="1">
        <f t="array" aca="1" ref="Q61" ca="1">LOWER(B61) &amp; INDEX($AF$9:$AF$11,X61)</f>
        <v>marijo2870@outlook.com</v>
      </c>
      <c r="R61" t="str">
        <f t="shared" ca="1" si="3"/>
        <v>marijo2870.jpg</v>
      </c>
      <c r="T61" s="4"/>
      <c r="V61">
        <f ca="1">RANDBETWEEN(2,COUNTA(rua_cod!A:A))</f>
        <v>87</v>
      </c>
      <c r="W61">
        <f t="shared" ca="1" si="4"/>
        <v>2</v>
      </c>
      <c r="X61">
        <f t="shared" ca="1" si="5"/>
        <v>1</v>
      </c>
      <c r="Y61">
        <f t="shared" ca="1" si="6"/>
        <v>1984</v>
      </c>
      <c r="Z61">
        <f t="shared" ca="1" si="7"/>
        <v>8</v>
      </c>
      <c r="AA61">
        <f t="shared" ca="1" si="8"/>
        <v>6</v>
      </c>
      <c r="AB61">
        <f t="shared" ca="1" si="9"/>
        <v>36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migada2809</v>
      </c>
      <c r="C62" t="str">
        <f t="shared" ca="1" si="0"/>
        <v>pswmigada2809</v>
      </c>
      <c r="D62" t="str">
        <f ca="1">Nomes!T63</f>
        <v>Miguel Maria Gomes Soares</v>
      </c>
      <c r="E62" t="str">
        <f ca="1">Nomes!S63</f>
        <v>Masculino</v>
      </c>
      <c r="F62" s="2">
        <v>39695</v>
      </c>
      <c r="G62" t="str" cm="1">
        <f t="array" aca="1" ref="G62" ca="1">INDEX(rua_cod!$F:$F,RANDBETWEEN(2,COUNTA(rua_cod!F:F)))</f>
        <v>Rua dos Bacalhoeiros</v>
      </c>
      <c r="H62" t="str" cm="1">
        <f t="array" aca="1" ref="H62" ca="1">INDEX(rua_cod!$A:$A,Users!V62) &amp; "-" &amp; TEXT(RANDBETWEEN(0,999),"000")</f>
        <v>2809-545</v>
      </c>
      <c r="I62" t="str" cm="1">
        <f t="array" aca="1" ref="I62" ca="1">INDEX(rua_cod!$B:$B,Users!V62)</f>
        <v>Almada</v>
      </c>
      <c r="J62" t="s">
        <v>3727</v>
      </c>
      <c r="K62" t="s">
        <v>225</v>
      </c>
      <c r="L62" t="s">
        <v>265</v>
      </c>
      <c r="M62" t="str">
        <f t="shared" ca="1" si="1"/>
        <v>39250553</v>
      </c>
      <c r="N62" t="str">
        <f t="shared" ca="1" si="2"/>
        <v>559139164</v>
      </c>
      <c r="O62" t="str">
        <f t="shared" ca="1" si="2"/>
        <v>279471925</v>
      </c>
      <c r="P62" t="str" cm="1">
        <f t="array" aca="1" ref="P62" ca="1">9 &amp; INDEX($AF$3:$AF$6,W62)&amp; TEXT(RANDBETWEEN(0,9999999),"0000000")</f>
        <v>924057573</v>
      </c>
      <c r="Q62" t="str" cm="1">
        <f t="array" aca="1" ref="Q62" ca="1">LOWER(B62) &amp; INDEX($AF$9:$AF$11,X62)</f>
        <v>migada2809@sapo.pt</v>
      </c>
      <c r="R62" t="str">
        <f t="shared" ca="1" si="3"/>
        <v>migada2809.jpg</v>
      </c>
      <c r="T62" s="4"/>
      <c r="V62">
        <f ca="1">RANDBETWEEN(2,COUNTA(rua_cod!A:A))</f>
        <v>5</v>
      </c>
      <c r="W62">
        <f t="shared" ca="1" si="4"/>
        <v>2</v>
      </c>
      <c r="X62">
        <f t="shared" ca="1" si="5"/>
        <v>3</v>
      </c>
      <c r="Y62">
        <f t="shared" ca="1" si="6"/>
        <v>1985</v>
      </c>
      <c r="Z62">
        <f t="shared" ca="1" si="7"/>
        <v>10</v>
      </c>
      <c r="AA62">
        <f t="shared" ca="1" si="8"/>
        <v>24</v>
      </c>
      <c r="AB62">
        <f t="shared" ca="1" si="9"/>
        <v>35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fraboa1100</v>
      </c>
      <c r="C63" t="str">
        <f t="shared" ca="1" si="0"/>
        <v>pswfraboa1100</v>
      </c>
      <c r="D63" t="str">
        <f ca="1">Nomes!T64</f>
        <v>Francisco Tomás Tavares Raposo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Nova do Almada</v>
      </c>
      <c r="H63" t="str" cm="1">
        <f t="array" aca="1" ref="H63" ca="1">INDEX(rua_cod!$A:$A,Users!V63) &amp; "-" &amp; TEXT(RANDBETWEEN(0,999),"000")</f>
        <v>1100-788</v>
      </c>
      <c r="I63" t="str" cm="1">
        <f t="array" aca="1" ref="I63" ca="1">INDEX(rua_cod!$B:$B,Users!V63)</f>
        <v>Lisboa</v>
      </c>
      <c r="J63" t="s">
        <v>3727</v>
      </c>
      <c r="K63" t="s">
        <v>225</v>
      </c>
      <c r="L63" t="s">
        <v>265</v>
      </c>
      <c r="M63" t="str">
        <f t="shared" ca="1" si="1"/>
        <v>76523248</v>
      </c>
      <c r="N63" t="str">
        <f t="shared" ca="1" si="2"/>
        <v>215477701</v>
      </c>
      <c r="O63" t="str">
        <f t="shared" ca="1" si="2"/>
        <v>864995782</v>
      </c>
      <c r="P63" t="str" cm="1">
        <f t="array" aca="1" ref="P63" ca="1">9 &amp; INDEX($AF$3:$AF$6,W63)&amp; TEXT(RANDBETWEEN(0,9999999),"0000000")</f>
        <v>936370215</v>
      </c>
      <c r="Q63" t="str" cm="1">
        <f t="array" aca="1" ref="Q63" ca="1">LOWER(B63) &amp; INDEX($AF$9:$AF$11,X63)</f>
        <v>fraboa1100@gmail.com</v>
      </c>
      <c r="R63" t="str">
        <f t="shared" ca="1" si="3"/>
        <v>fraboa1100.jpg</v>
      </c>
      <c r="T63" s="4"/>
      <c r="V63">
        <f ca="1">RANDBETWEEN(2,COUNTA(rua_cod!A:A))</f>
        <v>46</v>
      </c>
      <c r="W63">
        <f t="shared" ca="1" si="4"/>
        <v>3</v>
      </c>
      <c r="X63">
        <f t="shared" ca="1" si="5"/>
        <v>2</v>
      </c>
      <c r="Y63">
        <f t="shared" ca="1" si="6"/>
        <v>1956</v>
      </c>
      <c r="Z63">
        <f t="shared" ca="1" si="7"/>
        <v>9</v>
      </c>
      <c r="AA63">
        <f t="shared" ca="1" si="8"/>
        <v>4</v>
      </c>
      <c r="AB63">
        <f t="shared" ca="1" si="9"/>
        <v>64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marboa1749</v>
      </c>
      <c r="C64" t="str">
        <f t="shared" ca="1" si="0"/>
        <v>pswmarboa1749</v>
      </c>
      <c r="D64" t="str">
        <f ca="1">Nomes!T65</f>
        <v>Mariana Santiago Garcia Barros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da Alfândega</v>
      </c>
      <c r="H64" t="str" cm="1">
        <f t="array" aca="1" ref="H64" ca="1">INDEX(rua_cod!$A:$A,Users!V64) &amp; "-" &amp; TEXT(RANDBETWEEN(0,999),"000")</f>
        <v>1749-335</v>
      </c>
      <c r="I64" t="str" cm="1">
        <f t="array" aca="1" ref="I64" ca="1">INDEX(rua_cod!$B:$B,Users!V64)</f>
        <v>Lisboa</v>
      </c>
      <c r="J64" t="s">
        <v>3727</v>
      </c>
      <c r="K64" t="s">
        <v>225</v>
      </c>
      <c r="L64" t="s">
        <v>265</v>
      </c>
      <c r="M64" t="str">
        <f t="shared" ca="1" si="1"/>
        <v>36861806</v>
      </c>
      <c r="N64" t="str">
        <f t="shared" ca="1" si="2"/>
        <v>346571374</v>
      </c>
      <c r="O64" t="str">
        <f t="shared" ca="1" si="2"/>
        <v>605558733</v>
      </c>
      <c r="P64" t="str" cm="1">
        <f t="array" aca="1" ref="P64" ca="1">9 &amp; INDEX($AF$3:$AF$6,W64)&amp; TEXT(RANDBETWEEN(0,9999999),"0000000")</f>
        <v>964998488</v>
      </c>
      <c r="Q64" t="str" cm="1">
        <f t="array" aca="1" ref="Q64" ca="1">LOWER(B64) &amp; INDEX($AF$9:$AF$11,X64)</f>
        <v>marboa1749@gmail.com</v>
      </c>
      <c r="R64" t="str">
        <f t="shared" ca="1" si="3"/>
        <v>marboa1749.jpg</v>
      </c>
      <c r="T64" s="4"/>
      <c r="V64">
        <f ca="1">RANDBETWEEN(2,COUNTA(rua_cod!A:A))</f>
        <v>61</v>
      </c>
      <c r="W64">
        <f t="shared" ca="1" si="4"/>
        <v>4</v>
      </c>
      <c r="X64">
        <f t="shared" ca="1" si="5"/>
        <v>2</v>
      </c>
      <c r="Y64">
        <f t="shared" ca="1" si="6"/>
        <v>1912</v>
      </c>
      <c r="Z64">
        <f t="shared" ca="1" si="7"/>
        <v>9</v>
      </c>
      <c r="AA64">
        <f t="shared" ca="1" si="8"/>
        <v>12</v>
      </c>
      <c r="AB64">
        <f t="shared" ca="1" si="9"/>
        <v>108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rodica2829</v>
      </c>
      <c r="C65" t="str">
        <f t="shared" ca="1" si="0"/>
        <v>pswrodica2829</v>
      </c>
      <c r="D65" t="str">
        <f ca="1">Nomes!T66</f>
        <v>Rodrigo André Pires Fernandes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da Betesga</v>
      </c>
      <c r="H65" t="str" cm="1">
        <f t="array" aca="1" ref="H65" ca="1">INDEX(rua_cod!$A:$A,Users!V65) &amp; "-" &amp; TEXT(RANDBETWEEN(0,999),"000")</f>
        <v>2829-883</v>
      </c>
      <c r="I65" t="str" cm="1">
        <f t="array" aca="1" ref="I65" ca="1">INDEX(rua_cod!$B:$B,Users!V65)</f>
        <v>Costa de Caparica</v>
      </c>
      <c r="J65" t="s">
        <v>3727</v>
      </c>
      <c r="K65" t="s">
        <v>225</v>
      </c>
      <c r="L65" t="s">
        <v>265</v>
      </c>
      <c r="M65" t="str">
        <f t="shared" ca="1" si="1"/>
        <v>54258811</v>
      </c>
      <c r="N65" t="str">
        <f t="shared" ca="1" si="2"/>
        <v>173200783</v>
      </c>
      <c r="O65" t="str">
        <f t="shared" ca="1" si="2"/>
        <v>734390876</v>
      </c>
      <c r="P65" t="str" cm="1">
        <f t="array" aca="1" ref="P65" ca="1">9 &amp; INDEX($AF$3:$AF$6,W65)&amp; TEXT(RANDBETWEEN(0,9999999),"0000000")</f>
        <v>934316462</v>
      </c>
      <c r="Q65" t="str" cm="1">
        <f t="array" aca="1" ref="Q65" ca="1">LOWER(B65) &amp; INDEX($AF$9:$AF$11,X65)</f>
        <v>rodica2829@sapo.pt</v>
      </c>
      <c r="R65" t="str">
        <f t="shared" ca="1" si="3"/>
        <v>rodica2829.jpg</v>
      </c>
      <c r="T65" s="4"/>
      <c r="V65">
        <f ca="1">RANDBETWEEN(2,COUNTA(rua_cod!A:A))</f>
        <v>28</v>
      </c>
      <c r="W65">
        <f t="shared" ca="1" si="4"/>
        <v>3</v>
      </c>
      <c r="X65">
        <f t="shared" ca="1" si="5"/>
        <v>3</v>
      </c>
      <c r="Y65">
        <f t="shared" ca="1" si="6"/>
        <v>1946</v>
      </c>
      <c r="Z65">
        <f t="shared" ca="1" si="7"/>
        <v>7</v>
      </c>
      <c r="AA65">
        <f t="shared" ca="1" si="8"/>
        <v>6</v>
      </c>
      <c r="AB65">
        <f t="shared" ca="1" si="9"/>
        <v>74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afonto2330</v>
      </c>
      <c r="C66" t="str">
        <f t="shared" ca="1" si="0"/>
        <v>pswafonto2330</v>
      </c>
      <c r="D66" t="str">
        <f ca="1">Nomes!T67</f>
        <v>Afonso Laura Gonçalves Cruz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Calçada do Moinho de Vento</v>
      </c>
      <c r="H66" t="str" cm="1">
        <f t="array" aca="1" ref="H66" ca="1">INDEX(rua_cod!$A:$A,Users!V66) &amp; "-" &amp; TEXT(RANDBETWEEN(0,999),"000")</f>
        <v>2330-698</v>
      </c>
      <c r="I66" t="str" cm="1">
        <f t="array" aca="1" ref="I66" ca="1">INDEX(rua_cod!$B:$B,Users!V66)</f>
        <v>Entroncamento</v>
      </c>
      <c r="J66" t="s">
        <v>3727</v>
      </c>
      <c r="K66" t="s">
        <v>225</v>
      </c>
      <c r="L66" t="s">
        <v>265</v>
      </c>
      <c r="M66" t="str">
        <f t="shared" ca="1" si="1"/>
        <v>88954215</v>
      </c>
      <c r="N66" t="str">
        <f t="shared" ca="1" si="2"/>
        <v>738498694</v>
      </c>
      <c r="O66" t="str">
        <f t="shared" ca="1" si="2"/>
        <v>969178807</v>
      </c>
      <c r="P66" t="str" cm="1">
        <f t="array" aca="1" ref="P66" ca="1">9 &amp; INDEX($AF$3:$AF$6,W66)&amp; TEXT(RANDBETWEEN(0,9999999),"0000000")</f>
        <v>961192236</v>
      </c>
      <c r="Q66" t="str" cm="1">
        <f t="array" aca="1" ref="Q66" ca="1">LOWER(B66) &amp; INDEX($AF$9:$AF$11,X66)</f>
        <v>afonto2330@outlook.com</v>
      </c>
      <c r="R66" t="str">
        <f t="shared" ca="1" si="3"/>
        <v>afonto2330.jpg</v>
      </c>
      <c r="T66" s="4"/>
      <c r="V66">
        <f ca="1">RANDBETWEEN(2,COUNTA(rua_cod!A:A))</f>
        <v>29</v>
      </c>
      <c r="W66">
        <f t="shared" ca="1" si="4"/>
        <v>4</v>
      </c>
      <c r="X66">
        <f t="shared" ca="1" si="5"/>
        <v>1</v>
      </c>
      <c r="Y66">
        <f t="shared" ca="1" si="6"/>
        <v>1959</v>
      </c>
      <c r="Z66">
        <f t="shared" ca="1" si="7"/>
        <v>4</v>
      </c>
      <c r="AA66">
        <f t="shared" ca="1" si="8"/>
        <v>11</v>
      </c>
      <c r="AB66">
        <f t="shared" ca="1" si="9"/>
        <v>61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joanto2330</v>
      </c>
      <c r="C67" t="str">
        <f t="shared" ref="C67:C130" ca="1" si="10">"psw" &amp; B67</f>
        <v>pswjoanto2330</v>
      </c>
      <c r="D67" t="str">
        <f ca="1">Nomes!T68</f>
        <v>Joaquim Pedro Nogueira Mendes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do Guarda-Mor</v>
      </c>
      <c r="H67" t="str" cm="1">
        <f t="array" aca="1" ref="H67" ca="1">INDEX(rua_cod!$A:$A,Users!V67) &amp; "-" &amp; TEXT(RANDBETWEEN(0,999),"000")</f>
        <v>2330-004</v>
      </c>
      <c r="I67" t="str" cm="1">
        <f t="array" aca="1" ref="I67" ca="1">INDEX(rua_cod!$B:$B,Users!V67)</f>
        <v>Entroncamento</v>
      </c>
      <c r="J67" t="s">
        <v>3727</v>
      </c>
      <c r="K67" t="s">
        <v>225</v>
      </c>
      <c r="L67" t="s">
        <v>265</v>
      </c>
      <c r="M67" t="str">
        <f t="shared" ref="M67:M130" ca="1" si="11">TEXT(RANDBETWEEN(10000000,99999999),"00000000")</f>
        <v>86736488</v>
      </c>
      <c r="N67" t="str">
        <f t="shared" ref="N67:O130" ca="1" si="12">TEXT(RANDBETWEEN(100000000,999999999),"000000000")</f>
        <v>454222985</v>
      </c>
      <c r="O67" t="str">
        <f t="shared" ca="1" si="12"/>
        <v>373141582</v>
      </c>
      <c r="P67" t="str" cm="1">
        <f t="array" aca="1" ref="P67" ca="1">9 &amp; INDEX($AF$3:$AF$6,W67)&amp; TEXT(RANDBETWEEN(0,9999999),"0000000")</f>
        <v>961656563</v>
      </c>
      <c r="Q67" t="str" cm="1">
        <f t="array" aca="1" ref="Q67" ca="1">LOWER(B67) &amp; INDEX($AF$9:$AF$11,X67)</f>
        <v>joanto2330@gmail.com</v>
      </c>
      <c r="R67" t="str">
        <f t="shared" ref="R67:R130" ca="1" si="13">B67 &amp; ".jpg"</f>
        <v>joanto2330.jpg</v>
      </c>
      <c r="T67" s="4"/>
      <c r="V67">
        <f ca="1">RANDBETWEEN(2,COUNTA(rua_cod!A:A))</f>
        <v>29</v>
      </c>
      <c r="W67">
        <f t="shared" ref="W67:W130" ca="1" si="14">RANDBETWEEN(1,4)</f>
        <v>4</v>
      </c>
      <c r="X67">
        <f t="shared" ref="X67:X130" ca="1" si="15">RANDBETWEEN(1,3)</f>
        <v>2</v>
      </c>
      <c r="Y67">
        <f t="shared" ref="Y67:Y130" ca="1" si="16">INT(NORMINV(RAND(),1976,22))</f>
        <v>2022</v>
      </c>
      <c r="Z67">
        <f t="shared" ref="Z67:Z130" ca="1" si="17">RANDBETWEEN(1,12)</f>
        <v>10</v>
      </c>
      <c r="AA67">
        <f t="shared" ref="AA67:AA130" ca="1" si="18">RANDBETWEEN(1,31)</f>
        <v>22</v>
      </c>
      <c r="AB67">
        <f t="shared" ref="AB67:AB130" ca="1" si="19">2020-Y67</f>
        <v>-2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launto2334</v>
      </c>
      <c r="C68" t="str">
        <f t="shared" ca="1" si="10"/>
        <v>pswlaunto2334</v>
      </c>
      <c r="D68" t="str">
        <f ca="1">Nomes!T69</f>
        <v>Laura Diana Rodrigues Magalhães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Rua do Sol a Santana</v>
      </c>
      <c r="H68" t="str" cm="1">
        <f t="array" aca="1" ref="H68" ca="1">INDEX(rua_cod!$A:$A,Users!V68) &amp; "-" &amp; TEXT(RANDBETWEEN(0,999),"000")</f>
        <v>2334-671</v>
      </c>
      <c r="I68" t="str" cm="1">
        <f t="array" aca="1" ref="I68" ca="1">INDEX(rua_cod!$B:$B,Users!V68)</f>
        <v>Entroncamento</v>
      </c>
      <c r="J68" t="s">
        <v>3727</v>
      </c>
      <c r="K68" t="s">
        <v>225</v>
      </c>
      <c r="L68" t="s">
        <v>265</v>
      </c>
      <c r="M68" t="str">
        <f t="shared" ca="1" si="11"/>
        <v>27494826</v>
      </c>
      <c r="N68" t="str">
        <f t="shared" ca="1" si="12"/>
        <v>392951908</v>
      </c>
      <c r="O68" t="str">
        <f t="shared" ca="1" si="12"/>
        <v>554335471</v>
      </c>
      <c r="P68" t="str" cm="1">
        <f t="array" aca="1" ref="P68" ca="1">9 &amp; INDEX($AF$3:$AF$6,W68)&amp; TEXT(RANDBETWEEN(0,9999999),"0000000")</f>
        <v>965894071</v>
      </c>
      <c r="Q68" t="str" cm="1">
        <f t="array" aca="1" ref="Q68" ca="1">LOWER(B68) &amp; INDEX($AF$9:$AF$11,X68)</f>
        <v>launto2334@sapo.pt</v>
      </c>
      <c r="R68" t="str">
        <f t="shared" ca="1" si="13"/>
        <v>launto2334.jpg</v>
      </c>
      <c r="T68" s="4"/>
      <c r="V68">
        <f ca="1">RANDBETWEEN(2,COUNTA(rua_cod!A:A))</f>
        <v>30</v>
      </c>
      <c r="W68">
        <f t="shared" ca="1" si="14"/>
        <v>4</v>
      </c>
      <c r="X68">
        <f t="shared" ca="1" si="15"/>
        <v>3</v>
      </c>
      <c r="Y68">
        <f t="shared" ca="1" si="16"/>
        <v>1972</v>
      </c>
      <c r="Z68">
        <f t="shared" ca="1" si="17"/>
        <v>6</v>
      </c>
      <c r="AA68">
        <f t="shared" ca="1" si="18"/>
        <v>26</v>
      </c>
      <c r="AB68">
        <f t="shared" ca="1" si="19"/>
        <v>48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luiboa1169</v>
      </c>
      <c r="C69" t="str">
        <f t="shared" ca="1" si="10"/>
        <v>pswluiboa1169</v>
      </c>
      <c r="D69" t="str">
        <f ca="1">Nomes!T70</f>
        <v>Luís Diana Vicente Rodrigues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de São Mamede</v>
      </c>
      <c r="H69" t="str" cm="1">
        <f t="array" aca="1" ref="H69" ca="1">INDEX(rua_cod!$A:$A,Users!V69) &amp; "-" &amp; TEXT(RANDBETWEEN(0,999),"000")</f>
        <v>1169-907</v>
      </c>
      <c r="I69" t="str" cm="1">
        <f t="array" aca="1" ref="I69" ca="1">INDEX(rua_cod!$B:$B,Users!V69)</f>
        <v>Lisboa</v>
      </c>
      <c r="J69" t="s">
        <v>3727</v>
      </c>
      <c r="K69" t="s">
        <v>225</v>
      </c>
      <c r="L69" t="s">
        <v>265</v>
      </c>
      <c r="M69" t="str">
        <f t="shared" ca="1" si="11"/>
        <v>79660082</v>
      </c>
      <c r="N69" t="str">
        <f t="shared" ca="1" si="12"/>
        <v>807603729</v>
      </c>
      <c r="O69" t="str">
        <f t="shared" ca="1" si="12"/>
        <v>422710765</v>
      </c>
      <c r="P69" t="str" cm="1">
        <f t="array" aca="1" ref="P69" ca="1">9 &amp; INDEX($AF$3:$AF$6,W69)&amp; TEXT(RANDBETWEEN(0,9999999),"0000000")</f>
        <v>924646793</v>
      </c>
      <c r="Q69" t="str" cm="1">
        <f t="array" aca="1" ref="Q69" ca="1">LOWER(B69) &amp; INDEX($AF$9:$AF$11,X69)</f>
        <v>luiboa1169@outlook.com</v>
      </c>
      <c r="R69" t="str">
        <f t="shared" ca="1" si="13"/>
        <v>luiboa1169.jpg</v>
      </c>
      <c r="T69" s="4"/>
      <c r="V69">
        <f ca="1">RANDBETWEEN(2,COUNTA(rua_cod!A:A))</f>
        <v>70</v>
      </c>
      <c r="W69">
        <f t="shared" ca="1" si="14"/>
        <v>2</v>
      </c>
      <c r="X69">
        <f t="shared" ca="1" si="15"/>
        <v>1</v>
      </c>
      <c r="Y69">
        <f t="shared" ca="1" si="16"/>
        <v>1965</v>
      </c>
      <c r="Z69">
        <f t="shared" ca="1" si="17"/>
        <v>3</v>
      </c>
      <c r="AA69">
        <f t="shared" ca="1" si="18"/>
        <v>2</v>
      </c>
      <c r="AB69">
        <f t="shared" ca="1" si="19"/>
        <v>55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matboa1950</v>
      </c>
      <c r="C70" t="str">
        <f t="shared" ca="1" si="10"/>
        <v>pswmatboa1950</v>
      </c>
      <c r="D70" t="str">
        <f ca="1">Nomes!T71</f>
        <v>Matilde Diana Castro Machado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do Sol a Santana</v>
      </c>
      <c r="H70" t="str" cm="1">
        <f t="array" aca="1" ref="H70" ca="1">INDEX(rua_cod!$A:$A,Users!V70) &amp; "-" &amp; TEXT(RANDBETWEEN(0,999),"000")</f>
        <v>1950-370</v>
      </c>
      <c r="I70" t="str" cm="1">
        <f t="array" aca="1" ref="I70" ca="1">INDEX(rua_cod!$B:$B,Users!V70)</f>
        <v>Lisboa</v>
      </c>
      <c r="J70" t="s">
        <v>3727</v>
      </c>
      <c r="K70" t="s">
        <v>225</v>
      </c>
      <c r="L70" t="s">
        <v>265</v>
      </c>
      <c r="M70" t="str">
        <f t="shared" ca="1" si="11"/>
        <v>65067097</v>
      </c>
      <c r="N70" t="str">
        <f t="shared" ca="1" si="12"/>
        <v>496063350</v>
      </c>
      <c r="O70" t="str">
        <f t="shared" ca="1" si="12"/>
        <v>656874559</v>
      </c>
      <c r="P70" t="str" cm="1">
        <f t="array" aca="1" ref="P70" ca="1">9 &amp; INDEX($AF$3:$AF$6,W70)&amp; TEXT(RANDBETWEEN(0,9999999),"0000000")</f>
        <v>960781474</v>
      </c>
      <c r="Q70" t="str" cm="1">
        <f t="array" aca="1" ref="Q70" ca="1">LOWER(B70) &amp; INDEX($AF$9:$AF$11,X70)</f>
        <v>matboa1950@sapo.pt</v>
      </c>
      <c r="R70" t="str">
        <f t="shared" ca="1" si="13"/>
        <v>matboa1950.jpg</v>
      </c>
      <c r="T70" s="4"/>
      <c r="V70">
        <f ca="1">RANDBETWEEN(2,COUNTA(rua_cod!A:A))</f>
        <v>41</v>
      </c>
      <c r="W70">
        <f t="shared" ca="1" si="14"/>
        <v>4</v>
      </c>
      <c r="X70">
        <f t="shared" ca="1" si="15"/>
        <v>3</v>
      </c>
      <c r="Y70">
        <f t="shared" ca="1" si="16"/>
        <v>1961</v>
      </c>
      <c r="Z70">
        <f t="shared" ca="1" si="17"/>
        <v>6</v>
      </c>
      <c r="AA70">
        <f t="shared" ca="1" si="18"/>
        <v>22</v>
      </c>
      <c r="AB70">
        <f t="shared" ca="1" si="19"/>
        <v>59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tiaora2614</v>
      </c>
      <c r="C71" t="str">
        <f t="shared" ca="1" si="10"/>
        <v>pswtiaora2614</v>
      </c>
      <c r="D71" t="str">
        <f ca="1">Nomes!T72</f>
        <v>Tiago Santiago Rocha Amaral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Estrada da Circunvalação de Lisboa</v>
      </c>
      <c r="H71" t="str" cm="1">
        <f t="array" aca="1" ref="H71" ca="1">INDEX(rua_cod!$A:$A,Users!V71) &amp; "-" &amp; TEXT(RANDBETWEEN(0,999),"000")</f>
        <v>2614-674</v>
      </c>
      <c r="I71" t="str" cm="1">
        <f t="array" aca="1" ref="I71" ca="1">INDEX(rua_cod!$B:$B,Users!V71)</f>
        <v>Amadora</v>
      </c>
      <c r="J71" t="s">
        <v>3727</v>
      </c>
      <c r="K71" t="s">
        <v>225</v>
      </c>
      <c r="L71" t="s">
        <v>265</v>
      </c>
      <c r="M71" t="str">
        <f t="shared" ca="1" si="11"/>
        <v>62441291</v>
      </c>
      <c r="N71" t="str">
        <f t="shared" ca="1" si="12"/>
        <v>566421718</v>
      </c>
      <c r="O71" t="str">
        <f t="shared" ca="1" si="12"/>
        <v>380597132</v>
      </c>
      <c r="P71" t="str" cm="1">
        <f t="array" aca="1" ref="P71" ca="1">9 &amp; INDEX($AF$3:$AF$6,W71)&amp; TEXT(RANDBETWEEN(0,9999999),"0000000")</f>
        <v>967593435</v>
      </c>
      <c r="Q71" t="str" cm="1">
        <f t="array" aca="1" ref="Q71" ca="1">LOWER(B71) &amp; INDEX($AF$9:$AF$11,X71)</f>
        <v>tiaora2614@sapo.pt</v>
      </c>
      <c r="R71" t="str">
        <f t="shared" ca="1" si="13"/>
        <v>tiaora2614.jpg</v>
      </c>
      <c r="T71" s="4"/>
      <c r="V71">
        <f ca="1">RANDBETWEEN(2,COUNTA(rua_cod!A:A))</f>
        <v>11</v>
      </c>
      <c r="W71">
        <f t="shared" ca="1" si="14"/>
        <v>4</v>
      </c>
      <c r="X71">
        <f t="shared" ca="1" si="15"/>
        <v>3</v>
      </c>
      <c r="Y71">
        <f t="shared" ca="1" si="16"/>
        <v>1971</v>
      </c>
      <c r="Z71">
        <f t="shared" ca="1" si="17"/>
        <v>3</v>
      </c>
      <c r="AA71">
        <f t="shared" ca="1" si="18"/>
        <v>10</v>
      </c>
      <c r="AB71">
        <f t="shared" ca="1" si="19"/>
        <v>49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josora2610</v>
      </c>
      <c r="C72" t="str">
        <f t="shared" ca="1" si="10"/>
        <v>pswjosora2610</v>
      </c>
      <c r="D72" t="str">
        <f ca="1">Nomes!T73</f>
        <v>José Matilde Gaspar Martins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Rua Júlio César Machado</v>
      </c>
      <c r="H72" t="str" cm="1">
        <f t="array" aca="1" ref="H72" ca="1">INDEX(rua_cod!$A:$A,Users!V72) &amp; "-" &amp; TEXT(RANDBETWEEN(0,999),"000")</f>
        <v>2610-105</v>
      </c>
      <c r="I72" t="str" cm="1">
        <f t="array" aca="1" ref="I72" ca="1">INDEX(rua_cod!$B:$B,Users!V72)</f>
        <v>Amadora</v>
      </c>
      <c r="J72" t="s">
        <v>3727</v>
      </c>
      <c r="K72" t="s">
        <v>225</v>
      </c>
      <c r="L72" t="s">
        <v>265</v>
      </c>
      <c r="M72" t="str">
        <f t="shared" ca="1" si="11"/>
        <v>18208127</v>
      </c>
      <c r="N72" t="str">
        <f t="shared" ca="1" si="12"/>
        <v>975077342</v>
      </c>
      <c r="O72" t="str">
        <f t="shared" ca="1" si="12"/>
        <v>344224786</v>
      </c>
      <c r="P72" t="str" cm="1">
        <f t="array" aca="1" ref="P72" ca="1">9 &amp; INDEX($AF$3:$AF$6,W72)&amp; TEXT(RANDBETWEEN(0,9999999),"0000000")</f>
        <v>920394727</v>
      </c>
      <c r="Q72" t="str" cm="1">
        <f t="array" aca="1" ref="Q72" ca="1">LOWER(B72) &amp; INDEX($AF$9:$AF$11,X72)</f>
        <v>josora2610@gmail.com</v>
      </c>
      <c r="R72" t="str">
        <f t="shared" ca="1" si="13"/>
        <v>josora2610.jpg</v>
      </c>
      <c r="T72" s="4"/>
      <c r="V72">
        <f ca="1">RANDBETWEEN(2,COUNTA(rua_cod!A:A))</f>
        <v>12</v>
      </c>
      <c r="W72">
        <f t="shared" ca="1" si="14"/>
        <v>2</v>
      </c>
      <c r="X72">
        <f t="shared" ca="1" si="15"/>
        <v>2</v>
      </c>
      <c r="Y72">
        <f t="shared" ca="1" si="16"/>
        <v>2047</v>
      </c>
      <c r="Z72">
        <f t="shared" ca="1" si="17"/>
        <v>5</v>
      </c>
      <c r="AA72">
        <f t="shared" ca="1" si="18"/>
        <v>8</v>
      </c>
      <c r="AB72">
        <f t="shared" ca="1" si="19"/>
        <v>-27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andboa1098</v>
      </c>
      <c r="C73" t="str">
        <f t="shared" ca="1" si="10"/>
        <v>pswandboa1098</v>
      </c>
      <c r="D73" t="str">
        <f ca="1">Nomes!T74</f>
        <v>André Joana Nascimento Lopes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dos Heróis de Quionga</v>
      </c>
      <c r="H73" t="str" cm="1">
        <f t="array" aca="1" ref="H73" ca="1">INDEX(rua_cod!$A:$A,Users!V73) &amp; "-" &amp; TEXT(RANDBETWEEN(0,999),"000")</f>
        <v>1098-376</v>
      </c>
      <c r="I73" t="str" cm="1">
        <f t="array" aca="1" ref="I73" ca="1">INDEX(rua_cod!$B:$B,Users!V73)</f>
        <v>Lisboa</v>
      </c>
      <c r="J73" t="s">
        <v>3727</v>
      </c>
      <c r="K73" t="s">
        <v>225</v>
      </c>
      <c r="L73" t="s">
        <v>265</v>
      </c>
      <c r="M73" t="str">
        <f t="shared" ca="1" si="11"/>
        <v>98203159</v>
      </c>
      <c r="N73" t="str">
        <f t="shared" ca="1" si="12"/>
        <v>476738804</v>
      </c>
      <c r="O73" t="str">
        <f t="shared" ca="1" si="12"/>
        <v>584162697</v>
      </c>
      <c r="P73" t="str" cm="1">
        <f t="array" aca="1" ref="P73" ca="1">9 &amp; INDEX($AF$3:$AF$6,W73)&amp; TEXT(RANDBETWEEN(0,9999999),"0000000")</f>
        <v>931224831</v>
      </c>
      <c r="Q73" t="str" cm="1">
        <f t="array" aca="1" ref="Q73" ca="1">LOWER(B73) &amp; INDEX($AF$9:$AF$11,X73)</f>
        <v>andboa1098@sapo.pt</v>
      </c>
      <c r="R73" t="str">
        <f t="shared" ca="1" si="13"/>
        <v>andboa1098.jpg</v>
      </c>
      <c r="T73" s="4"/>
      <c r="V73">
        <f ca="1">RANDBETWEEN(2,COUNTA(rua_cod!A:A))</f>
        <v>80</v>
      </c>
      <c r="W73">
        <f t="shared" ca="1" si="14"/>
        <v>3</v>
      </c>
      <c r="X73">
        <f t="shared" ca="1" si="15"/>
        <v>3</v>
      </c>
      <c r="Y73">
        <f t="shared" ca="1" si="16"/>
        <v>1956</v>
      </c>
      <c r="Z73">
        <f t="shared" ca="1" si="17"/>
        <v>7</v>
      </c>
      <c r="AA73">
        <f t="shared" ca="1" si="18"/>
        <v>29</v>
      </c>
      <c r="AB73">
        <f t="shared" ca="1" si="19"/>
        <v>64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ineboa1050</v>
      </c>
      <c r="C74" t="str">
        <f t="shared" ca="1" si="10"/>
        <v>pswineboa1050</v>
      </c>
      <c r="D74" t="str">
        <f ca="1">Nomes!T75</f>
        <v>Inês Bruno Mota Pacheco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 Sol a Santana</v>
      </c>
      <c r="H74" t="str" cm="1">
        <f t="array" aca="1" ref="H74" ca="1">INDEX(rua_cod!$A:$A,Users!V74) &amp; "-" &amp; TEXT(RANDBETWEEN(0,999),"000")</f>
        <v>1050-205</v>
      </c>
      <c r="I74" t="str" cm="1">
        <f t="array" aca="1" ref="I74" ca="1">INDEX(rua_cod!$B:$B,Users!V74)</f>
        <v>Lisboa</v>
      </c>
      <c r="J74" t="s">
        <v>3727</v>
      </c>
      <c r="K74" t="s">
        <v>225</v>
      </c>
      <c r="L74" t="s">
        <v>265</v>
      </c>
      <c r="M74" t="str">
        <f t="shared" ca="1" si="11"/>
        <v>96486074</v>
      </c>
      <c r="N74" t="str">
        <f t="shared" ca="1" si="12"/>
        <v>496346050</v>
      </c>
      <c r="O74" t="str">
        <f t="shared" ca="1" si="12"/>
        <v>461090967</v>
      </c>
      <c r="P74" t="str" cm="1">
        <f t="array" aca="1" ref="P74" ca="1">9 &amp; INDEX($AF$3:$AF$6,W74)&amp; TEXT(RANDBETWEEN(0,9999999),"0000000")</f>
        <v>968311744</v>
      </c>
      <c r="Q74" t="str" cm="1">
        <f t="array" aca="1" ref="Q74" ca="1">LOWER(B74) &amp; INDEX($AF$9:$AF$11,X74)</f>
        <v>ineboa1050@outlook.com</v>
      </c>
      <c r="R74" t="str">
        <f t="shared" ca="1" si="13"/>
        <v>ineboa1050.jpg</v>
      </c>
      <c r="T74" s="4"/>
      <c r="V74">
        <f ca="1">RANDBETWEEN(2,COUNTA(rua_cod!A:A))</f>
        <v>66</v>
      </c>
      <c r="W74">
        <f t="shared" ca="1" si="14"/>
        <v>4</v>
      </c>
      <c r="X74">
        <f t="shared" ca="1" si="15"/>
        <v>1</v>
      </c>
      <c r="Y74">
        <f t="shared" ca="1" si="16"/>
        <v>1948</v>
      </c>
      <c r="Z74">
        <f t="shared" ca="1" si="17"/>
        <v>5</v>
      </c>
      <c r="AA74">
        <f t="shared" ca="1" si="18"/>
        <v>26</v>
      </c>
      <c r="AB74">
        <f t="shared" ca="1" si="19"/>
        <v>72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fraboa1098</v>
      </c>
      <c r="C75" t="str">
        <f t="shared" ca="1" si="10"/>
        <v>pswfraboa1098</v>
      </c>
      <c r="D75" t="str">
        <f ca="1">Nomes!T76</f>
        <v>Francisca Catarina Almeida Gonçalves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Estrada Militar</v>
      </c>
      <c r="H75" t="str" cm="1">
        <f t="array" aca="1" ref="H75" ca="1">INDEX(rua_cod!$A:$A,Users!V75) &amp; "-" &amp; TEXT(RANDBETWEEN(0,999),"000")</f>
        <v>1098-286</v>
      </c>
      <c r="I75" t="str" cm="1">
        <f t="array" aca="1" ref="I75" ca="1">INDEX(rua_cod!$B:$B,Users!V75)</f>
        <v>Lisboa</v>
      </c>
      <c r="J75" t="s">
        <v>3727</v>
      </c>
      <c r="K75" t="s">
        <v>225</v>
      </c>
      <c r="L75" t="s">
        <v>265</v>
      </c>
      <c r="M75" t="str">
        <f t="shared" ca="1" si="11"/>
        <v>89094315</v>
      </c>
      <c r="N75" t="str">
        <f t="shared" ca="1" si="12"/>
        <v>527718994</v>
      </c>
      <c r="O75" t="str">
        <f t="shared" ca="1" si="12"/>
        <v>889298584</v>
      </c>
      <c r="P75" t="str" cm="1">
        <f t="array" aca="1" ref="P75" ca="1">9 &amp; INDEX($AF$3:$AF$6,W75)&amp; TEXT(RANDBETWEEN(0,9999999),"0000000")</f>
        <v>913745514</v>
      </c>
      <c r="Q75" t="str" cm="1">
        <f t="array" aca="1" ref="Q75" ca="1">LOWER(B75) &amp; INDEX($AF$9:$AF$11,X75)</f>
        <v>fraboa1098@sapo.pt</v>
      </c>
      <c r="R75" t="str">
        <f t="shared" ca="1" si="13"/>
        <v>fraboa1098.jpg</v>
      </c>
      <c r="T75" s="4"/>
      <c r="V75">
        <f ca="1">RANDBETWEEN(2,COUNTA(rua_cod!A:A))</f>
        <v>80</v>
      </c>
      <c r="W75">
        <f t="shared" ca="1" si="14"/>
        <v>1</v>
      </c>
      <c r="X75">
        <f t="shared" ca="1" si="15"/>
        <v>3</v>
      </c>
      <c r="Y75">
        <f t="shared" ca="1" si="16"/>
        <v>1967</v>
      </c>
      <c r="Z75">
        <f t="shared" ca="1" si="17"/>
        <v>5</v>
      </c>
      <c r="AA75">
        <f t="shared" ca="1" si="18"/>
        <v>17</v>
      </c>
      <c r="AB75">
        <f t="shared" ca="1" si="19"/>
        <v>53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duaboa1070</v>
      </c>
      <c r="C76" t="str">
        <f t="shared" ca="1" si="10"/>
        <v>pswduaboa1070</v>
      </c>
      <c r="D76" t="str">
        <f ca="1">Nomes!T77</f>
        <v>Duarte Sofia Antunes Carneiro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do Arsenal</v>
      </c>
      <c r="H76" t="str" cm="1">
        <f t="array" aca="1" ref="H76" ca="1">INDEX(rua_cod!$A:$A,Users!V76) &amp; "-" &amp; TEXT(RANDBETWEEN(0,999),"000")</f>
        <v>1070-220</v>
      </c>
      <c r="I76" t="str" cm="1">
        <f t="array" aca="1" ref="I76" ca="1">INDEX(rua_cod!$B:$B,Users!V76)</f>
        <v>Lisboa</v>
      </c>
      <c r="J76" t="s">
        <v>3727</v>
      </c>
      <c r="K76" t="s">
        <v>225</v>
      </c>
      <c r="L76" t="s">
        <v>265</v>
      </c>
      <c r="M76" t="str">
        <f t="shared" ca="1" si="11"/>
        <v>35511648</v>
      </c>
      <c r="N76" t="str">
        <f t="shared" ca="1" si="12"/>
        <v>595281802</v>
      </c>
      <c r="O76" t="str">
        <f t="shared" ca="1" si="12"/>
        <v>854676866</v>
      </c>
      <c r="P76" t="str" cm="1">
        <f t="array" aca="1" ref="P76" ca="1">9 &amp; INDEX($AF$3:$AF$6,W76)&amp; TEXT(RANDBETWEEN(0,9999999),"0000000")</f>
        <v>918583840</v>
      </c>
      <c r="Q76" t="str" cm="1">
        <f t="array" aca="1" ref="Q76" ca="1">LOWER(B76) &amp; INDEX($AF$9:$AF$11,X76)</f>
        <v>duaboa1070@gmail.com</v>
      </c>
      <c r="R76" t="str">
        <f t="shared" ca="1" si="13"/>
        <v>duaboa1070.jpg</v>
      </c>
      <c r="T76" s="4"/>
      <c r="V76">
        <f ca="1">RANDBETWEEN(2,COUNTA(rua_cod!A:A))</f>
        <v>51</v>
      </c>
      <c r="W76">
        <f t="shared" ca="1" si="14"/>
        <v>1</v>
      </c>
      <c r="X76">
        <f t="shared" ca="1" si="15"/>
        <v>2</v>
      </c>
      <c r="Y76">
        <f t="shared" ca="1" si="16"/>
        <v>1944</v>
      </c>
      <c r="Z76">
        <f t="shared" ca="1" si="17"/>
        <v>8</v>
      </c>
      <c r="AA76">
        <f t="shared" ca="1" si="18"/>
        <v>20</v>
      </c>
      <c r="AB76">
        <f t="shared" ca="1" si="19"/>
        <v>76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ricboa1949</v>
      </c>
      <c r="C77" t="str">
        <f t="shared" ca="1" si="10"/>
        <v>pswricboa1949</v>
      </c>
      <c r="D77" t="str">
        <f ca="1">Nomes!T78</f>
        <v>Ricardo Lara Sá Correia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do Arsenal</v>
      </c>
      <c r="H77" t="str" cm="1">
        <f t="array" aca="1" ref="H77" ca="1">INDEX(rua_cod!$A:$A,Users!V77) &amp; "-" &amp; TEXT(RANDBETWEEN(0,999),"000")</f>
        <v>1949-616</v>
      </c>
      <c r="I77" t="str" cm="1">
        <f t="array" aca="1" ref="I77" ca="1">INDEX(rua_cod!$B:$B,Users!V77)</f>
        <v>Lisboa</v>
      </c>
      <c r="J77" t="s">
        <v>3727</v>
      </c>
      <c r="K77" t="s">
        <v>225</v>
      </c>
      <c r="L77" t="s">
        <v>265</v>
      </c>
      <c r="M77" t="str">
        <f t="shared" ca="1" si="11"/>
        <v>16588700</v>
      </c>
      <c r="N77" t="str">
        <f t="shared" ca="1" si="12"/>
        <v>567571782</v>
      </c>
      <c r="O77" t="str">
        <f t="shared" ca="1" si="12"/>
        <v>497243846</v>
      </c>
      <c r="P77" t="str" cm="1">
        <f t="array" aca="1" ref="P77" ca="1">9 &amp; INDEX($AF$3:$AF$6,W77)&amp; TEXT(RANDBETWEEN(0,9999999),"0000000")</f>
        <v>925134759</v>
      </c>
      <c r="Q77" t="str" cm="1">
        <f t="array" aca="1" ref="Q77" ca="1">LOWER(B77) &amp; INDEX($AF$9:$AF$11,X77)</f>
        <v>ricboa1949@outlook.com</v>
      </c>
      <c r="R77" t="str">
        <f t="shared" ca="1" si="13"/>
        <v>ricboa1949.jpg</v>
      </c>
      <c r="T77" s="4"/>
      <c r="V77">
        <f ca="1">RANDBETWEEN(2,COUNTA(rua_cod!A:A))</f>
        <v>45</v>
      </c>
      <c r="W77">
        <f t="shared" ca="1" si="14"/>
        <v>2</v>
      </c>
      <c r="X77">
        <f t="shared" ca="1" si="15"/>
        <v>1</v>
      </c>
      <c r="Y77">
        <f t="shared" ca="1" si="16"/>
        <v>1966</v>
      </c>
      <c r="Z77">
        <f t="shared" ca="1" si="17"/>
        <v>8</v>
      </c>
      <c r="AA77">
        <f t="shared" ca="1" si="18"/>
        <v>23</v>
      </c>
      <c r="AB77">
        <f t="shared" ca="1" si="19"/>
        <v>54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fraica2829</v>
      </c>
      <c r="C78" t="str">
        <f t="shared" ca="1" si="10"/>
        <v>pswfraica2829</v>
      </c>
      <c r="D78" t="str">
        <f ca="1">Nomes!T79</f>
        <v>Francisco Matilde Santos Cunha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Rua de São Mamede</v>
      </c>
      <c r="H78" t="str" cm="1">
        <f t="array" aca="1" ref="H78" ca="1">INDEX(rua_cod!$A:$A,Users!V78) &amp; "-" &amp; TEXT(RANDBETWEEN(0,999),"000")</f>
        <v>2829-328</v>
      </c>
      <c r="I78" t="str" cm="1">
        <f t="array" aca="1" ref="I78" ca="1">INDEX(rua_cod!$B:$B,Users!V78)</f>
        <v>Caparica</v>
      </c>
      <c r="J78" t="s">
        <v>3727</v>
      </c>
      <c r="K78" t="s">
        <v>225</v>
      </c>
      <c r="L78" t="s">
        <v>265</v>
      </c>
      <c r="M78" t="str">
        <f t="shared" ca="1" si="11"/>
        <v>72134521</v>
      </c>
      <c r="N78" t="str">
        <f t="shared" ca="1" si="12"/>
        <v>913762305</v>
      </c>
      <c r="O78" t="str">
        <f t="shared" ca="1" si="12"/>
        <v>878990097</v>
      </c>
      <c r="P78" t="str" cm="1">
        <f t="array" aca="1" ref="P78" ca="1">9 &amp; INDEX($AF$3:$AF$6,W78)&amp; TEXT(RANDBETWEEN(0,9999999),"0000000")</f>
        <v>919333206</v>
      </c>
      <c r="Q78" t="str" cm="1">
        <f t="array" aca="1" ref="Q78" ca="1">LOWER(B78) &amp; INDEX($AF$9:$AF$11,X78)</f>
        <v>fraica2829@sapo.pt</v>
      </c>
      <c r="R78" t="str">
        <f t="shared" ca="1" si="13"/>
        <v>fraica2829.jpg</v>
      </c>
      <c r="T78" s="4"/>
      <c r="V78">
        <f ca="1">RANDBETWEEN(2,COUNTA(rua_cod!A:A))</f>
        <v>19</v>
      </c>
      <c r="W78">
        <f t="shared" ca="1" si="14"/>
        <v>1</v>
      </c>
      <c r="X78">
        <f t="shared" ca="1" si="15"/>
        <v>3</v>
      </c>
      <c r="Y78">
        <f t="shared" ca="1" si="16"/>
        <v>1967</v>
      </c>
      <c r="Z78">
        <f t="shared" ca="1" si="17"/>
        <v>12</v>
      </c>
      <c r="AA78">
        <f t="shared" ca="1" si="18"/>
        <v>7</v>
      </c>
      <c r="AB78">
        <f t="shared" ca="1" si="19"/>
        <v>53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sarboa1749</v>
      </c>
      <c r="C79" t="str">
        <f t="shared" ca="1" si="10"/>
        <v>pswsarboa1749</v>
      </c>
      <c r="D79" t="str">
        <f ca="1">Nomes!T80</f>
        <v>Sara Marco Rocha Ribeiro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da Junqueira</v>
      </c>
      <c r="H79" t="str" cm="1">
        <f t="array" aca="1" ref="H79" ca="1">INDEX(rua_cod!$A:$A,Users!V79) &amp; "-" &amp; TEXT(RANDBETWEEN(0,999),"000")</f>
        <v>1749-305</v>
      </c>
      <c r="I79" t="str" cm="1">
        <f t="array" aca="1" ref="I79" ca="1">INDEX(rua_cod!$B:$B,Users!V79)</f>
        <v>Lisboa</v>
      </c>
      <c r="J79" t="s">
        <v>3727</v>
      </c>
      <c r="K79" t="s">
        <v>225</v>
      </c>
      <c r="L79" t="s">
        <v>265</v>
      </c>
      <c r="M79" t="str">
        <f t="shared" ca="1" si="11"/>
        <v>64316284</v>
      </c>
      <c r="N79" t="str">
        <f t="shared" ca="1" si="12"/>
        <v>533283465</v>
      </c>
      <c r="O79" t="str">
        <f t="shared" ca="1" si="12"/>
        <v>946358780</v>
      </c>
      <c r="P79" t="str" cm="1">
        <f t="array" aca="1" ref="P79" ca="1">9 &amp; INDEX($AF$3:$AF$6,W79)&amp; TEXT(RANDBETWEEN(0,9999999),"0000000")</f>
        <v>960595674</v>
      </c>
      <c r="Q79" t="str" cm="1">
        <f t="array" aca="1" ref="Q79" ca="1">LOWER(B79) &amp; INDEX($AF$9:$AF$11,X79)</f>
        <v>sarboa1749@gmail.com</v>
      </c>
      <c r="R79" t="str">
        <f t="shared" ca="1" si="13"/>
        <v>sarboa1749.jpg</v>
      </c>
      <c r="T79" s="4"/>
      <c r="V79">
        <f ca="1">RANDBETWEEN(2,COUNTA(rua_cod!A:A))</f>
        <v>61</v>
      </c>
      <c r="W79">
        <f t="shared" ca="1" si="14"/>
        <v>4</v>
      </c>
      <c r="X79">
        <f t="shared" ca="1" si="15"/>
        <v>2</v>
      </c>
      <c r="Y79">
        <f t="shared" ca="1" si="16"/>
        <v>1960</v>
      </c>
      <c r="Z79">
        <f t="shared" ca="1" si="17"/>
        <v>4</v>
      </c>
      <c r="AA79">
        <f t="shared" ca="1" si="18"/>
        <v>3</v>
      </c>
      <c r="AB79">
        <f t="shared" ca="1" si="19"/>
        <v>60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diaboa1750</v>
      </c>
      <c r="C80" t="str">
        <f t="shared" ca="1" si="10"/>
        <v>pswdiaboa1750</v>
      </c>
      <c r="D80" t="str">
        <f ca="1">Nomes!T81</f>
        <v>Diana Beatriz Barbosa Lourenço</v>
      </c>
      <c r="E80" t="str">
        <f ca="1">Nomes!S81</f>
        <v>Feminino</v>
      </c>
      <c r="F80" s="2">
        <v>35043</v>
      </c>
      <c r="G80" t="str" cm="1">
        <f t="array" aca="1" ref="G80" ca="1">INDEX(rua_cod!$F:$F,RANDBETWEEN(2,COUNTA(rua_cod!F:F)))</f>
        <v>Rua do Comércio</v>
      </c>
      <c r="H80" t="str" cm="1">
        <f t="array" aca="1" ref="H80" ca="1">INDEX(rua_cod!$A:$A,Users!V80) &amp; "-" &amp; TEXT(RANDBETWEEN(0,999),"000")</f>
        <v>1750-474</v>
      </c>
      <c r="I80" t="str" cm="1">
        <f t="array" aca="1" ref="I80" ca="1">INDEX(rua_cod!$B:$B,Users!V80)</f>
        <v>Lisboa</v>
      </c>
      <c r="J80" t="s">
        <v>3727</v>
      </c>
      <c r="K80" t="s">
        <v>225</v>
      </c>
      <c r="L80" t="s">
        <v>265</v>
      </c>
      <c r="M80" t="str">
        <f t="shared" ca="1" si="11"/>
        <v>66121271</v>
      </c>
      <c r="N80" t="str">
        <f t="shared" ca="1" si="12"/>
        <v>180714008</v>
      </c>
      <c r="O80" t="str">
        <f t="shared" ca="1" si="12"/>
        <v>636722350</v>
      </c>
      <c r="P80" t="str" cm="1">
        <f t="array" aca="1" ref="P80" ca="1">9 &amp; INDEX($AF$3:$AF$6,W80)&amp; TEXT(RANDBETWEEN(0,9999999),"0000000")</f>
        <v>919450283</v>
      </c>
      <c r="Q80" t="str" cm="1">
        <f t="array" aca="1" ref="Q80" ca="1">LOWER(B80) &amp; INDEX($AF$9:$AF$11,X80)</f>
        <v>diaboa1750@outlook.com</v>
      </c>
      <c r="R80" t="str">
        <f t="shared" ca="1" si="13"/>
        <v>diaboa1750.jpg</v>
      </c>
      <c r="T80" s="4"/>
      <c r="V80">
        <f ca="1">RANDBETWEEN(2,COUNTA(rua_cod!A:A))</f>
        <v>49</v>
      </c>
      <c r="W80">
        <f t="shared" ca="1" si="14"/>
        <v>1</v>
      </c>
      <c r="X80">
        <f t="shared" ca="1" si="15"/>
        <v>1</v>
      </c>
      <c r="Y80">
        <f t="shared" ca="1" si="16"/>
        <v>1957</v>
      </c>
      <c r="Z80">
        <f t="shared" ca="1" si="17"/>
        <v>4</v>
      </c>
      <c r="AA80">
        <f t="shared" ca="1" si="18"/>
        <v>21</v>
      </c>
      <c r="AB80">
        <f t="shared" ca="1" si="19"/>
        <v>63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ricboa1950</v>
      </c>
      <c r="C81" t="str">
        <f t="shared" ca="1" si="10"/>
        <v>pswricboa1950</v>
      </c>
      <c r="D81" t="str">
        <f ca="1">Nomes!T82</f>
        <v>Ricardo Ricardo Ramos Tavares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Calçada do Moinho de Vento</v>
      </c>
      <c r="H81" t="str" cm="1">
        <f t="array" aca="1" ref="H81" ca="1">INDEX(rua_cod!$A:$A,Users!V81) &amp; "-" &amp; TEXT(RANDBETWEEN(0,999),"000")</f>
        <v>1950-430</v>
      </c>
      <c r="I81" t="str" cm="1">
        <f t="array" aca="1" ref="I81" ca="1">INDEX(rua_cod!$B:$B,Users!V81)</f>
        <v>Lisboa</v>
      </c>
      <c r="J81" t="s">
        <v>3727</v>
      </c>
      <c r="K81" t="s">
        <v>225</v>
      </c>
      <c r="L81" t="s">
        <v>265</v>
      </c>
      <c r="M81" t="str">
        <f t="shared" ca="1" si="11"/>
        <v>37038131</v>
      </c>
      <c r="N81" t="str">
        <f t="shared" ca="1" si="12"/>
        <v>182098436</v>
      </c>
      <c r="O81" t="str">
        <f t="shared" ca="1" si="12"/>
        <v>224664223</v>
      </c>
      <c r="P81" t="str" cm="1">
        <f t="array" aca="1" ref="P81" ca="1">9 &amp; INDEX($AF$3:$AF$6,W81)&amp; TEXT(RANDBETWEEN(0,9999999),"0000000")</f>
        <v>921360153</v>
      </c>
      <c r="Q81" t="str" cm="1">
        <f t="array" aca="1" ref="Q81" ca="1">LOWER(B81) &amp; INDEX($AF$9:$AF$11,X81)</f>
        <v>ricboa1950@sapo.pt</v>
      </c>
      <c r="R81" t="str">
        <f t="shared" ca="1" si="13"/>
        <v>ricboa1950.jpg</v>
      </c>
      <c r="T81" s="4"/>
      <c r="V81">
        <f ca="1">RANDBETWEEN(2,COUNTA(rua_cod!A:A))</f>
        <v>41</v>
      </c>
      <c r="W81">
        <f t="shared" ca="1" si="14"/>
        <v>2</v>
      </c>
      <c r="X81">
        <f t="shared" ca="1" si="15"/>
        <v>3</v>
      </c>
      <c r="Y81">
        <f t="shared" ca="1" si="16"/>
        <v>1974</v>
      </c>
      <c r="Z81">
        <f t="shared" ca="1" si="17"/>
        <v>6</v>
      </c>
      <c r="AA81">
        <f t="shared" ca="1" si="18"/>
        <v>29</v>
      </c>
      <c r="AB81">
        <f t="shared" ca="1" si="19"/>
        <v>46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danide2790</v>
      </c>
      <c r="C82" t="str">
        <f t="shared" ca="1" si="10"/>
        <v>pswdanide2790</v>
      </c>
      <c r="D82" t="str">
        <f ca="1">Nomes!T83</f>
        <v>Daniela Lara Gaspar Pinho</v>
      </c>
      <c r="E82" t="str">
        <f ca="1">Nomes!S83</f>
        <v>Feminino</v>
      </c>
      <c r="F82" s="2">
        <v>12686</v>
      </c>
      <c r="G82" t="str" cm="1">
        <f t="array" aca="1" ref="G82" ca="1">INDEX(rua_cod!$F:$F,RANDBETWEEN(2,COUNTA(rua_cod!F:F)))</f>
        <v>Calçada do Poço dos Mouros</v>
      </c>
      <c r="H82" t="str" cm="1">
        <f t="array" aca="1" ref="H82" ca="1">INDEX(rua_cod!$A:$A,Users!V82) &amp; "-" &amp; TEXT(RANDBETWEEN(0,999),"000")</f>
        <v>2790-327</v>
      </c>
      <c r="I82" t="str" cm="1">
        <f t="array" aca="1" ref="I82" ca="1">INDEX(rua_cod!$B:$B,Users!V82)</f>
        <v>Carnaxide</v>
      </c>
      <c r="J82" t="s">
        <v>3727</v>
      </c>
      <c r="K82" t="s">
        <v>225</v>
      </c>
      <c r="L82" t="s">
        <v>265</v>
      </c>
      <c r="M82" t="str">
        <f t="shared" ca="1" si="11"/>
        <v>54726754</v>
      </c>
      <c r="N82" t="str">
        <f t="shared" ca="1" si="12"/>
        <v>403063048</v>
      </c>
      <c r="O82" t="str">
        <f t="shared" ca="1" si="12"/>
        <v>705122155</v>
      </c>
      <c r="P82" t="str" cm="1">
        <f t="array" aca="1" ref="P82" ca="1">9 &amp; INDEX($AF$3:$AF$6,W82)&amp; TEXT(RANDBETWEEN(0,9999999),"0000000")</f>
        <v>922748060</v>
      </c>
      <c r="Q82" t="str" cm="1">
        <f t="array" aca="1" ref="Q82" ca="1">LOWER(B82) &amp; INDEX($AF$9:$AF$11,X82)</f>
        <v>danide2790@gmail.com</v>
      </c>
      <c r="R82" t="str">
        <f t="shared" ca="1" si="13"/>
        <v>danide2790.jpg</v>
      </c>
      <c r="T82" s="4"/>
      <c r="V82">
        <f ca="1">RANDBETWEEN(2,COUNTA(rua_cod!A:A))</f>
        <v>22</v>
      </c>
      <c r="W82">
        <f t="shared" ca="1" si="14"/>
        <v>2</v>
      </c>
      <c r="X82">
        <f t="shared" ca="1" si="15"/>
        <v>2</v>
      </c>
      <c r="Y82">
        <f t="shared" ca="1" si="16"/>
        <v>2003</v>
      </c>
      <c r="Z82">
        <f t="shared" ca="1" si="17"/>
        <v>8</v>
      </c>
      <c r="AA82">
        <f t="shared" ca="1" si="18"/>
        <v>17</v>
      </c>
      <c r="AB82">
        <f t="shared" ca="1" si="19"/>
        <v>17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brurem2005</v>
      </c>
      <c r="C83" t="str">
        <f t="shared" ca="1" si="10"/>
        <v>pswbrurem2005</v>
      </c>
      <c r="D83" t="str">
        <f ca="1">Nomes!T84</f>
        <v>Bruno Marco Marques Pacheco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dos Heróis de Quionga</v>
      </c>
      <c r="H83" t="str" cm="1">
        <f t="array" aca="1" ref="H83" ca="1">INDEX(rua_cod!$A:$A,Users!V83) &amp; "-" &amp; TEXT(RANDBETWEEN(0,999),"000")</f>
        <v>2005-176</v>
      </c>
      <c r="I83" t="str" cm="1">
        <f t="array" aca="1" ref="I83" ca="1">INDEX(rua_cod!$B:$B,Users!V83)</f>
        <v>Santarém</v>
      </c>
      <c r="J83" t="s">
        <v>3727</v>
      </c>
      <c r="K83" t="s">
        <v>225</v>
      </c>
      <c r="L83" t="s">
        <v>265</v>
      </c>
      <c r="M83" t="str">
        <f t="shared" ca="1" si="11"/>
        <v>29328169</v>
      </c>
      <c r="N83" t="str">
        <f t="shared" ca="1" si="12"/>
        <v>161873158</v>
      </c>
      <c r="O83" t="str">
        <f t="shared" ca="1" si="12"/>
        <v>646976198</v>
      </c>
      <c r="P83" t="str" cm="1">
        <f t="array" aca="1" ref="P83" ca="1">9 &amp; INDEX($AF$3:$AF$6,W83)&amp; TEXT(RANDBETWEEN(0,9999999),"0000000")</f>
        <v>962359690</v>
      </c>
      <c r="Q83" t="str" cm="1">
        <f t="array" aca="1" ref="Q83" ca="1">LOWER(B83) &amp; INDEX($AF$9:$AF$11,X83)</f>
        <v>brurem2005@gmail.com</v>
      </c>
      <c r="R83" t="str">
        <f t="shared" ca="1" si="13"/>
        <v>brurem2005.jpg</v>
      </c>
      <c r="T83" s="4"/>
      <c r="V83">
        <f ca="1">RANDBETWEEN(2,COUNTA(rua_cod!A:A))</f>
        <v>92</v>
      </c>
      <c r="W83">
        <f t="shared" ca="1" si="14"/>
        <v>4</v>
      </c>
      <c r="X83">
        <f t="shared" ca="1" si="15"/>
        <v>2</v>
      </c>
      <c r="Y83">
        <f t="shared" ca="1" si="16"/>
        <v>1927</v>
      </c>
      <c r="Z83">
        <f t="shared" ca="1" si="17"/>
        <v>6</v>
      </c>
      <c r="AA83">
        <f t="shared" ca="1" si="18"/>
        <v>28</v>
      </c>
      <c r="AB83">
        <f t="shared" ca="1" si="19"/>
        <v>93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marboa1769</v>
      </c>
      <c r="C84" t="str">
        <f t="shared" ca="1" si="10"/>
        <v>pswmarboa1769</v>
      </c>
      <c r="D84" t="str">
        <f ca="1">Nomes!T85</f>
        <v>Martim Joana Soares Abreu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Rua da Betesga</v>
      </c>
      <c r="H84" t="str" cm="1">
        <f t="array" aca="1" ref="H84" ca="1">INDEX(rua_cod!$A:$A,Users!V84) &amp; "-" &amp; TEXT(RANDBETWEEN(0,999),"000")</f>
        <v>1769-291</v>
      </c>
      <c r="I84" t="str" cm="1">
        <f t="array" aca="1" ref="I84" ca="1">INDEX(rua_cod!$B:$B,Users!V84)</f>
        <v>Lisboa</v>
      </c>
      <c r="J84" t="s">
        <v>3727</v>
      </c>
      <c r="K84" t="s">
        <v>225</v>
      </c>
      <c r="L84" t="s">
        <v>265</v>
      </c>
      <c r="M84" t="str">
        <f t="shared" ca="1" si="11"/>
        <v>57123986</v>
      </c>
      <c r="N84" t="str">
        <f t="shared" ca="1" si="12"/>
        <v>324569952</v>
      </c>
      <c r="O84" t="str">
        <f t="shared" ca="1" si="12"/>
        <v>247049344</v>
      </c>
      <c r="P84" t="str" cm="1">
        <f t="array" aca="1" ref="P84" ca="1">9 &amp; INDEX($AF$3:$AF$6,W84)&amp; TEXT(RANDBETWEEN(0,9999999),"0000000")</f>
        <v>910987067</v>
      </c>
      <c r="Q84" t="str" cm="1">
        <f t="array" aca="1" ref="Q84" ca="1">LOWER(B84) &amp; INDEX($AF$9:$AF$11,X84)</f>
        <v>marboa1769@gmail.com</v>
      </c>
      <c r="R84" t="str">
        <f t="shared" ca="1" si="13"/>
        <v>marboa1769.jpg</v>
      </c>
      <c r="T84" s="4"/>
      <c r="V84">
        <f ca="1">RANDBETWEEN(2,COUNTA(rua_cod!A:A))</f>
        <v>74</v>
      </c>
      <c r="W84">
        <f t="shared" ca="1" si="14"/>
        <v>1</v>
      </c>
      <c r="X84">
        <f t="shared" ca="1" si="15"/>
        <v>2</v>
      </c>
      <c r="Y84">
        <f t="shared" ca="1" si="16"/>
        <v>2013</v>
      </c>
      <c r="Z84">
        <f t="shared" ca="1" si="17"/>
        <v>6</v>
      </c>
      <c r="AA84">
        <f t="shared" ca="1" si="18"/>
        <v>6</v>
      </c>
      <c r="AB84">
        <f t="shared" ca="1" si="19"/>
        <v>7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pedijo2870</v>
      </c>
      <c r="C85" t="str">
        <f t="shared" ca="1" si="10"/>
        <v>pswpedijo2870</v>
      </c>
      <c r="D85" t="str">
        <f ca="1">Nomes!T86</f>
        <v>Pedro Catarina Maia Pinheiro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Rua General Morais Sarmento</v>
      </c>
      <c r="H85" t="str" cm="1">
        <f t="array" aca="1" ref="H85" ca="1">INDEX(rua_cod!$A:$A,Users!V85) &amp; "-" &amp; TEXT(RANDBETWEEN(0,999),"000")</f>
        <v>2870-668</v>
      </c>
      <c r="I85" t="str" cm="1">
        <f t="array" aca="1" ref="I85" ca="1">INDEX(rua_cod!$B:$B,Users!V85)</f>
        <v>Montijo</v>
      </c>
      <c r="J85" t="s">
        <v>3727</v>
      </c>
      <c r="K85" t="s">
        <v>225</v>
      </c>
      <c r="L85" t="s">
        <v>265</v>
      </c>
      <c r="M85" t="str">
        <f t="shared" ca="1" si="11"/>
        <v>42158819</v>
      </c>
      <c r="N85" t="str">
        <f t="shared" ca="1" si="12"/>
        <v>922063564</v>
      </c>
      <c r="O85" t="str">
        <f t="shared" ca="1" si="12"/>
        <v>238805249</v>
      </c>
      <c r="P85" t="str" cm="1">
        <f t="array" aca="1" ref="P85" ca="1">9 &amp; INDEX($AF$3:$AF$6,W85)&amp; TEXT(RANDBETWEEN(0,9999999),"0000000")</f>
        <v>920633395</v>
      </c>
      <c r="Q85" t="str" cm="1">
        <f t="array" aca="1" ref="Q85" ca="1">LOWER(B85) &amp; INDEX($AF$9:$AF$11,X85)</f>
        <v>pedijo2870@gmail.com</v>
      </c>
      <c r="R85" t="str">
        <f t="shared" ca="1" si="13"/>
        <v>pedijo2870.jpg</v>
      </c>
      <c r="T85" s="4"/>
      <c r="V85">
        <f ca="1">RANDBETWEEN(2,COUNTA(rua_cod!A:A))</f>
        <v>87</v>
      </c>
      <c r="W85">
        <f t="shared" ca="1" si="14"/>
        <v>2</v>
      </c>
      <c r="X85">
        <f t="shared" ca="1" si="15"/>
        <v>2</v>
      </c>
      <c r="Y85">
        <f t="shared" ca="1" si="16"/>
        <v>1984</v>
      </c>
      <c r="Z85">
        <f t="shared" ca="1" si="17"/>
        <v>10</v>
      </c>
      <c r="AA85">
        <f t="shared" ca="1" si="18"/>
        <v>1</v>
      </c>
      <c r="AB85">
        <f t="shared" ca="1" si="19"/>
        <v>36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leoais2750</v>
      </c>
      <c r="C86" t="str">
        <f t="shared" ca="1" si="10"/>
        <v>pswleoais2750</v>
      </c>
      <c r="D86" t="str">
        <f ca="1">Nomes!T87</f>
        <v>Leonor Sofia Ramos Simões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General Morais Sarmento</v>
      </c>
      <c r="H86" t="str" cm="1">
        <f t="array" aca="1" ref="H86" ca="1">INDEX(rua_cod!$A:$A,Users!V86) &amp; "-" &amp; TEXT(RANDBETWEEN(0,999),"000")</f>
        <v>2750-723</v>
      </c>
      <c r="I86" t="str" cm="1">
        <f t="array" aca="1" ref="I86" ca="1">INDEX(rua_cod!$B:$B,Users!V86)</f>
        <v>Cascais</v>
      </c>
      <c r="J86" t="s">
        <v>3727</v>
      </c>
      <c r="K86" t="s">
        <v>225</v>
      </c>
      <c r="L86" t="s">
        <v>265</v>
      </c>
      <c r="M86" t="str">
        <f t="shared" ca="1" si="11"/>
        <v>39033548</v>
      </c>
      <c r="N86" t="str">
        <f t="shared" ca="1" si="12"/>
        <v>210140333</v>
      </c>
      <c r="O86" t="str">
        <f t="shared" ca="1" si="12"/>
        <v>808110497</v>
      </c>
      <c r="P86" t="str" cm="1">
        <f t="array" aca="1" ref="P86" ca="1">9 &amp; INDEX($AF$3:$AF$6,W86)&amp; TEXT(RANDBETWEEN(0,9999999),"0000000")</f>
        <v>930821891</v>
      </c>
      <c r="Q86" t="str" cm="1">
        <f t="array" aca="1" ref="Q86" ca="1">LOWER(B86) &amp; INDEX($AF$9:$AF$11,X86)</f>
        <v>leoais2750@sapo.pt</v>
      </c>
      <c r="R86" t="str">
        <f t="shared" ca="1" si="13"/>
        <v>leoais2750.jpg</v>
      </c>
      <c r="T86" s="4"/>
      <c r="V86">
        <f ca="1">RANDBETWEEN(2,COUNTA(rua_cod!A:A))</f>
        <v>24</v>
      </c>
      <c r="W86">
        <f t="shared" ca="1" si="14"/>
        <v>3</v>
      </c>
      <c r="X86">
        <f t="shared" ca="1" si="15"/>
        <v>3</v>
      </c>
      <c r="Y86">
        <f t="shared" ca="1" si="16"/>
        <v>1973</v>
      </c>
      <c r="Z86">
        <f t="shared" ca="1" si="17"/>
        <v>12</v>
      </c>
      <c r="AA86">
        <f t="shared" ca="1" si="18"/>
        <v>29</v>
      </c>
      <c r="AB86">
        <f t="shared" ca="1" si="19"/>
        <v>47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lurboa1070</v>
      </c>
      <c r="C87" t="str">
        <f t="shared" ca="1" si="10"/>
        <v>pswlurboa1070</v>
      </c>
      <c r="D87" t="str">
        <f ca="1">Nomes!T88</f>
        <v>Lurdes José Pinto Sá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Augusta</v>
      </c>
      <c r="H87" t="str" cm="1">
        <f t="array" aca="1" ref="H87" ca="1">INDEX(rua_cod!$A:$A,Users!V87) &amp; "-" &amp; TEXT(RANDBETWEEN(0,999),"000")</f>
        <v>1070-909</v>
      </c>
      <c r="I87" t="str" cm="1">
        <f t="array" aca="1" ref="I87" ca="1">INDEX(rua_cod!$B:$B,Users!V87)</f>
        <v>Lisboa</v>
      </c>
      <c r="J87" t="s">
        <v>3727</v>
      </c>
      <c r="K87" t="s">
        <v>225</v>
      </c>
      <c r="L87" t="s">
        <v>265</v>
      </c>
      <c r="M87" t="str">
        <f t="shared" ca="1" si="11"/>
        <v>32198286</v>
      </c>
      <c r="N87" t="str">
        <f t="shared" ca="1" si="12"/>
        <v>791705826</v>
      </c>
      <c r="O87" t="str">
        <f t="shared" ca="1" si="12"/>
        <v>416740289</v>
      </c>
      <c r="P87" t="str" cm="1">
        <f t="array" aca="1" ref="P87" ca="1">9 &amp; INDEX($AF$3:$AF$6,W87)&amp; TEXT(RANDBETWEEN(0,9999999),"0000000")</f>
        <v>919810369</v>
      </c>
      <c r="Q87" t="str" cm="1">
        <f t="array" aca="1" ref="Q87" ca="1">LOWER(B87) &amp; INDEX($AF$9:$AF$11,X87)</f>
        <v>lurboa1070@outlook.com</v>
      </c>
      <c r="R87" t="str">
        <f t="shared" ca="1" si="13"/>
        <v>lurboa1070.jpg</v>
      </c>
      <c r="T87" s="4"/>
      <c r="V87">
        <f ca="1">RANDBETWEEN(2,COUNTA(rua_cod!A:A))</f>
        <v>51</v>
      </c>
      <c r="W87">
        <f t="shared" ca="1" si="14"/>
        <v>1</v>
      </c>
      <c r="X87">
        <f t="shared" ca="1" si="15"/>
        <v>1</v>
      </c>
      <c r="Y87">
        <f t="shared" ca="1" si="16"/>
        <v>1945</v>
      </c>
      <c r="Z87">
        <f t="shared" ca="1" si="17"/>
        <v>6</v>
      </c>
      <c r="AA87">
        <f t="shared" ca="1" si="18"/>
        <v>19</v>
      </c>
      <c r="AB87">
        <f t="shared" ca="1" si="19"/>
        <v>75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larboa1349</v>
      </c>
      <c r="C88" t="str">
        <f t="shared" ca="1" si="10"/>
        <v>pswlarboa1349</v>
      </c>
      <c r="D88" t="str">
        <f ca="1">Nomes!T89</f>
        <v>Lara Leonor Castro Pereira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Rua de São Bento</v>
      </c>
      <c r="H88" t="str" cm="1">
        <f t="array" aca="1" ref="H88" ca="1">INDEX(rua_cod!$A:$A,Users!V88) &amp; "-" &amp; TEXT(RANDBETWEEN(0,999),"000")</f>
        <v>1349-874</v>
      </c>
      <c r="I88" t="str" cm="1">
        <f t="array" aca="1" ref="I88" ca="1">INDEX(rua_cod!$B:$B,Users!V88)</f>
        <v>Lisboa</v>
      </c>
      <c r="J88" t="s">
        <v>3727</v>
      </c>
      <c r="K88" t="s">
        <v>225</v>
      </c>
      <c r="L88" t="s">
        <v>265</v>
      </c>
      <c r="M88" t="str">
        <f t="shared" ca="1" si="11"/>
        <v>27807342</v>
      </c>
      <c r="N88" t="str">
        <f t="shared" ca="1" si="12"/>
        <v>510965057</v>
      </c>
      <c r="O88" t="str">
        <f t="shared" ca="1" si="12"/>
        <v>240681007</v>
      </c>
      <c r="P88" t="str" cm="1">
        <f t="array" aca="1" ref="P88" ca="1">9 &amp; INDEX($AF$3:$AF$6,W88)&amp; TEXT(RANDBETWEEN(0,9999999),"0000000")</f>
        <v>925476509</v>
      </c>
      <c r="Q88" t="str" cm="1">
        <f t="array" aca="1" ref="Q88" ca="1">LOWER(B88) &amp; INDEX($AF$9:$AF$11,X88)</f>
        <v>larboa1349@gmail.com</v>
      </c>
      <c r="R88" t="str">
        <f t="shared" ca="1" si="13"/>
        <v>larboa1349.jpg</v>
      </c>
      <c r="T88" s="4"/>
      <c r="V88">
        <f ca="1">RANDBETWEEN(2,COUNTA(rua_cod!A:A))</f>
        <v>71</v>
      </c>
      <c r="W88">
        <f t="shared" ca="1" si="14"/>
        <v>2</v>
      </c>
      <c r="X88">
        <f t="shared" ca="1" si="15"/>
        <v>2</v>
      </c>
      <c r="Y88">
        <f t="shared" ca="1" si="16"/>
        <v>1954</v>
      </c>
      <c r="Z88">
        <f t="shared" ca="1" si="17"/>
        <v>4</v>
      </c>
      <c r="AA88">
        <f t="shared" ca="1" si="18"/>
        <v>3</v>
      </c>
      <c r="AB88">
        <f t="shared" ca="1" si="19"/>
        <v>66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joaboa1100</v>
      </c>
      <c r="C89" t="str">
        <f t="shared" ca="1" si="10"/>
        <v>pswjoaboa1100</v>
      </c>
      <c r="D89" t="str">
        <f ca="1">Nomes!T90</f>
        <v>João Bruno Almeida Nunes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do Carmo</v>
      </c>
      <c r="H89" t="str" cm="1">
        <f t="array" aca="1" ref="H89" ca="1">INDEX(rua_cod!$A:$A,Users!V89) &amp; "-" &amp; TEXT(RANDBETWEEN(0,999),"000")</f>
        <v>1100-451</v>
      </c>
      <c r="I89" t="str" cm="1">
        <f t="array" aca="1" ref="I89" ca="1">INDEX(rua_cod!$B:$B,Users!V89)</f>
        <v>Lisboa</v>
      </c>
      <c r="J89" t="s">
        <v>3727</v>
      </c>
      <c r="K89" t="s">
        <v>225</v>
      </c>
      <c r="L89" t="s">
        <v>265</v>
      </c>
      <c r="M89" t="str">
        <f t="shared" ca="1" si="11"/>
        <v>28642767</v>
      </c>
      <c r="N89" t="str">
        <f t="shared" ca="1" si="12"/>
        <v>232701892</v>
      </c>
      <c r="O89" t="str">
        <f t="shared" ca="1" si="12"/>
        <v>429410794</v>
      </c>
      <c r="P89" t="str" cm="1">
        <f t="array" aca="1" ref="P89" ca="1">9 &amp; INDEX($AF$3:$AF$6,W89)&amp; TEXT(RANDBETWEEN(0,9999999),"0000000")</f>
        <v>921313247</v>
      </c>
      <c r="Q89" t="str" cm="1">
        <f t="array" aca="1" ref="Q89" ca="1">LOWER(B89) &amp; INDEX($AF$9:$AF$11,X89)</f>
        <v>joaboa1100@outlook.com</v>
      </c>
      <c r="R89" t="str">
        <f t="shared" ca="1" si="13"/>
        <v>joaboa1100.jpg</v>
      </c>
      <c r="T89" s="4"/>
      <c r="V89">
        <f ca="1">RANDBETWEEN(2,COUNTA(rua_cod!A:A))</f>
        <v>46</v>
      </c>
      <c r="W89">
        <f t="shared" ca="1" si="14"/>
        <v>2</v>
      </c>
      <c r="X89">
        <f t="shared" ca="1" si="15"/>
        <v>1</v>
      </c>
      <c r="Y89">
        <f t="shared" ca="1" si="16"/>
        <v>1975</v>
      </c>
      <c r="Z89">
        <f t="shared" ca="1" si="17"/>
        <v>3</v>
      </c>
      <c r="AA89">
        <f t="shared" ca="1" si="18"/>
        <v>31</v>
      </c>
      <c r="AB89">
        <f t="shared" ca="1" si="19"/>
        <v>45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marboa1600</v>
      </c>
      <c r="C90" t="str">
        <f t="shared" ca="1" si="10"/>
        <v>pswmarboa1600</v>
      </c>
      <c r="D90" t="str">
        <f ca="1">Nomes!T91</f>
        <v>Martim Laura Gonçalves Maia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Rua da Alfândega</v>
      </c>
      <c r="H90" t="str" cm="1">
        <f t="array" aca="1" ref="H90" ca="1">INDEX(rua_cod!$A:$A,Users!V90) &amp; "-" &amp; TEXT(RANDBETWEEN(0,999),"000")</f>
        <v>1600-135</v>
      </c>
      <c r="I90" t="str" cm="1">
        <f t="array" aca="1" ref="I90" ca="1">INDEX(rua_cod!$B:$B,Users!V90)</f>
        <v>Lisboa</v>
      </c>
      <c r="J90" t="s">
        <v>3727</v>
      </c>
      <c r="K90" t="s">
        <v>225</v>
      </c>
      <c r="L90" t="s">
        <v>265</v>
      </c>
      <c r="M90" t="str">
        <f t="shared" ca="1" si="11"/>
        <v>48871386</v>
      </c>
      <c r="N90" t="str">
        <f t="shared" ca="1" si="12"/>
        <v>279708482</v>
      </c>
      <c r="O90" t="str">
        <f t="shared" ca="1" si="12"/>
        <v>845939458</v>
      </c>
      <c r="P90" t="str" cm="1">
        <f t="array" aca="1" ref="P90" ca="1">9 &amp; INDEX($AF$3:$AF$6,W90)&amp; TEXT(RANDBETWEEN(0,9999999),"0000000")</f>
        <v>935782302</v>
      </c>
      <c r="Q90" t="str" cm="1">
        <f t="array" aca="1" ref="Q90" ca="1">LOWER(B90) &amp; INDEX($AF$9:$AF$11,X90)</f>
        <v>marboa1600@gmail.com</v>
      </c>
      <c r="R90" t="str">
        <f t="shared" ca="1" si="13"/>
        <v>marboa1600.jpg</v>
      </c>
      <c r="T90" s="4"/>
      <c r="V90">
        <f ca="1">RANDBETWEEN(2,COUNTA(rua_cod!A:A))</f>
        <v>60</v>
      </c>
      <c r="W90">
        <f t="shared" ca="1" si="14"/>
        <v>3</v>
      </c>
      <c r="X90">
        <f t="shared" ca="1" si="15"/>
        <v>2</v>
      </c>
      <c r="Y90">
        <f t="shared" ca="1" si="16"/>
        <v>1933</v>
      </c>
      <c r="Z90">
        <f t="shared" ca="1" si="17"/>
        <v>6</v>
      </c>
      <c r="AA90">
        <f t="shared" ca="1" si="18"/>
        <v>17</v>
      </c>
      <c r="AB90">
        <f t="shared" ca="1" si="19"/>
        <v>87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andboa1350</v>
      </c>
      <c r="C91" t="str">
        <f t="shared" ca="1" si="10"/>
        <v>pswandboa1350</v>
      </c>
      <c r="D91" t="str">
        <f ca="1">Nomes!T92</f>
        <v>André Vera Lourenço Valente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Nova do Almada</v>
      </c>
      <c r="H91" t="str" cm="1">
        <f t="array" aca="1" ref="H91" ca="1">INDEX(rua_cod!$A:$A,Users!V91) &amp; "-" &amp; TEXT(RANDBETWEEN(0,999),"000")</f>
        <v>1350-488</v>
      </c>
      <c r="I91" t="str" cm="1">
        <f t="array" aca="1" ref="I91" ca="1">INDEX(rua_cod!$B:$B,Users!V91)</f>
        <v>Lisboa</v>
      </c>
      <c r="J91" t="s">
        <v>3727</v>
      </c>
      <c r="K91" t="s">
        <v>225</v>
      </c>
      <c r="L91" t="s">
        <v>265</v>
      </c>
      <c r="M91" t="str">
        <f t="shared" ca="1" si="11"/>
        <v>58381417</v>
      </c>
      <c r="N91" t="str">
        <f t="shared" ca="1" si="12"/>
        <v>382448481</v>
      </c>
      <c r="O91" t="str">
        <f t="shared" ca="1" si="12"/>
        <v>451669269</v>
      </c>
      <c r="P91" t="str" cm="1">
        <f t="array" aca="1" ref="P91" ca="1">9 &amp; INDEX($AF$3:$AF$6,W91)&amp; TEXT(RANDBETWEEN(0,9999999),"0000000")</f>
        <v>934192319</v>
      </c>
      <c r="Q91" t="str" cm="1">
        <f t="array" aca="1" ref="Q91" ca="1">LOWER(B91) &amp; INDEX($AF$9:$AF$11,X91)</f>
        <v>andboa1350@outlook.com</v>
      </c>
      <c r="R91" t="str">
        <f t="shared" ca="1" si="13"/>
        <v>andboa1350.jpg</v>
      </c>
      <c r="T91" s="4"/>
      <c r="V91">
        <f ca="1">RANDBETWEEN(2,COUNTA(rua_cod!A:A))</f>
        <v>54</v>
      </c>
      <c r="W91">
        <f t="shared" ca="1" si="14"/>
        <v>3</v>
      </c>
      <c r="X91">
        <f t="shared" ca="1" si="15"/>
        <v>1</v>
      </c>
      <c r="Y91">
        <f t="shared" ca="1" si="16"/>
        <v>1993</v>
      </c>
      <c r="Z91">
        <f t="shared" ca="1" si="17"/>
        <v>1</v>
      </c>
      <c r="AA91">
        <f t="shared" ca="1" si="18"/>
        <v>3</v>
      </c>
      <c r="AB91">
        <f t="shared" ca="1" si="19"/>
        <v>27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duaora2720</v>
      </c>
      <c r="C92" t="str">
        <f t="shared" ca="1" si="10"/>
        <v>pswduaora2720</v>
      </c>
      <c r="D92" t="str">
        <f ca="1">Nomes!T93</f>
        <v>Duarte João Ramos Matos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do Comércio</v>
      </c>
      <c r="H92" t="str" cm="1">
        <f t="array" aca="1" ref="H92" ca="1">INDEX(rua_cod!$A:$A,Users!V92) &amp; "-" &amp; TEXT(RANDBETWEEN(0,999),"000")</f>
        <v>2720-312</v>
      </c>
      <c r="I92" t="str" cm="1">
        <f t="array" aca="1" ref="I92" ca="1">INDEX(rua_cod!$B:$B,Users!V92)</f>
        <v>Amadora</v>
      </c>
      <c r="J92" t="s">
        <v>3727</v>
      </c>
      <c r="K92" t="s">
        <v>225</v>
      </c>
      <c r="L92" t="s">
        <v>265</v>
      </c>
      <c r="M92" t="str">
        <f t="shared" ca="1" si="11"/>
        <v>81994850</v>
      </c>
      <c r="N92" t="str">
        <f t="shared" ca="1" si="12"/>
        <v>207173301</v>
      </c>
      <c r="O92" t="str">
        <f t="shared" ca="1" si="12"/>
        <v>785889583</v>
      </c>
      <c r="P92" t="str" cm="1">
        <f t="array" aca="1" ref="P92" ca="1">9 &amp; INDEX($AF$3:$AF$6,W92)&amp; TEXT(RANDBETWEEN(0,9999999),"0000000")</f>
        <v>925836433</v>
      </c>
      <c r="Q92" t="str" cm="1">
        <f t="array" aca="1" ref="Q92" ca="1">LOWER(B92) &amp; INDEX($AF$9:$AF$11,X92)</f>
        <v>duaora2720@gmail.com</v>
      </c>
      <c r="R92" t="str">
        <f t="shared" ca="1" si="13"/>
        <v>duaora2720.jpg</v>
      </c>
      <c r="T92" s="4"/>
      <c r="V92">
        <f ca="1">RANDBETWEEN(2,COUNTA(rua_cod!A:A))</f>
        <v>8</v>
      </c>
      <c r="W92">
        <f t="shared" ca="1" si="14"/>
        <v>2</v>
      </c>
      <c r="X92">
        <f t="shared" ca="1" si="15"/>
        <v>2</v>
      </c>
      <c r="Y92">
        <f t="shared" ca="1" si="16"/>
        <v>1971</v>
      </c>
      <c r="Z92">
        <f t="shared" ca="1" si="17"/>
        <v>12</v>
      </c>
      <c r="AA92">
        <f t="shared" ca="1" si="18"/>
        <v>7</v>
      </c>
      <c r="AB92">
        <f t="shared" ca="1" si="19"/>
        <v>49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fraboa1400</v>
      </c>
      <c r="C93" t="str">
        <f t="shared" ca="1" si="10"/>
        <v>pswfraboa1400</v>
      </c>
      <c r="D93" t="str">
        <f ca="1">Nomes!T94</f>
        <v>Francisco Santiago Azevedo Azevedo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Rua de São Julião</v>
      </c>
      <c r="H93" t="str" cm="1">
        <f t="array" aca="1" ref="H93" ca="1">INDEX(rua_cod!$A:$A,Users!V93) &amp; "-" &amp; TEXT(RANDBETWEEN(0,999),"000")</f>
        <v>1400-417</v>
      </c>
      <c r="I93" t="str" cm="1">
        <f t="array" aca="1" ref="I93" ca="1">INDEX(rua_cod!$B:$B,Users!V93)</f>
        <v>Lisboa</v>
      </c>
      <c r="J93" t="s">
        <v>3727</v>
      </c>
      <c r="K93" t="s">
        <v>225</v>
      </c>
      <c r="L93" t="s">
        <v>265</v>
      </c>
      <c r="M93" t="str">
        <f t="shared" ca="1" si="11"/>
        <v>78323282</v>
      </c>
      <c r="N93" t="str">
        <f t="shared" ca="1" si="12"/>
        <v>538461956</v>
      </c>
      <c r="O93" t="str">
        <f t="shared" ca="1" si="12"/>
        <v>384972433</v>
      </c>
      <c r="P93" t="str" cm="1">
        <f t="array" aca="1" ref="P93" ca="1">9 &amp; INDEX($AF$3:$AF$6,W93)&amp; TEXT(RANDBETWEEN(0,9999999),"0000000")</f>
        <v>961440030</v>
      </c>
      <c r="Q93" t="str" cm="1">
        <f t="array" aca="1" ref="Q93" ca="1">LOWER(B93) &amp; INDEX($AF$9:$AF$11,X93)</f>
        <v>fraboa1400@sapo.pt</v>
      </c>
      <c r="R93" t="str">
        <f t="shared" ca="1" si="13"/>
        <v>fraboa1400.jpg</v>
      </c>
      <c r="T93" s="4"/>
      <c r="V93">
        <f ca="1">RANDBETWEEN(2,COUNTA(rua_cod!A:A))</f>
        <v>57</v>
      </c>
      <c r="W93">
        <f t="shared" ca="1" si="14"/>
        <v>4</v>
      </c>
      <c r="X93">
        <f t="shared" ca="1" si="15"/>
        <v>3</v>
      </c>
      <c r="Y93">
        <f t="shared" ca="1" si="16"/>
        <v>1897</v>
      </c>
      <c r="Z93">
        <f t="shared" ca="1" si="17"/>
        <v>5</v>
      </c>
      <c r="AA93">
        <f t="shared" ca="1" si="18"/>
        <v>15</v>
      </c>
      <c r="AB93">
        <f t="shared" ca="1" si="19"/>
        <v>123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beaada2814</v>
      </c>
      <c r="C94" t="str">
        <f t="shared" ca="1" si="10"/>
        <v>pswbeaada2814</v>
      </c>
      <c r="D94" t="str">
        <f ca="1">Nomes!T95</f>
        <v>Beatriz Tomás Correia Lopes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Travessa de São João da Praça</v>
      </c>
      <c r="H94" t="str" cm="1">
        <f t="array" aca="1" ref="H94" ca="1">INDEX(rua_cod!$A:$A,Users!V94) &amp; "-" &amp; TEXT(RANDBETWEEN(0,999),"000")</f>
        <v>2814-086</v>
      </c>
      <c r="I94" t="str" cm="1">
        <f t="array" aca="1" ref="I94" ca="1">INDEX(rua_cod!$B:$B,Users!V94)</f>
        <v>Almada</v>
      </c>
      <c r="J94" t="s">
        <v>3727</v>
      </c>
      <c r="K94" t="s">
        <v>225</v>
      </c>
      <c r="L94" t="s">
        <v>265</v>
      </c>
      <c r="M94" t="str">
        <f t="shared" ca="1" si="11"/>
        <v>63851013</v>
      </c>
      <c r="N94" t="str">
        <f t="shared" ca="1" si="12"/>
        <v>810950521</v>
      </c>
      <c r="O94" t="str">
        <f t="shared" ca="1" si="12"/>
        <v>793290886</v>
      </c>
      <c r="P94" t="str" cm="1">
        <f t="array" aca="1" ref="P94" ca="1">9 &amp; INDEX($AF$3:$AF$6,W94)&amp; TEXT(RANDBETWEEN(0,9999999),"0000000")</f>
        <v>938225817</v>
      </c>
      <c r="Q94" t="str" cm="1">
        <f t="array" aca="1" ref="Q94" ca="1">LOWER(B94) &amp; INDEX($AF$9:$AF$11,X94)</f>
        <v>beaada2814@gmail.com</v>
      </c>
      <c r="R94" t="str">
        <f t="shared" ca="1" si="13"/>
        <v>beaada2814.jpg</v>
      </c>
      <c r="T94" s="4"/>
      <c r="V94">
        <f ca="1">RANDBETWEEN(2,COUNTA(rua_cod!A:A))</f>
        <v>6</v>
      </c>
      <c r="W94">
        <f t="shared" ca="1" si="14"/>
        <v>3</v>
      </c>
      <c r="X94">
        <f t="shared" ca="1" si="15"/>
        <v>2</v>
      </c>
      <c r="Y94">
        <f t="shared" ca="1" si="16"/>
        <v>1981</v>
      </c>
      <c r="Z94">
        <f t="shared" ca="1" si="17"/>
        <v>1</v>
      </c>
      <c r="AA94">
        <f t="shared" ca="1" si="18"/>
        <v>29</v>
      </c>
      <c r="AB94">
        <f t="shared" ca="1" si="19"/>
        <v>39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matboa1069</v>
      </c>
      <c r="C95" t="str">
        <f t="shared" ca="1" si="10"/>
        <v>pswmatboa1069</v>
      </c>
      <c r="D95" t="str">
        <f ca="1">Nomes!T96</f>
        <v>Matilde Beatriz Gomes Pacheco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Avenida Ressano Garcia</v>
      </c>
      <c r="H95" t="str" cm="1">
        <f t="array" aca="1" ref="H95" ca="1">INDEX(rua_cod!$A:$A,Users!V95) &amp; "-" &amp; TEXT(RANDBETWEEN(0,999),"000")</f>
        <v>1069-704</v>
      </c>
      <c r="I95" t="str" cm="1">
        <f t="array" aca="1" ref="I95" ca="1">INDEX(rua_cod!$B:$B,Users!V95)</f>
        <v>Lisboa</v>
      </c>
      <c r="J95" t="s">
        <v>3727</v>
      </c>
      <c r="K95" t="s">
        <v>225</v>
      </c>
      <c r="L95" t="s">
        <v>265</v>
      </c>
      <c r="M95" t="str">
        <f t="shared" ca="1" si="11"/>
        <v>52691346</v>
      </c>
      <c r="N95" t="str">
        <f t="shared" ca="1" si="12"/>
        <v>332254602</v>
      </c>
      <c r="O95" t="str">
        <f t="shared" ca="1" si="12"/>
        <v>508027417</v>
      </c>
      <c r="P95" t="str" cm="1">
        <f t="array" aca="1" ref="P95" ca="1">9 &amp; INDEX($AF$3:$AF$6,W95)&amp; TEXT(RANDBETWEEN(0,9999999),"0000000")</f>
        <v>936343580</v>
      </c>
      <c r="Q95" t="str" cm="1">
        <f t="array" aca="1" ref="Q95" ca="1">LOWER(B95) &amp; INDEX($AF$9:$AF$11,X95)</f>
        <v>matboa1069@sapo.pt</v>
      </c>
      <c r="R95" t="str">
        <f t="shared" ca="1" si="13"/>
        <v>matboa1069.jpg</v>
      </c>
      <c r="T95" s="4"/>
      <c r="V95">
        <f ca="1">RANDBETWEEN(2,COUNTA(rua_cod!A:A))</f>
        <v>67</v>
      </c>
      <c r="W95">
        <f t="shared" ca="1" si="14"/>
        <v>3</v>
      </c>
      <c r="X95">
        <f t="shared" ca="1" si="15"/>
        <v>3</v>
      </c>
      <c r="Y95">
        <f t="shared" ca="1" si="16"/>
        <v>1982</v>
      </c>
      <c r="Z95">
        <f t="shared" ca="1" si="17"/>
        <v>4</v>
      </c>
      <c r="AA95">
        <f t="shared" ca="1" si="18"/>
        <v>23</v>
      </c>
      <c r="AB95">
        <f t="shared" ca="1" si="19"/>
        <v>38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lurboa1749</v>
      </c>
      <c r="C96" t="str">
        <f t="shared" ca="1" si="10"/>
        <v>pswlurboa1749</v>
      </c>
      <c r="D96" t="str">
        <f ca="1">Nomes!T97</f>
        <v>Lurdes Joana Ribeiro Vaz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da Oliveira ao Carmo</v>
      </c>
      <c r="H96" t="str" cm="1">
        <f t="array" aca="1" ref="H96" ca="1">INDEX(rua_cod!$A:$A,Users!V96) &amp; "-" &amp; TEXT(RANDBETWEEN(0,999),"000")</f>
        <v>1749-890</v>
      </c>
      <c r="I96" t="str" cm="1">
        <f t="array" aca="1" ref="I96" ca="1">INDEX(rua_cod!$B:$B,Users!V96)</f>
        <v>Lisboa</v>
      </c>
      <c r="J96" t="s">
        <v>3727</v>
      </c>
      <c r="K96" t="s">
        <v>225</v>
      </c>
      <c r="L96" t="s">
        <v>265</v>
      </c>
      <c r="M96" t="str">
        <f t="shared" ca="1" si="11"/>
        <v>16695773</v>
      </c>
      <c r="N96" t="str">
        <f t="shared" ca="1" si="12"/>
        <v>747128620</v>
      </c>
      <c r="O96" t="str">
        <f t="shared" ca="1" si="12"/>
        <v>543544771</v>
      </c>
      <c r="P96" t="str" cm="1">
        <f t="array" aca="1" ref="P96" ca="1">9 &amp; INDEX($AF$3:$AF$6,W96)&amp; TEXT(RANDBETWEEN(0,9999999),"0000000")</f>
        <v>938209118</v>
      </c>
      <c r="Q96" t="str" cm="1">
        <f t="array" aca="1" ref="Q96" ca="1">LOWER(B96) &amp; INDEX($AF$9:$AF$11,X96)</f>
        <v>lurboa1749@outlook.com</v>
      </c>
      <c r="R96" t="str">
        <f t="shared" ca="1" si="13"/>
        <v>lurboa1749.jpg</v>
      </c>
      <c r="T96" s="4"/>
      <c r="V96">
        <f ca="1">RANDBETWEEN(2,COUNTA(rua_cod!A:A))</f>
        <v>61</v>
      </c>
      <c r="W96">
        <f t="shared" ca="1" si="14"/>
        <v>3</v>
      </c>
      <c r="X96">
        <f t="shared" ca="1" si="15"/>
        <v>1</v>
      </c>
      <c r="Y96">
        <f t="shared" ca="1" si="16"/>
        <v>1959</v>
      </c>
      <c r="Z96">
        <f t="shared" ca="1" si="17"/>
        <v>11</v>
      </c>
      <c r="AA96">
        <f t="shared" ca="1" si="18"/>
        <v>21</v>
      </c>
      <c r="AB96">
        <f t="shared" ca="1" si="19"/>
        <v>61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leoluz2749</v>
      </c>
      <c r="C97" t="str">
        <f t="shared" ca="1" si="10"/>
        <v>pswleoluz2749</v>
      </c>
      <c r="D97" t="str">
        <f ca="1">Nomes!T98</f>
        <v>Leonor Tomás Ramos Pereira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Ferreira Lapa</v>
      </c>
      <c r="H97" t="str" cm="1">
        <f t="array" aca="1" ref="H97" ca="1">INDEX(rua_cod!$A:$A,Users!V97) &amp; "-" &amp; TEXT(RANDBETWEEN(0,999),"000")</f>
        <v>2749-668</v>
      </c>
      <c r="I97" t="str" cm="1">
        <f t="array" aca="1" ref="I97" ca="1">INDEX(rua_cod!$B:$B,Users!V97)</f>
        <v>Queluz</v>
      </c>
      <c r="J97" t="s">
        <v>3727</v>
      </c>
      <c r="K97" t="s">
        <v>225</v>
      </c>
      <c r="L97" t="s">
        <v>265</v>
      </c>
      <c r="M97" t="str">
        <f t="shared" ca="1" si="11"/>
        <v>80511353</v>
      </c>
      <c r="N97" t="str">
        <f t="shared" ca="1" si="12"/>
        <v>862290654</v>
      </c>
      <c r="O97" t="str">
        <f t="shared" ca="1" si="12"/>
        <v>480918328</v>
      </c>
      <c r="P97" t="str" cm="1">
        <f t="array" aca="1" ref="P97" ca="1">9 &amp; INDEX($AF$3:$AF$6,W97)&amp; TEXT(RANDBETWEEN(0,9999999),"0000000")</f>
        <v>911643249</v>
      </c>
      <c r="Q97" t="str" cm="1">
        <f t="array" aca="1" ref="Q97" ca="1">LOWER(B97) &amp; INDEX($AF$9:$AF$11,X97)</f>
        <v>leoluz2749@outlook.com</v>
      </c>
      <c r="R97" t="str">
        <f t="shared" ca="1" si="13"/>
        <v>leoluz2749.jpg</v>
      </c>
      <c r="T97" s="4"/>
      <c r="V97">
        <f ca="1">RANDBETWEEN(2,COUNTA(rua_cod!A:A))</f>
        <v>91</v>
      </c>
      <c r="W97">
        <f t="shared" ca="1" si="14"/>
        <v>1</v>
      </c>
      <c r="X97">
        <f t="shared" ca="1" si="15"/>
        <v>1</v>
      </c>
      <c r="Y97">
        <f t="shared" ca="1" si="16"/>
        <v>1998</v>
      </c>
      <c r="Z97">
        <f t="shared" ca="1" si="17"/>
        <v>8</v>
      </c>
      <c r="AA97">
        <f t="shared" ca="1" si="18"/>
        <v>28</v>
      </c>
      <c r="AB97">
        <f t="shared" ca="1" si="19"/>
        <v>22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duaria2419</v>
      </c>
      <c r="C98" t="str">
        <f t="shared" ca="1" si="10"/>
        <v>pswduaria2419</v>
      </c>
      <c r="D98" t="str">
        <f ca="1">Nomes!T99</f>
        <v>Duarte Lara Neto Borges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Rua da Oliveira ao Carmo</v>
      </c>
      <c r="H98" t="str" cm="1">
        <f t="array" aca="1" ref="H98" ca="1">INDEX(rua_cod!$A:$A,Users!V98) &amp; "-" &amp; TEXT(RANDBETWEEN(0,999),"000")</f>
        <v>2419-993</v>
      </c>
      <c r="I98" t="str" cm="1">
        <f t="array" aca="1" ref="I98" ca="1">INDEX(rua_cod!$B:$B,Users!V98)</f>
        <v>Leiria</v>
      </c>
      <c r="J98" t="s">
        <v>3727</v>
      </c>
      <c r="K98" t="s">
        <v>225</v>
      </c>
      <c r="L98" t="s">
        <v>265</v>
      </c>
      <c r="M98" t="str">
        <f t="shared" ca="1" si="11"/>
        <v>94933339</v>
      </c>
      <c r="N98" t="str">
        <f t="shared" ca="1" si="12"/>
        <v>772380481</v>
      </c>
      <c r="O98" t="str">
        <f t="shared" ca="1" si="12"/>
        <v>347965279</v>
      </c>
      <c r="P98" t="str" cm="1">
        <f t="array" aca="1" ref="P98" ca="1">9 &amp; INDEX($AF$3:$AF$6,W98)&amp; TEXT(RANDBETWEEN(0,9999999),"0000000")</f>
        <v>910435785</v>
      </c>
      <c r="Q98" t="str" cm="1">
        <f t="array" aca="1" ref="Q98" ca="1">LOWER(B98) &amp; INDEX($AF$9:$AF$11,X98)</f>
        <v>duaria2419@sapo.pt</v>
      </c>
      <c r="R98" t="str">
        <f t="shared" ca="1" si="13"/>
        <v>duaria2419.jpg</v>
      </c>
      <c r="T98" s="4"/>
      <c r="V98">
        <f ca="1">RANDBETWEEN(2,COUNTA(rua_cod!A:A))</f>
        <v>37</v>
      </c>
      <c r="W98">
        <f t="shared" ca="1" si="14"/>
        <v>1</v>
      </c>
      <c r="X98">
        <f t="shared" ca="1" si="15"/>
        <v>3</v>
      </c>
      <c r="Y98">
        <f t="shared" ca="1" si="16"/>
        <v>1990</v>
      </c>
      <c r="Z98">
        <f t="shared" ca="1" si="17"/>
        <v>12</v>
      </c>
      <c r="AA98">
        <f t="shared" ca="1" si="18"/>
        <v>27</v>
      </c>
      <c r="AB98">
        <f t="shared" ca="1" si="19"/>
        <v>30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lurboa1549</v>
      </c>
      <c r="C99" t="str">
        <f t="shared" ca="1" si="10"/>
        <v>pswlurboa1549</v>
      </c>
      <c r="D99" t="str">
        <f ca="1">Nomes!T100</f>
        <v>Lurdes Lurdes Oliveira Moura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da Oliveira ao Carmo</v>
      </c>
      <c r="H99" t="str" cm="1">
        <f t="array" aca="1" ref="H99" ca="1">INDEX(rua_cod!$A:$A,Users!V99) &amp; "-" &amp; TEXT(RANDBETWEEN(0,999),"000")</f>
        <v>1549-788</v>
      </c>
      <c r="I99" t="str" cm="1">
        <f t="array" aca="1" ref="I99" ca="1">INDEX(rua_cod!$B:$B,Users!V99)</f>
        <v>Lisboa</v>
      </c>
      <c r="J99" t="s">
        <v>3727</v>
      </c>
      <c r="K99" t="s">
        <v>225</v>
      </c>
      <c r="L99" t="s">
        <v>265</v>
      </c>
      <c r="M99" t="str">
        <f t="shared" ca="1" si="11"/>
        <v>92754931</v>
      </c>
      <c r="N99" t="str">
        <f t="shared" ca="1" si="12"/>
        <v>697752950</v>
      </c>
      <c r="O99" t="str">
        <f t="shared" ca="1" si="12"/>
        <v>504671969</v>
      </c>
      <c r="P99" t="str" cm="1">
        <f t="array" aca="1" ref="P99" ca="1">9 &amp; INDEX($AF$3:$AF$6,W99)&amp; TEXT(RANDBETWEEN(0,9999999),"0000000")</f>
        <v>923128146</v>
      </c>
      <c r="Q99" t="str" cm="1">
        <f t="array" aca="1" ref="Q99" ca="1">LOWER(B99) &amp; INDEX($AF$9:$AF$11,X99)</f>
        <v>lurboa1549@gmail.com</v>
      </c>
      <c r="R99" t="str">
        <f t="shared" ca="1" si="13"/>
        <v>lurboa1549.jpg</v>
      </c>
      <c r="T99" s="4"/>
      <c r="V99">
        <f ca="1">RANDBETWEEN(2,COUNTA(rua_cod!A:A))</f>
        <v>69</v>
      </c>
      <c r="W99">
        <f t="shared" ca="1" si="14"/>
        <v>2</v>
      </c>
      <c r="X99">
        <f t="shared" ca="1" si="15"/>
        <v>2</v>
      </c>
      <c r="Y99">
        <f t="shared" ca="1" si="16"/>
        <v>1956</v>
      </c>
      <c r="Z99">
        <f t="shared" ca="1" si="17"/>
        <v>7</v>
      </c>
      <c r="AA99">
        <f t="shared" ca="1" si="18"/>
        <v>23</v>
      </c>
      <c r="AB99">
        <f t="shared" ca="1" si="19"/>
        <v>64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matboa1100</v>
      </c>
      <c r="C100" t="str">
        <f t="shared" ca="1" si="10"/>
        <v>pswmatboa1100</v>
      </c>
      <c r="D100" t="str">
        <f ca="1">Nomes!T101</f>
        <v>Matilde Diogo Pinto Ribeiro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da Betesga</v>
      </c>
      <c r="H100" t="str" cm="1">
        <f t="array" aca="1" ref="H100" ca="1">INDEX(rua_cod!$A:$A,Users!V100) &amp; "-" &amp; TEXT(RANDBETWEEN(0,999),"000")</f>
        <v>1100-039</v>
      </c>
      <c r="I100" t="str" cm="1">
        <f t="array" aca="1" ref="I100" ca="1">INDEX(rua_cod!$B:$B,Users!V100)</f>
        <v>Lisboa</v>
      </c>
      <c r="J100" t="s">
        <v>3727</v>
      </c>
      <c r="K100" t="s">
        <v>225</v>
      </c>
      <c r="L100" t="s">
        <v>265</v>
      </c>
      <c r="M100" t="str">
        <f t="shared" ca="1" si="11"/>
        <v>19246637</v>
      </c>
      <c r="N100" t="str">
        <f t="shared" ca="1" si="12"/>
        <v>101032499</v>
      </c>
      <c r="O100" t="str">
        <f t="shared" ca="1" si="12"/>
        <v>208912627</v>
      </c>
      <c r="P100" t="str" cm="1">
        <f t="array" aca="1" ref="P100" ca="1">9 &amp; INDEX($AF$3:$AF$6,W100)&amp; TEXT(RANDBETWEEN(0,9999999),"0000000")</f>
        <v>910592361</v>
      </c>
      <c r="Q100" t="str" cm="1">
        <f t="array" aca="1" ref="Q100" ca="1">LOWER(B100) &amp; INDEX($AF$9:$AF$11,X100)</f>
        <v>matboa1100@sapo.pt</v>
      </c>
      <c r="R100" t="str">
        <f t="shared" ca="1" si="13"/>
        <v>matboa1100.jpg</v>
      </c>
      <c r="T100" s="4"/>
      <c r="V100">
        <f ca="1">RANDBETWEEN(2,COUNTA(rua_cod!A:A))</f>
        <v>46</v>
      </c>
      <c r="W100">
        <f t="shared" ca="1" si="14"/>
        <v>1</v>
      </c>
      <c r="X100">
        <f t="shared" ca="1" si="15"/>
        <v>3</v>
      </c>
      <c r="Y100">
        <f t="shared" ca="1" si="16"/>
        <v>1976</v>
      </c>
      <c r="Z100">
        <f t="shared" ca="1" si="17"/>
        <v>2</v>
      </c>
      <c r="AA100">
        <f t="shared" ca="1" si="18"/>
        <v>15</v>
      </c>
      <c r="AB100">
        <f t="shared" ca="1" si="19"/>
        <v>44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joabra3000</v>
      </c>
      <c r="C101" t="str">
        <f t="shared" ca="1" si="10"/>
        <v>pswjoabra3000</v>
      </c>
      <c r="D101" t="str">
        <f ca="1">Nomes!T102</f>
        <v>João Maria Valente Cardoso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de São Julião</v>
      </c>
      <c r="H101" t="str" cm="1">
        <f t="array" aca="1" ref="H101" ca="1">INDEX(rua_cod!$A:$A,Users!V101) &amp; "-" &amp; TEXT(RANDBETWEEN(0,999),"000")</f>
        <v>3000-926</v>
      </c>
      <c r="I101" t="str" cm="1">
        <f t="array" aca="1" ref="I101" ca="1">INDEX(rua_cod!$B:$B,Users!V101)</f>
        <v>Coimbra</v>
      </c>
      <c r="J101" t="s">
        <v>3727</v>
      </c>
      <c r="K101" t="s">
        <v>225</v>
      </c>
      <c r="L101" t="s">
        <v>265</v>
      </c>
      <c r="M101" t="str">
        <f t="shared" ca="1" si="11"/>
        <v>75372550</v>
      </c>
      <c r="N101" t="str">
        <f t="shared" ca="1" si="12"/>
        <v>431392525</v>
      </c>
      <c r="O101" t="str">
        <f t="shared" ca="1" si="12"/>
        <v>509182007</v>
      </c>
      <c r="P101" t="str" cm="1">
        <f t="array" aca="1" ref="P101" ca="1">9 &amp; INDEX($AF$3:$AF$6,W101)&amp; TEXT(RANDBETWEEN(0,9999999),"0000000")</f>
        <v>933566041</v>
      </c>
      <c r="Q101" t="str" cm="1">
        <f t="array" aca="1" ref="Q101" ca="1">LOWER(B101) &amp; INDEX($AF$9:$AF$11,X101)</f>
        <v>joabra3000@outlook.com</v>
      </c>
      <c r="R101" t="str">
        <f t="shared" ca="1" si="13"/>
        <v>joabra3000.jpg</v>
      </c>
      <c r="T101" s="4"/>
      <c r="V101">
        <f ca="1">RANDBETWEEN(2,COUNTA(rua_cod!A:A))</f>
        <v>26</v>
      </c>
      <c r="W101">
        <f t="shared" ca="1" si="14"/>
        <v>3</v>
      </c>
      <c r="X101">
        <f t="shared" ca="1" si="15"/>
        <v>1</v>
      </c>
      <c r="Y101">
        <f t="shared" ca="1" si="16"/>
        <v>1956</v>
      </c>
      <c r="Z101">
        <f t="shared" ca="1" si="17"/>
        <v>11</v>
      </c>
      <c r="AA101">
        <f t="shared" ca="1" si="18"/>
        <v>5</v>
      </c>
      <c r="AB101">
        <f t="shared" ca="1" si="19"/>
        <v>64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luiboa1769</v>
      </c>
      <c r="C102" t="str">
        <f t="shared" ca="1" si="10"/>
        <v>pswluiboa1769</v>
      </c>
      <c r="D102" t="str">
        <f ca="1">Nomes!T103</f>
        <v>Luís Tomás Rocha Marques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da Junqueira</v>
      </c>
      <c r="H102" t="str" cm="1">
        <f t="array" aca="1" ref="H102" ca="1">INDEX(rua_cod!$A:$A,Users!V102) &amp; "-" &amp; TEXT(RANDBETWEEN(0,999),"000")</f>
        <v>1769-360</v>
      </c>
      <c r="I102" t="str" cm="1">
        <f t="array" aca="1" ref="I102" ca="1">INDEX(rua_cod!$B:$B,Users!V102)</f>
        <v>Lisboa</v>
      </c>
      <c r="J102" t="s">
        <v>3727</v>
      </c>
      <c r="K102" t="s">
        <v>225</v>
      </c>
      <c r="L102" t="s">
        <v>265</v>
      </c>
      <c r="M102" t="str">
        <f t="shared" ca="1" si="11"/>
        <v>40489843</v>
      </c>
      <c r="N102" t="str">
        <f t="shared" ca="1" si="12"/>
        <v>370321759</v>
      </c>
      <c r="O102" t="str">
        <f t="shared" ca="1" si="12"/>
        <v>991951979</v>
      </c>
      <c r="P102" t="str" cm="1">
        <f t="array" aca="1" ref="P102" ca="1">9 &amp; INDEX($AF$3:$AF$6,W102)&amp; TEXT(RANDBETWEEN(0,9999999),"0000000")</f>
        <v>910689580</v>
      </c>
      <c r="Q102" t="str" cm="1">
        <f t="array" aca="1" ref="Q102" ca="1">LOWER(B102) &amp; INDEX($AF$9:$AF$11,X102)</f>
        <v>luiboa1769@sapo.pt</v>
      </c>
      <c r="R102" t="str">
        <f t="shared" ca="1" si="13"/>
        <v>luiboa1769.jpg</v>
      </c>
      <c r="T102" s="4"/>
      <c r="V102">
        <f ca="1">RANDBETWEEN(2,COUNTA(rua_cod!A:A))</f>
        <v>74</v>
      </c>
      <c r="W102">
        <f t="shared" ca="1" si="14"/>
        <v>1</v>
      </c>
      <c r="X102">
        <f t="shared" ca="1" si="15"/>
        <v>3</v>
      </c>
      <c r="Y102">
        <f t="shared" ca="1" si="16"/>
        <v>1947</v>
      </c>
      <c r="Z102">
        <f t="shared" ca="1" si="17"/>
        <v>5</v>
      </c>
      <c r="AA102">
        <f t="shared" ca="1" si="18"/>
        <v>20</v>
      </c>
      <c r="AB102">
        <f t="shared" ca="1" si="19"/>
        <v>73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ineboa1399</v>
      </c>
      <c r="C103" t="str">
        <f t="shared" ca="1" si="10"/>
        <v>pswineboa1399</v>
      </c>
      <c r="D103" t="str">
        <f ca="1">Nomes!T104</f>
        <v>Inês Joaquim Morais Anjos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da Oliveira ao Carmo</v>
      </c>
      <c r="H103" t="str" cm="1">
        <f t="array" aca="1" ref="H103" ca="1">INDEX(rua_cod!$A:$A,Users!V103) &amp; "-" &amp; TEXT(RANDBETWEEN(0,999),"000")</f>
        <v>1399-371</v>
      </c>
      <c r="I103" t="str" cm="1">
        <f t="array" aca="1" ref="I103" ca="1">INDEX(rua_cod!$B:$B,Users!V103)</f>
        <v>Lisboa</v>
      </c>
      <c r="J103" t="s">
        <v>3727</v>
      </c>
      <c r="K103" t="s">
        <v>225</v>
      </c>
      <c r="L103" t="s">
        <v>265</v>
      </c>
      <c r="M103" t="str">
        <f t="shared" ca="1" si="11"/>
        <v>61722270</v>
      </c>
      <c r="N103" t="str">
        <f t="shared" ca="1" si="12"/>
        <v>127399428</v>
      </c>
      <c r="O103" t="str">
        <f t="shared" ca="1" si="12"/>
        <v>812837188</v>
      </c>
      <c r="P103" t="str" cm="1">
        <f t="array" aca="1" ref="P103" ca="1">9 &amp; INDEX($AF$3:$AF$6,W103)&amp; TEXT(RANDBETWEEN(0,9999999),"0000000")</f>
        <v>962660769</v>
      </c>
      <c r="Q103" t="str" cm="1">
        <f t="array" aca="1" ref="Q103" ca="1">LOWER(B103) &amp; INDEX($AF$9:$AF$11,X103)</f>
        <v>ineboa1399@sapo.pt</v>
      </c>
      <c r="R103" t="str">
        <f t="shared" ca="1" si="13"/>
        <v>ineboa1399.jpg</v>
      </c>
      <c r="T103" s="4"/>
      <c r="V103">
        <f ca="1">RANDBETWEEN(2,COUNTA(rua_cod!A:A))</f>
        <v>55</v>
      </c>
      <c r="W103">
        <f t="shared" ca="1" si="14"/>
        <v>4</v>
      </c>
      <c r="X103">
        <f t="shared" ca="1" si="15"/>
        <v>3</v>
      </c>
      <c r="Y103">
        <f t="shared" ca="1" si="16"/>
        <v>1965</v>
      </c>
      <c r="Z103">
        <f t="shared" ca="1" si="17"/>
        <v>1</v>
      </c>
      <c r="AA103">
        <f t="shared" ca="1" si="18"/>
        <v>7</v>
      </c>
      <c r="AB103">
        <f t="shared" ca="1" si="19"/>
        <v>55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diaboa1300</v>
      </c>
      <c r="C104" t="str">
        <f t="shared" ca="1" si="10"/>
        <v>pswdiaboa1300</v>
      </c>
      <c r="D104" t="str">
        <f ca="1">Nomes!T105</f>
        <v>Diana Daniela Mota Assunção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da Oliveira ao Carmo</v>
      </c>
      <c r="H104" t="str" cm="1">
        <f t="array" aca="1" ref="H104" ca="1">INDEX(rua_cod!$A:$A,Users!V104) &amp; "-" &amp; TEXT(RANDBETWEEN(0,999),"000")</f>
        <v>1300-105</v>
      </c>
      <c r="I104" t="str" cm="1">
        <f t="array" aca="1" ref="I104" ca="1">INDEX(rua_cod!$B:$B,Users!V104)</f>
        <v>Lisboa</v>
      </c>
      <c r="J104" t="s">
        <v>3727</v>
      </c>
      <c r="K104" t="s">
        <v>225</v>
      </c>
      <c r="L104" t="s">
        <v>265</v>
      </c>
      <c r="M104" t="str">
        <f t="shared" ca="1" si="11"/>
        <v>54989681</v>
      </c>
      <c r="N104" t="str">
        <f t="shared" ca="1" si="12"/>
        <v>420954430</v>
      </c>
      <c r="O104" t="str">
        <f t="shared" ca="1" si="12"/>
        <v>784674068</v>
      </c>
      <c r="P104" t="str" cm="1">
        <f t="array" aca="1" ref="P104" ca="1">9 &amp; INDEX($AF$3:$AF$6,W104)&amp; TEXT(RANDBETWEEN(0,9999999),"0000000")</f>
        <v>935807942</v>
      </c>
      <c r="Q104" t="str" cm="1">
        <f t="array" aca="1" ref="Q104" ca="1">LOWER(B104) &amp; INDEX($AF$9:$AF$11,X104)</f>
        <v>diaboa1300@outlook.com</v>
      </c>
      <c r="R104" t="str">
        <f t="shared" ca="1" si="13"/>
        <v>diaboa1300.jpg</v>
      </c>
      <c r="T104" s="4"/>
      <c r="V104">
        <f ca="1">RANDBETWEEN(2,COUNTA(rua_cod!A:A))</f>
        <v>58</v>
      </c>
      <c r="W104">
        <f t="shared" ca="1" si="14"/>
        <v>3</v>
      </c>
      <c r="X104">
        <f t="shared" ca="1" si="15"/>
        <v>1</v>
      </c>
      <c r="Y104">
        <f t="shared" ca="1" si="16"/>
        <v>1951</v>
      </c>
      <c r="Z104">
        <f t="shared" ca="1" si="17"/>
        <v>4</v>
      </c>
      <c r="AA104">
        <f t="shared" ca="1" si="18"/>
        <v>9</v>
      </c>
      <c r="AB104">
        <f t="shared" ca="1" si="19"/>
        <v>69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dioboa1749</v>
      </c>
      <c r="C105" t="str">
        <f t="shared" ca="1" si="10"/>
        <v>pswdioboa1749</v>
      </c>
      <c r="D105" t="str">
        <f ca="1">Nomes!T106</f>
        <v>Diogo Marco Leite Gaspar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do Arsenal</v>
      </c>
      <c r="H105" t="str" cm="1">
        <f t="array" aca="1" ref="H105" ca="1">INDEX(rua_cod!$A:$A,Users!V105) &amp; "-" &amp; TEXT(RANDBETWEEN(0,999),"000")</f>
        <v>1749-983</v>
      </c>
      <c r="I105" t="str" cm="1">
        <f t="array" aca="1" ref="I105" ca="1">INDEX(rua_cod!$B:$B,Users!V105)</f>
        <v>Lisboa</v>
      </c>
      <c r="J105" t="s">
        <v>3727</v>
      </c>
      <c r="K105" t="s">
        <v>225</v>
      </c>
      <c r="L105" t="s">
        <v>265</v>
      </c>
      <c r="M105" t="str">
        <f t="shared" ca="1" si="11"/>
        <v>44583306</v>
      </c>
      <c r="N105" t="str">
        <f t="shared" ca="1" si="12"/>
        <v>497284351</v>
      </c>
      <c r="O105" t="str">
        <f t="shared" ca="1" si="12"/>
        <v>431240106</v>
      </c>
      <c r="P105" t="str" cm="1">
        <f t="array" aca="1" ref="P105" ca="1">9 &amp; INDEX($AF$3:$AF$6,W105)&amp; TEXT(RANDBETWEEN(0,9999999),"0000000")</f>
        <v>939455521</v>
      </c>
      <c r="Q105" t="str" cm="1">
        <f t="array" aca="1" ref="Q105" ca="1">LOWER(B105) &amp; INDEX($AF$9:$AF$11,X105)</f>
        <v>dioboa1749@gmail.com</v>
      </c>
      <c r="R105" t="str">
        <f t="shared" ca="1" si="13"/>
        <v>dioboa1749.jpg</v>
      </c>
      <c r="T105" s="4"/>
      <c r="V105">
        <f ca="1">RANDBETWEEN(2,COUNTA(rua_cod!A:A))</f>
        <v>61</v>
      </c>
      <c r="W105">
        <f t="shared" ca="1" si="14"/>
        <v>3</v>
      </c>
      <c r="X105">
        <f t="shared" ca="1" si="15"/>
        <v>2</v>
      </c>
      <c r="Y105">
        <f t="shared" ca="1" si="16"/>
        <v>1958</v>
      </c>
      <c r="Z105">
        <f t="shared" ca="1" si="17"/>
        <v>3</v>
      </c>
      <c r="AA105">
        <f t="shared" ca="1" si="18"/>
        <v>30</v>
      </c>
      <c r="AB105">
        <f t="shared" ca="1" si="19"/>
        <v>62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danras2784</v>
      </c>
      <c r="C106" t="str">
        <f t="shared" ca="1" si="10"/>
        <v>pswdanras2784</v>
      </c>
      <c r="D106" t="str">
        <f ca="1">Nomes!T107</f>
        <v>Daniela Lara Santos Branco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dos Fanqueiros</v>
      </c>
      <c r="H106" t="str" cm="1">
        <f t="array" aca="1" ref="H106" ca="1">INDEX(rua_cod!$A:$A,Users!V106) &amp; "-" &amp; TEXT(RANDBETWEEN(0,999),"000")</f>
        <v>2784-545</v>
      </c>
      <c r="I106" t="str" cm="1">
        <f t="array" aca="1" ref="I106" ca="1">INDEX(rua_cod!$B:$B,Users!V106)</f>
        <v>Oeiras</v>
      </c>
      <c r="J106" t="s">
        <v>3727</v>
      </c>
      <c r="K106" t="s">
        <v>225</v>
      </c>
      <c r="L106" t="s">
        <v>265</v>
      </c>
      <c r="M106" t="str">
        <f t="shared" ca="1" si="11"/>
        <v>35566210</v>
      </c>
      <c r="N106" t="str">
        <f t="shared" ca="1" si="12"/>
        <v>723380142</v>
      </c>
      <c r="O106" t="str">
        <f t="shared" ca="1" si="12"/>
        <v>828218380</v>
      </c>
      <c r="P106" t="str" cm="1">
        <f t="array" aca="1" ref="P106" ca="1">9 &amp; INDEX($AF$3:$AF$6,W106)&amp; TEXT(RANDBETWEEN(0,9999999),"0000000")</f>
        <v>936513867</v>
      </c>
      <c r="Q106" t="str" cm="1">
        <f t="array" aca="1" ref="Q106" ca="1">LOWER(B106) &amp; INDEX($AF$9:$AF$11,X106)</f>
        <v>danras2784@sapo.pt</v>
      </c>
      <c r="R106" t="str">
        <f t="shared" ca="1" si="13"/>
        <v>danras2784.jpg</v>
      </c>
      <c r="T106" s="4"/>
      <c r="V106">
        <f ca="1">RANDBETWEEN(2,COUNTA(rua_cod!A:A))</f>
        <v>89</v>
      </c>
      <c r="W106">
        <f t="shared" ca="1" si="14"/>
        <v>3</v>
      </c>
      <c r="X106">
        <f t="shared" ca="1" si="15"/>
        <v>3</v>
      </c>
      <c r="Y106">
        <f t="shared" ca="1" si="16"/>
        <v>1999</v>
      </c>
      <c r="Z106">
        <f t="shared" ca="1" si="17"/>
        <v>6</v>
      </c>
      <c r="AA106">
        <f t="shared" ca="1" si="18"/>
        <v>7</v>
      </c>
      <c r="AB106">
        <f t="shared" ca="1" si="19"/>
        <v>21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bruboa1849</v>
      </c>
      <c r="C107" t="str">
        <f t="shared" ca="1" si="10"/>
        <v>pswbruboa1849</v>
      </c>
      <c r="D107" t="str">
        <f ca="1">Nomes!T108</f>
        <v>Bruno Francisco Fonseca Campos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Rua do Carmo</v>
      </c>
      <c r="H107" t="str" cm="1">
        <f t="array" aca="1" ref="H107" ca="1">INDEX(rua_cod!$A:$A,Users!V107) &amp; "-" &amp; TEXT(RANDBETWEEN(0,999),"000")</f>
        <v>1849-853</v>
      </c>
      <c r="I107" t="str" cm="1">
        <f t="array" aca="1" ref="I107" ca="1">INDEX(rua_cod!$B:$B,Users!V107)</f>
        <v>Lisboa</v>
      </c>
      <c r="J107" t="s">
        <v>3727</v>
      </c>
      <c r="K107" t="s">
        <v>225</v>
      </c>
      <c r="L107" t="s">
        <v>265</v>
      </c>
      <c r="M107" t="str">
        <f t="shared" ca="1" si="11"/>
        <v>61073185</v>
      </c>
      <c r="N107" t="str">
        <f t="shared" ca="1" si="12"/>
        <v>314377070</v>
      </c>
      <c r="O107" t="str">
        <f t="shared" ca="1" si="12"/>
        <v>335002264</v>
      </c>
      <c r="P107" t="str" cm="1">
        <f t="array" aca="1" ref="P107" ca="1">9 &amp; INDEX($AF$3:$AF$6,W107)&amp; TEXT(RANDBETWEEN(0,9999999),"0000000")</f>
        <v>921750986</v>
      </c>
      <c r="Q107" t="str" cm="1">
        <f t="array" aca="1" ref="Q107" ca="1">LOWER(B107) &amp; INDEX($AF$9:$AF$11,X107)</f>
        <v>bruboa1849@outlook.com</v>
      </c>
      <c r="R107" t="str">
        <f t="shared" ca="1" si="13"/>
        <v>bruboa1849.jpg</v>
      </c>
      <c r="T107" s="4"/>
      <c r="V107">
        <f ca="1">RANDBETWEEN(2,COUNTA(rua_cod!A:A))</f>
        <v>64</v>
      </c>
      <c r="W107">
        <f t="shared" ca="1" si="14"/>
        <v>2</v>
      </c>
      <c r="X107">
        <f t="shared" ca="1" si="15"/>
        <v>1</v>
      </c>
      <c r="Y107">
        <f t="shared" ca="1" si="16"/>
        <v>2000</v>
      </c>
      <c r="Z107">
        <f t="shared" ca="1" si="17"/>
        <v>5</v>
      </c>
      <c r="AA107">
        <f t="shared" ca="1" si="18"/>
        <v>17</v>
      </c>
      <c r="AB107">
        <f t="shared" ca="1" si="19"/>
        <v>20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anaboa1349</v>
      </c>
      <c r="C108" t="str">
        <f t="shared" ca="1" si="10"/>
        <v>pswanaboa1349</v>
      </c>
      <c r="D108" t="str">
        <f ca="1">Nomes!T109</f>
        <v>Ana Afonso Sousa Anjos</v>
      </c>
      <c r="E108" t="str">
        <f ca="1">Nomes!S109</f>
        <v>Feminino</v>
      </c>
      <c r="F108" s="2">
        <v>24416</v>
      </c>
      <c r="G108" t="str" cm="1">
        <f t="array" aca="1" ref="G108" ca="1">INDEX(rua_cod!$F:$F,RANDBETWEEN(2,COUNTA(rua_cod!F:F)))</f>
        <v>Rua de São Mamede</v>
      </c>
      <c r="H108" t="str" cm="1">
        <f t="array" aca="1" ref="H108" ca="1">INDEX(rua_cod!$A:$A,Users!V108) &amp; "-" &amp; TEXT(RANDBETWEEN(0,999),"000")</f>
        <v>1349-710</v>
      </c>
      <c r="I108" t="str" cm="1">
        <f t="array" aca="1" ref="I108" ca="1">INDEX(rua_cod!$B:$B,Users!V108)</f>
        <v>Lisboa</v>
      </c>
      <c r="J108" t="s">
        <v>3727</v>
      </c>
      <c r="K108" t="s">
        <v>225</v>
      </c>
      <c r="L108" t="s">
        <v>265</v>
      </c>
      <c r="M108" t="str">
        <f t="shared" ca="1" si="11"/>
        <v>18728696</v>
      </c>
      <c r="N108" t="str">
        <f t="shared" ca="1" si="12"/>
        <v>512309149</v>
      </c>
      <c r="O108" t="str">
        <f t="shared" ca="1" si="12"/>
        <v>652993503</v>
      </c>
      <c r="P108" t="str" cm="1">
        <f t="array" aca="1" ref="P108" ca="1">9 &amp; INDEX($AF$3:$AF$6,W108)&amp; TEXT(RANDBETWEEN(0,9999999),"0000000")</f>
        <v>939270253</v>
      </c>
      <c r="Q108" t="str" cm="1">
        <f t="array" aca="1" ref="Q108" ca="1">LOWER(B108) &amp; INDEX($AF$9:$AF$11,X108)</f>
        <v>anaboa1349@sapo.pt</v>
      </c>
      <c r="R108" t="str">
        <f t="shared" ca="1" si="13"/>
        <v>anaboa1349.jpg</v>
      </c>
      <c r="T108" s="4"/>
      <c r="V108">
        <f ca="1">RANDBETWEEN(2,COUNTA(rua_cod!A:A))</f>
        <v>71</v>
      </c>
      <c r="W108">
        <f t="shared" ca="1" si="14"/>
        <v>3</v>
      </c>
      <c r="X108">
        <f t="shared" ca="1" si="15"/>
        <v>3</v>
      </c>
      <c r="Y108">
        <f t="shared" ca="1" si="16"/>
        <v>1966</v>
      </c>
      <c r="Z108">
        <f t="shared" ca="1" si="17"/>
        <v>2</v>
      </c>
      <c r="AA108">
        <f t="shared" ca="1" si="18"/>
        <v>12</v>
      </c>
      <c r="AB108">
        <f t="shared" ca="1" si="19"/>
        <v>54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verora2724</v>
      </c>
      <c r="C109" t="str">
        <f t="shared" ca="1" si="10"/>
        <v>pswverora2724</v>
      </c>
      <c r="D109" t="str">
        <f ca="1">Nomes!T110</f>
        <v>Vera Carolina Pinho Leite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Rua Nova do Almada</v>
      </c>
      <c r="H109" t="str" cm="1">
        <f t="array" aca="1" ref="H109" ca="1">INDEX(rua_cod!$A:$A,Users!V109) &amp; "-" &amp; TEXT(RANDBETWEEN(0,999),"000")</f>
        <v>2724-606</v>
      </c>
      <c r="I109" t="str" cm="1">
        <f t="array" aca="1" ref="I109" ca="1">INDEX(rua_cod!$B:$B,Users!V109)</f>
        <v>Amadora</v>
      </c>
      <c r="J109" t="s">
        <v>3727</v>
      </c>
      <c r="K109" t="s">
        <v>225</v>
      </c>
      <c r="L109" t="s">
        <v>265</v>
      </c>
      <c r="M109" t="str">
        <f t="shared" ca="1" si="11"/>
        <v>21471611</v>
      </c>
      <c r="N109" t="str">
        <f t="shared" ca="1" si="12"/>
        <v>434320548</v>
      </c>
      <c r="O109" t="str">
        <f t="shared" ca="1" si="12"/>
        <v>988878305</v>
      </c>
      <c r="P109" t="str" cm="1">
        <f t="array" aca="1" ref="P109" ca="1">9 &amp; INDEX($AF$3:$AF$6,W109)&amp; TEXT(RANDBETWEEN(0,9999999),"0000000")</f>
        <v>925663044</v>
      </c>
      <c r="Q109" t="str" cm="1">
        <f t="array" aca="1" ref="Q109" ca="1">LOWER(B109) &amp; INDEX($AF$9:$AF$11,X109)</f>
        <v>verora2724@sapo.pt</v>
      </c>
      <c r="R109" t="str">
        <f t="shared" ca="1" si="13"/>
        <v>verora2724.jpg</v>
      </c>
      <c r="T109" s="4"/>
      <c r="V109">
        <f ca="1">RANDBETWEEN(2,COUNTA(rua_cod!A:A))</f>
        <v>13</v>
      </c>
      <c r="W109">
        <f t="shared" ca="1" si="14"/>
        <v>2</v>
      </c>
      <c r="X109">
        <f t="shared" ca="1" si="15"/>
        <v>3</v>
      </c>
      <c r="Y109">
        <f t="shared" ca="1" si="16"/>
        <v>1946</v>
      </c>
      <c r="Z109">
        <f t="shared" ca="1" si="17"/>
        <v>3</v>
      </c>
      <c r="AA109">
        <f t="shared" ca="1" si="18"/>
        <v>27</v>
      </c>
      <c r="AB109">
        <f t="shared" ca="1" si="19"/>
        <v>74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marboa1069</v>
      </c>
      <c r="C110" t="str">
        <f t="shared" ca="1" si="10"/>
        <v>pswmarboa1069</v>
      </c>
      <c r="D110" t="str">
        <f ca="1">Nomes!T111</f>
        <v>Martim Sara Vaz Mendes</v>
      </c>
      <c r="E110" t="str">
        <f ca="1">Nomes!S111</f>
        <v>Masculino</v>
      </c>
      <c r="F110" s="2">
        <v>9013</v>
      </c>
      <c r="G110" t="str" cm="1">
        <f t="array" aca="1" ref="G110" ca="1">INDEX(rua_cod!$F:$F,RANDBETWEEN(2,COUNTA(rua_cod!F:F)))</f>
        <v>Rua do Salitre</v>
      </c>
      <c r="H110" t="str" cm="1">
        <f t="array" aca="1" ref="H110" ca="1">INDEX(rua_cod!$A:$A,Users!V110) &amp; "-" &amp; TEXT(RANDBETWEEN(0,999),"000")</f>
        <v>1069-395</v>
      </c>
      <c r="I110" t="str" cm="1">
        <f t="array" aca="1" ref="I110" ca="1">INDEX(rua_cod!$B:$B,Users!V110)</f>
        <v>Lisboa</v>
      </c>
      <c r="J110" t="s">
        <v>3727</v>
      </c>
      <c r="K110" t="s">
        <v>225</v>
      </c>
      <c r="L110" t="s">
        <v>265</v>
      </c>
      <c r="M110" t="str">
        <f t="shared" ca="1" si="11"/>
        <v>71543492</v>
      </c>
      <c r="N110" t="str">
        <f t="shared" ca="1" si="12"/>
        <v>225331601</v>
      </c>
      <c r="O110" t="str">
        <f t="shared" ca="1" si="12"/>
        <v>207404644</v>
      </c>
      <c r="P110" t="str" cm="1">
        <f t="array" aca="1" ref="P110" ca="1">9 &amp; INDEX($AF$3:$AF$6,W110)&amp; TEXT(RANDBETWEEN(0,9999999),"0000000")</f>
        <v>965209450</v>
      </c>
      <c r="Q110" t="str" cm="1">
        <f t="array" aca="1" ref="Q110" ca="1">LOWER(B110) &amp; INDEX($AF$9:$AF$11,X110)</f>
        <v>marboa1069@sapo.pt</v>
      </c>
      <c r="R110" t="str">
        <f t="shared" ca="1" si="13"/>
        <v>marboa1069.jpg</v>
      </c>
      <c r="T110" s="4"/>
      <c r="V110">
        <f ca="1">RANDBETWEEN(2,COUNTA(rua_cod!A:A))</f>
        <v>67</v>
      </c>
      <c r="W110">
        <f t="shared" ca="1" si="14"/>
        <v>4</v>
      </c>
      <c r="X110">
        <f t="shared" ca="1" si="15"/>
        <v>3</v>
      </c>
      <c r="Y110">
        <f t="shared" ca="1" si="16"/>
        <v>2020</v>
      </c>
      <c r="Z110">
        <f t="shared" ca="1" si="17"/>
        <v>10</v>
      </c>
      <c r="AA110">
        <f t="shared" ca="1" si="18"/>
        <v>20</v>
      </c>
      <c r="AB110">
        <f t="shared" ca="1" si="19"/>
        <v>0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carbal2910</v>
      </c>
      <c r="C111" t="str">
        <f t="shared" ca="1" si="10"/>
        <v>pswcarbal2910</v>
      </c>
      <c r="D111" t="str">
        <f ca="1">Nomes!T112</f>
        <v>Carolina Sara Azevedo Antunes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Avenida Ressano Garcia</v>
      </c>
      <c r="H111" t="str" cm="1">
        <f t="array" aca="1" ref="H111" ca="1">INDEX(rua_cod!$A:$A,Users!V111) &amp; "-" &amp; TEXT(RANDBETWEEN(0,999),"000")</f>
        <v>2910-878</v>
      </c>
      <c r="I111" t="str" cm="1">
        <f t="array" aca="1" ref="I111" ca="1">INDEX(rua_cod!$B:$B,Users!V111)</f>
        <v>Setúbal</v>
      </c>
      <c r="J111" t="s">
        <v>3727</v>
      </c>
      <c r="K111" t="s">
        <v>225</v>
      </c>
      <c r="L111" t="s">
        <v>265</v>
      </c>
      <c r="M111" t="str">
        <f t="shared" ca="1" si="11"/>
        <v>23153921</v>
      </c>
      <c r="N111" t="str">
        <f t="shared" ca="1" si="12"/>
        <v>674022535</v>
      </c>
      <c r="O111" t="str">
        <f t="shared" ca="1" si="12"/>
        <v>146822721</v>
      </c>
      <c r="P111" t="str" cm="1">
        <f t="array" aca="1" ref="P111" ca="1">9 &amp; INDEX($AF$3:$AF$6,W111)&amp; TEXT(RANDBETWEEN(0,9999999),"0000000")</f>
        <v>927745623</v>
      </c>
      <c r="Q111" t="str" cm="1">
        <f t="array" aca="1" ref="Q111" ca="1">LOWER(B111) &amp; INDEX($AF$9:$AF$11,X111)</f>
        <v>carbal2910@sapo.pt</v>
      </c>
      <c r="R111" t="str">
        <f t="shared" ca="1" si="13"/>
        <v>carbal2910.jpg</v>
      </c>
      <c r="T111" s="4"/>
      <c r="V111">
        <f ca="1">RANDBETWEEN(2,COUNTA(rua_cod!A:A))</f>
        <v>97</v>
      </c>
      <c r="W111">
        <f t="shared" ca="1" si="14"/>
        <v>2</v>
      </c>
      <c r="X111">
        <f t="shared" ca="1" si="15"/>
        <v>3</v>
      </c>
      <c r="Y111">
        <f t="shared" ca="1" si="16"/>
        <v>1965</v>
      </c>
      <c r="Z111">
        <f t="shared" ca="1" si="17"/>
        <v>9</v>
      </c>
      <c r="AA111">
        <f t="shared" ca="1" si="18"/>
        <v>6</v>
      </c>
      <c r="AB111">
        <f t="shared" ca="1" si="19"/>
        <v>55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luiria2423</v>
      </c>
      <c r="C112" t="str">
        <f t="shared" ca="1" si="10"/>
        <v>pswluiria2423</v>
      </c>
      <c r="D112" t="str">
        <f ca="1">Nomes!T113</f>
        <v>Luís Diogo Reis Magalhães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Rua Júlio César Machado</v>
      </c>
      <c r="H112" t="str" cm="1">
        <f t="array" aca="1" ref="H112" ca="1">INDEX(rua_cod!$A:$A,Users!V112) &amp; "-" &amp; TEXT(RANDBETWEEN(0,999),"000")</f>
        <v>2423-601</v>
      </c>
      <c r="I112" t="str" cm="1">
        <f t="array" aca="1" ref="I112" ca="1">INDEX(rua_cod!$B:$B,Users!V112)</f>
        <v>Leiria</v>
      </c>
      <c r="J112" t="s">
        <v>3727</v>
      </c>
      <c r="K112" t="s">
        <v>225</v>
      </c>
      <c r="L112" t="s">
        <v>265</v>
      </c>
      <c r="M112" t="str">
        <f t="shared" ca="1" si="11"/>
        <v>90809809</v>
      </c>
      <c r="N112" t="str">
        <f t="shared" ca="1" si="12"/>
        <v>854556355</v>
      </c>
      <c r="O112" t="str">
        <f t="shared" ca="1" si="12"/>
        <v>296511333</v>
      </c>
      <c r="P112" t="str" cm="1">
        <f t="array" aca="1" ref="P112" ca="1">9 &amp; INDEX($AF$3:$AF$6,W112)&amp; TEXT(RANDBETWEEN(0,9999999),"0000000")</f>
        <v>918307598</v>
      </c>
      <c r="Q112" t="str" cm="1">
        <f t="array" aca="1" ref="Q112" ca="1">LOWER(B112) &amp; INDEX($AF$9:$AF$11,X112)</f>
        <v>luiria2423@outlook.com</v>
      </c>
      <c r="R112" t="str">
        <f t="shared" ca="1" si="13"/>
        <v>luiria2423.jpg</v>
      </c>
      <c r="T112" s="4"/>
      <c r="V112">
        <f ca="1">RANDBETWEEN(2,COUNTA(rua_cod!A:A))</f>
        <v>38</v>
      </c>
      <c r="W112">
        <f t="shared" ca="1" si="14"/>
        <v>1</v>
      </c>
      <c r="X112">
        <f t="shared" ca="1" si="15"/>
        <v>1</v>
      </c>
      <c r="Y112">
        <f t="shared" ca="1" si="16"/>
        <v>1995</v>
      </c>
      <c r="Z112">
        <f t="shared" ca="1" si="17"/>
        <v>8</v>
      </c>
      <c r="AA112">
        <f t="shared" ca="1" si="18"/>
        <v>8</v>
      </c>
      <c r="AB112">
        <f t="shared" ca="1" si="19"/>
        <v>25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danria2410</v>
      </c>
      <c r="C113" t="str">
        <f t="shared" ca="1" si="10"/>
        <v>pswdanria2410</v>
      </c>
      <c r="D113" t="str">
        <f ca="1">Nomes!T114</f>
        <v>Daniela Pedro Garcia Cardoso</v>
      </c>
      <c r="E113" t="str">
        <f ca="1">Nomes!S114</f>
        <v>Feminino</v>
      </c>
      <c r="F113" s="2">
        <v>13043</v>
      </c>
      <c r="G113" t="str" cm="1">
        <f t="array" aca="1" ref="G113" ca="1">INDEX(rua_cod!$F:$F,RANDBETWEEN(2,COUNTA(rua_cod!F:F)))</f>
        <v>Rua do Salitre</v>
      </c>
      <c r="H113" t="str" cm="1">
        <f t="array" aca="1" ref="H113" ca="1">INDEX(rua_cod!$A:$A,Users!V113) &amp; "-" &amp; TEXT(RANDBETWEEN(0,999),"000")</f>
        <v>2410-770</v>
      </c>
      <c r="I113" t="str" cm="1">
        <f t="array" aca="1" ref="I113" ca="1">INDEX(rua_cod!$B:$B,Users!V113)</f>
        <v>Leiria</v>
      </c>
      <c r="J113" t="s">
        <v>3727</v>
      </c>
      <c r="K113" t="s">
        <v>225</v>
      </c>
      <c r="L113" t="s">
        <v>265</v>
      </c>
      <c r="M113" t="str">
        <f t="shared" ca="1" si="11"/>
        <v>17587660</v>
      </c>
      <c r="N113" t="str">
        <f t="shared" ca="1" si="12"/>
        <v>909130693</v>
      </c>
      <c r="O113" t="str">
        <f t="shared" ca="1" si="12"/>
        <v>686979833</v>
      </c>
      <c r="P113" t="str" cm="1">
        <f t="array" aca="1" ref="P113" ca="1">9 &amp; INDEX($AF$3:$AF$6,W113)&amp; TEXT(RANDBETWEEN(0,9999999),"0000000")</f>
        <v>928868354</v>
      </c>
      <c r="Q113" t="str" cm="1">
        <f t="array" aca="1" ref="Q113" ca="1">LOWER(B113) &amp; INDEX($AF$9:$AF$11,X113)</f>
        <v>danria2410@gmail.com</v>
      </c>
      <c r="R113" t="str">
        <f t="shared" ca="1" si="13"/>
        <v>danria2410.jpg</v>
      </c>
      <c r="T113" s="4"/>
      <c r="V113">
        <f ca="1">RANDBETWEEN(2,COUNTA(rua_cod!A:A))</f>
        <v>34</v>
      </c>
      <c r="W113">
        <f t="shared" ca="1" si="14"/>
        <v>2</v>
      </c>
      <c r="X113">
        <f t="shared" ca="1" si="15"/>
        <v>2</v>
      </c>
      <c r="Y113">
        <f t="shared" ca="1" si="16"/>
        <v>1990</v>
      </c>
      <c r="Z113">
        <f t="shared" ca="1" si="17"/>
        <v>6</v>
      </c>
      <c r="AA113">
        <f t="shared" ca="1" si="18"/>
        <v>15</v>
      </c>
      <c r="AB113">
        <f t="shared" ca="1" si="19"/>
        <v>30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marboa1200</v>
      </c>
      <c r="C114" t="str">
        <f t="shared" ca="1" si="10"/>
        <v>pswmarboa1200</v>
      </c>
      <c r="D114" t="str">
        <f ca="1">Nomes!T115</f>
        <v>Maria Mariana Faria Batista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Roberto Duarte Silva</v>
      </c>
      <c r="H114" t="str" cm="1">
        <f t="array" aca="1" ref="H114" ca="1">INDEX(rua_cod!$A:$A,Users!V114) &amp; "-" &amp; TEXT(RANDBETWEEN(0,999),"000")</f>
        <v>1200-913</v>
      </c>
      <c r="I114" t="str" cm="1">
        <f t="array" aca="1" ref="I114" ca="1">INDEX(rua_cod!$B:$B,Users!V114)</f>
        <v>Lisboa</v>
      </c>
      <c r="J114" t="s">
        <v>3727</v>
      </c>
      <c r="K114" t="s">
        <v>225</v>
      </c>
      <c r="L114" t="s">
        <v>265</v>
      </c>
      <c r="M114" t="str">
        <f t="shared" ca="1" si="11"/>
        <v>52593565</v>
      </c>
      <c r="N114" t="str">
        <f t="shared" ca="1" si="12"/>
        <v>735125498</v>
      </c>
      <c r="O114" t="str">
        <f t="shared" ca="1" si="12"/>
        <v>507847639</v>
      </c>
      <c r="P114" t="str" cm="1">
        <f t="array" aca="1" ref="P114" ca="1">9 &amp; INDEX($AF$3:$AF$6,W114)&amp; TEXT(RANDBETWEEN(0,9999999),"0000000")</f>
        <v>968551760</v>
      </c>
      <c r="Q114" t="str" cm="1">
        <f t="array" aca="1" ref="Q114" ca="1">LOWER(B114) &amp; INDEX($AF$9:$AF$11,X114)</f>
        <v>marboa1200@outlook.com</v>
      </c>
      <c r="R114" t="str">
        <f t="shared" ca="1" si="13"/>
        <v>marboa1200.jpg</v>
      </c>
      <c r="T114" s="4"/>
      <c r="V114">
        <f ca="1">RANDBETWEEN(2,COUNTA(rua_cod!A:A))</f>
        <v>48</v>
      </c>
      <c r="W114">
        <f t="shared" ca="1" si="14"/>
        <v>4</v>
      </c>
      <c r="X114">
        <f t="shared" ca="1" si="15"/>
        <v>1</v>
      </c>
      <c r="Y114">
        <f t="shared" ca="1" si="16"/>
        <v>1962</v>
      </c>
      <c r="Z114">
        <f t="shared" ca="1" si="17"/>
        <v>9</v>
      </c>
      <c r="AA114">
        <f t="shared" ca="1" si="18"/>
        <v>8</v>
      </c>
      <c r="AB114">
        <f t="shared" ca="1" si="19"/>
        <v>58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carboa1069</v>
      </c>
      <c r="C115" t="str">
        <f t="shared" ca="1" si="10"/>
        <v>pswcarboa1069</v>
      </c>
      <c r="D115" t="str">
        <f ca="1">Nomes!T116</f>
        <v>Carolina Beatriz Simões Oliveira</v>
      </c>
      <c r="E115" t="str">
        <f ca="1">Nomes!S116</f>
        <v>Feminino</v>
      </c>
      <c r="F115" s="2">
        <v>16742</v>
      </c>
      <c r="G115" t="str" cm="1">
        <f t="array" aca="1" ref="G115" ca="1">INDEX(rua_cod!$F:$F,RANDBETWEEN(2,COUNTA(rua_cod!F:F)))</f>
        <v>Calçada de Carriche</v>
      </c>
      <c r="H115" t="str" cm="1">
        <f t="array" aca="1" ref="H115" ca="1">INDEX(rua_cod!$A:$A,Users!V115) &amp; "-" &amp; TEXT(RANDBETWEEN(0,999),"000")</f>
        <v>1069-151</v>
      </c>
      <c r="I115" t="str" cm="1">
        <f t="array" aca="1" ref="I115" ca="1">INDEX(rua_cod!$B:$B,Users!V115)</f>
        <v>Lisboa</v>
      </c>
      <c r="J115" t="s">
        <v>3727</v>
      </c>
      <c r="K115" t="s">
        <v>225</v>
      </c>
      <c r="L115" t="s">
        <v>265</v>
      </c>
      <c r="M115" t="str">
        <f t="shared" ca="1" si="11"/>
        <v>63067632</v>
      </c>
      <c r="N115" t="str">
        <f t="shared" ca="1" si="12"/>
        <v>499803008</v>
      </c>
      <c r="O115" t="str">
        <f t="shared" ca="1" si="12"/>
        <v>665438160</v>
      </c>
      <c r="P115" t="str" cm="1">
        <f t="array" aca="1" ref="P115" ca="1">9 &amp; INDEX($AF$3:$AF$6,W115)&amp; TEXT(RANDBETWEEN(0,9999999),"0000000")</f>
        <v>923355682</v>
      </c>
      <c r="Q115" t="str" cm="1">
        <f t="array" aca="1" ref="Q115" ca="1">LOWER(B115) &amp; INDEX($AF$9:$AF$11,X115)</f>
        <v>carboa1069@outlook.com</v>
      </c>
      <c r="R115" t="str">
        <f t="shared" ca="1" si="13"/>
        <v>carboa1069.jpg</v>
      </c>
      <c r="T115" s="4"/>
      <c r="V115">
        <f ca="1">RANDBETWEEN(2,COUNTA(rua_cod!A:A))</f>
        <v>67</v>
      </c>
      <c r="W115">
        <f t="shared" ca="1" si="14"/>
        <v>2</v>
      </c>
      <c r="X115">
        <f t="shared" ca="1" si="15"/>
        <v>1</v>
      </c>
      <c r="Y115">
        <f t="shared" ca="1" si="16"/>
        <v>1968</v>
      </c>
      <c r="Z115">
        <f t="shared" ca="1" si="17"/>
        <v>10</v>
      </c>
      <c r="AA115">
        <f t="shared" ca="1" si="18"/>
        <v>4</v>
      </c>
      <c r="AB115">
        <f t="shared" ca="1" si="19"/>
        <v>52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fraluz2745</v>
      </c>
      <c r="C116" t="str">
        <f t="shared" ca="1" si="10"/>
        <v>pswfraluz2745</v>
      </c>
      <c r="D116" t="str">
        <f ca="1">Nomes!T117</f>
        <v>Francisca Sara Cruz Pires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General Morais Sarmento</v>
      </c>
      <c r="H116" t="str" cm="1">
        <f t="array" aca="1" ref="H116" ca="1">INDEX(rua_cod!$A:$A,Users!V116) &amp; "-" &amp; TEXT(RANDBETWEEN(0,999),"000")</f>
        <v>2745-651</v>
      </c>
      <c r="I116" t="str" cm="1">
        <f t="array" aca="1" ref="I116" ca="1">INDEX(rua_cod!$B:$B,Users!V116)</f>
        <v>Queluz</v>
      </c>
      <c r="J116" t="s">
        <v>3727</v>
      </c>
      <c r="K116" t="s">
        <v>225</v>
      </c>
      <c r="L116" t="s">
        <v>265</v>
      </c>
      <c r="M116" t="str">
        <f t="shared" ca="1" si="11"/>
        <v>75191977</v>
      </c>
      <c r="N116" t="str">
        <f t="shared" ca="1" si="12"/>
        <v>242773887</v>
      </c>
      <c r="O116" t="str">
        <f t="shared" ca="1" si="12"/>
        <v>288024241</v>
      </c>
      <c r="P116" t="str" cm="1">
        <f t="array" aca="1" ref="P116" ca="1">9 &amp; INDEX($AF$3:$AF$6,W116)&amp; TEXT(RANDBETWEEN(0,9999999),"0000000")</f>
        <v>911062683</v>
      </c>
      <c r="Q116" t="str" cm="1">
        <f t="array" aca="1" ref="Q116" ca="1">LOWER(B116) &amp; INDEX($AF$9:$AF$11,X116)</f>
        <v>fraluz2745@outlook.com</v>
      </c>
      <c r="R116" t="str">
        <f t="shared" ca="1" si="13"/>
        <v>fraluz2745.jpg</v>
      </c>
      <c r="T116" s="4"/>
      <c r="V116">
        <f ca="1">RANDBETWEEN(2,COUNTA(rua_cod!A:A))</f>
        <v>90</v>
      </c>
      <c r="W116">
        <f t="shared" ca="1" si="14"/>
        <v>1</v>
      </c>
      <c r="X116">
        <f t="shared" ca="1" si="15"/>
        <v>1</v>
      </c>
      <c r="Y116">
        <f t="shared" ca="1" si="16"/>
        <v>1936</v>
      </c>
      <c r="Z116">
        <f t="shared" ca="1" si="17"/>
        <v>2</v>
      </c>
      <c r="AA116">
        <f t="shared" ca="1" si="18"/>
        <v>1</v>
      </c>
      <c r="AB116">
        <f t="shared" ca="1" si="19"/>
        <v>84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maride2790</v>
      </c>
      <c r="C117" t="str">
        <f t="shared" ca="1" si="10"/>
        <v>pswmaride2790</v>
      </c>
      <c r="D117" t="str">
        <f ca="1">Nomes!T118</f>
        <v>Martim Ana Cunha Mendes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Rua dos Heróis de Quionga</v>
      </c>
      <c r="H117" t="str" cm="1">
        <f t="array" aca="1" ref="H117" ca="1">INDEX(rua_cod!$A:$A,Users!V117) &amp; "-" &amp; TEXT(RANDBETWEEN(0,999),"000")</f>
        <v>2790-558</v>
      </c>
      <c r="I117" t="str" cm="1">
        <f t="array" aca="1" ref="I117" ca="1">INDEX(rua_cod!$B:$B,Users!V117)</f>
        <v>Carnaxide</v>
      </c>
      <c r="J117" t="s">
        <v>3727</v>
      </c>
      <c r="K117" t="s">
        <v>225</v>
      </c>
      <c r="L117" t="s">
        <v>265</v>
      </c>
      <c r="M117" t="str">
        <f t="shared" ca="1" si="11"/>
        <v>15156014</v>
      </c>
      <c r="N117" t="str">
        <f t="shared" ca="1" si="12"/>
        <v>337349163</v>
      </c>
      <c r="O117" t="str">
        <f t="shared" ca="1" si="12"/>
        <v>912190713</v>
      </c>
      <c r="P117" t="str" cm="1">
        <f t="array" aca="1" ref="P117" ca="1">9 &amp; INDEX($AF$3:$AF$6,W117)&amp; TEXT(RANDBETWEEN(0,9999999),"0000000")</f>
        <v>969509600</v>
      </c>
      <c r="Q117" t="str" cm="1">
        <f t="array" aca="1" ref="Q117" ca="1">LOWER(B117) &amp; INDEX($AF$9:$AF$11,X117)</f>
        <v>maride2790@sapo.pt</v>
      </c>
      <c r="R117" t="str">
        <f t="shared" ca="1" si="13"/>
        <v>maride2790.jpg</v>
      </c>
      <c r="T117" s="4"/>
      <c r="V117">
        <f ca="1">RANDBETWEEN(2,COUNTA(rua_cod!A:A))</f>
        <v>22</v>
      </c>
      <c r="W117">
        <f t="shared" ca="1" si="14"/>
        <v>4</v>
      </c>
      <c r="X117">
        <f t="shared" ca="1" si="15"/>
        <v>3</v>
      </c>
      <c r="Y117">
        <f t="shared" ca="1" si="16"/>
        <v>1963</v>
      </c>
      <c r="Z117">
        <f t="shared" ca="1" si="17"/>
        <v>7</v>
      </c>
      <c r="AA117">
        <f t="shared" ca="1" si="18"/>
        <v>16</v>
      </c>
      <c r="AB117">
        <f t="shared" ca="1" si="19"/>
        <v>57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duaboa1049</v>
      </c>
      <c r="C118" t="str">
        <f t="shared" ca="1" si="10"/>
        <v>pswduaboa1049</v>
      </c>
      <c r="D118" t="str">
        <f ca="1">Nomes!T119</f>
        <v>Duarte Matilde Moreira Nascimento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da Madalena</v>
      </c>
      <c r="H118" t="str" cm="1">
        <f t="array" aca="1" ref="H118" ca="1">INDEX(rua_cod!$A:$A,Users!V118) &amp; "-" &amp; TEXT(RANDBETWEEN(0,999),"000")</f>
        <v>1049-630</v>
      </c>
      <c r="I118" t="str" cm="1">
        <f t="array" aca="1" ref="I118" ca="1">INDEX(rua_cod!$B:$B,Users!V118)</f>
        <v>Lisboa</v>
      </c>
      <c r="J118" t="s">
        <v>3727</v>
      </c>
      <c r="K118" t="s">
        <v>225</v>
      </c>
      <c r="L118" t="s">
        <v>265</v>
      </c>
      <c r="M118" t="str">
        <f t="shared" ca="1" si="11"/>
        <v>91986780</v>
      </c>
      <c r="N118" t="str">
        <f t="shared" ca="1" si="12"/>
        <v>297737898</v>
      </c>
      <c r="O118" t="str">
        <f t="shared" ca="1" si="12"/>
        <v>610739997</v>
      </c>
      <c r="P118" t="str" cm="1">
        <f t="array" aca="1" ref="P118" ca="1">9 &amp; INDEX($AF$3:$AF$6,W118)&amp; TEXT(RANDBETWEEN(0,9999999),"0000000")</f>
        <v>935302966</v>
      </c>
      <c r="Q118" t="str" cm="1">
        <f t="array" aca="1" ref="Q118" ca="1">LOWER(B118) &amp; INDEX($AF$9:$AF$11,X118)</f>
        <v>duaboa1049@sapo.pt</v>
      </c>
      <c r="R118" t="str">
        <f t="shared" ca="1" si="13"/>
        <v>duaboa1049.jpg</v>
      </c>
      <c r="T118" s="4"/>
      <c r="V118">
        <f ca="1">RANDBETWEEN(2,COUNTA(rua_cod!A:A))</f>
        <v>76</v>
      </c>
      <c r="W118">
        <f t="shared" ca="1" si="14"/>
        <v>3</v>
      </c>
      <c r="X118">
        <f t="shared" ca="1" si="15"/>
        <v>3</v>
      </c>
      <c r="Y118">
        <f t="shared" ca="1" si="16"/>
        <v>1971</v>
      </c>
      <c r="Z118">
        <f t="shared" ca="1" si="17"/>
        <v>8</v>
      </c>
      <c r="AA118">
        <f t="shared" ca="1" si="18"/>
        <v>30</v>
      </c>
      <c r="AB118">
        <f t="shared" ca="1" si="19"/>
        <v>49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sarluz2749</v>
      </c>
      <c r="C119" t="str">
        <f t="shared" ca="1" si="10"/>
        <v>pswsarluz2749</v>
      </c>
      <c r="D119" t="str">
        <f ca="1">Nomes!T120</f>
        <v>Sara Leonor Vieira Torres</v>
      </c>
      <c r="E119" t="str">
        <f ca="1">Nomes!S120</f>
        <v>Feminino</v>
      </c>
      <c r="F119" s="2">
        <v>33045</v>
      </c>
      <c r="G119" t="str" cm="1">
        <f t="array" aca="1" ref="G119" ca="1">INDEX(rua_cod!$F:$F,RANDBETWEEN(2,COUNTA(rua_cod!F:F)))</f>
        <v>Rua do Salitre</v>
      </c>
      <c r="H119" t="str" cm="1">
        <f t="array" aca="1" ref="H119" ca="1">INDEX(rua_cod!$A:$A,Users!V119) &amp; "-" &amp; TEXT(RANDBETWEEN(0,999),"000")</f>
        <v>2749-572</v>
      </c>
      <c r="I119" t="str" cm="1">
        <f t="array" aca="1" ref="I119" ca="1">INDEX(rua_cod!$B:$B,Users!V119)</f>
        <v>Queluz</v>
      </c>
      <c r="J119" t="s">
        <v>3727</v>
      </c>
      <c r="K119" t="s">
        <v>225</v>
      </c>
      <c r="L119" t="s">
        <v>265</v>
      </c>
      <c r="M119" t="str">
        <f t="shared" ca="1" si="11"/>
        <v>47773296</v>
      </c>
      <c r="N119" t="str">
        <f t="shared" ca="1" si="12"/>
        <v>141588715</v>
      </c>
      <c r="O119" t="str">
        <f t="shared" ca="1" si="12"/>
        <v>464089881</v>
      </c>
      <c r="P119" t="str" cm="1">
        <f t="array" aca="1" ref="P119" ca="1">9 &amp; INDEX($AF$3:$AF$6,W119)&amp; TEXT(RANDBETWEEN(0,9999999),"0000000")</f>
        <v>927233440</v>
      </c>
      <c r="Q119" t="str" cm="1">
        <f t="array" aca="1" ref="Q119" ca="1">LOWER(B119) &amp; INDEX($AF$9:$AF$11,X119)</f>
        <v>sarluz2749@sapo.pt</v>
      </c>
      <c r="R119" t="str">
        <f t="shared" ca="1" si="13"/>
        <v>sarluz2749.jpg</v>
      </c>
      <c r="T119" s="4"/>
      <c r="V119">
        <f ca="1">RANDBETWEEN(2,COUNTA(rua_cod!A:A))</f>
        <v>91</v>
      </c>
      <c r="W119">
        <f t="shared" ca="1" si="14"/>
        <v>2</v>
      </c>
      <c r="X119">
        <f t="shared" ca="1" si="15"/>
        <v>3</v>
      </c>
      <c r="Y119">
        <f t="shared" ca="1" si="16"/>
        <v>1963</v>
      </c>
      <c r="Z119">
        <f t="shared" ca="1" si="17"/>
        <v>4</v>
      </c>
      <c r="AA119">
        <f t="shared" ca="1" si="18"/>
        <v>8</v>
      </c>
      <c r="AB119">
        <f t="shared" ca="1" si="19"/>
        <v>57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gabijo2870</v>
      </c>
      <c r="C120" t="str">
        <f t="shared" ca="1" si="10"/>
        <v>pswgabijo2870</v>
      </c>
      <c r="D120" t="str">
        <f ca="1">Nomes!T121</f>
        <v>Gabriel Francisca Torres Moreira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Rua do Sol a Santana</v>
      </c>
      <c r="H120" t="str" cm="1">
        <f t="array" aca="1" ref="H120" ca="1">INDEX(rua_cod!$A:$A,Users!V120) &amp; "-" &amp; TEXT(RANDBETWEEN(0,999),"000")</f>
        <v>2870-907</v>
      </c>
      <c r="I120" t="str" cm="1">
        <f t="array" aca="1" ref="I120" ca="1">INDEX(rua_cod!$B:$B,Users!V120)</f>
        <v>Montijo</v>
      </c>
      <c r="J120" t="s">
        <v>3727</v>
      </c>
      <c r="K120" t="s">
        <v>225</v>
      </c>
      <c r="L120" t="s">
        <v>265</v>
      </c>
      <c r="M120" t="str">
        <f t="shared" ca="1" si="11"/>
        <v>54062982</v>
      </c>
      <c r="N120" t="str">
        <f t="shared" ca="1" si="12"/>
        <v>539556998</v>
      </c>
      <c r="O120" t="str">
        <f t="shared" ca="1" si="12"/>
        <v>913663479</v>
      </c>
      <c r="P120" t="str" cm="1">
        <f t="array" aca="1" ref="P120" ca="1">9 &amp; INDEX($AF$3:$AF$6,W120)&amp; TEXT(RANDBETWEEN(0,9999999),"0000000")</f>
        <v>932630760</v>
      </c>
      <c r="Q120" t="str" cm="1">
        <f t="array" aca="1" ref="Q120" ca="1">LOWER(B120) &amp; INDEX($AF$9:$AF$11,X120)</f>
        <v>gabijo2870@sapo.pt</v>
      </c>
      <c r="R120" t="str">
        <f t="shared" ca="1" si="13"/>
        <v>gabijo2870.jpg</v>
      </c>
      <c r="T120" s="4"/>
      <c r="V120">
        <f ca="1">RANDBETWEEN(2,COUNTA(rua_cod!A:A))</f>
        <v>87</v>
      </c>
      <c r="W120">
        <f t="shared" ca="1" si="14"/>
        <v>3</v>
      </c>
      <c r="X120">
        <f t="shared" ca="1" si="15"/>
        <v>3</v>
      </c>
      <c r="Y120">
        <f t="shared" ca="1" si="16"/>
        <v>1963</v>
      </c>
      <c r="Z120">
        <f t="shared" ca="1" si="17"/>
        <v>11</v>
      </c>
      <c r="AA120">
        <f t="shared" ca="1" si="18"/>
        <v>28</v>
      </c>
      <c r="AB120">
        <f t="shared" ca="1" si="19"/>
        <v>57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marbra3000</v>
      </c>
      <c r="C121" t="str">
        <f t="shared" ca="1" si="10"/>
        <v>pswmarbra3000</v>
      </c>
      <c r="D121" t="str">
        <f ca="1">Nomes!T122</f>
        <v>Mariana Marco Azevedo Lopes</v>
      </c>
      <c r="E121" t="str">
        <f ca="1">Nomes!S122</f>
        <v>Feminino</v>
      </c>
      <c r="F121" s="2">
        <v>28450</v>
      </c>
      <c r="G121" t="str" cm="1">
        <f t="array" aca="1" ref="G121" ca="1">INDEX(rua_cod!$F:$F,RANDBETWEEN(2,COUNTA(rua_cod!F:F)))</f>
        <v>Rua Roberto Duarte Silva</v>
      </c>
      <c r="H121" t="str" cm="1">
        <f t="array" aca="1" ref="H121" ca="1">INDEX(rua_cod!$A:$A,Users!V121) &amp; "-" &amp; TEXT(RANDBETWEEN(0,999),"000")</f>
        <v>3000-712</v>
      </c>
      <c r="I121" t="str" cm="1">
        <f t="array" aca="1" ref="I121" ca="1">INDEX(rua_cod!$B:$B,Users!V121)</f>
        <v>Coimbra</v>
      </c>
      <c r="J121" t="s">
        <v>3727</v>
      </c>
      <c r="K121" t="s">
        <v>225</v>
      </c>
      <c r="L121" t="s">
        <v>265</v>
      </c>
      <c r="M121" t="str">
        <f t="shared" ca="1" si="11"/>
        <v>47569741</v>
      </c>
      <c r="N121" t="str">
        <f t="shared" ca="1" si="12"/>
        <v>692553991</v>
      </c>
      <c r="O121" t="str">
        <f t="shared" ca="1" si="12"/>
        <v>718002757</v>
      </c>
      <c r="P121" t="str" cm="1">
        <f t="array" aca="1" ref="P121" ca="1">9 &amp; INDEX($AF$3:$AF$6,W121)&amp; TEXT(RANDBETWEEN(0,9999999),"0000000")</f>
        <v>918183356</v>
      </c>
      <c r="Q121" t="str" cm="1">
        <f t="array" aca="1" ref="Q121" ca="1">LOWER(B121) &amp; INDEX($AF$9:$AF$11,X121)</f>
        <v>marbra3000@gmail.com</v>
      </c>
      <c r="R121" t="str">
        <f t="shared" ca="1" si="13"/>
        <v>marbra3000.jpg</v>
      </c>
      <c r="T121" s="4"/>
      <c r="V121">
        <f ca="1">RANDBETWEEN(2,COUNTA(rua_cod!A:A))</f>
        <v>26</v>
      </c>
      <c r="W121">
        <f t="shared" ca="1" si="14"/>
        <v>1</v>
      </c>
      <c r="X121">
        <f t="shared" ca="1" si="15"/>
        <v>2</v>
      </c>
      <c r="Y121">
        <f t="shared" ca="1" si="16"/>
        <v>1972</v>
      </c>
      <c r="Z121">
        <f t="shared" ca="1" si="17"/>
        <v>10</v>
      </c>
      <c r="AA121">
        <f t="shared" ca="1" si="18"/>
        <v>5</v>
      </c>
      <c r="AB121">
        <f t="shared" ca="1" si="19"/>
        <v>48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fraboa1700</v>
      </c>
      <c r="C122" t="str">
        <f t="shared" ca="1" si="10"/>
        <v>pswfraboa1700</v>
      </c>
      <c r="D122" t="str">
        <f ca="1">Nomes!T123</f>
        <v>Francisca Diogo Abreu Branco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Rua da Prata</v>
      </c>
      <c r="H122" t="str" cm="1">
        <f t="array" aca="1" ref="H122" ca="1">INDEX(rua_cod!$A:$A,Users!V122) &amp; "-" &amp; TEXT(RANDBETWEEN(0,999),"000")</f>
        <v>1700-091</v>
      </c>
      <c r="I122" t="str" cm="1">
        <f t="array" aca="1" ref="I122" ca="1">INDEX(rua_cod!$B:$B,Users!V122)</f>
        <v>Lisboa</v>
      </c>
      <c r="J122" t="s">
        <v>3727</v>
      </c>
      <c r="K122" t="s">
        <v>225</v>
      </c>
      <c r="L122" t="s">
        <v>265</v>
      </c>
      <c r="M122" t="str">
        <f t="shared" ca="1" si="11"/>
        <v>73285940</v>
      </c>
      <c r="N122" t="str">
        <f t="shared" ca="1" si="12"/>
        <v>897775335</v>
      </c>
      <c r="O122" t="str">
        <f t="shared" ca="1" si="12"/>
        <v>128356273</v>
      </c>
      <c r="P122" t="str" cm="1">
        <f t="array" aca="1" ref="P122" ca="1">9 &amp; INDEX($AF$3:$AF$6,W122)&amp; TEXT(RANDBETWEEN(0,9999999),"0000000")</f>
        <v>939328973</v>
      </c>
      <c r="Q122" t="str" cm="1">
        <f t="array" aca="1" ref="Q122" ca="1">LOWER(B122) &amp; INDEX($AF$9:$AF$11,X122)</f>
        <v>fraboa1700@gmail.com</v>
      </c>
      <c r="R122" t="str">
        <f t="shared" ca="1" si="13"/>
        <v>fraboa1700.jpg</v>
      </c>
      <c r="T122" s="4"/>
      <c r="V122">
        <f ca="1">RANDBETWEEN(2,COUNTA(rua_cod!A:A))</f>
        <v>40</v>
      </c>
      <c r="W122">
        <f t="shared" ca="1" si="14"/>
        <v>3</v>
      </c>
      <c r="X122">
        <f t="shared" ca="1" si="15"/>
        <v>2</v>
      </c>
      <c r="Y122">
        <f t="shared" ca="1" si="16"/>
        <v>1975</v>
      </c>
      <c r="Z122">
        <f t="shared" ca="1" si="17"/>
        <v>12</v>
      </c>
      <c r="AA122">
        <f t="shared" ca="1" si="18"/>
        <v>27</v>
      </c>
      <c r="AB122">
        <f t="shared" ca="1" si="19"/>
        <v>45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anaora2650</v>
      </c>
      <c r="C123" t="str">
        <f t="shared" ca="1" si="10"/>
        <v>pswanaora2650</v>
      </c>
      <c r="D123" t="str">
        <f ca="1">Nomes!T124</f>
        <v>Ana Joana Vaz Lopes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da Madalena</v>
      </c>
      <c r="H123" t="str" cm="1">
        <f t="array" aca="1" ref="H123" ca="1">INDEX(rua_cod!$A:$A,Users!V123) &amp; "-" &amp; TEXT(RANDBETWEEN(0,999),"000")</f>
        <v>2650-925</v>
      </c>
      <c r="I123" t="str" cm="1">
        <f t="array" aca="1" ref="I123" ca="1">INDEX(rua_cod!$B:$B,Users!V123)</f>
        <v>Amadora</v>
      </c>
      <c r="J123" t="s">
        <v>3727</v>
      </c>
      <c r="K123" t="s">
        <v>225</v>
      </c>
      <c r="L123" t="s">
        <v>265</v>
      </c>
      <c r="M123" t="str">
        <f t="shared" ca="1" si="11"/>
        <v>83126632</v>
      </c>
      <c r="N123" t="str">
        <f t="shared" ca="1" si="12"/>
        <v>209375715</v>
      </c>
      <c r="O123" t="str">
        <f t="shared" ca="1" si="12"/>
        <v>509499777</v>
      </c>
      <c r="P123" t="str" cm="1">
        <f t="array" aca="1" ref="P123" ca="1">9 &amp; INDEX($AF$3:$AF$6,W123)&amp; TEXT(RANDBETWEEN(0,9999999),"0000000")</f>
        <v>927490964</v>
      </c>
      <c r="Q123" t="str" cm="1">
        <f t="array" aca="1" ref="Q123" ca="1">LOWER(B123) &amp; INDEX($AF$9:$AF$11,X123)</f>
        <v>anaora2650@gmail.com</v>
      </c>
      <c r="R123" t="str">
        <f t="shared" ca="1" si="13"/>
        <v>anaora2650.jpg</v>
      </c>
      <c r="T123" s="4"/>
      <c r="V123">
        <f ca="1">RANDBETWEEN(2,COUNTA(rua_cod!A:A))</f>
        <v>9</v>
      </c>
      <c r="W123">
        <f t="shared" ca="1" si="14"/>
        <v>2</v>
      </c>
      <c r="X123">
        <f t="shared" ca="1" si="15"/>
        <v>2</v>
      </c>
      <c r="Y123">
        <f t="shared" ca="1" si="16"/>
        <v>2002</v>
      </c>
      <c r="Z123">
        <f t="shared" ca="1" si="17"/>
        <v>5</v>
      </c>
      <c r="AA123">
        <f t="shared" ca="1" si="18"/>
        <v>11</v>
      </c>
      <c r="AB123">
        <f t="shared" ca="1" si="19"/>
        <v>18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verboa1999</v>
      </c>
      <c r="C124" t="str">
        <f t="shared" ca="1" si="10"/>
        <v>pswverboa1999</v>
      </c>
      <c r="D124" t="str">
        <f ca="1">Nomes!T125</f>
        <v>Vera Mariana Vieira Carvalho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Júlio César Machado</v>
      </c>
      <c r="H124" t="str" cm="1">
        <f t="array" aca="1" ref="H124" ca="1">INDEX(rua_cod!$A:$A,Users!V124) &amp; "-" &amp; TEXT(RANDBETWEEN(0,999),"000")</f>
        <v>1999-020</v>
      </c>
      <c r="I124" t="str" cm="1">
        <f t="array" aca="1" ref="I124" ca="1">INDEX(rua_cod!$B:$B,Users!V124)</f>
        <v>Lisboa</v>
      </c>
      <c r="J124" t="s">
        <v>3727</v>
      </c>
      <c r="K124" t="s">
        <v>225</v>
      </c>
      <c r="L124" t="s">
        <v>265</v>
      </c>
      <c r="M124" t="str">
        <f t="shared" ca="1" si="11"/>
        <v>78300735</v>
      </c>
      <c r="N124" t="str">
        <f t="shared" ca="1" si="12"/>
        <v>600083958</v>
      </c>
      <c r="O124" t="str">
        <f t="shared" ca="1" si="12"/>
        <v>440120640</v>
      </c>
      <c r="P124" t="str" cm="1">
        <f t="array" aca="1" ref="P124" ca="1">9 &amp; INDEX($AF$3:$AF$6,W124)&amp; TEXT(RANDBETWEEN(0,9999999),"0000000")</f>
        <v>963200822</v>
      </c>
      <c r="Q124" t="str" cm="1">
        <f t="array" aca="1" ref="Q124" ca="1">LOWER(B124) &amp; INDEX($AF$9:$AF$11,X124)</f>
        <v>verboa1999@gmail.com</v>
      </c>
      <c r="R124" t="str">
        <f t="shared" ca="1" si="13"/>
        <v>verboa1999.jpg</v>
      </c>
      <c r="T124" s="4"/>
      <c r="V124">
        <f ca="1">RANDBETWEEN(2,COUNTA(rua_cod!A:A))</f>
        <v>79</v>
      </c>
      <c r="W124">
        <f t="shared" ca="1" si="14"/>
        <v>4</v>
      </c>
      <c r="X124">
        <f t="shared" ca="1" si="15"/>
        <v>2</v>
      </c>
      <c r="Y124">
        <f t="shared" ca="1" si="16"/>
        <v>1957</v>
      </c>
      <c r="Z124">
        <f t="shared" ca="1" si="17"/>
        <v>6</v>
      </c>
      <c r="AA124">
        <f t="shared" ca="1" si="18"/>
        <v>31</v>
      </c>
      <c r="AB124">
        <f t="shared" ca="1" si="19"/>
        <v>63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afoada2810</v>
      </c>
      <c r="C125" t="str">
        <f t="shared" ca="1" si="10"/>
        <v>pswafoada2810</v>
      </c>
      <c r="D125" t="str">
        <f ca="1">Nomes!T126</f>
        <v>Afonso Inês Gomes Cardoso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da Alfândega</v>
      </c>
      <c r="H125" t="str" cm="1">
        <f t="array" aca="1" ref="H125" ca="1">INDEX(rua_cod!$A:$A,Users!V125) &amp; "-" &amp; TEXT(RANDBETWEEN(0,999),"000")</f>
        <v>2810-636</v>
      </c>
      <c r="I125" t="str" cm="1">
        <f t="array" aca="1" ref="I125" ca="1">INDEX(rua_cod!$B:$B,Users!V125)</f>
        <v>Almada</v>
      </c>
      <c r="J125" t="s">
        <v>3727</v>
      </c>
      <c r="K125" t="s">
        <v>225</v>
      </c>
      <c r="L125" t="s">
        <v>265</v>
      </c>
      <c r="M125" t="str">
        <f t="shared" ca="1" si="11"/>
        <v>32588533</v>
      </c>
      <c r="N125" t="str">
        <f t="shared" ca="1" si="12"/>
        <v>141071505</v>
      </c>
      <c r="O125" t="str">
        <f t="shared" ca="1" si="12"/>
        <v>146678345</v>
      </c>
      <c r="P125" t="str" cm="1">
        <f t="array" aca="1" ref="P125" ca="1">9 &amp; INDEX($AF$3:$AF$6,W125)&amp; TEXT(RANDBETWEEN(0,9999999),"0000000")</f>
        <v>915832048</v>
      </c>
      <c r="Q125" t="str" cm="1">
        <f t="array" aca="1" ref="Q125" ca="1">LOWER(B125) &amp; INDEX($AF$9:$AF$11,X125)</f>
        <v>afoada2810@sapo.pt</v>
      </c>
      <c r="R125" t="str">
        <f t="shared" ca="1" si="13"/>
        <v>afoada2810.jpg</v>
      </c>
      <c r="T125" s="4"/>
      <c r="V125">
        <f ca="1">RANDBETWEEN(2,COUNTA(rua_cod!A:A))</f>
        <v>3</v>
      </c>
      <c r="W125">
        <f t="shared" ca="1" si="14"/>
        <v>1</v>
      </c>
      <c r="X125">
        <f t="shared" ca="1" si="15"/>
        <v>3</v>
      </c>
      <c r="Y125">
        <f t="shared" ca="1" si="16"/>
        <v>2004</v>
      </c>
      <c r="Z125">
        <f t="shared" ca="1" si="17"/>
        <v>9</v>
      </c>
      <c r="AA125">
        <f t="shared" ca="1" si="18"/>
        <v>22</v>
      </c>
      <c r="AB125">
        <f t="shared" ca="1" si="19"/>
        <v>16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duaica2829</v>
      </c>
      <c r="C126" t="str">
        <f t="shared" ca="1" si="10"/>
        <v>pswduaica2829</v>
      </c>
      <c r="D126" t="str">
        <f ca="1">Nomes!T127</f>
        <v>Duarte Diana Ramos Alves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Rua de São Julião</v>
      </c>
      <c r="H126" t="str" cm="1">
        <f t="array" aca="1" ref="H126" ca="1">INDEX(rua_cod!$A:$A,Users!V126) &amp; "-" &amp; TEXT(RANDBETWEEN(0,999),"000")</f>
        <v>2829-789</v>
      </c>
      <c r="I126" t="str" cm="1">
        <f t="array" aca="1" ref="I126" ca="1">INDEX(rua_cod!$B:$B,Users!V126)</f>
        <v>Caparica</v>
      </c>
      <c r="J126" t="s">
        <v>3727</v>
      </c>
      <c r="K126" t="s">
        <v>225</v>
      </c>
      <c r="L126" t="s">
        <v>265</v>
      </c>
      <c r="M126" t="str">
        <f t="shared" ca="1" si="11"/>
        <v>40984772</v>
      </c>
      <c r="N126" t="str">
        <f t="shared" ca="1" si="12"/>
        <v>748757111</v>
      </c>
      <c r="O126" t="str">
        <f t="shared" ca="1" si="12"/>
        <v>540369731</v>
      </c>
      <c r="P126" t="str" cm="1">
        <f t="array" aca="1" ref="P126" ca="1">9 &amp; INDEX($AF$3:$AF$6,W126)&amp; TEXT(RANDBETWEEN(0,9999999),"0000000")</f>
        <v>965513814</v>
      </c>
      <c r="Q126" t="str" cm="1">
        <f t="array" aca="1" ref="Q126" ca="1">LOWER(B126) &amp; INDEX($AF$9:$AF$11,X126)</f>
        <v>duaica2829@gmail.com</v>
      </c>
      <c r="R126" t="str">
        <f t="shared" ca="1" si="13"/>
        <v>duaica2829.jpg</v>
      </c>
      <c r="T126" s="4"/>
      <c r="V126">
        <f ca="1">RANDBETWEEN(2,COUNTA(rua_cod!A:A))</f>
        <v>19</v>
      </c>
      <c r="W126">
        <f t="shared" ca="1" si="14"/>
        <v>4</v>
      </c>
      <c r="X126">
        <f t="shared" ca="1" si="15"/>
        <v>2</v>
      </c>
      <c r="Y126">
        <f t="shared" ca="1" si="16"/>
        <v>1954</v>
      </c>
      <c r="Z126">
        <f t="shared" ca="1" si="17"/>
        <v>7</v>
      </c>
      <c r="AA126">
        <f t="shared" ca="1" si="18"/>
        <v>3</v>
      </c>
      <c r="AB126">
        <f t="shared" ca="1" si="19"/>
        <v>66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leoboa1400</v>
      </c>
      <c r="C127" t="str">
        <f t="shared" ca="1" si="10"/>
        <v>pswleoboa1400</v>
      </c>
      <c r="D127" t="str">
        <f ca="1">Nomes!T128</f>
        <v>Leonor Diana Paiva Anjos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Rua General Morais Sarmento</v>
      </c>
      <c r="H127" t="str" cm="1">
        <f t="array" aca="1" ref="H127" ca="1">INDEX(rua_cod!$A:$A,Users!V127) &amp; "-" &amp; TEXT(RANDBETWEEN(0,999),"000")</f>
        <v>1400-282</v>
      </c>
      <c r="I127" t="str" cm="1">
        <f t="array" aca="1" ref="I127" ca="1">INDEX(rua_cod!$B:$B,Users!V127)</f>
        <v>Lisboa</v>
      </c>
      <c r="J127" t="s">
        <v>3727</v>
      </c>
      <c r="K127" t="s">
        <v>225</v>
      </c>
      <c r="L127" t="s">
        <v>265</v>
      </c>
      <c r="M127" t="str">
        <f t="shared" ca="1" si="11"/>
        <v>23858015</v>
      </c>
      <c r="N127" t="str">
        <f t="shared" ca="1" si="12"/>
        <v>170924631</v>
      </c>
      <c r="O127" t="str">
        <f t="shared" ca="1" si="12"/>
        <v>764233513</v>
      </c>
      <c r="P127" t="str" cm="1">
        <f t="array" aca="1" ref="P127" ca="1">9 &amp; INDEX($AF$3:$AF$6,W127)&amp; TEXT(RANDBETWEEN(0,9999999),"0000000")</f>
        <v>920180250</v>
      </c>
      <c r="Q127" t="str" cm="1">
        <f t="array" aca="1" ref="Q127" ca="1">LOWER(B127) &amp; INDEX($AF$9:$AF$11,X127)</f>
        <v>leoboa1400@outlook.com</v>
      </c>
      <c r="R127" t="str">
        <f t="shared" ca="1" si="13"/>
        <v>leoboa1400.jpg</v>
      </c>
      <c r="T127" s="4"/>
      <c r="V127">
        <f ca="1">RANDBETWEEN(2,COUNTA(rua_cod!A:A))</f>
        <v>57</v>
      </c>
      <c r="W127">
        <f t="shared" ca="1" si="14"/>
        <v>2</v>
      </c>
      <c r="X127">
        <f t="shared" ca="1" si="15"/>
        <v>1</v>
      </c>
      <c r="Y127">
        <f t="shared" ca="1" si="16"/>
        <v>1971</v>
      </c>
      <c r="Z127">
        <f t="shared" ca="1" si="17"/>
        <v>4</v>
      </c>
      <c r="AA127">
        <f t="shared" ca="1" si="18"/>
        <v>21</v>
      </c>
      <c r="AB127">
        <f t="shared" ca="1" si="19"/>
        <v>49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sanbra3000</v>
      </c>
      <c r="C128" t="str">
        <f t="shared" ca="1" si="10"/>
        <v>pswsanbra3000</v>
      </c>
      <c r="D128" t="str">
        <f ca="1">Nomes!T129</f>
        <v>Santiago Laura Domingues Reis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Júlio César Machado</v>
      </c>
      <c r="H128" t="str" cm="1">
        <f t="array" aca="1" ref="H128" ca="1">INDEX(rua_cod!$A:$A,Users!V128) &amp; "-" &amp; TEXT(RANDBETWEEN(0,999),"000")</f>
        <v>3000-068</v>
      </c>
      <c r="I128" t="str" cm="1">
        <f t="array" aca="1" ref="I128" ca="1">INDEX(rua_cod!$B:$B,Users!V128)</f>
        <v>Coimbra</v>
      </c>
      <c r="J128" t="s">
        <v>3727</v>
      </c>
      <c r="K128" t="s">
        <v>225</v>
      </c>
      <c r="L128" t="s">
        <v>265</v>
      </c>
      <c r="M128" t="str">
        <f t="shared" ca="1" si="11"/>
        <v>73500667</v>
      </c>
      <c r="N128" t="str">
        <f t="shared" ca="1" si="12"/>
        <v>526195171</v>
      </c>
      <c r="O128" t="str">
        <f t="shared" ca="1" si="12"/>
        <v>841807134</v>
      </c>
      <c r="P128" t="str" cm="1">
        <f t="array" aca="1" ref="P128" ca="1">9 &amp; INDEX($AF$3:$AF$6,W128)&amp; TEXT(RANDBETWEEN(0,9999999),"0000000")</f>
        <v>965961245</v>
      </c>
      <c r="Q128" t="str" cm="1">
        <f t="array" aca="1" ref="Q128" ca="1">LOWER(B128) &amp; INDEX($AF$9:$AF$11,X128)</f>
        <v>sanbra3000@outlook.com</v>
      </c>
      <c r="R128" t="str">
        <f t="shared" ca="1" si="13"/>
        <v>sanbra3000.jpg</v>
      </c>
      <c r="T128" s="4"/>
      <c r="V128">
        <f ca="1">RANDBETWEEN(2,COUNTA(rua_cod!A:A))</f>
        <v>26</v>
      </c>
      <c r="W128">
        <f t="shared" ca="1" si="14"/>
        <v>4</v>
      </c>
      <c r="X128">
        <f t="shared" ca="1" si="15"/>
        <v>1</v>
      </c>
      <c r="Y128">
        <f t="shared" ca="1" si="16"/>
        <v>1987</v>
      </c>
      <c r="Z128">
        <f t="shared" ca="1" si="17"/>
        <v>8</v>
      </c>
      <c r="AA128">
        <f t="shared" ca="1" si="18"/>
        <v>22</v>
      </c>
      <c r="AB128">
        <f t="shared" ca="1" si="19"/>
        <v>33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sanboa1750</v>
      </c>
      <c r="C129" t="str">
        <f t="shared" ca="1" si="10"/>
        <v>pswsanboa1750</v>
      </c>
      <c r="D129" t="str">
        <f ca="1">Nomes!T130</f>
        <v>Santiago Matilde Miranda Leite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Rua de São Julião</v>
      </c>
      <c r="H129" t="str" cm="1">
        <f t="array" aca="1" ref="H129" ca="1">INDEX(rua_cod!$A:$A,Users!V129) &amp; "-" &amp; TEXT(RANDBETWEEN(0,999),"000")</f>
        <v>1750-185</v>
      </c>
      <c r="I129" t="str" cm="1">
        <f t="array" aca="1" ref="I129" ca="1">INDEX(rua_cod!$B:$B,Users!V129)</f>
        <v>Lisboa</v>
      </c>
      <c r="J129" t="s">
        <v>3727</v>
      </c>
      <c r="K129" t="s">
        <v>225</v>
      </c>
      <c r="L129" t="s">
        <v>265</v>
      </c>
      <c r="M129" t="str">
        <f t="shared" ca="1" si="11"/>
        <v>80783752</v>
      </c>
      <c r="N129" t="str">
        <f t="shared" ca="1" si="12"/>
        <v>750531728</v>
      </c>
      <c r="O129" t="str">
        <f t="shared" ca="1" si="12"/>
        <v>587599319</v>
      </c>
      <c r="P129" t="str" cm="1">
        <f t="array" aca="1" ref="P129" ca="1">9 &amp; INDEX($AF$3:$AF$6,W129)&amp; TEXT(RANDBETWEEN(0,9999999),"0000000")</f>
        <v>918692879</v>
      </c>
      <c r="Q129" t="str" cm="1">
        <f t="array" aca="1" ref="Q129" ca="1">LOWER(B129) &amp; INDEX($AF$9:$AF$11,X129)</f>
        <v>sanboa1750@gmail.com</v>
      </c>
      <c r="R129" t="str">
        <f t="shared" ca="1" si="13"/>
        <v>sanboa1750.jpg</v>
      </c>
      <c r="T129" s="4"/>
      <c r="V129">
        <f ca="1">RANDBETWEEN(2,COUNTA(rua_cod!A:A))</f>
        <v>49</v>
      </c>
      <c r="W129">
        <f t="shared" ca="1" si="14"/>
        <v>1</v>
      </c>
      <c r="X129">
        <f t="shared" ca="1" si="15"/>
        <v>2</v>
      </c>
      <c r="Y129">
        <f t="shared" ca="1" si="16"/>
        <v>1973</v>
      </c>
      <c r="Z129">
        <f t="shared" ca="1" si="17"/>
        <v>7</v>
      </c>
      <c r="AA129">
        <f t="shared" ca="1" si="18"/>
        <v>14</v>
      </c>
      <c r="AB129">
        <f t="shared" ca="1" si="19"/>
        <v>47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sarria2410</v>
      </c>
      <c r="C130" t="str">
        <f t="shared" ca="1" si="10"/>
        <v>pswsarria2410</v>
      </c>
      <c r="D130" t="str">
        <f ca="1">Nomes!T131</f>
        <v>Sara Leonor Teixeira Pinto</v>
      </c>
      <c r="E130" t="str">
        <f ca="1">Nomes!S131</f>
        <v>Feminino</v>
      </c>
      <c r="F130" s="2">
        <v>37343</v>
      </c>
      <c r="G130" t="str" cm="1">
        <f t="array" aca="1" ref="G130" ca="1">INDEX(rua_cod!$F:$F,RANDBETWEEN(2,COUNTA(rua_cod!F:F)))</f>
        <v>Rua da Prata</v>
      </c>
      <c r="H130" t="str" cm="1">
        <f t="array" aca="1" ref="H130" ca="1">INDEX(rua_cod!$A:$A,Users!V130) &amp; "-" &amp; TEXT(RANDBETWEEN(0,999),"000")</f>
        <v>2410-769</v>
      </c>
      <c r="I130" t="str" cm="1">
        <f t="array" aca="1" ref="I130" ca="1">INDEX(rua_cod!$B:$B,Users!V130)</f>
        <v>Leiria</v>
      </c>
      <c r="J130" t="s">
        <v>3727</v>
      </c>
      <c r="K130" t="s">
        <v>225</v>
      </c>
      <c r="L130" t="s">
        <v>265</v>
      </c>
      <c r="M130" t="str">
        <f t="shared" ca="1" si="11"/>
        <v>20145018</v>
      </c>
      <c r="N130" t="str">
        <f t="shared" ca="1" si="12"/>
        <v>157964752</v>
      </c>
      <c r="O130" t="str">
        <f t="shared" ca="1" si="12"/>
        <v>741629633</v>
      </c>
      <c r="P130" t="str" cm="1">
        <f t="array" aca="1" ref="P130" ca="1">9 &amp; INDEX($AF$3:$AF$6,W130)&amp; TEXT(RANDBETWEEN(0,9999999),"0000000")</f>
        <v>928671669</v>
      </c>
      <c r="Q130" t="str" cm="1">
        <f t="array" aca="1" ref="Q130" ca="1">LOWER(B130) &amp; INDEX($AF$9:$AF$11,X130)</f>
        <v>sarria2410@outlook.com</v>
      </c>
      <c r="R130" t="str">
        <f t="shared" ca="1" si="13"/>
        <v>sarria2410.jpg</v>
      </c>
      <c r="T130" s="4"/>
      <c r="V130">
        <f ca="1">RANDBETWEEN(2,COUNTA(rua_cod!A:A))</f>
        <v>34</v>
      </c>
      <c r="W130">
        <f t="shared" ca="1" si="14"/>
        <v>2</v>
      </c>
      <c r="X130">
        <f t="shared" ca="1" si="15"/>
        <v>1</v>
      </c>
      <c r="Y130">
        <f t="shared" ca="1" si="16"/>
        <v>1988</v>
      </c>
      <c r="Z130">
        <f t="shared" ca="1" si="17"/>
        <v>10</v>
      </c>
      <c r="AA130">
        <f t="shared" ca="1" si="18"/>
        <v>26</v>
      </c>
      <c r="AB130">
        <f t="shared" ca="1" si="19"/>
        <v>32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joaada2804</v>
      </c>
      <c r="C131" t="str">
        <f t="shared" ref="C131:C194" ca="1" si="20">"psw" &amp; B131</f>
        <v>pswjoaada2804</v>
      </c>
      <c r="D131" t="str">
        <f ca="1">Nomes!T132</f>
        <v>Joaquim Martim Brito Lopes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Rua dos Fanqueiros</v>
      </c>
      <c r="H131" t="str" cm="1">
        <f t="array" aca="1" ref="H131" ca="1">INDEX(rua_cod!$A:$A,Users!V131) &amp; "-" &amp; TEXT(RANDBETWEEN(0,999),"000")</f>
        <v>2804-863</v>
      </c>
      <c r="I131" t="str" cm="1">
        <f t="array" aca="1" ref="I131" ca="1">INDEX(rua_cod!$B:$B,Users!V131)</f>
        <v>Almada</v>
      </c>
      <c r="J131" t="s">
        <v>3727</v>
      </c>
      <c r="K131" t="s">
        <v>225</v>
      </c>
      <c r="L131" t="s">
        <v>265</v>
      </c>
      <c r="M131" t="str">
        <f t="shared" ref="M131:M194" ca="1" si="21">TEXT(RANDBETWEEN(10000000,99999999),"00000000")</f>
        <v>39920826</v>
      </c>
      <c r="N131" t="str">
        <f t="shared" ref="N131:O194" ca="1" si="22">TEXT(RANDBETWEEN(100000000,999999999),"000000000")</f>
        <v>812377657</v>
      </c>
      <c r="O131" t="str">
        <f t="shared" ca="1" si="22"/>
        <v>568670676</v>
      </c>
      <c r="P131" t="str" cm="1">
        <f t="array" aca="1" ref="P131" ca="1">9 &amp; INDEX($AF$3:$AF$6,W131)&amp; TEXT(RANDBETWEEN(0,9999999),"0000000")</f>
        <v>928383991</v>
      </c>
      <c r="Q131" t="str" cm="1">
        <f t="array" aca="1" ref="Q131" ca="1">LOWER(B131) &amp; INDEX($AF$9:$AF$11,X131)</f>
        <v>joaada2804@gmail.com</v>
      </c>
      <c r="R131" t="str">
        <f t="shared" ref="R131:R194" ca="1" si="23">B131 &amp; ".jpg"</f>
        <v>joaada2804.jpg</v>
      </c>
      <c r="T131" s="4"/>
      <c r="V131">
        <f ca="1">RANDBETWEEN(2,COUNTA(rua_cod!A:A))</f>
        <v>7</v>
      </c>
      <c r="W131">
        <f t="shared" ref="W131:W194" ca="1" si="24">RANDBETWEEN(1,4)</f>
        <v>2</v>
      </c>
      <c r="X131">
        <f t="shared" ref="X131:X194" ca="1" si="25">RANDBETWEEN(1,3)</f>
        <v>2</v>
      </c>
      <c r="Y131">
        <f t="shared" ref="Y131:Y194" ca="1" si="26">INT(NORMINV(RAND(),1976,22))</f>
        <v>2008</v>
      </c>
      <c r="Z131">
        <f t="shared" ref="Z131:Z194" ca="1" si="27">RANDBETWEEN(1,12)</f>
        <v>3</v>
      </c>
      <c r="AA131">
        <f t="shared" ref="AA131:AA194" ca="1" si="28">RANDBETWEEN(1,31)</f>
        <v>2</v>
      </c>
      <c r="AB131">
        <f t="shared" ref="AB131:AB194" ca="1" si="29">2020-Y131</f>
        <v>12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joaboa1100</v>
      </c>
      <c r="C132" t="str">
        <f t="shared" ca="1" si="20"/>
        <v>pswjoaboa1100</v>
      </c>
      <c r="D132" t="str">
        <f ca="1">Nomes!T133</f>
        <v>Joana Daniela Machado Garcia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Estrada das Laranjeiras</v>
      </c>
      <c r="H132" t="str" cm="1">
        <f t="array" aca="1" ref="H132" ca="1">INDEX(rua_cod!$A:$A,Users!V132) &amp; "-" &amp; TEXT(RANDBETWEEN(0,999),"000")</f>
        <v>1100-212</v>
      </c>
      <c r="I132" t="str" cm="1">
        <f t="array" aca="1" ref="I132" ca="1">INDEX(rua_cod!$B:$B,Users!V132)</f>
        <v>Lisboa</v>
      </c>
      <c r="J132" t="s">
        <v>3727</v>
      </c>
      <c r="K132" t="s">
        <v>225</v>
      </c>
      <c r="L132" t="s">
        <v>265</v>
      </c>
      <c r="M132" t="str">
        <f t="shared" ca="1" si="21"/>
        <v>51855543</v>
      </c>
      <c r="N132" t="str">
        <f t="shared" ca="1" si="22"/>
        <v>739185055</v>
      </c>
      <c r="O132" t="str">
        <f t="shared" ca="1" si="22"/>
        <v>464419252</v>
      </c>
      <c r="P132" t="str" cm="1">
        <f t="array" aca="1" ref="P132" ca="1">9 &amp; INDEX($AF$3:$AF$6,W132)&amp; TEXT(RANDBETWEEN(0,9999999),"0000000")</f>
        <v>932526783</v>
      </c>
      <c r="Q132" t="str" cm="1">
        <f t="array" aca="1" ref="Q132" ca="1">LOWER(B132) &amp; INDEX($AF$9:$AF$11,X132)</f>
        <v>joaboa1100@outlook.com</v>
      </c>
      <c r="R132" t="str">
        <f t="shared" ca="1" si="23"/>
        <v>joaboa1100.jpg</v>
      </c>
      <c r="T132" s="4"/>
      <c r="V132">
        <f ca="1">RANDBETWEEN(2,COUNTA(rua_cod!A:A))</f>
        <v>46</v>
      </c>
      <c r="W132">
        <f t="shared" ca="1" si="24"/>
        <v>3</v>
      </c>
      <c r="X132">
        <f t="shared" ca="1" si="25"/>
        <v>1</v>
      </c>
      <c r="Y132">
        <f t="shared" ca="1" si="26"/>
        <v>1952</v>
      </c>
      <c r="Z132">
        <f t="shared" ca="1" si="27"/>
        <v>5</v>
      </c>
      <c r="AA132">
        <f t="shared" ca="1" si="28"/>
        <v>17</v>
      </c>
      <c r="AB132">
        <f t="shared" ca="1" si="29"/>
        <v>68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marora2650</v>
      </c>
      <c r="C133" t="str">
        <f t="shared" ca="1" si="20"/>
        <v>pswmarora2650</v>
      </c>
      <c r="D133" t="str">
        <f ca="1">Nomes!T134</f>
        <v>Mariana Gabriel Garcia Nunes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do Comércio</v>
      </c>
      <c r="H133" t="str" cm="1">
        <f t="array" aca="1" ref="H133" ca="1">INDEX(rua_cod!$A:$A,Users!V133) &amp; "-" &amp; TEXT(RANDBETWEEN(0,999),"000")</f>
        <v>2650-005</v>
      </c>
      <c r="I133" t="str" cm="1">
        <f t="array" aca="1" ref="I133" ca="1">INDEX(rua_cod!$B:$B,Users!V133)</f>
        <v>Amadora</v>
      </c>
      <c r="J133" t="s">
        <v>3727</v>
      </c>
      <c r="K133" t="s">
        <v>225</v>
      </c>
      <c r="L133" t="s">
        <v>265</v>
      </c>
      <c r="M133" t="str">
        <f t="shared" ca="1" si="21"/>
        <v>78787388</v>
      </c>
      <c r="N133" t="str">
        <f t="shared" ca="1" si="22"/>
        <v>619184362</v>
      </c>
      <c r="O133" t="str">
        <f t="shared" ca="1" si="22"/>
        <v>163697601</v>
      </c>
      <c r="P133" t="str" cm="1">
        <f t="array" aca="1" ref="P133" ca="1">9 &amp; INDEX($AF$3:$AF$6,W133)&amp; TEXT(RANDBETWEEN(0,9999999),"0000000")</f>
        <v>920185490</v>
      </c>
      <c r="Q133" t="str" cm="1">
        <f t="array" aca="1" ref="Q133" ca="1">LOWER(B133) &amp; INDEX($AF$9:$AF$11,X133)</f>
        <v>marora2650@outlook.com</v>
      </c>
      <c r="R133" t="str">
        <f t="shared" ca="1" si="23"/>
        <v>marora2650.jpg</v>
      </c>
      <c r="T133" s="4"/>
      <c r="V133">
        <f ca="1">RANDBETWEEN(2,COUNTA(rua_cod!A:A))</f>
        <v>9</v>
      </c>
      <c r="W133">
        <f t="shared" ca="1" si="24"/>
        <v>2</v>
      </c>
      <c r="X133">
        <f t="shared" ca="1" si="25"/>
        <v>1</v>
      </c>
      <c r="Y133">
        <f t="shared" ca="1" si="26"/>
        <v>1987</v>
      </c>
      <c r="Z133">
        <f t="shared" ca="1" si="27"/>
        <v>5</v>
      </c>
      <c r="AA133">
        <f t="shared" ca="1" si="28"/>
        <v>15</v>
      </c>
      <c r="AB133">
        <f t="shared" ca="1" si="29"/>
        <v>33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catluz2749</v>
      </c>
      <c r="C134" t="str">
        <f t="shared" ca="1" si="20"/>
        <v>pswcatluz2749</v>
      </c>
      <c r="D134" t="str">
        <f ca="1">Nomes!T135</f>
        <v>Catarina Ana Pereira Leal</v>
      </c>
      <c r="E134" t="str">
        <f ca="1">Nomes!S135</f>
        <v>Feminino</v>
      </c>
      <c r="F134" s="2">
        <v>43922</v>
      </c>
      <c r="G134" t="str" cm="1">
        <f t="array" aca="1" ref="G134" ca="1">INDEX(rua_cod!$F:$F,RANDBETWEEN(2,COUNTA(rua_cod!F:F)))</f>
        <v>Calçada de Carriche</v>
      </c>
      <c r="H134" t="str" cm="1">
        <f t="array" aca="1" ref="H134" ca="1">INDEX(rua_cod!$A:$A,Users!V134) &amp; "-" &amp; TEXT(RANDBETWEEN(0,999),"000")</f>
        <v>2749-384</v>
      </c>
      <c r="I134" t="str" cm="1">
        <f t="array" aca="1" ref="I134" ca="1">INDEX(rua_cod!$B:$B,Users!V134)</f>
        <v>Queluz</v>
      </c>
      <c r="J134" t="s">
        <v>3727</v>
      </c>
      <c r="K134" t="s">
        <v>225</v>
      </c>
      <c r="L134" t="s">
        <v>265</v>
      </c>
      <c r="M134" t="str">
        <f t="shared" ca="1" si="21"/>
        <v>66146166</v>
      </c>
      <c r="N134" t="str">
        <f t="shared" ca="1" si="22"/>
        <v>535844302</v>
      </c>
      <c r="O134" t="str">
        <f t="shared" ca="1" si="22"/>
        <v>576242711</v>
      </c>
      <c r="P134" t="str" cm="1">
        <f t="array" aca="1" ref="P134" ca="1">9 &amp; INDEX($AF$3:$AF$6,W134)&amp; TEXT(RANDBETWEEN(0,9999999),"0000000")</f>
        <v>936467845</v>
      </c>
      <c r="Q134" t="str" cm="1">
        <f t="array" aca="1" ref="Q134" ca="1">LOWER(B134) &amp; INDEX($AF$9:$AF$11,X134)</f>
        <v>catluz2749@outlook.com</v>
      </c>
      <c r="R134" t="str">
        <f t="shared" ca="1" si="23"/>
        <v>catluz2749.jpg</v>
      </c>
      <c r="T134" s="4"/>
      <c r="V134">
        <f ca="1">RANDBETWEEN(2,COUNTA(rua_cod!A:A))</f>
        <v>91</v>
      </c>
      <c r="W134">
        <f t="shared" ca="1" si="24"/>
        <v>3</v>
      </c>
      <c r="X134">
        <f t="shared" ca="1" si="25"/>
        <v>1</v>
      </c>
      <c r="Y134">
        <f t="shared" ca="1" si="26"/>
        <v>1988</v>
      </c>
      <c r="Z134">
        <f t="shared" ca="1" si="27"/>
        <v>5</v>
      </c>
      <c r="AA134">
        <f t="shared" ca="1" si="28"/>
        <v>19</v>
      </c>
      <c r="AB134">
        <f t="shared" ca="1" si="29"/>
        <v>32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sanora2704</v>
      </c>
      <c r="C135" t="str">
        <f t="shared" ca="1" si="20"/>
        <v>pswsanora2704</v>
      </c>
      <c r="D135" t="str">
        <f ca="1">Nomes!T136</f>
        <v>Santiago Pedro Macedo Santos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Rua da Betesga</v>
      </c>
      <c r="H135" t="str" cm="1">
        <f t="array" aca="1" ref="H135" ca="1">INDEX(rua_cod!$A:$A,Users!V135) &amp; "-" &amp; TEXT(RANDBETWEEN(0,999),"000")</f>
        <v>2704-906</v>
      </c>
      <c r="I135" t="str" cm="1">
        <f t="array" aca="1" ref="I135" ca="1">INDEX(rua_cod!$B:$B,Users!V135)</f>
        <v>Amadora</v>
      </c>
      <c r="J135" t="s">
        <v>3727</v>
      </c>
      <c r="K135" t="s">
        <v>225</v>
      </c>
      <c r="L135" t="s">
        <v>265</v>
      </c>
      <c r="M135" t="str">
        <f t="shared" ca="1" si="21"/>
        <v>42441238</v>
      </c>
      <c r="N135" t="str">
        <f t="shared" ca="1" si="22"/>
        <v>338767994</v>
      </c>
      <c r="O135" t="str">
        <f t="shared" ca="1" si="22"/>
        <v>593748715</v>
      </c>
      <c r="P135" t="str" cm="1">
        <f t="array" aca="1" ref="P135" ca="1">9 &amp; INDEX($AF$3:$AF$6,W135)&amp; TEXT(RANDBETWEEN(0,9999999),"0000000")</f>
        <v>932071935</v>
      </c>
      <c r="Q135" t="str" cm="1">
        <f t="array" aca="1" ref="Q135" ca="1">LOWER(B135) &amp; INDEX($AF$9:$AF$11,X135)</f>
        <v>sanora2704@sapo.pt</v>
      </c>
      <c r="R135" t="str">
        <f t="shared" ca="1" si="23"/>
        <v>sanora2704.jpg</v>
      </c>
      <c r="T135" s="4"/>
      <c r="V135">
        <f ca="1">RANDBETWEEN(2,COUNTA(rua_cod!A:A))</f>
        <v>15</v>
      </c>
      <c r="W135">
        <f t="shared" ca="1" si="24"/>
        <v>3</v>
      </c>
      <c r="X135">
        <f t="shared" ca="1" si="25"/>
        <v>3</v>
      </c>
      <c r="Y135">
        <f t="shared" ca="1" si="26"/>
        <v>1994</v>
      </c>
      <c r="Z135">
        <f t="shared" ca="1" si="27"/>
        <v>4</v>
      </c>
      <c r="AA135">
        <f t="shared" ca="1" si="28"/>
        <v>19</v>
      </c>
      <c r="AB135">
        <f t="shared" ca="1" si="29"/>
        <v>26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mignto2330</v>
      </c>
      <c r="C136" t="str">
        <f t="shared" ca="1" si="20"/>
        <v>pswmignto2330</v>
      </c>
      <c r="D136" t="str">
        <f ca="1">Nomes!T137</f>
        <v>Miguel Joaquim Garcia Amorim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do Sol a Santana</v>
      </c>
      <c r="H136" t="str" cm="1">
        <f t="array" aca="1" ref="H136" ca="1">INDEX(rua_cod!$A:$A,Users!V136) &amp; "-" &amp; TEXT(RANDBETWEEN(0,999),"000")</f>
        <v>2330-763</v>
      </c>
      <c r="I136" t="str" cm="1">
        <f t="array" aca="1" ref="I136" ca="1">INDEX(rua_cod!$B:$B,Users!V136)</f>
        <v>Entroncamento</v>
      </c>
      <c r="J136" t="s">
        <v>3727</v>
      </c>
      <c r="K136" t="s">
        <v>225</v>
      </c>
      <c r="L136" t="s">
        <v>265</v>
      </c>
      <c r="M136" t="str">
        <f t="shared" ca="1" si="21"/>
        <v>90625893</v>
      </c>
      <c r="N136" t="str">
        <f t="shared" ca="1" si="22"/>
        <v>906205778</v>
      </c>
      <c r="O136" t="str">
        <f t="shared" ca="1" si="22"/>
        <v>253769081</v>
      </c>
      <c r="P136" t="str" cm="1">
        <f t="array" aca="1" ref="P136" ca="1">9 &amp; INDEX($AF$3:$AF$6,W136)&amp; TEXT(RANDBETWEEN(0,9999999),"0000000")</f>
        <v>933734796</v>
      </c>
      <c r="Q136" t="str" cm="1">
        <f t="array" aca="1" ref="Q136" ca="1">LOWER(B136) &amp; INDEX($AF$9:$AF$11,X136)</f>
        <v>mignto2330@gmail.com</v>
      </c>
      <c r="R136" t="str">
        <f t="shared" ca="1" si="23"/>
        <v>mignto2330.jpg</v>
      </c>
      <c r="T136" s="4"/>
      <c r="V136">
        <f ca="1">RANDBETWEEN(2,COUNTA(rua_cod!A:A))</f>
        <v>29</v>
      </c>
      <c r="W136">
        <f t="shared" ca="1" si="24"/>
        <v>3</v>
      </c>
      <c r="X136">
        <f t="shared" ca="1" si="25"/>
        <v>2</v>
      </c>
      <c r="Y136">
        <f t="shared" ca="1" si="26"/>
        <v>1991</v>
      </c>
      <c r="Z136">
        <f t="shared" ca="1" si="27"/>
        <v>2</v>
      </c>
      <c r="AA136">
        <f t="shared" ca="1" si="28"/>
        <v>16</v>
      </c>
      <c r="AB136">
        <f t="shared" ca="1" si="29"/>
        <v>29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luiboa1649</v>
      </c>
      <c r="C137" t="str">
        <f t="shared" ca="1" si="20"/>
        <v>pswluiboa1649</v>
      </c>
      <c r="D137" t="str">
        <f ca="1">Nomes!T138</f>
        <v>Luís Francisca Morais Esteves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da Madalena</v>
      </c>
      <c r="H137" t="str" cm="1">
        <f t="array" aca="1" ref="H137" ca="1">INDEX(rua_cod!$A:$A,Users!V137) &amp; "-" &amp; TEXT(RANDBETWEEN(0,999),"000")</f>
        <v>1649-222</v>
      </c>
      <c r="I137" t="str" cm="1">
        <f t="array" aca="1" ref="I137" ca="1">INDEX(rua_cod!$B:$B,Users!V137)</f>
        <v>Lisboa</v>
      </c>
      <c r="J137" t="s">
        <v>3727</v>
      </c>
      <c r="K137" t="s">
        <v>225</v>
      </c>
      <c r="L137" t="s">
        <v>265</v>
      </c>
      <c r="M137" t="str">
        <f t="shared" ca="1" si="21"/>
        <v>23779701</v>
      </c>
      <c r="N137" t="str">
        <f t="shared" ca="1" si="22"/>
        <v>512181850</v>
      </c>
      <c r="O137" t="str">
        <f t="shared" ca="1" si="22"/>
        <v>211499257</v>
      </c>
      <c r="P137" t="str" cm="1">
        <f t="array" aca="1" ref="P137" ca="1">9 &amp; INDEX($AF$3:$AF$6,W137)&amp; TEXT(RANDBETWEEN(0,9999999),"0000000")</f>
        <v>930817407</v>
      </c>
      <c r="Q137" t="str" cm="1">
        <f t="array" aca="1" ref="Q137" ca="1">LOWER(B137) &amp; INDEX($AF$9:$AF$11,X137)</f>
        <v>luiboa1649@outlook.com</v>
      </c>
      <c r="R137" t="str">
        <f t="shared" ca="1" si="23"/>
        <v>luiboa1649.jpg</v>
      </c>
      <c r="T137" s="4"/>
      <c r="V137">
        <f ca="1">RANDBETWEEN(2,COUNTA(rua_cod!A:A))</f>
        <v>68</v>
      </c>
      <c r="W137">
        <f t="shared" ca="1" si="24"/>
        <v>3</v>
      </c>
      <c r="X137">
        <f t="shared" ca="1" si="25"/>
        <v>1</v>
      </c>
      <c r="Y137">
        <f t="shared" ca="1" si="26"/>
        <v>1945</v>
      </c>
      <c r="Z137">
        <f t="shared" ca="1" si="27"/>
        <v>5</v>
      </c>
      <c r="AA137">
        <f t="shared" ca="1" si="28"/>
        <v>25</v>
      </c>
      <c r="AB137">
        <f t="shared" ca="1" si="29"/>
        <v>75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anaora2610</v>
      </c>
      <c r="C138" t="str">
        <f t="shared" ca="1" si="20"/>
        <v>pswanaora2610</v>
      </c>
      <c r="D138" t="str">
        <f ca="1">Nomes!T139</f>
        <v>Ana Tomás Anjos Abreu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Rua Augusta</v>
      </c>
      <c r="H138" t="str" cm="1">
        <f t="array" aca="1" ref="H138" ca="1">INDEX(rua_cod!$A:$A,Users!V138) &amp; "-" &amp; TEXT(RANDBETWEEN(0,999),"000")</f>
        <v>2610-482</v>
      </c>
      <c r="I138" t="str" cm="1">
        <f t="array" aca="1" ref="I138" ca="1">INDEX(rua_cod!$B:$B,Users!V138)</f>
        <v>Amadora</v>
      </c>
      <c r="J138" t="s">
        <v>3727</v>
      </c>
      <c r="K138" t="s">
        <v>225</v>
      </c>
      <c r="L138" t="s">
        <v>265</v>
      </c>
      <c r="M138" t="str">
        <f t="shared" ca="1" si="21"/>
        <v>60485763</v>
      </c>
      <c r="N138" t="str">
        <f t="shared" ca="1" si="22"/>
        <v>551405641</v>
      </c>
      <c r="O138" t="str">
        <f t="shared" ca="1" si="22"/>
        <v>324660278</v>
      </c>
      <c r="P138" t="str" cm="1">
        <f t="array" aca="1" ref="P138" ca="1">9 &amp; INDEX($AF$3:$AF$6,W138)&amp; TEXT(RANDBETWEEN(0,9999999),"0000000")</f>
        <v>935574602</v>
      </c>
      <c r="Q138" t="str" cm="1">
        <f t="array" aca="1" ref="Q138" ca="1">LOWER(B138) &amp; INDEX($AF$9:$AF$11,X138)</f>
        <v>anaora2610@gmail.com</v>
      </c>
      <c r="R138" t="str">
        <f t="shared" ca="1" si="23"/>
        <v>anaora2610.jpg</v>
      </c>
      <c r="T138" s="4"/>
      <c r="V138">
        <f ca="1">RANDBETWEEN(2,COUNTA(rua_cod!A:A))</f>
        <v>12</v>
      </c>
      <c r="W138">
        <f t="shared" ca="1" si="24"/>
        <v>3</v>
      </c>
      <c r="X138">
        <f t="shared" ca="1" si="25"/>
        <v>2</v>
      </c>
      <c r="Y138">
        <f t="shared" ca="1" si="26"/>
        <v>1966</v>
      </c>
      <c r="Z138">
        <f t="shared" ca="1" si="27"/>
        <v>5</v>
      </c>
      <c r="AA138">
        <f t="shared" ca="1" si="28"/>
        <v>25</v>
      </c>
      <c r="AB138">
        <f t="shared" ca="1" si="29"/>
        <v>54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josres2670</v>
      </c>
      <c r="C139" t="str">
        <f t="shared" ca="1" si="20"/>
        <v>pswjosres2670</v>
      </c>
      <c r="D139" t="str">
        <f ca="1">Nomes!T140</f>
        <v>José Diogo Machado Abreu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da Betesga</v>
      </c>
      <c r="H139" t="str" cm="1">
        <f t="array" aca="1" ref="H139" ca="1">INDEX(rua_cod!$A:$A,Users!V139) &amp; "-" &amp; TEXT(RANDBETWEEN(0,999),"000")</f>
        <v>2670-220</v>
      </c>
      <c r="I139" t="str" cm="1">
        <f t="array" aca="1" ref="I139" ca="1">INDEX(rua_cod!$B:$B,Users!V139)</f>
        <v>Loures</v>
      </c>
      <c r="J139" t="s">
        <v>3727</v>
      </c>
      <c r="K139" t="s">
        <v>225</v>
      </c>
      <c r="L139" t="s">
        <v>265</v>
      </c>
      <c r="M139" t="str">
        <f t="shared" ca="1" si="21"/>
        <v>34210007</v>
      </c>
      <c r="N139" t="str">
        <f t="shared" ca="1" si="22"/>
        <v>118532615</v>
      </c>
      <c r="O139" t="str">
        <f t="shared" ca="1" si="22"/>
        <v>690002326</v>
      </c>
      <c r="P139" t="str" cm="1">
        <f t="array" aca="1" ref="P139" ca="1">9 &amp; INDEX($AF$3:$AF$6,W139)&amp; TEXT(RANDBETWEEN(0,9999999),"0000000")</f>
        <v>922019968</v>
      </c>
      <c r="Q139" t="str" cm="1">
        <f t="array" aca="1" ref="Q139" ca="1">LOWER(B139) &amp; INDEX($AF$9:$AF$11,X139)</f>
        <v>josres2670@gmail.com</v>
      </c>
      <c r="R139" t="str">
        <f t="shared" ca="1" si="23"/>
        <v>josres2670.jpg</v>
      </c>
      <c r="T139" s="4"/>
      <c r="V139">
        <f ca="1">RANDBETWEEN(2,COUNTA(rua_cod!A:A))</f>
        <v>83</v>
      </c>
      <c r="W139">
        <f t="shared" ca="1" si="24"/>
        <v>2</v>
      </c>
      <c r="X139">
        <f t="shared" ca="1" si="25"/>
        <v>2</v>
      </c>
      <c r="Y139">
        <f t="shared" ca="1" si="26"/>
        <v>1986</v>
      </c>
      <c r="Z139">
        <f t="shared" ca="1" si="27"/>
        <v>11</v>
      </c>
      <c r="AA139">
        <f t="shared" ca="1" si="28"/>
        <v>26</v>
      </c>
      <c r="AB139">
        <f t="shared" ca="1" si="29"/>
        <v>34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lurora2724</v>
      </c>
      <c r="C140" t="str">
        <f t="shared" ca="1" si="20"/>
        <v>pswlurora2724</v>
      </c>
      <c r="D140" t="str">
        <f ca="1">Nomes!T141</f>
        <v>Lurdes Tiago Moreira Lima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Avenida Ressano Garcia</v>
      </c>
      <c r="H140" t="str" cm="1">
        <f t="array" aca="1" ref="H140" ca="1">INDEX(rua_cod!$A:$A,Users!V140) &amp; "-" &amp; TEXT(RANDBETWEEN(0,999),"000")</f>
        <v>2724-053</v>
      </c>
      <c r="I140" t="str" cm="1">
        <f t="array" aca="1" ref="I140" ca="1">INDEX(rua_cod!$B:$B,Users!V140)</f>
        <v>Amadora</v>
      </c>
      <c r="J140" t="s">
        <v>3727</v>
      </c>
      <c r="K140" t="s">
        <v>225</v>
      </c>
      <c r="L140" t="s">
        <v>265</v>
      </c>
      <c r="M140" t="str">
        <f t="shared" ca="1" si="21"/>
        <v>59517828</v>
      </c>
      <c r="N140" t="str">
        <f t="shared" ca="1" si="22"/>
        <v>232374623</v>
      </c>
      <c r="O140" t="str">
        <f t="shared" ca="1" si="22"/>
        <v>453325864</v>
      </c>
      <c r="P140" t="str" cm="1">
        <f t="array" aca="1" ref="P140" ca="1">9 &amp; INDEX($AF$3:$AF$6,W140)&amp; TEXT(RANDBETWEEN(0,9999999),"0000000")</f>
        <v>962208832</v>
      </c>
      <c r="Q140" t="str" cm="1">
        <f t="array" aca="1" ref="Q140" ca="1">LOWER(B140) &amp; INDEX($AF$9:$AF$11,X140)</f>
        <v>lurora2724@gmail.com</v>
      </c>
      <c r="R140" t="str">
        <f t="shared" ca="1" si="23"/>
        <v>lurora2724.jpg</v>
      </c>
      <c r="T140" s="4"/>
      <c r="V140">
        <f ca="1">RANDBETWEEN(2,COUNTA(rua_cod!A:A))</f>
        <v>13</v>
      </c>
      <c r="W140">
        <f t="shared" ca="1" si="24"/>
        <v>4</v>
      </c>
      <c r="X140">
        <f t="shared" ca="1" si="25"/>
        <v>2</v>
      </c>
      <c r="Y140">
        <f t="shared" ca="1" si="26"/>
        <v>1951</v>
      </c>
      <c r="Z140">
        <f t="shared" ca="1" si="27"/>
        <v>11</v>
      </c>
      <c r="AA140">
        <f t="shared" ca="1" si="28"/>
        <v>26</v>
      </c>
      <c r="AB140">
        <f t="shared" ca="1" si="29"/>
        <v>69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duaora2654</v>
      </c>
      <c r="C141" t="str">
        <f t="shared" ca="1" si="20"/>
        <v>pswduaora2654</v>
      </c>
      <c r="D141" t="str">
        <f ca="1">Nomes!T142</f>
        <v>Duarte Rodrigo Andrade Gonçalves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Rua do Sacramento à Lapa</v>
      </c>
      <c r="H141" t="str" cm="1">
        <f t="array" aca="1" ref="H141" ca="1">INDEX(rua_cod!$A:$A,Users!V141) &amp; "-" &amp; TEXT(RANDBETWEEN(0,999),"000")</f>
        <v>2654-692</v>
      </c>
      <c r="I141" t="str" cm="1">
        <f t="array" aca="1" ref="I141" ca="1">INDEX(rua_cod!$B:$B,Users!V141)</f>
        <v>Amadora</v>
      </c>
      <c r="J141" t="s">
        <v>3727</v>
      </c>
      <c r="K141" t="s">
        <v>225</v>
      </c>
      <c r="L141" t="s">
        <v>265</v>
      </c>
      <c r="M141" t="str">
        <f t="shared" ca="1" si="21"/>
        <v>51297285</v>
      </c>
      <c r="N141" t="str">
        <f t="shared" ca="1" si="22"/>
        <v>170106632</v>
      </c>
      <c r="O141" t="str">
        <f t="shared" ca="1" si="22"/>
        <v>406179790</v>
      </c>
      <c r="P141" t="str" cm="1">
        <f t="array" aca="1" ref="P141" ca="1">9 &amp; INDEX($AF$3:$AF$6,W141)&amp; TEXT(RANDBETWEEN(0,9999999),"0000000")</f>
        <v>965856866</v>
      </c>
      <c r="Q141" t="str" cm="1">
        <f t="array" aca="1" ref="Q141" ca="1">LOWER(B141) &amp; INDEX($AF$9:$AF$11,X141)</f>
        <v>duaora2654@sapo.pt</v>
      </c>
      <c r="R141" t="str">
        <f t="shared" ca="1" si="23"/>
        <v>duaora2654.jpg</v>
      </c>
      <c r="T141" s="4"/>
      <c r="V141">
        <f ca="1">RANDBETWEEN(2,COUNTA(rua_cod!A:A))</f>
        <v>14</v>
      </c>
      <c r="W141">
        <f t="shared" ca="1" si="24"/>
        <v>4</v>
      </c>
      <c r="X141">
        <f t="shared" ca="1" si="25"/>
        <v>3</v>
      </c>
      <c r="Y141">
        <f t="shared" ca="1" si="26"/>
        <v>1989</v>
      </c>
      <c r="Z141">
        <f t="shared" ca="1" si="27"/>
        <v>1</v>
      </c>
      <c r="AA141">
        <f t="shared" ca="1" si="28"/>
        <v>28</v>
      </c>
      <c r="AB141">
        <f t="shared" ca="1" si="29"/>
        <v>31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bruboa1949</v>
      </c>
      <c r="C142" t="str">
        <f t="shared" ca="1" si="20"/>
        <v>pswbruboa1949</v>
      </c>
      <c r="D142" t="str">
        <f ca="1">Nomes!T143</f>
        <v>Bruno Lurdes Leite Neves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Rua do Sacramento à Lapa</v>
      </c>
      <c r="H142" t="str" cm="1">
        <f t="array" aca="1" ref="H142" ca="1">INDEX(rua_cod!$A:$A,Users!V142) &amp; "-" &amp; TEXT(RANDBETWEEN(0,999),"000")</f>
        <v>1949-024</v>
      </c>
      <c r="I142" t="str" cm="1">
        <f t="array" aca="1" ref="I142" ca="1">INDEX(rua_cod!$B:$B,Users!V142)</f>
        <v>Lisboa</v>
      </c>
      <c r="J142" t="s">
        <v>3727</v>
      </c>
      <c r="K142" t="s">
        <v>225</v>
      </c>
      <c r="L142" t="s">
        <v>265</v>
      </c>
      <c r="M142" t="str">
        <f t="shared" ca="1" si="21"/>
        <v>15760817</v>
      </c>
      <c r="N142" t="str">
        <f t="shared" ca="1" si="22"/>
        <v>253830532</v>
      </c>
      <c r="O142" t="str">
        <f t="shared" ca="1" si="22"/>
        <v>999547989</v>
      </c>
      <c r="P142" t="str" cm="1">
        <f t="array" aca="1" ref="P142" ca="1">9 &amp; INDEX($AF$3:$AF$6,W142)&amp; TEXT(RANDBETWEEN(0,9999999),"0000000")</f>
        <v>962619899</v>
      </c>
      <c r="Q142" t="str" cm="1">
        <f t="array" aca="1" ref="Q142" ca="1">LOWER(B142) &amp; INDEX($AF$9:$AF$11,X142)</f>
        <v>bruboa1949@gmail.com</v>
      </c>
      <c r="R142" t="str">
        <f t="shared" ca="1" si="23"/>
        <v>bruboa1949.jpg</v>
      </c>
      <c r="T142" s="4"/>
      <c r="V142">
        <f ca="1">RANDBETWEEN(2,COUNTA(rua_cod!A:A))</f>
        <v>45</v>
      </c>
      <c r="W142">
        <f t="shared" ca="1" si="24"/>
        <v>4</v>
      </c>
      <c r="X142">
        <f t="shared" ca="1" si="25"/>
        <v>2</v>
      </c>
      <c r="Y142">
        <f t="shared" ca="1" si="26"/>
        <v>2000</v>
      </c>
      <c r="Z142">
        <f t="shared" ca="1" si="27"/>
        <v>12</v>
      </c>
      <c r="AA142">
        <f t="shared" ca="1" si="28"/>
        <v>24</v>
      </c>
      <c r="AB142">
        <f t="shared" ca="1" si="29"/>
        <v>20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andica2825</v>
      </c>
      <c r="C143" t="str">
        <f t="shared" ca="1" si="20"/>
        <v>pswandica2825</v>
      </c>
      <c r="D143" t="str">
        <f ca="1">Nomes!T144</f>
        <v>André Duarte Borges Batista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Estrada das Laranjeiras</v>
      </c>
      <c r="H143" t="str" cm="1">
        <f t="array" aca="1" ref="H143" ca="1">INDEX(rua_cod!$A:$A,Users!V143) &amp; "-" &amp; TEXT(RANDBETWEEN(0,999),"000")</f>
        <v>2825-746</v>
      </c>
      <c r="I143" t="str" cm="1">
        <f t="array" aca="1" ref="I143" ca="1">INDEX(rua_cod!$B:$B,Users!V143)</f>
        <v>Costa de Caparica</v>
      </c>
      <c r="J143" t="s">
        <v>3727</v>
      </c>
      <c r="K143" t="s">
        <v>225</v>
      </c>
      <c r="L143" t="s">
        <v>265</v>
      </c>
      <c r="M143" t="str">
        <f t="shared" ca="1" si="21"/>
        <v>30532892</v>
      </c>
      <c r="N143" t="str">
        <f t="shared" ca="1" si="22"/>
        <v>914740742</v>
      </c>
      <c r="O143" t="str">
        <f t="shared" ca="1" si="22"/>
        <v>771412358</v>
      </c>
      <c r="P143" t="str" cm="1">
        <f t="array" aca="1" ref="P143" ca="1">9 &amp; INDEX($AF$3:$AF$6,W143)&amp; TEXT(RANDBETWEEN(0,9999999),"0000000")</f>
        <v>962343646</v>
      </c>
      <c r="Q143" t="str" cm="1">
        <f t="array" aca="1" ref="Q143" ca="1">LOWER(B143) &amp; INDEX($AF$9:$AF$11,X143)</f>
        <v>andica2825@sapo.pt</v>
      </c>
      <c r="R143" t="str">
        <f t="shared" ca="1" si="23"/>
        <v>andica2825.jpg</v>
      </c>
      <c r="T143" s="4"/>
      <c r="V143">
        <f ca="1">RANDBETWEEN(2,COUNTA(rua_cod!A:A))</f>
        <v>27</v>
      </c>
      <c r="W143">
        <f t="shared" ca="1" si="24"/>
        <v>4</v>
      </c>
      <c r="X143">
        <f t="shared" ca="1" si="25"/>
        <v>3</v>
      </c>
      <c r="Y143">
        <f t="shared" ca="1" si="26"/>
        <v>1957</v>
      </c>
      <c r="Z143">
        <f t="shared" ca="1" si="27"/>
        <v>9</v>
      </c>
      <c r="AA143">
        <f t="shared" ca="1" si="28"/>
        <v>27</v>
      </c>
      <c r="AB143">
        <f t="shared" ca="1" si="29"/>
        <v>63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duabal2904</v>
      </c>
      <c r="C144" t="str">
        <f t="shared" ca="1" si="20"/>
        <v>pswduabal2904</v>
      </c>
      <c r="D144" t="str">
        <f ca="1">Nomes!T145</f>
        <v>Duarte Marco Magalhães Magalhães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Avenida Ressano Garcia</v>
      </c>
      <c r="H144" t="str" cm="1">
        <f t="array" aca="1" ref="H144" ca="1">INDEX(rua_cod!$A:$A,Users!V144) &amp; "-" &amp; TEXT(RANDBETWEEN(0,999),"000")</f>
        <v>2904-958</v>
      </c>
      <c r="I144" t="str" cm="1">
        <f t="array" aca="1" ref="I144" ca="1">INDEX(rua_cod!$B:$B,Users!V144)</f>
        <v>Setúbal</v>
      </c>
      <c r="J144" t="s">
        <v>3727</v>
      </c>
      <c r="K144" t="s">
        <v>225</v>
      </c>
      <c r="L144" t="s">
        <v>265</v>
      </c>
      <c r="M144" t="str">
        <f t="shared" ca="1" si="21"/>
        <v>73414624</v>
      </c>
      <c r="N144" t="str">
        <f t="shared" ca="1" si="22"/>
        <v>921664097</v>
      </c>
      <c r="O144" t="str">
        <f t="shared" ca="1" si="22"/>
        <v>890467539</v>
      </c>
      <c r="P144" t="str" cm="1">
        <f t="array" aca="1" ref="P144" ca="1">9 &amp; INDEX($AF$3:$AF$6,W144)&amp; TEXT(RANDBETWEEN(0,9999999),"0000000")</f>
        <v>910240246</v>
      </c>
      <c r="Q144" t="str" cm="1">
        <f t="array" aca="1" ref="Q144" ca="1">LOWER(B144) &amp; INDEX($AF$9:$AF$11,X144)</f>
        <v>duabal2904@outlook.com</v>
      </c>
      <c r="R144" t="str">
        <f t="shared" ca="1" si="23"/>
        <v>duabal2904.jpg</v>
      </c>
      <c r="T144" s="4"/>
      <c r="V144">
        <f ca="1">RANDBETWEEN(2,COUNTA(rua_cod!A:A))</f>
        <v>99</v>
      </c>
      <c r="W144">
        <f t="shared" ca="1" si="24"/>
        <v>1</v>
      </c>
      <c r="X144">
        <f t="shared" ca="1" si="25"/>
        <v>1</v>
      </c>
      <c r="Y144">
        <f t="shared" ca="1" si="26"/>
        <v>1975</v>
      </c>
      <c r="Z144">
        <f t="shared" ca="1" si="27"/>
        <v>3</v>
      </c>
      <c r="AA144">
        <f t="shared" ca="1" si="28"/>
        <v>14</v>
      </c>
      <c r="AB144">
        <f t="shared" ca="1" si="29"/>
        <v>45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migboa1999</v>
      </c>
      <c r="C145" t="str">
        <f t="shared" ca="1" si="20"/>
        <v>pswmigboa1999</v>
      </c>
      <c r="D145" t="str">
        <f ca="1">Nomes!T146</f>
        <v>Miguel Beatriz Azevedo Macedo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do Salitre</v>
      </c>
      <c r="H145" t="str" cm="1">
        <f t="array" aca="1" ref="H145" ca="1">INDEX(rua_cod!$A:$A,Users!V145) &amp; "-" &amp; TEXT(RANDBETWEEN(0,999),"000")</f>
        <v>1999-385</v>
      </c>
      <c r="I145" t="str" cm="1">
        <f t="array" aca="1" ref="I145" ca="1">INDEX(rua_cod!$B:$B,Users!V145)</f>
        <v>Lisboa</v>
      </c>
      <c r="J145" t="s">
        <v>3727</v>
      </c>
      <c r="K145" t="s">
        <v>225</v>
      </c>
      <c r="L145" t="s">
        <v>265</v>
      </c>
      <c r="M145" t="str">
        <f t="shared" ca="1" si="21"/>
        <v>21908579</v>
      </c>
      <c r="N145" t="str">
        <f t="shared" ca="1" si="22"/>
        <v>403847399</v>
      </c>
      <c r="O145" t="str">
        <f t="shared" ca="1" si="22"/>
        <v>821679890</v>
      </c>
      <c r="P145" t="str" cm="1">
        <f t="array" aca="1" ref="P145" ca="1">9 &amp; INDEX($AF$3:$AF$6,W145)&amp; TEXT(RANDBETWEEN(0,9999999),"0000000")</f>
        <v>918941481</v>
      </c>
      <c r="Q145" t="str" cm="1">
        <f t="array" aca="1" ref="Q145" ca="1">LOWER(B145) &amp; INDEX($AF$9:$AF$11,X145)</f>
        <v>migboa1999@outlook.com</v>
      </c>
      <c r="R145" t="str">
        <f t="shared" ca="1" si="23"/>
        <v>migboa1999.jpg</v>
      </c>
      <c r="T145" s="4"/>
      <c r="V145">
        <f ca="1">RANDBETWEEN(2,COUNTA(rua_cod!A:A))</f>
        <v>79</v>
      </c>
      <c r="W145">
        <f t="shared" ca="1" si="24"/>
        <v>1</v>
      </c>
      <c r="X145">
        <f t="shared" ca="1" si="25"/>
        <v>1</v>
      </c>
      <c r="Y145">
        <f t="shared" ca="1" si="26"/>
        <v>1977</v>
      </c>
      <c r="Z145">
        <f t="shared" ca="1" si="27"/>
        <v>11</v>
      </c>
      <c r="AA145">
        <f t="shared" ca="1" si="28"/>
        <v>30</v>
      </c>
      <c r="AB145">
        <f t="shared" ca="1" si="29"/>
        <v>43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rodboa1500</v>
      </c>
      <c r="C146" t="str">
        <f t="shared" ca="1" si="20"/>
        <v>pswrodboa1500</v>
      </c>
      <c r="D146" t="str">
        <f ca="1">Nomes!T147</f>
        <v>Rodrigo Afonso Pacheco Valente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de São Mamede</v>
      </c>
      <c r="H146" t="str" cm="1">
        <f t="array" aca="1" ref="H146" ca="1">INDEX(rua_cod!$A:$A,Users!V146) &amp; "-" &amp; TEXT(RANDBETWEEN(0,999),"000")</f>
        <v>1500-547</v>
      </c>
      <c r="I146" t="str" cm="1">
        <f t="array" aca="1" ref="I146" ca="1">INDEX(rua_cod!$B:$B,Users!V146)</f>
        <v>Lisboa</v>
      </c>
      <c r="J146" t="s">
        <v>3727</v>
      </c>
      <c r="K146" t="s">
        <v>225</v>
      </c>
      <c r="L146" t="s">
        <v>265</v>
      </c>
      <c r="M146" t="str">
        <f t="shared" ca="1" si="21"/>
        <v>56999848</v>
      </c>
      <c r="N146" t="str">
        <f t="shared" ca="1" si="22"/>
        <v>107400453</v>
      </c>
      <c r="O146" t="str">
        <f t="shared" ca="1" si="22"/>
        <v>189135835</v>
      </c>
      <c r="P146" t="str" cm="1">
        <f t="array" aca="1" ref="P146" ca="1">9 &amp; INDEX($AF$3:$AF$6,W146)&amp; TEXT(RANDBETWEEN(0,9999999),"0000000")</f>
        <v>968768576</v>
      </c>
      <c r="Q146" t="str" cm="1">
        <f t="array" aca="1" ref="Q146" ca="1">LOWER(B146) &amp; INDEX($AF$9:$AF$11,X146)</f>
        <v>rodboa1500@sapo.pt</v>
      </c>
      <c r="R146" t="str">
        <f t="shared" ca="1" si="23"/>
        <v>rodboa1500.jpg</v>
      </c>
      <c r="T146" s="4"/>
      <c r="V146">
        <f ca="1">RANDBETWEEN(2,COUNTA(rua_cod!A:A))</f>
        <v>43</v>
      </c>
      <c r="W146">
        <f t="shared" ca="1" si="24"/>
        <v>4</v>
      </c>
      <c r="X146">
        <f t="shared" ca="1" si="25"/>
        <v>3</v>
      </c>
      <c r="Y146">
        <f t="shared" ca="1" si="26"/>
        <v>1981</v>
      </c>
      <c r="Z146">
        <f t="shared" ca="1" si="27"/>
        <v>4</v>
      </c>
      <c r="AA146">
        <f t="shared" ca="1" si="28"/>
        <v>13</v>
      </c>
      <c r="AB146">
        <f t="shared" ca="1" si="29"/>
        <v>39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joavas2350</v>
      </c>
      <c r="C147" t="str">
        <f t="shared" ca="1" si="20"/>
        <v>pswjoavas2350</v>
      </c>
      <c r="D147" t="str">
        <f ca="1">Nomes!T148</f>
        <v>Joaquim Ana Moura Castro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Estrada das Laranjeiras</v>
      </c>
      <c r="H147" t="str" cm="1">
        <f t="array" aca="1" ref="H147" ca="1">INDEX(rua_cod!$A:$A,Users!V147) &amp; "-" &amp; TEXT(RANDBETWEEN(0,999),"000")</f>
        <v>2350-521</v>
      </c>
      <c r="I147" t="str" cm="1">
        <f t="array" aca="1" ref="I147" ca="1">INDEX(rua_cod!$B:$B,Users!V147)</f>
        <v>Torres Novas</v>
      </c>
      <c r="J147" t="s">
        <v>3727</v>
      </c>
      <c r="K147" t="s">
        <v>225</v>
      </c>
      <c r="L147" t="s">
        <v>265</v>
      </c>
      <c r="M147" t="str">
        <f t="shared" ca="1" si="21"/>
        <v>77645933</v>
      </c>
      <c r="N147" t="str">
        <f t="shared" ca="1" si="22"/>
        <v>671981197</v>
      </c>
      <c r="O147" t="str">
        <f t="shared" ca="1" si="22"/>
        <v>418228906</v>
      </c>
      <c r="P147" t="str" cm="1">
        <f t="array" aca="1" ref="P147" ca="1">9 &amp; INDEX($AF$3:$AF$6,W147)&amp; TEXT(RANDBETWEEN(0,9999999),"0000000")</f>
        <v>910197017</v>
      </c>
      <c r="Q147" t="str" cm="1">
        <f t="array" aca="1" ref="Q147" ca="1">LOWER(B147) &amp; INDEX($AF$9:$AF$11,X147)</f>
        <v>joavas2350@gmail.com</v>
      </c>
      <c r="R147" t="str">
        <f t="shared" ca="1" si="23"/>
        <v>joavas2350.jpg</v>
      </c>
      <c r="T147" s="4"/>
      <c r="V147">
        <f ca="1">RANDBETWEEN(2,COUNTA(rua_cod!A:A))</f>
        <v>103</v>
      </c>
      <c r="W147">
        <f t="shared" ca="1" si="24"/>
        <v>1</v>
      </c>
      <c r="X147">
        <f t="shared" ca="1" si="25"/>
        <v>2</v>
      </c>
      <c r="Y147">
        <f t="shared" ca="1" si="26"/>
        <v>1962</v>
      </c>
      <c r="Z147">
        <f t="shared" ca="1" si="27"/>
        <v>4</v>
      </c>
      <c r="AA147">
        <f t="shared" ca="1" si="28"/>
        <v>12</v>
      </c>
      <c r="AB147">
        <f t="shared" ca="1" si="29"/>
        <v>58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luiica2825</v>
      </c>
      <c r="C148" t="str">
        <f t="shared" ca="1" si="20"/>
        <v>pswluiica2825</v>
      </c>
      <c r="D148" t="str">
        <f ca="1">Nomes!T149</f>
        <v>Luís Marco Paiva Pinho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de São Julião</v>
      </c>
      <c r="H148" t="str" cm="1">
        <f t="array" aca="1" ref="H148" ca="1">INDEX(rua_cod!$A:$A,Users!V148) &amp; "-" &amp; TEXT(RANDBETWEEN(0,999),"000")</f>
        <v>2825-608</v>
      </c>
      <c r="I148" t="str" cm="1">
        <f t="array" aca="1" ref="I148" ca="1">INDEX(rua_cod!$B:$B,Users!V148)</f>
        <v>Costa de Caparica</v>
      </c>
      <c r="J148" t="s">
        <v>3727</v>
      </c>
      <c r="K148" t="s">
        <v>225</v>
      </c>
      <c r="L148" t="s">
        <v>265</v>
      </c>
      <c r="M148" t="str">
        <f t="shared" ca="1" si="21"/>
        <v>83476792</v>
      </c>
      <c r="N148" t="str">
        <f t="shared" ca="1" si="22"/>
        <v>409865636</v>
      </c>
      <c r="O148" t="str">
        <f t="shared" ca="1" si="22"/>
        <v>852276933</v>
      </c>
      <c r="P148" t="str" cm="1">
        <f t="array" aca="1" ref="P148" ca="1">9 &amp; INDEX($AF$3:$AF$6,W148)&amp; TEXT(RANDBETWEEN(0,9999999),"0000000")</f>
        <v>969803216</v>
      </c>
      <c r="Q148" t="str" cm="1">
        <f t="array" aca="1" ref="Q148" ca="1">LOWER(B148) &amp; INDEX($AF$9:$AF$11,X148)</f>
        <v>luiica2825@gmail.com</v>
      </c>
      <c r="R148" t="str">
        <f t="shared" ca="1" si="23"/>
        <v>luiica2825.jpg</v>
      </c>
      <c r="T148" s="4"/>
      <c r="V148">
        <f ca="1">RANDBETWEEN(2,COUNTA(rua_cod!A:A))</f>
        <v>27</v>
      </c>
      <c r="W148">
        <f t="shared" ca="1" si="24"/>
        <v>4</v>
      </c>
      <c r="X148">
        <f t="shared" ca="1" si="25"/>
        <v>2</v>
      </c>
      <c r="Y148">
        <f t="shared" ca="1" si="26"/>
        <v>1995</v>
      </c>
      <c r="Z148">
        <f t="shared" ca="1" si="27"/>
        <v>1</v>
      </c>
      <c r="AA148">
        <f t="shared" ca="1" si="28"/>
        <v>16</v>
      </c>
      <c r="AB148">
        <f t="shared" ca="1" si="29"/>
        <v>25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larboa1169</v>
      </c>
      <c r="C149" t="str">
        <f t="shared" ca="1" si="20"/>
        <v>pswlarboa1169</v>
      </c>
      <c r="D149" t="str">
        <f ca="1">Nomes!T150</f>
        <v>Lara Matilde Barbosa Amaral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da Prata</v>
      </c>
      <c r="H149" t="str" cm="1">
        <f t="array" aca="1" ref="H149" ca="1">INDEX(rua_cod!$A:$A,Users!V149) &amp; "-" &amp; TEXT(RANDBETWEEN(0,999),"000")</f>
        <v>1169-344</v>
      </c>
      <c r="I149" t="str" cm="1">
        <f t="array" aca="1" ref="I149" ca="1">INDEX(rua_cod!$B:$B,Users!V149)</f>
        <v>Lisboa</v>
      </c>
      <c r="J149" t="s">
        <v>3727</v>
      </c>
      <c r="K149" t="s">
        <v>225</v>
      </c>
      <c r="L149" t="s">
        <v>265</v>
      </c>
      <c r="M149" t="str">
        <f t="shared" ca="1" si="21"/>
        <v>11513339</v>
      </c>
      <c r="N149" t="str">
        <f t="shared" ca="1" si="22"/>
        <v>854471582</v>
      </c>
      <c r="O149" t="str">
        <f t="shared" ca="1" si="22"/>
        <v>585625437</v>
      </c>
      <c r="P149" t="str" cm="1">
        <f t="array" aca="1" ref="P149" ca="1">9 &amp; INDEX($AF$3:$AF$6,W149)&amp; TEXT(RANDBETWEEN(0,9999999),"0000000")</f>
        <v>928819314</v>
      </c>
      <c r="Q149" t="str" cm="1">
        <f t="array" aca="1" ref="Q149" ca="1">LOWER(B149) &amp; INDEX($AF$9:$AF$11,X149)</f>
        <v>larboa1169@sapo.pt</v>
      </c>
      <c r="R149" t="str">
        <f t="shared" ca="1" si="23"/>
        <v>larboa1169.jpg</v>
      </c>
      <c r="T149" s="4"/>
      <c r="V149">
        <f ca="1">RANDBETWEEN(2,COUNTA(rua_cod!A:A))</f>
        <v>70</v>
      </c>
      <c r="W149">
        <f t="shared" ca="1" si="24"/>
        <v>2</v>
      </c>
      <c r="X149">
        <f t="shared" ca="1" si="25"/>
        <v>3</v>
      </c>
      <c r="Y149">
        <f t="shared" ca="1" si="26"/>
        <v>1999</v>
      </c>
      <c r="Z149">
        <f t="shared" ca="1" si="27"/>
        <v>1</v>
      </c>
      <c r="AA149">
        <f t="shared" ca="1" si="28"/>
        <v>21</v>
      </c>
      <c r="AB149">
        <f t="shared" ca="1" si="29"/>
        <v>21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andboa1349</v>
      </c>
      <c r="C150" t="str">
        <f t="shared" ca="1" si="20"/>
        <v>pswandboa1349</v>
      </c>
      <c r="D150" t="str">
        <f ca="1">Nomes!T151</f>
        <v>André Pedro Henriques Leal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Augusta</v>
      </c>
      <c r="H150" t="str" cm="1">
        <f t="array" aca="1" ref="H150" ca="1">INDEX(rua_cod!$A:$A,Users!V150) &amp; "-" &amp; TEXT(RANDBETWEEN(0,999),"000")</f>
        <v>1349-541</v>
      </c>
      <c r="I150" t="str" cm="1">
        <f t="array" aca="1" ref="I150" ca="1">INDEX(rua_cod!$B:$B,Users!V150)</f>
        <v>Lisboa</v>
      </c>
      <c r="J150" t="s">
        <v>3727</v>
      </c>
      <c r="K150" t="s">
        <v>225</v>
      </c>
      <c r="L150" t="s">
        <v>265</v>
      </c>
      <c r="M150" t="str">
        <f t="shared" ca="1" si="21"/>
        <v>11995199</v>
      </c>
      <c r="N150" t="str">
        <f t="shared" ca="1" si="22"/>
        <v>170495573</v>
      </c>
      <c r="O150" t="str">
        <f t="shared" ca="1" si="22"/>
        <v>369510311</v>
      </c>
      <c r="P150" t="str" cm="1">
        <f t="array" aca="1" ref="P150" ca="1">9 &amp; INDEX($AF$3:$AF$6,W150)&amp; TEXT(RANDBETWEEN(0,9999999),"0000000")</f>
        <v>915031753</v>
      </c>
      <c r="Q150" t="str" cm="1">
        <f t="array" aca="1" ref="Q150" ca="1">LOWER(B150) &amp; INDEX($AF$9:$AF$11,X150)</f>
        <v>andboa1349@outlook.com</v>
      </c>
      <c r="R150" t="str">
        <f t="shared" ca="1" si="23"/>
        <v>andboa1349.jpg</v>
      </c>
      <c r="T150" s="4"/>
      <c r="V150">
        <f ca="1">RANDBETWEEN(2,COUNTA(rua_cod!A:A))</f>
        <v>71</v>
      </c>
      <c r="W150">
        <f t="shared" ca="1" si="24"/>
        <v>1</v>
      </c>
      <c r="X150">
        <f t="shared" ca="1" si="25"/>
        <v>1</v>
      </c>
      <c r="Y150">
        <f t="shared" ca="1" si="26"/>
        <v>1954</v>
      </c>
      <c r="Z150">
        <f t="shared" ca="1" si="27"/>
        <v>6</v>
      </c>
      <c r="AA150">
        <f t="shared" ca="1" si="28"/>
        <v>4</v>
      </c>
      <c r="AB150">
        <f t="shared" ca="1" si="29"/>
        <v>66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luiria2415</v>
      </c>
      <c r="C151" t="str">
        <f t="shared" ca="1" si="20"/>
        <v>pswluiria2415</v>
      </c>
      <c r="D151" t="str">
        <f ca="1">Nomes!T152</f>
        <v>Luís Joana Silva Simões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Rua dos Heróis de Quionga</v>
      </c>
      <c r="H151" t="str" cm="1">
        <f t="array" aca="1" ref="H151" ca="1">INDEX(rua_cod!$A:$A,Users!V151) &amp; "-" &amp; TEXT(RANDBETWEEN(0,999),"000")</f>
        <v>2415-514</v>
      </c>
      <c r="I151" t="str" cm="1">
        <f t="array" aca="1" ref="I151" ca="1">INDEX(rua_cod!$B:$B,Users!V151)</f>
        <v>Leiria</v>
      </c>
      <c r="J151" t="s">
        <v>3727</v>
      </c>
      <c r="K151" t="s">
        <v>225</v>
      </c>
      <c r="L151" t="s">
        <v>265</v>
      </c>
      <c r="M151" t="str">
        <f t="shared" ca="1" si="21"/>
        <v>93014355</v>
      </c>
      <c r="N151" t="str">
        <f t="shared" ca="1" si="22"/>
        <v>752584948</v>
      </c>
      <c r="O151" t="str">
        <f t="shared" ca="1" si="22"/>
        <v>866203232</v>
      </c>
      <c r="P151" t="str" cm="1">
        <f t="array" aca="1" ref="P151" ca="1">9 &amp; INDEX($AF$3:$AF$6,W151)&amp; TEXT(RANDBETWEEN(0,9999999),"0000000")</f>
        <v>929346430</v>
      </c>
      <c r="Q151" t="str" cm="1">
        <f t="array" aca="1" ref="Q151" ca="1">LOWER(B151) &amp; INDEX($AF$9:$AF$11,X151)</f>
        <v>luiria2415@outlook.com</v>
      </c>
      <c r="R151" t="str">
        <f t="shared" ca="1" si="23"/>
        <v>luiria2415.jpg</v>
      </c>
      <c r="T151" s="4"/>
      <c r="V151">
        <f ca="1">RANDBETWEEN(2,COUNTA(rua_cod!A:A))</f>
        <v>35</v>
      </c>
      <c r="W151">
        <f t="shared" ca="1" si="24"/>
        <v>2</v>
      </c>
      <c r="X151">
        <f t="shared" ca="1" si="25"/>
        <v>1</v>
      </c>
      <c r="Y151">
        <f t="shared" ca="1" si="26"/>
        <v>1988</v>
      </c>
      <c r="Z151">
        <f t="shared" ca="1" si="27"/>
        <v>10</v>
      </c>
      <c r="AA151">
        <f t="shared" ca="1" si="28"/>
        <v>6</v>
      </c>
      <c r="AB151">
        <f t="shared" ca="1" si="29"/>
        <v>32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sofboa1100</v>
      </c>
      <c r="C152" t="str">
        <f t="shared" ca="1" si="20"/>
        <v>pswsofboa1100</v>
      </c>
      <c r="D152" t="str">
        <f ca="1">Nomes!T153</f>
        <v>Sofia André Torres Esteves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dos Heróis de Quionga</v>
      </c>
      <c r="H152" t="str" cm="1">
        <f t="array" aca="1" ref="H152" ca="1">INDEX(rua_cod!$A:$A,Users!V152) &amp; "-" &amp; TEXT(RANDBETWEEN(0,999),"000")</f>
        <v>1100-597</v>
      </c>
      <c r="I152" t="str" cm="1">
        <f t="array" aca="1" ref="I152" ca="1">INDEX(rua_cod!$B:$B,Users!V152)</f>
        <v>Lisboa</v>
      </c>
      <c r="J152" t="s">
        <v>3727</v>
      </c>
      <c r="K152" t="s">
        <v>225</v>
      </c>
      <c r="L152" t="s">
        <v>265</v>
      </c>
      <c r="M152" t="str">
        <f t="shared" ca="1" si="21"/>
        <v>18794665</v>
      </c>
      <c r="N152" t="str">
        <f t="shared" ca="1" si="22"/>
        <v>161888931</v>
      </c>
      <c r="O152" t="str">
        <f t="shared" ca="1" si="22"/>
        <v>741552015</v>
      </c>
      <c r="P152" t="str" cm="1">
        <f t="array" aca="1" ref="P152" ca="1">9 &amp; INDEX($AF$3:$AF$6,W152)&amp; TEXT(RANDBETWEEN(0,9999999),"0000000")</f>
        <v>924532709</v>
      </c>
      <c r="Q152" t="str" cm="1">
        <f t="array" aca="1" ref="Q152" ca="1">LOWER(B152) &amp; INDEX($AF$9:$AF$11,X152)</f>
        <v>sofboa1100@gmail.com</v>
      </c>
      <c r="R152" t="str">
        <f t="shared" ca="1" si="23"/>
        <v>sofboa1100.jpg</v>
      </c>
      <c r="T152" s="4"/>
      <c r="V152">
        <f ca="1">RANDBETWEEN(2,COUNTA(rua_cod!A:A))</f>
        <v>46</v>
      </c>
      <c r="W152">
        <f t="shared" ca="1" si="24"/>
        <v>2</v>
      </c>
      <c r="X152">
        <f t="shared" ca="1" si="25"/>
        <v>2</v>
      </c>
      <c r="Y152">
        <f t="shared" ca="1" si="26"/>
        <v>1976</v>
      </c>
      <c r="Z152">
        <f t="shared" ca="1" si="27"/>
        <v>3</v>
      </c>
      <c r="AA152">
        <f t="shared" ca="1" si="28"/>
        <v>13</v>
      </c>
      <c r="AB152">
        <f t="shared" ca="1" si="29"/>
        <v>44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fraras2780</v>
      </c>
      <c r="C153" t="str">
        <f t="shared" ca="1" si="20"/>
        <v>pswfraras2780</v>
      </c>
      <c r="D153" t="str">
        <f ca="1">Nomes!T154</f>
        <v>Francisco Lara Campos Valente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Rua Nova do Almada</v>
      </c>
      <c r="H153" t="str" cm="1">
        <f t="array" aca="1" ref="H153" ca="1">INDEX(rua_cod!$A:$A,Users!V153) &amp; "-" &amp; TEXT(RANDBETWEEN(0,999),"000")</f>
        <v>2780-136</v>
      </c>
      <c r="I153" t="str" cm="1">
        <f t="array" aca="1" ref="I153" ca="1">INDEX(rua_cod!$B:$B,Users!V153)</f>
        <v>Oeiras</v>
      </c>
      <c r="J153" t="s">
        <v>3727</v>
      </c>
      <c r="K153" t="s">
        <v>225</v>
      </c>
      <c r="L153" t="s">
        <v>265</v>
      </c>
      <c r="M153" t="str">
        <f t="shared" ca="1" si="21"/>
        <v>43826680</v>
      </c>
      <c r="N153" t="str">
        <f t="shared" ca="1" si="22"/>
        <v>390193077</v>
      </c>
      <c r="O153" t="str">
        <f t="shared" ca="1" si="22"/>
        <v>963568934</v>
      </c>
      <c r="P153" t="str" cm="1">
        <f t="array" aca="1" ref="P153" ca="1">9 &amp; INDEX($AF$3:$AF$6,W153)&amp; TEXT(RANDBETWEEN(0,9999999),"0000000")</f>
        <v>919617016</v>
      </c>
      <c r="Q153" t="str" cm="1">
        <f t="array" aca="1" ref="Q153" ca="1">LOWER(B153) &amp; INDEX($AF$9:$AF$11,X153)</f>
        <v>fraras2780@gmail.com</v>
      </c>
      <c r="R153" t="str">
        <f t="shared" ca="1" si="23"/>
        <v>fraras2780.jpg</v>
      </c>
      <c r="T153" s="4"/>
      <c r="V153">
        <f ca="1">RANDBETWEEN(2,COUNTA(rua_cod!A:A))</f>
        <v>88</v>
      </c>
      <c r="W153">
        <f t="shared" ca="1" si="24"/>
        <v>1</v>
      </c>
      <c r="X153">
        <f t="shared" ca="1" si="25"/>
        <v>2</v>
      </c>
      <c r="Y153">
        <f t="shared" ca="1" si="26"/>
        <v>1975</v>
      </c>
      <c r="Z153">
        <f t="shared" ca="1" si="27"/>
        <v>7</v>
      </c>
      <c r="AA153">
        <f t="shared" ca="1" si="28"/>
        <v>26</v>
      </c>
      <c r="AB153">
        <f t="shared" ca="1" si="29"/>
        <v>45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andora2720</v>
      </c>
      <c r="C154" t="str">
        <f t="shared" ca="1" si="20"/>
        <v>pswandora2720</v>
      </c>
      <c r="D154" t="str">
        <f ca="1">Nomes!T155</f>
        <v>André Gabriel Brito Barros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da Alfândega</v>
      </c>
      <c r="H154" t="str" cm="1">
        <f t="array" aca="1" ref="H154" ca="1">INDEX(rua_cod!$A:$A,Users!V154) &amp; "-" &amp; TEXT(RANDBETWEEN(0,999),"000")</f>
        <v>2720-275</v>
      </c>
      <c r="I154" t="str" cm="1">
        <f t="array" aca="1" ref="I154" ca="1">INDEX(rua_cod!$B:$B,Users!V154)</f>
        <v>Amadora</v>
      </c>
      <c r="J154" t="s">
        <v>3727</v>
      </c>
      <c r="K154" t="s">
        <v>225</v>
      </c>
      <c r="L154" t="s">
        <v>265</v>
      </c>
      <c r="M154" t="str">
        <f t="shared" ca="1" si="21"/>
        <v>60450217</v>
      </c>
      <c r="N154" t="str">
        <f t="shared" ca="1" si="22"/>
        <v>167854291</v>
      </c>
      <c r="O154" t="str">
        <f t="shared" ca="1" si="22"/>
        <v>430562673</v>
      </c>
      <c r="P154" t="str" cm="1">
        <f t="array" aca="1" ref="P154" ca="1">9 &amp; INDEX($AF$3:$AF$6,W154)&amp; TEXT(RANDBETWEEN(0,9999999),"0000000")</f>
        <v>932135721</v>
      </c>
      <c r="Q154" t="str" cm="1">
        <f t="array" aca="1" ref="Q154" ca="1">LOWER(B154) &amp; INDEX($AF$9:$AF$11,X154)</f>
        <v>andora2720@outlook.com</v>
      </c>
      <c r="R154" t="str">
        <f t="shared" ca="1" si="23"/>
        <v>andora2720.jpg</v>
      </c>
      <c r="T154" s="4"/>
      <c r="V154">
        <f ca="1">RANDBETWEEN(2,COUNTA(rua_cod!A:A))</f>
        <v>8</v>
      </c>
      <c r="W154">
        <f t="shared" ca="1" si="24"/>
        <v>3</v>
      </c>
      <c r="X154">
        <f t="shared" ca="1" si="25"/>
        <v>1</v>
      </c>
      <c r="Y154">
        <f t="shared" ca="1" si="26"/>
        <v>1992</v>
      </c>
      <c r="Z154">
        <f t="shared" ca="1" si="27"/>
        <v>10</v>
      </c>
      <c r="AA154">
        <f t="shared" ca="1" si="28"/>
        <v>30</v>
      </c>
      <c r="AB154">
        <f t="shared" ca="1" si="29"/>
        <v>28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leoais2750</v>
      </c>
      <c r="C155" t="str">
        <f t="shared" ca="1" si="20"/>
        <v>pswleoais2750</v>
      </c>
      <c r="D155" t="str">
        <f ca="1">Nomes!T156</f>
        <v>Leonor Laura Garcia Gaspar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do Comércio</v>
      </c>
      <c r="H155" t="str" cm="1">
        <f t="array" aca="1" ref="H155" ca="1">INDEX(rua_cod!$A:$A,Users!V155) &amp; "-" &amp; TEXT(RANDBETWEEN(0,999),"000")</f>
        <v>2750-535</v>
      </c>
      <c r="I155" t="str" cm="1">
        <f t="array" aca="1" ref="I155" ca="1">INDEX(rua_cod!$B:$B,Users!V155)</f>
        <v>Cascais</v>
      </c>
      <c r="J155" t="s">
        <v>3727</v>
      </c>
      <c r="K155" t="s">
        <v>225</v>
      </c>
      <c r="L155" t="s">
        <v>265</v>
      </c>
      <c r="M155" t="str">
        <f t="shared" ca="1" si="21"/>
        <v>48310864</v>
      </c>
      <c r="N155" t="str">
        <f t="shared" ca="1" si="22"/>
        <v>744696670</v>
      </c>
      <c r="O155" t="str">
        <f t="shared" ca="1" si="22"/>
        <v>667619237</v>
      </c>
      <c r="P155" t="str" cm="1">
        <f t="array" aca="1" ref="P155" ca="1">9 &amp; INDEX($AF$3:$AF$6,W155)&amp; TEXT(RANDBETWEEN(0,9999999),"0000000")</f>
        <v>968111555</v>
      </c>
      <c r="Q155" t="str" cm="1">
        <f t="array" aca="1" ref="Q155" ca="1">LOWER(B155) &amp; INDEX($AF$9:$AF$11,X155)</f>
        <v>leoais2750@gmail.com</v>
      </c>
      <c r="R155" t="str">
        <f t="shared" ca="1" si="23"/>
        <v>leoais2750.jpg</v>
      </c>
      <c r="T155" s="4"/>
      <c r="V155">
        <f ca="1">RANDBETWEEN(2,COUNTA(rua_cod!A:A))</f>
        <v>24</v>
      </c>
      <c r="W155">
        <f t="shared" ca="1" si="24"/>
        <v>4</v>
      </c>
      <c r="X155">
        <f t="shared" ca="1" si="25"/>
        <v>2</v>
      </c>
      <c r="Y155">
        <f t="shared" ca="1" si="26"/>
        <v>1988</v>
      </c>
      <c r="Z155">
        <f t="shared" ca="1" si="27"/>
        <v>6</v>
      </c>
      <c r="AA155">
        <f t="shared" ca="1" si="28"/>
        <v>26</v>
      </c>
      <c r="AB155">
        <f t="shared" ca="1" si="29"/>
        <v>32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joaboa1068</v>
      </c>
      <c r="C156" t="str">
        <f t="shared" ca="1" si="20"/>
        <v>pswjoaboa1068</v>
      </c>
      <c r="D156" t="str">
        <f ca="1">Nomes!T157</f>
        <v>Joana Miguel Simões Magalhães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do Arsenal</v>
      </c>
      <c r="H156" t="str" cm="1">
        <f t="array" aca="1" ref="H156" ca="1">INDEX(rua_cod!$A:$A,Users!V156) &amp; "-" &amp; TEXT(RANDBETWEEN(0,999),"000")</f>
        <v>1068-284</v>
      </c>
      <c r="I156" t="str" cm="1">
        <f t="array" aca="1" ref="I156" ca="1">INDEX(rua_cod!$B:$B,Users!V156)</f>
        <v>Lisboa</v>
      </c>
      <c r="J156" t="s">
        <v>3727</v>
      </c>
      <c r="K156" t="s">
        <v>225</v>
      </c>
      <c r="L156" t="s">
        <v>265</v>
      </c>
      <c r="M156" t="str">
        <f t="shared" ca="1" si="21"/>
        <v>18762626</v>
      </c>
      <c r="N156" t="str">
        <f t="shared" ca="1" si="22"/>
        <v>662939365</v>
      </c>
      <c r="O156" t="str">
        <f t="shared" ca="1" si="22"/>
        <v>847428303</v>
      </c>
      <c r="P156" t="str" cm="1">
        <f t="array" aca="1" ref="P156" ca="1">9 &amp; INDEX($AF$3:$AF$6,W156)&amp; TEXT(RANDBETWEEN(0,9999999),"0000000")</f>
        <v>923426647</v>
      </c>
      <c r="Q156" t="str" cm="1">
        <f t="array" aca="1" ref="Q156" ca="1">LOWER(B156) &amp; INDEX($AF$9:$AF$11,X156)</f>
        <v>joaboa1068@outlook.com</v>
      </c>
      <c r="R156" t="str">
        <f t="shared" ca="1" si="23"/>
        <v>joaboa1068.jpg</v>
      </c>
      <c r="T156" s="4"/>
      <c r="V156">
        <f ca="1">RANDBETWEEN(2,COUNTA(rua_cod!A:A))</f>
        <v>81</v>
      </c>
      <c r="W156">
        <f t="shared" ca="1" si="24"/>
        <v>2</v>
      </c>
      <c r="X156">
        <f t="shared" ca="1" si="25"/>
        <v>1</v>
      </c>
      <c r="Y156">
        <f t="shared" ca="1" si="26"/>
        <v>1993</v>
      </c>
      <c r="Z156">
        <f t="shared" ca="1" si="27"/>
        <v>12</v>
      </c>
      <c r="AA156">
        <f t="shared" ca="1" si="28"/>
        <v>20</v>
      </c>
      <c r="AB156">
        <f t="shared" ca="1" si="29"/>
        <v>27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luiboa1959</v>
      </c>
      <c r="C157" t="str">
        <f t="shared" ca="1" si="20"/>
        <v>pswluiboa1959</v>
      </c>
      <c r="D157" t="str">
        <f ca="1">Nomes!T158</f>
        <v>Luís Sofia Neto Fernandes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Rua Garrett</v>
      </c>
      <c r="H157" t="str" cm="1">
        <f t="array" aca="1" ref="H157" ca="1">INDEX(rua_cod!$A:$A,Users!V157) &amp; "-" &amp; TEXT(RANDBETWEEN(0,999),"000")</f>
        <v>1959-592</v>
      </c>
      <c r="I157" t="str" cm="1">
        <f t="array" aca="1" ref="I157" ca="1">INDEX(rua_cod!$B:$B,Users!V157)</f>
        <v>Lisboa</v>
      </c>
      <c r="J157" t="s">
        <v>3727</v>
      </c>
      <c r="K157" t="s">
        <v>225</v>
      </c>
      <c r="L157" t="s">
        <v>265</v>
      </c>
      <c r="M157" t="str">
        <f t="shared" ca="1" si="21"/>
        <v>51945766</v>
      </c>
      <c r="N157" t="str">
        <f t="shared" ca="1" si="22"/>
        <v>559875730</v>
      </c>
      <c r="O157" t="str">
        <f t="shared" ca="1" si="22"/>
        <v>158191389</v>
      </c>
      <c r="P157" t="str" cm="1">
        <f t="array" aca="1" ref="P157" ca="1">9 &amp; INDEX($AF$3:$AF$6,W157)&amp; TEXT(RANDBETWEEN(0,9999999),"0000000")</f>
        <v>966353816</v>
      </c>
      <c r="Q157" t="str" cm="1">
        <f t="array" aca="1" ref="Q157" ca="1">LOWER(B157) &amp; INDEX($AF$9:$AF$11,X157)</f>
        <v>luiboa1959@outlook.com</v>
      </c>
      <c r="R157" t="str">
        <f t="shared" ca="1" si="23"/>
        <v>luiboa1959.jpg</v>
      </c>
      <c r="T157" s="4"/>
      <c r="V157">
        <f ca="1">RANDBETWEEN(2,COUNTA(rua_cod!A:A))</f>
        <v>72</v>
      </c>
      <c r="W157">
        <f t="shared" ca="1" si="24"/>
        <v>4</v>
      </c>
      <c r="X157">
        <f t="shared" ca="1" si="25"/>
        <v>1</v>
      </c>
      <c r="Y157">
        <f t="shared" ca="1" si="26"/>
        <v>1989</v>
      </c>
      <c r="Z157">
        <f t="shared" ca="1" si="27"/>
        <v>12</v>
      </c>
      <c r="AA157">
        <f t="shared" ca="1" si="28"/>
        <v>20</v>
      </c>
      <c r="AB157">
        <f t="shared" ca="1" si="29"/>
        <v>31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rodria2424</v>
      </c>
      <c r="C158" t="str">
        <f t="shared" ca="1" si="20"/>
        <v>pswrodria2424</v>
      </c>
      <c r="D158" t="str">
        <f ca="1">Nomes!T159</f>
        <v>Rodrigo Lurdes Baptista Simões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da Betesga</v>
      </c>
      <c r="H158" t="str" cm="1">
        <f t="array" aca="1" ref="H158" ca="1">INDEX(rua_cod!$A:$A,Users!V158) &amp; "-" &amp; TEXT(RANDBETWEEN(0,999),"000")</f>
        <v>2424-152</v>
      </c>
      <c r="I158" t="str" cm="1">
        <f t="array" aca="1" ref="I158" ca="1">INDEX(rua_cod!$B:$B,Users!V158)</f>
        <v>Leiria</v>
      </c>
      <c r="J158" t="s">
        <v>3727</v>
      </c>
      <c r="K158" t="s">
        <v>225</v>
      </c>
      <c r="L158" t="s">
        <v>265</v>
      </c>
      <c r="M158" t="str">
        <f t="shared" ca="1" si="21"/>
        <v>11137382</v>
      </c>
      <c r="N158" t="str">
        <f t="shared" ca="1" si="22"/>
        <v>172837944</v>
      </c>
      <c r="O158" t="str">
        <f t="shared" ca="1" si="22"/>
        <v>931642538</v>
      </c>
      <c r="P158" t="str" cm="1">
        <f t="array" aca="1" ref="P158" ca="1">9 &amp; INDEX($AF$3:$AF$6,W158)&amp; TEXT(RANDBETWEEN(0,9999999),"0000000")</f>
        <v>963859300</v>
      </c>
      <c r="Q158" t="str" cm="1">
        <f t="array" aca="1" ref="Q158" ca="1">LOWER(B158) &amp; INDEX($AF$9:$AF$11,X158)</f>
        <v>rodria2424@gmail.com</v>
      </c>
      <c r="R158" t="str">
        <f t="shared" ca="1" si="23"/>
        <v>rodria2424.jpg</v>
      </c>
      <c r="T158" s="4"/>
      <c r="V158">
        <f ca="1">RANDBETWEEN(2,COUNTA(rua_cod!A:A))</f>
        <v>39</v>
      </c>
      <c r="W158">
        <f t="shared" ca="1" si="24"/>
        <v>4</v>
      </c>
      <c r="X158">
        <f t="shared" ca="1" si="25"/>
        <v>2</v>
      </c>
      <c r="Y158">
        <f t="shared" ca="1" si="26"/>
        <v>2021</v>
      </c>
      <c r="Z158">
        <f t="shared" ca="1" si="27"/>
        <v>4</v>
      </c>
      <c r="AA158">
        <f t="shared" ca="1" si="28"/>
        <v>14</v>
      </c>
      <c r="AB158">
        <f t="shared" ca="1" si="29"/>
        <v>-1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lauora2610</v>
      </c>
      <c r="C159" t="str">
        <f t="shared" ca="1" si="20"/>
        <v>pswlauora2610</v>
      </c>
      <c r="D159" t="str">
        <f ca="1">Nomes!T160</f>
        <v>Laura Sara Guerreiro Garcia</v>
      </c>
      <c r="E159" t="str">
        <f ca="1">Nomes!S160</f>
        <v>Feminino</v>
      </c>
      <c r="F159" s="2">
        <v>28184</v>
      </c>
      <c r="G159" t="str" cm="1">
        <f t="array" aca="1" ref="G159" ca="1">INDEX(rua_cod!$F:$F,RANDBETWEEN(2,COUNTA(rua_cod!F:F)))</f>
        <v>Rua do Carmo</v>
      </c>
      <c r="H159" t="str" cm="1">
        <f t="array" aca="1" ref="H159" ca="1">INDEX(rua_cod!$A:$A,Users!V159) &amp; "-" &amp; TEXT(RANDBETWEEN(0,999),"000")</f>
        <v>2610-755</v>
      </c>
      <c r="I159" t="str" cm="1">
        <f t="array" aca="1" ref="I159" ca="1">INDEX(rua_cod!$B:$B,Users!V159)</f>
        <v>Amadora</v>
      </c>
      <c r="J159" t="s">
        <v>3727</v>
      </c>
      <c r="K159" t="s">
        <v>225</v>
      </c>
      <c r="L159" t="s">
        <v>265</v>
      </c>
      <c r="M159" t="str">
        <f t="shared" ca="1" si="21"/>
        <v>33653405</v>
      </c>
      <c r="N159" t="str">
        <f t="shared" ca="1" si="22"/>
        <v>337078737</v>
      </c>
      <c r="O159" t="str">
        <f t="shared" ca="1" si="22"/>
        <v>189680823</v>
      </c>
      <c r="P159" t="str" cm="1">
        <f t="array" aca="1" ref="P159" ca="1">9 &amp; INDEX($AF$3:$AF$6,W159)&amp; TEXT(RANDBETWEEN(0,9999999),"0000000")</f>
        <v>925442428</v>
      </c>
      <c r="Q159" t="str" cm="1">
        <f t="array" aca="1" ref="Q159" ca="1">LOWER(B159) &amp; INDEX($AF$9:$AF$11,X159)</f>
        <v>lauora2610@outlook.com</v>
      </c>
      <c r="R159" t="str">
        <f t="shared" ca="1" si="23"/>
        <v>lauora2610.jpg</v>
      </c>
      <c r="T159" s="4"/>
      <c r="V159">
        <f ca="1">RANDBETWEEN(2,COUNTA(rua_cod!A:A))</f>
        <v>12</v>
      </c>
      <c r="W159">
        <f t="shared" ca="1" si="24"/>
        <v>2</v>
      </c>
      <c r="X159">
        <f t="shared" ca="1" si="25"/>
        <v>1</v>
      </c>
      <c r="Y159">
        <f t="shared" ca="1" si="26"/>
        <v>1963</v>
      </c>
      <c r="Z159">
        <f t="shared" ca="1" si="27"/>
        <v>3</v>
      </c>
      <c r="AA159">
        <f t="shared" ca="1" si="28"/>
        <v>13</v>
      </c>
      <c r="AB159">
        <f t="shared" ca="1" si="29"/>
        <v>57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ineboa1349</v>
      </c>
      <c r="C160" t="str">
        <f t="shared" ca="1" si="20"/>
        <v>pswineboa1349</v>
      </c>
      <c r="D160" t="str">
        <f ca="1">Nomes!T161</f>
        <v>Inês Santiago Assunção Borges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Calçada de Carriche</v>
      </c>
      <c r="H160" t="str" cm="1">
        <f t="array" aca="1" ref="H160" ca="1">INDEX(rua_cod!$A:$A,Users!V160) &amp; "-" &amp; TEXT(RANDBETWEEN(0,999),"000")</f>
        <v>1349-801</v>
      </c>
      <c r="I160" t="str" cm="1">
        <f t="array" aca="1" ref="I160" ca="1">INDEX(rua_cod!$B:$B,Users!V160)</f>
        <v>Lisboa</v>
      </c>
      <c r="J160" t="s">
        <v>3727</v>
      </c>
      <c r="K160" t="s">
        <v>225</v>
      </c>
      <c r="L160" t="s">
        <v>265</v>
      </c>
      <c r="M160" t="str">
        <f t="shared" ca="1" si="21"/>
        <v>10834022</v>
      </c>
      <c r="N160" t="str">
        <f t="shared" ca="1" si="22"/>
        <v>868389688</v>
      </c>
      <c r="O160" t="str">
        <f t="shared" ca="1" si="22"/>
        <v>276636085</v>
      </c>
      <c r="P160" t="str" cm="1">
        <f t="array" aca="1" ref="P160" ca="1">9 &amp; INDEX($AF$3:$AF$6,W160)&amp; TEXT(RANDBETWEEN(0,9999999),"0000000")</f>
        <v>936606379</v>
      </c>
      <c r="Q160" t="str" cm="1">
        <f t="array" aca="1" ref="Q160" ca="1">LOWER(B160) &amp; INDEX($AF$9:$AF$11,X160)</f>
        <v>ineboa1349@gmail.com</v>
      </c>
      <c r="R160" t="str">
        <f t="shared" ca="1" si="23"/>
        <v>ineboa1349.jpg</v>
      </c>
      <c r="T160" s="4"/>
      <c r="V160">
        <f ca="1">RANDBETWEEN(2,COUNTA(rua_cod!A:A))</f>
        <v>71</v>
      </c>
      <c r="W160">
        <f t="shared" ca="1" si="24"/>
        <v>3</v>
      </c>
      <c r="X160">
        <f t="shared" ca="1" si="25"/>
        <v>2</v>
      </c>
      <c r="Y160">
        <f t="shared" ca="1" si="26"/>
        <v>1943</v>
      </c>
      <c r="Z160">
        <f t="shared" ca="1" si="27"/>
        <v>12</v>
      </c>
      <c r="AA160">
        <f t="shared" ca="1" si="28"/>
        <v>23</v>
      </c>
      <c r="AB160">
        <f t="shared" ca="1" si="29"/>
        <v>77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joaboa1999</v>
      </c>
      <c r="C161" t="str">
        <f t="shared" ca="1" si="20"/>
        <v>pswjoaboa1999</v>
      </c>
      <c r="D161" t="str">
        <f ca="1">Nomes!T162</f>
        <v>Joana Daniela Gonçalves Baptista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Nova do Almada</v>
      </c>
      <c r="H161" t="str" cm="1">
        <f t="array" aca="1" ref="H161" ca="1">INDEX(rua_cod!$A:$A,Users!V161) &amp; "-" &amp; TEXT(RANDBETWEEN(0,999),"000")</f>
        <v>1999-152</v>
      </c>
      <c r="I161" t="str" cm="1">
        <f t="array" aca="1" ref="I161" ca="1">INDEX(rua_cod!$B:$B,Users!V161)</f>
        <v>Lisboa</v>
      </c>
      <c r="J161" t="s">
        <v>3727</v>
      </c>
      <c r="K161" t="s">
        <v>225</v>
      </c>
      <c r="L161" t="s">
        <v>265</v>
      </c>
      <c r="M161" t="str">
        <f t="shared" ca="1" si="21"/>
        <v>11431230</v>
      </c>
      <c r="N161" t="str">
        <f t="shared" ca="1" si="22"/>
        <v>190491586</v>
      </c>
      <c r="O161" t="str">
        <f t="shared" ca="1" si="22"/>
        <v>236141692</v>
      </c>
      <c r="P161" t="str" cm="1">
        <f t="array" aca="1" ref="P161" ca="1">9 &amp; INDEX($AF$3:$AF$6,W161)&amp; TEXT(RANDBETWEEN(0,9999999),"0000000")</f>
        <v>964175194</v>
      </c>
      <c r="Q161" t="str" cm="1">
        <f t="array" aca="1" ref="Q161" ca="1">LOWER(B161) &amp; INDEX($AF$9:$AF$11,X161)</f>
        <v>joaboa1999@outlook.com</v>
      </c>
      <c r="R161" t="str">
        <f t="shared" ca="1" si="23"/>
        <v>joaboa1999.jpg</v>
      </c>
      <c r="T161" s="4"/>
      <c r="V161">
        <f ca="1">RANDBETWEEN(2,COUNTA(rua_cod!A:A))</f>
        <v>79</v>
      </c>
      <c r="W161">
        <f t="shared" ca="1" si="24"/>
        <v>4</v>
      </c>
      <c r="X161">
        <f t="shared" ca="1" si="25"/>
        <v>1</v>
      </c>
      <c r="Y161">
        <f t="shared" ca="1" si="26"/>
        <v>1950</v>
      </c>
      <c r="Z161">
        <f t="shared" ca="1" si="27"/>
        <v>10</v>
      </c>
      <c r="AA161">
        <f t="shared" ca="1" si="28"/>
        <v>29</v>
      </c>
      <c r="AB161">
        <f t="shared" ca="1" si="29"/>
        <v>70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lauiro2830</v>
      </c>
      <c r="C162" t="str">
        <f t="shared" ca="1" si="20"/>
        <v>pswlauiro2830</v>
      </c>
      <c r="D162" t="str">
        <f ca="1">Nomes!T163</f>
        <v>Laura Diana Araújo Anjos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Garrett</v>
      </c>
      <c r="H162" t="str" cm="1">
        <f t="array" aca="1" ref="H162" ca="1">INDEX(rua_cod!$A:$A,Users!V162) &amp; "-" &amp; TEXT(RANDBETWEEN(0,999),"000")</f>
        <v>2830-672</v>
      </c>
      <c r="I162" t="str" cm="1">
        <f t="array" aca="1" ref="I162" ca="1">INDEX(rua_cod!$B:$B,Users!V162)</f>
        <v>Barreiro</v>
      </c>
      <c r="J162" t="s">
        <v>3727</v>
      </c>
      <c r="K162" t="s">
        <v>225</v>
      </c>
      <c r="L162" t="s">
        <v>265</v>
      </c>
      <c r="M162" t="str">
        <f t="shared" ca="1" si="21"/>
        <v>85079100</v>
      </c>
      <c r="N162" t="str">
        <f t="shared" ca="1" si="22"/>
        <v>982733717</v>
      </c>
      <c r="O162" t="str">
        <f t="shared" ca="1" si="22"/>
        <v>846892703</v>
      </c>
      <c r="P162" t="str" cm="1">
        <f t="array" aca="1" ref="P162" ca="1">9 &amp; INDEX($AF$3:$AF$6,W162)&amp; TEXT(RANDBETWEEN(0,9999999),"0000000")</f>
        <v>911647916</v>
      </c>
      <c r="Q162" t="str" cm="1">
        <f t="array" aca="1" ref="Q162" ca="1">LOWER(B162) &amp; INDEX($AF$9:$AF$11,X162)</f>
        <v>lauiro2830@sapo.pt</v>
      </c>
      <c r="R162" t="str">
        <f t="shared" ca="1" si="23"/>
        <v>lauiro2830.jpg</v>
      </c>
      <c r="T162" s="4"/>
      <c r="V162">
        <f ca="1">RANDBETWEEN(2,COUNTA(rua_cod!A:A))</f>
        <v>16</v>
      </c>
      <c r="W162">
        <f t="shared" ca="1" si="24"/>
        <v>1</v>
      </c>
      <c r="X162">
        <f t="shared" ca="1" si="25"/>
        <v>3</v>
      </c>
      <c r="Y162">
        <f t="shared" ca="1" si="26"/>
        <v>1983</v>
      </c>
      <c r="Z162">
        <f t="shared" ca="1" si="27"/>
        <v>5</v>
      </c>
      <c r="AA162">
        <f t="shared" ca="1" si="28"/>
        <v>19</v>
      </c>
      <c r="AB162">
        <f t="shared" ca="1" si="29"/>
        <v>37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verboa1849</v>
      </c>
      <c r="C163" t="str">
        <f t="shared" ca="1" si="20"/>
        <v>pswverboa1849</v>
      </c>
      <c r="D163" t="str">
        <f ca="1">Nomes!T164</f>
        <v>Vera Ana Costa Azevedo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Rua da Madalena</v>
      </c>
      <c r="H163" t="str" cm="1">
        <f t="array" aca="1" ref="H163" ca="1">INDEX(rua_cod!$A:$A,Users!V163) &amp; "-" &amp; TEXT(RANDBETWEEN(0,999),"000")</f>
        <v>1849-086</v>
      </c>
      <c r="I163" t="str" cm="1">
        <f t="array" aca="1" ref="I163" ca="1">INDEX(rua_cod!$B:$B,Users!V163)</f>
        <v>Lisboa</v>
      </c>
      <c r="J163" t="s">
        <v>3727</v>
      </c>
      <c r="K163" t="s">
        <v>225</v>
      </c>
      <c r="L163" t="s">
        <v>265</v>
      </c>
      <c r="M163" t="str">
        <f t="shared" ca="1" si="21"/>
        <v>72932329</v>
      </c>
      <c r="N163" t="str">
        <f t="shared" ca="1" si="22"/>
        <v>763135380</v>
      </c>
      <c r="O163" t="str">
        <f t="shared" ca="1" si="22"/>
        <v>315109533</v>
      </c>
      <c r="P163" t="str" cm="1">
        <f t="array" aca="1" ref="P163" ca="1">9 &amp; INDEX($AF$3:$AF$6,W163)&amp; TEXT(RANDBETWEEN(0,9999999),"0000000")</f>
        <v>913384397</v>
      </c>
      <c r="Q163" t="str" cm="1">
        <f t="array" aca="1" ref="Q163" ca="1">LOWER(B163) &amp; INDEX($AF$9:$AF$11,X163)</f>
        <v>verboa1849@gmail.com</v>
      </c>
      <c r="R163" t="str">
        <f t="shared" ca="1" si="23"/>
        <v>verboa1849.jpg</v>
      </c>
      <c r="T163" s="4"/>
      <c r="V163">
        <f ca="1">RANDBETWEEN(2,COUNTA(rua_cod!A:A))</f>
        <v>64</v>
      </c>
      <c r="W163">
        <f t="shared" ca="1" si="24"/>
        <v>1</v>
      </c>
      <c r="X163">
        <f t="shared" ca="1" si="25"/>
        <v>2</v>
      </c>
      <c r="Y163">
        <f t="shared" ca="1" si="26"/>
        <v>1989</v>
      </c>
      <c r="Z163">
        <f t="shared" ca="1" si="27"/>
        <v>5</v>
      </c>
      <c r="AA163">
        <f t="shared" ca="1" si="28"/>
        <v>10</v>
      </c>
      <c r="AB163">
        <f t="shared" ca="1" si="29"/>
        <v>31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joaboa1769</v>
      </c>
      <c r="C164" t="str">
        <f t="shared" ca="1" si="20"/>
        <v>pswjoaboa1769</v>
      </c>
      <c r="D164" t="str">
        <f ca="1">Nomes!T165</f>
        <v>João Gabriel Carvalho Lopes</v>
      </c>
      <c r="E164" t="str">
        <f ca="1">Nomes!S165</f>
        <v>Masculino</v>
      </c>
      <c r="F164" s="2">
        <v>22302</v>
      </c>
      <c r="G164" t="str" cm="1">
        <f t="array" aca="1" ref="G164" ca="1">INDEX(rua_cod!$F:$F,RANDBETWEEN(2,COUNTA(rua_cod!F:F)))</f>
        <v>Rua do Guarda-Mor</v>
      </c>
      <c r="H164" t="str" cm="1">
        <f t="array" aca="1" ref="H164" ca="1">INDEX(rua_cod!$A:$A,Users!V164) &amp; "-" &amp; TEXT(RANDBETWEEN(0,999),"000")</f>
        <v>1769-535</v>
      </c>
      <c r="I164" t="str" cm="1">
        <f t="array" aca="1" ref="I164" ca="1">INDEX(rua_cod!$B:$B,Users!V164)</f>
        <v>Lisboa</v>
      </c>
      <c r="J164" t="s">
        <v>3727</v>
      </c>
      <c r="K164" t="s">
        <v>225</v>
      </c>
      <c r="L164" t="s">
        <v>265</v>
      </c>
      <c r="M164" t="str">
        <f t="shared" ca="1" si="21"/>
        <v>83070864</v>
      </c>
      <c r="N164" t="str">
        <f t="shared" ca="1" si="22"/>
        <v>446663136</v>
      </c>
      <c r="O164" t="str">
        <f t="shared" ca="1" si="22"/>
        <v>729481285</v>
      </c>
      <c r="P164" t="str" cm="1">
        <f t="array" aca="1" ref="P164" ca="1">9 &amp; INDEX($AF$3:$AF$6,W164)&amp; TEXT(RANDBETWEEN(0,9999999),"0000000")</f>
        <v>918632343</v>
      </c>
      <c r="Q164" t="str" cm="1">
        <f t="array" aca="1" ref="Q164" ca="1">LOWER(B164) &amp; INDEX($AF$9:$AF$11,X164)</f>
        <v>joaboa1769@sapo.pt</v>
      </c>
      <c r="R164" t="str">
        <f t="shared" ca="1" si="23"/>
        <v>joaboa1769.jpg</v>
      </c>
      <c r="T164" s="4"/>
      <c r="V164">
        <f ca="1">RANDBETWEEN(2,COUNTA(rua_cod!A:A))</f>
        <v>74</v>
      </c>
      <c r="W164">
        <f t="shared" ca="1" si="24"/>
        <v>1</v>
      </c>
      <c r="X164">
        <f t="shared" ca="1" si="25"/>
        <v>3</v>
      </c>
      <c r="Y164">
        <f t="shared" ca="1" si="26"/>
        <v>1960</v>
      </c>
      <c r="Z164">
        <f t="shared" ca="1" si="27"/>
        <v>5</v>
      </c>
      <c r="AA164">
        <f t="shared" ca="1" si="28"/>
        <v>16</v>
      </c>
      <c r="AB164">
        <f t="shared" ca="1" si="29"/>
        <v>60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joabal2904</v>
      </c>
      <c r="C165" t="str">
        <f t="shared" ca="1" si="20"/>
        <v>pswjoabal2904</v>
      </c>
      <c r="D165" t="str">
        <f ca="1">Nomes!T166</f>
        <v>Joana Martim Pinho Freitas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Rua da Oliveira ao Carmo</v>
      </c>
      <c r="H165" t="str" cm="1">
        <f t="array" aca="1" ref="H165" ca="1">INDEX(rua_cod!$A:$A,Users!V165) &amp; "-" &amp; TEXT(RANDBETWEEN(0,999),"000")</f>
        <v>2904-897</v>
      </c>
      <c r="I165" t="str" cm="1">
        <f t="array" aca="1" ref="I165" ca="1">INDEX(rua_cod!$B:$B,Users!V165)</f>
        <v>Setúbal</v>
      </c>
      <c r="J165" t="s">
        <v>3727</v>
      </c>
      <c r="K165" t="s">
        <v>225</v>
      </c>
      <c r="L165" t="s">
        <v>265</v>
      </c>
      <c r="M165" t="str">
        <f t="shared" ca="1" si="21"/>
        <v>30143348</v>
      </c>
      <c r="N165" t="str">
        <f t="shared" ca="1" si="22"/>
        <v>432976309</v>
      </c>
      <c r="O165" t="str">
        <f t="shared" ca="1" si="22"/>
        <v>950310577</v>
      </c>
      <c r="P165" t="str" cm="1">
        <f t="array" aca="1" ref="P165" ca="1">9 &amp; INDEX($AF$3:$AF$6,W165)&amp; TEXT(RANDBETWEEN(0,9999999),"0000000")</f>
        <v>934722890</v>
      </c>
      <c r="Q165" t="str" cm="1">
        <f t="array" aca="1" ref="Q165" ca="1">LOWER(B165) &amp; INDEX($AF$9:$AF$11,X165)</f>
        <v>joabal2904@sapo.pt</v>
      </c>
      <c r="R165" t="str">
        <f t="shared" ca="1" si="23"/>
        <v>joabal2904.jpg</v>
      </c>
      <c r="T165" s="4"/>
      <c r="V165">
        <f ca="1">RANDBETWEEN(2,COUNTA(rua_cod!A:A))</f>
        <v>99</v>
      </c>
      <c r="W165">
        <f t="shared" ca="1" si="24"/>
        <v>3</v>
      </c>
      <c r="X165">
        <f t="shared" ca="1" si="25"/>
        <v>3</v>
      </c>
      <c r="Y165">
        <f t="shared" ca="1" si="26"/>
        <v>1935</v>
      </c>
      <c r="Z165">
        <f t="shared" ca="1" si="27"/>
        <v>9</v>
      </c>
      <c r="AA165">
        <f t="shared" ca="1" si="28"/>
        <v>12</v>
      </c>
      <c r="AB165">
        <f t="shared" ca="1" si="29"/>
        <v>85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aforas2784</v>
      </c>
      <c r="C166" t="str">
        <f t="shared" ca="1" si="20"/>
        <v>pswaforas2784</v>
      </c>
      <c r="D166" t="str">
        <f ca="1">Nomes!T167</f>
        <v>Afonso Martim Sá Jesus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do Instituto Bacteriológico</v>
      </c>
      <c r="H166" t="str" cm="1">
        <f t="array" aca="1" ref="H166" ca="1">INDEX(rua_cod!$A:$A,Users!V166) &amp; "-" &amp; TEXT(RANDBETWEEN(0,999),"000")</f>
        <v>2784-142</v>
      </c>
      <c r="I166" t="str" cm="1">
        <f t="array" aca="1" ref="I166" ca="1">INDEX(rua_cod!$B:$B,Users!V166)</f>
        <v>Oeiras</v>
      </c>
      <c r="J166" t="s">
        <v>3727</v>
      </c>
      <c r="K166" t="s">
        <v>225</v>
      </c>
      <c r="L166" t="s">
        <v>265</v>
      </c>
      <c r="M166" t="str">
        <f t="shared" ca="1" si="21"/>
        <v>26868189</v>
      </c>
      <c r="N166" t="str">
        <f t="shared" ca="1" si="22"/>
        <v>432926492</v>
      </c>
      <c r="O166" t="str">
        <f t="shared" ca="1" si="22"/>
        <v>980126168</v>
      </c>
      <c r="P166" t="str" cm="1">
        <f t="array" aca="1" ref="P166" ca="1">9 &amp; INDEX($AF$3:$AF$6,W166)&amp; TEXT(RANDBETWEEN(0,9999999),"0000000")</f>
        <v>960015672</v>
      </c>
      <c r="Q166" t="str" cm="1">
        <f t="array" aca="1" ref="Q166" ca="1">LOWER(B166) &amp; INDEX($AF$9:$AF$11,X166)</f>
        <v>aforas2784@outlook.com</v>
      </c>
      <c r="R166" t="str">
        <f t="shared" ca="1" si="23"/>
        <v>aforas2784.jpg</v>
      </c>
      <c r="T166" s="4"/>
      <c r="V166">
        <f ca="1">RANDBETWEEN(2,COUNTA(rua_cod!A:A))</f>
        <v>89</v>
      </c>
      <c r="W166">
        <f t="shared" ca="1" si="24"/>
        <v>4</v>
      </c>
      <c r="X166">
        <f t="shared" ca="1" si="25"/>
        <v>1</v>
      </c>
      <c r="Y166">
        <f t="shared" ca="1" si="26"/>
        <v>1981</v>
      </c>
      <c r="Z166">
        <f t="shared" ca="1" si="27"/>
        <v>10</v>
      </c>
      <c r="AA166">
        <f t="shared" ca="1" si="28"/>
        <v>2</v>
      </c>
      <c r="AB166">
        <f t="shared" ca="1" si="29"/>
        <v>39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bruboa1000</v>
      </c>
      <c r="C167" t="str">
        <f t="shared" ca="1" si="20"/>
        <v>pswbruboa1000</v>
      </c>
      <c r="D167" t="str">
        <f ca="1">Nomes!T168</f>
        <v>Bruno Ana Anjos Borges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do Arsenal</v>
      </c>
      <c r="H167" t="str" cm="1">
        <f t="array" aca="1" ref="H167" ca="1">INDEX(rua_cod!$A:$A,Users!V167) &amp; "-" &amp; TEXT(RANDBETWEEN(0,999),"000")</f>
        <v>1000-184</v>
      </c>
      <c r="I167" t="str" cm="1">
        <f t="array" aca="1" ref="I167" ca="1">INDEX(rua_cod!$B:$B,Users!V167)</f>
        <v>Lisboa</v>
      </c>
      <c r="J167" t="s">
        <v>3727</v>
      </c>
      <c r="K167" t="s">
        <v>225</v>
      </c>
      <c r="L167" t="s">
        <v>265</v>
      </c>
      <c r="M167" t="str">
        <f t="shared" ca="1" si="21"/>
        <v>42834740</v>
      </c>
      <c r="N167" t="str">
        <f t="shared" ca="1" si="22"/>
        <v>102291641</v>
      </c>
      <c r="O167" t="str">
        <f t="shared" ca="1" si="22"/>
        <v>855633480</v>
      </c>
      <c r="P167" t="str" cm="1">
        <f t="array" aca="1" ref="P167" ca="1">9 &amp; INDEX($AF$3:$AF$6,W167)&amp; TEXT(RANDBETWEEN(0,9999999),"0000000")</f>
        <v>925985922</v>
      </c>
      <c r="Q167" t="str" cm="1">
        <f t="array" aca="1" ref="Q167" ca="1">LOWER(B167) &amp; INDEX($AF$9:$AF$11,X167)</f>
        <v>bruboa1000@outlook.com</v>
      </c>
      <c r="R167" t="str">
        <f t="shared" ca="1" si="23"/>
        <v>bruboa1000.jpg</v>
      </c>
      <c r="T167" s="4"/>
      <c r="V167">
        <f ca="1">RANDBETWEEN(2,COUNTA(rua_cod!A:A))</f>
        <v>62</v>
      </c>
      <c r="W167">
        <f t="shared" ca="1" si="24"/>
        <v>2</v>
      </c>
      <c r="X167">
        <f t="shared" ca="1" si="25"/>
        <v>1</v>
      </c>
      <c r="Y167">
        <f t="shared" ca="1" si="26"/>
        <v>2000</v>
      </c>
      <c r="Z167">
        <f t="shared" ca="1" si="27"/>
        <v>3</v>
      </c>
      <c r="AA167">
        <f t="shared" ca="1" si="28"/>
        <v>25</v>
      </c>
      <c r="AB167">
        <f t="shared" ca="1" si="29"/>
        <v>20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luitra2714</v>
      </c>
      <c r="C168" t="str">
        <f t="shared" ca="1" si="20"/>
        <v>pswluitra2714</v>
      </c>
      <c r="D168" t="str">
        <f ca="1">Nomes!T169</f>
        <v>Luís Lurdes Leite Ramos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dos Bacalhoeiros</v>
      </c>
      <c r="H168" t="str" cm="1">
        <f t="array" aca="1" ref="H168" ca="1">INDEX(rua_cod!$A:$A,Users!V168) &amp; "-" &amp; TEXT(RANDBETWEEN(0,999),"000")</f>
        <v>2714-850</v>
      </c>
      <c r="I168" t="str" cm="1">
        <f t="array" aca="1" ref="I168" ca="1">INDEX(rua_cod!$B:$B,Users!V168)</f>
        <v>Sintra</v>
      </c>
      <c r="J168" t="s">
        <v>3727</v>
      </c>
      <c r="K168" t="s">
        <v>225</v>
      </c>
      <c r="L168" t="s">
        <v>265</v>
      </c>
      <c r="M168" t="str">
        <f t="shared" ca="1" si="21"/>
        <v>26987820</v>
      </c>
      <c r="N168" t="str">
        <f t="shared" ca="1" si="22"/>
        <v>748308846</v>
      </c>
      <c r="O168" t="str">
        <f t="shared" ca="1" si="22"/>
        <v>315042551</v>
      </c>
      <c r="P168" t="str" cm="1">
        <f t="array" aca="1" ref="P168" ca="1">9 &amp; INDEX($AF$3:$AF$6,W168)&amp; TEXT(RANDBETWEEN(0,9999999),"0000000")</f>
        <v>933415947</v>
      </c>
      <c r="Q168" t="str" cm="1">
        <f t="array" aca="1" ref="Q168" ca="1">LOWER(B168) &amp; INDEX($AF$9:$AF$11,X168)</f>
        <v>luitra2714@sapo.pt</v>
      </c>
      <c r="R168" t="str">
        <f t="shared" ca="1" si="23"/>
        <v>luitra2714.jpg</v>
      </c>
      <c r="T168" s="4"/>
      <c r="V168">
        <f ca="1">RANDBETWEEN(2,COUNTA(rua_cod!A:A))</f>
        <v>101</v>
      </c>
      <c r="W168">
        <f t="shared" ca="1" si="24"/>
        <v>3</v>
      </c>
      <c r="X168">
        <f t="shared" ca="1" si="25"/>
        <v>3</v>
      </c>
      <c r="Y168">
        <f t="shared" ca="1" si="26"/>
        <v>1996</v>
      </c>
      <c r="Z168">
        <f t="shared" ca="1" si="27"/>
        <v>6</v>
      </c>
      <c r="AA168">
        <f t="shared" ca="1" si="28"/>
        <v>4</v>
      </c>
      <c r="AB168">
        <f t="shared" ca="1" si="29"/>
        <v>24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larboa1100</v>
      </c>
      <c r="C169" t="str">
        <f t="shared" ca="1" si="20"/>
        <v>pswlarboa1100</v>
      </c>
      <c r="D169" t="str">
        <f ca="1">Nomes!T170</f>
        <v>Lara Sara Moreira Correia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Cidade de Bolama</v>
      </c>
      <c r="H169" t="str" cm="1">
        <f t="array" aca="1" ref="H169" ca="1">INDEX(rua_cod!$A:$A,Users!V169) &amp; "-" &amp; TEXT(RANDBETWEEN(0,999),"000")</f>
        <v>1100-617</v>
      </c>
      <c r="I169" t="str" cm="1">
        <f t="array" aca="1" ref="I169" ca="1">INDEX(rua_cod!$B:$B,Users!V169)</f>
        <v>Lisboa</v>
      </c>
      <c r="J169" t="s">
        <v>3727</v>
      </c>
      <c r="K169" t="s">
        <v>225</v>
      </c>
      <c r="L169" t="s">
        <v>265</v>
      </c>
      <c r="M169" t="str">
        <f t="shared" ca="1" si="21"/>
        <v>82919041</v>
      </c>
      <c r="N169" t="str">
        <f t="shared" ca="1" si="22"/>
        <v>369929596</v>
      </c>
      <c r="O169" t="str">
        <f t="shared" ca="1" si="22"/>
        <v>232490764</v>
      </c>
      <c r="P169" t="str" cm="1">
        <f t="array" aca="1" ref="P169" ca="1">9 &amp; INDEX($AF$3:$AF$6,W169)&amp; TEXT(RANDBETWEEN(0,9999999),"0000000")</f>
        <v>912701399</v>
      </c>
      <c r="Q169" t="str" cm="1">
        <f t="array" aca="1" ref="Q169" ca="1">LOWER(B169) &amp; INDEX($AF$9:$AF$11,X169)</f>
        <v>larboa1100@outlook.com</v>
      </c>
      <c r="R169" t="str">
        <f t="shared" ca="1" si="23"/>
        <v>larboa1100.jpg</v>
      </c>
      <c r="T169" s="4"/>
      <c r="V169">
        <f ca="1">RANDBETWEEN(2,COUNTA(rua_cod!A:A))</f>
        <v>46</v>
      </c>
      <c r="W169">
        <f t="shared" ca="1" si="24"/>
        <v>1</v>
      </c>
      <c r="X169">
        <f t="shared" ca="1" si="25"/>
        <v>1</v>
      </c>
      <c r="Y169">
        <f t="shared" ca="1" si="26"/>
        <v>1966</v>
      </c>
      <c r="Z169">
        <f t="shared" ca="1" si="27"/>
        <v>3</v>
      </c>
      <c r="AA169">
        <f t="shared" ca="1" si="28"/>
        <v>24</v>
      </c>
      <c r="AB169">
        <f t="shared" ca="1" si="29"/>
        <v>54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joaira2655</v>
      </c>
      <c r="C170" t="str">
        <f t="shared" ca="1" si="20"/>
        <v>pswjoaira2655</v>
      </c>
      <c r="D170" t="str">
        <f ca="1">Nomes!T171</f>
        <v>João Diogo Coelho Lourenço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da Betesga</v>
      </c>
      <c r="H170" t="str" cm="1">
        <f t="array" aca="1" ref="H170" ca="1">INDEX(rua_cod!$A:$A,Users!V170) &amp; "-" &amp; TEXT(RANDBETWEEN(0,999),"000")</f>
        <v>2655-268</v>
      </c>
      <c r="I170" t="str" cm="1">
        <f t="array" aca="1" ref="I170" ca="1">INDEX(rua_cod!$B:$B,Users!V170)</f>
        <v>Ericeira</v>
      </c>
      <c r="J170" t="s">
        <v>3727</v>
      </c>
      <c r="K170" t="s">
        <v>225</v>
      </c>
      <c r="L170" t="s">
        <v>265</v>
      </c>
      <c r="M170" t="str">
        <f t="shared" ca="1" si="21"/>
        <v>87276984</v>
      </c>
      <c r="N170" t="str">
        <f t="shared" ca="1" si="22"/>
        <v>488971732</v>
      </c>
      <c r="O170" t="str">
        <f t="shared" ca="1" si="22"/>
        <v>822726959</v>
      </c>
      <c r="P170" t="str" cm="1">
        <f t="array" aca="1" ref="P170" ca="1">9 &amp; INDEX($AF$3:$AF$6,W170)&amp; TEXT(RANDBETWEEN(0,9999999),"0000000")</f>
        <v>918728335</v>
      </c>
      <c r="Q170" t="str" cm="1">
        <f t="array" aca="1" ref="Q170" ca="1">LOWER(B170) &amp; INDEX($AF$9:$AF$11,X170)</f>
        <v>joaira2655@gmail.com</v>
      </c>
      <c r="R170" t="str">
        <f t="shared" ca="1" si="23"/>
        <v>joaira2655.jpg</v>
      </c>
      <c r="T170" s="4"/>
      <c r="V170">
        <f ca="1">RANDBETWEEN(2,COUNTA(rua_cod!A:A))</f>
        <v>31</v>
      </c>
      <c r="W170">
        <f t="shared" ca="1" si="24"/>
        <v>1</v>
      </c>
      <c r="X170">
        <f t="shared" ca="1" si="25"/>
        <v>2</v>
      </c>
      <c r="Y170">
        <f t="shared" ca="1" si="26"/>
        <v>1972</v>
      </c>
      <c r="Z170">
        <f t="shared" ca="1" si="27"/>
        <v>11</v>
      </c>
      <c r="AA170">
        <f t="shared" ca="1" si="28"/>
        <v>25</v>
      </c>
      <c r="AB170">
        <f t="shared" ca="1" si="29"/>
        <v>48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diaboa1249</v>
      </c>
      <c r="C171" t="str">
        <f t="shared" ca="1" si="20"/>
        <v>pswdiaboa1249</v>
      </c>
      <c r="D171" t="str">
        <f ca="1">Nomes!T172</f>
        <v>Diana Ana Lopes Leal</v>
      </c>
      <c r="E171" t="str">
        <f ca="1">Nomes!S172</f>
        <v>Feminino</v>
      </c>
      <c r="F171" s="2">
        <v>18245</v>
      </c>
      <c r="G171" t="str" cm="1">
        <f t="array" aca="1" ref="G171" ca="1">INDEX(rua_cod!$F:$F,RANDBETWEEN(2,COUNTA(rua_cod!F:F)))</f>
        <v>Rua dos Heróis de Quionga</v>
      </c>
      <c r="H171" t="str" cm="1">
        <f t="array" aca="1" ref="H171" ca="1">INDEX(rua_cod!$A:$A,Users!V171) &amp; "-" &amp; TEXT(RANDBETWEEN(0,999),"000")</f>
        <v>1249-308</v>
      </c>
      <c r="I171" t="str" cm="1">
        <f t="array" aca="1" ref="I171" ca="1">INDEX(rua_cod!$B:$B,Users!V171)</f>
        <v>Lisboa</v>
      </c>
      <c r="J171" t="s">
        <v>3727</v>
      </c>
      <c r="K171" t="s">
        <v>225</v>
      </c>
      <c r="L171" t="s">
        <v>265</v>
      </c>
      <c r="M171" t="str">
        <f t="shared" ca="1" si="21"/>
        <v>60144445</v>
      </c>
      <c r="N171" t="str">
        <f t="shared" ca="1" si="22"/>
        <v>736431334</v>
      </c>
      <c r="O171" t="str">
        <f t="shared" ca="1" si="22"/>
        <v>518054017</v>
      </c>
      <c r="P171" t="str" cm="1">
        <f t="array" aca="1" ref="P171" ca="1">9 &amp; INDEX($AF$3:$AF$6,W171)&amp; TEXT(RANDBETWEEN(0,9999999),"0000000")</f>
        <v>925032407</v>
      </c>
      <c r="Q171" t="str" cm="1">
        <f t="array" aca="1" ref="Q171" ca="1">LOWER(B171) &amp; INDEX($AF$9:$AF$11,X171)</f>
        <v>diaboa1249@outlook.com</v>
      </c>
      <c r="R171" t="str">
        <f t="shared" ca="1" si="23"/>
        <v>diaboa1249.jpg</v>
      </c>
      <c r="T171" s="4"/>
      <c r="V171">
        <f ca="1">RANDBETWEEN(2,COUNTA(rua_cod!A:A))</f>
        <v>63</v>
      </c>
      <c r="W171">
        <f t="shared" ca="1" si="24"/>
        <v>2</v>
      </c>
      <c r="X171">
        <f t="shared" ca="1" si="25"/>
        <v>1</v>
      </c>
      <c r="Y171">
        <f t="shared" ca="1" si="26"/>
        <v>1937</v>
      </c>
      <c r="Z171">
        <f t="shared" ca="1" si="27"/>
        <v>5</v>
      </c>
      <c r="AA171">
        <f t="shared" ca="1" si="28"/>
        <v>12</v>
      </c>
      <c r="AB171">
        <f t="shared" ca="1" si="29"/>
        <v>83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bruora2700</v>
      </c>
      <c r="C172" t="str">
        <f t="shared" ca="1" si="20"/>
        <v>pswbruora2700</v>
      </c>
      <c r="D172" t="str">
        <f ca="1">Nomes!T173</f>
        <v>Bruno Martim Alves Amorim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Rua do Carmo</v>
      </c>
      <c r="H172" t="str" cm="1">
        <f t="array" aca="1" ref="H172" ca="1">INDEX(rua_cod!$A:$A,Users!V172) &amp; "-" &amp; TEXT(RANDBETWEEN(0,999),"000")</f>
        <v>2700-261</v>
      </c>
      <c r="I172" t="str" cm="1">
        <f t="array" aca="1" ref="I172" ca="1">INDEX(rua_cod!$B:$B,Users!V172)</f>
        <v>Amadora</v>
      </c>
      <c r="J172" t="s">
        <v>3727</v>
      </c>
      <c r="K172" t="s">
        <v>225</v>
      </c>
      <c r="L172" t="s">
        <v>265</v>
      </c>
      <c r="M172" t="str">
        <f t="shared" ca="1" si="21"/>
        <v>84183356</v>
      </c>
      <c r="N172" t="str">
        <f t="shared" ca="1" si="22"/>
        <v>789824819</v>
      </c>
      <c r="O172" t="str">
        <f t="shared" ca="1" si="22"/>
        <v>976626943</v>
      </c>
      <c r="P172" t="str" cm="1">
        <f t="array" aca="1" ref="P172" ca="1">9 &amp; INDEX($AF$3:$AF$6,W172)&amp; TEXT(RANDBETWEEN(0,9999999),"0000000")</f>
        <v>914618462</v>
      </c>
      <c r="Q172" t="str" cm="1">
        <f t="array" aca="1" ref="Q172" ca="1">LOWER(B172) &amp; INDEX($AF$9:$AF$11,X172)</f>
        <v>bruora2700@sapo.pt</v>
      </c>
      <c r="R172" t="str">
        <f t="shared" ca="1" si="23"/>
        <v>bruora2700.jpg</v>
      </c>
      <c r="T172" s="4"/>
      <c r="V172">
        <f ca="1">RANDBETWEEN(2,COUNTA(rua_cod!A:A))</f>
        <v>10</v>
      </c>
      <c r="W172">
        <f t="shared" ca="1" si="24"/>
        <v>1</v>
      </c>
      <c r="X172">
        <f t="shared" ca="1" si="25"/>
        <v>3</v>
      </c>
      <c r="Y172">
        <f t="shared" ca="1" si="26"/>
        <v>2014</v>
      </c>
      <c r="Z172">
        <f t="shared" ca="1" si="27"/>
        <v>9</v>
      </c>
      <c r="AA172">
        <f t="shared" ca="1" si="28"/>
        <v>5</v>
      </c>
      <c r="AB172">
        <f t="shared" ca="1" si="29"/>
        <v>6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sanria2414</v>
      </c>
      <c r="C173" t="str">
        <f t="shared" ca="1" si="20"/>
        <v>pswsanria2414</v>
      </c>
      <c r="D173" t="str">
        <f ca="1">Nomes!T174</f>
        <v>Santiago Tomás Cunha Rocha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Rua Nova do Almada</v>
      </c>
      <c r="H173" t="str" cm="1">
        <f t="array" aca="1" ref="H173" ca="1">INDEX(rua_cod!$A:$A,Users!V173) &amp; "-" &amp; TEXT(RANDBETWEEN(0,999),"000")</f>
        <v>2414-312</v>
      </c>
      <c r="I173" t="str" cm="1">
        <f t="array" aca="1" ref="I173" ca="1">INDEX(rua_cod!$B:$B,Users!V173)</f>
        <v>Leiria</v>
      </c>
      <c r="J173" t="s">
        <v>3727</v>
      </c>
      <c r="K173" t="s">
        <v>225</v>
      </c>
      <c r="L173" t="s">
        <v>265</v>
      </c>
      <c r="M173" t="str">
        <f t="shared" ca="1" si="21"/>
        <v>16476505</v>
      </c>
      <c r="N173" t="str">
        <f t="shared" ca="1" si="22"/>
        <v>379303942</v>
      </c>
      <c r="O173" t="str">
        <f t="shared" ca="1" si="22"/>
        <v>316413296</v>
      </c>
      <c r="P173" t="str" cm="1">
        <f t="array" aca="1" ref="P173" ca="1">9 &amp; INDEX($AF$3:$AF$6,W173)&amp; TEXT(RANDBETWEEN(0,9999999),"0000000")</f>
        <v>918165142</v>
      </c>
      <c r="Q173" t="str" cm="1">
        <f t="array" aca="1" ref="Q173" ca="1">LOWER(B173) &amp; INDEX($AF$9:$AF$11,X173)</f>
        <v>sanria2414@outlook.com</v>
      </c>
      <c r="R173" t="str">
        <f t="shared" ca="1" si="23"/>
        <v>sanria2414.jpg</v>
      </c>
      <c r="T173" s="4"/>
      <c r="V173">
        <f ca="1">RANDBETWEEN(2,COUNTA(rua_cod!A:A))</f>
        <v>36</v>
      </c>
      <c r="W173">
        <f t="shared" ca="1" si="24"/>
        <v>1</v>
      </c>
      <c r="X173">
        <f t="shared" ca="1" si="25"/>
        <v>1</v>
      </c>
      <c r="Y173">
        <f t="shared" ca="1" si="26"/>
        <v>1954</v>
      </c>
      <c r="Z173">
        <f t="shared" ca="1" si="27"/>
        <v>9</v>
      </c>
      <c r="AA173">
        <f t="shared" ca="1" si="28"/>
        <v>28</v>
      </c>
      <c r="AB173">
        <f t="shared" ca="1" si="29"/>
        <v>66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bruica2829</v>
      </c>
      <c r="C174" t="str">
        <f t="shared" ca="1" si="20"/>
        <v>pswbruica2829</v>
      </c>
      <c r="D174" t="str">
        <f ca="1">Nomes!T175</f>
        <v>Bruno Bruno Carvalho Maia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da Betesga</v>
      </c>
      <c r="H174" t="str" cm="1">
        <f t="array" aca="1" ref="H174" ca="1">INDEX(rua_cod!$A:$A,Users!V174) &amp; "-" &amp; TEXT(RANDBETWEEN(0,999),"000")</f>
        <v>2829-010</v>
      </c>
      <c r="I174" t="str" cm="1">
        <f t="array" aca="1" ref="I174" ca="1">INDEX(rua_cod!$B:$B,Users!V174)</f>
        <v>Caparica</v>
      </c>
      <c r="J174" t="s">
        <v>3727</v>
      </c>
      <c r="K174" t="s">
        <v>225</v>
      </c>
      <c r="L174" t="s">
        <v>265</v>
      </c>
      <c r="M174" t="str">
        <f t="shared" ca="1" si="21"/>
        <v>99472238</v>
      </c>
      <c r="N174" t="str">
        <f t="shared" ca="1" si="22"/>
        <v>357516617</v>
      </c>
      <c r="O174" t="str">
        <f t="shared" ca="1" si="22"/>
        <v>910911533</v>
      </c>
      <c r="P174" t="str" cm="1">
        <f t="array" aca="1" ref="P174" ca="1">9 &amp; INDEX($AF$3:$AF$6,W174)&amp; TEXT(RANDBETWEEN(0,9999999),"0000000")</f>
        <v>915403014</v>
      </c>
      <c r="Q174" t="str" cm="1">
        <f t="array" aca="1" ref="Q174" ca="1">LOWER(B174) &amp; INDEX($AF$9:$AF$11,X174)</f>
        <v>bruica2829@gmail.com</v>
      </c>
      <c r="R174" t="str">
        <f t="shared" ca="1" si="23"/>
        <v>bruica2829.jpg</v>
      </c>
      <c r="T174" s="4"/>
      <c r="V174">
        <f ca="1">RANDBETWEEN(2,COUNTA(rua_cod!A:A))</f>
        <v>19</v>
      </c>
      <c r="W174">
        <f t="shared" ca="1" si="24"/>
        <v>1</v>
      </c>
      <c r="X174">
        <f t="shared" ca="1" si="25"/>
        <v>2</v>
      </c>
      <c r="Y174">
        <f t="shared" ca="1" si="26"/>
        <v>1974</v>
      </c>
      <c r="Z174">
        <f t="shared" ca="1" si="27"/>
        <v>1</v>
      </c>
      <c r="AA174">
        <f t="shared" ca="1" si="28"/>
        <v>1</v>
      </c>
      <c r="AB174">
        <f t="shared" ca="1" si="29"/>
        <v>46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sarboa1350</v>
      </c>
      <c r="C175" t="str">
        <f t="shared" ca="1" si="20"/>
        <v>pswsarboa1350</v>
      </c>
      <c r="D175" t="str">
        <f ca="1">Nomes!T176</f>
        <v>Sara Daniela Teixeira Pinheiro</v>
      </c>
      <c r="E175" t="str">
        <f ca="1">Nomes!S176</f>
        <v>Feminino</v>
      </c>
      <c r="F175" s="2">
        <v>24653</v>
      </c>
      <c r="G175" t="str" cm="1">
        <f t="array" aca="1" ref="G175" ca="1">INDEX(rua_cod!$F:$F,RANDBETWEEN(2,COUNTA(rua_cod!F:F)))</f>
        <v>Estrada das Laranjeiras</v>
      </c>
      <c r="H175" t="str" cm="1">
        <f t="array" aca="1" ref="H175" ca="1">INDEX(rua_cod!$A:$A,Users!V175) &amp; "-" &amp; TEXT(RANDBETWEEN(0,999),"000")</f>
        <v>1350-809</v>
      </c>
      <c r="I175" t="str" cm="1">
        <f t="array" aca="1" ref="I175" ca="1">INDEX(rua_cod!$B:$B,Users!V175)</f>
        <v>Lisboa</v>
      </c>
      <c r="J175" t="s">
        <v>3727</v>
      </c>
      <c r="K175" t="s">
        <v>225</v>
      </c>
      <c r="L175" t="s">
        <v>265</v>
      </c>
      <c r="M175" t="str">
        <f t="shared" ca="1" si="21"/>
        <v>95838650</v>
      </c>
      <c r="N175" t="str">
        <f t="shared" ca="1" si="22"/>
        <v>756828456</v>
      </c>
      <c r="O175" t="str">
        <f t="shared" ca="1" si="22"/>
        <v>596869211</v>
      </c>
      <c r="P175" t="str" cm="1">
        <f t="array" aca="1" ref="P175" ca="1">9 &amp; INDEX($AF$3:$AF$6,W175)&amp; TEXT(RANDBETWEEN(0,9999999),"0000000")</f>
        <v>931364849</v>
      </c>
      <c r="Q175" t="str" cm="1">
        <f t="array" aca="1" ref="Q175" ca="1">LOWER(B175) &amp; INDEX($AF$9:$AF$11,X175)</f>
        <v>sarboa1350@gmail.com</v>
      </c>
      <c r="R175" t="str">
        <f t="shared" ca="1" si="23"/>
        <v>sarboa1350.jpg</v>
      </c>
      <c r="T175" s="4"/>
      <c r="V175">
        <f ca="1">RANDBETWEEN(2,COUNTA(rua_cod!A:A))</f>
        <v>54</v>
      </c>
      <c r="W175">
        <f t="shared" ca="1" si="24"/>
        <v>3</v>
      </c>
      <c r="X175">
        <f t="shared" ca="1" si="25"/>
        <v>2</v>
      </c>
      <c r="Y175">
        <f t="shared" ca="1" si="26"/>
        <v>1957</v>
      </c>
      <c r="Z175">
        <f t="shared" ca="1" si="27"/>
        <v>6</v>
      </c>
      <c r="AA175">
        <f t="shared" ca="1" si="28"/>
        <v>5</v>
      </c>
      <c r="AB175">
        <f t="shared" ca="1" si="29"/>
        <v>63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fraluz2749</v>
      </c>
      <c r="C176" t="str">
        <f t="shared" ca="1" si="20"/>
        <v>pswfraluz2749</v>
      </c>
      <c r="D176" t="str">
        <f ca="1">Nomes!T177</f>
        <v>Francisca Sara Henriques Matos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Estrada da Circunvalação de Lisboa</v>
      </c>
      <c r="H176" t="str" cm="1">
        <f t="array" aca="1" ref="H176" ca="1">INDEX(rua_cod!$A:$A,Users!V176) &amp; "-" &amp; TEXT(RANDBETWEEN(0,999),"000")</f>
        <v>2749-473</v>
      </c>
      <c r="I176" t="str" cm="1">
        <f t="array" aca="1" ref="I176" ca="1">INDEX(rua_cod!$B:$B,Users!V176)</f>
        <v>Queluz</v>
      </c>
      <c r="J176" t="s">
        <v>3727</v>
      </c>
      <c r="K176" t="s">
        <v>225</v>
      </c>
      <c r="L176" t="s">
        <v>265</v>
      </c>
      <c r="M176" t="str">
        <f t="shared" ca="1" si="21"/>
        <v>43400630</v>
      </c>
      <c r="N176" t="str">
        <f t="shared" ca="1" si="22"/>
        <v>878108223</v>
      </c>
      <c r="O176" t="str">
        <f t="shared" ca="1" si="22"/>
        <v>894936944</v>
      </c>
      <c r="P176" t="str" cm="1">
        <f t="array" aca="1" ref="P176" ca="1">9 &amp; INDEX($AF$3:$AF$6,W176)&amp; TEXT(RANDBETWEEN(0,9999999),"0000000")</f>
        <v>963731160</v>
      </c>
      <c r="Q176" t="str" cm="1">
        <f t="array" aca="1" ref="Q176" ca="1">LOWER(B176) &amp; INDEX($AF$9:$AF$11,X176)</f>
        <v>fraluz2749@sapo.pt</v>
      </c>
      <c r="R176" t="str">
        <f t="shared" ca="1" si="23"/>
        <v>fraluz2749.jpg</v>
      </c>
      <c r="T176" s="4"/>
      <c r="V176">
        <f ca="1">RANDBETWEEN(2,COUNTA(rua_cod!A:A))</f>
        <v>91</v>
      </c>
      <c r="W176">
        <f t="shared" ca="1" si="24"/>
        <v>4</v>
      </c>
      <c r="X176">
        <f t="shared" ca="1" si="25"/>
        <v>3</v>
      </c>
      <c r="Y176">
        <f t="shared" ca="1" si="26"/>
        <v>1909</v>
      </c>
      <c r="Z176">
        <f t="shared" ca="1" si="27"/>
        <v>6</v>
      </c>
      <c r="AA176">
        <f t="shared" ca="1" si="28"/>
        <v>27</v>
      </c>
      <c r="AB176">
        <f t="shared" ca="1" si="29"/>
        <v>111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fraria2420</v>
      </c>
      <c r="C177" t="str">
        <f t="shared" ca="1" si="20"/>
        <v>pswfraria2420</v>
      </c>
      <c r="D177" t="str">
        <f ca="1">Nomes!T178</f>
        <v>Francisco José Marques Oliveira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de São Mamede</v>
      </c>
      <c r="H177" t="str" cm="1">
        <f t="array" aca="1" ref="H177" ca="1">INDEX(rua_cod!$A:$A,Users!V177) &amp; "-" &amp; TEXT(RANDBETWEEN(0,999),"000")</f>
        <v>2420-452</v>
      </c>
      <c r="I177" t="str" cm="1">
        <f t="array" aca="1" ref="I177" ca="1">INDEX(rua_cod!$B:$B,Users!V177)</f>
        <v>Leiria</v>
      </c>
      <c r="J177" t="s">
        <v>3727</v>
      </c>
      <c r="K177" t="s">
        <v>225</v>
      </c>
      <c r="L177" t="s">
        <v>265</v>
      </c>
      <c r="M177" t="str">
        <f t="shared" ca="1" si="21"/>
        <v>45904967</v>
      </c>
      <c r="N177" t="str">
        <f t="shared" ca="1" si="22"/>
        <v>123544120</v>
      </c>
      <c r="O177" t="str">
        <f t="shared" ca="1" si="22"/>
        <v>533436377</v>
      </c>
      <c r="P177" t="str" cm="1">
        <f t="array" aca="1" ref="P177" ca="1">9 &amp; INDEX($AF$3:$AF$6,W177)&amp; TEXT(RANDBETWEEN(0,9999999),"0000000")</f>
        <v>923417129</v>
      </c>
      <c r="Q177" t="str" cm="1">
        <f t="array" aca="1" ref="Q177" ca="1">LOWER(B177) &amp; INDEX($AF$9:$AF$11,X177)</f>
        <v>fraria2420@outlook.com</v>
      </c>
      <c r="R177" t="str">
        <f t="shared" ca="1" si="23"/>
        <v>fraria2420.jpg</v>
      </c>
      <c r="T177" s="4"/>
      <c r="V177">
        <f ca="1">RANDBETWEEN(2,COUNTA(rua_cod!A:A))</f>
        <v>33</v>
      </c>
      <c r="W177">
        <f t="shared" ca="1" si="24"/>
        <v>2</v>
      </c>
      <c r="X177">
        <f t="shared" ca="1" si="25"/>
        <v>1</v>
      </c>
      <c r="Y177">
        <f t="shared" ca="1" si="26"/>
        <v>1966</v>
      </c>
      <c r="Z177">
        <f t="shared" ca="1" si="27"/>
        <v>8</v>
      </c>
      <c r="AA177">
        <f t="shared" ca="1" si="28"/>
        <v>9</v>
      </c>
      <c r="AB177">
        <f t="shared" ca="1" si="29"/>
        <v>54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josboa1098</v>
      </c>
      <c r="C178" t="str">
        <f t="shared" ca="1" si="20"/>
        <v>pswjosboa1098</v>
      </c>
      <c r="D178" t="str">
        <f ca="1">Nomes!T179</f>
        <v>José André Matias Coelho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dos Heróis de Quionga</v>
      </c>
      <c r="H178" t="str" cm="1">
        <f t="array" aca="1" ref="H178" ca="1">INDEX(rua_cod!$A:$A,Users!V178) &amp; "-" &amp; TEXT(RANDBETWEEN(0,999),"000")</f>
        <v>1098-077</v>
      </c>
      <c r="I178" t="str" cm="1">
        <f t="array" aca="1" ref="I178" ca="1">INDEX(rua_cod!$B:$B,Users!V178)</f>
        <v>Lisboa</v>
      </c>
      <c r="J178" t="s">
        <v>3727</v>
      </c>
      <c r="K178" t="s">
        <v>225</v>
      </c>
      <c r="L178" t="s">
        <v>265</v>
      </c>
      <c r="M178" t="str">
        <f t="shared" ca="1" si="21"/>
        <v>25764107</v>
      </c>
      <c r="N178" t="str">
        <f t="shared" ca="1" si="22"/>
        <v>670660462</v>
      </c>
      <c r="O178" t="str">
        <f t="shared" ca="1" si="22"/>
        <v>213645937</v>
      </c>
      <c r="P178" t="str" cm="1">
        <f t="array" aca="1" ref="P178" ca="1">9 &amp; INDEX($AF$3:$AF$6,W178)&amp; TEXT(RANDBETWEEN(0,9999999),"0000000")</f>
        <v>932219071</v>
      </c>
      <c r="Q178" t="str" cm="1">
        <f t="array" aca="1" ref="Q178" ca="1">LOWER(B178) &amp; INDEX($AF$9:$AF$11,X178)</f>
        <v>josboa1098@sapo.pt</v>
      </c>
      <c r="R178" t="str">
        <f t="shared" ca="1" si="23"/>
        <v>josboa1098.jpg</v>
      </c>
      <c r="T178" s="4"/>
      <c r="V178">
        <f ca="1">RANDBETWEEN(2,COUNTA(rua_cod!A:A))</f>
        <v>80</v>
      </c>
      <c r="W178">
        <f t="shared" ca="1" si="24"/>
        <v>3</v>
      </c>
      <c r="X178">
        <f t="shared" ca="1" si="25"/>
        <v>3</v>
      </c>
      <c r="Y178">
        <f t="shared" ca="1" si="26"/>
        <v>1980</v>
      </c>
      <c r="Z178">
        <f t="shared" ca="1" si="27"/>
        <v>12</v>
      </c>
      <c r="AA178">
        <f t="shared" ca="1" si="28"/>
        <v>18</v>
      </c>
      <c r="AB178">
        <f t="shared" ca="1" si="29"/>
        <v>40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afoica2829</v>
      </c>
      <c r="C179" t="str">
        <f t="shared" ca="1" si="20"/>
        <v>pswafoica2829</v>
      </c>
      <c r="D179" t="str">
        <f ca="1">Nomes!T180</f>
        <v>Afonso Francisca Pinto Pires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do Arsenal</v>
      </c>
      <c r="H179" t="str" cm="1">
        <f t="array" aca="1" ref="H179" ca="1">INDEX(rua_cod!$A:$A,Users!V179) &amp; "-" &amp; TEXT(RANDBETWEEN(0,999),"000")</f>
        <v>2829-810</v>
      </c>
      <c r="I179" t="str" cm="1">
        <f t="array" aca="1" ref="I179" ca="1">INDEX(rua_cod!$B:$B,Users!V179)</f>
        <v>Costa de Caparica</v>
      </c>
      <c r="J179" t="s">
        <v>3727</v>
      </c>
      <c r="K179" t="s">
        <v>225</v>
      </c>
      <c r="L179" t="s">
        <v>265</v>
      </c>
      <c r="M179" t="str">
        <f t="shared" ca="1" si="21"/>
        <v>80547430</v>
      </c>
      <c r="N179" t="str">
        <f t="shared" ca="1" si="22"/>
        <v>980442413</v>
      </c>
      <c r="O179" t="str">
        <f t="shared" ca="1" si="22"/>
        <v>176005783</v>
      </c>
      <c r="P179" t="str" cm="1">
        <f t="array" aca="1" ref="P179" ca="1">9 &amp; INDEX($AF$3:$AF$6,W179)&amp; TEXT(RANDBETWEEN(0,9999999),"0000000")</f>
        <v>923194568</v>
      </c>
      <c r="Q179" t="str" cm="1">
        <f t="array" aca="1" ref="Q179" ca="1">LOWER(B179) &amp; INDEX($AF$9:$AF$11,X179)</f>
        <v>afoica2829@gmail.com</v>
      </c>
      <c r="R179" t="str">
        <f t="shared" ca="1" si="23"/>
        <v>afoica2829.jpg</v>
      </c>
      <c r="T179" s="4"/>
      <c r="V179">
        <f ca="1">RANDBETWEEN(2,COUNTA(rua_cod!A:A))</f>
        <v>28</v>
      </c>
      <c r="W179">
        <f t="shared" ca="1" si="24"/>
        <v>2</v>
      </c>
      <c r="X179">
        <f t="shared" ca="1" si="25"/>
        <v>2</v>
      </c>
      <c r="Y179">
        <f t="shared" ca="1" si="26"/>
        <v>1969</v>
      </c>
      <c r="Z179">
        <f t="shared" ca="1" si="27"/>
        <v>9</v>
      </c>
      <c r="AA179">
        <f t="shared" ca="1" si="28"/>
        <v>28</v>
      </c>
      <c r="AB179">
        <f t="shared" ca="1" si="29"/>
        <v>51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matbal2904</v>
      </c>
      <c r="C180" t="str">
        <f t="shared" ca="1" si="20"/>
        <v>pswmatbal2904</v>
      </c>
      <c r="D180" t="str">
        <f ca="1">Nomes!T181</f>
        <v>Matilde Vera Pinto Correia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do Instituto Bacteriológico</v>
      </c>
      <c r="H180" t="str" cm="1">
        <f t="array" aca="1" ref="H180" ca="1">INDEX(rua_cod!$A:$A,Users!V180) &amp; "-" &amp; TEXT(RANDBETWEEN(0,999),"000")</f>
        <v>2904-637</v>
      </c>
      <c r="I180" t="str" cm="1">
        <f t="array" aca="1" ref="I180" ca="1">INDEX(rua_cod!$B:$B,Users!V180)</f>
        <v>Setúbal</v>
      </c>
      <c r="J180" t="s">
        <v>3727</v>
      </c>
      <c r="K180" t="s">
        <v>225</v>
      </c>
      <c r="L180" t="s">
        <v>265</v>
      </c>
      <c r="M180" t="str">
        <f t="shared" ca="1" si="21"/>
        <v>58402426</v>
      </c>
      <c r="N180" t="str">
        <f t="shared" ca="1" si="22"/>
        <v>237194057</v>
      </c>
      <c r="O180" t="str">
        <f t="shared" ca="1" si="22"/>
        <v>954760522</v>
      </c>
      <c r="P180" t="str" cm="1">
        <f t="array" aca="1" ref="P180" ca="1">9 &amp; INDEX($AF$3:$AF$6,W180)&amp; TEXT(RANDBETWEEN(0,9999999),"0000000")</f>
        <v>932856002</v>
      </c>
      <c r="Q180" t="str" cm="1">
        <f t="array" aca="1" ref="Q180" ca="1">LOWER(B180) &amp; INDEX($AF$9:$AF$11,X180)</f>
        <v>matbal2904@gmail.com</v>
      </c>
      <c r="R180" t="str">
        <f t="shared" ca="1" si="23"/>
        <v>matbal2904.jpg</v>
      </c>
      <c r="T180" s="4"/>
      <c r="V180">
        <f ca="1">RANDBETWEEN(2,COUNTA(rua_cod!A:A))</f>
        <v>99</v>
      </c>
      <c r="W180">
        <f t="shared" ca="1" si="24"/>
        <v>3</v>
      </c>
      <c r="X180">
        <f t="shared" ca="1" si="25"/>
        <v>2</v>
      </c>
      <c r="Y180">
        <f t="shared" ca="1" si="26"/>
        <v>1975</v>
      </c>
      <c r="Z180">
        <f t="shared" ca="1" si="27"/>
        <v>2</v>
      </c>
      <c r="AA180">
        <f t="shared" ca="1" si="28"/>
        <v>23</v>
      </c>
      <c r="AB180">
        <f t="shared" ca="1" si="29"/>
        <v>45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lauras2784</v>
      </c>
      <c r="C181" t="str">
        <f t="shared" ca="1" si="20"/>
        <v>pswlauras2784</v>
      </c>
      <c r="D181" t="str">
        <f ca="1">Nomes!T182</f>
        <v>Laura Daniela Ribeiro Figueiredo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do Guarda-Mor</v>
      </c>
      <c r="H181" t="str" cm="1">
        <f t="array" aca="1" ref="H181" ca="1">INDEX(rua_cod!$A:$A,Users!V181) &amp; "-" &amp; TEXT(RANDBETWEEN(0,999),"000")</f>
        <v>2784-830</v>
      </c>
      <c r="I181" t="str" cm="1">
        <f t="array" aca="1" ref="I181" ca="1">INDEX(rua_cod!$B:$B,Users!V181)</f>
        <v>Oeiras</v>
      </c>
      <c r="J181" t="s">
        <v>3727</v>
      </c>
      <c r="K181" t="s">
        <v>225</v>
      </c>
      <c r="L181" t="s">
        <v>265</v>
      </c>
      <c r="M181" t="str">
        <f t="shared" ca="1" si="21"/>
        <v>61111393</v>
      </c>
      <c r="N181" t="str">
        <f t="shared" ca="1" si="22"/>
        <v>121435308</v>
      </c>
      <c r="O181" t="str">
        <f t="shared" ca="1" si="22"/>
        <v>306922516</v>
      </c>
      <c r="P181" t="str" cm="1">
        <f t="array" aca="1" ref="P181" ca="1">9 &amp; INDEX($AF$3:$AF$6,W181)&amp; TEXT(RANDBETWEEN(0,9999999),"0000000")</f>
        <v>914872220</v>
      </c>
      <c r="Q181" t="str" cm="1">
        <f t="array" aca="1" ref="Q181" ca="1">LOWER(B181) &amp; INDEX($AF$9:$AF$11,X181)</f>
        <v>lauras2784@gmail.com</v>
      </c>
      <c r="R181" t="str">
        <f t="shared" ca="1" si="23"/>
        <v>lauras2784.jpg</v>
      </c>
      <c r="T181" s="4"/>
      <c r="V181">
        <f ca="1">RANDBETWEEN(2,COUNTA(rua_cod!A:A))</f>
        <v>89</v>
      </c>
      <c r="W181">
        <f t="shared" ca="1" si="24"/>
        <v>1</v>
      </c>
      <c r="X181">
        <f t="shared" ca="1" si="25"/>
        <v>2</v>
      </c>
      <c r="Y181">
        <f t="shared" ca="1" si="26"/>
        <v>1997</v>
      </c>
      <c r="Z181">
        <f t="shared" ca="1" si="27"/>
        <v>7</v>
      </c>
      <c r="AA181">
        <f t="shared" ca="1" si="28"/>
        <v>10</v>
      </c>
      <c r="AB181">
        <f t="shared" ca="1" si="29"/>
        <v>23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diairo2834</v>
      </c>
      <c r="C182" t="str">
        <f t="shared" ca="1" si="20"/>
        <v>pswdiairo2834</v>
      </c>
      <c r="D182" t="str">
        <f ca="1">Nomes!T183</f>
        <v>Diana Gabriel Pires Assunção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Rua do Salitre</v>
      </c>
      <c r="H182" t="str" cm="1">
        <f t="array" aca="1" ref="H182" ca="1">INDEX(rua_cod!$A:$A,Users!V182) &amp; "-" &amp; TEXT(RANDBETWEEN(0,999),"000")</f>
        <v>2834-734</v>
      </c>
      <c r="I182" t="str" cm="1">
        <f t="array" aca="1" ref="I182" ca="1">INDEX(rua_cod!$B:$B,Users!V182)</f>
        <v>Barreiro</v>
      </c>
      <c r="J182" t="s">
        <v>3727</v>
      </c>
      <c r="K182" t="s">
        <v>225</v>
      </c>
      <c r="L182" t="s">
        <v>265</v>
      </c>
      <c r="M182" t="str">
        <f t="shared" ca="1" si="21"/>
        <v>62192479</v>
      </c>
      <c r="N182" t="str">
        <f t="shared" ca="1" si="22"/>
        <v>478462684</v>
      </c>
      <c r="O182" t="str">
        <f t="shared" ca="1" si="22"/>
        <v>104019437</v>
      </c>
      <c r="P182" t="str" cm="1">
        <f t="array" aca="1" ref="P182" ca="1">9 &amp; INDEX($AF$3:$AF$6,W182)&amp; TEXT(RANDBETWEEN(0,9999999),"0000000")</f>
        <v>938880198</v>
      </c>
      <c r="Q182" t="str" cm="1">
        <f t="array" aca="1" ref="Q182" ca="1">LOWER(B182) &amp; INDEX($AF$9:$AF$11,X182)</f>
        <v>diairo2834@outlook.com</v>
      </c>
      <c r="R182" t="str">
        <f t="shared" ca="1" si="23"/>
        <v>diairo2834.jpg</v>
      </c>
      <c r="T182" s="4"/>
      <c r="V182">
        <f ca="1">RANDBETWEEN(2,COUNTA(rua_cod!A:A))</f>
        <v>17</v>
      </c>
      <c r="W182">
        <f t="shared" ca="1" si="24"/>
        <v>3</v>
      </c>
      <c r="X182">
        <f t="shared" ca="1" si="25"/>
        <v>1</v>
      </c>
      <c r="Y182">
        <f t="shared" ca="1" si="26"/>
        <v>1990</v>
      </c>
      <c r="Z182">
        <f t="shared" ca="1" si="27"/>
        <v>10</v>
      </c>
      <c r="AA182">
        <f t="shared" ca="1" si="28"/>
        <v>8</v>
      </c>
      <c r="AB182">
        <f t="shared" ca="1" si="29"/>
        <v>30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danboa1050</v>
      </c>
      <c r="C183" t="str">
        <f t="shared" ca="1" si="20"/>
        <v>pswdanboa1050</v>
      </c>
      <c r="D183" t="str">
        <f ca="1">Nomes!T184</f>
        <v>Daniela Ricardo Abreu Coelho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Rua dos Bacalhoeiros</v>
      </c>
      <c r="H183" t="str" cm="1">
        <f t="array" aca="1" ref="H183" ca="1">INDEX(rua_cod!$A:$A,Users!V183) &amp; "-" &amp; TEXT(RANDBETWEEN(0,999),"000")</f>
        <v>1050-634</v>
      </c>
      <c r="I183" t="str" cm="1">
        <f t="array" aca="1" ref="I183" ca="1">INDEX(rua_cod!$B:$B,Users!V183)</f>
        <v>Lisboa</v>
      </c>
      <c r="J183" t="s">
        <v>3727</v>
      </c>
      <c r="K183" t="s">
        <v>225</v>
      </c>
      <c r="L183" t="s">
        <v>265</v>
      </c>
      <c r="M183" t="str">
        <f t="shared" ca="1" si="21"/>
        <v>36731767</v>
      </c>
      <c r="N183" t="str">
        <f t="shared" ca="1" si="22"/>
        <v>238418310</v>
      </c>
      <c r="O183" t="str">
        <f t="shared" ca="1" si="22"/>
        <v>708481196</v>
      </c>
      <c r="P183" t="str" cm="1">
        <f t="array" aca="1" ref="P183" ca="1">9 &amp; INDEX($AF$3:$AF$6,W183)&amp; TEXT(RANDBETWEEN(0,9999999),"0000000")</f>
        <v>927637813</v>
      </c>
      <c r="Q183" t="str" cm="1">
        <f t="array" aca="1" ref="Q183" ca="1">LOWER(B183) &amp; INDEX($AF$9:$AF$11,X183)</f>
        <v>danboa1050@sapo.pt</v>
      </c>
      <c r="R183" t="str">
        <f t="shared" ca="1" si="23"/>
        <v>danboa1050.jpg</v>
      </c>
      <c r="T183" s="4"/>
      <c r="V183">
        <f ca="1">RANDBETWEEN(2,COUNTA(rua_cod!A:A))</f>
        <v>66</v>
      </c>
      <c r="W183">
        <f t="shared" ca="1" si="24"/>
        <v>2</v>
      </c>
      <c r="X183">
        <f t="shared" ca="1" si="25"/>
        <v>3</v>
      </c>
      <c r="Y183">
        <f t="shared" ca="1" si="26"/>
        <v>1941</v>
      </c>
      <c r="Z183">
        <f t="shared" ca="1" si="27"/>
        <v>4</v>
      </c>
      <c r="AA183">
        <f t="shared" ca="1" si="28"/>
        <v>20</v>
      </c>
      <c r="AB183">
        <f t="shared" ca="1" si="29"/>
        <v>79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joaboa1300</v>
      </c>
      <c r="C184" t="str">
        <f t="shared" ca="1" si="20"/>
        <v>pswjoaboa1300</v>
      </c>
      <c r="D184" t="str">
        <f ca="1">Nomes!T185</f>
        <v>Joaquim Maria Simões Reis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Cidade de Bolama</v>
      </c>
      <c r="H184" t="str" cm="1">
        <f t="array" aca="1" ref="H184" ca="1">INDEX(rua_cod!$A:$A,Users!V184) &amp; "-" &amp; TEXT(RANDBETWEEN(0,999),"000")</f>
        <v>1300-204</v>
      </c>
      <c r="I184" t="str" cm="1">
        <f t="array" aca="1" ref="I184" ca="1">INDEX(rua_cod!$B:$B,Users!V184)</f>
        <v>Lisboa</v>
      </c>
      <c r="J184" t="s">
        <v>3727</v>
      </c>
      <c r="K184" t="s">
        <v>225</v>
      </c>
      <c r="L184" t="s">
        <v>265</v>
      </c>
      <c r="M184" t="str">
        <f t="shared" ca="1" si="21"/>
        <v>79334492</v>
      </c>
      <c r="N184" t="str">
        <f t="shared" ca="1" si="22"/>
        <v>867408212</v>
      </c>
      <c r="O184" t="str">
        <f t="shared" ca="1" si="22"/>
        <v>385862233</v>
      </c>
      <c r="P184" t="str" cm="1">
        <f t="array" aca="1" ref="P184" ca="1">9 &amp; INDEX($AF$3:$AF$6,W184)&amp; TEXT(RANDBETWEEN(0,9999999),"0000000")</f>
        <v>923374277</v>
      </c>
      <c r="Q184" t="str" cm="1">
        <f t="array" aca="1" ref="Q184" ca="1">LOWER(B184) &amp; INDEX($AF$9:$AF$11,X184)</f>
        <v>joaboa1300@sapo.pt</v>
      </c>
      <c r="R184" t="str">
        <f t="shared" ca="1" si="23"/>
        <v>joaboa1300.jpg</v>
      </c>
      <c r="T184" s="4"/>
      <c r="V184">
        <f ca="1">RANDBETWEEN(2,COUNTA(rua_cod!A:A))</f>
        <v>58</v>
      </c>
      <c r="W184">
        <f t="shared" ca="1" si="24"/>
        <v>2</v>
      </c>
      <c r="X184">
        <f t="shared" ca="1" si="25"/>
        <v>3</v>
      </c>
      <c r="Y184">
        <f t="shared" ca="1" si="26"/>
        <v>2006</v>
      </c>
      <c r="Z184">
        <f t="shared" ca="1" si="27"/>
        <v>11</v>
      </c>
      <c r="AA184">
        <f t="shared" ca="1" si="28"/>
        <v>25</v>
      </c>
      <c r="AB184">
        <f t="shared" ca="1" si="29"/>
        <v>14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dioboa1959</v>
      </c>
      <c r="C185" t="str">
        <f t="shared" ca="1" si="20"/>
        <v>pswdioboa1959</v>
      </c>
      <c r="D185" t="str">
        <f ca="1">Nomes!T186</f>
        <v>Diogo Sara Gonçalves Silva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do Instituto Bacteriológico</v>
      </c>
      <c r="H185" t="str" cm="1">
        <f t="array" aca="1" ref="H185" ca="1">INDEX(rua_cod!$A:$A,Users!V185) &amp; "-" &amp; TEXT(RANDBETWEEN(0,999),"000")</f>
        <v>1959-866</v>
      </c>
      <c r="I185" t="str" cm="1">
        <f t="array" aca="1" ref="I185" ca="1">INDEX(rua_cod!$B:$B,Users!V185)</f>
        <v>Lisboa</v>
      </c>
      <c r="J185" t="s">
        <v>3727</v>
      </c>
      <c r="K185" t="s">
        <v>225</v>
      </c>
      <c r="L185" t="s">
        <v>265</v>
      </c>
      <c r="M185" t="str">
        <f t="shared" ca="1" si="21"/>
        <v>25389690</v>
      </c>
      <c r="N185" t="str">
        <f t="shared" ca="1" si="22"/>
        <v>681621272</v>
      </c>
      <c r="O185" t="str">
        <f t="shared" ca="1" si="22"/>
        <v>565506940</v>
      </c>
      <c r="P185" t="str" cm="1">
        <f t="array" aca="1" ref="P185" ca="1">9 &amp; INDEX($AF$3:$AF$6,W185)&amp; TEXT(RANDBETWEEN(0,9999999),"0000000")</f>
        <v>928199724</v>
      </c>
      <c r="Q185" t="str" cm="1">
        <f t="array" aca="1" ref="Q185" ca="1">LOWER(B185) &amp; INDEX($AF$9:$AF$11,X185)</f>
        <v>dioboa1959@outlook.com</v>
      </c>
      <c r="R185" t="str">
        <f t="shared" ca="1" si="23"/>
        <v>dioboa1959.jpg</v>
      </c>
      <c r="T185" s="4"/>
      <c r="V185">
        <f ca="1">RANDBETWEEN(2,COUNTA(rua_cod!A:A))</f>
        <v>72</v>
      </c>
      <c r="W185">
        <f t="shared" ca="1" si="24"/>
        <v>2</v>
      </c>
      <c r="X185">
        <f t="shared" ca="1" si="25"/>
        <v>1</v>
      </c>
      <c r="Y185">
        <f t="shared" ca="1" si="26"/>
        <v>2005</v>
      </c>
      <c r="Z185">
        <f t="shared" ca="1" si="27"/>
        <v>5</v>
      </c>
      <c r="AA185">
        <f t="shared" ca="1" si="28"/>
        <v>21</v>
      </c>
      <c r="AB185">
        <f t="shared" ca="1" si="29"/>
        <v>15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fraboa1849</v>
      </c>
      <c r="C186" t="str">
        <f t="shared" ca="1" si="20"/>
        <v>pswfraboa1849</v>
      </c>
      <c r="D186" t="str">
        <f ca="1">Nomes!T187</f>
        <v>Francisca Beatriz Domingues Matias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Travessa de São João da Praça</v>
      </c>
      <c r="H186" t="str" cm="1">
        <f t="array" aca="1" ref="H186" ca="1">INDEX(rua_cod!$A:$A,Users!V186) &amp; "-" &amp; TEXT(RANDBETWEEN(0,999),"000")</f>
        <v>1849-993</v>
      </c>
      <c r="I186" t="str" cm="1">
        <f t="array" aca="1" ref="I186" ca="1">INDEX(rua_cod!$B:$B,Users!V186)</f>
        <v>Lisboa</v>
      </c>
      <c r="J186" t="s">
        <v>3727</v>
      </c>
      <c r="K186" t="s">
        <v>225</v>
      </c>
      <c r="L186" t="s">
        <v>265</v>
      </c>
      <c r="M186" t="str">
        <f t="shared" ca="1" si="21"/>
        <v>93697293</v>
      </c>
      <c r="N186" t="str">
        <f t="shared" ca="1" si="22"/>
        <v>977958958</v>
      </c>
      <c r="O186" t="str">
        <f t="shared" ca="1" si="22"/>
        <v>491657580</v>
      </c>
      <c r="P186" t="str" cm="1">
        <f t="array" aca="1" ref="P186" ca="1">9 &amp; INDEX($AF$3:$AF$6,W186)&amp; TEXT(RANDBETWEEN(0,9999999),"0000000")</f>
        <v>922786231</v>
      </c>
      <c r="Q186" t="str" cm="1">
        <f t="array" aca="1" ref="Q186" ca="1">LOWER(B186) &amp; INDEX($AF$9:$AF$11,X186)</f>
        <v>fraboa1849@gmail.com</v>
      </c>
      <c r="R186" t="str">
        <f t="shared" ca="1" si="23"/>
        <v>fraboa1849.jpg</v>
      </c>
      <c r="T186" s="4"/>
      <c r="V186">
        <f ca="1">RANDBETWEEN(2,COUNTA(rua_cod!A:A))</f>
        <v>64</v>
      </c>
      <c r="W186">
        <f t="shared" ca="1" si="24"/>
        <v>2</v>
      </c>
      <c r="X186">
        <f t="shared" ca="1" si="25"/>
        <v>2</v>
      </c>
      <c r="Y186">
        <f t="shared" ca="1" si="26"/>
        <v>1950</v>
      </c>
      <c r="Z186">
        <f t="shared" ca="1" si="27"/>
        <v>12</v>
      </c>
      <c r="AA186">
        <f t="shared" ca="1" si="28"/>
        <v>27</v>
      </c>
      <c r="AB186">
        <f t="shared" ca="1" si="29"/>
        <v>70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josbal2900</v>
      </c>
      <c r="C187" t="str">
        <f t="shared" ca="1" si="20"/>
        <v>pswjosbal2900</v>
      </c>
      <c r="D187" t="str">
        <f ca="1">Nomes!T188</f>
        <v>José Gabriel Pinheiro Mendes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do Sacramento à Lapa</v>
      </c>
      <c r="H187" t="str" cm="1">
        <f t="array" aca="1" ref="H187" ca="1">INDEX(rua_cod!$A:$A,Users!V187) &amp; "-" &amp; TEXT(RANDBETWEEN(0,999),"000")</f>
        <v>2900-090</v>
      </c>
      <c r="I187" t="str" cm="1">
        <f t="array" aca="1" ref="I187" ca="1">INDEX(rua_cod!$B:$B,Users!V187)</f>
        <v>Setúbal</v>
      </c>
      <c r="J187" t="s">
        <v>3727</v>
      </c>
      <c r="K187" t="s">
        <v>225</v>
      </c>
      <c r="L187" t="s">
        <v>265</v>
      </c>
      <c r="M187" t="str">
        <f t="shared" ca="1" si="21"/>
        <v>78024259</v>
      </c>
      <c r="N187" t="str">
        <f t="shared" ca="1" si="22"/>
        <v>126102216</v>
      </c>
      <c r="O187" t="str">
        <f t="shared" ca="1" si="22"/>
        <v>128117786</v>
      </c>
      <c r="P187" t="str" cm="1">
        <f t="array" aca="1" ref="P187" ca="1">9 &amp; INDEX($AF$3:$AF$6,W187)&amp; TEXT(RANDBETWEEN(0,9999999),"0000000")</f>
        <v>929531597</v>
      </c>
      <c r="Q187" t="str" cm="1">
        <f t="array" aca="1" ref="Q187" ca="1">LOWER(B187) &amp; INDEX($AF$9:$AF$11,X187)</f>
        <v>josbal2900@outlook.com</v>
      </c>
      <c r="R187" t="str">
        <f t="shared" ca="1" si="23"/>
        <v>josbal2900.jpg</v>
      </c>
      <c r="T187" s="4"/>
      <c r="V187">
        <f ca="1">RANDBETWEEN(2,COUNTA(rua_cod!A:A))</f>
        <v>96</v>
      </c>
      <c r="W187">
        <f t="shared" ca="1" si="24"/>
        <v>2</v>
      </c>
      <c r="X187">
        <f t="shared" ca="1" si="25"/>
        <v>1</v>
      </c>
      <c r="Y187">
        <f t="shared" ca="1" si="26"/>
        <v>2001</v>
      </c>
      <c r="Z187">
        <f t="shared" ca="1" si="27"/>
        <v>3</v>
      </c>
      <c r="AA187">
        <f t="shared" ca="1" si="28"/>
        <v>23</v>
      </c>
      <c r="AB187">
        <f t="shared" ca="1" si="29"/>
        <v>19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diaora2704</v>
      </c>
      <c r="C188" t="str">
        <f t="shared" ca="1" si="20"/>
        <v>pswdiaora2704</v>
      </c>
      <c r="D188" t="str">
        <f ca="1">Nomes!T189</f>
        <v>Diana Ana Torres Pinho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dos Bacalhoeiros</v>
      </c>
      <c r="H188" t="str" cm="1">
        <f t="array" aca="1" ref="H188" ca="1">INDEX(rua_cod!$A:$A,Users!V188) &amp; "-" &amp; TEXT(RANDBETWEEN(0,999),"000")</f>
        <v>2704-354</v>
      </c>
      <c r="I188" t="str" cm="1">
        <f t="array" aca="1" ref="I188" ca="1">INDEX(rua_cod!$B:$B,Users!V188)</f>
        <v>Amadora</v>
      </c>
      <c r="J188" t="s">
        <v>3727</v>
      </c>
      <c r="K188" t="s">
        <v>225</v>
      </c>
      <c r="L188" t="s">
        <v>265</v>
      </c>
      <c r="M188" t="str">
        <f t="shared" ca="1" si="21"/>
        <v>36235670</v>
      </c>
      <c r="N188" t="str">
        <f t="shared" ca="1" si="22"/>
        <v>387705087</v>
      </c>
      <c r="O188" t="str">
        <f t="shared" ca="1" si="22"/>
        <v>536462104</v>
      </c>
      <c r="P188" t="str" cm="1">
        <f t="array" aca="1" ref="P188" ca="1">9 &amp; INDEX($AF$3:$AF$6,W188)&amp; TEXT(RANDBETWEEN(0,9999999),"0000000")</f>
        <v>934818818</v>
      </c>
      <c r="Q188" t="str" cm="1">
        <f t="array" aca="1" ref="Q188" ca="1">LOWER(B188) &amp; INDEX($AF$9:$AF$11,X188)</f>
        <v>diaora2704@sapo.pt</v>
      </c>
      <c r="R188" t="str">
        <f t="shared" ca="1" si="23"/>
        <v>diaora2704.jpg</v>
      </c>
      <c r="T188" s="4"/>
      <c r="V188">
        <f ca="1">RANDBETWEEN(2,COUNTA(rua_cod!A:A))</f>
        <v>15</v>
      </c>
      <c r="W188">
        <f t="shared" ca="1" si="24"/>
        <v>3</v>
      </c>
      <c r="X188">
        <f t="shared" ca="1" si="25"/>
        <v>3</v>
      </c>
      <c r="Y188">
        <f t="shared" ca="1" si="26"/>
        <v>2011</v>
      </c>
      <c r="Z188">
        <f t="shared" ca="1" si="27"/>
        <v>10</v>
      </c>
      <c r="AA188">
        <f t="shared" ca="1" si="28"/>
        <v>2</v>
      </c>
      <c r="AB188">
        <f t="shared" ca="1" si="29"/>
        <v>9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diaboa1748</v>
      </c>
      <c r="C189" t="str">
        <f t="shared" ca="1" si="20"/>
        <v>pswdiaboa1748</v>
      </c>
      <c r="D189" t="str">
        <f ca="1">Nomes!T190</f>
        <v>Diana Miguel Machado Moura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do Arsenal</v>
      </c>
      <c r="H189" t="str" cm="1">
        <f t="array" aca="1" ref="H189" ca="1">INDEX(rua_cod!$A:$A,Users!V189) &amp; "-" &amp; TEXT(RANDBETWEEN(0,999),"000")</f>
        <v>1748-371</v>
      </c>
      <c r="I189" t="str" cm="1">
        <f t="array" aca="1" ref="I189" ca="1">INDEX(rua_cod!$B:$B,Users!V189)</f>
        <v>Lisboa</v>
      </c>
      <c r="J189" t="s">
        <v>3727</v>
      </c>
      <c r="K189" t="s">
        <v>225</v>
      </c>
      <c r="L189" t="s">
        <v>265</v>
      </c>
      <c r="M189" t="str">
        <f t="shared" ca="1" si="21"/>
        <v>15911099</v>
      </c>
      <c r="N189" t="str">
        <f t="shared" ca="1" si="22"/>
        <v>313924368</v>
      </c>
      <c r="O189" t="str">
        <f t="shared" ca="1" si="22"/>
        <v>992710829</v>
      </c>
      <c r="P189" t="str" cm="1">
        <f t="array" aca="1" ref="P189" ca="1">9 &amp; INDEX($AF$3:$AF$6,W189)&amp; TEXT(RANDBETWEEN(0,9999999),"0000000")</f>
        <v>911209851</v>
      </c>
      <c r="Q189" t="str" cm="1">
        <f t="array" aca="1" ref="Q189" ca="1">LOWER(B189) &amp; INDEX($AF$9:$AF$11,X189)</f>
        <v>diaboa1748@outlook.com</v>
      </c>
      <c r="R189" t="str">
        <f t="shared" ca="1" si="23"/>
        <v>diaboa1748.jpg</v>
      </c>
      <c r="T189" s="4"/>
      <c r="V189">
        <f ca="1">RANDBETWEEN(2,COUNTA(rua_cod!A:A))</f>
        <v>77</v>
      </c>
      <c r="W189">
        <f t="shared" ca="1" si="24"/>
        <v>1</v>
      </c>
      <c r="X189">
        <f t="shared" ca="1" si="25"/>
        <v>1</v>
      </c>
      <c r="Y189">
        <f t="shared" ca="1" si="26"/>
        <v>2004</v>
      </c>
      <c r="Z189">
        <f t="shared" ca="1" si="27"/>
        <v>7</v>
      </c>
      <c r="AA189">
        <f t="shared" ca="1" si="28"/>
        <v>27</v>
      </c>
      <c r="AB189">
        <f t="shared" ca="1" si="29"/>
        <v>16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luiada2800</v>
      </c>
      <c r="C190" t="str">
        <f t="shared" ca="1" si="20"/>
        <v>pswluiada2800</v>
      </c>
      <c r="D190" t="str">
        <f ca="1">Nomes!T191</f>
        <v>Luís Sofia Vicente Rocha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Roberto Duarte Silva</v>
      </c>
      <c r="H190" t="str" cm="1">
        <f t="array" aca="1" ref="H190" ca="1">INDEX(rua_cod!$A:$A,Users!V190) &amp; "-" &amp; TEXT(RANDBETWEEN(0,999),"000")</f>
        <v>2800-226</v>
      </c>
      <c r="I190" t="str" cm="1">
        <f t="array" aca="1" ref="I190" ca="1">INDEX(rua_cod!$B:$B,Users!V190)</f>
        <v>Almada</v>
      </c>
      <c r="J190" t="s">
        <v>3727</v>
      </c>
      <c r="K190" t="s">
        <v>225</v>
      </c>
      <c r="L190" t="s">
        <v>265</v>
      </c>
      <c r="M190" t="str">
        <f t="shared" ca="1" si="21"/>
        <v>65003303</v>
      </c>
      <c r="N190" t="str">
        <f t="shared" ca="1" si="22"/>
        <v>389473146</v>
      </c>
      <c r="O190" t="str">
        <f t="shared" ca="1" si="22"/>
        <v>393282248</v>
      </c>
      <c r="P190" t="str" cm="1">
        <f t="array" aca="1" ref="P190" ca="1">9 &amp; INDEX($AF$3:$AF$6,W190)&amp; TEXT(RANDBETWEEN(0,9999999),"0000000")</f>
        <v>964246848</v>
      </c>
      <c r="Q190" t="str" cm="1">
        <f t="array" aca="1" ref="Q190" ca="1">LOWER(B190) &amp; INDEX($AF$9:$AF$11,X190)</f>
        <v>luiada2800@gmail.com</v>
      </c>
      <c r="R190" t="str">
        <f t="shared" ca="1" si="23"/>
        <v>luiada2800.jpg</v>
      </c>
      <c r="T190" s="4"/>
      <c r="V190">
        <f ca="1">RANDBETWEEN(2,COUNTA(rua_cod!A:A))</f>
        <v>2</v>
      </c>
      <c r="W190">
        <f t="shared" ca="1" si="24"/>
        <v>4</v>
      </c>
      <c r="X190">
        <f t="shared" ca="1" si="25"/>
        <v>2</v>
      </c>
      <c r="Y190">
        <f t="shared" ca="1" si="26"/>
        <v>1978</v>
      </c>
      <c r="Z190">
        <f t="shared" ca="1" si="27"/>
        <v>1</v>
      </c>
      <c r="AA190">
        <f t="shared" ca="1" si="28"/>
        <v>23</v>
      </c>
      <c r="AB190">
        <f t="shared" ca="1" si="29"/>
        <v>42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lurora2700</v>
      </c>
      <c r="C191" t="str">
        <f t="shared" ca="1" si="20"/>
        <v>pswlurora2700</v>
      </c>
      <c r="D191" t="str">
        <f ca="1">Nomes!T192</f>
        <v>Lurdes Sofia Maia Vaz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Avenida Ressano Garcia</v>
      </c>
      <c r="H191" t="str" cm="1">
        <f t="array" aca="1" ref="H191" ca="1">INDEX(rua_cod!$A:$A,Users!V191) &amp; "-" &amp; TEXT(RANDBETWEEN(0,999),"000")</f>
        <v>2700-179</v>
      </c>
      <c r="I191" t="str" cm="1">
        <f t="array" aca="1" ref="I191" ca="1">INDEX(rua_cod!$B:$B,Users!V191)</f>
        <v>Amadora</v>
      </c>
      <c r="J191" t="s">
        <v>3727</v>
      </c>
      <c r="K191" t="s">
        <v>225</v>
      </c>
      <c r="L191" t="s">
        <v>265</v>
      </c>
      <c r="M191" t="str">
        <f t="shared" ca="1" si="21"/>
        <v>64476827</v>
      </c>
      <c r="N191" t="str">
        <f t="shared" ca="1" si="22"/>
        <v>936683842</v>
      </c>
      <c r="O191" t="str">
        <f t="shared" ca="1" si="22"/>
        <v>495262971</v>
      </c>
      <c r="P191" t="str" cm="1">
        <f t="array" aca="1" ref="P191" ca="1">9 &amp; INDEX($AF$3:$AF$6,W191)&amp; TEXT(RANDBETWEEN(0,9999999),"0000000")</f>
        <v>923408733</v>
      </c>
      <c r="Q191" t="str" cm="1">
        <f t="array" aca="1" ref="Q191" ca="1">LOWER(B191) &amp; INDEX($AF$9:$AF$11,X191)</f>
        <v>lurora2700@sapo.pt</v>
      </c>
      <c r="R191" t="str">
        <f t="shared" ca="1" si="23"/>
        <v>lurora2700.jpg</v>
      </c>
      <c r="T191" s="4"/>
      <c r="V191">
        <f ca="1">RANDBETWEEN(2,COUNTA(rua_cod!A:A))</f>
        <v>10</v>
      </c>
      <c r="W191">
        <f t="shared" ca="1" si="24"/>
        <v>2</v>
      </c>
      <c r="X191">
        <f t="shared" ca="1" si="25"/>
        <v>3</v>
      </c>
      <c r="Y191">
        <f t="shared" ca="1" si="26"/>
        <v>1957</v>
      </c>
      <c r="Z191">
        <f t="shared" ca="1" si="27"/>
        <v>8</v>
      </c>
      <c r="AA191">
        <f t="shared" ca="1" si="28"/>
        <v>27</v>
      </c>
      <c r="AB191">
        <f t="shared" ca="1" si="29"/>
        <v>63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danboa1399</v>
      </c>
      <c r="C192" t="str">
        <f t="shared" ca="1" si="20"/>
        <v>pswdanboa1399</v>
      </c>
      <c r="D192" t="str">
        <f ca="1">Nomes!T193</f>
        <v>Daniela José Ribeiro Vieira</v>
      </c>
      <c r="E192" t="str">
        <f ca="1">Nomes!S193</f>
        <v>Feminino</v>
      </c>
      <c r="F192" s="2">
        <v>14252</v>
      </c>
      <c r="G192" t="str" cm="1">
        <f t="array" aca="1" ref="G192" ca="1">INDEX(rua_cod!$F:$F,RANDBETWEEN(2,COUNTA(rua_cod!F:F)))</f>
        <v>Travessa de São João da Praça</v>
      </c>
      <c r="H192" t="str" cm="1">
        <f t="array" aca="1" ref="H192" ca="1">INDEX(rua_cod!$A:$A,Users!V192) &amp; "-" &amp; TEXT(RANDBETWEEN(0,999),"000")</f>
        <v>1399-141</v>
      </c>
      <c r="I192" t="str" cm="1">
        <f t="array" aca="1" ref="I192" ca="1">INDEX(rua_cod!$B:$B,Users!V192)</f>
        <v>Lisboa</v>
      </c>
      <c r="J192" t="s">
        <v>3727</v>
      </c>
      <c r="K192" t="s">
        <v>225</v>
      </c>
      <c r="L192" t="s">
        <v>265</v>
      </c>
      <c r="M192" t="str">
        <f t="shared" ca="1" si="21"/>
        <v>47435450</v>
      </c>
      <c r="N192" t="str">
        <f t="shared" ca="1" si="22"/>
        <v>599332063</v>
      </c>
      <c r="O192" t="str">
        <f t="shared" ca="1" si="22"/>
        <v>992552651</v>
      </c>
      <c r="P192" t="str" cm="1">
        <f t="array" aca="1" ref="P192" ca="1">9 &amp; INDEX($AF$3:$AF$6,W192)&amp; TEXT(RANDBETWEEN(0,9999999),"0000000")</f>
        <v>939898094</v>
      </c>
      <c r="Q192" t="str" cm="1">
        <f t="array" aca="1" ref="Q192" ca="1">LOWER(B192) &amp; INDEX($AF$9:$AF$11,X192)</f>
        <v>danboa1399@gmail.com</v>
      </c>
      <c r="R192" t="str">
        <f t="shared" ca="1" si="23"/>
        <v>danboa1399.jpg</v>
      </c>
      <c r="T192" s="4"/>
      <c r="V192">
        <f ca="1">RANDBETWEEN(2,COUNTA(rua_cod!A:A))</f>
        <v>55</v>
      </c>
      <c r="W192">
        <f t="shared" ca="1" si="24"/>
        <v>3</v>
      </c>
      <c r="X192">
        <f t="shared" ca="1" si="25"/>
        <v>2</v>
      </c>
      <c r="Y192">
        <f t="shared" ca="1" si="26"/>
        <v>1936</v>
      </c>
      <c r="Z192">
        <f t="shared" ca="1" si="27"/>
        <v>1</v>
      </c>
      <c r="AA192">
        <f t="shared" ca="1" si="28"/>
        <v>5</v>
      </c>
      <c r="AB192">
        <f t="shared" ca="1" si="29"/>
        <v>84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mariro2834</v>
      </c>
      <c r="C193" t="str">
        <f t="shared" ca="1" si="20"/>
        <v>pswmariro2834</v>
      </c>
      <c r="D193" t="str">
        <f ca="1">Nomes!T194</f>
        <v>Martim Sofia Nunes Maia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Rua dos Heróis de Quionga</v>
      </c>
      <c r="H193" t="str" cm="1">
        <f t="array" aca="1" ref="H193" ca="1">INDEX(rua_cod!$A:$A,Users!V193) &amp; "-" &amp; TEXT(RANDBETWEEN(0,999),"000")</f>
        <v>2834-004</v>
      </c>
      <c r="I193" t="str" cm="1">
        <f t="array" aca="1" ref="I193" ca="1">INDEX(rua_cod!$B:$B,Users!V193)</f>
        <v>Barreiro</v>
      </c>
      <c r="J193" t="s">
        <v>3727</v>
      </c>
      <c r="K193" t="s">
        <v>225</v>
      </c>
      <c r="L193" t="s">
        <v>265</v>
      </c>
      <c r="M193" t="str">
        <f t="shared" ca="1" si="21"/>
        <v>98077489</v>
      </c>
      <c r="N193" t="str">
        <f t="shared" ca="1" si="22"/>
        <v>613219746</v>
      </c>
      <c r="O193" t="str">
        <f t="shared" ca="1" si="22"/>
        <v>170655490</v>
      </c>
      <c r="P193" t="str" cm="1">
        <f t="array" aca="1" ref="P193" ca="1">9 &amp; INDEX($AF$3:$AF$6,W193)&amp; TEXT(RANDBETWEEN(0,9999999),"0000000")</f>
        <v>921495555</v>
      </c>
      <c r="Q193" t="str" cm="1">
        <f t="array" aca="1" ref="Q193" ca="1">LOWER(B193) &amp; INDEX($AF$9:$AF$11,X193)</f>
        <v>mariro2834@sapo.pt</v>
      </c>
      <c r="R193" t="str">
        <f t="shared" ca="1" si="23"/>
        <v>mariro2834.jpg</v>
      </c>
      <c r="T193" s="4"/>
      <c r="V193">
        <f ca="1">RANDBETWEEN(2,COUNTA(rua_cod!A:A))</f>
        <v>17</v>
      </c>
      <c r="W193">
        <f t="shared" ca="1" si="24"/>
        <v>2</v>
      </c>
      <c r="X193">
        <f t="shared" ca="1" si="25"/>
        <v>3</v>
      </c>
      <c r="Y193">
        <f t="shared" ca="1" si="26"/>
        <v>1953</v>
      </c>
      <c r="Z193">
        <f t="shared" ca="1" si="27"/>
        <v>7</v>
      </c>
      <c r="AA193">
        <f t="shared" ca="1" si="28"/>
        <v>11</v>
      </c>
      <c r="AB193">
        <f t="shared" ca="1" si="29"/>
        <v>67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josboa1099</v>
      </c>
      <c r="C194" t="str">
        <f t="shared" ca="1" si="20"/>
        <v>pswjosboa1099</v>
      </c>
      <c r="D194" t="str">
        <f ca="1">Nomes!T195</f>
        <v>José Francisca Batista Campos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Rua da Madalena</v>
      </c>
      <c r="H194" t="str" cm="1">
        <f t="array" aca="1" ref="H194" ca="1">INDEX(rua_cod!$A:$A,Users!V194) &amp; "-" &amp; TEXT(RANDBETWEEN(0,999),"000")</f>
        <v>1099-388</v>
      </c>
      <c r="I194" t="str" cm="1">
        <f t="array" aca="1" ref="I194" ca="1">INDEX(rua_cod!$B:$B,Users!V194)</f>
        <v>Lisboa</v>
      </c>
      <c r="J194" t="s">
        <v>3727</v>
      </c>
      <c r="K194" t="s">
        <v>225</v>
      </c>
      <c r="L194" t="s">
        <v>265</v>
      </c>
      <c r="M194" t="str">
        <f t="shared" ca="1" si="21"/>
        <v>90261212</v>
      </c>
      <c r="N194" t="str">
        <f t="shared" ca="1" si="22"/>
        <v>281362313</v>
      </c>
      <c r="O194" t="str">
        <f t="shared" ca="1" si="22"/>
        <v>243497453</v>
      </c>
      <c r="P194" t="str" cm="1">
        <f t="array" aca="1" ref="P194" ca="1">9 &amp; INDEX($AF$3:$AF$6,W194)&amp; TEXT(RANDBETWEEN(0,9999999),"0000000")</f>
        <v>912164571</v>
      </c>
      <c r="Q194" t="str" cm="1">
        <f t="array" aca="1" ref="Q194" ca="1">LOWER(B194) &amp; INDEX($AF$9:$AF$11,X194)</f>
        <v>josboa1099@gmail.com</v>
      </c>
      <c r="R194" t="str">
        <f t="shared" ca="1" si="23"/>
        <v>josboa1099.jpg</v>
      </c>
      <c r="T194" s="4"/>
      <c r="V194">
        <f ca="1">RANDBETWEEN(2,COUNTA(rua_cod!A:A))</f>
        <v>53</v>
      </c>
      <c r="W194">
        <f t="shared" ca="1" si="24"/>
        <v>1</v>
      </c>
      <c r="X194">
        <f t="shared" ca="1" si="25"/>
        <v>2</v>
      </c>
      <c r="Y194">
        <f t="shared" ca="1" si="26"/>
        <v>1987</v>
      </c>
      <c r="Z194">
        <f t="shared" ca="1" si="27"/>
        <v>1</v>
      </c>
      <c r="AA194">
        <f t="shared" ca="1" si="28"/>
        <v>17</v>
      </c>
      <c r="AB194">
        <f t="shared" ca="1" si="29"/>
        <v>33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fraboa1200</v>
      </c>
      <c r="C195" t="str">
        <f t="shared" ref="C195:C199" ca="1" si="30">"psw" &amp; B195</f>
        <v>pswfraboa1200</v>
      </c>
      <c r="D195" t="str">
        <f ca="1">Nomes!T196</f>
        <v>Francisca Gabriel Santos Ferreira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General Morais Sarmento</v>
      </c>
      <c r="H195" t="str" cm="1">
        <f t="array" aca="1" ref="H195" ca="1">INDEX(rua_cod!$A:$A,Users!V195) &amp; "-" &amp; TEXT(RANDBETWEEN(0,999),"000")</f>
        <v>1200-214</v>
      </c>
      <c r="I195" t="str" cm="1">
        <f t="array" aca="1" ref="I195" ca="1">INDEX(rua_cod!$B:$B,Users!V195)</f>
        <v>Lisboa</v>
      </c>
      <c r="J195" t="s">
        <v>3727</v>
      </c>
      <c r="K195" t="s">
        <v>225</v>
      </c>
      <c r="L195" t="s">
        <v>265</v>
      </c>
      <c r="M195" t="str">
        <f t="shared" ref="M195:M199" ca="1" si="31">TEXT(RANDBETWEEN(10000000,99999999),"00000000")</f>
        <v>66867760</v>
      </c>
      <c r="N195" t="str">
        <f t="shared" ref="N195:O199" ca="1" si="32">TEXT(RANDBETWEEN(100000000,999999999),"000000000")</f>
        <v>159194981</v>
      </c>
      <c r="O195" t="str">
        <f t="shared" ca="1" si="32"/>
        <v>313401270</v>
      </c>
      <c r="P195" t="str" cm="1">
        <f t="array" aca="1" ref="P195" ca="1">9 &amp; INDEX($AF$3:$AF$6,W195)&amp; TEXT(RANDBETWEEN(0,9999999),"0000000")</f>
        <v>918463677</v>
      </c>
      <c r="Q195" t="str" cm="1">
        <f t="array" aca="1" ref="Q195" ca="1">LOWER(B195) &amp; INDEX($AF$9:$AF$11,X195)</f>
        <v>fraboa1200@sapo.pt</v>
      </c>
      <c r="R195" t="str">
        <f t="shared" ref="R195:R199" ca="1" si="33">B195 &amp; ".jpg"</f>
        <v>fraboa1200.jpg</v>
      </c>
      <c r="T195" s="4"/>
      <c r="V195">
        <f ca="1">RANDBETWEEN(2,COUNTA(rua_cod!A:A))</f>
        <v>48</v>
      </c>
      <c r="W195">
        <f t="shared" ref="W195:W199" ca="1" si="34">RANDBETWEEN(1,4)</f>
        <v>1</v>
      </c>
      <c r="X195">
        <f t="shared" ref="X195:X199" ca="1" si="35">RANDBETWEEN(1,3)</f>
        <v>3</v>
      </c>
      <c r="Y195">
        <f t="shared" ref="Y195:Y199" ca="1" si="36">INT(NORMINV(RAND(),1976,22))</f>
        <v>1995</v>
      </c>
      <c r="Z195">
        <f t="shared" ref="Z195:Z199" ca="1" si="37">RANDBETWEEN(1,12)</f>
        <v>1</v>
      </c>
      <c r="AA195">
        <f t="shared" ref="AA195:AA199" ca="1" si="38">RANDBETWEEN(1,31)</f>
        <v>26</v>
      </c>
      <c r="AB195">
        <f t="shared" ref="AB195:AB199" ca="1" si="39">2020-Y195</f>
        <v>25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migica2825</v>
      </c>
      <c r="C196" t="str">
        <f t="shared" ca="1" si="30"/>
        <v>pswmigica2825</v>
      </c>
      <c r="D196" t="str">
        <f ca="1">Nomes!T197</f>
        <v>Miguel Vera Gomes Matos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Júlio César Machado</v>
      </c>
      <c r="H196" t="str" cm="1">
        <f t="array" aca="1" ref="H196" ca="1">INDEX(rua_cod!$A:$A,Users!V196) &amp; "-" &amp; TEXT(RANDBETWEEN(0,999),"000")</f>
        <v>2825-300</v>
      </c>
      <c r="I196" t="str" cm="1">
        <f t="array" aca="1" ref="I196" ca="1">INDEX(rua_cod!$B:$B,Users!V196)</f>
        <v>Costa de Caparica</v>
      </c>
      <c r="J196" t="s">
        <v>3727</v>
      </c>
      <c r="K196" t="s">
        <v>225</v>
      </c>
      <c r="L196" t="s">
        <v>265</v>
      </c>
      <c r="M196" t="str">
        <f t="shared" ca="1" si="31"/>
        <v>12491797</v>
      </c>
      <c r="N196" t="str">
        <f t="shared" ca="1" si="32"/>
        <v>755005445</v>
      </c>
      <c r="O196" t="str">
        <f t="shared" ca="1" si="32"/>
        <v>147034448</v>
      </c>
      <c r="P196" t="str" cm="1">
        <f t="array" aca="1" ref="P196" ca="1">9 &amp; INDEX($AF$3:$AF$6,W196)&amp; TEXT(RANDBETWEEN(0,9999999),"0000000")</f>
        <v>910192873</v>
      </c>
      <c r="Q196" t="str" cm="1">
        <f t="array" aca="1" ref="Q196" ca="1">LOWER(B196) &amp; INDEX($AF$9:$AF$11,X196)</f>
        <v>migica2825@gmail.com</v>
      </c>
      <c r="R196" t="str">
        <f t="shared" ca="1" si="33"/>
        <v>migica2825.jpg</v>
      </c>
      <c r="T196" s="4"/>
      <c r="V196">
        <f ca="1">RANDBETWEEN(2,COUNTA(rua_cod!A:A))</f>
        <v>27</v>
      </c>
      <c r="W196">
        <f t="shared" ca="1" si="34"/>
        <v>1</v>
      </c>
      <c r="X196">
        <f t="shared" ca="1" si="35"/>
        <v>2</v>
      </c>
      <c r="Y196">
        <f t="shared" ca="1" si="36"/>
        <v>1947</v>
      </c>
      <c r="Z196">
        <f t="shared" ca="1" si="37"/>
        <v>12</v>
      </c>
      <c r="AA196">
        <f t="shared" ca="1" si="38"/>
        <v>3</v>
      </c>
      <c r="AB196">
        <f t="shared" ca="1" si="39"/>
        <v>73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marbra3000</v>
      </c>
      <c r="C197" t="str">
        <f t="shared" ca="1" si="30"/>
        <v>pswmarbra3000</v>
      </c>
      <c r="D197" t="str">
        <f ca="1">Nomes!T198</f>
        <v>Marco Luís Martins Sá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dos Fanqueiros</v>
      </c>
      <c r="H197" t="str" cm="1">
        <f t="array" aca="1" ref="H197" ca="1">INDEX(rua_cod!$A:$A,Users!V197) &amp; "-" &amp; TEXT(RANDBETWEEN(0,999),"000")</f>
        <v>3000-759</v>
      </c>
      <c r="I197" t="str" cm="1">
        <f t="array" aca="1" ref="I197" ca="1">INDEX(rua_cod!$B:$B,Users!V197)</f>
        <v>Coimbra</v>
      </c>
      <c r="J197" t="s">
        <v>3727</v>
      </c>
      <c r="K197" t="s">
        <v>225</v>
      </c>
      <c r="L197" t="s">
        <v>265</v>
      </c>
      <c r="M197" t="str">
        <f t="shared" ca="1" si="31"/>
        <v>42070627</v>
      </c>
      <c r="N197" t="str">
        <f t="shared" ca="1" si="32"/>
        <v>835749524</v>
      </c>
      <c r="O197" t="str">
        <f t="shared" ca="1" si="32"/>
        <v>617891798</v>
      </c>
      <c r="P197" t="str" cm="1">
        <f t="array" aca="1" ref="P197" ca="1">9 &amp; INDEX($AF$3:$AF$6,W197)&amp; TEXT(RANDBETWEEN(0,9999999),"0000000")</f>
        <v>920749860</v>
      </c>
      <c r="Q197" t="str" cm="1">
        <f t="array" aca="1" ref="Q197" ca="1">LOWER(B197) &amp; INDEX($AF$9:$AF$11,X197)</f>
        <v>marbra3000@sapo.pt</v>
      </c>
      <c r="R197" t="str">
        <f t="shared" ca="1" si="33"/>
        <v>marbra3000.jpg</v>
      </c>
      <c r="T197" s="4"/>
      <c r="V197">
        <f ca="1">RANDBETWEEN(2,COUNTA(rua_cod!A:A))</f>
        <v>26</v>
      </c>
      <c r="W197">
        <f t="shared" ca="1" si="34"/>
        <v>2</v>
      </c>
      <c r="X197">
        <f t="shared" ca="1" si="35"/>
        <v>3</v>
      </c>
      <c r="Y197">
        <f t="shared" ca="1" si="36"/>
        <v>1995</v>
      </c>
      <c r="Z197">
        <f t="shared" ca="1" si="37"/>
        <v>7</v>
      </c>
      <c r="AA197">
        <f t="shared" ca="1" si="38"/>
        <v>4</v>
      </c>
      <c r="AB197">
        <f t="shared" ca="1" si="39"/>
        <v>25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jostra2714</v>
      </c>
      <c r="C198" t="str">
        <f t="shared" ca="1" si="30"/>
        <v>pswjostra2714</v>
      </c>
      <c r="D198" t="str">
        <f ca="1">Nomes!T199</f>
        <v>José Sara Pinto Soares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Rua General Morais Sarmento</v>
      </c>
      <c r="H198" t="str" cm="1">
        <f t="array" aca="1" ref="H198" ca="1">INDEX(rua_cod!$A:$A,Users!V198) &amp; "-" &amp; TEXT(RANDBETWEEN(0,999),"000")</f>
        <v>2714-713</v>
      </c>
      <c r="I198" t="str" cm="1">
        <f t="array" aca="1" ref="I198" ca="1">INDEX(rua_cod!$B:$B,Users!V198)</f>
        <v>Sintra</v>
      </c>
      <c r="J198" t="s">
        <v>3727</v>
      </c>
      <c r="K198" t="s">
        <v>225</v>
      </c>
      <c r="L198" t="s">
        <v>265</v>
      </c>
      <c r="M198" t="str">
        <f t="shared" ca="1" si="31"/>
        <v>18698157</v>
      </c>
      <c r="N198" t="str">
        <f t="shared" ca="1" si="32"/>
        <v>811595280</v>
      </c>
      <c r="O198" t="str">
        <f t="shared" ca="1" si="32"/>
        <v>882242227</v>
      </c>
      <c r="P198" t="str" cm="1">
        <f t="array" aca="1" ref="P198" ca="1">9 &amp; INDEX($AF$3:$AF$6,W198)&amp; TEXT(RANDBETWEEN(0,9999999),"0000000")</f>
        <v>912744403</v>
      </c>
      <c r="Q198" t="str" cm="1">
        <f t="array" aca="1" ref="Q198" ca="1">LOWER(B198) &amp; INDEX($AF$9:$AF$11,X198)</f>
        <v>jostra2714@sapo.pt</v>
      </c>
      <c r="R198" t="str">
        <f t="shared" ca="1" si="33"/>
        <v>jostra2714.jpg</v>
      </c>
      <c r="T198" s="4"/>
      <c r="V198">
        <f ca="1">RANDBETWEEN(2,COUNTA(rua_cod!A:A))</f>
        <v>101</v>
      </c>
      <c r="W198">
        <f t="shared" ca="1" si="34"/>
        <v>1</v>
      </c>
      <c r="X198">
        <f t="shared" ca="1" si="35"/>
        <v>3</v>
      </c>
      <c r="Y198">
        <f t="shared" ca="1" si="36"/>
        <v>1965</v>
      </c>
      <c r="Z198">
        <f t="shared" ca="1" si="37"/>
        <v>4</v>
      </c>
      <c r="AA198">
        <f t="shared" ca="1" si="38"/>
        <v>25</v>
      </c>
      <c r="AB198">
        <f t="shared" ca="1" si="39"/>
        <v>55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laures2674</v>
      </c>
      <c r="C199" t="str">
        <f t="shared" ca="1" si="30"/>
        <v>pswlaures2674</v>
      </c>
      <c r="D199" t="str">
        <f ca="1">Nomes!T200</f>
        <v>Laura Rodrigo Morais Domingues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da Prata</v>
      </c>
      <c r="H199" t="str" cm="1">
        <f t="array" aca="1" ref="H199" ca="1">INDEX(rua_cod!$A:$A,Users!V199) &amp; "-" &amp; TEXT(RANDBETWEEN(0,999),"000")</f>
        <v>2674-146</v>
      </c>
      <c r="I199" t="str" cm="1">
        <f t="array" aca="1" ref="I199" ca="1">INDEX(rua_cod!$B:$B,Users!V199)</f>
        <v>Loures</v>
      </c>
      <c r="J199" t="s">
        <v>3727</v>
      </c>
      <c r="K199" t="s">
        <v>225</v>
      </c>
      <c r="L199" t="s">
        <v>265</v>
      </c>
      <c r="M199" t="str">
        <f t="shared" ca="1" si="31"/>
        <v>37808637</v>
      </c>
      <c r="N199" t="str">
        <f t="shared" ca="1" si="32"/>
        <v>486220120</v>
      </c>
      <c r="O199" t="str">
        <f t="shared" ca="1" si="32"/>
        <v>154175106</v>
      </c>
      <c r="P199" t="str" cm="1">
        <f t="array" aca="1" ref="P199" ca="1">9 &amp; INDEX($AF$3:$AF$6,W199)&amp; TEXT(RANDBETWEEN(0,9999999),"0000000")</f>
        <v>938664583</v>
      </c>
      <c r="Q199" t="str" cm="1">
        <f t="array" aca="1" ref="Q199" ca="1">LOWER(B199) &amp; INDEX($AF$9:$AF$11,X199)</f>
        <v>laures2674@gmail.com</v>
      </c>
      <c r="R199" t="str">
        <f t="shared" ca="1" si="33"/>
        <v>laures2674.jpg</v>
      </c>
      <c r="T199" s="4"/>
      <c r="V199">
        <f ca="1">RANDBETWEEN(2,COUNTA(rua_cod!A:A))</f>
        <v>84</v>
      </c>
      <c r="W199">
        <f t="shared" ca="1" si="34"/>
        <v>3</v>
      </c>
      <c r="X199">
        <f t="shared" ca="1" si="35"/>
        <v>2</v>
      </c>
      <c r="Y199">
        <f t="shared" ca="1" si="36"/>
        <v>1980</v>
      </c>
      <c r="Z199">
        <f t="shared" ca="1" si="37"/>
        <v>7</v>
      </c>
      <c r="AA199">
        <f t="shared" ca="1" si="38"/>
        <v>14</v>
      </c>
      <c r="AB199">
        <f t="shared" ca="1" si="39"/>
        <v>40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Bruno</v>
      </c>
      <c r="E2" t="str">
        <f ca="1">Nomes!S3</f>
        <v>Masculino</v>
      </c>
      <c r="F2" s="2">
        <f ca="1">DATE(AA2,AB2,AC2)</f>
        <v>27462</v>
      </c>
      <c r="G2" t="str" cm="1">
        <f t="array" aca="1" ref="G2" ca="1">INDEX(rua_cod!$F:$F,RANDBETWEEN(2,COUNTA(rua_cod!F:F)))</f>
        <v>Rua da Madalena</v>
      </c>
      <c r="H2" t="str" cm="1">
        <f t="array" aca="1" ref="H2" ca="1">INDEX(rua_cod!$A:$A,Médicos!X2) &amp; "-" &amp; TEXT(RANDBETWEEN(0,999),"000")</f>
        <v>2809-506</v>
      </c>
      <c r="I2" t="str" cm="1">
        <f t="array" aca="1" ref="I2" ca="1">INDEX(rua_cod!$B:$B,Médicos!X2)</f>
        <v>Almada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68325182</v>
      </c>
      <c r="N2" t="str">
        <f ca="1">TEXT(RANDBETWEEN(100000000,999999999),"000000000")</f>
        <v>370643767</v>
      </c>
      <c r="O2" t="str">
        <f ca="1">TEXT(RANDBETWEEN(100000000,999999999),"000000000")</f>
        <v>700020265</v>
      </c>
      <c r="P2" t="str" cm="1">
        <f t="array" aca="1" ref="P2" ca="1">9 &amp; INDEX($AH$3:$AH$6,Y2)&amp; TEXT(RANDBETWEEN(0,9999999),"0000000")</f>
        <v>960809367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5068823112369510</v>
      </c>
      <c r="T2" t="s">
        <v>341</v>
      </c>
      <c r="V2" s="4"/>
      <c r="X2">
        <f ca="1">RANDBETWEEN(2,COUNTA(rua_cod!A:A))</f>
        <v>5</v>
      </c>
      <c r="Y2">
        <f ca="1">RANDBETWEEN(1,4)</f>
        <v>4</v>
      </c>
      <c r="Z2">
        <f ca="1">RANDBETWEEN(1,3)</f>
        <v>3</v>
      </c>
      <c r="AA2">
        <f ca="1">RANDBETWEEN(1950,1994)</f>
        <v>1975</v>
      </c>
      <c r="AB2">
        <f ca="1">RANDBETWEEN(1,12)</f>
        <v>3</v>
      </c>
      <c r="AC2">
        <f ca="1">RANDBETWEEN(1,31)</f>
        <v>9</v>
      </c>
      <c r="AD2">
        <f ca="1">2020-AA2</f>
        <v>45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Sara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do Arsenal</v>
      </c>
      <c r="H3" t="str" cm="1">
        <f t="array" aca="1" ref="H3" ca="1">INDEX(rua_cod!$A:$A,Médicos!X3) &amp; "-" &amp; TEXT(RANDBETWEEN(0,999),"000")</f>
        <v>2640-031</v>
      </c>
      <c r="I3" t="str" cm="1">
        <f t="array" aca="1" ref="I3" ca="1">INDEX(rua_cod!$B:$B,Médicos!X3)</f>
        <v>Mafra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13345002</v>
      </c>
      <c r="N3" t="str">
        <f t="shared" ref="N3:O66" ca="1" si="3">TEXT(RANDBETWEEN(100000000,999999999),"000000000")</f>
        <v>720714664</v>
      </c>
      <c r="O3" t="str">
        <f t="shared" ca="1" si="3"/>
        <v>448764566</v>
      </c>
      <c r="P3" t="str" cm="1">
        <f t="array" aca="1" ref="P3" ca="1">9 &amp; INDEX($AH$3:$AH$6,Y3)&amp; TEXT(RANDBETWEEN(0,9999999),"0000000")</f>
        <v>916048799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8259004606990268</v>
      </c>
      <c r="T3" t="s">
        <v>341</v>
      </c>
      <c r="V3" s="4"/>
      <c r="X3">
        <f ca="1">RANDBETWEEN(2,COUNTA(rua_cod!A:A))</f>
        <v>85</v>
      </c>
      <c r="Y3">
        <f t="shared" ref="Y3:Y66" ca="1" si="6">RANDBETWEEN(1,4)</f>
        <v>1</v>
      </c>
      <c r="Z3">
        <f t="shared" ref="Z3:Z66" ca="1" si="7">RANDBETWEEN(1,3)</f>
        <v>2</v>
      </c>
      <c r="AA3">
        <f t="shared" ref="AA3:AA66" ca="1" si="8">RANDBETWEEN(1950,1994)</f>
        <v>1976</v>
      </c>
      <c r="AB3">
        <f t="shared" ref="AB3:AB66" ca="1" si="9">RANDBETWEEN(1,12)</f>
        <v>6</v>
      </c>
      <c r="AC3">
        <f t="shared" ref="AC3:AC66" ca="1" si="10">RANDBETWEEN(1,31)</f>
        <v>21</v>
      </c>
      <c r="AD3">
        <f t="shared" ref="AD3:AD66" ca="1" si="11">2020-AA3</f>
        <v>44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Maria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da Betesga</v>
      </c>
      <c r="H4" t="str" cm="1">
        <f t="array" aca="1" ref="H4" ca="1">INDEX(rua_cod!$A:$A,Médicos!X4) &amp; "-" &amp; TEXT(RANDBETWEEN(0,999),"000")</f>
        <v>2714-267</v>
      </c>
      <c r="I4" t="str" cm="1">
        <f t="array" aca="1" ref="I4" ca="1">INDEX(rua_cod!$B:$B,Médicos!X4)</f>
        <v>Sintra</v>
      </c>
      <c r="J4" t="s">
        <v>341</v>
      </c>
      <c r="K4" t="s">
        <v>225</v>
      </c>
      <c r="L4" t="s">
        <v>265</v>
      </c>
      <c r="M4" t="str">
        <f t="shared" ca="1" si="2"/>
        <v>84535518</v>
      </c>
      <c r="N4" t="str">
        <f t="shared" ca="1" si="3"/>
        <v>421836719</v>
      </c>
      <c r="O4" t="str">
        <f t="shared" ca="1" si="3"/>
        <v>227535293</v>
      </c>
      <c r="P4" t="str" cm="1">
        <f t="array" aca="1" ref="P4" ca="1">9 &amp; INDEX($AH$3:$AH$6,Y4)&amp; TEXT(RANDBETWEEN(0,9999999),"0000000")</f>
        <v>930661832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1938886622656205</v>
      </c>
      <c r="T4" t="s">
        <v>341</v>
      </c>
      <c r="V4" s="4"/>
      <c r="X4">
        <f ca="1">RANDBETWEEN(2,COUNTA(rua_cod!A:A))</f>
        <v>101</v>
      </c>
      <c r="Y4">
        <f t="shared" ca="1" si="6"/>
        <v>3</v>
      </c>
      <c r="Z4">
        <f t="shared" ca="1" si="7"/>
        <v>2</v>
      </c>
      <c r="AA4">
        <f t="shared" ca="1" si="8"/>
        <v>1960</v>
      </c>
      <c r="AB4">
        <f t="shared" ca="1" si="9"/>
        <v>5</v>
      </c>
      <c r="AC4">
        <f t="shared" ca="1" si="10"/>
        <v>8</v>
      </c>
      <c r="AD4">
        <f t="shared" ca="1" si="11"/>
        <v>60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Tiago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dos Fanqueiros</v>
      </c>
      <c r="H5" t="str" cm="1">
        <f t="array" aca="1" ref="H5" ca="1">INDEX(rua_cod!$A:$A,Médicos!X5) &amp; "-" &amp; TEXT(RANDBETWEEN(0,999),"000")</f>
        <v>2350-811</v>
      </c>
      <c r="I5" t="str" cm="1">
        <f t="array" aca="1" ref="I5" ca="1">INDEX(rua_cod!$B:$B,Médicos!X5)</f>
        <v>Torres Novas</v>
      </c>
      <c r="J5" t="s">
        <v>341</v>
      </c>
      <c r="K5" t="s">
        <v>225</v>
      </c>
      <c r="L5" t="s">
        <v>265</v>
      </c>
      <c r="M5" t="str">
        <f t="shared" ca="1" si="2"/>
        <v>97493104</v>
      </c>
      <c r="N5" t="str">
        <f t="shared" ca="1" si="3"/>
        <v>175018136</v>
      </c>
      <c r="O5" t="str">
        <f t="shared" ca="1" si="3"/>
        <v>944936506</v>
      </c>
      <c r="P5" t="str" cm="1">
        <f t="array" aca="1" ref="P5" ca="1">9 &amp; INDEX($AH$3:$AH$6,Y5)&amp; TEXT(RANDBETWEEN(0,9999999),"0000000")</f>
        <v>934207503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5347791239602080</v>
      </c>
      <c r="T5" t="s">
        <v>341</v>
      </c>
      <c r="V5" s="4"/>
      <c r="X5">
        <f ca="1">RANDBETWEEN(2,COUNTA(rua_cod!A:A))</f>
        <v>103</v>
      </c>
      <c r="Y5">
        <f t="shared" ca="1" si="6"/>
        <v>3</v>
      </c>
      <c r="Z5">
        <f t="shared" ca="1" si="7"/>
        <v>1</v>
      </c>
      <c r="AA5">
        <f t="shared" ca="1" si="8"/>
        <v>1979</v>
      </c>
      <c r="AB5">
        <f t="shared" ca="1" si="9"/>
        <v>1</v>
      </c>
      <c r="AC5">
        <f t="shared" ca="1" si="10"/>
        <v>4</v>
      </c>
      <c r="AD5">
        <f t="shared" ca="1" si="11"/>
        <v>41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Afonso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da Alfândega</v>
      </c>
      <c r="H6" t="str" cm="1">
        <f t="array" aca="1" ref="H6" ca="1">INDEX(rua_cod!$A:$A,Médicos!X6) &amp; "-" &amp; TEXT(RANDBETWEEN(0,999),"000")</f>
        <v>2834-246</v>
      </c>
      <c r="I6" t="str" cm="1">
        <f t="array" aca="1" ref="I6" ca="1">INDEX(rua_cod!$B:$B,Médicos!X6)</f>
        <v>Barreiro</v>
      </c>
      <c r="J6" t="s">
        <v>341</v>
      </c>
      <c r="K6" t="s">
        <v>225</v>
      </c>
      <c r="L6" t="s">
        <v>265</v>
      </c>
      <c r="M6" t="str">
        <f t="shared" ca="1" si="2"/>
        <v>75553639</v>
      </c>
      <c r="N6" t="str">
        <f t="shared" ca="1" si="3"/>
        <v>982917921</v>
      </c>
      <c r="O6" t="str">
        <f t="shared" ca="1" si="3"/>
        <v>357502250</v>
      </c>
      <c r="P6" t="str" cm="1">
        <f t="array" aca="1" ref="P6" ca="1">9 &amp; INDEX($AH$3:$AH$6,Y6)&amp; TEXT(RANDBETWEEN(0,9999999),"0000000")</f>
        <v>921212896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2186427444359755</v>
      </c>
      <c r="T6" t="s">
        <v>341</v>
      </c>
      <c r="V6" s="4"/>
      <c r="X6">
        <f ca="1">RANDBETWEEN(2,COUNTA(rua_cod!A:A))</f>
        <v>17</v>
      </c>
      <c r="Y6">
        <f t="shared" ca="1" si="6"/>
        <v>2</v>
      </c>
      <c r="Z6">
        <f t="shared" ca="1" si="7"/>
        <v>1</v>
      </c>
      <c r="AA6">
        <f t="shared" ca="1" si="8"/>
        <v>1987</v>
      </c>
      <c r="AB6">
        <f t="shared" ca="1" si="9"/>
        <v>2</v>
      </c>
      <c r="AC6">
        <f t="shared" ca="1" si="10"/>
        <v>31</v>
      </c>
      <c r="AD6">
        <f t="shared" ca="1" si="11"/>
        <v>33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Calçada do Poço dos Mouros</v>
      </c>
      <c r="H7" t="str" cm="1">
        <f t="array" aca="1" ref="H7" ca="1">INDEX(rua_cod!$A:$A,Médicos!X7) &amp; "-" &amp; TEXT(RANDBETWEEN(0,999),"000")</f>
        <v>1098-691</v>
      </c>
      <c r="I7" t="str" cm="1">
        <f t="array" aca="1" ref="I7" ca="1">INDEX(rua_cod!$B:$B,Médicos!X7)</f>
        <v>Lisboa</v>
      </c>
      <c r="J7" t="s">
        <v>341</v>
      </c>
      <c r="K7" t="s">
        <v>225</v>
      </c>
      <c r="L7" t="s">
        <v>265</v>
      </c>
      <c r="M7" t="str">
        <f t="shared" ca="1" si="2"/>
        <v>70608694</v>
      </c>
      <c r="N7" t="str">
        <f t="shared" ca="1" si="3"/>
        <v>853618752</v>
      </c>
      <c r="O7" t="str">
        <f t="shared" ca="1" si="3"/>
        <v>813369311</v>
      </c>
      <c r="P7" t="str" cm="1">
        <f t="array" aca="1" ref="P7" ca="1">9 &amp; INDEX($AH$3:$AH$6,Y7)&amp; TEXT(RANDBETWEEN(0,9999999),"0000000")</f>
        <v>969464779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7917159182151017</v>
      </c>
      <c r="T7" t="s">
        <v>341</v>
      </c>
      <c r="V7" s="4"/>
      <c r="X7">
        <f ca="1">RANDBETWEEN(2,COUNTA(rua_cod!A:A))</f>
        <v>80</v>
      </c>
      <c r="Y7">
        <f t="shared" ca="1" si="6"/>
        <v>4</v>
      </c>
      <c r="Z7">
        <f t="shared" ca="1" si="7"/>
        <v>3</v>
      </c>
      <c r="AA7">
        <f t="shared" ca="1" si="8"/>
        <v>1970</v>
      </c>
      <c r="AB7">
        <f t="shared" ca="1" si="9"/>
        <v>9</v>
      </c>
      <c r="AC7">
        <f t="shared" ca="1" si="10"/>
        <v>20</v>
      </c>
      <c r="AD7">
        <f t="shared" ca="1" si="11"/>
        <v>50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Inês</v>
      </c>
      <c r="E8" t="str">
        <f ca="1">Nomes!S9</f>
        <v>Feminino</v>
      </c>
      <c r="F8" s="2">
        <v>26214</v>
      </c>
      <c r="G8" t="str" cm="1">
        <f t="array" aca="1" ref="G8" ca="1">INDEX(rua_cod!$F:$F,RANDBETWEEN(2,COUNTA(rua_cod!F:F)))</f>
        <v>Rua de São Mamede</v>
      </c>
      <c r="H8" t="str" cm="1">
        <f t="array" aca="1" ref="H8" ca="1">INDEX(rua_cod!$A:$A,Médicos!X8) &amp; "-" &amp; TEXT(RANDBETWEEN(0,999),"000")</f>
        <v>2710-658</v>
      </c>
      <c r="I8" t="str" cm="1">
        <f t="array" aca="1" ref="I8" ca="1">INDEX(rua_cod!$B:$B,Médicos!X8)</f>
        <v>Sintra</v>
      </c>
      <c r="J8" t="s">
        <v>341</v>
      </c>
      <c r="K8" t="s">
        <v>225</v>
      </c>
      <c r="L8" t="s">
        <v>265</v>
      </c>
      <c r="M8" t="str">
        <f t="shared" ca="1" si="2"/>
        <v>26952989</v>
      </c>
      <c r="N8" t="str">
        <f t="shared" ca="1" si="3"/>
        <v>519766874</v>
      </c>
      <c r="O8" t="str">
        <f t="shared" ca="1" si="3"/>
        <v>321132073</v>
      </c>
      <c r="P8" t="str" cm="1">
        <f t="array" aca="1" ref="P8" ca="1">9 &amp; INDEX($AH$3:$AH$6,Y8)&amp; TEXT(RANDBETWEEN(0,9999999),"0000000")</f>
        <v>931793840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5994803182363293</v>
      </c>
      <c r="T8" t="s">
        <v>341</v>
      </c>
      <c r="V8" s="4"/>
      <c r="X8">
        <f ca="1">RANDBETWEEN(2,COUNTA(rua_cod!A:A))</f>
        <v>100</v>
      </c>
      <c r="Y8">
        <f t="shared" ca="1" si="6"/>
        <v>3</v>
      </c>
      <c r="Z8">
        <f t="shared" ca="1" si="7"/>
        <v>1</v>
      </c>
      <c r="AA8">
        <f t="shared" ca="1" si="8"/>
        <v>1973</v>
      </c>
      <c r="AB8">
        <f t="shared" ca="1" si="9"/>
        <v>10</v>
      </c>
      <c r="AC8">
        <f t="shared" ca="1" si="10"/>
        <v>28</v>
      </c>
      <c r="AD8">
        <f t="shared" ca="1" si="11"/>
        <v>47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Pedro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dos Bacalhoeiros</v>
      </c>
      <c r="H9" t="str" cm="1">
        <f t="array" aca="1" ref="H9" ca="1">INDEX(rua_cod!$A:$A,Médicos!X9) &amp; "-" &amp; TEXT(RANDBETWEEN(0,999),"000")</f>
        <v>2805-318</v>
      </c>
      <c r="I9" t="str" cm="1">
        <f t="array" aca="1" ref="I9" ca="1">INDEX(rua_cod!$B:$B,Médicos!X9)</f>
        <v>Almada</v>
      </c>
      <c r="J9" t="s">
        <v>341</v>
      </c>
      <c r="K9" t="s">
        <v>225</v>
      </c>
      <c r="L9" t="s">
        <v>265</v>
      </c>
      <c r="M9" t="str">
        <f t="shared" ca="1" si="2"/>
        <v>13103727</v>
      </c>
      <c r="N9" t="str">
        <f t="shared" ca="1" si="3"/>
        <v>821868183</v>
      </c>
      <c r="O9" t="str">
        <f t="shared" ca="1" si="3"/>
        <v>211836068</v>
      </c>
      <c r="P9" t="str" cm="1">
        <f t="array" aca="1" ref="P9" ca="1">9 &amp; INDEX($AH$3:$AH$6,Y9)&amp; TEXT(RANDBETWEEN(0,9999999),"0000000")</f>
        <v>914999090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6023597183500976</v>
      </c>
      <c r="T9" t="s">
        <v>341</v>
      </c>
      <c r="V9" s="4"/>
      <c r="X9">
        <f ca="1">RANDBETWEEN(2,COUNTA(rua_cod!A:A))</f>
        <v>4</v>
      </c>
      <c r="Y9">
        <f t="shared" ca="1" si="6"/>
        <v>1</v>
      </c>
      <c r="Z9">
        <f t="shared" ca="1" si="7"/>
        <v>1</v>
      </c>
      <c r="AA9">
        <f t="shared" ca="1" si="8"/>
        <v>1981</v>
      </c>
      <c r="AB9">
        <f t="shared" ca="1" si="9"/>
        <v>8</v>
      </c>
      <c r="AC9">
        <f t="shared" ca="1" si="10"/>
        <v>24</v>
      </c>
      <c r="AD9">
        <f t="shared" ca="1" si="11"/>
        <v>39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Mariana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Estrada Militar</v>
      </c>
      <c r="H10" t="str" cm="1">
        <f t="array" aca="1" ref="H10" ca="1">INDEX(rua_cod!$A:$A,Médicos!X10) &amp; "-" &amp; TEXT(RANDBETWEEN(0,999),"000")</f>
        <v>1149-628</v>
      </c>
      <c r="I10" t="str" cm="1">
        <f t="array" aca="1" ref="I10" ca="1">INDEX(rua_cod!$B:$B,Médicos!X10)</f>
        <v>Lisboa</v>
      </c>
      <c r="J10" t="s">
        <v>341</v>
      </c>
      <c r="K10" t="s">
        <v>225</v>
      </c>
      <c r="L10" t="s">
        <v>265</v>
      </c>
      <c r="M10" t="str">
        <f t="shared" ca="1" si="2"/>
        <v>21479360</v>
      </c>
      <c r="N10" t="str">
        <f t="shared" ca="1" si="3"/>
        <v>116433806</v>
      </c>
      <c r="O10" t="str">
        <f t="shared" ca="1" si="3"/>
        <v>170764621</v>
      </c>
      <c r="P10" t="str" cm="1">
        <f t="array" aca="1" ref="P10" ca="1">9 &amp; INDEX($AH$3:$AH$6,Y10)&amp; TEXT(RANDBETWEEN(0,9999999),"0000000")</f>
        <v>911824492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6646908923329766</v>
      </c>
      <c r="T10" t="s">
        <v>341</v>
      </c>
      <c r="V10" s="4"/>
      <c r="X10">
        <f ca="1">RANDBETWEEN(2,COUNTA(rua_cod!A:A))</f>
        <v>59</v>
      </c>
      <c r="Y10">
        <f t="shared" ca="1" si="6"/>
        <v>1</v>
      </c>
      <c r="Z10">
        <f t="shared" ca="1" si="7"/>
        <v>1</v>
      </c>
      <c r="AA10">
        <f t="shared" ca="1" si="8"/>
        <v>1973</v>
      </c>
      <c r="AB10">
        <f t="shared" ca="1" si="9"/>
        <v>2</v>
      </c>
      <c r="AC10">
        <f t="shared" ca="1" si="10"/>
        <v>15</v>
      </c>
      <c r="AD10">
        <f t="shared" ca="1" si="11"/>
        <v>47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Tomás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Roberto Duarte Silva</v>
      </c>
      <c r="H11" t="str" cm="1">
        <f t="array" aca="1" ref="H11" ca="1">INDEX(rua_cod!$A:$A,Médicos!X11) &amp; "-" &amp; TEXT(RANDBETWEEN(0,999),"000")</f>
        <v>1998-263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84562229</v>
      </c>
      <c r="N11" t="str">
        <f t="shared" ca="1" si="3"/>
        <v>602881995</v>
      </c>
      <c r="O11" t="str">
        <f t="shared" ca="1" si="3"/>
        <v>384216247</v>
      </c>
      <c r="P11" t="str" cm="1">
        <f t="array" aca="1" ref="P11" ca="1">9 &amp; INDEX($AH$3:$AH$6,Y11)&amp; TEXT(RANDBETWEEN(0,9999999),"0000000")</f>
        <v>936901297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6131603056492307</v>
      </c>
      <c r="T11" t="s">
        <v>341</v>
      </c>
      <c r="V11" s="4"/>
      <c r="X11">
        <f ca="1">RANDBETWEEN(2,COUNTA(rua_cod!A:A))</f>
        <v>78</v>
      </c>
      <c r="Y11">
        <f t="shared" ca="1" si="6"/>
        <v>3</v>
      </c>
      <c r="Z11">
        <f t="shared" ca="1" si="7"/>
        <v>2</v>
      </c>
      <c r="AA11">
        <f t="shared" ca="1" si="8"/>
        <v>1967</v>
      </c>
      <c r="AB11">
        <f t="shared" ca="1" si="9"/>
        <v>11</v>
      </c>
      <c r="AC11">
        <f t="shared" ca="1" si="10"/>
        <v>30</v>
      </c>
      <c r="AD11">
        <f t="shared" ca="1" si="11"/>
        <v>53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Rodrigo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Garrett</v>
      </c>
      <c r="H12" t="str" cm="1">
        <f t="array" aca="1" ref="H12" ca="1">INDEX(rua_cod!$A:$A,Médicos!X12) &amp; "-" &amp; TEXT(RANDBETWEEN(0,999),"000")</f>
        <v>2704-303</v>
      </c>
      <c r="I12" t="str" cm="1">
        <f t="array" aca="1" ref="I12" ca="1">INDEX(rua_cod!$B:$B,Médicos!X12)</f>
        <v>Amadora</v>
      </c>
      <c r="J12" t="s">
        <v>341</v>
      </c>
      <c r="K12" t="s">
        <v>225</v>
      </c>
      <c r="L12" t="s">
        <v>265</v>
      </c>
      <c r="M12" t="str">
        <f t="shared" ca="1" si="2"/>
        <v>79002349</v>
      </c>
      <c r="N12" t="str">
        <f t="shared" ca="1" si="3"/>
        <v>602489699</v>
      </c>
      <c r="O12" t="str">
        <f t="shared" ca="1" si="3"/>
        <v>664123241</v>
      </c>
      <c r="P12" t="str" cm="1">
        <f t="array" aca="1" ref="P12" ca="1">9 &amp; INDEX($AH$3:$AH$6,Y12)&amp; TEXT(RANDBETWEEN(0,9999999),"0000000")</f>
        <v>913164836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1385897046946674</v>
      </c>
      <c r="T12" t="s">
        <v>341</v>
      </c>
      <c r="V12" s="4"/>
      <c r="X12">
        <f ca="1">RANDBETWEEN(2,COUNTA(rua_cod!A:A))</f>
        <v>15</v>
      </c>
      <c r="Y12">
        <f t="shared" ca="1" si="6"/>
        <v>1</v>
      </c>
      <c r="Z12">
        <f t="shared" ca="1" si="7"/>
        <v>1</v>
      </c>
      <c r="AA12">
        <f t="shared" ca="1" si="8"/>
        <v>1991</v>
      </c>
      <c r="AB12">
        <f t="shared" ca="1" si="9"/>
        <v>2</v>
      </c>
      <c r="AC12">
        <f t="shared" ca="1" si="10"/>
        <v>21</v>
      </c>
      <c r="AD12">
        <f t="shared" ca="1" si="11"/>
        <v>29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Joana Martins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Roberto Duarte Silva</v>
      </c>
      <c r="H13" t="str" cm="1">
        <f t="array" aca="1" ref="H13" ca="1">INDEX(rua_cod!$A:$A,Médicos!X13) &amp; "-" &amp; TEXT(RANDBETWEEN(0,999),"000")</f>
        <v>2410-607</v>
      </c>
      <c r="I13" t="str" cm="1">
        <f t="array" aca="1" ref="I13" ca="1">INDEX(rua_cod!$B:$B,Médicos!X13)</f>
        <v>Leiria</v>
      </c>
      <c r="J13" t="s">
        <v>341</v>
      </c>
      <c r="K13" t="s">
        <v>225</v>
      </c>
      <c r="L13" t="s">
        <v>265</v>
      </c>
      <c r="M13" t="str">
        <f t="shared" ca="1" si="2"/>
        <v>48001416</v>
      </c>
      <c r="N13" t="str">
        <f t="shared" ca="1" si="3"/>
        <v>395505963</v>
      </c>
      <c r="O13" t="str">
        <f t="shared" ca="1" si="3"/>
        <v>555662181</v>
      </c>
      <c r="P13" t="str" cm="1">
        <f t="array" aca="1" ref="P13" ca="1">9 &amp; INDEX($AH$3:$AH$6,Y13)&amp; TEXT(RANDBETWEEN(0,9999999),"0000000")</f>
        <v>968265884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7956711764601664</v>
      </c>
      <c r="T13" t="s">
        <v>341</v>
      </c>
      <c r="V13" s="4"/>
      <c r="X13">
        <f ca="1">RANDBETWEEN(2,COUNTA(rua_cod!A:A))</f>
        <v>34</v>
      </c>
      <c r="Y13">
        <f t="shared" ca="1" si="6"/>
        <v>4</v>
      </c>
      <c r="Z13">
        <f t="shared" ca="1" si="7"/>
        <v>2</v>
      </c>
      <c r="AA13">
        <f t="shared" ca="1" si="8"/>
        <v>1991</v>
      </c>
      <c r="AB13">
        <f t="shared" ca="1" si="9"/>
        <v>3</v>
      </c>
      <c r="AC13">
        <f t="shared" ca="1" si="10"/>
        <v>21</v>
      </c>
      <c r="AD13">
        <f t="shared" ca="1" si="11"/>
        <v>29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Tiago Valente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Rua Roberto Duarte Silva</v>
      </c>
      <c r="H14" t="str" cm="1">
        <f t="array" aca="1" ref="H14" ca="1">INDEX(rua_cod!$A:$A,Médicos!X14) &amp; "-" &amp; TEXT(RANDBETWEEN(0,999),"000")</f>
        <v>1149-927</v>
      </c>
      <c r="I14" t="str" cm="1">
        <f t="array" aca="1" ref="I14" ca="1">INDEX(rua_cod!$B:$B,Médicos!X14)</f>
        <v>Lisboa</v>
      </c>
      <c r="J14" t="s">
        <v>341</v>
      </c>
      <c r="K14" t="s">
        <v>225</v>
      </c>
      <c r="L14" t="s">
        <v>265</v>
      </c>
      <c r="M14" t="str">
        <f t="shared" ca="1" si="2"/>
        <v>17993539</v>
      </c>
      <c r="N14" t="str">
        <f t="shared" ca="1" si="3"/>
        <v>599390633</v>
      </c>
      <c r="O14" t="str">
        <f t="shared" ca="1" si="3"/>
        <v>480818522</v>
      </c>
      <c r="P14" t="str" cm="1">
        <f t="array" aca="1" ref="P14" ca="1">9 &amp; INDEX($AH$3:$AH$6,Y14)&amp; TEXT(RANDBETWEEN(0,9999999),"0000000")</f>
        <v>962610623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2801831643003733</v>
      </c>
      <c r="T14" t="s">
        <v>341</v>
      </c>
      <c r="V14" s="4"/>
      <c r="X14">
        <f ca="1">RANDBETWEEN(2,COUNTA(rua_cod!A:A))</f>
        <v>59</v>
      </c>
      <c r="Y14">
        <f t="shared" ca="1" si="6"/>
        <v>4</v>
      </c>
      <c r="Z14">
        <f t="shared" ca="1" si="7"/>
        <v>3</v>
      </c>
      <c r="AA14">
        <f t="shared" ca="1" si="8"/>
        <v>1964</v>
      </c>
      <c r="AB14">
        <f t="shared" ca="1" si="9"/>
        <v>12</v>
      </c>
      <c r="AC14">
        <f t="shared" ca="1" si="10"/>
        <v>9</v>
      </c>
      <c r="AD14">
        <f t="shared" ca="1" si="11"/>
        <v>56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Santiago Brito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Calçada Marquês de Abrantes</v>
      </c>
      <c r="H15" t="str" cm="1">
        <f t="array" aca="1" ref="H15" ca="1">INDEX(rua_cod!$A:$A,Médicos!X15) &amp; "-" &amp; TEXT(RANDBETWEEN(0,999),"000")</f>
        <v>1100-480</v>
      </c>
      <c r="I15" t="str" cm="1">
        <f t="array" aca="1" ref="I15" ca="1">INDEX(rua_cod!$B:$B,Médicos!X15)</f>
        <v>Lisboa</v>
      </c>
      <c r="J15" t="s">
        <v>341</v>
      </c>
      <c r="K15" t="s">
        <v>225</v>
      </c>
      <c r="L15" t="s">
        <v>265</v>
      </c>
      <c r="M15" t="str">
        <f t="shared" ca="1" si="2"/>
        <v>76533761</v>
      </c>
      <c r="N15" t="str">
        <f t="shared" ca="1" si="3"/>
        <v>961502889</v>
      </c>
      <c r="O15" t="str">
        <f t="shared" ca="1" si="3"/>
        <v>679048477</v>
      </c>
      <c r="P15" t="str" cm="1">
        <f t="array" aca="1" ref="P15" ca="1">9 &amp; INDEX($AH$3:$AH$6,Y15)&amp; TEXT(RANDBETWEEN(0,9999999),"0000000")</f>
        <v>931654434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4480661045492619</v>
      </c>
      <c r="T15" t="s">
        <v>341</v>
      </c>
      <c r="V15" s="4"/>
      <c r="X15">
        <f ca="1">RANDBETWEEN(2,COUNTA(rua_cod!A:A))</f>
        <v>46</v>
      </c>
      <c r="Y15">
        <f t="shared" ca="1" si="6"/>
        <v>3</v>
      </c>
      <c r="Z15">
        <f t="shared" ca="1" si="7"/>
        <v>1</v>
      </c>
      <c r="AA15">
        <f t="shared" ca="1" si="8"/>
        <v>1953</v>
      </c>
      <c r="AB15">
        <f t="shared" ca="1" si="9"/>
        <v>5</v>
      </c>
      <c r="AC15">
        <f t="shared" ca="1" si="10"/>
        <v>21</v>
      </c>
      <c r="AD15">
        <f t="shared" ca="1" si="11"/>
        <v>67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Sofia Vaz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Rua General Morais Sarmento</v>
      </c>
      <c r="H16" t="str" cm="1">
        <f t="array" aca="1" ref="H16" ca="1">INDEX(rua_cod!$A:$A,Médicos!X16) &amp; "-" &amp; TEXT(RANDBETWEEN(0,999),"000")</f>
        <v>2330-536</v>
      </c>
      <c r="I16" t="str" cm="1">
        <f t="array" aca="1" ref="I16" ca="1">INDEX(rua_cod!$B:$B,Médicos!X16)</f>
        <v>Entroncamento</v>
      </c>
      <c r="J16" t="s">
        <v>341</v>
      </c>
      <c r="K16" t="s">
        <v>225</v>
      </c>
      <c r="L16" t="s">
        <v>265</v>
      </c>
      <c r="M16" t="str">
        <f t="shared" ca="1" si="2"/>
        <v>43317368</v>
      </c>
      <c r="N16" t="str">
        <f t="shared" ca="1" si="3"/>
        <v>324383252</v>
      </c>
      <c r="O16" t="str">
        <f t="shared" ca="1" si="3"/>
        <v>253558517</v>
      </c>
      <c r="P16" t="str" cm="1">
        <f t="array" aca="1" ref="P16" ca="1">9 &amp; INDEX($AH$3:$AH$6,Y16)&amp; TEXT(RANDBETWEEN(0,9999999),"0000000")</f>
        <v>922756639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6871693957730982</v>
      </c>
      <c r="T16" t="s">
        <v>341</v>
      </c>
      <c r="V16" s="4"/>
      <c r="X16">
        <f ca="1">RANDBETWEEN(2,COUNTA(rua_cod!A:A))</f>
        <v>29</v>
      </c>
      <c r="Y16">
        <f t="shared" ca="1" si="6"/>
        <v>2</v>
      </c>
      <c r="Z16">
        <f t="shared" ca="1" si="7"/>
        <v>2</v>
      </c>
      <c r="AA16">
        <f t="shared" ca="1" si="8"/>
        <v>1993</v>
      </c>
      <c r="AB16">
        <f t="shared" ca="1" si="9"/>
        <v>12</v>
      </c>
      <c r="AC16">
        <f t="shared" ca="1" si="10"/>
        <v>27</v>
      </c>
      <c r="AD16">
        <f t="shared" ca="1" si="11"/>
        <v>27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Afonso Lima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Cidade de Bolama</v>
      </c>
      <c r="H17" t="str" cm="1">
        <f t="array" aca="1" ref="H17" ca="1">INDEX(rua_cod!$A:$A,Médicos!X17) &amp; "-" &amp; TEXT(RANDBETWEEN(0,999),"000")</f>
        <v>2825-002</v>
      </c>
      <c r="I17" t="str" cm="1">
        <f t="array" aca="1" ref="I17" ca="1">INDEX(rua_cod!$B:$B,Médicos!X17)</f>
        <v>Caparica</v>
      </c>
      <c r="J17" t="s">
        <v>341</v>
      </c>
      <c r="K17" t="s">
        <v>225</v>
      </c>
      <c r="L17" t="s">
        <v>265</v>
      </c>
      <c r="M17" t="str">
        <f t="shared" ca="1" si="2"/>
        <v>26940096</v>
      </c>
      <c r="N17" t="str">
        <f t="shared" ca="1" si="3"/>
        <v>198732046</v>
      </c>
      <c r="O17" t="str">
        <f t="shared" ca="1" si="3"/>
        <v>438094105</v>
      </c>
      <c r="P17" t="str" cm="1">
        <f t="array" aca="1" ref="P17" ca="1">9 &amp; INDEX($AH$3:$AH$6,Y17)&amp; TEXT(RANDBETWEEN(0,9999999),"0000000")</f>
        <v>939273915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5416943621573778</v>
      </c>
      <c r="T17" t="s">
        <v>341</v>
      </c>
      <c r="V17" s="4"/>
      <c r="X17">
        <f ca="1">RANDBETWEEN(2,COUNTA(rua_cod!A:A))</f>
        <v>18</v>
      </c>
      <c r="Y17">
        <f t="shared" ca="1" si="6"/>
        <v>3</v>
      </c>
      <c r="Z17">
        <f t="shared" ca="1" si="7"/>
        <v>2</v>
      </c>
      <c r="AA17">
        <f t="shared" ca="1" si="8"/>
        <v>1990</v>
      </c>
      <c r="AB17">
        <f t="shared" ca="1" si="9"/>
        <v>11</v>
      </c>
      <c r="AC17">
        <f t="shared" ca="1" si="10"/>
        <v>9</v>
      </c>
      <c r="AD17">
        <f t="shared" ca="1" si="11"/>
        <v>30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Diogo Silva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Garrett</v>
      </c>
      <c r="H18" t="str" cm="1">
        <f t="array" aca="1" ref="H18" ca="1">INDEX(rua_cod!$A:$A,Médicos!X18) &amp; "-" &amp; TEXT(RANDBETWEEN(0,999),"000")</f>
        <v>1350-267</v>
      </c>
      <c r="I18" t="str" cm="1">
        <f t="array" aca="1" ref="I18" ca="1">INDEX(rua_cod!$B:$B,Médicos!X18)</f>
        <v>Lisboa</v>
      </c>
      <c r="J18" t="s">
        <v>341</v>
      </c>
      <c r="K18" t="s">
        <v>225</v>
      </c>
      <c r="L18" t="s">
        <v>265</v>
      </c>
      <c r="M18" t="str">
        <f t="shared" ca="1" si="2"/>
        <v>91452074</v>
      </c>
      <c r="N18" t="str">
        <f t="shared" ca="1" si="3"/>
        <v>716069717</v>
      </c>
      <c r="O18" t="str">
        <f t="shared" ca="1" si="3"/>
        <v>621125706</v>
      </c>
      <c r="P18" t="str" cm="1">
        <f t="array" aca="1" ref="P18" ca="1">9 &amp; INDEX($AH$3:$AH$6,Y18)&amp; TEXT(RANDBETWEEN(0,9999999),"0000000")</f>
        <v>933900096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5174027433845918</v>
      </c>
      <c r="T18" t="s">
        <v>341</v>
      </c>
      <c r="V18" s="4"/>
      <c r="X18">
        <f ca="1">RANDBETWEEN(2,COUNTA(rua_cod!A:A))</f>
        <v>54</v>
      </c>
      <c r="Y18">
        <f t="shared" ca="1" si="6"/>
        <v>3</v>
      </c>
      <c r="Z18">
        <f t="shared" ca="1" si="7"/>
        <v>3</v>
      </c>
      <c r="AA18">
        <f t="shared" ca="1" si="8"/>
        <v>1952</v>
      </c>
      <c r="AB18">
        <f t="shared" ca="1" si="9"/>
        <v>6</v>
      </c>
      <c r="AC18">
        <f t="shared" ca="1" si="10"/>
        <v>5</v>
      </c>
      <c r="AD18">
        <f t="shared" ca="1" si="11"/>
        <v>68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Pedro Esteves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Rua Roberto Duarte Silva</v>
      </c>
      <c r="H19" t="str" cm="1">
        <f t="array" aca="1" ref="H19" ca="1">INDEX(rua_cod!$A:$A,Médicos!X19) &amp; "-" &amp; TEXT(RANDBETWEEN(0,999),"000")</f>
        <v>1449-519</v>
      </c>
      <c r="I19" t="str" cm="1">
        <f t="array" aca="1" ref="I19" ca="1">INDEX(rua_cod!$B:$B,Médicos!X19)</f>
        <v>Lisboa</v>
      </c>
      <c r="J19" t="s">
        <v>341</v>
      </c>
      <c r="K19" t="s">
        <v>225</v>
      </c>
      <c r="L19" t="s">
        <v>265</v>
      </c>
      <c r="M19" t="str">
        <f t="shared" ca="1" si="2"/>
        <v>35770742</v>
      </c>
      <c r="N19" t="str">
        <f t="shared" ca="1" si="3"/>
        <v>222790857</v>
      </c>
      <c r="O19" t="str">
        <f t="shared" ca="1" si="3"/>
        <v>610811767</v>
      </c>
      <c r="P19" t="str" cm="1">
        <f t="array" aca="1" ref="P19" ca="1">9 &amp; INDEX($AH$3:$AH$6,Y19)&amp; TEXT(RANDBETWEEN(0,9999999),"0000000")</f>
        <v>911411677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5801783598618359</v>
      </c>
      <c r="T19" t="s">
        <v>341</v>
      </c>
      <c r="V19" s="4"/>
      <c r="X19">
        <f ca="1">RANDBETWEEN(2,COUNTA(rua_cod!A:A))</f>
        <v>73</v>
      </c>
      <c r="Y19">
        <f t="shared" ca="1" si="6"/>
        <v>1</v>
      </c>
      <c r="Z19">
        <f t="shared" ca="1" si="7"/>
        <v>2</v>
      </c>
      <c r="AA19">
        <f t="shared" ca="1" si="8"/>
        <v>1952</v>
      </c>
      <c r="AB19">
        <f t="shared" ca="1" si="9"/>
        <v>12</v>
      </c>
      <c r="AC19">
        <f t="shared" ca="1" si="10"/>
        <v>3</v>
      </c>
      <c r="AD19">
        <f t="shared" ca="1" si="11"/>
        <v>68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Leonor Abreu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Rua General Morais Sarmento</v>
      </c>
      <c r="H20" t="str" cm="1">
        <f t="array" aca="1" ref="H20" ca="1">INDEX(rua_cod!$A:$A,Médicos!X20) &amp; "-" &amp; TEXT(RANDBETWEEN(0,999),"000")</f>
        <v>1070-425</v>
      </c>
      <c r="I20" t="str" cm="1">
        <f t="array" aca="1" ref="I20" ca="1">INDEX(rua_cod!$B:$B,Médicos!X20)</f>
        <v>Lisboa</v>
      </c>
      <c r="J20" t="s">
        <v>341</v>
      </c>
      <c r="K20" t="s">
        <v>225</v>
      </c>
      <c r="L20" t="s">
        <v>265</v>
      </c>
      <c r="M20" t="str">
        <f t="shared" ca="1" si="2"/>
        <v>80785298</v>
      </c>
      <c r="N20" t="str">
        <f t="shared" ca="1" si="3"/>
        <v>552170365</v>
      </c>
      <c r="O20" t="str">
        <f t="shared" ca="1" si="3"/>
        <v>855572025</v>
      </c>
      <c r="P20" t="str" cm="1">
        <f t="array" aca="1" ref="P20" ca="1">9 &amp; INDEX($AH$3:$AH$6,Y20)&amp; TEXT(RANDBETWEEN(0,9999999),"0000000")</f>
        <v>923541578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7668981891290726</v>
      </c>
      <c r="T20" t="s">
        <v>341</v>
      </c>
      <c r="V20" s="4"/>
      <c r="X20">
        <f ca="1">RANDBETWEEN(2,COUNTA(rua_cod!A:A))</f>
        <v>51</v>
      </c>
      <c r="Y20">
        <f t="shared" ca="1" si="6"/>
        <v>2</v>
      </c>
      <c r="Z20">
        <f t="shared" ca="1" si="7"/>
        <v>2</v>
      </c>
      <c r="AA20">
        <f t="shared" ca="1" si="8"/>
        <v>1992</v>
      </c>
      <c r="AB20">
        <f t="shared" ca="1" si="9"/>
        <v>11</v>
      </c>
      <c r="AC20">
        <f t="shared" ca="1" si="10"/>
        <v>1</v>
      </c>
      <c r="AD20">
        <f t="shared" ca="1" si="11"/>
        <v>28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Tiago Assunção</v>
      </c>
      <c r="E21" t="str">
        <f ca="1">Nomes!S22</f>
        <v>Masculino</v>
      </c>
      <c r="F21" s="2">
        <v>29267</v>
      </c>
      <c r="G21" t="str" cm="1">
        <f t="array" aca="1" ref="G21" ca="1">INDEX(rua_cod!$F:$F,RANDBETWEEN(2,COUNTA(rua_cod!F:F)))</f>
        <v>Rua Augusta</v>
      </c>
      <c r="H21" t="str" cm="1">
        <f t="array" aca="1" ref="H21" ca="1">INDEX(rua_cod!$A:$A,Médicos!X21) &amp; "-" &amp; TEXT(RANDBETWEEN(0,999),"000")</f>
        <v>1800-463</v>
      </c>
      <c r="I21" t="str" cm="1">
        <f t="array" aca="1" ref="I21" ca="1">INDEX(rua_cod!$B:$B,Médicos!X21)</f>
        <v>Lisboa</v>
      </c>
      <c r="J21" t="s">
        <v>341</v>
      </c>
      <c r="K21" t="s">
        <v>225</v>
      </c>
      <c r="L21" t="s">
        <v>265</v>
      </c>
      <c r="M21" t="str">
        <f t="shared" ca="1" si="2"/>
        <v>94264016</v>
      </c>
      <c r="N21" t="str">
        <f t="shared" ca="1" si="3"/>
        <v>570394187</v>
      </c>
      <c r="O21" t="str">
        <f t="shared" ca="1" si="3"/>
        <v>961402309</v>
      </c>
      <c r="P21" t="str" cm="1">
        <f t="array" aca="1" ref="P21" ca="1">9 &amp; INDEX($AH$3:$AH$6,Y21)&amp; TEXT(RANDBETWEEN(0,9999999),"0000000")</f>
        <v>938893577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2895305007101034</v>
      </c>
      <c r="T21" t="s">
        <v>341</v>
      </c>
      <c r="V21" s="4"/>
      <c r="X21">
        <f ca="1">RANDBETWEEN(2,COUNTA(rua_cod!A:A))</f>
        <v>56</v>
      </c>
      <c r="Y21">
        <f t="shared" ca="1" si="6"/>
        <v>3</v>
      </c>
      <c r="Z21">
        <f t="shared" ca="1" si="7"/>
        <v>2</v>
      </c>
      <c r="AA21">
        <f t="shared" ca="1" si="8"/>
        <v>1971</v>
      </c>
      <c r="AB21">
        <f t="shared" ca="1" si="9"/>
        <v>10</v>
      </c>
      <c r="AC21">
        <f t="shared" ca="1" si="10"/>
        <v>1</v>
      </c>
      <c r="AD21">
        <f t="shared" ca="1" si="11"/>
        <v>49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Diana Sousa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Calçada de Carriche</v>
      </c>
      <c r="H22" t="str" cm="1">
        <f t="array" aca="1" ref="H22" ca="1">INDEX(rua_cod!$A:$A,Médicos!X22) &amp; "-" &amp; TEXT(RANDBETWEEN(0,999),"000")</f>
        <v>1750-997</v>
      </c>
      <c r="I22" t="str" cm="1">
        <f t="array" aca="1" ref="I22" ca="1">INDEX(rua_cod!$B:$B,Médicos!X22)</f>
        <v>Lisboa</v>
      </c>
      <c r="J22" t="s">
        <v>341</v>
      </c>
      <c r="K22" t="s">
        <v>225</v>
      </c>
      <c r="L22" t="s">
        <v>265</v>
      </c>
      <c r="M22" t="str">
        <f t="shared" ca="1" si="2"/>
        <v>42624558</v>
      </c>
      <c r="N22" t="str">
        <f t="shared" ca="1" si="3"/>
        <v>852415401</v>
      </c>
      <c r="O22" t="str">
        <f t="shared" ca="1" si="3"/>
        <v>152609364</v>
      </c>
      <c r="P22" t="str" cm="1">
        <f t="array" aca="1" ref="P22" ca="1">9 &amp; INDEX($AH$3:$AH$6,Y22)&amp; TEXT(RANDBETWEEN(0,9999999),"0000000")</f>
        <v>922615760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1535764386414408</v>
      </c>
      <c r="T22" t="s">
        <v>341</v>
      </c>
      <c r="V22" s="4"/>
      <c r="X22">
        <f ca="1">RANDBETWEEN(2,COUNTA(rua_cod!A:A))</f>
        <v>49</v>
      </c>
      <c r="Y22">
        <f t="shared" ca="1" si="6"/>
        <v>2</v>
      </c>
      <c r="Z22">
        <f t="shared" ca="1" si="7"/>
        <v>1</v>
      </c>
      <c r="AA22">
        <f t="shared" ca="1" si="8"/>
        <v>1985</v>
      </c>
      <c r="AB22">
        <f t="shared" ca="1" si="9"/>
        <v>12</v>
      </c>
      <c r="AC22">
        <f t="shared" ca="1" si="10"/>
        <v>26</v>
      </c>
      <c r="AD22">
        <f t="shared" ca="1" si="11"/>
        <v>35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Matilde Sousa</v>
      </c>
      <c r="E23" t="str">
        <f ca="1">Nomes!S24</f>
        <v>Feminino</v>
      </c>
      <c r="F23" s="2">
        <v>22513</v>
      </c>
      <c r="G23" t="str" cm="1">
        <f t="array" aca="1" ref="G23" ca="1">INDEX(rua_cod!$F:$F,RANDBETWEEN(2,COUNTA(rua_cod!F:F)))</f>
        <v>Rua do Sacramento à Lapa</v>
      </c>
      <c r="H23" t="str" cm="1">
        <f t="array" aca="1" ref="H23" ca="1">INDEX(rua_cod!$A:$A,Médicos!X23) &amp; "-" &amp; TEXT(RANDBETWEEN(0,999),"000")</f>
        <v>2830-866</v>
      </c>
      <c r="I23" t="str" cm="1">
        <f t="array" aca="1" ref="I23" ca="1">INDEX(rua_cod!$B:$B,Médicos!X23)</f>
        <v>Barreiro</v>
      </c>
      <c r="J23" t="s">
        <v>341</v>
      </c>
      <c r="K23" t="s">
        <v>225</v>
      </c>
      <c r="L23" t="s">
        <v>265</v>
      </c>
      <c r="M23" t="str">
        <f t="shared" ca="1" si="2"/>
        <v>29894637</v>
      </c>
      <c r="N23" t="str">
        <f t="shared" ca="1" si="3"/>
        <v>419324684</v>
      </c>
      <c r="O23" t="str">
        <f t="shared" ca="1" si="3"/>
        <v>982603201</v>
      </c>
      <c r="P23" t="str" cm="1">
        <f t="array" aca="1" ref="P23" ca="1">9 &amp; INDEX($AH$3:$AH$6,Y23)&amp; TEXT(RANDBETWEEN(0,9999999),"0000000")</f>
        <v>916103719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9682285820713844</v>
      </c>
      <c r="T23" t="s">
        <v>341</v>
      </c>
      <c r="V23" s="4"/>
      <c r="X23">
        <f ca="1">RANDBETWEEN(2,COUNTA(rua_cod!A:A))</f>
        <v>16</v>
      </c>
      <c r="Y23">
        <f t="shared" ca="1" si="6"/>
        <v>1</v>
      </c>
      <c r="Z23">
        <f t="shared" ca="1" si="7"/>
        <v>2</v>
      </c>
      <c r="AA23">
        <f t="shared" ca="1" si="8"/>
        <v>1976</v>
      </c>
      <c r="AB23">
        <f t="shared" ca="1" si="9"/>
        <v>5</v>
      </c>
      <c r="AC23">
        <f t="shared" ca="1" si="10"/>
        <v>11</v>
      </c>
      <c r="AD23">
        <f t="shared" ca="1" si="11"/>
        <v>44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Leonor Miranda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Calçada Marquês de Abrantes</v>
      </c>
      <c r="H24" t="str" cm="1">
        <f t="array" aca="1" ref="H24" ca="1">INDEX(rua_cod!$A:$A,Médicos!X24) &amp; "-" &amp; TEXT(RANDBETWEEN(0,999),"000")</f>
        <v>1749-568</v>
      </c>
      <c r="I24" t="str" cm="1">
        <f t="array" aca="1" ref="I24" ca="1">INDEX(rua_cod!$B:$B,Médicos!X24)</f>
        <v>Lisboa</v>
      </c>
      <c r="J24" t="s">
        <v>341</v>
      </c>
      <c r="K24" t="s">
        <v>225</v>
      </c>
      <c r="L24" t="s">
        <v>265</v>
      </c>
      <c r="M24" t="str">
        <f t="shared" ca="1" si="2"/>
        <v>25336826</v>
      </c>
      <c r="N24" t="str">
        <f t="shared" ca="1" si="3"/>
        <v>633993161</v>
      </c>
      <c r="O24" t="str">
        <f t="shared" ca="1" si="3"/>
        <v>640045672</v>
      </c>
      <c r="P24" t="str" cm="1">
        <f t="array" aca="1" ref="P24" ca="1">9 &amp; INDEX($AH$3:$AH$6,Y24)&amp; TEXT(RANDBETWEEN(0,9999999),"0000000")</f>
        <v>932208272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3999894391808095</v>
      </c>
      <c r="T24" t="s">
        <v>341</v>
      </c>
      <c r="V24" s="4"/>
      <c r="X24">
        <f ca="1">RANDBETWEEN(2,COUNTA(rua_cod!A:A))</f>
        <v>61</v>
      </c>
      <c r="Y24">
        <f t="shared" ca="1" si="6"/>
        <v>3</v>
      </c>
      <c r="Z24">
        <f t="shared" ca="1" si="7"/>
        <v>3</v>
      </c>
      <c r="AA24">
        <f t="shared" ca="1" si="8"/>
        <v>1975</v>
      </c>
      <c r="AB24">
        <f t="shared" ca="1" si="9"/>
        <v>9</v>
      </c>
      <c r="AC24">
        <f t="shared" ca="1" si="10"/>
        <v>29</v>
      </c>
      <c r="AD24">
        <f t="shared" ca="1" si="11"/>
        <v>45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Diana Mendes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da Prata</v>
      </c>
      <c r="H25" t="str" cm="1">
        <f t="array" aca="1" ref="H25" ca="1">INDEX(rua_cod!$A:$A,Médicos!X25) &amp; "-" &amp; TEXT(RANDBETWEEN(0,999),"000")</f>
        <v>2644-545</v>
      </c>
      <c r="I25" t="str" cm="1">
        <f t="array" aca="1" ref="I25" ca="1">INDEX(rua_cod!$B:$B,Médicos!X25)</f>
        <v>Mafra</v>
      </c>
      <c r="J25" t="s">
        <v>341</v>
      </c>
      <c r="K25" t="s">
        <v>225</v>
      </c>
      <c r="L25" t="s">
        <v>265</v>
      </c>
      <c r="M25" t="str">
        <f t="shared" ca="1" si="2"/>
        <v>26430674</v>
      </c>
      <c r="N25" t="str">
        <f t="shared" ca="1" si="3"/>
        <v>404021041</v>
      </c>
      <c r="O25" t="str">
        <f t="shared" ca="1" si="3"/>
        <v>738426358</v>
      </c>
      <c r="P25" t="str" cm="1">
        <f t="array" aca="1" ref="P25" ca="1">9 &amp; INDEX($AH$3:$AH$6,Y25)&amp; TEXT(RANDBETWEEN(0,9999999),"0000000")</f>
        <v>938044365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4816403016281868</v>
      </c>
      <c r="T25" t="s">
        <v>341</v>
      </c>
      <c r="V25" s="4"/>
      <c r="X25">
        <f ca="1">RANDBETWEEN(2,COUNTA(rua_cod!A:A))</f>
        <v>86</v>
      </c>
      <c r="Y25">
        <f t="shared" ca="1" si="6"/>
        <v>3</v>
      </c>
      <c r="Z25">
        <f t="shared" ca="1" si="7"/>
        <v>1</v>
      </c>
      <c r="AA25">
        <f t="shared" ca="1" si="8"/>
        <v>1990</v>
      </c>
      <c r="AB25">
        <f t="shared" ca="1" si="9"/>
        <v>11</v>
      </c>
      <c r="AC25">
        <f t="shared" ca="1" si="10"/>
        <v>24</v>
      </c>
      <c r="AD25">
        <f t="shared" ca="1" si="11"/>
        <v>30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Leonor Fonseca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Nova do Almada</v>
      </c>
      <c r="H26" t="str" cm="1">
        <f t="array" aca="1" ref="H26" ca="1">INDEX(rua_cod!$A:$A,Médicos!X26) &amp; "-" &amp; TEXT(RANDBETWEEN(0,999),"000")</f>
        <v>2810-055</v>
      </c>
      <c r="I26" t="str" cm="1">
        <f t="array" aca="1" ref="I26" ca="1">INDEX(rua_cod!$B:$B,Médicos!X26)</f>
        <v>Almada</v>
      </c>
      <c r="J26" t="s">
        <v>341</v>
      </c>
      <c r="K26" t="s">
        <v>225</v>
      </c>
      <c r="L26" t="s">
        <v>265</v>
      </c>
      <c r="M26" t="str">
        <f t="shared" ca="1" si="2"/>
        <v>30671254</v>
      </c>
      <c r="N26" t="str">
        <f t="shared" ca="1" si="3"/>
        <v>641774945</v>
      </c>
      <c r="O26" t="str">
        <f t="shared" ca="1" si="3"/>
        <v>604902778</v>
      </c>
      <c r="P26" t="str" cm="1">
        <f t="array" aca="1" ref="P26" ca="1">9 &amp; INDEX($AH$3:$AH$6,Y26)&amp; TEXT(RANDBETWEEN(0,9999999),"0000000")</f>
        <v>967094415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9503171613289900</v>
      </c>
      <c r="T26" t="s">
        <v>341</v>
      </c>
      <c r="V26" s="4"/>
      <c r="X26">
        <f ca="1">RANDBETWEEN(2,COUNTA(rua_cod!A:A))</f>
        <v>3</v>
      </c>
      <c r="Y26">
        <f t="shared" ca="1" si="6"/>
        <v>4</v>
      </c>
      <c r="Z26">
        <f t="shared" ca="1" si="7"/>
        <v>3</v>
      </c>
      <c r="AA26">
        <f t="shared" ca="1" si="8"/>
        <v>1979</v>
      </c>
      <c r="AB26">
        <f t="shared" ca="1" si="9"/>
        <v>6</v>
      </c>
      <c r="AC26">
        <f t="shared" ca="1" si="10"/>
        <v>14</v>
      </c>
      <c r="AD26">
        <f t="shared" ca="1" si="11"/>
        <v>41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Sara Ferreira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do Comércio</v>
      </c>
      <c r="H27" t="str" cm="1">
        <f t="array" aca="1" ref="H27" ca="1">INDEX(rua_cod!$A:$A,Médicos!X27) &amp; "-" &amp; TEXT(RANDBETWEEN(0,999),"000")</f>
        <v>2704-298</v>
      </c>
      <c r="I27" t="str" cm="1">
        <f t="array" aca="1" ref="I27" ca="1">INDEX(rua_cod!$B:$B,Médicos!X27)</f>
        <v>Amadora</v>
      </c>
      <c r="J27" t="s">
        <v>341</v>
      </c>
      <c r="K27" t="s">
        <v>225</v>
      </c>
      <c r="L27" t="s">
        <v>265</v>
      </c>
      <c r="M27" t="str">
        <f t="shared" ca="1" si="2"/>
        <v>20416592</v>
      </c>
      <c r="N27" t="str">
        <f t="shared" ca="1" si="3"/>
        <v>180132520</v>
      </c>
      <c r="O27" t="str">
        <f t="shared" ca="1" si="3"/>
        <v>883448088</v>
      </c>
      <c r="P27" t="str" cm="1">
        <f t="array" aca="1" ref="P27" ca="1">9 &amp; INDEX($AH$3:$AH$6,Y27)&amp; TEXT(RANDBETWEEN(0,9999999),"0000000")</f>
        <v>964324799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6928074675375859</v>
      </c>
      <c r="T27" t="s">
        <v>341</v>
      </c>
      <c r="V27" s="4"/>
      <c r="X27">
        <f ca="1">RANDBETWEEN(2,COUNTA(rua_cod!A:A))</f>
        <v>15</v>
      </c>
      <c r="Y27">
        <f t="shared" ca="1" si="6"/>
        <v>4</v>
      </c>
      <c r="Z27">
        <f t="shared" ca="1" si="7"/>
        <v>1</v>
      </c>
      <c r="AA27">
        <f t="shared" ca="1" si="8"/>
        <v>1976</v>
      </c>
      <c r="AB27">
        <f t="shared" ca="1" si="9"/>
        <v>9</v>
      </c>
      <c r="AC27">
        <f t="shared" ca="1" si="10"/>
        <v>27</v>
      </c>
      <c r="AD27">
        <f t="shared" ca="1" si="11"/>
        <v>44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Tomás Leal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Rua do Guarda-Mor</v>
      </c>
      <c r="H28" t="str" cm="1">
        <f t="array" aca="1" ref="H28" ca="1">INDEX(rua_cod!$A:$A,Médicos!X28) &amp; "-" &amp; TEXT(RANDBETWEEN(0,999),"000")</f>
        <v>2334-660</v>
      </c>
      <c r="I28" t="str" cm="1">
        <f t="array" aca="1" ref="I28" ca="1">INDEX(rua_cod!$B:$B,Médicos!X28)</f>
        <v>Entroncamento</v>
      </c>
      <c r="J28" t="s">
        <v>341</v>
      </c>
      <c r="K28" t="s">
        <v>225</v>
      </c>
      <c r="L28" t="s">
        <v>265</v>
      </c>
      <c r="M28" t="str">
        <f t="shared" ca="1" si="2"/>
        <v>69390180</v>
      </c>
      <c r="N28" t="str">
        <f t="shared" ca="1" si="3"/>
        <v>962457909</v>
      </c>
      <c r="O28" t="str">
        <f t="shared" ca="1" si="3"/>
        <v>244245628</v>
      </c>
      <c r="P28" t="str" cm="1">
        <f t="array" aca="1" ref="P28" ca="1">9 &amp; INDEX($AH$3:$AH$6,Y28)&amp; TEXT(RANDBETWEEN(0,9999999),"0000000")</f>
        <v>921414623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2398238223366976</v>
      </c>
      <c r="T28" t="s">
        <v>341</v>
      </c>
      <c r="V28" s="4"/>
      <c r="X28">
        <f ca="1">RANDBETWEEN(2,COUNTA(rua_cod!A:A))</f>
        <v>30</v>
      </c>
      <c r="Y28">
        <f t="shared" ca="1" si="6"/>
        <v>2</v>
      </c>
      <c r="Z28">
        <f t="shared" ca="1" si="7"/>
        <v>2</v>
      </c>
      <c r="AA28">
        <f t="shared" ca="1" si="8"/>
        <v>1979</v>
      </c>
      <c r="AB28">
        <f t="shared" ca="1" si="9"/>
        <v>11</v>
      </c>
      <c r="AC28">
        <f t="shared" ca="1" si="10"/>
        <v>13</v>
      </c>
      <c r="AD28">
        <f t="shared" ca="1" si="11"/>
        <v>41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Ana Correia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do Sol a Santana</v>
      </c>
      <c r="H29" t="str" cm="1">
        <f t="array" aca="1" ref="H29" ca="1">INDEX(rua_cod!$A:$A,Médicos!X29) &amp; "-" &amp; TEXT(RANDBETWEEN(0,999),"000")</f>
        <v>1100-283</v>
      </c>
      <c r="I29" t="str" cm="1">
        <f t="array" aca="1" ref="I29" ca="1">INDEX(rua_cod!$B:$B,Médicos!X29)</f>
        <v>Lisboa</v>
      </c>
      <c r="J29" t="s">
        <v>341</v>
      </c>
      <c r="K29" t="s">
        <v>225</v>
      </c>
      <c r="L29" t="s">
        <v>265</v>
      </c>
      <c r="M29" t="str">
        <f t="shared" ca="1" si="2"/>
        <v>52528713</v>
      </c>
      <c r="N29" t="str">
        <f t="shared" ca="1" si="3"/>
        <v>579959035</v>
      </c>
      <c r="O29" t="str">
        <f t="shared" ca="1" si="3"/>
        <v>903191299</v>
      </c>
      <c r="P29" t="str" cm="1">
        <f t="array" aca="1" ref="P29" ca="1">9 &amp; INDEX($AH$3:$AH$6,Y29)&amp; TEXT(RANDBETWEEN(0,9999999),"0000000")</f>
        <v>922134518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9027283939846092</v>
      </c>
      <c r="T29" t="s">
        <v>341</v>
      </c>
      <c r="V29" s="4"/>
      <c r="X29">
        <f ca="1">RANDBETWEEN(2,COUNTA(rua_cod!A:A))</f>
        <v>46</v>
      </c>
      <c r="Y29">
        <f t="shared" ca="1" si="6"/>
        <v>2</v>
      </c>
      <c r="Z29">
        <f t="shared" ca="1" si="7"/>
        <v>3</v>
      </c>
      <c r="AA29">
        <f t="shared" ca="1" si="8"/>
        <v>1983</v>
      </c>
      <c r="AB29">
        <f t="shared" ca="1" si="9"/>
        <v>11</v>
      </c>
      <c r="AC29">
        <f t="shared" ca="1" si="10"/>
        <v>23</v>
      </c>
      <c r="AD29">
        <f t="shared" ca="1" si="11"/>
        <v>37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Daniela Marques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Estrada das Laranjeiras</v>
      </c>
      <c r="H30" t="str" cm="1">
        <f t="array" aca="1" ref="H30" ca="1">INDEX(rua_cod!$A:$A,Médicos!X30) &amp; "-" &amp; TEXT(RANDBETWEEN(0,999),"000")</f>
        <v>2829-479</v>
      </c>
      <c r="I30" t="str" cm="1">
        <f t="array" aca="1" ref="I30" ca="1">INDEX(rua_cod!$B:$B,Médicos!X30)</f>
        <v>Costa de Caparica</v>
      </c>
      <c r="J30" t="s">
        <v>341</v>
      </c>
      <c r="K30" t="s">
        <v>225</v>
      </c>
      <c r="L30" t="s">
        <v>265</v>
      </c>
      <c r="M30" t="str">
        <f t="shared" ca="1" si="2"/>
        <v>13251996</v>
      </c>
      <c r="N30" t="str">
        <f t="shared" ca="1" si="3"/>
        <v>578769297</v>
      </c>
      <c r="O30" t="str">
        <f t="shared" ca="1" si="3"/>
        <v>253152466</v>
      </c>
      <c r="P30" t="str" cm="1">
        <f t="array" aca="1" ref="P30" ca="1">9 &amp; INDEX($AH$3:$AH$6,Y30)&amp; TEXT(RANDBETWEEN(0,9999999),"0000000")</f>
        <v>962594104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6039895329351610</v>
      </c>
      <c r="T30" t="s">
        <v>341</v>
      </c>
      <c r="V30" s="4"/>
      <c r="X30">
        <f ca="1">RANDBETWEEN(2,COUNTA(rua_cod!A:A))</f>
        <v>28</v>
      </c>
      <c r="Y30">
        <f t="shared" ca="1" si="6"/>
        <v>4</v>
      </c>
      <c r="Z30">
        <f t="shared" ca="1" si="7"/>
        <v>1</v>
      </c>
      <c r="AA30">
        <f t="shared" ca="1" si="8"/>
        <v>1952</v>
      </c>
      <c r="AB30">
        <f t="shared" ca="1" si="9"/>
        <v>12</v>
      </c>
      <c r="AC30">
        <f t="shared" ca="1" si="10"/>
        <v>24</v>
      </c>
      <c r="AD30">
        <f t="shared" ca="1" si="11"/>
        <v>68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Francisca Simões</v>
      </c>
      <c r="E31" t="str">
        <f ca="1">Nomes!S32</f>
        <v>Feminino</v>
      </c>
      <c r="F31" s="2">
        <v>15242</v>
      </c>
      <c r="G31" t="str" cm="1">
        <f t="array" aca="1" ref="G31" ca="1">INDEX(rua_cod!$F:$F,RANDBETWEEN(2,COUNTA(rua_cod!F:F)))</f>
        <v>Rua dos Heróis de Quionga</v>
      </c>
      <c r="H31" t="str" cm="1">
        <f t="array" aca="1" ref="H31" ca="1">INDEX(rua_cod!$A:$A,Médicos!X31) &amp; "-" &amp; TEXT(RANDBETWEEN(0,999),"000")</f>
        <v>2825-210</v>
      </c>
      <c r="I31" t="str" cm="1">
        <f t="array" aca="1" ref="I31" ca="1">INDEX(rua_cod!$B:$B,Médicos!X31)</f>
        <v>Caparica</v>
      </c>
      <c r="J31" t="s">
        <v>341</v>
      </c>
      <c r="K31" t="s">
        <v>225</v>
      </c>
      <c r="L31" t="s">
        <v>265</v>
      </c>
      <c r="M31" t="str">
        <f t="shared" ca="1" si="2"/>
        <v>97145885</v>
      </c>
      <c r="N31" t="str">
        <f t="shared" ca="1" si="3"/>
        <v>267053737</v>
      </c>
      <c r="O31" t="str">
        <f t="shared" ca="1" si="3"/>
        <v>406086528</v>
      </c>
      <c r="P31" t="str" cm="1">
        <f t="array" aca="1" ref="P31" ca="1">9 &amp; INDEX($AH$3:$AH$6,Y31)&amp; TEXT(RANDBETWEEN(0,9999999),"0000000")</f>
        <v>939651438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1608181742600809</v>
      </c>
      <c r="T31" t="s">
        <v>341</v>
      </c>
      <c r="V31" s="4"/>
      <c r="X31">
        <f ca="1">RANDBETWEEN(2,COUNTA(rua_cod!A:A))</f>
        <v>18</v>
      </c>
      <c r="Y31">
        <f t="shared" ca="1" si="6"/>
        <v>3</v>
      </c>
      <c r="Z31">
        <f t="shared" ca="1" si="7"/>
        <v>2</v>
      </c>
      <c r="AA31">
        <f t="shared" ca="1" si="8"/>
        <v>1981</v>
      </c>
      <c r="AB31">
        <f t="shared" ca="1" si="9"/>
        <v>11</v>
      </c>
      <c r="AC31">
        <f t="shared" ca="1" si="10"/>
        <v>12</v>
      </c>
      <c r="AD31">
        <f t="shared" ca="1" si="11"/>
        <v>39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Bruno Machado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do Arsenal</v>
      </c>
      <c r="H32" t="str" cm="1">
        <f t="array" aca="1" ref="H32" ca="1">INDEX(rua_cod!$A:$A,Médicos!X32) &amp; "-" &amp; TEXT(RANDBETWEEN(0,999),"000")</f>
        <v>2670-565</v>
      </c>
      <c r="I32" t="str" cm="1">
        <f t="array" aca="1" ref="I32" ca="1">INDEX(rua_cod!$B:$B,Médicos!X32)</f>
        <v>Loures</v>
      </c>
      <c r="J32" t="s">
        <v>341</v>
      </c>
      <c r="K32" t="s">
        <v>225</v>
      </c>
      <c r="L32" t="s">
        <v>265</v>
      </c>
      <c r="M32" t="str">
        <f t="shared" ca="1" si="2"/>
        <v>67464459</v>
      </c>
      <c r="N32" t="str">
        <f t="shared" ca="1" si="3"/>
        <v>425786447</v>
      </c>
      <c r="O32" t="str">
        <f t="shared" ca="1" si="3"/>
        <v>189424132</v>
      </c>
      <c r="P32" t="str" cm="1">
        <f t="array" aca="1" ref="P32" ca="1">9 &amp; INDEX($AH$3:$AH$6,Y32)&amp; TEXT(RANDBETWEEN(0,9999999),"0000000")</f>
        <v>933836083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1263607620833679</v>
      </c>
      <c r="T32" t="s">
        <v>341</v>
      </c>
      <c r="V32" s="4"/>
      <c r="X32">
        <f ca="1">RANDBETWEEN(2,COUNTA(rua_cod!A:A))</f>
        <v>83</v>
      </c>
      <c r="Y32">
        <f t="shared" ca="1" si="6"/>
        <v>3</v>
      </c>
      <c r="Z32">
        <f t="shared" ca="1" si="7"/>
        <v>2</v>
      </c>
      <c r="AA32">
        <f t="shared" ca="1" si="8"/>
        <v>1965</v>
      </c>
      <c r="AB32">
        <f t="shared" ca="1" si="9"/>
        <v>2</v>
      </c>
      <c r="AC32">
        <f t="shared" ca="1" si="10"/>
        <v>23</v>
      </c>
      <c r="AD32">
        <f t="shared" ca="1" si="11"/>
        <v>55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Lurdes Neto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Estrada Militar</v>
      </c>
      <c r="H33" t="str" cm="1">
        <f t="array" aca="1" ref="H33" ca="1">INDEX(rua_cod!$A:$A,Médicos!X33) &amp; "-" &amp; TEXT(RANDBETWEEN(0,999),"000")</f>
        <v>1000-822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28984978</v>
      </c>
      <c r="N33" t="str">
        <f t="shared" ca="1" si="3"/>
        <v>126059544</v>
      </c>
      <c r="O33" t="str">
        <f t="shared" ca="1" si="3"/>
        <v>934840876</v>
      </c>
      <c r="P33" t="str" cm="1">
        <f t="array" aca="1" ref="P33" ca="1">9 &amp; INDEX($AH$3:$AH$6,Y33)&amp; TEXT(RANDBETWEEN(0,9999999),"0000000")</f>
        <v>924728296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9123360983502740</v>
      </c>
      <c r="T33" t="s">
        <v>341</v>
      </c>
      <c r="V33" s="4"/>
      <c r="X33">
        <f ca="1">RANDBETWEEN(2,COUNTA(rua_cod!A:A))</f>
        <v>62</v>
      </c>
      <c r="Y33">
        <f t="shared" ca="1" si="6"/>
        <v>2</v>
      </c>
      <c r="Z33">
        <f t="shared" ca="1" si="7"/>
        <v>2</v>
      </c>
      <c r="AA33">
        <f t="shared" ca="1" si="8"/>
        <v>1980</v>
      </c>
      <c r="AB33">
        <f t="shared" ca="1" si="9"/>
        <v>5</v>
      </c>
      <c r="AC33">
        <f t="shared" ca="1" si="10"/>
        <v>11</v>
      </c>
      <c r="AD33">
        <f t="shared" ca="1" si="11"/>
        <v>40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Carolina Ferreira Reis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Calçada do Moinho de Vento</v>
      </c>
      <c r="H34" t="str" cm="1">
        <f t="array" aca="1" ref="H34" ca="1">INDEX(rua_cod!$A:$A,Médicos!X34) &amp; "-" &amp; TEXT(RANDBETWEEN(0,999),"000")</f>
        <v>2754-825</v>
      </c>
      <c r="I34" t="str" cm="1">
        <f t="array" aca="1" ref="I34" ca="1">INDEX(rua_cod!$B:$B,Médicos!X34)</f>
        <v>Cascais</v>
      </c>
      <c r="J34" t="s">
        <v>341</v>
      </c>
      <c r="K34" t="s">
        <v>225</v>
      </c>
      <c r="L34" t="s">
        <v>265</v>
      </c>
      <c r="M34" t="str">
        <f t="shared" ca="1" si="2"/>
        <v>36373189</v>
      </c>
      <c r="N34" t="str">
        <f t="shared" ca="1" si="3"/>
        <v>302489373</v>
      </c>
      <c r="O34" t="str">
        <f t="shared" ca="1" si="3"/>
        <v>110162336</v>
      </c>
      <c r="P34" t="str" cm="1">
        <f t="array" aca="1" ref="P34" ca="1">9 &amp; INDEX($AH$3:$AH$6,Y34)&amp; TEXT(RANDBETWEEN(0,9999999),"0000000")</f>
        <v>932357726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1744936643588102</v>
      </c>
      <c r="T34" t="s">
        <v>341</v>
      </c>
      <c r="V34" s="4"/>
      <c r="X34">
        <f ca="1">RANDBETWEEN(2,COUNTA(rua_cod!A:A))</f>
        <v>25</v>
      </c>
      <c r="Y34">
        <f t="shared" ca="1" si="6"/>
        <v>3</v>
      </c>
      <c r="Z34">
        <f t="shared" ca="1" si="7"/>
        <v>2</v>
      </c>
      <c r="AA34">
        <f t="shared" ca="1" si="8"/>
        <v>1956</v>
      </c>
      <c r="AB34">
        <f t="shared" ca="1" si="9"/>
        <v>3</v>
      </c>
      <c r="AC34">
        <f t="shared" ca="1" si="10"/>
        <v>22</v>
      </c>
      <c r="AD34">
        <f t="shared" ca="1" si="11"/>
        <v>64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Pedro Loureiro Amaral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do Salitre</v>
      </c>
      <c r="H35" t="str" cm="1">
        <f t="array" aca="1" ref="H35" ca="1">INDEX(rua_cod!$A:$A,Médicos!X35) &amp; "-" &amp; TEXT(RANDBETWEEN(0,999),"000")</f>
        <v>2000-225</v>
      </c>
      <c r="I35" t="str" cm="1">
        <f t="array" aca="1" ref="I35" ca="1">INDEX(rua_cod!$B:$B,Médicos!X35)</f>
        <v>Santarém</v>
      </c>
      <c r="J35" t="s">
        <v>341</v>
      </c>
      <c r="K35" t="s">
        <v>225</v>
      </c>
      <c r="L35" t="s">
        <v>265</v>
      </c>
      <c r="M35" t="str">
        <f t="shared" ca="1" si="2"/>
        <v>80839535</v>
      </c>
      <c r="N35" t="str">
        <f t="shared" ca="1" si="3"/>
        <v>493797771</v>
      </c>
      <c r="O35" t="str">
        <f t="shared" ca="1" si="3"/>
        <v>900696035</v>
      </c>
      <c r="P35" t="str" cm="1">
        <f t="array" aca="1" ref="P35" ca="1">9 &amp; INDEX($AH$3:$AH$6,Y35)&amp; TEXT(RANDBETWEEN(0,9999999),"0000000")</f>
        <v>920481817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6772589667241775</v>
      </c>
      <c r="T35" t="s">
        <v>341</v>
      </c>
      <c r="V35" s="4"/>
      <c r="X35">
        <f ca="1">RANDBETWEEN(2,COUNTA(rua_cod!A:A))</f>
        <v>93</v>
      </c>
      <c r="Y35">
        <f t="shared" ca="1" si="6"/>
        <v>2</v>
      </c>
      <c r="Z35">
        <f t="shared" ca="1" si="7"/>
        <v>3</v>
      </c>
      <c r="AA35">
        <f t="shared" ca="1" si="8"/>
        <v>1965</v>
      </c>
      <c r="AB35">
        <f t="shared" ca="1" si="9"/>
        <v>8</v>
      </c>
      <c r="AC35">
        <f t="shared" ca="1" si="10"/>
        <v>9</v>
      </c>
      <c r="AD35">
        <f t="shared" ca="1" si="11"/>
        <v>55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Luís Vieira Garcia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Júlio César Machado</v>
      </c>
      <c r="H36" t="str" cm="1">
        <f t="array" aca="1" ref="H36" ca="1">INDEX(rua_cod!$A:$A,Médicos!X36) &amp; "-" &amp; TEXT(RANDBETWEEN(0,999),"000")</f>
        <v>1959-224</v>
      </c>
      <c r="I36" t="str" cm="1">
        <f t="array" aca="1" ref="I36" ca="1">INDEX(rua_cod!$B:$B,Médicos!X36)</f>
        <v>Lisboa</v>
      </c>
      <c r="J36" t="s">
        <v>341</v>
      </c>
      <c r="K36" t="s">
        <v>225</v>
      </c>
      <c r="L36" t="s">
        <v>265</v>
      </c>
      <c r="M36" t="str">
        <f t="shared" ca="1" si="2"/>
        <v>43371148</v>
      </c>
      <c r="N36" t="str">
        <f t="shared" ca="1" si="3"/>
        <v>154811714</v>
      </c>
      <c r="O36" t="str">
        <f t="shared" ca="1" si="3"/>
        <v>665231245</v>
      </c>
      <c r="P36" t="str" cm="1">
        <f t="array" aca="1" ref="P36" ca="1">9 &amp; INDEX($AH$3:$AH$6,Y36)&amp; TEXT(RANDBETWEEN(0,9999999),"0000000")</f>
        <v>914489084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6309421733107553</v>
      </c>
      <c r="T36" t="s">
        <v>341</v>
      </c>
      <c r="V36" s="4"/>
      <c r="X36">
        <f ca="1">RANDBETWEEN(2,COUNTA(rua_cod!A:A))</f>
        <v>72</v>
      </c>
      <c r="Y36">
        <f t="shared" ca="1" si="6"/>
        <v>1</v>
      </c>
      <c r="Z36">
        <f t="shared" ca="1" si="7"/>
        <v>2</v>
      </c>
      <c r="AA36">
        <f t="shared" ca="1" si="8"/>
        <v>1969</v>
      </c>
      <c r="AB36">
        <f t="shared" ca="1" si="9"/>
        <v>10</v>
      </c>
      <c r="AC36">
        <f t="shared" ca="1" si="10"/>
        <v>26</v>
      </c>
      <c r="AD36">
        <f t="shared" ca="1" si="11"/>
        <v>51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Joaquim Monteiro Soares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do Sol a Santana</v>
      </c>
      <c r="H37" t="str" cm="1">
        <f t="array" aca="1" ref="H37" ca="1">INDEX(rua_cod!$A:$A,Médicos!X37) &amp; "-" &amp; TEXT(RANDBETWEEN(0,999),"000")</f>
        <v>1099-474</v>
      </c>
      <c r="I37" t="str" cm="1">
        <f t="array" aca="1" ref="I37" ca="1">INDEX(rua_cod!$B:$B,Médicos!X37)</f>
        <v>Lisboa</v>
      </c>
      <c r="J37" t="s">
        <v>341</v>
      </c>
      <c r="K37" t="s">
        <v>225</v>
      </c>
      <c r="L37" t="s">
        <v>265</v>
      </c>
      <c r="M37" t="str">
        <f t="shared" ca="1" si="2"/>
        <v>80588633</v>
      </c>
      <c r="N37" t="str">
        <f t="shared" ca="1" si="3"/>
        <v>570722032</v>
      </c>
      <c r="O37" t="str">
        <f t="shared" ca="1" si="3"/>
        <v>529952780</v>
      </c>
      <c r="P37" t="str" cm="1">
        <f t="array" aca="1" ref="P37" ca="1">9 &amp; INDEX($AH$3:$AH$6,Y37)&amp; TEXT(RANDBETWEEN(0,9999999),"0000000")</f>
        <v>964837310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4473852301025860</v>
      </c>
      <c r="T37" t="s">
        <v>341</v>
      </c>
      <c r="V37" s="4"/>
      <c r="X37">
        <f ca="1">RANDBETWEEN(2,COUNTA(rua_cod!A:A))</f>
        <v>53</v>
      </c>
      <c r="Y37">
        <f t="shared" ca="1" si="6"/>
        <v>4</v>
      </c>
      <c r="Z37">
        <f t="shared" ca="1" si="7"/>
        <v>1</v>
      </c>
      <c r="AA37">
        <f t="shared" ca="1" si="8"/>
        <v>1970</v>
      </c>
      <c r="AB37">
        <f t="shared" ca="1" si="9"/>
        <v>2</v>
      </c>
      <c r="AC37">
        <f t="shared" ca="1" si="10"/>
        <v>2</v>
      </c>
      <c r="AD37">
        <f t="shared" ca="1" si="11"/>
        <v>50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Santiago Amaral Jesus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Rua dos Fanqueiros</v>
      </c>
      <c r="H38" t="str" cm="1">
        <f t="array" aca="1" ref="H38" ca="1">INDEX(rua_cod!$A:$A,Médicos!X38) &amp; "-" &amp; TEXT(RANDBETWEEN(0,999),"000")</f>
        <v>2780-090</v>
      </c>
      <c r="I38" t="str" cm="1">
        <f t="array" aca="1" ref="I38" ca="1">INDEX(rua_cod!$B:$B,Médicos!X38)</f>
        <v>Oeiras</v>
      </c>
      <c r="J38" t="s">
        <v>341</v>
      </c>
      <c r="K38" t="s">
        <v>225</v>
      </c>
      <c r="L38" t="s">
        <v>265</v>
      </c>
      <c r="M38" t="str">
        <f t="shared" ca="1" si="2"/>
        <v>76388139</v>
      </c>
      <c r="N38" t="str">
        <f t="shared" ca="1" si="3"/>
        <v>472225515</v>
      </c>
      <c r="O38" t="str">
        <f t="shared" ca="1" si="3"/>
        <v>792674541</v>
      </c>
      <c r="P38" t="str" cm="1">
        <f t="array" aca="1" ref="P38" ca="1">9 &amp; INDEX($AH$3:$AH$6,Y38)&amp; TEXT(RANDBETWEEN(0,9999999),"0000000")</f>
        <v>939264010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9376197993519196</v>
      </c>
      <c r="T38" t="s">
        <v>341</v>
      </c>
      <c r="V38" s="4"/>
      <c r="X38">
        <f ca="1">RANDBETWEEN(2,COUNTA(rua_cod!A:A))</f>
        <v>88</v>
      </c>
      <c r="Y38">
        <f t="shared" ca="1" si="6"/>
        <v>3</v>
      </c>
      <c r="Z38">
        <f t="shared" ca="1" si="7"/>
        <v>3</v>
      </c>
      <c r="AA38">
        <f t="shared" ca="1" si="8"/>
        <v>1954</v>
      </c>
      <c r="AB38">
        <f t="shared" ca="1" si="9"/>
        <v>9</v>
      </c>
      <c r="AC38">
        <f t="shared" ca="1" si="10"/>
        <v>27</v>
      </c>
      <c r="AD38">
        <f t="shared" ca="1" si="11"/>
        <v>66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Francisco Torres Leite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Rua dos Fanqueiros</v>
      </c>
      <c r="H39" t="str" cm="1">
        <f t="array" aca="1" ref="H39" ca="1">INDEX(rua_cod!$A:$A,Médicos!X39) &amp; "-" &amp; TEXT(RANDBETWEEN(0,999),"000")</f>
        <v>2720-013</v>
      </c>
      <c r="I39" t="str" cm="1">
        <f t="array" aca="1" ref="I39" ca="1">INDEX(rua_cod!$B:$B,Médicos!X39)</f>
        <v>Amadora</v>
      </c>
      <c r="J39" t="s">
        <v>341</v>
      </c>
      <c r="K39" t="s">
        <v>225</v>
      </c>
      <c r="L39" t="s">
        <v>265</v>
      </c>
      <c r="M39" t="str">
        <f t="shared" ca="1" si="2"/>
        <v>29006996</v>
      </c>
      <c r="N39" t="str">
        <f t="shared" ca="1" si="3"/>
        <v>568457396</v>
      </c>
      <c r="O39" t="str">
        <f t="shared" ca="1" si="3"/>
        <v>928734228</v>
      </c>
      <c r="P39" t="str" cm="1">
        <f t="array" aca="1" ref="P39" ca="1">9 &amp; INDEX($AH$3:$AH$6,Y39)&amp; TEXT(RANDBETWEEN(0,9999999),"0000000")</f>
        <v>929466035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3258000089472270</v>
      </c>
      <c r="T39" t="s">
        <v>341</v>
      </c>
      <c r="V39" s="4"/>
      <c r="X39">
        <f ca="1">RANDBETWEEN(2,COUNTA(rua_cod!A:A))</f>
        <v>8</v>
      </c>
      <c r="Y39">
        <f t="shared" ca="1" si="6"/>
        <v>2</v>
      </c>
      <c r="Z39">
        <f t="shared" ca="1" si="7"/>
        <v>1</v>
      </c>
      <c r="AA39">
        <f t="shared" ca="1" si="8"/>
        <v>1969</v>
      </c>
      <c r="AB39">
        <f t="shared" ca="1" si="9"/>
        <v>9</v>
      </c>
      <c r="AC39">
        <f t="shared" ca="1" si="10"/>
        <v>10</v>
      </c>
      <c r="AD39">
        <f t="shared" ca="1" si="11"/>
        <v>51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Catarina Pires Rocha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Avenida Ressano Garcia</v>
      </c>
      <c r="H40" t="str" cm="1">
        <f t="array" aca="1" ref="H40" ca="1">INDEX(rua_cod!$A:$A,Médicos!X40) &amp; "-" &amp; TEXT(RANDBETWEEN(0,999),"000")</f>
        <v>2830-960</v>
      </c>
      <c r="I40" t="str" cm="1">
        <f t="array" aca="1" ref="I40" ca="1">INDEX(rua_cod!$B:$B,Médicos!X40)</f>
        <v>Barreiro</v>
      </c>
      <c r="J40" t="s">
        <v>341</v>
      </c>
      <c r="K40" t="s">
        <v>225</v>
      </c>
      <c r="L40" t="s">
        <v>265</v>
      </c>
      <c r="M40" t="str">
        <f t="shared" ca="1" si="2"/>
        <v>15355931</v>
      </c>
      <c r="N40" t="str">
        <f t="shared" ca="1" si="3"/>
        <v>209947112</v>
      </c>
      <c r="O40" t="str">
        <f t="shared" ca="1" si="3"/>
        <v>925860576</v>
      </c>
      <c r="P40" t="str" cm="1">
        <f t="array" aca="1" ref="P40" ca="1">9 &amp; INDEX($AH$3:$AH$6,Y40)&amp; TEXT(RANDBETWEEN(0,9999999),"0000000")</f>
        <v>937833644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3213895599866628</v>
      </c>
      <c r="T40" t="s">
        <v>341</v>
      </c>
      <c r="V40" s="4"/>
      <c r="X40">
        <f ca="1">RANDBETWEEN(2,COUNTA(rua_cod!A:A))</f>
        <v>16</v>
      </c>
      <c r="Y40">
        <f t="shared" ca="1" si="6"/>
        <v>3</v>
      </c>
      <c r="Z40">
        <f t="shared" ca="1" si="7"/>
        <v>1</v>
      </c>
      <c r="AA40">
        <f t="shared" ca="1" si="8"/>
        <v>1958</v>
      </c>
      <c r="AB40">
        <f t="shared" ca="1" si="9"/>
        <v>2</v>
      </c>
      <c r="AC40">
        <f t="shared" ca="1" si="10"/>
        <v>14</v>
      </c>
      <c r="AD40">
        <f t="shared" ca="1" si="11"/>
        <v>62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Bruno Torres Oliveira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Ferreira Lapa</v>
      </c>
      <c r="H41" t="str" cm="1">
        <f t="array" aca="1" ref="H41" ca="1">INDEX(rua_cod!$A:$A,Médicos!X41) &amp; "-" &amp; TEXT(RANDBETWEEN(0,999),"000")</f>
        <v>2904-998</v>
      </c>
      <c r="I41" t="str" cm="1">
        <f t="array" aca="1" ref="I41" ca="1">INDEX(rua_cod!$B:$B,Médicos!X41)</f>
        <v>Setúbal</v>
      </c>
      <c r="J41" t="s">
        <v>341</v>
      </c>
      <c r="K41" t="s">
        <v>225</v>
      </c>
      <c r="L41" t="s">
        <v>265</v>
      </c>
      <c r="M41" t="str">
        <f t="shared" ca="1" si="2"/>
        <v>46475055</v>
      </c>
      <c r="N41" t="str">
        <f t="shared" ca="1" si="3"/>
        <v>925180907</v>
      </c>
      <c r="O41" t="str">
        <f t="shared" ca="1" si="3"/>
        <v>708344914</v>
      </c>
      <c r="P41" t="str" cm="1">
        <f t="array" aca="1" ref="P41" ca="1">9 &amp; INDEX($AH$3:$AH$6,Y41)&amp; TEXT(RANDBETWEEN(0,9999999),"0000000")</f>
        <v>929894531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2182953719777105</v>
      </c>
      <c r="T41" t="s">
        <v>341</v>
      </c>
      <c r="V41" s="4"/>
      <c r="X41">
        <f ca="1">RANDBETWEEN(2,COUNTA(rua_cod!A:A))</f>
        <v>99</v>
      </c>
      <c r="Y41">
        <f t="shared" ca="1" si="6"/>
        <v>2</v>
      </c>
      <c r="Z41">
        <f t="shared" ca="1" si="7"/>
        <v>2</v>
      </c>
      <c r="AA41">
        <f t="shared" ca="1" si="8"/>
        <v>1956</v>
      </c>
      <c r="AB41">
        <f t="shared" ca="1" si="9"/>
        <v>4</v>
      </c>
      <c r="AC41">
        <f t="shared" ca="1" si="10"/>
        <v>20</v>
      </c>
      <c r="AD41">
        <f t="shared" ca="1" si="11"/>
        <v>64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Ana Barros Lopes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do Carmo</v>
      </c>
      <c r="H42" t="str" cm="1">
        <f t="array" aca="1" ref="H42" ca="1">INDEX(rua_cod!$A:$A,Médicos!X42) &amp; "-" &amp; TEXT(RANDBETWEEN(0,999),"000")</f>
        <v>2415-589</v>
      </c>
      <c r="I42" t="str" cm="1">
        <f t="array" aca="1" ref="I42" ca="1">INDEX(rua_cod!$B:$B,Médicos!X42)</f>
        <v>Leiria</v>
      </c>
      <c r="J42" t="s">
        <v>341</v>
      </c>
      <c r="K42" t="s">
        <v>225</v>
      </c>
      <c r="L42" t="s">
        <v>265</v>
      </c>
      <c r="M42" t="str">
        <f t="shared" ca="1" si="2"/>
        <v>32471723</v>
      </c>
      <c r="N42" t="str">
        <f t="shared" ca="1" si="3"/>
        <v>105056454</v>
      </c>
      <c r="O42" t="str">
        <f t="shared" ca="1" si="3"/>
        <v>304978496</v>
      </c>
      <c r="P42" t="str" cm="1">
        <f t="array" aca="1" ref="P42" ca="1">9 &amp; INDEX($AH$3:$AH$6,Y42)&amp; TEXT(RANDBETWEEN(0,9999999),"0000000")</f>
        <v>966402720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9252992007488328</v>
      </c>
      <c r="T42" t="s">
        <v>341</v>
      </c>
      <c r="V42" s="4"/>
      <c r="X42">
        <f ca="1">RANDBETWEEN(2,COUNTA(rua_cod!A:A))</f>
        <v>35</v>
      </c>
      <c r="Y42">
        <f t="shared" ca="1" si="6"/>
        <v>4</v>
      </c>
      <c r="Z42">
        <f t="shared" ca="1" si="7"/>
        <v>3</v>
      </c>
      <c r="AA42">
        <f t="shared" ca="1" si="8"/>
        <v>1982</v>
      </c>
      <c r="AB42">
        <f t="shared" ca="1" si="9"/>
        <v>7</v>
      </c>
      <c r="AC42">
        <f t="shared" ca="1" si="10"/>
        <v>30</v>
      </c>
      <c r="AD42">
        <f t="shared" ca="1" si="11"/>
        <v>38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Afonso Santos Neves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do Comércio</v>
      </c>
      <c r="H43" t="str" cm="1">
        <f t="array" aca="1" ref="H43" ca="1">INDEX(rua_cod!$A:$A,Médicos!X43) &amp; "-" &amp; TEXT(RANDBETWEEN(0,999),"000")</f>
        <v>2775-687</v>
      </c>
      <c r="I43" t="str" cm="1">
        <f t="array" aca="1" ref="I43" ca="1">INDEX(rua_cod!$B:$B,Médicos!X43)</f>
        <v>Carcavelos</v>
      </c>
      <c r="J43" t="s">
        <v>341</v>
      </c>
      <c r="K43" t="s">
        <v>225</v>
      </c>
      <c r="L43" t="s">
        <v>265</v>
      </c>
      <c r="M43" t="str">
        <f t="shared" ca="1" si="2"/>
        <v>62684125</v>
      </c>
      <c r="N43" t="str">
        <f t="shared" ca="1" si="3"/>
        <v>763485377</v>
      </c>
      <c r="O43" t="str">
        <f t="shared" ca="1" si="3"/>
        <v>286611922</v>
      </c>
      <c r="P43" t="str" cm="1">
        <f t="array" aca="1" ref="P43" ca="1">9 &amp; INDEX($AH$3:$AH$6,Y43)&amp; TEXT(RANDBETWEEN(0,9999999),"0000000")</f>
        <v>962764641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3224282837146355</v>
      </c>
      <c r="T43" t="s">
        <v>341</v>
      </c>
      <c r="V43" s="4"/>
      <c r="X43">
        <f ca="1">RANDBETWEEN(2,COUNTA(rua_cod!A:A))</f>
        <v>20</v>
      </c>
      <c r="Y43">
        <f t="shared" ca="1" si="6"/>
        <v>4</v>
      </c>
      <c r="Z43">
        <f t="shared" ca="1" si="7"/>
        <v>3</v>
      </c>
      <c r="AA43">
        <f t="shared" ca="1" si="8"/>
        <v>1972</v>
      </c>
      <c r="AB43">
        <f t="shared" ca="1" si="9"/>
        <v>12</v>
      </c>
      <c r="AC43">
        <f t="shared" ca="1" si="10"/>
        <v>1</v>
      </c>
      <c r="AD43">
        <f t="shared" ca="1" si="11"/>
        <v>48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Matilde Carneiro Paiva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da Prata</v>
      </c>
      <c r="H44" t="str" cm="1">
        <f t="array" aca="1" ref="H44" ca="1">INDEX(rua_cod!$A:$A,Médicos!X44) &amp; "-" &amp; TEXT(RANDBETWEEN(0,999),"000")</f>
        <v>1300-746</v>
      </c>
      <c r="I44" t="str" cm="1">
        <f t="array" aca="1" ref="I44" ca="1">INDEX(rua_cod!$B:$B,Médicos!X44)</f>
        <v>Lisboa</v>
      </c>
      <c r="J44" t="s">
        <v>341</v>
      </c>
      <c r="K44" t="s">
        <v>225</v>
      </c>
      <c r="L44" t="s">
        <v>265</v>
      </c>
      <c r="M44" t="str">
        <f t="shared" ca="1" si="2"/>
        <v>78434420</v>
      </c>
      <c r="N44" t="str">
        <f t="shared" ca="1" si="3"/>
        <v>921129788</v>
      </c>
      <c r="O44" t="str">
        <f t="shared" ca="1" si="3"/>
        <v>493196407</v>
      </c>
      <c r="P44" t="str" cm="1">
        <f t="array" aca="1" ref="P44" ca="1">9 &amp; INDEX($AH$3:$AH$6,Y44)&amp; TEXT(RANDBETWEEN(0,9999999),"0000000")</f>
        <v>930931896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8921721586071396</v>
      </c>
      <c r="T44" t="s">
        <v>341</v>
      </c>
      <c r="V44" s="4"/>
      <c r="X44">
        <f ca="1">RANDBETWEEN(2,COUNTA(rua_cod!A:A))</f>
        <v>58</v>
      </c>
      <c r="Y44">
        <f t="shared" ca="1" si="6"/>
        <v>3</v>
      </c>
      <c r="Z44">
        <f t="shared" ca="1" si="7"/>
        <v>3</v>
      </c>
      <c r="AA44">
        <f t="shared" ca="1" si="8"/>
        <v>1990</v>
      </c>
      <c r="AB44">
        <f t="shared" ca="1" si="9"/>
        <v>10</v>
      </c>
      <c r="AC44">
        <f t="shared" ca="1" si="10"/>
        <v>25</v>
      </c>
      <c r="AD44">
        <f t="shared" ca="1" si="11"/>
        <v>30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Luís Lima Jesus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do Carmo</v>
      </c>
      <c r="H45" t="str" cm="1">
        <f t="array" aca="1" ref="H45" ca="1">INDEX(rua_cod!$A:$A,Médicos!X45) &amp; "-" &amp; TEXT(RANDBETWEEN(0,999),"000")</f>
        <v>2914-804</v>
      </c>
      <c r="I45" t="str" cm="1">
        <f t="array" aca="1" ref="I45" ca="1">INDEX(rua_cod!$B:$B,Médicos!X45)</f>
        <v>Setúbal</v>
      </c>
      <c r="J45" t="s">
        <v>341</v>
      </c>
      <c r="K45" t="s">
        <v>225</v>
      </c>
      <c r="L45" t="s">
        <v>265</v>
      </c>
      <c r="M45" t="str">
        <f t="shared" ca="1" si="2"/>
        <v>88814412</v>
      </c>
      <c r="N45" t="str">
        <f t="shared" ca="1" si="3"/>
        <v>122916184</v>
      </c>
      <c r="O45" t="str">
        <f t="shared" ca="1" si="3"/>
        <v>816616412</v>
      </c>
      <c r="P45" t="str" cm="1">
        <f t="array" aca="1" ref="P45" ca="1">9 &amp; INDEX($AH$3:$AH$6,Y45)&amp; TEXT(RANDBETWEEN(0,9999999),"0000000")</f>
        <v>913395254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5794252116931828</v>
      </c>
      <c r="T45" t="s">
        <v>341</v>
      </c>
      <c r="V45" s="4"/>
      <c r="X45">
        <f ca="1">RANDBETWEEN(2,COUNTA(rua_cod!A:A))</f>
        <v>98</v>
      </c>
      <c r="Y45">
        <f t="shared" ca="1" si="6"/>
        <v>1</v>
      </c>
      <c r="Z45">
        <f t="shared" ca="1" si="7"/>
        <v>2</v>
      </c>
      <c r="AA45">
        <f t="shared" ca="1" si="8"/>
        <v>1955</v>
      </c>
      <c r="AB45">
        <f t="shared" ca="1" si="9"/>
        <v>3</v>
      </c>
      <c r="AC45">
        <f t="shared" ca="1" si="10"/>
        <v>20</v>
      </c>
      <c r="AD45">
        <f t="shared" ca="1" si="11"/>
        <v>65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Mariana Lopes Correia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Calçada do Poço dos Mouros</v>
      </c>
      <c r="H46" t="str" cm="1">
        <f t="array" aca="1" ref="H46" ca="1">INDEX(rua_cod!$A:$A,Médicos!X46) &amp; "-" &amp; TEXT(RANDBETWEEN(0,999),"000")</f>
        <v>1250-151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28166118</v>
      </c>
      <c r="N46" t="str">
        <f t="shared" ca="1" si="3"/>
        <v>107081931</v>
      </c>
      <c r="O46" t="str">
        <f t="shared" ca="1" si="3"/>
        <v>841597407</v>
      </c>
      <c r="P46" t="str" cm="1">
        <f t="array" aca="1" ref="P46" ca="1">9 &amp; INDEX($AH$3:$AH$6,Y46)&amp; TEXT(RANDBETWEEN(0,9999999),"0000000")</f>
        <v>915432332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1285333850154879</v>
      </c>
      <c r="T46" t="s">
        <v>341</v>
      </c>
      <c r="V46" s="4"/>
      <c r="X46">
        <f ca="1">RANDBETWEEN(2,COUNTA(rua_cod!A:A))</f>
        <v>50</v>
      </c>
      <c r="Y46">
        <f t="shared" ca="1" si="6"/>
        <v>1</v>
      </c>
      <c r="Z46">
        <f t="shared" ca="1" si="7"/>
        <v>2</v>
      </c>
      <c r="AA46">
        <f t="shared" ca="1" si="8"/>
        <v>1975</v>
      </c>
      <c r="AB46">
        <f t="shared" ca="1" si="9"/>
        <v>10</v>
      </c>
      <c r="AC46">
        <f t="shared" ca="1" si="10"/>
        <v>3</v>
      </c>
      <c r="AD46">
        <f t="shared" ca="1" si="11"/>
        <v>45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Santiago Santos Vicente</v>
      </c>
      <c r="E47" t="str">
        <f ca="1">Nomes!S48</f>
        <v>Masculino</v>
      </c>
      <c r="F47" s="2">
        <v>41931</v>
      </c>
      <c r="G47" t="str" cm="1">
        <f t="array" aca="1" ref="G47" ca="1">INDEX(rua_cod!$F:$F,RANDBETWEEN(2,COUNTA(rua_cod!F:F)))</f>
        <v>Rua Garrett</v>
      </c>
      <c r="H47" t="str" cm="1">
        <f t="array" aca="1" ref="H47" ca="1">INDEX(rua_cod!$A:$A,Médicos!X47) &amp; "-" &amp; TEXT(RANDBETWEEN(0,999),"000")</f>
        <v>1749-318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48034664</v>
      </c>
      <c r="N47" t="str">
        <f t="shared" ca="1" si="3"/>
        <v>311489957</v>
      </c>
      <c r="O47" t="str">
        <f t="shared" ca="1" si="3"/>
        <v>181839315</v>
      </c>
      <c r="P47" t="str" cm="1">
        <f t="array" aca="1" ref="P47" ca="1">9 &amp; INDEX($AH$3:$AH$6,Y47)&amp; TEXT(RANDBETWEEN(0,9999999),"0000000")</f>
        <v>967728281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6957493206721456</v>
      </c>
      <c r="T47" t="s">
        <v>341</v>
      </c>
      <c r="V47" s="4"/>
      <c r="X47">
        <f ca="1">RANDBETWEEN(2,COUNTA(rua_cod!A:A))</f>
        <v>61</v>
      </c>
      <c r="Y47">
        <f t="shared" ca="1" si="6"/>
        <v>4</v>
      </c>
      <c r="Z47">
        <f t="shared" ca="1" si="7"/>
        <v>3</v>
      </c>
      <c r="AA47">
        <f t="shared" ca="1" si="8"/>
        <v>1972</v>
      </c>
      <c r="AB47">
        <f t="shared" ca="1" si="9"/>
        <v>3</v>
      </c>
      <c r="AC47">
        <f t="shared" ca="1" si="10"/>
        <v>31</v>
      </c>
      <c r="AD47">
        <f t="shared" ca="1" si="11"/>
        <v>48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Luís Lourenço Henriques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da Junqueira</v>
      </c>
      <c r="H48" t="str" cm="1">
        <f t="array" aca="1" ref="H48" ca="1">INDEX(rua_cod!$A:$A,Médicos!X48) &amp; "-" &amp; TEXT(RANDBETWEEN(0,999),"000")</f>
        <v>1749-190</v>
      </c>
      <c r="I48" t="str" cm="1">
        <f t="array" aca="1" ref="I48" ca="1">INDEX(rua_cod!$B:$B,Médicos!X48)</f>
        <v>Lisboa</v>
      </c>
      <c r="J48" t="s">
        <v>341</v>
      </c>
      <c r="K48" t="s">
        <v>225</v>
      </c>
      <c r="L48" t="s">
        <v>265</v>
      </c>
      <c r="M48" t="str">
        <f t="shared" ca="1" si="2"/>
        <v>35085029</v>
      </c>
      <c r="N48" t="str">
        <f t="shared" ca="1" si="3"/>
        <v>262026884</v>
      </c>
      <c r="O48" t="str">
        <f t="shared" ca="1" si="3"/>
        <v>326746756</v>
      </c>
      <c r="P48" t="str" cm="1">
        <f t="array" aca="1" ref="P48" ca="1">9 &amp; INDEX($AH$3:$AH$6,Y48)&amp; TEXT(RANDBETWEEN(0,9999999),"0000000")</f>
        <v>966779522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8015298695519239</v>
      </c>
      <c r="T48" t="s">
        <v>341</v>
      </c>
      <c r="V48" s="4"/>
      <c r="X48">
        <f ca="1">RANDBETWEEN(2,COUNTA(rua_cod!A:A))</f>
        <v>61</v>
      </c>
      <c r="Y48">
        <f t="shared" ca="1" si="6"/>
        <v>4</v>
      </c>
      <c r="Z48">
        <f t="shared" ca="1" si="7"/>
        <v>2</v>
      </c>
      <c r="AA48">
        <f t="shared" ca="1" si="8"/>
        <v>1974</v>
      </c>
      <c r="AB48">
        <f t="shared" ca="1" si="9"/>
        <v>3</v>
      </c>
      <c r="AC48">
        <f t="shared" ca="1" si="10"/>
        <v>9</v>
      </c>
      <c r="AD48">
        <f t="shared" ca="1" si="11"/>
        <v>46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Mariana Barbosa Simões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Calçada do Moinho de Vento</v>
      </c>
      <c r="H49" t="str" cm="1">
        <f t="array" aca="1" ref="H49" ca="1">INDEX(rua_cod!$A:$A,Médicos!X49) &amp; "-" &amp; TEXT(RANDBETWEEN(0,999),"000")</f>
        <v>2830-173</v>
      </c>
      <c r="I49" t="str" cm="1">
        <f t="array" aca="1" ref="I49" ca="1">INDEX(rua_cod!$B:$B,Médicos!X49)</f>
        <v>Barreiro</v>
      </c>
      <c r="J49" t="s">
        <v>341</v>
      </c>
      <c r="K49" t="s">
        <v>225</v>
      </c>
      <c r="L49" t="s">
        <v>265</v>
      </c>
      <c r="M49" t="str">
        <f t="shared" ca="1" si="2"/>
        <v>94164937</v>
      </c>
      <c r="N49" t="str">
        <f t="shared" ca="1" si="3"/>
        <v>872062342</v>
      </c>
      <c r="O49" t="str">
        <f t="shared" ca="1" si="3"/>
        <v>220764349</v>
      </c>
      <c r="P49" t="str" cm="1">
        <f t="array" aca="1" ref="P49" ca="1">9 &amp; INDEX($AH$3:$AH$6,Y49)&amp; TEXT(RANDBETWEEN(0,9999999),"0000000")</f>
        <v>937712089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9989982271319092</v>
      </c>
      <c r="T49" t="s">
        <v>341</v>
      </c>
      <c r="V49" s="4"/>
      <c r="X49">
        <f ca="1">RANDBETWEEN(2,COUNTA(rua_cod!A:A))</f>
        <v>16</v>
      </c>
      <c r="Y49">
        <f t="shared" ca="1" si="6"/>
        <v>3</v>
      </c>
      <c r="Z49">
        <f t="shared" ca="1" si="7"/>
        <v>1</v>
      </c>
      <c r="AA49">
        <f t="shared" ca="1" si="8"/>
        <v>1994</v>
      </c>
      <c r="AB49">
        <f t="shared" ca="1" si="9"/>
        <v>3</v>
      </c>
      <c r="AC49">
        <f t="shared" ca="1" si="10"/>
        <v>21</v>
      </c>
      <c r="AD49">
        <f t="shared" ca="1" si="11"/>
        <v>26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Lurdes Santos Batista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Rua Roberto Duarte Silva</v>
      </c>
      <c r="H50" t="str" cm="1">
        <f t="array" aca="1" ref="H50" ca="1">INDEX(rua_cod!$A:$A,Médicos!X50) &amp; "-" &amp; TEXT(RANDBETWEEN(0,999),"000")</f>
        <v>2009-646</v>
      </c>
      <c r="I50" t="str" cm="1">
        <f t="array" aca="1" ref="I50" ca="1">INDEX(rua_cod!$B:$B,Médicos!X50)</f>
        <v>Santarém</v>
      </c>
      <c r="J50" t="s">
        <v>341</v>
      </c>
      <c r="K50" t="s">
        <v>225</v>
      </c>
      <c r="L50" t="s">
        <v>265</v>
      </c>
      <c r="M50" t="str">
        <f t="shared" ca="1" si="2"/>
        <v>70219072</v>
      </c>
      <c r="N50" t="str">
        <f t="shared" ca="1" si="3"/>
        <v>578748243</v>
      </c>
      <c r="O50" t="str">
        <f t="shared" ca="1" si="3"/>
        <v>158649367</v>
      </c>
      <c r="P50" t="str" cm="1">
        <f t="array" aca="1" ref="P50" ca="1">9 &amp; INDEX($AH$3:$AH$6,Y50)&amp; TEXT(RANDBETWEEN(0,9999999),"0000000")</f>
        <v>923876781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3711928655945287</v>
      </c>
      <c r="T50" t="s">
        <v>341</v>
      </c>
      <c r="V50" s="4"/>
      <c r="X50">
        <f ca="1">RANDBETWEEN(2,COUNTA(rua_cod!A:A))</f>
        <v>95</v>
      </c>
      <c r="Y50">
        <f t="shared" ca="1" si="6"/>
        <v>2</v>
      </c>
      <c r="Z50">
        <f t="shared" ca="1" si="7"/>
        <v>1</v>
      </c>
      <c r="AA50">
        <f t="shared" ca="1" si="8"/>
        <v>1977</v>
      </c>
      <c r="AB50">
        <f t="shared" ca="1" si="9"/>
        <v>8</v>
      </c>
      <c r="AC50">
        <f t="shared" ca="1" si="10"/>
        <v>2</v>
      </c>
      <c r="AD50">
        <f t="shared" ca="1" si="11"/>
        <v>43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Ana Lara Monteiro Vieira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Rua Augusta</v>
      </c>
      <c r="H51" t="str" cm="1">
        <f t="array" aca="1" ref="H51" ca="1">INDEX(rua_cod!$A:$A,Médicos!X51) &amp; "-" &amp; TEXT(RANDBETWEEN(0,999),"000")</f>
        <v>2805-172</v>
      </c>
      <c r="I51" t="str" cm="1">
        <f t="array" aca="1" ref="I51" ca="1">INDEX(rua_cod!$B:$B,Médicos!X51)</f>
        <v>Almada</v>
      </c>
      <c r="J51" t="s">
        <v>341</v>
      </c>
      <c r="K51" t="s">
        <v>225</v>
      </c>
      <c r="L51" t="s">
        <v>265</v>
      </c>
      <c r="M51" t="str">
        <f t="shared" ca="1" si="2"/>
        <v>47538461</v>
      </c>
      <c r="N51" t="str">
        <f t="shared" ca="1" si="3"/>
        <v>770564218</v>
      </c>
      <c r="O51" t="str">
        <f t="shared" ca="1" si="3"/>
        <v>605125007</v>
      </c>
      <c r="P51" t="str" cm="1">
        <f t="array" aca="1" ref="P51" ca="1">9 &amp; INDEX($AH$3:$AH$6,Y51)&amp; TEXT(RANDBETWEEN(0,9999999),"0000000")</f>
        <v>928385970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3594002331127280</v>
      </c>
      <c r="T51" t="s">
        <v>341</v>
      </c>
      <c r="V51" s="4"/>
      <c r="X51">
        <f ca="1">RANDBETWEEN(2,COUNTA(rua_cod!A:A))</f>
        <v>4</v>
      </c>
      <c r="Y51">
        <f t="shared" ca="1" si="6"/>
        <v>2</v>
      </c>
      <c r="Z51">
        <f t="shared" ca="1" si="7"/>
        <v>3</v>
      </c>
      <c r="AA51">
        <f t="shared" ca="1" si="8"/>
        <v>1979</v>
      </c>
      <c r="AB51">
        <f t="shared" ca="1" si="9"/>
        <v>5</v>
      </c>
      <c r="AC51">
        <f t="shared" ca="1" si="10"/>
        <v>31</v>
      </c>
      <c r="AD51">
        <f t="shared" ca="1" si="11"/>
        <v>41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Inês Miguel Alves Mota</v>
      </c>
      <c r="E52" t="str">
        <f ca="1">Nomes!S53</f>
        <v>Feminino</v>
      </c>
      <c r="F52" s="2">
        <v>16409</v>
      </c>
      <c r="G52" t="str" cm="1">
        <f t="array" aca="1" ref="G52" ca="1">INDEX(rua_cod!$F:$F,RANDBETWEEN(2,COUNTA(rua_cod!F:F)))</f>
        <v>Rua Augusta</v>
      </c>
      <c r="H52" t="str" cm="1">
        <f t="array" aca="1" ref="H52" ca="1">INDEX(rua_cod!$A:$A,Médicos!X52) &amp; "-" &amp; TEXT(RANDBETWEEN(0,999),"000")</f>
        <v>2900-878</v>
      </c>
      <c r="I52" t="str" cm="1">
        <f t="array" aca="1" ref="I52" ca="1">INDEX(rua_cod!$B:$B,Médicos!X52)</f>
        <v>Setúbal</v>
      </c>
      <c r="J52" t="s">
        <v>341</v>
      </c>
      <c r="K52" t="s">
        <v>225</v>
      </c>
      <c r="L52" t="s">
        <v>265</v>
      </c>
      <c r="M52" t="str">
        <f t="shared" ca="1" si="2"/>
        <v>91540524</v>
      </c>
      <c r="N52" t="str">
        <f t="shared" ca="1" si="3"/>
        <v>868335684</v>
      </c>
      <c r="O52" t="str">
        <f t="shared" ca="1" si="3"/>
        <v>209706091</v>
      </c>
      <c r="P52" t="str" cm="1">
        <f t="array" aca="1" ref="P52" ca="1">9 &amp; INDEX($AH$3:$AH$6,Y52)&amp; TEXT(RANDBETWEEN(0,9999999),"0000000")</f>
        <v>925762143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3087470450625315</v>
      </c>
      <c r="T52" t="s">
        <v>341</v>
      </c>
      <c r="V52" s="4"/>
      <c r="X52">
        <f ca="1">RANDBETWEEN(2,COUNTA(rua_cod!A:A))</f>
        <v>96</v>
      </c>
      <c r="Y52">
        <f t="shared" ca="1" si="6"/>
        <v>2</v>
      </c>
      <c r="Z52">
        <f t="shared" ca="1" si="7"/>
        <v>3</v>
      </c>
      <c r="AA52">
        <f t="shared" ca="1" si="8"/>
        <v>1988</v>
      </c>
      <c r="AB52">
        <f t="shared" ca="1" si="9"/>
        <v>8</v>
      </c>
      <c r="AC52">
        <f t="shared" ca="1" si="10"/>
        <v>27</v>
      </c>
      <c r="AD52">
        <f t="shared" ca="1" si="11"/>
        <v>32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Maria Mariana Cardoso Pinho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da Madalena</v>
      </c>
      <c r="H53" t="str" cm="1">
        <f t="array" aca="1" ref="H53" ca="1">INDEX(rua_cod!$A:$A,Médicos!X53) &amp; "-" &amp; TEXT(RANDBETWEEN(0,999),"000")</f>
        <v>1700-912</v>
      </c>
      <c r="I53" t="str" cm="1">
        <f t="array" aca="1" ref="I53" ca="1">INDEX(rua_cod!$B:$B,Médicos!X53)</f>
        <v>Lisboa</v>
      </c>
      <c r="J53" t="s">
        <v>341</v>
      </c>
      <c r="K53" t="s">
        <v>225</v>
      </c>
      <c r="L53" t="s">
        <v>265</v>
      </c>
      <c r="M53" t="str">
        <f t="shared" ca="1" si="2"/>
        <v>79829055</v>
      </c>
      <c r="N53" t="str">
        <f t="shared" ca="1" si="3"/>
        <v>814908977</v>
      </c>
      <c r="O53" t="str">
        <f t="shared" ca="1" si="3"/>
        <v>655708332</v>
      </c>
      <c r="P53" t="str" cm="1">
        <f t="array" aca="1" ref="P53" ca="1">9 &amp; INDEX($AH$3:$AH$6,Y53)&amp; TEXT(RANDBETWEEN(0,9999999),"0000000")</f>
        <v>917786947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5098554800815371</v>
      </c>
      <c r="T53" t="s">
        <v>341</v>
      </c>
      <c r="V53" s="4"/>
      <c r="X53">
        <f ca="1">RANDBETWEEN(2,COUNTA(rua_cod!A:A))</f>
        <v>40</v>
      </c>
      <c r="Y53">
        <f t="shared" ca="1" si="6"/>
        <v>1</v>
      </c>
      <c r="Z53">
        <f t="shared" ca="1" si="7"/>
        <v>1</v>
      </c>
      <c r="AA53">
        <f t="shared" ca="1" si="8"/>
        <v>1976</v>
      </c>
      <c r="AB53">
        <f t="shared" ca="1" si="9"/>
        <v>4</v>
      </c>
      <c r="AC53">
        <f t="shared" ca="1" si="10"/>
        <v>14</v>
      </c>
      <c r="AD53">
        <f t="shared" ca="1" si="11"/>
        <v>44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Ana Joana Coelho Coelho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Avenida Ressano Garcia</v>
      </c>
      <c r="H54" t="str" cm="1">
        <f t="array" aca="1" ref="H54" ca="1">INDEX(rua_cod!$A:$A,Médicos!X54) &amp; "-" &amp; TEXT(RANDBETWEEN(0,999),"000")</f>
        <v>1099-114</v>
      </c>
      <c r="I54" t="str" cm="1">
        <f t="array" aca="1" ref="I54" ca="1">INDEX(rua_cod!$B:$B,Médicos!X54)</f>
        <v>Lisboa</v>
      </c>
      <c r="J54" t="s">
        <v>341</v>
      </c>
      <c r="K54" t="s">
        <v>225</v>
      </c>
      <c r="L54" t="s">
        <v>265</v>
      </c>
      <c r="M54" t="str">
        <f t="shared" ca="1" si="2"/>
        <v>12387124</v>
      </c>
      <c r="N54" t="str">
        <f t="shared" ca="1" si="3"/>
        <v>301079407</v>
      </c>
      <c r="O54" t="str">
        <f t="shared" ca="1" si="3"/>
        <v>472364224</v>
      </c>
      <c r="P54" t="str" cm="1">
        <f t="array" aca="1" ref="P54" ca="1">9 &amp; INDEX($AH$3:$AH$6,Y54)&amp; TEXT(RANDBETWEEN(0,9999999),"0000000")</f>
        <v>967675535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4328721907115097</v>
      </c>
      <c r="T54" t="s">
        <v>341</v>
      </c>
      <c r="V54" s="4"/>
      <c r="X54">
        <f ca="1">RANDBETWEEN(2,COUNTA(rua_cod!A:A))</f>
        <v>53</v>
      </c>
      <c r="Y54">
        <f t="shared" ca="1" si="6"/>
        <v>4</v>
      </c>
      <c r="Z54">
        <f t="shared" ca="1" si="7"/>
        <v>3</v>
      </c>
      <c r="AA54">
        <f t="shared" ca="1" si="8"/>
        <v>1984</v>
      </c>
      <c r="AB54">
        <f t="shared" ca="1" si="9"/>
        <v>3</v>
      </c>
      <c r="AC54">
        <f t="shared" ca="1" si="10"/>
        <v>1</v>
      </c>
      <c r="AD54">
        <f t="shared" ca="1" si="11"/>
        <v>36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Matilde Rodrigo Simões Leal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Rua do Salitre</v>
      </c>
      <c r="H55" t="str" cm="1">
        <f t="array" aca="1" ref="H55" ca="1">INDEX(rua_cod!$A:$A,Médicos!X55) &amp; "-" &amp; TEXT(RANDBETWEEN(0,999),"000")</f>
        <v>1200-430</v>
      </c>
      <c r="I55" t="str" cm="1">
        <f t="array" aca="1" ref="I55" ca="1">INDEX(rua_cod!$B:$B,Médicos!X55)</f>
        <v>Lisboa</v>
      </c>
      <c r="J55" t="s">
        <v>341</v>
      </c>
      <c r="K55" t="s">
        <v>225</v>
      </c>
      <c r="L55" t="s">
        <v>265</v>
      </c>
      <c r="M55" t="str">
        <f t="shared" ca="1" si="2"/>
        <v>12062327</v>
      </c>
      <c r="N55" t="str">
        <f t="shared" ca="1" si="3"/>
        <v>378914434</v>
      </c>
      <c r="O55" t="str">
        <f t="shared" ca="1" si="3"/>
        <v>834356184</v>
      </c>
      <c r="P55" t="str" cm="1">
        <f t="array" aca="1" ref="P55" ca="1">9 &amp; INDEX($AH$3:$AH$6,Y55)&amp; TEXT(RANDBETWEEN(0,9999999),"0000000")</f>
        <v>967446086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7301170404738579</v>
      </c>
      <c r="T55" t="s">
        <v>341</v>
      </c>
      <c r="V55" s="4"/>
      <c r="X55">
        <f ca="1">RANDBETWEEN(2,COUNTA(rua_cod!A:A))</f>
        <v>48</v>
      </c>
      <c r="Y55">
        <f t="shared" ca="1" si="6"/>
        <v>4</v>
      </c>
      <c r="Z55">
        <f t="shared" ca="1" si="7"/>
        <v>2</v>
      </c>
      <c r="AA55">
        <f t="shared" ca="1" si="8"/>
        <v>1988</v>
      </c>
      <c r="AB55">
        <f t="shared" ca="1" si="9"/>
        <v>11</v>
      </c>
      <c r="AC55">
        <f t="shared" ca="1" si="10"/>
        <v>16</v>
      </c>
      <c r="AD55">
        <f t="shared" ca="1" si="11"/>
        <v>32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Mariana Joaquim Fonseca Guerreiro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Rua do Sol a Santana</v>
      </c>
      <c r="H56" t="str" cm="1">
        <f t="array" aca="1" ref="H56" ca="1">INDEX(rua_cod!$A:$A,Médicos!X56) &amp; "-" &amp; TEXT(RANDBETWEEN(0,999),"000")</f>
        <v>2410-447</v>
      </c>
      <c r="I56" t="str" cm="1">
        <f t="array" aca="1" ref="I56" ca="1">INDEX(rua_cod!$B:$B,Médicos!X56)</f>
        <v>Leiria</v>
      </c>
      <c r="J56" t="s">
        <v>341</v>
      </c>
      <c r="K56" t="s">
        <v>225</v>
      </c>
      <c r="L56" t="s">
        <v>265</v>
      </c>
      <c r="M56" t="str">
        <f t="shared" ca="1" si="2"/>
        <v>45208178</v>
      </c>
      <c r="N56" t="str">
        <f t="shared" ca="1" si="3"/>
        <v>755795516</v>
      </c>
      <c r="O56" t="str">
        <f t="shared" ca="1" si="3"/>
        <v>207572528</v>
      </c>
      <c r="P56" t="str" cm="1">
        <f t="array" aca="1" ref="P56" ca="1">9 &amp; INDEX($AH$3:$AH$6,Y56)&amp; TEXT(RANDBETWEEN(0,9999999),"0000000")</f>
        <v>962067351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9856181894899436</v>
      </c>
      <c r="T56" t="s">
        <v>341</v>
      </c>
      <c r="V56" s="4"/>
      <c r="X56">
        <f ca="1">RANDBETWEEN(2,COUNTA(rua_cod!A:A))</f>
        <v>34</v>
      </c>
      <c r="Y56">
        <f t="shared" ca="1" si="6"/>
        <v>4</v>
      </c>
      <c r="Z56">
        <f t="shared" ca="1" si="7"/>
        <v>1</v>
      </c>
      <c r="AA56">
        <f t="shared" ca="1" si="8"/>
        <v>1980</v>
      </c>
      <c r="AB56">
        <f t="shared" ca="1" si="9"/>
        <v>4</v>
      </c>
      <c r="AC56">
        <f t="shared" ca="1" si="10"/>
        <v>7</v>
      </c>
      <c r="AD56">
        <f t="shared" ca="1" si="11"/>
        <v>40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Catarina Vera Alves Oliveira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Rua Cidade de Bolama</v>
      </c>
      <c r="H57" t="str" cm="1">
        <f t="array" aca="1" ref="H57" ca="1">INDEX(rua_cod!$A:$A,Médicos!X57) &amp; "-" &amp; TEXT(RANDBETWEEN(0,999),"000")</f>
        <v>2800-623</v>
      </c>
      <c r="I57" t="str" cm="1">
        <f t="array" aca="1" ref="I57" ca="1">INDEX(rua_cod!$B:$B,Médicos!X57)</f>
        <v>Almada</v>
      </c>
      <c r="J57" t="s">
        <v>341</v>
      </c>
      <c r="K57" t="s">
        <v>225</v>
      </c>
      <c r="L57" t="s">
        <v>265</v>
      </c>
      <c r="M57" t="str">
        <f t="shared" ca="1" si="2"/>
        <v>93127304</v>
      </c>
      <c r="N57" t="str">
        <f t="shared" ca="1" si="3"/>
        <v>121076280</v>
      </c>
      <c r="O57" t="str">
        <f t="shared" ca="1" si="3"/>
        <v>760667798</v>
      </c>
      <c r="P57" t="str" cm="1">
        <f t="array" aca="1" ref="P57" ca="1">9 &amp; INDEX($AH$3:$AH$6,Y57)&amp; TEXT(RANDBETWEEN(0,9999999),"0000000")</f>
        <v>931082715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9299998849742130</v>
      </c>
      <c r="T57" t="s">
        <v>341</v>
      </c>
      <c r="V57" s="4"/>
      <c r="X57">
        <f ca="1">RANDBETWEEN(2,COUNTA(rua_cod!A:A))</f>
        <v>2</v>
      </c>
      <c r="Y57">
        <f t="shared" ca="1" si="6"/>
        <v>3</v>
      </c>
      <c r="Z57">
        <f t="shared" ca="1" si="7"/>
        <v>3</v>
      </c>
      <c r="AA57">
        <f t="shared" ca="1" si="8"/>
        <v>1983</v>
      </c>
      <c r="AB57">
        <f t="shared" ca="1" si="9"/>
        <v>4</v>
      </c>
      <c r="AC57">
        <f t="shared" ca="1" si="10"/>
        <v>21</v>
      </c>
      <c r="AD57">
        <f t="shared" ca="1" si="11"/>
        <v>37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Ana Luís Lima Neves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dos Fanqueiros</v>
      </c>
      <c r="H58" t="str" cm="1">
        <f t="array" aca="1" ref="H58" ca="1">INDEX(rua_cod!$A:$A,Médicos!X58) &amp; "-" &amp; TEXT(RANDBETWEEN(0,999),"000")</f>
        <v>1649-043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16070323</v>
      </c>
      <c r="N58" t="str">
        <f t="shared" ca="1" si="3"/>
        <v>996997760</v>
      </c>
      <c r="O58" t="str">
        <f t="shared" ca="1" si="3"/>
        <v>212298835</v>
      </c>
      <c r="P58" t="str" cm="1">
        <f t="array" aca="1" ref="P58" ca="1">9 &amp; INDEX($AH$3:$AH$6,Y58)&amp; TEXT(RANDBETWEEN(0,9999999),"0000000")</f>
        <v>926928334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5378807802312712</v>
      </c>
      <c r="T58" t="s">
        <v>341</v>
      </c>
      <c r="V58" s="4"/>
      <c r="X58">
        <f ca="1">RANDBETWEEN(2,COUNTA(rua_cod!A:A))</f>
        <v>68</v>
      </c>
      <c r="Y58">
        <f t="shared" ca="1" si="6"/>
        <v>2</v>
      </c>
      <c r="Z58">
        <f t="shared" ca="1" si="7"/>
        <v>3</v>
      </c>
      <c r="AA58">
        <f t="shared" ca="1" si="8"/>
        <v>1970</v>
      </c>
      <c r="AB58">
        <f t="shared" ca="1" si="9"/>
        <v>2</v>
      </c>
      <c r="AC58">
        <f t="shared" ca="1" si="10"/>
        <v>21</v>
      </c>
      <c r="AD58">
        <f t="shared" ca="1" si="11"/>
        <v>50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Marco Marco Matos Castro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Rua Garrett</v>
      </c>
      <c r="H59" t="str" cm="1">
        <f t="array" aca="1" ref="H59" ca="1">INDEX(rua_cod!$A:$A,Médicos!X59) &amp; "-" &amp; TEXT(RANDBETWEEN(0,999),"000")</f>
        <v>1250-791</v>
      </c>
      <c r="I59" t="str" cm="1">
        <f t="array" aca="1" ref="I59" ca="1">INDEX(rua_cod!$B:$B,Médicos!X59)</f>
        <v>Lisboa</v>
      </c>
      <c r="J59" t="s">
        <v>341</v>
      </c>
      <c r="K59" t="s">
        <v>225</v>
      </c>
      <c r="L59" t="s">
        <v>265</v>
      </c>
      <c r="M59" t="str">
        <f t="shared" ca="1" si="2"/>
        <v>46055543</v>
      </c>
      <c r="N59" t="str">
        <f t="shared" ca="1" si="3"/>
        <v>178195307</v>
      </c>
      <c r="O59" t="str">
        <f t="shared" ca="1" si="3"/>
        <v>632176198</v>
      </c>
      <c r="P59" t="str" cm="1">
        <f t="array" aca="1" ref="P59" ca="1">9 &amp; INDEX($AH$3:$AH$6,Y59)&amp; TEXT(RANDBETWEEN(0,9999999),"0000000")</f>
        <v>969073440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7406523694295663</v>
      </c>
      <c r="T59" t="s">
        <v>341</v>
      </c>
      <c r="V59" s="4"/>
      <c r="X59">
        <f ca="1">RANDBETWEEN(2,COUNTA(rua_cod!A:A))</f>
        <v>50</v>
      </c>
      <c r="Y59">
        <f t="shared" ca="1" si="6"/>
        <v>4</v>
      </c>
      <c r="Z59">
        <f t="shared" ca="1" si="7"/>
        <v>3</v>
      </c>
      <c r="AA59">
        <f t="shared" ca="1" si="8"/>
        <v>1954</v>
      </c>
      <c r="AB59">
        <f t="shared" ca="1" si="9"/>
        <v>7</v>
      </c>
      <c r="AC59">
        <f t="shared" ca="1" si="10"/>
        <v>3</v>
      </c>
      <c r="AD59">
        <f t="shared" ca="1" si="11"/>
        <v>66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Francisco Sofia Mota Soares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Rua Júlio César Machado</v>
      </c>
      <c r="H60" t="str" cm="1">
        <f t="array" aca="1" ref="H60" ca="1">INDEX(rua_cod!$A:$A,Médicos!X60) &amp; "-" &amp; TEXT(RANDBETWEEN(0,999),"000")</f>
        <v>1449-153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85770524</v>
      </c>
      <c r="N60" t="str">
        <f t="shared" ca="1" si="3"/>
        <v>227043091</v>
      </c>
      <c r="O60" t="str">
        <f t="shared" ca="1" si="3"/>
        <v>551456633</v>
      </c>
      <c r="P60" t="str" cm="1">
        <f t="array" aca="1" ref="P60" ca="1">9 &amp; INDEX($AH$3:$AH$6,Y60)&amp; TEXT(RANDBETWEEN(0,9999999),"0000000")</f>
        <v>965077511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6488854375129456</v>
      </c>
      <c r="T60" t="s">
        <v>341</v>
      </c>
      <c r="V60" s="4"/>
      <c r="X60">
        <f ca="1">RANDBETWEEN(2,COUNTA(rua_cod!A:A))</f>
        <v>73</v>
      </c>
      <c r="Y60">
        <f t="shared" ca="1" si="6"/>
        <v>4</v>
      </c>
      <c r="Z60">
        <f t="shared" ca="1" si="7"/>
        <v>1</v>
      </c>
      <c r="AA60">
        <f t="shared" ca="1" si="8"/>
        <v>1972</v>
      </c>
      <c r="AB60">
        <f t="shared" ca="1" si="9"/>
        <v>8</v>
      </c>
      <c r="AC60">
        <f t="shared" ca="1" si="10"/>
        <v>27</v>
      </c>
      <c r="AD60">
        <f t="shared" ca="1" si="11"/>
        <v>48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Maria Martim Sousa Paiva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Rua do Sacramento à Lapa</v>
      </c>
      <c r="H61" t="str" cm="1">
        <f t="array" aca="1" ref="H61" ca="1">INDEX(rua_cod!$A:$A,Médicos!X61) &amp; "-" &amp; TEXT(RANDBETWEEN(0,999),"000")</f>
        <v>2750-724</v>
      </c>
      <c r="I61" t="str" cm="1">
        <f t="array" aca="1" ref="I61" ca="1">INDEX(rua_cod!$B:$B,Médicos!X61)</f>
        <v>Cascais</v>
      </c>
      <c r="J61" t="s">
        <v>341</v>
      </c>
      <c r="K61" t="s">
        <v>225</v>
      </c>
      <c r="L61" t="s">
        <v>265</v>
      </c>
      <c r="M61" t="str">
        <f t="shared" ca="1" si="2"/>
        <v>92724025</v>
      </c>
      <c r="N61" t="str">
        <f t="shared" ca="1" si="3"/>
        <v>701539685</v>
      </c>
      <c r="O61" t="str">
        <f t="shared" ca="1" si="3"/>
        <v>518603350</v>
      </c>
      <c r="P61" t="str" cm="1">
        <f t="array" aca="1" ref="P61" ca="1">9 &amp; INDEX($AH$3:$AH$6,Y61)&amp; TEXT(RANDBETWEEN(0,9999999),"0000000")</f>
        <v>939362746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5838228938049739</v>
      </c>
      <c r="T61" t="s">
        <v>341</v>
      </c>
      <c r="V61" s="4"/>
      <c r="X61">
        <f ca="1">RANDBETWEEN(2,COUNTA(rua_cod!A:A))</f>
        <v>24</v>
      </c>
      <c r="Y61">
        <f t="shared" ca="1" si="6"/>
        <v>3</v>
      </c>
      <c r="Z61">
        <f t="shared" ca="1" si="7"/>
        <v>2</v>
      </c>
      <c r="AA61">
        <f t="shared" ca="1" si="8"/>
        <v>1980</v>
      </c>
      <c r="AB61">
        <f t="shared" ca="1" si="9"/>
        <v>9</v>
      </c>
      <c r="AC61">
        <f t="shared" ca="1" si="10"/>
        <v>25</v>
      </c>
      <c r="AD61">
        <f t="shared" ca="1" si="11"/>
        <v>40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Miguel Maria Gomes Soares</v>
      </c>
      <c r="E62" t="str">
        <f ca="1">Nomes!S63</f>
        <v>Masculino</v>
      </c>
      <c r="F62" s="2">
        <v>39695</v>
      </c>
      <c r="G62" t="str" cm="1">
        <f t="array" aca="1" ref="G62" ca="1">INDEX(rua_cod!$F:$F,RANDBETWEEN(2,COUNTA(rua_cod!F:F)))</f>
        <v>Rua do Arsenal</v>
      </c>
      <c r="H62" t="str" cm="1">
        <f t="array" aca="1" ref="H62" ca="1">INDEX(rua_cod!$A:$A,Médicos!X62) &amp; "-" &amp; TEXT(RANDBETWEEN(0,999),"000")</f>
        <v>1959-867</v>
      </c>
      <c r="I62" t="str" cm="1">
        <f t="array" aca="1" ref="I62" ca="1">INDEX(rua_cod!$B:$B,Médicos!X62)</f>
        <v>Lisboa</v>
      </c>
      <c r="J62" t="s">
        <v>341</v>
      </c>
      <c r="K62" t="s">
        <v>225</v>
      </c>
      <c r="L62" t="s">
        <v>265</v>
      </c>
      <c r="M62" t="str">
        <f t="shared" ca="1" si="2"/>
        <v>24946520</v>
      </c>
      <c r="N62" t="str">
        <f t="shared" ca="1" si="3"/>
        <v>625788462</v>
      </c>
      <c r="O62" t="str">
        <f t="shared" ca="1" si="3"/>
        <v>296495757</v>
      </c>
      <c r="P62" t="str" cm="1">
        <f t="array" aca="1" ref="P62" ca="1">9 &amp; INDEX($AH$3:$AH$6,Y62)&amp; TEXT(RANDBETWEEN(0,9999999),"0000000")</f>
        <v>938021542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3232211027445714</v>
      </c>
      <c r="T62" t="s">
        <v>341</v>
      </c>
      <c r="V62" s="4"/>
      <c r="X62">
        <f ca="1">RANDBETWEEN(2,COUNTA(rua_cod!A:A))</f>
        <v>72</v>
      </c>
      <c r="Y62">
        <f t="shared" ca="1" si="6"/>
        <v>3</v>
      </c>
      <c r="Z62">
        <f t="shared" ca="1" si="7"/>
        <v>2</v>
      </c>
      <c r="AA62">
        <f t="shared" ca="1" si="8"/>
        <v>1968</v>
      </c>
      <c r="AB62">
        <f t="shared" ca="1" si="9"/>
        <v>6</v>
      </c>
      <c r="AC62">
        <f t="shared" ca="1" si="10"/>
        <v>3</v>
      </c>
      <c r="AD62">
        <f t="shared" ca="1" si="11"/>
        <v>52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Francisco Tomás Tavares Raposo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Calçada do Poço dos Mouros</v>
      </c>
      <c r="H63" t="str" cm="1">
        <f t="array" aca="1" ref="H63" ca="1">INDEX(rua_cod!$A:$A,Médicos!X63) &amp; "-" &amp; TEXT(RANDBETWEEN(0,999),"000")</f>
        <v>1449-168</v>
      </c>
      <c r="I63" t="str" cm="1">
        <f t="array" aca="1" ref="I63" ca="1">INDEX(rua_cod!$B:$B,Médicos!X63)</f>
        <v>Lisboa</v>
      </c>
      <c r="J63" t="s">
        <v>341</v>
      </c>
      <c r="K63" t="s">
        <v>225</v>
      </c>
      <c r="L63" t="s">
        <v>265</v>
      </c>
      <c r="M63" t="str">
        <f t="shared" ca="1" si="2"/>
        <v>47854628</v>
      </c>
      <c r="N63" t="str">
        <f t="shared" ca="1" si="3"/>
        <v>398701034</v>
      </c>
      <c r="O63" t="str">
        <f t="shared" ca="1" si="3"/>
        <v>672441695</v>
      </c>
      <c r="P63" t="str" cm="1">
        <f t="array" aca="1" ref="P63" ca="1">9 &amp; INDEX($AH$3:$AH$6,Y63)&amp; TEXT(RANDBETWEEN(0,9999999),"0000000")</f>
        <v>923181903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4801969436660724</v>
      </c>
      <c r="T63" t="s">
        <v>341</v>
      </c>
      <c r="V63" s="4"/>
      <c r="X63">
        <f ca="1">RANDBETWEEN(2,COUNTA(rua_cod!A:A))</f>
        <v>73</v>
      </c>
      <c r="Y63">
        <f t="shared" ca="1" si="6"/>
        <v>2</v>
      </c>
      <c r="Z63">
        <f t="shared" ca="1" si="7"/>
        <v>3</v>
      </c>
      <c r="AA63">
        <f t="shared" ca="1" si="8"/>
        <v>1960</v>
      </c>
      <c r="AB63">
        <f t="shared" ca="1" si="9"/>
        <v>10</v>
      </c>
      <c r="AC63">
        <f t="shared" ca="1" si="10"/>
        <v>16</v>
      </c>
      <c r="AD63">
        <f t="shared" ca="1" si="11"/>
        <v>60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Mariana Santiago Garcia Barros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Augusta</v>
      </c>
      <c r="H64" t="str" cm="1">
        <f t="array" aca="1" ref="H64" ca="1">INDEX(rua_cod!$A:$A,Médicos!X64) &amp; "-" &amp; TEXT(RANDBETWEEN(0,999),"000")</f>
        <v>1349-354</v>
      </c>
      <c r="I64" t="str" cm="1">
        <f t="array" aca="1" ref="I64" ca="1">INDEX(rua_cod!$B:$B,Médicos!X64)</f>
        <v>Lisboa</v>
      </c>
      <c r="J64" t="s">
        <v>341</v>
      </c>
      <c r="K64" t="s">
        <v>225</v>
      </c>
      <c r="L64" t="s">
        <v>265</v>
      </c>
      <c r="M64" t="str">
        <f t="shared" ca="1" si="2"/>
        <v>13916944</v>
      </c>
      <c r="N64" t="str">
        <f t="shared" ca="1" si="3"/>
        <v>278015020</v>
      </c>
      <c r="O64" t="str">
        <f t="shared" ca="1" si="3"/>
        <v>262444953</v>
      </c>
      <c r="P64" t="str" cm="1">
        <f t="array" aca="1" ref="P64" ca="1">9 &amp; INDEX($AH$3:$AH$6,Y64)&amp; TEXT(RANDBETWEEN(0,9999999),"0000000")</f>
        <v>966259776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3922973804983370</v>
      </c>
      <c r="T64" t="s">
        <v>341</v>
      </c>
      <c r="V64" s="4"/>
      <c r="X64">
        <f ca="1">RANDBETWEEN(2,COUNTA(rua_cod!A:A))</f>
        <v>71</v>
      </c>
      <c r="Y64">
        <f t="shared" ca="1" si="6"/>
        <v>4</v>
      </c>
      <c r="Z64">
        <f t="shared" ca="1" si="7"/>
        <v>1</v>
      </c>
      <c r="AA64">
        <f t="shared" ca="1" si="8"/>
        <v>1954</v>
      </c>
      <c r="AB64">
        <f t="shared" ca="1" si="9"/>
        <v>9</v>
      </c>
      <c r="AC64">
        <f t="shared" ca="1" si="10"/>
        <v>12</v>
      </c>
      <c r="AD64">
        <f t="shared" ca="1" si="11"/>
        <v>66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Rodrigo André Pires Fernandes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Cidade de Bolama</v>
      </c>
      <c r="H65" t="str" cm="1">
        <f t="array" aca="1" ref="H65" ca="1">INDEX(rua_cod!$A:$A,Médicos!X65) &amp; "-" &amp; TEXT(RANDBETWEEN(0,999),"000")</f>
        <v>2825-770</v>
      </c>
      <c r="I65" t="str" cm="1">
        <f t="array" aca="1" ref="I65" ca="1">INDEX(rua_cod!$B:$B,Médicos!X65)</f>
        <v>Caparica</v>
      </c>
      <c r="J65" t="s">
        <v>341</v>
      </c>
      <c r="K65" t="s">
        <v>225</v>
      </c>
      <c r="L65" t="s">
        <v>265</v>
      </c>
      <c r="M65" t="str">
        <f t="shared" ca="1" si="2"/>
        <v>89829578</v>
      </c>
      <c r="N65" t="str">
        <f t="shared" ca="1" si="3"/>
        <v>115438029</v>
      </c>
      <c r="O65" t="str">
        <f t="shared" ca="1" si="3"/>
        <v>448399002</v>
      </c>
      <c r="P65" t="str" cm="1">
        <f t="array" aca="1" ref="P65" ca="1">9 &amp; INDEX($AH$3:$AH$6,Y65)&amp; TEXT(RANDBETWEEN(0,9999999),"0000000")</f>
        <v>911546310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9447250570549536</v>
      </c>
      <c r="T65" t="s">
        <v>341</v>
      </c>
      <c r="V65" s="4"/>
      <c r="X65">
        <f ca="1">RANDBETWEEN(2,COUNTA(rua_cod!A:A))</f>
        <v>18</v>
      </c>
      <c r="Y65">
        <f t="shared" ca="1" si="6"/>
        <v>1</v>
      </c>
      <c r="Z65">
        <f t="shared" ca="1" si="7"/>
        <v>1</v>
      </c>
      <c r="AA65">
        <f t="shared" ca="1" si="8"/>
        <v>1963</v>
      </c>
      <c r="AB65">
        <f t="shared" ca="1" si="9"/>
        <v>6</v>
      </c>
      <c r="AC65">
        <f t="shared" ca="1" si="10"/>
        <v>12</v>
      </c>
      <c r="AD65">
        <f t="shared" ca="1" si="11"/>
        <v>57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Afonso Laura Gonçalves Cruz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Rua do Instituto Bacteriológico</v>
      </c>
      <c r="H66" t="str" cm="1">
        <f t="array" aca="1" ref="H66" ca="1">INDEX(rua_cod!$A:$A,Médicos!X66) &amp; "-" &amp; TEXT(RANDBETWEEN(0,999),"000")</f>
        <v>2830-199</v>
      </c>
      <c r="I66" t="str" cm="1">
        <f t="array" aca="1" ref="I66" ca="1">INDEX(rua_cod!$B:$B,Médicos!X66)</f>
        <v>Barreiro</v>
      </c>
      <c r="J66" t="s">
        <v>341</v>
      </c>
      <c r="K66" t="s">
        <v>225</v>
      </c>
      <c r="L66" t="s">
        <v>265</v>
      </c>
      <c r="M66" t="str">
        <f t="shared" ca="1" si="2"/>
        <v>28970542</v>
      </c>
      <c r="N66" t="str">
        <f t="shared" ca="1" si="3"/>
        <v>905532035</v>
      </c>
      <c r="O66" t="str">
        <f t="shared" ca="1" si="3"/>
        <v>347442833</v>
      </c>
      <c r="P66" t="str" cm="1">
        <f t="array" aca="1" ref="P66" ca="1">9 &amp; INDEX($AH$3:$AH$6,Y66)&amp; TEXT(RANDBETWEEN(0,9999999),"0000000")</f>
        <v>924626828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3469762124572870</v>
      </c>
      <c r="T66" t="s">
        <v>341</v>
      </c>
      <c r="V66" s="4"/>
      <c r="X66">
        <f ca="1">RANDBETWEEN(2,COUNTA(rua_cod!A:A))</f>
        <v>16</v>
      </c>
      <c r="Y66">
        <f t="shared" ca="1" si="6"/>
        <v>2</v>
      </c>
      <c r="Z66">
        <f t="shared" ca="1" si="7"/>
        <v>3</v>
      </c>
      <c r="AA66">
        <f t="shared" ca="1" si="8"/>
        <v>1958</v>
      </c>
      <c r="AB66">
        <f t="shared" ca="1" si="9"/>
        <v>9</v>
      </c>
      <c r="AC66">
        <f t="shared" ca="1" si="10"/>
        <v>21</v>
      </c>
      <c r="AD66">
        <f t="shared" ca="1" si="11"/>
        <v>62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Joaquim Pedro Nogueira Mendes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Roberto Duarte Silva</v>
      </c>
      <c r="H67" t="str" cm="1">
        <f t="array" aca="1" ref="H67" ca="1">INDEX(rua_cod!$A:$A,Médicos!X67) &amp; "-" &amp; TEXT(RANDBETWEEN(0,999),"000")</f>
        <v>1349-653</v>
      </c>
      <c r="I67" t="str" cm="1">
        <f t="array" aca="1" ref="I67" ca="1">INDEX(rua_cod!$B:$B,Médicos!X67)</f>
        <v>Lisboa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86179231</v>
      </c>
      <c r="N67" t="str">
        <f t="shared" ref="N67:O130" ca="1" si="15">TEXT(RANDBETWEEN(100000000,999999999),"000000000")</f>
        <v>206422917</v>
      </c>
      <c r="O67" t="str">
        <f t="shared" ca="1" si="15"/>
        <v>391953995</v>
      </c>
      <c r="P67" t="str" cm="1">
        <f t="array" aca="1" ref="P67" ca="1">9 &amp; INDEX($AH$3:$AH$6,Y67)&amp; TEXT(RANDBETWEEN(0,9999999),"0000000")</f>
        <v>960967570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1302814942549898</v>
      </c>
      <c r="T67" t="s">
        <v>341</v>
      </c>
      <c r="V67" s="4"/>
      <c r="X67">
        <f ca="1">RANDBETWEEN(2,COUNTA(rua_cod!A:A))</f>
        <v>71</v>
      </c>
      <c r="Y67">
        <f t="shared" ref="Y67:Y130" ca="1" si="18">RANDBETWEEN(1,4)</f>
        <v>4</v>
      </c>
      <c r="Z67">
        <f t="shared" ref="Z67:Z130" ca="1" si="19">RANDBETWEEN(1,3)</f>
        <v>2</v>
      </c>
      <c r="AA67">
        <f t="shared" ref="AA67:AA130" ca="1" si="20">RANDBETWEEN(1950,1994)</f>
        <v>1978</v>
      </c>
      <c r="AB67">
        <f t="shared" ref="AB67:AB130" ca="1" si="21">RANDBETWEEN(1,12)</f>
        <v>11</v>
      </c>
      <c r="AC67">
        <f t="shared" ref="AC67:AC130" ca="1" si="22">RANDBETWEEN(1,31)</f>
        <v>24</v>
      </c>
      <c r="AD67">
        <f t="shared" ref="AD67:AD130" ca="1" si="23">2020-AA67</f>
        <v>42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Laura Diana Rodrigues Magalhães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Rua do Instituto Bacteriológico</v>
      </c>
      <c r="H68" t="str" cm="1">
        <f t="array" aca="1" ref="H68" ca="1">INDEX(rua_cod!$A:$A,Médicos!X68) &amp; "-" &amp; TEXT(RANDBETWEEN(0,999),"000")</f>
        <v>2674-001</v>
      </c>
      <c r="I68" t="str" cm="1">
        <f t="array" aca="1" ref="I68" ca="1">INDEX(rua_cod!$B:$B,Médicos!X68)</f>
        <v>Loures</v>
      </c>
      <c r="J68" t="s">
        <v>341</v>
      </c>
      <c r="K68" t="s">
        <v>225</v>
      </c>
      <c r="L68" t="s">
        <v>265</v>
      </c>
      <c r="M68" t="str">
        <f t="shared" ca="1" si="14"/>
        <v>37443860</v>
      </c>
      <c r="N68" t="str">
        <f t="shared" ca="1" si="15"/>
        <v>589811916</v>
      </c>
      <c r="O68" t="str">
        <f t="shared" ca="1" si="15"/>
        <v>561886307</v>
      </c>
      <c r="P68" t="str" cm="1">
        <f t="array" aca="1" ref="P68" ca="1">9 &amp; INDEX($AH$3:$AH$6,Y68)&amp; TEXT(RANDBETWEEN(0,9999999),"0000000")</f>
        <v>922226751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9551241780168328</v>
      </c>
      <c r="T68" t="s">
        <v>341</v>
      </c>
      <c r="V68" s="4"/>
      <c r="X68">
        <f ca="1">RANDBETWEEN(2,COUNTA(rua_cod!A:A))</f>
        <v>84</v>
      </c>
      <c r="Y68">
        <f t="shared" ca="1" si="18"/>
        <v>2</v>
      </c>
      <c r="Z68">
        <f t="shared" ca="1" si="19"/>
        <v>1</v>
      </c>
      <c r="AA68">
        <f t="shared" ca="1" si="20"/>
        <v>1951</v>
      </c>
      <c r="AB68">
        <f t="shared" ca="1" si="21"/>
        <v>10</v>
      </c>
      <c r="AC68">
        <f t="shared" ca="1" si="22"/>
        <v>15</v>
      </c>
      <c r="AD68">
        <f t="shared" ca="1" si="23"/>
        <v>69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Luís Diana Vicente Rodrigues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do Comércio</v>
      </c>
      <c r="H69" t="str" cm="1">
        <f t="array" aca="1" ref="H69" ca="1">INDEX(rua_cod!$A:$A,Médicos!X69) &amp; "-" &amp; TEXT(RANDBETWEEN(0,999),"000")</f>
        <v>2410-133</v>
      </c>
      <c r="I69" t="str" cm="1">
        <f t="array" aca="1" ref="I69" ca="1">INDEX(rua_cod!$B:$B,Médicos!X69)</f>
        <v>Leiria</v>
      </c>
      <c r="J69" t="s">
        <v>341</v>
      </c>
      <c r="K69" t="s">
        <v>225</v>
      </c>
      <c r="L69" t="s">
        <v>265</v>
      </c>
      <c r="M69" t="str">
        <f t="shared" ca="1" si="14"/>
        <v>19696824</v>
      </c>
      <c r="N69" t="str">
        <f t="shared" ca="1" si="15"/>
        <v>393037114</v>
      </c>
      <c r="O69" t="str">
        <f t="shared" ca="1" si="15"/>
        <v>105508173</v>
      </c>
      <c r="P69" t="str" cm="1">
        <f t="array" aca="1" ref="P69" ca="1">9 &amp; INDEX($AH$3:$AH$6,Y69)&amp; TEXT(RANDBETWEEN(0,9999999),"0000000")</f>
        <v>937594317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5519989625511304</v>
      </c>
      <c r="T69" t="s">
        <v>341</v>
      </c>
      <c r="V69" s="4"/>
      <c r="X69">
        <f ca="1">RANDBETWEEN(2,COUNTA(rua_cod!A:A))</f>
        <v>34</v>
      </c>
      <c r="Y69">
        <f t="shared" ca="1" si="18"/>
        <v>3</v>
      </c>
      <c r="Z69">
        <f t="shared" ca="1" si="19"/>
        <v>2</v>
      </c>
      <c r="AA69">
        <f t="shared" ca="1" si="20"/>
        <v>1987</v>
      </c>
      <c r="AB69">
        <f t="shared" ca="1" si="21"/>
        <v>5</v>
      </c>
      <c r="AC69">
        <f t="shared" ca="1" si="22"/>
        <v>26</v>
      </c>
      <c r="AD69">
        <f t="shared" ca="1" si="23"/>
        <v>33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Matilde Diana Castro Machado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da Prata</v>
      </c>
      <c r="H70" t="str" cm="1">
        <f t="array" aca="1" ref="H70" ca="1">INDEX(rua_cod!$A:$A,Médicos!X70) &amp; "-" &amp; TEXT(RANDBETWEEN(0,999),"000")</f>
        <v>2834-810</v>
      </c>
      <c r="I70" t="str" cm="1">
        <f t="array" aca="1" ref="I70" ca="1">INDEX(rua_cod!$B:$B,Médicos!X70)</f>
        <v>Barreiro</v>
      </c>
      <c r="J70" t="s">
        <v>341</v>
      </c>
      <c r="K70" t="s">
        <v>225</v>
      </c>
      <c r="L70" t="s">
        <v>265</v>
      </c>
      <c r="M70" t="str">
        <f t="shared" ca="1" si="14"/>
        <v>78431750</v>
      </c>
      <c r="N70" t="str">
        <f t="shared" ca="1" si="15"/>
        <v>708361855</v>
      </c>
      <c r="O70" t="str">
        <f t="shared" ca="1" si="15"/>
        <v>689037765</v>
      </c>
      <c r="P70" t="str" cm="1">
        <f t="array" aca="1" ref="P70" ca="1">9 &amp; INDEX($AH$3:$AH$6,Y70)&amp; TEXT(RANDBETWEEN(0,9999999),"0000000")</f>
        <v>931627258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4173367902434857</v>
      </c>
      <c r="T70" t="s">
        <v>341</v>
      </c>
      <c r="V70" s="4"/>
      <c r="X70">
        <f ca="1">RANDBETWEEN(2,COUNTA(rua_cod!A:A))</f>
        <v>17</v>
      </c>
      <c r="Y70">
        <f t="shared" ca="1" si="18"/>
        <v>3</v>
      </c>
      <c r="Z70">
        <f t="shared" ca="1" si="19"/>
        <v>3</v>
      </c>
      <c r="AA70">
        <f t="shared" ca="1" si="20"/>
        <v>1976</v>
      </c>
      <c r="AB70">
        <f t="shared" ca="1" si="21"/>
        <v>12</v>
      </c>
      <c r="AC70">
        <f t="shared" ca="1" si="22"/>
        <v>26</v>
      </c>
      <c r="AD70">
        <f t="shared" ca="1" si="23"/>
        <v>44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Tiago Santiago Rocha Amaral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Rua dos Bacalhoeiros</v>
      </c>
      <c r="H71" t="str" cm="1">
        <f t="array" aca="1" ref="H71" ca="1">INDEX(rua_cod!$A:$A,Médicos!X71) &amp; "-" &amp; TEXT(RANDBETWEEN(0,999),"000")</f>
        <v>2424-743</v>
      </c>
      <c r="I71" t="str" cm="1">
        <f t="array" aca="1" ref="I71" ca="1">INDEX(rua_cod!$B:$B,Médicos!X71)</f>
        <v>Leiria</v>
      </c>
      <c r="J71" t="s">
        <v>341</v>
      </c>
      <c r="K71" t="s">
        <v>225</v>
      </c>
      <c r="L71" t="s">
        <v>265</v>
      </c>
      <c r="M71" t="str">
        <f t="shared" ca="1" si="14"/>
        <v>37680019</v>
      </c>
      <c r="N71" t="str">
        <f t="shared" ca="1" si="15"/>
        <v>896418051</v>
      </c>
      <c r="O71" t="str">
        <f t="shared" ca="1" si="15"/>
        <v>762772251</v>
      </c>
      <c r="P71" t="str" cm="1">
        <f t="array" aca="1" ref="P71" ca="1">9 &amp; INDEX($AH$3:$AH$6,Y71)&amp; TEXT(RANDBETWEEN(0,9999999),"0000000")</f>
        <v>910833527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8917761255850156</v>
      </c>
      <c r="T71" t="s">
        <v>341</v>
      </c>
      <c r="V71" s="4"/>
      <c r="X71">
        <f ca="1">RANDBETWEEN(2,COUNTA(rua_cod!A:A))</f>
        <v>39</v>
      </c>
      <c r="Y71">
        <f t="shared" ca="1" si="18"/>
        <v>1</v>
      </c>
      <c r="Z71">
        <f t="shared" ca="1" si="19"/>
        <v>3</v>
      </c>
      <c r="AA71">
        <f t="shared" ca="1" si="20"/>
        <v>1961</v>
      </c>
      <c r="AB71">
        <f t="shared" ca="1" si="21"/>
        <v>11</v>
      </c>
      <c r="AC71">
        <f t="shared" ca="1" si="22"/>
        <v>21</v>
      </c>
      <c r="AD71">
        <f t="shared" ca="1" si="23"/>
        <v>59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José Matilde Gaspar Martins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Calçada Marquês de Abrantes</v>
      </c>
      <c r="H72" t="str" cm="1">
        <f t="array" aca="1" ref="H72" ca="1">INDEX(rua_cod!$A:$A,Médicos!X72) &amp; "-" &amp; TEXT(RANDBETWEEN(0,999),"000")</f>
        <v>2829-814</v>
      </c>
      <c r="I72" t="str" cm="1">
        <f t="array" aca="1" ref="I72" ca="1">INDEX(rua_cod!$B:$B,Médicos!X72)</f>
        <v>Costa de Caparica</v>
      </c>
      <c r="J72" t="s">
        <v>341</v>
      </c>
      <c r="K72" t="s">
        <v>225</v>
      </c>
      <c r="L72" t="s">
        <v>265</v>
      </c>
      <c r="M72" t="str">
        <f t="shared" ca="1" si="14"/>
        <v>82004996</v>
      </c>
      <c r="N72" t="str">
        <f t="shared" ca="1" si="15"/>
        <v>843393769</v>
      </c>
      <c r="O72" t="str">
        <f t="shared" ca="1" si="15"/>
        <v>388602696</v>
      </c>
      <c r="P72" t="str" cm="1">
        <f t="array" aca="1" ref="P72" ca="1">9 &amp; INDEX($AH$3:$AH$6,Y72)&amp; TEXT(RANDBETWEEN(0,9999999),"0000000")</f>
        <v>913374391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4184891589142689</v>
      </c>
      <c r="T72" t="s">
        <v>341</v>
      </c>
      <c r="V72" s="4"/>
      <c r="X72">
        <f ca="1">RANDBETWEEN(2,COUNTA(rua_cod!A:A))</f>
        <v>28</v>
      </c>
      <c r="Y72">
        <f t="shared" ca="1" si="18"/>
        <v>1</v>
      </c>
      <c r="Z72">
        <f t="shared" ca="1" si="19"/>
        <v>2</v>
      </c>
      <c r="AA72">
        <f t="shared" ca="1" si="20"/>
        <v>1991</v>
      </c>
      <c r="AB72">
        <f t="shared" ca="1" si="21"/>
        <v>10</v>
      </c>
      <c r="AC72">
        <f t="shared" ca="1" si="22"/>
        <v>15</v>
      </c>
      <c r="AD72">
        <f t="shared" ca="1" si="23"/>
        <v>29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André Joana Nascimento Lopes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do Sol a Santana</v>
      </c>
      <c r="H73" t="str" cm="1">
        <f t="array" aca="1" ref="H73" ca="1">INDEX(rua_cod!$A:$A,Médicos!X73) &amp; "-" &amp; TEXT(RANDBETWEEN(0,999),"000")</f>
        <v>2614-591</v>
      </c>
      <c r="I73" t="str" cm="1">
        <f t="array" aca="1" ref="I73" ca="1">INDEX(rua_cod!$B:$B,Médicos!X73)</f>
        <v>Amadora</v>
      </c>
      <c r="J73" t="s">
        <v>341</v>
      </c>
      <c r="K73" t="s">
        <v>225</v>
      </c>
      <c r="L73" t="s">
        <v>265</v>
      </c>
      <c r="M73" t="str">
        <f t="shared" ca="1" si="14"/>
        <v>18934722</v>
      </c>
      <c r="N73" t="str">
        <f t="shared" ca="1" si="15"/>
        <v>675242842</v>
      </c>
      <c r="O73" t="str">
        <f t="shared" ca="1" si="15"/>
        <v>982280509</v>
      </c>
      <c r="P73" t="str" cm="1">
        <f t="array" aca="1" ref="P73" ca="1">9 &amp; INDEX($AH$3:$AH$6,Y73)&amp; TEXT(RANDBETWEEN(0,9999999),"0000000")</f>
        <v>938405982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1905920884612615</v>
      </c>
      <c r="T73" t="s">
        <v>341</v>
      </c>
      <c r="V73" s="4"/>
      <c r="X73">
        <f ca="1">RANDBETWEEN(2,COUNTA(rua_cod!A:A))</f>
        <v>11</v>
      </c>
      <c r="Y73">
        <f t="shared" ca="1" si="18"/>
        <v>3</v>
      </c>
      <c r="Z73">
        <f t="shared" ca="1" si="19"/>
        <v>2</v>
      </c>
      <c r="AA73">
        <f t="shared" ca="1" si="20"/>
        <v>1989</v>
      </c>
      <c r="AB73">
        <f t="shared" ca="1" si="21"/>
        <v>10</v>
      </c>
      <c r="AC73">
        <f t="shared" ca="1" si="22"/>
        <v>18</v>
      </c>
      <c r="AD73">
        <f t="shared" ca="1" si="23"/>
        <v>31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Inês Bruno Mota Pacheco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da Oliveira ao Carmo</v>
      </c>
      <c r="H74" t="str" cm="1">
        <f t="array" aca="1" ref="H74" ca="1">INDEX(rua_cod!$A:$A,Médicos!X74) &amp; "-" &amp; TEXT(RANDBETWEEN(0,999),"000")</f>
        <v>2700-923</v>
      </c>
      <c r="I74" t="str" cm="1">
        <f t="array" aca="1" ref="I74" ca="1">INDEX(rua_cod!$B:$B,Médicos!X74)</f>
        <v>Amadora</v>
      </c>
      <c r="J74" t="s">
        <v>341</v>
      </c>
      <c r="K74" t="s">
        <v>225</v>
      </c>
      <c r="L74" t="s">
        <v>265</v>
      </c>
      <c r="M74" t="str">
        <f t="shared" ca="1" si="14"/>
        <v>84179812</v>
      </c>
      <c r="N74" t="str">
        <f t="shared" ca="1" si="15"/>
        <v>148723356</v>
      </c>
      <c r="O74" t="str">
        <f t="shared" ca="1" si="15"/>
        <v>366459081</v>
      </c>
      <c r="P74" t="str" cm="1">
        <f t="array" aca="1" ref="P74" ca="1">9 &amp; INDEX($AH$3:$AH$6,Y74)&amp; TEXT(RANDBETWEEN(0,9999999),"0000000")</f>
        <v>962572191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4706006415802964</v>
      </c>
      <c r="T74" t="s">
        <v>341</v>
      </c>
      <c r="V74" s="4"/>
      <c r="X74">
        <f ca="1">RANDBETWEEN(2,COUNTA(rua_cod!A:A))</f>
        <v>10</v>
      </c>
      <c r="Y74">
        <f t="shared" ca="1" si="18"/>
        <v>4</v>
      </c>
      <c r="Z74">
        <f t="shared" ca="1" si="19"/>
        <v>3</v>
      </c>
      <c r="AA74">
        <f t="shared" ca="1" si="20"/>
        <v>1951</v>
      </c>
      <c r="AB74">
        <f t="shared" ca="1" si="21"/>
        <v>4</v>
      </c>
      <c r="AC74">
        <f t="shared" ca="1" si="22"/>
        <v>24</v>
      </c>
      <c r="AD74">
        <f t="shared" ca="1" si="23"/>
        <v>69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Francisca Catarina Almeida Gonçalves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Calçada Marquês de Abrantes</v>
      </c>
      <c r="H75" t="str" cm="1">
        <f t="array" aca="1" ref="H75" ca="1">INDEX(rua_cod!$A:$A,Médicos!X75) &amp; "-" &amp; TEXT(RANDBETWEEN(0,999),"000")</f>
        <v>2825-542</v>
      </c>
      <c r="I75" t="str" cm="1">
        <f t="array" aca="1" ref="I75" ca="1">INDEX(rua_cod!$B:$B,Médicos!X75)</f>
        <v>Costa de Caparica</v>
      </c>
      <c r="J75" t="s">
        <v>341</v>
      </c>
      <c r="K75" t="s">
        <v>225</v>
      </c>
      <c r="L75" t="s">
        <v>265</v>
      </c>
      <c r="M75" t="str">
        <f t="shared" ca="1" si="14"/>
        <v>51032821</v>
      </c>
      <c r="N75" t="str">
        <f t="shared" ca="1" si="15"/>
        <v>526861854</v>
      </c>
      <c r="O75" t="str">
        <f t="shared" ca="1" si="15"/>
        <v>810336980</v>
      </c>
      <c r="P75" t="str" cm="1">
        <f t="array" aca="1" ref="P75" ca="1">9 &amp; INDEX($AH$3:$AH$6,Y75)&amp; TEXT(RANDBETWEEN(0,9999999),"0000000")</f>
        <v>963159543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6877724099201060</v>
      </c>
      <c r="T75" t="s">
        <v>341</v>
      </c>
      <c r="V75" s="4"/>
      <c r="X75">
        <f ca="1">RANDBETWEEN(2,COUNTA(rua_cod!A:A))</f>
        <v>27</v>
      </c>
      <c r="Y75">
        <f t="shared" ca="1" si="18"/>
        <v>4</v>
      </c>
      <c r="Z75">
        <f t="shared" ca="1" si="19"/>
        <v>2</v>
      </c>
      <c r="AA75">
        <f t="shared" ca="1" si="20"/>
        <v>1976</v>
      </c>
      <c r="AB75">
        <f t="shared" ca="1" si="21"/>
        <v>7</v>
      </c>
      <c r="AC75">
        <f t="shared" ca="1" si="22"/>
        <v>17</v>
      </c>
      <c r="AD75">
        <f t="shared" ca="1" si="23"/>
        <v>44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Duarte Sofia Antunes Carneiro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Calçada do Poço dos Mouros</v>
      </c>
      <c r="H76" t="str" cm="1">
        <f t="array" aca="1" ref="H76" ca="1">INDEX(rua_cod!$A:$A,Médicos!X76) &amp; "-" &amp; TEXT(RANDBETWEEN(0,999),"000")</f>
        <v>2005-487</v>
      </c>
      <c r="I76" t="str" cm="1">
        <f t="array" aca="1" ref="I76" ca="1">INDEX(rua_cod!$B:$B,Médicos!X76)</f>
        <v>Santarém</v>
      </c>
      <c r="J76" t="s">
        <v>341</v>
      </c>
      <c r="K76" t="s">
        <v>225</v>
      </c>
      <c r="L76" t="s">
        <v>265</v>
      </c>
      <c r="M76" t="str">
        <f t="shared" ca="1" si="14"/>
        <v>83947951</v>
      </c>
      <c r="N76" t="str">
        <f t="shared" ca="1" si="15"/>
        <v>346634776</v>
      </c>
      <c r="O76" t="str">
        <f t="shared" ca="1" si="15"/>
        <v>345015750</v>
      </c>
      <c r="P76" t="str" cm="1">
        <f t="array" aca="1" ref="P76" ca="1">9 &amp; INDEX($AH$3:$AH$6,Y76)&amp; TEXT(RANDBETWEEN(0,9999999),"0000000")</f>
        <v>931858076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3532732034289241</v>
      </c>
      <c r="T76" t="s">
        <v>341</v>
      </c>
      <c r="V76" s="4"/>
      <c r="X76">
        <f ca="1">RANDBETWEEN(2,COUNTA(rua_cod!A:A))</f>
        <v>92</v>
      </c>
      <c r="Y76">
        <f t="shared" ca="1" si="18"/>
        <v>3</v>
      </c>
      <c r="Z76">
        <f t="shared" ca="1" si="19"/>
        <v>2</v>
      </c>
      <c r="AA76">
        <f t="shared" ca="1" si="20"/>
        <v>1950</v>
      </c>
      <c r="AB76">
        <f t="shared" ca="1" si="21"/>
        <v>4</v>
      </c>
      <c r="AC76">
        <f t="shared" ca="1" si="22"/>
        <v>7</v>
      </c>
      <c r="AD76">
        <f t="shared" ca="1" si="23"/>
        <v>70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Ricardo Lara Sá Correia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do Sol a Santana</v>
      </c>
      <c r="H77" t="str" cm="1">
        <f t="array" aca="1" ref="H77" ca="1">INDEX(rua_cod!$A:$A,Médicos!X77) &amp; "-" &amp; TEXT(RANDBETWEEN(0,999),"000")</f>
        <v>2640-784</v>
      </c>
      <c r="I77" t="str" cm="1">
        <f t="array" aca="1" ref="I77" ca="1">INDEX(rua_cod!$B:$B,Médicos!X77)</f>
        <v>Mafra</v>
      </c>
      <c r="J77" t="s">
        <v>341</v>
      </c>
      <c r="K77" t="s">
        <v>225</v>
      </c>
      <c r="L77" t="s">
        <v>265</v>
      </c>
      <c r="M77" t="str">
        <f t="shared" ca="1" si="14"/>
        <v>21131337</v>
      </c>
      <c r="N77" t="str">
        <f t="shared" ca="1" si="15"/>
        <v>321052089</v>
      </c>
      <c r="O77" t="str">
        <f t="shared" ca="1" si="15"/>
        <v>292871718</v>
      </c>
      <c r="P77" t="str" cm="1">
        <f t="array" aca="1" ref="P77" ca="1">9 &amp; INDEX($AH$3:$AH$6,Y77)&amp; TEXT(RANDBETWEEN(0,9999999),"0000000")</f>
        <v>933431869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2750300196070487</v>
      </c>
      <c r="T77" t="s">
        <v>341</v>
      </c>
      <c r="V77" s="4"/>
      <c r="X77">
        <f ca="1">RANDBETWEEN(2,COUNTA(rua_cod!A:A))</f>
        <v>85</v>
      </c>
      <c r="Y77">
        <f t="shared" ca="1" si="18"/>
        <v>3</v>
      </c>
      <c r="Z77">
        <f t="shared" ca="1" si="19"/>
        <v>2</v>
      </c>
      <c r="AA77">
        <f t="shared" ca="1" si="20"/>
        <v>1986</v>
      </c>
      <c r="AB77">
        <f t="shared" ca="1" si="21"/>
        <v>9</v>
      </c>
      <c r="AC77">
        <f t="shared" ca="1" si="22"/>
        <v>30</v>
      </c>
      <c r="AD77">
        <f t="shared" ca="1" si="23"/>
        <v>34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Francisco Matilde Santos Cunha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Rua da Junqueira</v>
      </c>
      <c r="H78" t="str" cm="1">
        <f t="array" aca="1" ref="H78" ca="1">INDEX(rua_cod!$A:$A,Médicos!X78) &amp; "-" &amp; TEXT(RANDBETWEEN(0,999),"000")</f>
        <v>2754-874</v>
      </c>
      <c r="I78" t="str" cm="1">
        <f t="array" aca="1" ref="I78" ca="1">INDEX(rua_cod!$B:$B,Médicos!X78)</f>
        <v>Cascais</v>
      </c>
      <c r="J78" t="s">
        <v>341</v>
      </c>
      <c r="K78" t="s">
        <v>225</v>
      </c>
      <c r="L78" t="s">
        <v>265</v>
      </c>
      <c r="M78" t="str">
        <f t="shared" ca="1" si="14"/>
        <v>22593432</v>
      </c>
      <c r="N78" t="str">
        <f t="shared" ca="1" si="15"/>
        <v>718942571</v>
      </c>
      <c r="O78" t="str">
        <f t="shared" ca="1" si="15"/>
        <v>333882090</v>
      </c>
      <c r="P78" t="str" cm="1">
        <f t="array" aca="1" ref="P78" ca="1">9 &amp; INDEX($AH$3:$AH$6,Y78)&amp; TEXT(RANDBETWEEN(0,9999999),"0000000")</f>
        <v>932732717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2350607167010946</v>
      </c>
      <c r="T78" t="s">
        <v>341</v>
      </c>
      <c r="V78" s="4"/>
      <c r="X78">
        <f ca="1">RANDBETWEEN(2,COUNTA(rua_cod!A:A))</f>
        <v>25</v>
      </c>
      <c r="Y78">
        <f t="shared" ca="1" si="18"/>
        <v>3</v>
      </c>
      <c r="Z78">
        <f t="shared" ca="1" si="19"/>
        <v>3</v>
      </c>
      <c r="AA78">
        <f t="shared" ca="1" si="20"/>
        <v>1989</v>
      </c>
      <c r="AB78">
        <f t="shared" ca="1" si="21"/>
        <v>9</v>
      </c>
      <c r="AC78">
        <f t="shared" ca="1" si="22"/>
        <v>28</v>
      </c>
      <c r="AD78">
        <f t="shared" ca="1" si="23"/>
        <v>31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Sara Marco Rocha Ribeiro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da Madalena</v>
      </c>
      <c r="H79" t="str" cm="1">
        <f t="array" aca="1" ref="H79" ca="1">INDEX(rua_cod!$A:$A,Médicos!X79) &amp; "-" &amp; TEXT(RANDBETWEEN(0,999),"000")</f>
        <v>2650-185</v>
      </c>
      <c r="I79" t="str" cm="1">
        <f t="array" aca="1" ref="I79" ca="1">INDEX(rua_cod!$B:$B,Médicos!X79)</f>
        <v>Amadora</v>
      </c>
      <c r="J79" t="s">
        <v>341</v>
      </c>
      <c r="K79" t="s">
        <v>225</v>
      </c>
      <c r="L79" t="s">
        <v>265</v>
      </c>
      <c r="M79" t="str">
        <f t="shared" ca="1" si="14"/>
        <v>27935081</v>
      </c>
      <c r="N79" t="str">
        <f t="shared" ca="1" si="15"/>
        <v>737703053</v>
      </c>
      <c r="O79" t="str">
        <f t="shared" ca="1" si="15"/>
        <v>316566266</v>
      </c>
      <c r="P79" t="str" cm="1">
        <f t="array" aca="1" ref="P79" ca="1">9 &amp; INDEX($AH$3:$AH$6,Y79)&amp; TEXT(RANDBETWEEN(0,9999999),"0000000")</f>
        <v>926355376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8459167822887956</v>
      </c>
      <c r="T79" t="s">
        <v>341</v>
      </c>
      <c r="V79" s="4"/>
      <c r="X79">
        <f ca="1">RANDBETWEEN(2,COUNTA(rua_cod!A:A))</f>
        <v>9</v>
      </c>
      <c r="Y79">
        <f t="shared" ca="1" si="18"/>
        <v>2</v>
      </c>
      <c r="Z79">
        <f t="shared" ca="1" si="19"/>
        <v>1</v>
      </c>
      <c r="AA79">
        <f t="shared" ca="1" si="20"/>
        <v>1980</v>
      </c>
      <c r="AB79">
        <f t="shared" ca="1" si="21"/>
        <v>5</v>
      </c>
      <c r="AC79">
        <f t="shared" ca="1" si="22"/>
        <v>9</v>
      </c>
      <c r="AD79">
        <f t="shared" ca="1" si="23"/>
        <v>40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Diana Beatriz Barbosa Lourenço</v>
      </c>
      <c r="E80" t="str">
        <f ca="1">Nomes!S81</f>
        <v>Feminino</v>
      </c>
      <c r="F80" s="2">
        <v>35043</v>
      </c>
      <c r="G80" t="str" cm="1">
        <f t="array" aca="1" ref="G80" ca="1">INDEX(rua_cod!$F:$F,RANDBETWEEN(2,COUNTA(rua_cod!F:F)))</f>
        <v>Estrada da Circunvalação de Lisboa</v>
      </c>
      <c r="H80" t="str" cm="1">
        <f t="array" aca="1" ref="H80" ca="1">INDEX(rua_cod!$A:$A,Médicos!X80) &amp; "-" &amp; TEXT(RANDBETWEEN(0,999),"000")</f>
        <v>1069-034</v>
      </c>
      <c r="I80" t="str" cm="1">
        <f t="array" aca="1" ref="I80" ca="1">INDEX(rua_cod!$B:$B,Médicos!X80)</f>
        <v>Lisboa</v>
      </c>
      <c r="J80" t="s">
        <v>341</v>
      </c>
      <c r="K80" t="s">
        <v>225</v>
      </c>
      <c r="L80" t="s">
        <v>265</v>
      </c>
      <c r="M80" t="str">
        <f t="shared" ca="1" si="14"/>
        <v>35670457</v>
      </c>
      <c r="N80" t="str">
        <f t="shared" ca="1" si="15"/>
        <v>627733742</v>
      </c>
      <c r="O80" t="str">
        <f t="shared" ca="1" si="15"/>
        <v>195521481</v>
      </c>
      <c r="P80" t="str" cm="1">
        <f t="array" aca="1" ref="P80" ca="1">9 &amp; INDEX($AH$3:$AH$6,Y80)&amp; TEXT(RANDBETWEEN(0,9999999),"0000000")</f>
        <v>928850904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2513187125776851</v>
      </c>
      <c r="T80" t="s">
        <v>341</v>
      </c>
      <c r="V80" s="4"/>
      <c r="X80">
        <f ca="1">RANDBETWEEN(2,COUNTA(rua_cod!A:A))</f>
        <v>67</v>
      </c>
      <c r="Y80">
        <f t="shared" ca="1" si="18"/>
        <v>2</v>
      </c>
      <c r="Z80">
        <f t="shared" ca="1" si="19"/>
        <v>3</v>
      </c>
      <c r="AA80">
        <f t="shared" ca="1" si="20"/>
        <v>1985</v>
      </c>
      <c r="AB80">
        <f t="shared" ca="1" si="21"/>
        <v>6</v>
      </c>
      <c r="AC80">
        <f t="shared" ca="1" si="22"/>
        <v>10</v>
      </c>
      <c r="AD80">
        <f t="shared" ca="1" si="23"/>
        <v>35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Ricardo Ricardo Ramos Tavares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Rua Júlio César Machado</v>
      </c>
      <c r="H81" t="str" cm="1">
        <f t="array" aca="1" ref="H81" ca="1">INDEX(rua_cod!$A:$A,Médicos!X81) &amp; "-" &amp; TEXT(RANDBETWEEN(0,999),"000")</f>
        <v>1068-642</v>
      </c>
      <c r="I81" t="str" cm="1">
        <f t="array" aca="1" ref="I81" ca="1">INDEX(rua_cod!$B:$B,Médicos!X81)</f>
        <v>Lisboa</v>
      </c>
      <c r="J81" t="s">
        <v>341</v>
      </c>
      <c r="K81" t="s">
        <v>225</v>
      </c>
      <c r="L81" t="s">
        <v>265</v>
      </c>
      <c r="M81" t="str">
        <f t="shared" ca="1" si="14"/>
        <v>73692249</v>
      </c>
      <c r="N81" t="str">
        <f t="shared" ca="1" si="15"/>
        <v>211873901</v>
      </c>
      <c r="O81" t="str">
        <f t="shared" ca="1" si="15"/>
        <v>403528829</v>
      </c>
      <c r="P81" t="str" cm="1">
        <f t="array" aca="1" ref="P81" ca="1">9 &amp; INDEX($AH$3:$AH$6,Y81)&amp; TEXT(RANDBETWEEN(0,9999999),"0000000")</f>
        <v>917172882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7302577516600915</v>
      </c>
      <c r="T81" t="s">
        <v>341</v>
      </c>
      <c r="V81" s="4"/>
      <c r="X81">
        <f ca="1">RANDBETWEEN(2,COUNTA(rua_cod!A:A))</f>
        <v>81</v>
      </c>
      <c r="Y81">
        <f t="shared" ca="1" si="18"/>
        <v>1</v>
      </c>
      <c r="Z81">
        <f t="shared" ca="1" si="19"/>
        <v>3</v>
      </c>
      <c r="AA81">
        <f t="shared" ca="1" si="20"/>
        <v>1966</v>
      </c>
      <c r="AB81">
        <f t="shared" ca="1" si="21"/>
        <v>4</v>
      </c>
      <c r="AC81">
        <f t="shared" ca="1" si="22"/>
        <v>6</v>
      </c>
      <c r="AD81">
        <f t="shared" ca="1" si="23"/>
        <v>54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Daniela Lara Gaspar Pinho</v>
      </c>
      <c r="E82" t="str">
        <f ca="1">Nomes!S83</f>
        <v>Feminino</v>
      </c>
      <c r="F82" s="2">
        <v>12686</v>
      </c>
      <c r="G82" t="str" cm="1">
        <f t="array" aca="1" ref="G82" ca="1">INDEX(rua_cod!$F:$F,RANDBETWEEN(2,COUNTA(rua_cod!F:F)))</f>
        <v>Rua do Sol a Santana</v>
      </c>
      <c r="H82" t="str" cm="1">
        <f t="array" aca="1" ref="H82" ca="1">INDEX(rua_cod!$A:$A,Médicos!X82) &amp; "-" &amp; TEXT(RANDBETWEEN(0,999),"000")</f>
        <v>2720-571</v>
      </c>
      <c r="I82" t="str" cm="1">
        <f t="array" aca="1" ref="I82" ca="1">INDEX(rua_cod!$B:$B,Médicos!X82)</f>
        <v>Amadora</v>
      </c>
      <c r="J82" t="s">
        <v>341</v>
      </c>
      <c r="K82" t="s">
        <v>225</v>
      </c>
      <c r="L82" t="s">
        <v>265</v>
      </c>
      <c r="M82" t="str">
        <f t="shared" ca="1" si="14"/>
        <v>26370586</v>
      </c>
      <c r="N82" t="str">
        <f t="shared" ca="1" si="15"/>
        <v>287049928</v>
      </c>
      <c r="O82" t="str">
        <f t="shared" ca="1" si="15"/>
        <v>141588331</v>
      </c>
      <c r="P82" t="str" cm="1">
        <f t="array" aca="1" ref="P82" ca="1">9 &amp; INDEX($AH$3:$AH$6,Y82)&amp; TEXT(RANDBETWEEN(0,9999999),"0000000")</f>
        <v>937102752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3502630647763872</v>
      </c>
      <c r="T82" t="s">
        <v>341</v>
      </c>
      <c r="V82" s="4"/>
      <c r="X82">
        <f ca="1">RANDBETWEEN(2,COUNTA(rua_cod!A:A))</f>
        <v>8</v>
      </c>
      <c r="Y82">
        <f t="shared" ca="1" si="18"/>
        <v>3</v>
      </c>
      <c r="Z82">
        <f t="shared" ca="1" si="19"/>
        <v>1</v>
      </c>
      <c r="AA82">
        <f t="shared" ca="1" si="20"/>
        <v>1975</v>
      </c>
      <c r="AB82">
        <f t="shared" ca="1" si="21"/>
        <v>8</v>
      </c>
      <c r="AC82">
        <f t="shared" ca="1" si="22"/>
        <v>21</v>
      </c>
      <c r="AD82">
        <f t="shared" ca="1" si="23"/>
        <v>45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Bruno Marco Marques Pacheco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Calçada do Moinho de Vento</v>
      </c>
      <c r="H83" t="str" cm="1">
        <f t="array" aca="1" ref="H83" ca="1">INDEX(rua_cod!$A:$A,Médicos!X83) &amp; "-" &amp; TEXT(RANDBETWEEN(0,999),"000")</f>
        <v>2829-125</v>
      </c>
      <c r="I83" t="str" cm="1">
        <f t="array" aca="1" ref="I83" ca="1">INDEX(rua_cod!$B:$B,Médicos!X83)</f>
        <v>Costa de Caparica</v>
      </c>
      <c r="J83" t="s">
        <v>341</v>
      </c>
      <c r="K83" t="s">
        <v>225</v>
      </c>
      <c r="L83" t="s">
        <v>265</v>
      </c>
      <c r="M83" t="str">
        <f t="shared" ca="1" si="14"/>
        <v>24991159</v>
      </c>
      <c r="N83" t="str">
        <f t="shared" ca="1" si="15"/>
        <v>282660189</v>
      </c>
      <c r="O83" t="str">
        <f t="shared" ca="1" si="15"/>
        <v>770265530</v>
      </c>
      <c r="P83" t="str" cm="1">
        <f t="array" aca="1" ref="P83" ca="1">9 &amp; INDEX($AH$3:$AH$6,Y83)&amp; TEXT(RANDBETWEEN(0,9999999),"0000000")</f>
        <v>937433223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9572908580296588</v>
      </c>
      <c r="T83" t="s">
        <v>341</v>
      </c>
      <c r="V83" s="4"/>
      <c r="X83">
        <f ca="1">RANDBETWEEN(2,COUNTA(rua_cod!A:A))</f>
        <v>28</v>
      </c>
      <c r="Y83">
        <f t="shared" ca="1" si="18"/>
        <v>3</v>
      </c>
      <c r="Z83">
        <f t="shared" ca="1" si="19"/>
        <v>3</v>
      </c>
      <c r="AA83">
        <f t="shared" ca="1" si="20"/>
        <v>1956</v>
      </c>
      <c r="AB83">
        <f t="shared" ca="1" si="21"/>
        <v>12</v>
      </c>
      <c r="AC83">
        <f t="shared" ca="1" si="22"/>
        <v>7</v>
      </c>
      <c r="AD83">
        <f t="shared" ca="1" si="23"/>
        <v>64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Martim Joana Soares Abreu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Rua da Betesga</v>
      </c>
      <c r="H84" t="str" cm="1">
        <f t="array" aca="1" ref="H84" ca="1">INDEX(rua_cod!$A:$A,Médicos!X84) &amp; "-" &amp; TEXT(RANDBETWEEN(0,999),"000")</f>
        <v>2904-013</v>
      </c>
      <c r="I84" t="str" cm="1">
        <f t="array" aca="1" ref="I84" ca="1">INDEX(rua_cod!$B:$B,Médicos!X84)</f>
        <v>Setúbal</v>
      </c>
      <c r="J84" t="s">
        <v>341</v>
      </c>
      <c r="K84" t="s">
        <v>225</v>
      </c>
      <c r="L84" t="s">
        <v>265</v>
      </c>
      <c r="M84" t="str">
        <f t="shared" ca="1" si="14"/>
        <v>77847107</v>
      </c>
      <c r="N84" t="str">
        <f t="shared" ca="1" si="15"/>
        <v>415884015</v>
      </c>
      <c r="O84" t="str">
        <f t="shared" ca="1" si="15"/>
        <v>200112421</v>
      </c>
      <c r="P84" t="str" cm="1">
        <f t="array" aca="1" ref="P84" ca="1">9 &amp; INDEX($AH$3:$AH$6,Y84)&amp; TEXT(RANDBETWEEN(0,9999999),"0000000")</f>
        <v>930970680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5385190805259800</v>
      </c>
      <c r="T84" t="s">
        <v>341</v>
      </c>
      <c r="V84" s="4"/>
      <c r="X84">
        <f ca="1">RANDBETWEEN(2,COUNTA(rua_cod!A:A))</f>
        <v>99</v>
      </c>
      <c r="Y84">
        <f t="shared" ca="1" si="18"/>
        <v>3</v>
      </c>
      <c r="Z84">
        <f t="shared" ca="1" si="19"/>
        <v>3</v>
      </c>
      <c r="AA84">
        <f t="shared" ca="1" si="20"/>
        <v>1963</v>
      </c>
      <c r="AB84">
        <f t="shared" ca="1" si="21"/>
        <v>2</v>
      </c>
      <c r="AC84">
        <f t="shared" ca="1" si="22"/>
        <v>8</v>
      </c>
      <c r="AD84">
        <f t="shared" ca="1" si="23"/>
        <v>57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Pedro Catarina Maia Pinheiro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Travessa de São João da Praça</v>
      </c>
      <c r="H85" t="str" cm="1">
        <f t="array" aca="1" ref="H85" ca="1">INDEX(rua_cod!$A:$A,Médicos!X85) &amp; "-" &amp; TEXT(RANDBETWEEN(0,999),"000")</f>
        <v>1067-155</v>
      </c>
      <c r="I85" t="str" cm="1">
        <f t="array" aca="1" ref="I85" ca="1">INDEX(rua_cod!$B:$B,Médicos!X85)</f>
        <v>Lisboa</v>
      </c>
      <c r="J85" t="s">
        <v>341</v>
      </c>
      <c r="K85" t="s">
        <v>225</v>
      </c>
      <c r="L85" t="s">
        <v>265</v>
      </c>
      <c r="M85" t="str">
        <f t="shared" ca="1" si="14"/>
        <v>79912884</v>
      </c>
      <c r="N85" t="str">
        <f t="shared" ca="1" si="15"/>
        <v>133590061</v>
      </c>
      <c r="O85" t="str">
        <f t="shared" ca="1" si="15"/>
        <v>117742563</v>
      </c>
      <c r="P85" t="str" cm="1">
        <f t="array" aca="1" ref="P85" ca="1">9 &amp; INDEX($AH$3:$AH$6,Y85)&amp; TEXT(RANDBETWEEN(0,9999999),"0000000")</f>
        <v>915250492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5446327711359022</v>
      </c>
      <c r="T85" t="s">
        <v>341</v>
      </c>
      <c r="V85" s="4"/>
      <c r="X85">
        <f ca="1">RANDBETWEEN(2,COUNTA(rua_cod!A:A))</f>
        <v>82</v>
      </c>
      <c r="Y85">
        <f t="shared" ca="1" si="18"/>
        <v>1</v>
      </c>
      <c r="Z85">
        <f t="shared" ca="1" si="19"/>
        <v>3</v>
      </c>
      <c r="AA85">
        <f t="shared" ca="1" si="20"/>
        <v>1984</v>
      </c>
      <c r="AB85">
        <f t="shared" ca="1" si="21"/>
        <v>4</v>
      </c>
      <c r="AC85">
        <f t="shared" ca="1" si="22"/>
        <v>27</v>
      </c>
      <c r="AD85">
        <f t="shared" ca="1" si="23"/>
        <v>36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Leonor Sofia Ramos Simões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Roberto Duarte Silva</v>
      </c>
      <c r="H86" t="str" cm="1">
        <f t="array" aca="1" ref="H86" ca="1">INDEX(rua_cod!$A:$A,Médicos!X86) &amp; "-" &amp; TEXT(RANDBETWEEN(0,999),"000")</f>
        <v>1649-137</v>
      </c>
      <c r="I86" t="str" cm="1">
        <f t="array" aca="1" ref="I86" ca="1">INDEX(rua_cod!$B:$B,Médicos!X86)</f>
        <v>Lisboa</v>
      </c>
      <c r="J86" t="s">
        <v>341</v>
      </c>
      <c r="K86" t="s">
        <v>225</v>
      </c>
      <c r="L86" t="s">
        <v>265</v>
      </c>
      <c r="M86" t="str">
        <f t="shared" ca="1" si="14"/>
        <v>95176854</v>
      </c>
      <c r="N86" t="str">
        <f t="shared" ca="1" si="15"/>
        <v>869710271</v>
      </c>
      <c r="O86" t="str">
        <f t="shared" ca="1" si="15"/>
        <v>765068920</v>
      </c>
      <c r="P86" t="str" cm="1">
        <f t="array" aca="1" ref="P86" ca="1">9 &amp; INDEX($AH$3:$AH$6,Y86)&amp; TEXT(RANDBETWEEN(0,9999999),"0000000")</f>
        <v>937559292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3694948364536629</v>
      </c>
      <c r="T86" t="s">
        <v>341</v>
      </c>
      <c r="V86" s="4"/>
      <c r="X86">
        <f ca="1">RANDBETWEEN(2,COUNTA(rua_cod!A:A))</f>
        <v>68</v>
      </c>
      <c r="Y86">
        <f t="shared" ca="1" si="18"/>
        <v>3</v>
      </c>
      <c r="Z86">
        <f t="shared" ca="1" si="19"/>
        <v>2</v>
      </c>
      <c r="AA86">
        <f t="shared" ca="1" si="20"/>
        <v>1962</v>
      </c>
      <c r="AB86">
        <f t="shared" ca="1" si="21"/>
        <v>3</v>
      </c>
      <c r="AC86">
        <f t="shared" ca="1" si="22"/>
        <v>18</v>
      </c>
      <c r="AD86">
        <f t="shared" ca="1" si="23"/>
        <v>58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Lurdes José Pinto Sá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Augusta</v>
      </c>
      <c r="H87" t="str" cm="1">
        <f t="array" aca="1" ref="H87" ca="1">INDEX(rua_cod!$A:$A,Médicos!X87) &amp; "-" &amp; TEXT(RANDBETWEEN(0,999),"000")</f>
        <v>1999-321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77244698</v>
      </c>
      <c r="N87" t="str">
        <f t="shared" ca="1" si="15"/>
        <v>833265208</v>
      </c>
      <c r="O87" t="str">
        <f t="shared" ca="1" si="15"/>
        <v>876259091</v>
      </c>
      <c r="P87" t="str" cm="1">
        <f t="array" aca="1" ref="P87" ca="1">9 &amp; INDEX($AH$3:$AH$6,Y87)&amp; TEXT(RANDBETWEEN(0,9999999),"0000000")</f>
        <v>926483682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2102436934499557</v>
      </c>
      <c r="T87" t="s">
        <v>341</v>
      </c>
      <c r="V87" s="4"/>
      <c r="X87">
        <f ca="1">RANDBETWEEN(2,COUNTA(rua_cod!A:A))</f>
        <v>79</v>
      </c>
      <c r="Y87">
        <f t="shared" ca="1" si="18"/>
        <v>2</v>
      </c>
      <c r="Z87">
        <f t="shared" ca="1" si="19"/>
        <v>1</v>
      </c>
      <c r="AA87">
        <f t="shared" ca="1" si="20"/>
        <v>1971</v>
      </c>
      <c r="AB87">
        <f t="shared" ca="1" si="21"/>
        <v>2</v>
      </c>
      <c r="AC87">
        <f t="shared" ca="1" si="22"/>
        <v>8</v>
      </c>
      <c r="AD87">
        <f t="shared" ca="1" si="23"/>
        <v>49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Lara Leonor Castro Pereira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Rua da Alfândega</v>
      </c>
      <c r="H88" t="str" cm="1">
        <f t="array" aca="1" ref="H88" ca="1">INDEX(rua_cod!$A:$A,Médicos!X88) &amp; "-" &amp; TEXT(RANDBETWEEN(0,999),"000")</f>
        <v>2655-472</v>
      </c>
      <c r="I88" t="str" cm="1">
        <f t="array" aca="1" ref="I88" ca="1">INDEX(rua_cod!$B:$B,Médicos!X88)</f>
        <v>Ericeira</v>
      </c>
      <c r="J88" t="s">
        <v>341</v>
      </c>
      <c r="K88" t="s">
        <v>225</v>
      </c>
      <c r="L88" t="s">
        <v>265</v>
      </c>
      <c r="M88" t="str">
        <f t="shared" ca="1" si="14"/>
        <v>90361079</v>
      </c>
      <c r="N88" t="str">
        <f t="shared" ca="1" si="15"/>
        <v>384505920</v>
      </c>
      <c r="O88" t="str">
        <f t="shared" ca="1" si="15"/>
        <v>632770848</v>
      </c>
      <c r="P88" t="str" cm="1">
        <f t="array" aca="1" ref="P88" ca="1">9 &amp; INDEX($AH$3:$AH$6,Y88)&amp; TEXT(RANDBETWEEN(0,9999999),"0000000")</f>
        <v>933211840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1165090036619412</v>
      </c>
      <c r="T88" t="s">
        <v>341</v>
      </c>
      <c r="V88" s="4"/>
      <c r="X88">
        <f ca="1">RANDBETWEEN(2,COUNTA(rua_cod!A:A))</f>
        <v>31</v>
      </c>
      <c r="Y88">
        <f t="shared" ca="1" si="18"/>
        <v>3</v>
      </c>
      <c r="Z88">
        <f t="shared" ca="1" si="19"/>
        <v>2</v>
      </c>
      <c r="AA88">
        <f t="shared" ca="1" si="20"/>
        <v>1972</v>
      </c>
      <c r="AB88">
        <f t="shared" ca="1" si="21"/>
        <v>3</v>
      </c>
      <c r="AC88">
        <f t="shared" ca="1" si="22"/>
        <v>26</v>
      </c>
      <c r="AD88">
        <f t="shared" ca="1" si="23"/>
        <v>48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João Bruno Almeida Nunes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do Sol a Santana</v>
      </c>
      <c r="H89" t="str" cm="1">
        <f t="array" aca="1" ref="H89" ca="1">INDEX(rua_cod!$A:$A,Médicos!X89) &amp; "-" &amp; TEXT(RANDBETWEEN(0,999),"000")</f>
        <v>2794-857</v>
      </c>
      <c r="I89" t="str" cm="1">
        <f t="array" aca="1" ref="I89" ca="1">INDEX(rua_cod!$B:$B,Médicos!X89)</f>
        <v>Carnaxide</v>
      </c>
      <c r="J89" t="s">
        <v>341</v>
      </c>
      <c r="K89" t="s">
        <v>225</v>
      </c>
      <c r="L89" t="s">
        <v>265</v>
      </c>
      <c r="M89" t="str">
        <f t="shared" ca="1" si="14"/>
        <v>90672122</v>
      </c>
      <c r="N89" t="str">
        <f t="shared" ca="1" si="15"/>
        <v>696987706</v>
      </c>
      <c r="O89" t="str">
        <f t="shared" ca="1" si="15"/>
        <v>813870186</v>
      </c>
      <c r="P89" t="str" cm="1">
        <f t="array" aca="1" ref="P89" ca="1">9 &amp; INDEX($AH$3:$AH$6,Y89)&amp; TEXT(RANDBETWEEN(0,9999999),"0000000")</f>
        <v>964251588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3369556669831486</v>
      </c>
      <c r="T89" t="s">
        <v>341</v>
      </c>
      <c r="V89" s="4"/>
      <c r="X89">
        <f ca="1">RANDBETWEEN(2,COUNTA(rua_cod!A:A))</f>
        <v>23</v>
      </c>
      <c r="Y89">
        <f t="shared" ca="1" si="18"/>
        <v>4</v>
      </c>
      <c r="Z89">
        <f t="shared" ca="1" si="19"/>
        <v>2</v>
      </c>
      <c r="AA89">
        <f t="shared" ca="1" si="20"/>
        <v>1975</v>
      </c>
      <c r="AB89">
        <f t="shared" ca="1" si="21"/>
        <v>5</v>
      </c>
      <c r="AC89">
        <f t="shared" ca="1" si="22"/>
        <v>9</v>
      </c>
      <c r="AD89">
        <f t="shared" ca="1" si="23"/>
        <v>45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Martim Laura Gonçalves Maia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Travessa de São João da Praça</v>
      </c>
      <c r="H90" t="str" cm="1">
        <f t="array" aca="1" ref="H90" ca="1">INDEX(rua_cod!$A:$A,Médicos!X90) &amp; "-" &amp; TEXT(RANDBETWEEN(0,999),"000")</f>
        <v>2415-299</v>
      </c>
      <c r="I90" t="str" cm="1">
        <f t="array" aca="1" ref="I90" ca="1">INDEX(rua_cod!$B:$B,Médicos!X90)</f>
        <v>Leiria</v>
      </c>
      <c r="J90" t="s">
        <v>341</v>
      </c>
      <c r="K90" t="s">
        <v>225</v>
      </c>
      <c r="L90" t="s">
        <v>265</v>
      </c>
      <c r="M90" t="str">
        <f t="shared" ca="1" si="14"/>
        <v>47745781</v>
      </c>
      <c r="N90" t="str">
        <f t="shared" ca="1" si="15"/>
        <v>299603891</v>
      </c>
      <c r="O90" t="str">
        <f t="shared" ca="1" si="15"/>
        <v>681862618</v>
      </c>
      <c r="P90" t="str" cm="1">
        <f t="array" aca="1" ref="P90" ca="1">9 &amp; INDEX($AH$3:$AH$6,Y90)&amp; TEXT(RANDBETWEEN(0,9999999),"0000000")</f>
        <v>960731127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5804041810298882</v>
      </c>
      <c r="T90" t="s">
        <v>341</v>
      </c>
      <c r="V90" s="4"/>
      <c r="X90">
        <f ca="1">RANDBETWEEN(2,COUNTA(rua_cod!A:A))</f>
        <v>35</v>
      </c>
      <c r="Y90">
        <f t="shared" ca="1" si="18"/>
        <v>4</v>
      </c>
      <c r="Z90">
        <f t="shared" ca="1" si="19"/>
        <v>3</v>
      </c>
      <c r="AA90">
        <f t="shared" ca="1" si="20"/>
        <v>1993</v>
      </c>
      <c r="AB90">
        <f t="shared" ca="1" si="21"/>
        <v>2</v>
      </c>
      <c r="AC90">
        <f t="shared" ca="1" si="22"/>
        <v>9</v>
      </c>
      <c r="AD90">
        <f t="shared" ca="1" si="23"/>
        <v>27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André Vera Lourenço Valente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Estrada da Circunvalação de Lisboa</v>
      </c>
      <c r="H91" t="str" cm="1">
        <f t="array" aca="1" ref="H91" ca="1">INDEX(rua_cod!$A:$A,Médicos!X91) &amp; "-" &amp; TEXT(RANDBETWEEN(0,999),"000")</f>
        <v>2800-321</v>
      </c>
      <c r="I91" t="str" cm="1">
        <f t="array" aca="1" ref="I91" ca="1">INDEX(rua_cod!$B:$B,Médicos!X91)</f>
        <v>Almada</v>
      </c>
      <c r="J91" t="s">
        <v>341</v>
      </c>
      <c r="K91" t="s">
        <v>225</v>
      </c>
      <c r="L91" t="s">
        <v>265</v>
      </c>
      <c r="M91" t="str">
        <f t="shared" ca="1" si="14"/>
        <v>42032073</v>
      </c>
      <c r="N91" t="str">
        <f t="shared" ca="1" si="15"/>
        <v>972317360</v>
      </c>
      <c r="O91" t="str">
        <f t="shared" ca="1" si="15"/>
        <v>236617118</v>
      </c>
      <c r="P91" t="str" cm="1">
        <f t="array" aca="1" ref="P91" ca="1">9 &amp; INDEX($AH$3:$AH$6,Y91)&amp; TEXT(RANDBETWEEN(0,9999999),"0000000")</f>
        <v>913176257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2949881109520770</v>
      </c>
      <c r="T91" t="s">
        <v>341</v>
      </c>
      <c r="V91" s="4"/>
      <c r="X91">
        <f ca="1">RANDBETWEEN(2,COUNTA(rua_cod!A:A))</f>
        <v>2</v>
      </c>
      <c r="Y91">
        <f t="shared" ca="1" si="18"/>
        <v>1</v>
      </c>
      <c r="Z91">
        <f t="shared" ca="1" si="19"/>
        <v>3</v>
      </c>
      <c r="AA91">
        <f t="shared" ca="1" si="20"/>
        <v>1950</v>
      </c>
      <c r="AB91">
        <f t="shared" ca="1" si="21"/>
        <v>7</v>
      </c>
      <c r="AC91">
        <f t="shared" ca="1" si="22"/>
        <v>30</v>
      </c>
      <c r="AD91">
        <f t="shared" ca="1" si="23"/>
        <v>70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Duarte João Ramos Matos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da Betesga</v>
      </c>
      <c r="H92" t="str" cm="1">
        <f t="array" aca="1" ref="H92" ca="1">INDEX(rua_cod!$A:$A,Médicos!X92) &amp; "-" &amp; TEXT(RANDBETWEEN(0,999),"000")</f>
        <v>2805-192</v>
      </c>
      <c r="I92" t="str" cm="1">
        <f t="array" aca="1" ref="I92" ca="1">INDEX(rua_cod!$B:$B,Médicos!X92)</f>
        <v>Almada</v>
      </c>
      <c r="J92" t="s">
        <v>341</v>
      </c>
      <c r="K92" t="s">
        <v>225</v>
      </c>
      <c r="L92" t="s">
        <v>265</v>
      </c>
      <c r="M92" t="str">
        <f t="shared" ca="1" si="14"/>
        <v>61991598</v>
      </c>
      <c r="N92" t="str">
        <f t="shared" ca="1" si="15"/>
        <v>427767052</v>
      </c>
      <c r="O92" t="str">
        <f t="shared" ca="1" si="15"/>
        <v>641732523</v>
      </c>
      <c r="P92" t="str" cm="1">
        <f t="array" aca="1" ref="P92" ca="1">9 &amp; INDEX($AH$3:$AH$6,Y92)&amp; TEXT(RANDBETWEEN(0,9999999),"0000000")</f>
        <v>939049819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4977216763226268</v>
      </c>
      <c r="T92" t="s">
        <v>341</v>
      </c>
      <c r="V92" s="4"/>
      <c r="X92">
        <f ca="1">RANDBETWEEN(2,COUNTA(rua_cod!A:A))</f>
        <v>4</v>
      </c>
      <c r="Y92">
        <f t="shared" ca="1" si="18"/>
        <v>3</v>
      </c>
      <c r="Z92">
        <f t="shared" ca="1" si="19"/>
        <v>2</v>
      </c>
      <c r="AA92">
        <f t="shared" ca="1" si="20"/>
        <v>1969</v>
      </c>
      <c r="AB92">
        <f t="shared" ca="1" si="21"/>
        <v>6</v>
      </c>
      <c r="AC92">
        <f t="shared" ca="1" si="22"/>
        <v>7</v>
      </c>
      <c r="AD92">
        <f t="shared" ca="1" si="23"/>
        <v>51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Francisco Santiago Azevedo Azevedo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Rua do Guarda-Mor</v>
      </c>
      <c r="H93" t="str" cm="1">
        <f t="array" aca="1" ref="H93" ca="1">INDEX(rua_cod!$A:$A,Médicos!X93) &amp; "-" &amp; TEXT(RANDBETWEEN(0,999),"000")</f>
        <v>2410-528</v>
      </c>
      <c r="I93" t="str" cm="1">
        <f t="array" aca="1" ref="I93" ca="1">INDEX(rua_cod!$B:$B,Médicos!X93)</f>
        <v>Leiria</v>
      </c>
      <c r="J93" t="s">
        <v>341</v>
      </c>
      <c r="K93" t="s">
        <v>225</v>
      </c>
      <c r="L93" t="s">
        <v>265</v>
      </c>
      <c r="M93" t="str">
        <f t="shared" ca="1" si="14"/>
        <v>89822495</v>
      </c>
      <c r="N93" t="str">
        <f t="shared" ca="1" si="15"/>
        <v>370148023</v>
      </c>
      <c r="O93" t="str">
        <f t="shared" ca="1" si="15"/>
        <v>783977038</v>
      </c>
      <c r="P93" t="str" cm="1">
        <f t="array" aca="1" ref="P93" ca="1">9 &amp; INDEX($AH$3:$AH$6,Y93)&amp; TEXT(RANDBETWEEN(0,9999999),"0000000")</f>
        <v>939833269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6501201754488856</v>
      </c>
      <c r="T93" t="s">
        <v>341</v>
      </c>
      <c r="V93" s="4"/>
      <c r="X93">
        <f ca="1">RANDBETWEEN(2,COUNTA(rua_cod!A:A))</f>
        <v>34</v>
      </c>
      <c r="Y93">
        <f t="shared" ca="1" si="18"/>
        <v>3</v>
      </c>
      <c r="Z93">
        <f t="shared" ca="1" si="19"/>
        <v>2</v>
      </c>
      <c r="AA93">
        <f t="shared" ca="1" si="20"/>
        <v>1967</v>
      </c>
      <c r="AB93">
        <f t="shared" ca="1" si="21"/>
        <v>6</v>
      </c>
      <c r="AC93">
        <f t="shared" ca="1" si="22"/>
        <v>12</v>
      </c>
      <c r="AD93">
        <f t="shared" ca="1" si="23"/>
        <v>53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Beatriz Tomás Correia Lopes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do Salitre</v>
      </c>
      <c r="H94" t="str" cm="1">
        <f t="array" aca="1" ref="H94" ca="1">INDEX(rua_cod!$A:$A,Médicos!X94) &amp; "-" &amp; TEXT(RANDBETWEEN(0,999),"000")</f>
        <v>1269-190</v>
      </c>
      <c r="I94" t="str" cm="1">
        <f t="array" aca="1" ref="I94" ca="1">INDEX(rua_cod!$B:$B,Médicos!X94)</f>
        <v>Lisboa</v>
      </c>
      <c r="J94" t="s">
        <v>341</v>
      </c>
      <c r="K94" t="s">
        <v>225</v>
      </c>
      <c r="L94" t="s">
        <v>265</v>
      </c>
      <c r="M94" t="str">
        <f t="shared" ca="1" si="14"/>
        <v>42080661</v>
      </c>
      <c r="N94" t="str">
        <f t="shared" ca="1" si="15"/>
        <v>275117346</v>
      </c>
      <c r="O94" t="str">
        <f t="shared" ca="1" si="15"/>
        <v>129703280</v>
      </c>
      <c r="P94" t="str" cm="1">
        <f t="array" aca="1" ref="P94" ca="1">9 &amp; INDEX($AH$3:$AH$6,Y94)&amp; TEXT(RANDBETWEEN(0,9999999),"0000000")</f>
        <v>962169781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7289956955651127</v>
      </c>
      <c r="T94" t="s">
        <v>341</v>
      </c>
      <c r="V94" s="4"/>
      <c r="X94">
        <f ca="1">RANDBETWEEN(2,COUNTA(rua_cod!A:A))</f>
        <v>52</v>
      </c>
      <c r="Y94">
        <f t="shared" ca="1" si="18"/>
        <v>4</v>
      </c>
      <c r="Z94">
        <f t="shared" ca="1" si="19"/>
        <v>1</v>
      </c>
      <c r="AA94">
        <f t="shared" ca="1" si="20"/>
        <v>1993</v>
      </c>
      <c r="AB94">
        <f t="shared" ca="1" si="21"/>
        <v>10</v>
      </c>
      <c r="AC94">
        <f t="shared" ca="1" si="22"/>
        <v>25</v>
      </c>
      <c r="AD94">
        <f t="shared" ca="1" si="23"/>
        <v>27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Matilde Beatriz Gomes Pacheco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Calçada do Moinho de Vento</v>
      </c>
      <c r="H95" t="str" cm="1">
        <f t="array" aca="1" ref="H95" ca="1">INDEX(rua_cod!$A:$A,Médicos!X95) &amp; "-" &amp; TEXT(RANDBETWEEN(0,999),"000")</f>
        <v>1300-073</v>
      </c>
      <c r="I95" t="str" cm="1">
        <f t="array" aca="1" ref="I95" ca="1">INDEX(rua_cod!$B:$B,Médicos!X95)</f>
        <v>Lisboa</v>
      </c>
      <c r="J95" t="s">
        <v>341</v>
      </c>
      <c r="K95" t="s">
        <v>225</v>
      </c>
      <c r="L95" t="s">
        <v>265</v>
      </c>
      <c r="M95" t="str">
        <f t="shared" ca="1" si="14"/>
        <v>68268164</v>
      </c>
      <c r="N95" t="str">
        <f t="shared" ca="1" si="15"/>
        <v>149868369</v>
      </c>
      <c r="O95" t="str">
        <f t="shared" ca="1" si="15"/>
        <v>233915734</v>
      </c>
      <c r="P95" t="str" cm="1">
        <f t="array" aca="1" ref="P95" ca="1">9 &amp; INDEX($AH$3:$AH$6,Y95)&amp; TEXT(RANDBETWEEN(0,9999999),"0000000")</f>
        <v>927657594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8504860745285811</v>
      </c>
      <c r="T95" t="s">
        <v>341</v>
      </c>
      <c r="V95" s="4"/>
      <c r="X95">
        <f ca="1">RANDBETWEEN(2,COUNTA(rua_cod!A:A))</f>
        <v>58</v>
      </c>
      <c r="Y95">
        <f t="shared" ca="1" si="18"/>
        <v>2</v>
      </c>
      <c r="Z95">
        <f t="shared" ca="1" si="19"/>
        <v>1</v>
      </c>
      <c r="AA95">
        <f t="shared" ca="1" si="20"/>
        <v>1985</v>
      </c>
      <c r="AB95">
        <f t="shared" ca="1" si="21"/>
        <v>1</v>
      </c>
      <c r="AC95">
        <f t="shared" ca="1" si="22"/>
        <v>17</v>
      </c>
      <c r="AD95">
        <f t="shared" ca="1" si="23"/>
        <v>35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Lurdes Joana Ribeiro Vaz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da Madalena</v>
      </c>
      <c r="H96" t="str" cm="1">
        <f t="array" aca="1" ref="H96" ca="1">INDEX(rua_cod!$A:$A,Médicos!X96) &amp; "-" &amp; TEXT(RANDBETWEEN(0,999),"000")</f>
        <v>2779-325</v>
      </c>
      <c r="I96" t="str" cm="1">
        <f t="array" aca="1" ref="I96" ca="1">INDEX(rua_cod!$B:$B,Médicos!X96)</f>
        <v>Carcavelos</v>
      </c>
      <c r="J96" t="s">
        <v>341</v>
      </c>
      <c r="K96" t="s">
        <v>225</v>
      </c>
      <c r="L96" t="s">
        <v>265</v>
      </c>
      <c r="M96" t="str">
        <f t="shared" ca="1" si="14"/>
        <v>95971491</v>
      </c>
      <c r="N96" t="str">
        <f t="shared" ca="1" si="15"/>
        <v>414686639</v>
      </c>
      <c r="O96" t="str">
        <f t="shared" ca="1" si="15"/>
        <v>926514999</v>
      </c>
      <c r="P96" t="str" cm="1">
        <f t="array" aca="1" ref="P96" ca="1">9 &amp; INDEX($AH$3:$AH$6,Y96)&amp; TEXT(RANDBETWEEN(0,9999999),"0000000")</f>
        <v>939778541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3960235751925760</v>
      </c>
      <c r="T96" t="s">
        <v>341</v>
      </c>
      <c r="V96" s="4"/>
      <c r="X96">
        <f ca="1">RANDBETWEEN(2,COUNTA(rua_cod!A:A))</f>
        <v>21</v>
      </c>
      <c r="Y96">
        <f t="shared" ca="1" si="18"/>
        <v>3</v>
      </c>
      <c r="Z96">
        <f t="shared" ca="1" si="19"/>
        <v>2</v>
      </c>
      <c r="AA96">
        <f t="shared" ca="1" si="20"/>
        <v>1979</v>
      </c>
      <c r="AB96">
        <f t="shared" ca="1" si="21"/>
        <v>12</v>
      </c>
      <c r="AC96">
        <f t="shared" ca="1" si="22"/>
        <v>5</v>
      </c>
      <c r="AD96">
        <f t="shared" ca="1" si="23"/>
        <v>41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Leonor Tomás Ramos Pereira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General Morais Sarmento</v>
      </c>
      <c r="H97" t="str" cm="1">
        <f t="array" aca="1" ref="H97" ca="1">INDEX(rua_cod!$A:$A,Médicos!X97) &amp; "-" &amp; TEXT(RANDBETWEEN(0,999),"000")</f>
        <v>2423-821</v>
      </c>
      <c r="I97" t="str" cm="1">
        <f t="array" aca="1" ref="I97" ca="1">INDEX(rua_cod!$B:$B,Médicos!X97)</f>
        <v>Leiria</v>
      </c>
      <c r="J97" t="s">
        <v>341</v>
      </c>
      <c r="K97" t="s">
        <v>225</v>
      </c>
      <c r="L97" t="s">
        <v>265</v>
      </c>
      <c r="M97" t="str">
        <f t="shared" ca="1" si="14"/>
        <v>46915590</v>
      </c>
      <c r="N97" t="str">
        <f t="shared" ca="1" si="15"/>
        <v>236193285</v>
      </c>
      <c r="O97" t="str">
        <f t="shared" ca="1" si="15"/>
        <v>922742317</v>
      </c>
      <c r="P97" t="str" cm="1">
        <f t="array" aca="1" ref="P97" ca="1">9 &amp; INDEX($AH$3:$AH$6,Y97)&amp; TEXT(RANDBETWEEN(0,9999999),"0000000")</f>
        <v>932338947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2040424349339239</v>
      </c>
      <c r="T97" t="s">
        <v>341</v>
      </c>
      <c r="V97" s="4"/>
      <c r="X97">
        <f ca="1">RANDBETWEEN(2,COUNTA(rua_cod!A:A))</f>
        <v>38</v>
      </c>
      <c r="Y97">
        <f t="shared" ca="1" si="18"/>
        <v>3</v>
      </c>
      <c r="Z97">
        <f t="shared" ca="1" si="19"/>
        <v>3</v>
      </c>
      <c r="AA97">
        <f t="shared" ca="1" si="20"/>
        <v>1971</v>
      </c>
      <c r="AB97">
        <f t="shared" ca="1" si="21"/>
        <v>5</v>
      </c>
      <c r="AC97">
        <f t="shared" ca="1" si="22"/>
        <v>25</v>
      </c>
      <c r="AD97">
        <f t="shared" ca="1" si="23"/>
        <v>49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Duarte Lara Neto Borges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Rua da Alfândega</v>
      </c>
      <c r="H98" t="str" cm="1">
        <f t="array" aca="1" ref="H98" ca="1">INDEX(rua_cod!$A:$A,Médicos!X98) &amp; "-" &amp; TEXT(RANDBETWEEN(0,999),"000")</f>
        <v>2009-362</v>
      </c>
      <c r="I98" t="str" cm="1">
        <f t="array" aca="1" ref="I98" ca="1">INDEX(rua_cod!$B:$B,Médicos!X98)</f>
        <v>Santarém</v>
      </c>
      <c r="J98" t="s">
        <v>341</v>
      </c>
      <c r="K98" t="s">
        <v>225</v>
      </c>
      <c r="L98" t="s">
        <v>265</v>
      </c>
      <c r="M98" t="str">
        <f t="shared" ca="1" si="14"/>
        <v>41253343</v>
      </c>
      <c r="N98" t="str">
        <f t="shared" ca="1" si="15"/>
        <v>386231730</v>
      </c>
      <c r="O98" t="str">
        <f t="shared" ca="1" si="15"/>
        <v>414582550</v>
      </c>
      <c r="P98" t="str" cm="1">
        <f t="array" aca="1" ref="P98" ca="1">9 &amp; INDEX($AH$3:$AH$6,Y98)&amp; TEXT(RANDBETWEEN(0,9999999),"0000000")</f>
        <v>911715730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2515801851717019</v>
      </c>
      <c r="T98" t="s">
        <v>341</v>
      </c>
      <c r="V98" s="4"/>
      <c r="X98">
        <f ca="1">RANDBETWEEN(2,COUNTA(rua_cod!A:A))</f>
        <v>95</v>
      </c>
      <c r="Y98">
        <f t="shared" ca="1" si="18"/>
        <v>1</v>
      </c>
      <c r="Z98">
        <f t="shared" ca="1" si="19"/>
        <v>3</v>
      </c>
      <c r="AA98">
        <f t="shared" ca="1" si="20"/>
        <v>1952</v>
      </c>
      <c r="AB98">
        <f t="shared" ca="1" si="21"/>
        <v>12</v>
      </c>
      <c r="AC98">
        <f t="shared" ca="1" si="22"/>
        <v>13</v>
      </c>
      <c r="AD98">
        <f t="shared" ca="1" si="23"/>
        <v>68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Lurdes Lurdes Oliveira Moura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de São Mamede</v>
      </c>
      <c r="H99" t="str" cm="1">
        <f t="array" aca="1" ref="H99" ca="1">INDEX(rua_cod!$A:$A,Médicos!X99) &amp; "-" &amp; TEXT(RANDBETWEEN(0,999),"000")</f>
        <v>1000-051</v>
      </c>
      <c r="I99" t="str" cm="1">
        <f t="array" aca="1" ref="I99" ca="1">INDEX(rua_cod!$B:$B,Médicos!X99)</f>
        <v>Lisboa</v>
      </c>
      <c r="J99" t="s">
        <v>341</v>
      </c>
      <c r="K99" t="s">
        <v>225</v>
      </c>
      <c r="L99" t="s">
        <v>265</v>
      </c>
      <c r="M99" t="str">
        <f t="shared" ca="1" si="14"/>
        <v>28495440</v>
      </c>
      <c r="N99" t="str">
        <f t="shared" ca="1" si="15"/>
        <v>666666384</v>
      </c>
      <c r="O99" t="str">
        <f t="shared" ca="1" si="15"/>
        <v>249119857</v>
      </c>
      <c r="P99" t="str" cm="1">
        <f t="array" aca="1" ref="P99" ca="1">9 &amp; INDEX($AH$3:$AH$6,Y99)&amp; TEXT(RANDBETWEEN(0,9999999),"0000000")</f>
        <v>910527446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8718409384619668</v>
      </c>
      <c r="T99" t="s">
        <v>341</v>
      </c>
      <c r="V99" s="4"/>
      <c r="X99">
        <f ca="1">RANDBETWEEN(2,COUNTA(rua_cod!A:A))</f>
        <v>62</v>
      </c>
      <c r="Y99">
        <f t="shared" ca="1" si="18"/>
        <v>1</v>
      </c>
      <c r="Z99">
        <f t="shared" ca="1" si="19"/>
        <v>3</v>
      </c>
      <c r="AA99">
        <f t="shared" ca="1" si="20"/>
        <v>1953</v>
      </c>
      <c r="AB99">
        <f t="shared" ca="1" si="21"/>
        <v>3</v>
      </c>
      <c r="AC99">
        <f t="shared" ca="1" si="22"/>
        <v>30</v>
      </c>
      <c r="AD99">
        <f t="shared" ca="1" si="23"/>
        <v>67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Matilde Diogo Pinto Ribeiro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Garrett</v>
      </c>
      <c r="H100" t="str" cm="1">
        <f t="array" aca="1" ref="H100" ca="1">INDEX(rua_cod!$A:$A,Médicos!X100) &amp; "-" &amp; TEXT(RANDBETWEEN(0,999),"000")</f>
        <v>2644-410</v>
      </c>
      <c r="I100" t="str" cm="1">
        <f t="array" aca="1" ref="I100" ca="1">INDEX(rua_cod!$B:$B,Médicos!X100)</f>
        <v>Mafra</v>
      </c>
      <c r="J100" t="s">
        <v>341</v>
      </c>
      <c r="K100" t="s">
        <v>225</v>
      </c>
      <c r="L100" t="s">
        <v>265</v>
      </c>
      <c r="M100" t="str">
        <f t="shared" ca="1" si="14"/>
        <v>62236271</v>
      </c>
      <c r="N100" t="str">
        <f t="shared" ca="1" si="15"/>
        <v>483366478</v>
      </c>
      <c r="O100" t="str">
        <f t="shared" ca="1" si="15"/>
        <v>410079951</v>
      </c>
      <c r="P100" t="str" cm="1">
        <f t="array" aca="1" ref="P100" ca="1">9 &amp; INDEX($AH$3:$AH$6,Y100)&amp; TEXT(RANDBETWEEN(0,9999999),"0000000")</f>
        <v>962401557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8637316753585993</v>
      </c>
      <c r="T100" t="s">
        <v>341</v>
      </c>
      <c r="V100" s="4"/>
      <c r="X100">
        <f ca="1">RANDBETWEEN(2,COUNTA(rua_cod!A:A))</f>
        <v>86</v>
      </c>
      <c r="Y100">
        <f t="shared" ca="1" si="18"/>
        <v>4</v>
      </c>
      <c r="Z100">
        <f t="shared" ca="1" si="19"/>
        <v>3</v>
      </c>
      <c r="AA100">
        <f t="shared" ca="1" si="20"/>
        <v>1991</v>
      </c>
      <c r="AB100">
        <f t="shared" ca="1" si="21"/>
        <v>7</v>
      </c>
      <c r="AC100">
        <f t="shared" ca="1" si="22"/>
        <v>23</v>
      </c>
      <c r="AD100">
        <f t="shared" ca="1" si="23"/>
        <v>29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João Maria Valente Cardoso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Travessa de São João da Praça</v>
      </c>
      <c r="H101" t="str" cm="1">
        <f t="array" aca="1" ref="H101" ca="1">INDEX(rua_cod!$A:$A,Médicos!X101) &amp; "-" &amp; TEXT(RANDBETWEEN(0,999),"000")</f>
        <v>1769-681</v>
      </c>
      <c r="I101" t="str" cm="1">
        <f t="array" aca="1" ref="I101" ca="1">INDEX(rua_cod!$B:$B,Médicos!X101)</f>
        <v>Lisboa</v>
      </c>
      <c r="J101" t="s">
        <v>341</v>
      </c>
      <c r="K101" t="s">
        <v>225</v>
      </c>
      <c r="L101" t="s">
        <v>265</v>
      </c>
      <c r="M101" t="str">
        <f t="shared" ca="1" si="14"/>
        <v>45130397</v>
      </c>
      <c r="N101" t="str">
        <f t="shared" ca="1" si="15"/>
        <v>202105650</v>
      </c>
      <c r="O101" t="str">
        <f t="shared" ca="1" si="15"/>
        <v>500014572</v>
      </c>
      <c r="P101" t="str" cm="1">
        <f t="array" aca="1" ref="P101" ca="1">9 &amp; INDEX($AH$3:$AH$6,Y101)&amp; TEXT(RANDBETWEEN(0,9999999),"0000000")</f>
        <v>937353736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7747956851126829</v>
      </c>
      <c r="T101" t="s">
        <v>341</v>
      </c>
      <c r="V101" s="4"/>
      <c r="X101">
        <f ca="1">RANDBETWEEN(2,COUNTA(rua_cod!A:A))</f>
        <v>74</v>
      </c>
      <c r="Y101">
        <f t="shared" ca="1" si="18"/>
        <v>3</v>
      </c>
      <c r="Z101">
        <f t="shared" ca="1" si="19"/>
        <v>3</v>
      </c>
      <c r="AA101">
        <f t="shared" ca="1" si="20"/>
        <v>1979</v>
      </c>
      <c r="AB101">
        <f t="shared" ca="1" si="21"/>
        <v>1</v>
      </c>
      <c r="AC101">
        <f t="shared" ca="1" si="22"/>
        <v>24</v>
      </c>
      <c r="AD101">
        <f t="shared" ca="1" si="23"/>
        <v>41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Luís Tomás Rocha Marques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Garrett</v>
      </c>
      <c r="H102" t="str" cm="1">
        <f t="array" aca="1" ref="H102" ca="1">INDEX(rua_cod!$A:$A,Médicos!X102) &amp; "-" &amp; TEXT(RANDBETWEEN(0,999),"000")</f>
        <v>2654-816</v>
      </c>
      <c r="I102" t="str" cm="1">
        <f t="array" aca="1" ref="I102" ca="1">INDEX(rua_cod!$B:$B,Médicos!X102)</f>
        <v>Amadora</v>
      </c>
      <c r="J102" t="s">
        <v>341</v>
      </c>
      <c r="K102" t="s">
        <v>225</v>
      </c>
      <c r="L102" t="s">
        <v>265</v>
      </c>
      <c r="M102" t="str">
        <f t="shared" ca="1" si="14"/>
        <v>31207813</v>
      </c>
      <c r="N102" t="str">
        <f t="shared" ca="1" si="15"/>
        <v>581628789</v>
      </c>
      <c r="O102" t="str">
        <f t="shared" ca="1" si="15"/>
        <v>909835275</v>
      </c>
      <c r="P102" t="str" cm="1">
        <f t="array" aca="1" ref="P102" ca="1">9 &amp; INDEX($AH$3:$AH$6,Y102)&amp; TEXT(RANDBETWEEN(0,9999999),"0000000")</f>
        <v>935407581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7673826255582097</v>
      </c>
      <c r="T102" t="s">
        <v>341</v>
      </c>
      <c r="V102" s="4"/>
      <c r="X102">
        <f ca="1">RANDBETWEEN(2,COUNTA(rua_cod!A:A))</f>
        <v>14</v>
      </c>
      <c r="Y102">
        <f t="shared" ca="1" si="18"/>
        <v>3</v>
      </c>
      <c r="Z102">
        <f t="shared" ca="1" si="19"/>
        <v>3</v>
      </c>
      <c r="AA102">
        <f t="shared" ca="1" si="20"/>
        <v>1959</v>
      </c>
      <c r="AB102">
        <f t="shared" ca="1" si="21"/>
        <v>6</v>
      </c>
      <c r="AC102">
        <f t="shared" ca="1" si="22"/>
        <v>26</v>
      </c>
      <c r="AD102">
        <f t="shared" ca="1" si="23"/>
        <v>61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Inês Joaquim Morais Anjos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dos Heróis de Quionga</v>
      </c>
      <c r="H103" t="str" cm="1">
        <f t="array" aca="1" ref="H103" ca="1">INDEX(rua_cod!$A:$A,Médicos!X103) &amp; "-" &amp; TEXT(RANDBETWEEN(0,999),"000")</f>
        <v>2870-501</v>
      </c>
      <c r="I103" t="str" cm="1">
        <f t="array" aca="1" ref="I103" ca="1">INDEX(rua_cod!$B:$B,Médicos!X103)</f>
        <v>Montijo</v>
      </c>
      <c r="J103" t="s">
        <v>341</v>
      </c>
      <c r="K103" t="s">
        <v>225</v>
      </c>
      <c r="L103" t="s">
        <v>265</v>
      </c>
      <c r="M103" t="str">
        <f t="shared" ca="1" si="14"/>
        <v>36976641</v>
      </c>
      <c r="N103" t="str">
        <f t="shared" ca="1" si="15"/>
        <v>221658507</v>
      </c>
      <c r="O103" t="str">
        <f t="shared" ca="1" si="15"/>
        <v>352343793</v>
      </c>
      <c r="P103" t="str" cm="1">
        <f t="array" aca="1" ref="P103" ca="1">9 &amp; INDEX($AH$3:$AH$6,Y103)&amp; TEXT(RANDBETWEEN(0,9999999),"0000000")</f>
        <v>963647118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5777117016582217</v>
      </c>
      <c r="T103" t="s">
        <v>341</v>
      </c>
      <c r="V103" s="4"/>
      <c r="X103">
        <f ca="1">RANDBETWEEN(2,COUNTA(rua_cod!A:A))</f>
        <v>87</v>
      </c>
      <c r="Y103">
        <f t="shared" ca="1" si="18"/>
        <v>4</v>
      </c>
      <c r="Z103">
        <f t="shared" ca="1" si="19"/>
        <v>1</v>
      </c>
      <c r="AA103">
        <f t="shared" ca="1" si="20"/>
        <v>1970</v>
      </c>
      <c r="AB103">
        <f t="shared" ca="1" si="21"/>
        <v>6</v>
      </c>
      <c r="AC103">
        <f t="shared" ca="1" si="22"/>
        <v>6</v>
      </c>
      <c r="AD103">
        <f t="shared" ca="1" si="23"/>
        <v>50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Diana Daniela Mota Assunção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Nova do Almada</v>
      </c>
      <c r="H104" t="str" cm="1">
        <f t="array" aca="1" ref="H104" ca="1">INDEX(rua_cod!$A:$A,Médicos!X104) &amp; "-" &amp; TEXT(RANDBETWEEN(0,999),"000")</f>
        <v>2710-370</v>
      </c>
      <c r="I104" t="str" cm="1">
        <f t="array" aca="1" ref="I104" ca="1">INDEX(rua_cod!$B:$B,Médicos!X104)</f>
        <v>Sintra</v>
      </c>
      <c r="J104" t="s">
        <v>341</v>
      </c>
      <c r="K104" t="s">
        <v>225</v>
      </c>
      <c r="L104" t="s">
        <v>265</v>
      </c>
      <c r="M104" t="str">
        <f t="shared" ca="1" si="14"/>
        <v>49076936</v>
      </c>
      <c r="N104" t="str">
        <f t="shared" ca="1" si="15"/>
        <v>221996375</v>
      </c>
      <c r="O104" t="str">
        <f t="shared" ca="1" si="15"/>
        <v>332280300</v>
      </c>
      <c r="P104" t="str" cm="1">
        <f t="array" aca="1" ref="P104" ca="1">9 &amp; INDEX($AH$3:$AH$6,Y104)&amp; TEXT(RANDBETWEEN(0,9999999),"0000000")</f>
        <v>935873035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3384858113808116</v>
      </c>
      <c r="T104" t="s">
        <v>341</v>
      </c>
      <c r="V104" s="4"/>
      <c r="X104">
        <f ca="1">RANDBETWEEN(2,COUNTA(rua_cod!A:A))</f>
        <v>100</v>
      </c>
      <c r="Y104">
        <f t="shared" ca="1" si="18"/>
        <v>3</v>
      </c>
      <c r="Z104">
        <f t="shared" ca="1" si="19"/>
        <v>2</v>
      </c>
      <c r="AA104">
        <f t="shared" ca="1" si="20"/>
        <v>1982</v>
      </c>
      <c r="AB104">
        <f t="shared" ca="1" si="21"/>
        <v>10</v>
      </c>
      <c r="AC104">
        <f t="shared" ca="1" si="22"/>
        <v>3</v>
      </c>
      <c r="AD104">
        <f t="shared" ca="1" si="23"/>
        <v>38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Diogo Marco Leite Gaspar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Roberto Duarte Silva</v>
      </c>
      <c r="H105" t="str" cm="1">
        <f t="array" aca="1" ref="H105" ca="1">INDEX(rua_cod!$A:$A,Médicos!X105) &amp; "-" &amp; TEXT(RANDBETWEEN(0,999),"000")</f>
        <v>1100-530</v>
      </c>
      <c r="I105" t="str" cm="1">
        <f t="array" aca="1" ref="I105" ca="1">INDEX(rua_cod!$B:$B,Médicos!X105)</f>
        <v>Lisboa</v>
      </c>
      <c r="J105" t="s">
        <v>341</v>
      </c>
      <c r="K105" t="s">
        <v>225</v>
      </c>
      <c r="L105" t="s">
        <v>265</v>
      </c>
      <c r="M105" t="str">
        <f t="shared" ca="1" si="14"/>
        <v>62136743</v>
      </c>
      <c r="N105" t="str">
        <f t="shared" ca="1" si="15"/>
        <v>314196970</v>
      </c>
      <c r="O105" t="str">
        <f t="shared" ca="1" si="15"/>
        <v>414694794</v>
      </c>
      <c r="P105" t="str" cm="1">
        <f t="array" aca="1" ref="P105" ca="1">9 &amp; INDEX($AH$3:$AH$6,Y105)&amp; TEXT(RANDBETWEEN(0,9999999),"0000000")</f>
        <v>910886092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5405729149920846</v>
      </c>
      <c r="T105" t="s">
        <v>341</v>
      </c>
      <c r="V105" s="4"/>
      <c r="X105">
        <f ca="1">RANDBETWEEN(2,COUNTA(rua_cod!A:A))</f>
        <v>46</v>
      </c>
      <c r="Y105">
        <f t="shared" ca="1" si="18"/>
        <v>1</v>
      </c>
      <c r="Z105">
        <f t="shared" ca="1" si="19"/>
        <v>3</v>
      </c>
      <c r="AA105">
        <f t="shared" ca="1" si="20"/>
        <v>1960</v>
      </c>
      <c r="AB105">
        <f t="shared" ca="1" si="21"/>
        <v>6</v>
      </c>
      <c r="AC105">
        <f t="shared" ca="1" si="22"/>
        <v>24</v>
      </c>
      <c r="AD105">
        <f t="shared" ca="1" si="23"/>
        <v>60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Daniela Lara Santos Branco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Júlio César Machado</v>
      </c>
      <c r="H106" t="str" cm="1">
        <f t="array" aca="1" ref="H106" ca="1">INDEX(rua_cod!$A:$A,Médicos!X106) &amp; "-" &amp; TEXT(RANDBETWEEN(0,999),"000")</f>
        <v>2415-481</v>
      </c>
      <c r="I106" t="str" cm="1">
        <f t="array" aca="1" ref="I106" ca="1">INDEX(rua_cod!$B:$B,Médicos!X106)</f>
        <v>Leiria</v>
      </c>
      <c r="J106" t="s">
        <v>341</v>
      </c>
      <c r="K106" t="s">
        <v>225</v>
      </c>
      <c r="L106" t="s">
        <v>265</v>
      </c>
      <c r="M106" t="str">
        <f t="shared" ca="1" si="14"/>
        <v>77941413</v>
      </c>
      <c r="N106" t="str">
        <f t="shared" ca="1" si="15"/>
        <v>371931342</v>
      </c>
      <c r="O106" t="str">
        <f t="shared" ca="1" si="15"/>
        <v>646621320</v>
      </c>
      <c r="P106" t="str" cm="1">
        <f t="array" aca="1" ref="P106" ca="1">9 &amp; INDEX($AH$3:$AH$6,Y106)&amp; TEXT(RANDBETWEEN(0,9999999),"0000000")</f>
        <v>929704007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2733352247431836</v>
      </c>
      <c r="T106" t="s">
        <v>341</v>
      </c>
      <c r="V106" s="4"/>
      <c r="X106">
        <f ca="1">RANDBETWEEN(2,COUNTA(rua_cod!A:A))</f>
        <v>35</v>
      </c>
      <c r="Y106">
        <f t="shared" ca="1" si="18"/>
        <v>2</v>
      </c>
      <c r="Z106">
        <f t="shared" ca="1" si="19"/>
        <v>3</v>
      </c>
      <c r="AA106">
        <f t="shared" ca="1" si="20"/>
        <v>1952</v>
      </c>
      <c r="AB106">
        <f t="shared" ca="1" si="21"/>
        <v>12</v>
      </c>
      <c r="AC106">
        <f t="shared" ca="1" si="22"/>
        <v>26</v>
      </c>
      <c r="AD106">
        <f t="shared" ca="1" si="23"/>
        <v>68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Bruno Francisco Fonseca Campos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Rua dos Heróis de Quionga</v>
      </c>
      <c r="H107" t="str" cm="1">
        <f t="array" aca="1" ref="H107" ca="1">INDEX(rua_cod!$A:$A,Médicos!X107) &amp; "-" &amp; TEXT(RANDBETWEEN(0,999),"000")</f>
        <v>2644-511</v>
      </c>
      <c r="I107" t="str" cm="1">
        <f t="array" aca="1" ref="I107" ca="1">INDEX(rua_cod!$B:$B,Médicos!X107)</f>
        <v>Mafra</v>
      </c>
      <c r="J107" t="s">
        <v>341</v>
      </c>
      <c r="K107" t="s">
        <v>225</v>
      </c>
      <c r="L107" t="s">
        <v>265</v>
      </c>
      <c r="M107" t="str">
        <f t="shared" ca="1" si="14"/>
        <v>28016358</v>
      </c>
      <c r="N107" t="str">
        <f t="shared" ca="1" si="15"/>
        <v>434958010</v>
      </c>
      <c r="O107" t="str">
        <f t="shared" ca="1" si="15"/>
        <v>940311115</v>
      </c>
      <c r="P107" t="str" cm="1">
        <f t="array" aca="1" ref="P107" ca="1">9 &amp; INDEX($AH$3:$AH$6,Y107)&amp; TEXT(RANDBETWEEN(0,9999999),"0000000")</f>
        <v>912162860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1172352806963736</v>
      </c>
      <c r="T107" t="s">
        <v>341</v>
      </c>
      <c r="V107" s="4"/>
      <c r="X107">
        <f ca="1">RANDBETWEEN(2,COUNTA(rua_cod!A:A))</f>
        <v>86</v>
      </c>
      <c r="Y107">
        <f t="shared" ca="1" si="18"/>
        <v>1</v>
      </c>
      <c r="Z107">
        <f t="shared" ca="1" si="19"/>
        <v>1</v>
      </c>
      <c r="AA107">
        <f t="shared" ca="1" si="20"/>
        <v>1968</v>
      </c>
      <c r="AB107">
        <f t="shared" ca="1" si="21"/>
        <v>10</v>
      </c>
      <c r="AC107">
        <f t="shared" ca="1" si="22"/>
        <v>8</v>
      </c>
      <c r="AD107">
        <f t="shared" ca="1" si="23"/>
        <v>52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Ana Afonso Sousa Anjos</v>
      </c>
      <c r="E108" t="str">
        <f ca="1">Nomes!S109</f>
        <v>Feminino</v>
      </c>
      <c r="F108" s="2">
        <v>24416</v>
      </c>
      <c r="G108" t="str" cm="1">
        <f t="array" aca="1" ref="G108" ca="1">INDEX(rua_cod!$F:$F,RANDBETWEEN(2,COUNTA(rua_cod!F:F)))</f>
        <v>Rua Roberto Duarte Silva</v>
      </c>
      <c r="H108" t="str" cm="1">
        <f t="array" aca="1" ref="H108" ca="1">INDEX(rua_cod!$A:$A,Médicos!X108) &amp; "-" &amp; TEXT(RANDBETWEEN(0,999),"000")</f>
        <v>1500-518</v>
      </c>
      <c r="I108" t="str" cm="1">
        <f t="array" aca="1" ref="I108" ca="1">INDEX(rua_cod!$B:$B,Médicos!X108)</f>
        <v>Lisboa</v>
      </c>
      <c r="J108" t="s">
        <v>341</v>
      </c>
      <c r="K108" t="s">
        <v>225</v>
      </c>
      <c r="L108" t="s">
        <v>265</v>
      </c>
      <c r="M108" t="str">
        <f t="shared" ca="1" si="14"/>
        <v>27278117</v>
      </c>
      <c r="N108" t="str">
        <f t="shared" ca="1" si="15"/>
        <v>498517464</v>
      </c>
      <c r="O108" t="str">
        <f t="shared" ca="1" si="15"/>
        <v>856958059</v>
      </c>
      <c r="P108" t="str" cm="1">
        <f t="array" aca="1" ref="P108" ca="1">9 &amp; INDEX($AH$3:$AH$6,Y108)&amp; TEXT(RANDBETWEEN(0,9999999),"0000000")</f>
        <v>968063127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7543707901590239</v>
      </c>
      <c r="T108" t="s">
        <v>341</v>
      </c>
      <c r="V108" s="4"/>
      <c r="X108">
        <f ca="1">RANDBETWEEN(2,COUNTA(rua_cod!A:A))</f>
        <v>43</v>
      </c>
      <c r="Y108">
        <f t="shared" ca="1" si="18"/>
        <v>4</v>
      </c>
      <c r="Z108">
        <f t="shared" ca="1" si="19"/>
        <v>1</v>
      </c>
      <c r="AA108">
        <f t="shared" ca="1" si="20"/>
        <v>1959</v>
      </c>
      <c r="AB108">
        <f t="shared" ca="1" si="21"/>
        <v>11</v>
      </c>
      <c r="AC108">
        <f t="shared" ca="1" si="22"/>
        <v>3</v>
      </c>
      <c r="AD108">
        <f t="shared" ca="1" si="23"/>
        <v>61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Vera Carolina Pinho Leite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Estrada Militar</v>
      </c>
      <c r="H109" t="str" cm="1">
        <f t="array" aca="1" ref="H109" ca="1">INDEX(rua_cod!$A:$A,Médicos!X109) &amp; "-" &amp; TEXT(RANDBETWEEN(0,999),"000")</f>
        <v>1400-514</v>
      </c>
      <c r="I109" t="str" cm="1">
        <f t="array" aca="1" ref="I109" ca="1">INDEX(rua_cod!$B:$B,Médicos!X109)</f>
        <v>Lisboa</v>
      </c>
      <c r="J109" t="s">
        <v>341</v>
      </c>
      <c r="K109" t="s">
        <v>225</v>
      </c>
      <c r="L109" t="s">
        <v>265</v>
      </c>
      <c r="M109" t="str">
        <f t="shared" ca="1" si="14"/>
        <v>18217076</v>
      </c>
      <c r="N109" t="str">
        <f t="shared" ca="1" si="15"/>
        <v>476779825</v>
      </c>
      <c r="O109" t="str">
        <f t="shared" ca="1" si="15"/>
        <v>222055065</v>
      </c>
      <c r="P109" t="str" cm="1">
        <f t="array" aca="1" ref="P109" ca="1">9 &amp; INDEX($AH$3:$AH$6,Y109)&amp; TEXT(RANDBETWEEN(0,9999999),"0000000")</f>
        <v>917027851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4571996248242438</v>
      </c>
      <c r="T109" t="s">
        <v>341</v>
      </c>
      <c r="V109" s="4"/>
      <c r="X109">
        <f ca="1">RANDBETWEEN(2,COUNTA(rua_cod!A:A))</f>
        <v>57</v>
      </c>
      <c r="Y109">
        <f t="shared" ca="1" si="18"/>
        <v>1</v>
      </c>
      <c r="Z109">
        <f t="shared" ca="1" si="19"/>
        <v>3</v>
      </c>
      <c r="AA109">
        <f t="shared" ca="1" si="20"/>
        <v>1977</v>
      </c>
      <c r="AB109">
        <f t="shared" ca="1" si="21"/>
        <v>5</v>
      </c>
      <c r="AC109">
        <f t="shared" ca="1" si="22"/>
        <v>31</v>
      </c>
      <c r="AD109">
        <f t="shared" ca="1" si="23"/>
        <v>43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Martim Sara Vaz Mendes</v>
      </c>
      <c r="E110" t="str">
        <f ca="1">Nomes!S111</f>
        <v>Masculino</v>
      </c>
      <c r="F110" s="2">
        <v>9013</v>
      </c>
      <c r="G110" t="str" cm="1">
        <f t="array" aca="1" ref="G110" ca="1">INDEX(rua_cod!$F:$F,RANDBETWEEN(2,COUNTA(rua_cod!F:F)))</f>
        <v>Rua do Guarda-Mor</v>
      </c>
      <c r="H110" t="str" cm="1">
        <f t="array" aca="1" ref="H110" ca="1">INDEX(rua_cod!$A:$A,Médicos!X110) &amp; "-" &amp; TEXT(RANDBETWEEN(0,999),"000")</f>
        <v>2650-195</v>
      </c>
      <c r="I110" t="str" cm="1">
        <f t="array" aca="1" ref="I110" ca="1">INDEX(rua_cod!$B:$B,Médicos!X110)</f>
        <v>Amadora</v>
      </c>
      <c r="J110" t="s">
        <v>341</v>
      </c>
      <c r="K110" t="s">
        <v>225</v>
      </c>
      <c r="L110" t="s">
        <v>265</v>
      </c>
      <c r="M110" t="str">
        <f t="shared" ca="1" si="14"/>
        <v>78718128</v>
      </c>
      <c r="N110" t="str">
        <f t="shared" ca="1" si="15"/>
        <v>535588871</v>
      </c>
      <c r="O110" t="str">
        <f t="shared" ca="1" si="15"/>
        <v>996102923</v>
      </c>
      <c r="P110" t="str" cm="1">
        <f t="array" aca="1" ref="P110" ca="1">9 &amp; INDEX($AH$3:$AH$6,Y110)&amp; TEXT(RANDBETWEEN(0,9999999),"0000000")</f>
        <v>962426237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8032558033498944</v>
      </c>
      <c r="T110" t="s">
        <v>341</v>
      </c>
      <c r="V110" s="4"/>
      <c r="X110">
        <f ca="1">RANDBETWEEN(2,COUNTA(rua_cod!A:A))</f>
        <v>9</v>
      </c>
      <c r="Y110">
        <f t="shared" ca="1" si="18"/>
        <v>4</v>
      </c>
      <c r="Z110">
        <f t="shared" ca="1" si="19"/>
        <v>3</v>
      </c>
      <c r="AA110">
        <f t="shared" ca="1" si="20"/>
        <v>1964</v>
      </c>
      <c r="AB110">
        <f t="shared" ca="1" si="21"/>
        <v>11</v>
      </c>
      <c r="AC110">
        <f t="shared" ca="1" si="22"/>
        <v>23</v>
      </c>
      <c r="AD110">
        <f t="shared" ca="1" si="23"/>
        <v>56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Carolina Sara Azevedo Antunes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Estrada das Laranjeiras</v>
      </c>
      <c r="H111" t="str" cm="1">
        <f t="array" aca="1" ref="H111" ca="1">INDEX(rua_cod!$A:$A,Médicos!X111) &amp; "-" &amp; TEXT(RANDBETWEEN(0,999),"000")</f>
        <v>2814-320</v>
      </c>
      <c r="I111" t="str" cm="1">
        <f t="array" aca="1" ref="I111" ca="1">INDEX(rua_cod!$B:$B,Médicos!X111)</f>
        <v>Almada</v>
      </c>
      <c r="J111" t="s">
        <v>341</v>
      </c>
      <c r="K111" t="s">
        <v>225</v>
      </c>
      <c r="L111" t="s">
        <v>265</v>
      </c>
      <c r="M111" t="str">
        <f t="shared" ca="1" si="14"/>
        <v>51448359</v>
      </c>
      <c r="N111" t="str">
        <f t="shared" ca="1" si="15"/>
        <v>836660650</v>
      </c>
      <c r="O111" t="str">
        <f t="shared" ca="1" si="15"/>
        <v>364587431</v>
      </c>
      <c r="P111" t="str" cm="1">
        <f t="array" aca="1" ref="P111" ca="1">9 &amp; INDEX($AH$3:$AH$6,Y111)&amp; TEXT(RANDBETWEEN(0,9999999),"0000000")</f>
        <v>934093055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3247937892815772</v>
      </c>
      <c r="T111" t="s">
        <v>341</v>
      </c>
      <c r="V111" s="4"/>
      <c r="X111">
        <f ca="1">RANDBETWEEN(2,COUNTA(rua_cod!A:A))</f>
        <v>6</v>
      </c>
      <c r="Y111">
        <f t="shared" ca="1" si="18"/>
        <v>3</v>
      </c>
      <c r="Z111">
        <f t="shared" ca="1" si="19"/>
        <v>1</v>
      </c>
      <c r="AA111">
        <f t="shared" ca="1" si="20"/>
        <v>1974</v>
      </c>
      <c r="AB111">
        <f t="shared" ca="1" si="21"/>
        <v>10</v>
      </c>
      <c r="AC111">
        <f t="shared" ca="1" si="22"/>
        <v>18</v>
      </c>
      <c r="AD111">
        <f t="shared" ca="1" si="23"/>
        <v>46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Luís Diogo Reis Magalhães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Rua dos Fanqueiros</v>
      </c>
      <c r="H112" t="str" cm="1">
        <f t="array" aca="1" ref="H112" ca="1">INDEX(rua_cod!$A:$A,Médicos!X112) &amp; "-" &amp; TEXT(RANDBETWEEN(0,999),"000")</f>
        <v>2780-982</v>
      </c>
      <c r="I112" t="str" cm="1">
        <f t="array" aca="1" ref="I112" ca="1">INDEX(rua_cod!$B:$B,Médicos!X112)</f>
        <v>Oeiras</v>
      </c>
      <c r="J112" t="s">
        <v>341</v>
      </c>
      <c r="K112" t="s">
        <v>225</v>
      </c>
      <c r="L112" t="s">
        <v>265</v>
      </c>
      <c r="M112" t="str">
        <f t="shared" ca="1" si="14"/>
        <v>64199492</v>
      </c>
      <c r="N112" t="str">
        <f t="shared" ca="1" si="15"/>
        <v>178506628</v>
      </c>
      <c r="O112" t="str">
        <f t="shared" ca="1" si="15"/>
        <v>198731340</v>
      </c>
      <c r="P112" t="str" cm="1">
        <f t="array" aca="1" ref="P112" ca="1">9 &amp; INDEX($AH$3:$AH$6,Y112)&amp; TEXT(RANDBETWEEN(0,9999999),"0000000")</f>
        <v>929490117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7948191588800626</v>
      </c>
      <c r="T112" t="s">
        <v>341</v>
      </c>
      <c r="V112" s="4"/>
      <c r="X112">
        <f ca="1">RANDBETWEEN(2,COUNTA(rua_cod!A:A))</f>
        <v>88</v>
      </c>
      <c r="Y112">
        <f t="shared" ca="1" si="18"/>
        <v>2</v>
      </c>
      <c r="Z112">
        <f t="shared" ca="1" si="19"/>
        <v>3</v>
      </c>
      <c r="AA112">
        <f t="shared" ca="1" si="20"/>
        <v>1978</v>
      </c>
      <c r="AB112">
        <f t="shared" ca="1" si="21"/>
        <v>12</v>
      </c>
      <c r="AC112">
        <f t="shared" ca="1" si="22"/>
        <v>1</v>
      </c>
      <c r="AD112">
        <f t="shared" ca="1" si="23"/>
        <v>42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Daniela Pedro Garcia Cardoso</v>
      </c>
      <c r="E113" t="str">
        <f ca="1">Nomes!S114</f>
        <v>Feminino</v>
      </c>
      <c r="F113" s="2">
        <v>13043</v>
      </c>
      <c r="G113" t="str" cm="1">
        <f t="array" aca="1" ref="G113" ca="1">INDEX(rua_cod!$F:$F,RANDBETWEEN(2,COUNTA(rua_cod!F:F)))</f>
        <v>Rua Cidade de Bolama</v>
      </c>
      <c r="H113" t="str" cm="1">
        <f t="array" aca="1" ref="H113" ca="1">INDEX(rua_cod!$A:$A,Médicos!X113) &amp; "-" &amp; TEXT(RANDBETWEEN(0,999),"000")</f>
        <v>2790-603</v>
      </c>
      <c r="I113" t="str" cm="1">
        <f t="array" aca="1" ref="I113" ca="1">INDEX(rua_cod!$B:$B,Médicos!X113)</f>
        <v>Carnaxide</v>
      </c>
      <c r="J113" t="s">
        <v>341</v>
      </c>
      <c r="K113" t="s">
        <v>225</v>
      </c>
      <c r="L113" t="s">
        <v>265</v>
      </c>
      <c r="M113" t="str">
        <f t="shared" ca="1" si="14"/>
        <v>24694695</v>
      </c>
      <c r="N113" t="str">
        <f t="shared" ca="1" si="15"/>
        <v>706382754</v>
      </c>
      <c r="O113" t="str">
        <f t="shared" ca="1" si="15"/>
        <v>554960008</v>
      </c>
      <c r="P113" t="str" cm="1">
        <f t="array" aca="1" ref="P113" ca="1">9 &amp; INDEX($AH$3:$AH$6,Y113)&amp; TEXT(RANDBETWEEN(0,9999999),"0000000")</f>
        <v>924163788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2744737646428247</v>
      </c>
      <c r="T113" t="s">
        <v>341</v>
      </c>
      <c r="V113" s="4"/>
      <c r="X113">
        <f ca="1">RANDBETWEEN(2,COUNTA(rua_cod!A:A))</f>
        <v>22</v>
      </c>
      <c r="Y113">
        <f t="shared" ca="1" si="18"/>
        <v>2</v>
      </c>
      <c r="Z113">
        <f t="shared" ca="1" si="19"/>
        <v>2</v>
      </c>
      <c r="AA113">
        <f t="shared" ca="1" si="20"/>
        <v>1965</v>
      </c>
      <c r="AB113">
        <f t="shared" ca="1" si="21"/>
        <v>12</v>
      </c>
      <c r="AC113">
        <f t="shared" ca="1" si="22"/>
        <v>30</v>
      </c>
      <c r="AD113">
        <f t="shared" ca="1" si="23"/>
        <v>55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Maria Mariana Faria Batista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Augusta</v>
      </c>
      <c r="H114" t="str" cm="1">
        <f t="array" aca="1" ref="H114" ca="1">INDEX(rua_cod!$A:$A,Médicos!X114) &amp; "-" &amp; TEXT(RANDBETWEEN(0,999),"000")</f>
        <v>2745-149</v>
      </c>
      <c r="I114" t="str" cm="1">
        <f t="array" aca="1" ref="I114" ca="1">INDEX(rua_cod!$B:$B,Médicos!X114)</f>
        <v>Queluz</v>
      </c>
      <c r="J114" t="s">
        <v>341</v>
      </c>
      <c r="K114" t="s">
        <v>225</v>
      </c>
      <c r="L114" t="s">
        <v>265</v>
      </c>
      <c r="M114" t="str">
        <f t="shared" ca="1" si="14"/>
        <v>83378468</v>
      </c>
      <c r="N114" t="str">
        <f t="shared" ca="1" si="15"/>
        <v>270324469</v>
      </c>
      <c r="O114" t="str">
        <f t="shared" ca="1" si="15"/>
        <v>284289053</v>
      </c>
      <c r="P114" t="str" cm="1">
        <f t="array" aca="1" ref="P114" ca="1">9 &amp; INDEX($AH$3:$AH$6,Y114)&amp; TEXT(RANDBETWEEN(0,9999999),"0000000")</f>
        <v>918062501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9066216643706872</v>
      </c>
      <c r="T114" t="s">
        <v>341</v>
      </c>
      <c r="V114" s="4"/>
      <c r="X114">
        <f ca="1">RANDBETWEEN(2,COUNTA(rua_cod!A:A))</f>
        <v>90</v>
      </c>
      <c r="Y114">
        <f t="shared" ca="1" si="18"/>
        <v>1</v>
      </c>
      <c r="Z114">
        <f t="shared" ca="1" si="19"/>
        <v>3</v>
      </c>
      <c r="AA114">
        <f t="shared" ca="1" si="20"/>
        <v>1970</v>
      </c>
      <c r="AB114">
        <f t="shared" ca="1" si="21"/>
        <v>9</v>
      </c>
      <c r="AC114">
        <f t="shared" ca="1" si="22"/>
        <v>2</v>
      </c>
      <c r="AD114">
        <f t="shared" ca="1" si="23"/>
        <v>50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Carolina Beatriz Simões Oliveira</v>
      </c>
      <c r="E115" t="str">
        <f ca="1">Nomes!S116</f>
        <v>Feminino</v>
      </c>
      <c r="F115" s="2">
        <v>16742</v>
      </c>
      <c r="G115" t="str" cm="1">
        <f t="array" aca="1" ref="G115" ca="1">INDEX(rua_cod!$F:$F,RANDBETWEEN(2,COUNTA(rua_cod!F:F)))</f>
        <v>Rua da Alfândega</v>
      </c>
      <c r="H115" t="str" cm="1">
        <f t="array" aca="1" ref="H115" ca="1">INDEX(rua_cod!$A:$A,Médicos!X115) &amp; "-" &amp; TEXT(RANDBETWEEN(0,999),"000")</f>
        <v>1100-942</v>
      </c>
      <c r="I115" t="str" cm="1">
        <f t="array" aca="1" ref="I115" ca="1">INDEX(rua_cod!$B:$B,Médicos!X115)</f>
        <v>Lisboa</v>
      </c>
      <c r="J115" t="s">
        <v>341</v>
      </c>
      <c r="K115" t="s">
        <v>225</v>
      </c>
      <c r="L115" t="s">
        <v>265</v>
      </c>
      <c r="M115" t="str">
        <f t="shared" ca="1" si="14"/>
        <v>82353998</v>
      </c>
      <c r="N115" t="str">
        <f t="shared" ca="1" si="15"/>
        <v>277872367</v>
      </c>
      <c r="O115" t="str">
        <f t="shared" ca="1" si="15"/>
        <v>452989247</v>
      </c>
      <c r="P115" t="str" cm="1">
        <f t="array" aca="1" ref="P115" ca="1">9 &amp; INDEX($AH$3:$AH$6,Y115)&amp; TEXT(RANDBETWEEN(0,9999999),"0000000")</f>
        <v>924755255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8361193270949503</v>
      </c>
      <c r="T115" t="s">
        <v>341</v>
      </c>
      <c r="V115" s="4"/>
      <c r="X115">
        <f ca="1">RANDBETWEEN(2,COUNTA(rua_cod!A:A))</f>
        <v>46</v>
      </c>
      <c r="Y115">
        <f t="shared" ca="1" si="18"/>
        <v>2</v>
      </c>
      <c r="Z115">
        <f t="shared" ca="1" si="19"/>
        <v>1</v>
      </c>
      <c r="AA115">
        <f t="shared" ca="1" si="20"/>
        <v>1985</v>
      </c>
      <c r="AB115">
        <f t="shared" ca="1" si="21"/>
        <v>7</v>
      </c>
      <c r="AC115">
        <f t="shared" ca="1" si="22"/>
        <v>6</v>
      </c>
      <c r="AD115">
        <f t="shared" ca="1" si="23"/>
        <v>35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Francisca Sara Cruz Pires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dos Heróis de Quionga</v>
      </c>
      <c r="H116" t="str" cm="1">
        <f t="array" aca="1" ref="H116" ca="1">INDEX(rua_cod!$A:$A,Médicos!X116) &amp; "-" &amp; TEXT(RANDBETWEEN(0,999),"000")</f>
        <v>1069-677</v>
      </c>
      <c r="I116" t="str" cm="1">
        <f t="array" aca="1" ref="I116" ca="1">INDEX(rua_cod!$B:$B,Médicos!X116)</f>
        <v>Lisboa</v>
      </c>
      <c r="J116" t="s">
        <v>341</v>
      </c>
      <c r="K116" t="s">
        <v>225</v>
      </c>
      <c r="L116" t="s">
        <v>265</v>
      </c>
      <c r="M116" t="str">
        <f t="shared" ca="1" si="14"/>
        <v>89091754</v>
      </c>
      <c r="N116" t="str">
        <f t="shared" ca="1" si="15"/>
        <v>745481609</v>
      </c>
      <c r="O116" t="str">
        <f t="shared" ca="1" si="15"/>
        <v>999587538</v>
      </c>
      <c r="P116" t="str" cm="1">
        <f t="array" aca="1" ref="P116" ca="1">9 &amp; INDEX($AH$3:$AH$6,Y116)&amp; TEXT(RANDBETWEEN(0,9999999),"0000000")</f>
        <v>927389905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3293242768220346</v>
      </c>
      <c r="T116" t="s">
        <v>341</v>
      </c>
      <c r="V116" s="4"/>
      <c r="X116">
        <f ca="1">RANDBETWEEN(2,COUNTA(rua_cod!A:A))</f>
        <v>67</v>
      </c>
      <c r="Y116">
        <f t="shared" ca="1" si="18"/>
        <v>2</v>
      </c>
      <c r="Z116">
        <f t="shared" ca="1" si="19"/>
        <v>1</v>
      </c>
      <c r="AA116">
        <f t="shared" ca="1" si="20"/>
        <v>1964</v>
      </c>
      <c r="AB116">
        <f t="shared" ca="1" si="21"/>
        <v>12</v>
      </c>
      <c r="AC116">
        <f t="shared" ca="1" si="22"/>
        <v>11</v>
      </c>
      <c r="AD116">
        <f t="shared" ca="1" si="23"/>
        <v>56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Martim Ana Cunha Mendes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Rua do Comércio</v>
      </c>
      <c r="H117" t="str" cm="1">
        <f t="array" aca="1" ref="H117" ca="1">INDEX(rua_cod!$A:$A,Médicos!X117) &amp; "-" &amp; TEXT(RANDBETWEEN(0,999),"000")</f>
        <v>1199-129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52377190</v>
      </c>
      <c r="N117" t="str">
        <f t="shared" ca="1" si="15"/>
        <v>954834662</v>
      </c>
      <c r="O117" t="str">
        <f t="shared" ca="1" si="15"/>
        <v>271839329</v>
      </c>
      <c r="P117" t="str" cm="1">
        <f t="array" aca="1" ref="P117" ca="1">9 &amp; INDEX($AH$3:$AH$6,Y117)&amp; TEXT(RANDBETWEEN(0,9999999),"0000000")</f>
        <v>963801304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3886603943342301</v>
      </c>
      <c r="T117" t="s">
        <v>341</v>
      </c>
      <c r="V117" s="4"/>
      <c r="X117">
        <f ca="1">RANDBETWEEN(2,COUNTA(rua_cod!A:A))</f>
        <v>65</v>
      </c>
      <c r="Y117">
        <f t="shared" ca="1" si="18"/>
        <v>4</v>
      </c>
      <c r="Z117">
        <f t="shared" ca="1" si="19"/>
        <v>2</v>
      </c>
      <c r="AA117">
        <f t="shared" ca="1" si="20"/>
        <v>1980</v>
      </c>
      <c r="AB117">
        <f t="shared" ca="1" si="21"/>
        <v>11</v>
      </c>
      <c r="AC117">
        <f t="shared" ca="1" si="22"/>
        <v>29</v>
      </c>
      <c r="AD117">
        <f t="shared" ca="1" si="23"/>
        <v>40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Duarte Matilde Moreira Nascimento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Calçada Marquês de Abrantes</v>
      </c>
      <c r="H118" t="str" cm="1">
        <f t="array" aca="1" ref="H118" ca="1">INDEX(rua_cod!$A:$A,Médicos!X118) &amp; "-" &amp; TEXT(RANDBETWEEN(0,999),"000")</f>
        <v>2005-118</v>
      </c>
      <c r="I118" t="str" cm="1">
        <f t="array" aca="1" ref="I118" ca="1">INDEX(rua_cod!$B:$B,Médicos!X118)</f>
        <v>Santarém</v>
      </c>
      <c r="J118" t="s">
        <v>341</v>
      </c>
      <c r="K118" t="s">
        <v>225</v>
      </c>
      <c r="L118" t="s">
        <v>265</v>
      </c>
      <c r="M118" t="str">
        <f t="shared" ca="1" si="14"/>
        <v>33552879</v>
      </c>
      <c r="N118" t="str">
        <f t="shared" ca="1" si="15"/>
        <v>480093315</v>
      </c>
      <c r="O118" t="str">
        <f t="shared" ca="1" si="15"/>
        <v>234405746</v>
      </c>
      <c r="P118" t="str" cm="1">
        <f t="array" aca="1" ref="P118" ca="1">9 &amp; INDEX($AH$3:$AH$6,Y118)&amp; TEXT(RANDBETWEEN(0,9999999),"0000000")</f>
        <v>965425579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7145931626943959</v>
      </c>
      <c r="T118" t="s">
        <v>341</v>
      </c>
      <c r="V118" s="4"/>
      <c r="X118">
        <f ca="1">RANDBETWEEN(2,COUNTA(rua_cod!A:A))</f>
        <v>92</v>
      </c>
      <c r="Y118">
        <f t="shared" ca="1" si="18"/>
        <v>4</v>
      </c>
      <c r="Z118">
        <f t="shared" ca="1" si="19"/>
        <v>3</v>
      </c>
      <c r="AA118">
        <f t="shared" ca="1" si="20"/>
        <v>1976</v>
      </c>
      <c r="AB118">
        <f t="shared" ca="1" si="21"/>
        <v>8</v>
      </c>
      <c r="AC118">
        <f t="shared" ca="1" si="22"/>
        <v>4</v>
      </c>
      <c r="AD118">
        <f t="shared" ca="1" si="23"/>
        <v>44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Sara Leonor Vieira Torres</v>
      </c>
      <c r="E119" t="str">
        <f ca="1">Nomes!S120</f>
        <v>Feminino</v>
      </c>
      <c r="F119" s="2">
        <v>33045</v>
      </c>
      <c r="G119" t="str" cm="1">
        <f t="array" aca="1" ref="G119" ca="1">INDEX(rua_cod!$F:$F,RANDBETWEEN(2,COUNTA(rua_cod!F:F)))</f>
        <v>Avenida Ressano Garcia</v>
      </c>
      <c r="H119" t="str" cm="1">
        <f t="array" aca="1" ref="H119" ca="1">INDEX(rua_cod!$A:$A,Médicos!X119) &amp; "-" &amp; TEXT(RANDBETWEEN(0,999),"000")</f>
        <v>1549-681</v>
      </c>
      <c r="I119" t="str" cm="1">
        <f t="array" aca="1" ref="I119" ca="1">INDEX(rua_cod!$B:$B,Médicos!X119)</f>
        <v>Lisboa</v>
      </c>
      <c r="J119" t="s">
        <v>341</v>
      </c>
      <c r="K119" t="s">
        <v>225</v>
      </c>
      <c r="L119" t="s">
        <v>265</v>
      </c>
      <c r="M119" t="str">
        <f t="shared" ca="1" si="14"/>
        <v>70562985</v>
      </c>
      <c r="N119" t="str">
        <f t="shared" ca="1" si="15"/>
        <v>779371753</v>
      </c>
      <c r="O119" t="str">
        <f t="shared" ca="1" si="15"/>
        <v>958573612</v>
      </c>
      <c r="P119" t="str" cm="1">
        <f t="array" aca="1" ref="P119" ca="1">9 &amp; INDEX($AH$3:$AH$6,Y119)&amp; TEXT(RANDBETWEEN(0,9999999),"0000000")</f>
        <v>967042845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3225452017272890</v>
      </c>
      <c r="T119" t="s">
        <v>341</v>
      </c>
      <c r="V119" s="4"/>
      <c r="X119">
        <f ca="1">RANDBETWEEN(2,COUNTA(rua_cod!A:A))</f>
        <v>69</v>
      </c>
      <c r="Y119">
        <f t="shared" ca="1" si="18"/>
        <v>4</v>
      </c>
      <c r="Z119">
        <f t="shared" ca="1" si="19"/>
        <v>3</v>
      </c>
      <c r="AA119">
        <f t="shared" ca="1" si="20"/>
        <v>1974</v>
      </c>
      <c r="AB119">
        <f t="shared" ca="1" si="21"/>
        <v>1</v>
      </c>
      <c r="AC119">
        <f t="shared" ca="1" si="22"/>
        <v>11</v>
      </c>
      <c r="AD119">
        <f t="shared" ca="1" si="23"/>
        <v>46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Gabriel Francisca Torres Moreira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Rua do Carmo</v>
      </c>
      <c r="H120" t="str" cm="1">
        <f t="array" aca="1" ref="H120" ca="1">INDEX(rua_cod!$A:$A,Médicos!X120) &amp; "-" &amp; TEXT(RANDBETWEEN(0,999),"000")</f>
        <v>1750-892</v>
      </c>
      <c r="I120" t="str" cm="1">
        <f t="array" aca="1" ref="I120" ca="1">INDEX(rua_cod!$B:$B,Médicos!X120)</f>
        <v>Lisboa</v>
      </c>
      <c r="J120" t="s">
        <v>341</v>
      </c>
      <c r="K120" t="s">
        <v>225</v>
      </c>
      <c r="L120" t="s">
        <v>265</v>
      </c>
      <c r="M120" t="str">
        <f t="shared" ca="1" si="14"/>
        <v>37794970</v>
      </c>
      <c r="N120" t="str">
        <f t="shared" ca="1" si="15"/>
        <v>519565856</v>
      </c>
      <c r="O120" t="str">
        <f t="shared" ca="1" si="15"/>
        <v>781515728</v>
      </c>
      <c r="P120" t="str" cm="1">
        <f t="array" aca="1" ref="P120" ca="1">9 &amp; INDEX($AH$3:$AH$6,Y120)&amp; TEXT(RANDBETWEEN(0,9999999),"0000000")</f>
        <v>917969853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1874162571832428</v>
      </c>
      <c r="T120" t="s">
        <v>341</v>
      </c>
      <c r="V120" s="4"/>
      <c r="X120">
        <f ca="1">RANDBETWEEN(2,COUNTA(rua_cod!A:A))</f>
        <v>49</v>
      </c>
      <c r="Y120">
        <f t="shared" ca="1" si="18"/>
        <v>1</v>
      </c>
      <c r="Z120">
        <f t="shared" ca="1" si="19"/>
        <v>3</v>
      </c>
      <c r="AA120">
        <f t="shared" ca="1" si="20"/>
        <v>1991</v>
      </c>
      <c r="AB120">
        <f t="shared" ca="1" si="21"/>
        <v>4</v>
      </c>
      <c r="AC120">
        <f t="shared" ca="1" si="22"/>
        <v>28</v>
      </c>
      <c r="AD120">
        <f t="shared" ca="1" si="23"/>
        <v>29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Mariana Marco Azevedo Lopes</v>
      </c>
      <c r="E121" t="str">
        <f ca="1">Nomes!S122</f>
        <v>Feminino</v>
      </c>
      <c r="F121" s="2">
        <v>28450</v>
      </c>
      <c r="G121" t="str" cm="1">
        <f t="array" aca="1" ref="G121" ca="1">INDEX(rua_cod!$F:$F,RANDBETWEEN(2,COUNTA(rua_cod!F:F)))</f>
        <v>Rua Júlio César Machado</v>
      </c>
      <c r="H121" t="str" cm="1">
        <f t="array" aca="1" ref="H121" ca="1">INDEX(rua_cod!$A:$A,Médicos!X121) &amp; "-" &amp; TEXT(RANDBETWEEN(0,999),"000")</f>
        <v>2415-011</v>
      </c>
      <c r="I121" t="str" cm="1">
        <f t="array" aca="1" ref="I121" ca="1">INDEX(rua_cod!$B:$B,Médicos!X121)</f>
        <v>Leiria</v>
      </c>
      <c r="J121" t="s">
        <v>341</v>
      </c>
      <c r="K121" t="s">
        <v>225</v>
      </c>
      <c r="L121" t="s">
        <v>265</v>
      </c>
      <c r="M121" t="str">
        <f t="shared" ca="1" si="14"/>
        <v>25388224</v>
      </c>
      <c r="N121" t="str">
        <f t="shared" ca="1" si="15"/>
        <v>948906632</v>
      </c>
      <c r="O121" t="str">
        <f t="shared" ca="1" si="15"/>
        <v>885160402</v>
      </c>
      <c r="P121" t="str" cm="1">
        <f t="array" aca="1" ref="P121" ca="1">9 &amp; INDEX($AH$3:$AH$6,Y121)&amp; TEXT(RANDBETWEEN(0,9999999),"0000000")</f>
        <v>928168640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6969686815587824</v>
      </c>
      <c r="T121" t="s">
        <v>341</v>
      </c>
      <c r="V121" s="4"/>
      <c r="X121">
        <f ca="1">RANDBETWEEN(2,COUNTA(rua_cod!A:A))</f>
        <v>35</v>
      </c>
      <c r="Y121">
        <f t="shared" ca="1" si="18"/>
        <v>2</v>
      </c>
      <c r="Z121">
        <f t="shared" ca="1" si="19"/>
        <v>3</v>
      </c>
      <c r="AA121">
        <f t="shared" ca="1" si="20"/>
        <v>1955</v>
      </c>
      <c r="AB121">
        <f t="shared" ca="1" si="21"/>
        <v>10</v>
      </c>
      <c r="AC121">
        <f t="shared" ca="1" si="22"/>
        <v>4</v>
      </c>
      <c r="AD121">
        <f t="shared" ca="1" si="23"/>
        <v>65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Francisca Diogo Abreu Branco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Avenida Ressano Garcia</v>
      </c>
      <c r="H122" t="str" cm="1">
        <f t="array" aca="1" ref="H122" ca="1">INDEX(rua_cod!$A:$A,Médicos!X122) &amp; "-" &amp; TEXT(RANDBETWEEN(0,999),"000")</f>
        <v>1250-622</v>
      </c>
      <c r="I122" t="str" cm="1">
        <f t="array" aca="1" ref="I122" ca="1">INDEX(rua_cod!$B:$B,Médicos!X122)</f>
        <v>Lisboa</v>
      </c>
      <c r="J122" t="s">
        <v>341</v>
      </c>
      <c r="K122" t="s">
        <v>225</v>
      </c>
      <c r="L122" t="s">
        <v>265</v>
      </c>
      <c r="M122" t="str">
        <f t="shared" ca="1" si="14"/>
        <v>52613483</v>
      </c>
      <c r="N122" t="str">
        <f t="shared" ca="1" si="15"/>
        <v>494290715</v>
      </c>
      <c r="O122" t="str">
        <f t="shared" ca="1" si="15"/>
        <v>682363295</v>
      </c>
      <c r="P122" t="str" cm="1">
        <f t="array" aca="1" ref="P122" ca="1">9 &amp; INDEX($AH$3:$AH$6,Y122)&amp; TEXT(RANDBETWEEN(0,9999999),"0000000")</f>
        <v>964376296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5476173241570885</v>
      </c>
      <c r="T122" t="s">
        <v>341</v>
      </c>
      <c r="V122" s="4"/>
      <c r="X122">
        <f ca="1">RANDBETWEEN(2,COUNTA(rua_cod!A:A))</f>
        <v>50</v>
      </c>
      <c r="Y122">
        <f t="shared" ca="1" si="18"/>
        <v>4</v>
      </c>
      <c r="Z122">
        <f t="shared" ca="1" si="19"/>
        <v>1</v>
      </c>
      <c r="AA122">
        <f t="shared" ca="1" si="20"/>
        <v>1966</v>
      </c>
      <c r="AB122">
        <f t="shared" ca="1" si="21"/>
        <v>2</v>
      </c>
      <c r="AC122">
        <f t="shared" ca="1" si="22"/>
        <v>30</v>
      </c>
      <c r="AD122">
        <f t="shared" ca="1" si="23"/>
        <v>54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Ana Joana Vaz Lopes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Calçada do Poço dos Mouros</v>
      </c>
      <c r="H123" t="str" cm="1">
        <f t="array" aca="1" ref="H123" ca="1">INDEX(rua_cod!$A:$A,Médicos!X123) &amp; "-" &amp; TEXT(RANDBETWEEN(0,999),"000")</f>
        <v>2834-058</v>
      </c>
      <c r="I123" t="str" cm="1">
        <f t="array" aca="1" ref="I123" ca="1">INDEX(rua_cod!$B:$B,Médicos!X123)</f>
        <v>Barreiro</v>
      </c>
      <c r="J123" t="s">
        <v>341</v>
      </c>
      <c r="K123" t="s">
        <v>225</v>
      </c>
      <c r="L123" t="s">
        <v>265</v>
      </c>
      <c r="M123" t="str">
        <f t="shared" ca="1" si="14"/>
        <v>86488463</v>
      </c>
      <c r="N123" t="str">
        <f t="shared" ca="1" si="15"/>
        <v>421536373</v>
      </c>
      <c r="O123" t="str">
        <f t="shared" ca="1" si="15"/>
        <v>611154072</v>
      </c>
      <c r="P123" t="str" cm="1">
        <f t="array" aca="1" ref="P123" ca="1">9 &amp; INDEX($AH$3:$AH$6,Y123)&amp; TEXT(RANDBETWEEN(0,9999999),"0000000")</f>
        <v>919640175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8532950408976312</v>
      </c>
      <c r="T123" t="s">
        <v>341</v>
      </c>
      <c r="V123" s="4"/>
      <c r="X123">
        <f ca="1">RANDBETWEEN(2,COUNTA(rua_cod!A:A))</f>
        <v>17</v>
      </c>
      <c r="Y123">
        <f t="shared" ca="1" si="18"/>
        <v>1</v>
      </c>
      <c r="Z123">
        <f t="shared" ca="1" si="19"/>
        <v>1</v>
      </c>
      <c r="AA123">
        <f t="shared" ca="1" si="20"/>
        <v>1975</v>
      </c>
      <c r="AB123">
        <f t="shared" ca="1" si="21"/>
        <v>12</v>
      </c>
      <c r="AC123">
        <f t="shared" ca="1" si="22"/>
        <v>18</v>
      </c>
      <c r="AD123">
        <f t="shared" ca="1" si="23"/>
        <v>45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Vera Mariana Vieira Carvalho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da Betesga</v>
      </c>
      <c r="H124" t="str" cm="1">
        <f t="array" aca="1" ref="H124" ca="1">INDEX(rua_cod!$A:$A,Médicos!X124) &amp; "-" &amp; TEXT(RANDBETWEEN(0,999),"000")</f>
        <v>2420-578</v>
      </c>
      <c r="I124" t="str" cm="1">
        <f t="array" aca="1" ref="I124" ca="1">INDEX(rua_cod!$B:$B,Médicos!X124)</f>
        <v>Leiria</v>
      </c>
      <c r="J124" t="s">
        <v>341</v>
      </c>
      <c r="K124" t="s">
        <v>225</v>
      </c>
      <c r="L124" t="s">
        <v>265</v>
      </c>
      <c r="M124" t="str">
        <f t="shared" ca="1" si="14"/>
        <v>37553548</v>
      </c>
      <c r="N124" t="str">
        <f t="shared" ca="1" si="15"/>
        <v>987123322</v>
      </c>
      <c r="O124" t="str">
        <f t="shared" ca="1" si="15"/>
        <v>964555104</v>
      </c>
      <c r="P124" t="str" cm="1">
        <f t="array" aca="1" ref="P124" ca="1">9 &amp; INDEX($AH$3:$AH$6,Y124)&amp; TEXT(RANDBETWEEN(0,9999999),"0000000")</f>
        <v>922926122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5123185116825338</v>
      </c>
      <c r="T124" t="s">
        <v>341</v>
      </c>
      <c r="V124" s="4"/>
      <c r="X124">
        <f ca="1">RANDBETWEEN(2,COUNTA(rua_cod!A:A))</f>
        <v>33</v>
      </c>
      <c r="Y124">
        <f t="shared" ca="1" si="18"/>
        <v>2</v>
      </c>
      <c r="Z124">
        <f t="shared" ca="1" si="19"/>
        <v>2</v>
      </c>
      <c r="AA124">
        <f t="shared" ca="1" si="20"/>
        <v>1963</v>
      </c>
      <c r="AB124">
        <f t="shared" ca="1" si="21"/>
        <v>4</v>
      </c>
      <c r="AC124">
        <f t="shared" ca="1" si="22"/>
        <v>7</v>
      </c>
      <c r="AD124">
        <f t="shared" ca="1" si="23"/>
        <v>57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Afonso Inês Gomes Cardoso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Garrett</v>
      </c>
      <c r="H125" t="str" cm="1">
        <f t="array" aca="1" ref="H125" ca="1">INDEX(rua_cod!$A:$A,Médicos!X125) &amp; "-" &amp; TEXT(RANDBETWEEN(0,999),"000")</f>
        <v>1998-975</v>
      </c>
      <c r="I125" t="str" cm="1">
        <f t="array" aca="1" ref="I125" ca="1">INDEX(rua_cod!$B:$B,Médicos!X125)</f>
        <v>Lisboa</v>
      </c>
      <c r="J125" t="s">
        <v>341</v>
      </c>
      <c r="K125" t="s">
        <v>225</v>
      </c>
      <c r="L125" t="s">
        <v>265</v>
      </c>
      <c r="M125" t="str">
        <f t="shared" ca="1" si="14"/>
        <v>24203037</v>
      </c>
      <c r="N125" t="str">
        <f t="shared" ca="1" si="15"/>
        <v>113940466</v>
      </c>
      <c r="O125" t="str">
        <f t="shared" ca="1" si="15"/>
        <v>459567685</v>
      </c>
      <c r="P125" t="str" cm="1">
        <f t="array" aca="1" ref="P125" ca="1">9 &amp; INDEX($AH$3:$AH$6,Y125)&amp; TEXT(RANDBETWEEN(0,9999999),"0000000")</f>
        <v>914278462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8411967327464690</v>
      </c>
      <c r="T125" t="s">
        <v>341</v>
      </c>
      <c r="V125" s="4"/>
      <c r="X125">
        <f ca="1">RANDBETWEEN(2,COUNTA(rua_cod!A:A))</f>
        <v>78</v>
      </c>
      <c r="Y125">
        <f t="shared" ca="1" si="18"/>
        <v>1</v>
      </c>
      <c r="Z125">
        <f t="shared" ca="1" si="19"/>
        <v>2</v>
      </c>
      <c r="AA125">
        <f t="shared" ca="1" si="20"/>
        <v>1989</v>
      </c>
      <c r="AB125">
        <f t="shared" ca="1" si="21"/>
        <v>7</v>
      </c>
      <c r="AC125">
        <f t="shared" ca="1" si="22"/>
        <v>21</v>
      </c>
      <c r="AD125">
        <f t="shared" ca="1" si="23"/>
        <v>31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Duarte Diana Ramos Alves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Rua do Comércio</v>
      </c>
      <c r="H126" t="str" cm="1">
        <f t="array" aca="1" ref="H126" ca="1">INDEX(rua_cod!$A:$A,Médicos!X126) &amp; "-" &amp; TEXT(RANDBETWEEN(0,999),"000")</f>
        <v>1950-293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71507592</v>
      </c>
      <c r="N126" t="str">
        <f t="shared" ca="1" si="15"/>
        <v>202291765</v>
      </c>
      <c r="O126" t="str">
        <f t="shared" ca="1" si="15"/>
        <v>480792985</v>
      </c>
      <c r="P126" t="str" cm="1">
        <f t="array" aca="1" ref="P126" ca="1">9 &amp; INDEX($AH$3:$AH$6,Y126)&amp; TEXT(RANDBETWEEN(0,9999999),"0000000")</f>
        <v>964715979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5842310191956032</v>
      </c>
      <c r="T126" t="s">
        <v>341</v>
      </c>
      <c r="V126" s="4"/>
      <c r="X126">
        <f ca="1">RANDBETWEEN(2,COUNTA(rua_cod!A:A))</f>
        <v>41</v>
      </c>
      <c r="Y126">
        <f t="shared" ca="1" si="18"/>
        <v>4</v>
      </c>
      <c r="Z126">
        <f t="shared" ca="1" si="19"/>
        <v>1</v>
      </c>
      <c r="AA126">
        <f t="shared" ca="1" si="20"/>
        <v>1968</v>
      </c>
      <c r="AB126">
        <f t="shared" ca="1" si="21"/>
        <v>1</v>
      </c>
      <c r="AC126">
        <f t="shared" ca="1" si="22"/>
        <v>22</v>
      </c>
      <c r="AD126">
        <f t="shared" ca="1" si="23"/>
        <v>52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Leonor Diana Paiva Anjos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Avenida Ressano Garcia</v>
      </c>
      <c r="H127" t="str" cm="1">
        <f t="array" aca="1" ref="H127" ca="1">INDEX(rua_cod!$A:$A,Médicos!X127) &amp; "-" &amp; TEXT(RANDBETWEEN(0,999),"000")</f>
        <v>2000-427</v>
      </c>
      <c r="I127" t="str" cm="1">
        <f t="array" aca="1" ref="I127" ca="1">INDEX(rua_cod!$B:$B,Médicos!X127)</f>
        <v>Santarém</v>
      </c>
      <c r="J127" t="s">
        <v>341</v>
      </c>
      <c r="K127" t="s">
        <v>225</v>
      </c>
      <c r="L127" t="s">
        <v>265</v>
      </c>
      <c r="M127" t="str">
        <f t="shared" ca="1" si="14"/>
        <v>71139337</v>
      </c>
      <c r="N127" t="str">
        <f t="shared" ca="1" si="15"/>
        <v>928490155</v>
      </c>
      <c r="O127" t="str">
        <f t="shared" ca="1" si="15"/>
        <v>132347785</v>
      </c>
      <c r="P127" t="str" cm="1">
        <f t="array" aca="1" ref="P127" ca="1">9 &amp; INDEX($AH$3:$AH$6,Y127)&amp; TEXT(RANDBETWEEN(0,9999999),"0000000")</f>
        <v>936721894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9725920473841828</v>
      </c>
      <c r="T127" t="s">
        <v>341</v>
      </c>
      <c r="V127" s="4"/>
      <c r="X127">
        <f ca="1">RANDBETWEEN(2,COUNTA(rua_cod!A:A))</f>
        <v>93</v>
      </c>
      <c r="Y127">
        <f t="shared" ca="1" si="18"/>
        <v>3</v>
      </c>
      <c r="Z127">
        <f t="shared" ca="1" si="19"/>
        <v>3</v>
      </c>
      <c r="AA127">
        <f t="shared" ca="1" si="20"/>
        <v>1978</v>
      </c>
      <c r="AB127">
        <f t="shared" ca="1" si="21"/>
        <v>7</v>
      </c>
      <c r="AC127">
        <f t="shared" ca="1" si="22"/>
        <v>31</v>
      </c>
      <c r="AD127">
        <f t="shared" ca="1" si="23"/>
        <v>42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Santiago Laura Domingues Reis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do Instituto Bacteriológico</v>
      </c>
      <c r="H128" t="str" cm="1">
        <f t="array" aca="1" ref="H128" ca="1">INDEX(rua_cod!$A:$A,Médicos!X128) &amp; "-" &amp; TEXT(RANDBETWEEN(0,999),"000")</f>
        <v>2644-125</v>
      </c>
      <c r="I128" t="str" cm="1">
        <f t="array" aca="1" ref="I128" ca="1">INDEX(rua_cod!$B:$B,Médicos!X128)</f>
        <v>Mafra</v>
      </c>
      <c r="J128" t="s">
        <v>341</v>
      </c>
      <c r="K128" t="s">
        <v>225</v>
      </c>
      <c r="L128" t="s">
        <v>265</v>
      </c>
      <c r="M128" t="str">
        <f t="shared" ca="1" si="14"/>
        <v>82979954</v>
      </c>
      <c r="N128" t="str">
        <f t="shared" ca="1" si="15"/>
        <v>507560316</v>
      </c>
      <c r="O128" t="str">
        <f t="shared" ca="1" si="15"/>
        <v>685119099</v>
      </c>
      <c r="P128" t="str" cm="1">
        <f t="array" aca="1" ref="P128" ca="1">9 &amp; INDEX($AH$3:$AH$6,Y128)&amp; TEXT(RANDBETWEEN(0,9999999),"0000000")</f>
        <v>913088619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5249469093024527</v>
      </c>
      <c r="T128" t="s">
        <v>341</v>
      </c>
      <c r="V128" s="4"/>
      <c r="X128">
        <f ca="1">RANDBETWEEN(2,COUNTA(rua_cod!A:A))</f>
        <v>86</v>
      </c>
      <c r="Y128">
        <f t="shared" ca="1" si="18"/>
        <v>1</v>
      </c>
      <c r="Z128">
        <f t="shared" ca="1" si="19"/>
        <v>3</v>
      </c>
      <c r="AA128">
        <f t="shared" ca="1" si="20"/>
        <v>1981</v>
      </c>
      <c r="AB128">
        <f t="shared" ca="1" si="21"/>
        <v>7</v>
      </c>
      <c r="AC128">
        <f t="shared" ca="1" si="22"/>
        <v>18</v>
      </c>
      <c r="AD128">
        <f t="shared" ca="1" si="23"/>
        <v>39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Santiago Matilde Miranda Leite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Rua de São Bento</v>
      </c>
      <c r="H129" t="str" cm="1">
        <f t="array" aca="1" ref="H129" ca="1">INDEX(rua_cod!$A:$A,Médicos!X129) &amp; "-" &amp; TEXT(RANDBETWEEN(0,999),"000")</f>
        <v>2004-713</v>
      </c>
      <c r="I129" t="str" cm="1">
        <f t="array" aca="1" ref="I129" ca="1">INDEX(rua_cod!$B:$B,Médicos!X129)</f>
        <v>Santarém</v>
      </c>
      <c r="J129" t="s">
        <v>341</v>
      </c>
      <c r="K129" t="s">
        <v>225</v>
      </c>
      <c r="L129" t="s">
        <v>265</v>
      </c>
      <c r="M129" t="str">
        <f t="shared" ca="1" si="14"/>
        <v>29150206</v>
      </c>
      <c r="N129" t="str">
        <f t="shared" ca="1" si="15"/>
        <v>800256017</v>
      </c>
      <c r="O129" t="str">
        <f t="shared" ca="1" si="15"/>
        <v>493236118</v>
      </c>
      <c r="P129" t="str" cm="1">
        <f t="array" aca="1" ref="P129" ca="1">9 &amp; INDEX($AH$3:$AH$6,Y129)&amp; TEXT(RANDBETWEEN(0,9999999),"0000000")</f>
        <v>929883409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8219763194130943</v>
      </c>
      <c r="T129" t="s">
        <v>341</v>
      </c>
      <c r="V129" s="4"/>
      <c r="X129">
        <f ca="1">RANDBETWEEN(2,COUNTA(rua_cod!A:A))</f>
        <v>94</v>
      </c>
      <c r="Y129">
        <f t="shared" ca="1" si="18"/>
        <v>2</v>
      </c>
      <c r="Z129">
        <f t="shared" ca="1" si="19"/>
        <v>1</v>
      </c>
      <c r="AA129">
        <f t="shared" ca="1" si="20"/>
        <v>1984</v>
      </c>
      <c r="AB129">
        <f t="shared" ca="1" si="21"/>
        <v>12</v>
      </c>
      <c r="AC129">
        <f t="shared" ca="1" si="22"/>
        <v>6</v>
      </c>
      <c r="AD129">
        <f t="shared" ca="1" si="23"/>
        <v>36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Sara Leonor Teixeira Pinto</v>
      </c>
      <c r="E130" t="str">
        <f ca="1">Nomes!S131</f>
        <v>Feminino</v>
      </c>
      <c r="F130" s="2">
        <v>37343</v>
      </c>
      <c r="G130" t="str" cm="1">
        <f t="array" aca="1" ref="G130" ca="1">INDEX(rua_cod!$F:$F,RANDBETWEEN(2,COUNTA(rua_cod!F:F)))</f>
        <v>Rua de São Julião</v>
      </c>
      <c r="H130" t="str" cm="1">
        <f t="array" aca="1" ref="H130" ca="1">INDEX(rua_cod!$A:$A,Médicos!X130) &amp; "-" &amp; TEXT(RANDBETWEEN(0,999),"000")</f>
        <v>1349-813</v>
      </c>
      <c r="I130" t="str" cm="1">
        <f t="array" aca="1" ref="I130" ca="1">INDEX(rua_cod!$B:$B,Médicos!X130)</f>
        <v>Lisboa</v>
      </c>
      <c r="J130" t="s">
        <v>341</v>
      </c>
      <c r="K130" t="s">
        <v>225</v>
      </c>
      <c r="L130" t="s">
        <v>265</v>
      </c>
      <c r="M130" t="str">
        <f t="shared" ca="1" si="14"/>
        <v>54446697</v>
      </c>
      <c r="N130" t="str">
        <f t="shared" ca="1" si="15"/>
        <v>662572550</v>
      </c>
      <c r="O130" t="str">
        <f t="shared" ca="1" si="15"/>
        <v>251932872</v>
      </c>
      <c r="P130" t="str" cm="1">
        <f t="array" aca="1" ref="P130" ca="1">9 &amp; INDEX($AH$3:$AH$6,Y130)&amp; TEXT(RANDBETWEEN(0,9999999),"0000000")</f>
        <v>919151039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4920588201596814</v>
      </c>
      <c r="T130" t="s">
        <v>341</v>
      </c>
      <c r="V130" s="4"/>
      <c r="X130">
        <f ca="1">RANDBETWEEN(2,COUNTA(rua_cod!A:A))</f>
        <v>71</v>
      </c>
      <c r="Y130">
        <f t="shared" ca="1" si="18"/>
        <v>1</v>
      </c>
      <c r="Z130">
        <f t="shared" ca="1" si="19"/>
        <v>1</v>
      </c>
      <c r="AA130">
        <f t="shared" ca="1" si="20"/>
        <v>1968</v>
      </c>
      <c r="AB130">
        <f t="shared" ca="1" si="21"/>
        <v>3</v>
      </c>
      <c r="AC130">
        <f t="shared" ca="1" si="22"/>
        <v>9</v>
      </c>
      <c r="AD130">
        <f t="shared" ca="1" si="23"/>
        <v>52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Joaquim Martim Brito Lopes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Rua da Alfândega</v>
      </c>
      <c r="H131" t="str" cm="1">
        <f t="array" aca="1" ref="H131" ca="1">INDEX(rua_cod!$A:$A,Médicos!X131) &amp; "-" &amp; TEXT(RANDBETWEEN(0,999),"000")</f>
        <v>1149-188</v>
      </c>
      <c r="I131" t="str" cm="1">
        <f t="array" aca="1" ref="I131" ca="1">INDEX(rua_cod!$B:$B,Médicos!X131)</f>
        <v>Lisboa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28605809</v>
      </c>
      <c r="N131" t="str">
        <f t="shared" ref="N131:O194" ca="1" si="27">TEXT(RANDBETWEEN(100000000,999999999),"000000000")</f>
        <v>302671090</v>
      </c>
      <c r="O131" t="str">
        <f t="shared" ca="1" si="27"/>
        <v>782680553</v>
      </c>
      <c r="P131" t="str" cm="1">
        <f t="array" aca="1" ref="P131" ca="1">9 &amp; INDEX($AH$3:$AH$6,Y131)&amp; TEXT(RANDBETWEEN(0,9999999),"0000000")</f>
        <v>922374220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1413203680782192</v>
      </c>
      <c r="T131" t="s">
        <v>341</v>
      </c>
      <c r="V131" s="4"/>
      <c r="X131">
        <f ca="1">RANDBETWEEN(2,COUNTA(rua_cod!A:A))</f>
        <v>59</v>
      </c>
      <c r="Y131">
        <f t="shared" ref="Y131:Y194" ca="1" si="30">RANDBETWEEN(1,4)</f>
        <v>2</v>
      </c>
      <c r="Z131">
        <f t="shared" ref="Z131:Z194" ca="1" si="31">RANDBETWEEN(1,3)</f>
        <v>2</v>
      </c>
      <c r="AA131">
        <f t="shared" ref="AA131:AA194" ca="1" si="32">RANDBETWEEN(1950,1994)</f>
        <v>1984</v>
      </c>
      <c r="AB131">
        <f t="shared" ref="AB131:AB194" ca="1" si="33">RANDBETWEEN(1,12)</f>
        <v>5</v>
      </c>
      <c r="AC131">
        <f t="shared" ref="AC131:AC194" ca="1" si="34">RANDBETWEEN(1,31)</f>
        <v>24</v>
      </c>
      <c r="AD131">
        <f t="shared" ref="AD131:AD194" ca="1" si="35">2020-AA131</f>
        <v>36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Joana Daniela Machado Garcia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Estrada da Circunvalação de Lisboa</v>
      </c>
      <c r="H132" t="str" cm="1">
        <f t="array" aca="1" ref="H132" ca="1">INDEX(rua_cod!$A:$A,Médicos!X132) &amp; "-" &amp; TEXT(RANDBETWEEN(0,999),"000")</f>
        <v>2300-048</v>
      </c>
      <c r="I132" t="str" cm="1">
        <f t="array" aca="1" ref="I132" ca="1">INDEX(rua_cod!$B:$B,Médicos!X132)</f>
        <v>Tomar</v>
      </c>
      <c r="J132" t="s">
        <v>341</v>
      </c>
      <c r="K132" t="s">
        <v>225</v>
      </c>
      <c r="L132" t="s">
        <v>265</v>
      </c>
      <c r="M132" t="str">
        <f t="shared" ca="1" si="26"/>
        <v>22450284</v>
      </c>
      <c r="N132" t="str">
        <f t="shared" ca="1" si="27"/>
        <v>387070653</v>
      </c>
      <c r="O132" t="str">
        <f t="shared" ca="1" si="27"/>
        <v>624723497</v>
      </c>
      <c r="P132" t="str" cm="1">
        <f t="array" aca="1" ref="P132" ca="1">9 &amp; INDEX($AH$3:$AH$6,Y132)&amp; TEXT(RANDBETWEEN(0,9999999),"0000000")</f>
        <v>912032419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5481062293903705</v>
      </c>
      <c r="T132" t="s">
        <v>341</v>
      </c>
      <c r="V132" s="4"/>
      <c r="X132">
        <f ca="1">RANDBETWEEN(2,COUNTA(rua_cod!A:A))</f>
        <v>102</v>
      </c>
      <c r="Y132">
        <f t="shared" ca="1" si="30"/>
        <v>1</v>
      </c>
      <c r="Z132">
        <f t="shared" ca="1" si="31"/>
        <v>1</v>
      </c>
      <c r="AA132">
        <f t="shared" ca="1" si="32"/>
        <v>1951</v>
      </c>
      <c r="AB132">
        <f t="shared" ca="1" si="33"/>
        <v>5</v>
      </c>
      <c r="AC132">
        <f t="shared" ca="1" si="34"/>
        <v>27</v>
      </c>
      <c r="AD132">
        <f t="shared" ca="1" si="35"/>
        <v>69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Mariana Gabriel Garcia Nunes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Estrada Militar</v>
      </c>
      <c r="H133" t="str" cm="1">
        <f t="array" aca="1" ref="H133" ca="1">INDEX(rua_cod!$A:$A,Médicos!X133) &amp; "-" &amp; TEXT(RANDBETWEEN(0,999),"000")</f>
        <v>1549-477</v>
      </c>
      <c r="I133" t="str" cm="1">
        <f t="array" aca="1" ref="I133" ca="1">INDEX(rua_cod!$B:$B,Médicos!X133)</f>
        <v>Lisboa</v>
      </c>
      <c r="J133" t="s">
        <v>341</v>
      </c>
      <c r="K133" t="s">
        <v>225</v>
      </c>
      <c r="L133" t="s">
        <v>265</v>
      </c>
      <c r="M133" t="str">
        <f t="shared" ca="1" si="26"/>
        <v>91039000</v>
      </c>
      <c r="N133" t="str">
        <f t="shared" ca="1" si="27"/>
        <v>433719650</v>
      </c>
      <c r="O133" t="str">
        <f t="shared" ca="1" si="27"/>
        <v>745453749</v>
      </c>
      <c r="P133" t="str" cm="1">
        <f t="array" aca="1" ref="P133" ca="1">9 &amp; INDEX($AH$3:$AH$6,Y133)&amp; TEXT(RANDBETWEEN(0,9999999),"0000000")</f>
        <v>939255688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8658774958969839</v>
      </c>
      <c r="T133" t="s">
        <v>341</v>
      </c>
      <c r="V133" s="4"/>
      <c r="X133">
        <f ca="1">RANDBETWEEN(2,COUNTA(rua_cod!A:A))</f>
        <v>69</v>
      </c>
      <c r="Y133">
        <f t="shared" ca="1" si="30"/>
        <v>3</v>
      </c>
      <c r="Z133">
        <f t="shared" ca="1" si="31"/>
        <v>1</v>
      </c>
      <c r="AA133">
        <f t="shared" ca="1" si="32"/>
        <v>1985</v>
      </c>
      <c r="AB133">
        <f t="shared" ca="1" si="33"/>
        <v>8</v>
      </c>
      <c r="AC133">
        <f t="shared" ca="1" si="34"/>
        <v>28</v>
      </c>
      <c r="AD133">
        <f t="shared" ca="1" si="35"/>
        <v>35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Catarina Ana Pereira Leal</v>
      </c>
      <c r="E134" t="str">
        <f ca="1">Nomes!S135</f>
        <v>Feminino</v>
      </c>
      <c r="F134" s="2">
        <v>43922</v>
      </c>
      <c r="G134" t="str" cm="1">
        <f t="array" aca="1" ref="G134" ca="1">INDEX(rua_cod!$F:$F,RANDBETWEEN(2,COUNTA(rua_cod!F:F)))</f>
        <v>Rua da Betesga</v>
      </c>
      <c r="H134" t="str" cm="1">
        <f t="array" aca="1" ref="H134" ca="1">INDEX(rua_cod!$A:$A,Médicos!X134) &amp; "-" &amp; TEXT(RANDBETWEEN(0,999),"000")</f>
        <v>1269-562</v>
      </c>
      <c r="I134" t="str" cm="1">
        <f t="array" aca="1" ref="I134" ca="1">INDEX(rua_cod!$B:$B,Médicos!X134)</f>
        <v>Lisboa</v>
      </c>
      <c r="J134" t="s">
        <v>341</v>
      </c>
      <c r="K134" t="s">
        <v>225</v>
      </c>
      <c r="L134" t="s">
        <v>265</v>
      </c>
      <c r="M134" t="str">
        <f t="shared" ca="1" si="26"/>
        <v>18712298</v>
      </c>
      <c r="N134" t="str">
        <f t="shared" ca="1" si="27"/>
        <v>498933850</v>
      </c>
      <c r="O134" t="str">
        <f t="shared" ca="1" si="27"/>
        <v>586395941</v>
      </c>
      <c r="P134" t="str" cm="1">
        <f t="array" aca="1" ref="P134" ca="1">9 &amp; INDEX($AH$3:$AH$6,Y134)&amp; TEXT(RANDBETWEEN(0,9999999),"0000000")</f>
        <v>918045282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4709851135902100</v>
      </c>
      <c r="T134" t="s">
        <v>341</v>
      </c>
      <c r="V134" s="4"/>
      <c r="X134">
        <f ca="1">RANDBETWEEN(2,COUNTA(rua_cod!A:A))</f>
        <v>52</v>
      </c>
      <c r="Y134">
        <f t="shared" ca="1" si="30"/>
        <v>1</v>
      </c>
      <c r="Z134">
        <f t="shared" ca="1" si="31"/>
        <v>2</v>
      </c>
      <c r="AA134">
        <f t="shared" ca="1" si="32"/>
        <v>1988</v>
      </c>
      <c r="AB134">
        <f t="shared" ca="1" si="33"/>
        <v>10</v>
      </c>
      <c r="AC134">
        <f t="shared" ca="1" si="34"/>
        <v>1</v>
      </c>
      <c r="AD134">
        <f t="shared" ca="1" si="35"/>
        <v>32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Santiago Pedro Macedo Santos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Avenida Ressano Garcia</v>
      </c>
      <c r="H135" t="str" cm="1">
        <f t="array" aca="1" ref="H135" ca="1">INDEX(rua_cod!$A:$A,Médicos!X135) &amp; "-" &amp; TEXT(RANDBETWEEN(0,999),"000")</f>
        <v>1649-304</v>
      </c>
      <c r="I135" t="str" cm="1">
        <f t="array" aca="1" ref="I135" ca="1">INDEX(rua_cod!$B:$B,Médicos!X135)</f>
        <v>Lisboa</v>
      </c>
      <c r="J135" t="s">
        <v>341</v>
      </c>
      <c r="K135" t="s">
        <v>225</v>
      </c>
      <c r="L135" t="s">
        <v>265</v>
      </c>
      <c r="M135" t="str">
        <f t="shared" ca="1" si="26"/>
        <v>31980926</v>
      </c>
      <c r="N135" t="str">
        <f t="shared" ca="1" si="27"/>
        <v>512496786</v>
      </c>
      <c r="O135" t="str">
        <f t="shared" ca="1" si="27"/>
        <v>235257831</v>
      </c>
      <c r="P135" t="str" cm="1">
        <f t="array" aca="1" ref="P135" ca="1">9 &amp; INDEX($AH$3:$AH$6,Y135)&amp; TEXT(RANDBETWEEN(0,9999999),"0000000")</f>
        <v>917408764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4364564236447724</v>
      </c>
      <c r="T135" t="s">
        <v>341</v>
      </c>
      <c r="V135" s="4"/>
      <c r="X135">
        <f ca="1">RANDBETWEEN(2,COUNTA(rua_cod!A:A))</f>
        <v>68</v>
      </c>
      <c r="Y135">
        <f t="shared" ca="1" si="30"/>
        <v>1</v>
      </c>
      <c r="Z135">
        <f t="shared" ca="1" si="31"/>
        <v>3</v>
      </c>
      <c r="AA135">
        <f t="shared" ca="1" si="32"/>
        <v>1981</v>
      </c>
      <c r="AB135">
        <f t="shared" ca="1" si="33"/>
        <v>1</v>
      </c>
      <c r="AC135">
        <f t="shared" ca="1" si="34"/>
        <v>21</v>
      </c>
      <c r="AD135">
        <f t="shared" ca="1" si="35"/>
        <v>39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Miguel Joaquim Garcia Amorim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Estrada Militar</v>
      </c>
      <c r="H136" t="str" cm="1">
        <f t="array" aca="1" ref="H136" ca="1">INDEX(rua_cod!$A:$A,Médicos!X136) &amp; "-" &amp; TEXT(RANDBETWEEN(0,999),"000")</f>
        <v>2779-499</v>
      </c>
      <c r="I136" t="str" cm="1">
        <f t="array" aca="1" ref="I136" ca="1">INDEX(rua_cod!$B:$B,Médicos!X136)</f>
        <v>Carcavelos</v>
      </c>
      <c r="J136" t="s">
        <v>341</v>
      </c>
      <c r="K136" t="s">
        <v>225</v>
      </c>
      <c r="L136" t="s">
        <v>265</v>
      </c>
      <c r="M136" t="str">
        <f t="shared" ca="1" si="26"/>
        <v>32749149</v>
      </c>
      <c r="N136" t="str">
        <f t="shared" ca="1" si="27"/>
        <v>831369997</v>
      </c>
      <c r="O136" t="str">
        <f t="shared" ca="1" si="27"/>
        <v>701809884</v>
      </c>
      <c r="P136" t="str" cm="1">
        <f t="array" aca="1" ref="P136" ca="1">9 &amp; INDEX($AH$3:$AH$6,Y136)&amp; TEXT(RANDBETWEEN(0,9999999),"0000000")</f>
        <v>919527690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8112159473342569</v>
      </c>
      <c r="T136" t="s">
        <v>341</v>
      </c>
      <c r="V136" s="4"/>
      <c r="X136">
        <f ca="1">RANDBETWEEN(2,COUNTA(rua_cod!A:A))</f>
        <v>21</v>
      </c>
      <c r="Y136">
        <f t="shared" ca="1" si="30"/>
        <v>1</v>
      </c>
      <c r="Z136">
        <f t="shared" ca="1" si="31"/>
        <v>1</v>
      </c>
      <c r="AA136">
        <f t="shared" ca="1" si="32"/>
        <v>1985</v>
      </c>
      <c r="AB136">
        <f t="shared" ca="1" si="33"/>
        <v>2</v>
      </c>
      <c r="AC136">
        <f t="shared" ca="1" si="34"/>
        <v>3</v>
      </c>
      <c r="AD136">
        <f t="shared" ca="1" si="35"/>
        <v>35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Luís Francisca Morais Esteves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Travessa de São João da Praça</v>
      </c>
      <c r="H137" t="str" cm="1">
        <f t="array" aca="1" ref="H137" ca="1">INDEX(rua_cod!$A:$A,Médicos!X137) &amp; "-" &amp; TEXT(RANDBETWEEN(0,999),"000")</f>
        <v>2805-688</v>
      </c>
      <c r="I137" t="str" cm="1">
        <f t="array" aca="1" ref="I137" ca="1">INDEX(rua_cod!$B:$B,Médicos!X137)</f>
        <v>Almada</v>
      </c>
      <c r="J137" t="s">
        <v>341</v>
      </c>
      <c r="K137" t="s">
        <v>225</v>
      </c>
      <c r="L137" t="s">
        <v>265</v>
      </c>
      <c r="M137" t="str">
        <f t="shared" ca="1" si="26"/>
        <v>99286310</v>
      </c>
      <c r="N137" t="str">
        <f t="shared" ca="1" si="27"/>
        <v>443603933</v>
      </c>
      <c r="O137" t="str">
        <f t="shared" ca="1" si="27"/>
        <v>939240945</v>
      </c>
      <c r="P137" t="str" cm="1">
        <f t="array" aca="1" ref="P137" ca="1">9 &amp; INDEX($AH$3:$AH$6,Y137)&amp; TEXT(RANDBETWEEN(0,9999999),"0000000")</f>
        <v>930901816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5973793856366562</v>
      </c>
      <c r="T137" t="s">
        <v>341</v>
      </c>
      <c r="V137" s="4"/>
      <c r="X137">
        <f ca="1">RANDBETWEEN(2,COUNTA(rua_cod!A:A))</f>
        <v>4</v>
      </c>
      <c r="Y137">
        <f t="shared" ca="1" si="30"/>
        <v>3</v>
      </c>
      <c r="Z137">
        <f t="shared" ca="1" si="31"/>
        <v>2</v>
      </c>
      <c r="AA137">
        <f t="shared" ca="1" si="32"/>
        <v>1994</v>
      </c>
      <c r="AB137">
        <f t="shared" ca="1" si="33"/>
        <v>12</v>
      </c>
      <c r="AC137">
        <f t="shared" ca="1" si="34"/>
        <v>7</v>
      </c>
      <c r="AD137">
        <f t="shared" ca="1" si="35"/>
        <v>26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Ana Tomás Anjos Abreu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Rua Augusta</v>
      </c>
      <c r="H138" t="str" cm="1">
        <f t="array" aca="1" ref="H138" ca="1">INDEX(rua_cod!$A:$A,Médicos!X138) &amp; "-" &amp; TEXT(RANDBETWEEN(0,999),"000")</f>
        <v>1600-516</v>
      </c>
      <c r="I138" t="str" cm="1">
        <f t="array" aca="1" ref="I138" ca="1">INDEX(rua_cod!$B:$B,Médicos!X138)</f>
        <v>Lisboa</v>
      </c>
      <c r="J138" t="s">
        <v>341</v>
      </c>
      <c r="K138" t="s">
        <v>225</v>
      </c>
      <c r="L138" t="s">
        <v>265</v>
      </c>
      <c r="M138" t="str">
        <f t="shared" ca="1" si="26"/>
        <v>90475451</v>
      </c>
      <c r="N138" t="str">
        <f t="shared" ca="1" si="27"/>
        <v>542225023</v>
      </c>
      <c r="O138" t="str">
        <f t="shared" ca="1" si="27"/>
        <v>529277546</v>
      </c>
      <c r="P138" t="str" cm="1">
        <f t="array" aca="1" ref="P138" ca="1">9 &amp; INDEX($AH$3:$AH$6,Y138)&amp; TEXT(RANDBETWEEN(0,9999999),"0000000")</f>
        <v>928126944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6375685798635149</v>
      </c>
      <c r="T138" t="s">
        <v>341</v>
      </c>
      <c r="V138" s="4"/>
      <c r="X138">
        <f ca="1">RANDBETWEEN(2,COUNTA(rua_cod!A:A))</f>
        <v>60</v>
      </c>
      <c r="Y138">
        <f t="shared" ca="1" si="30"/>
        <v>2</v>
      </c>
      <c r="Z138">
        <f t="shared" ca="1" si="31"/>
        <v>2</v>
      </c>
      <c r="AA138">
        <f t="shared" ca="1" si="32"/>
        <v>1975</v>
      </c>
      <c r="AB138">
        <f t="shared" ca="1" si="33"/>
        <v>1</v>
      </c>
      <c r="AC138">
        <f t="shared" ca="1" si="34"/>
        <v>28</v>
      </c>
      <c r="AD138">
        <f t="shared" ca="1" si="35"/>
        <v>45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José Diogo Machado Abreu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da Betesga</v>
      </c>
      <c r="H139" t="str" cm="1">
        <f t="array" aca="1" ref="H139" ca="1">INDEX(rua_cod!$A:$A,Médicos!X139) &amp; "-" &amp; TEXT(RANDBETWEEN(0,999),"000")</f>
        <v>1950-084</v>
      </c>
      <c r="I139" t="str" cm="1">
        <f t="array" aca="1" ref="I139" ca="1">INDEX(rua_cod!$B:$B,Médicos!X139)</f>
        <v>Lisboa</v>
      </c>
      <c r="J139" t="s">
        <v>341</v>
      </c>
      <c r="K139" t="s">
        <v>225</v>
      </c>
      <c r="L139" t="s">
        <v>265</v>
      </c>
      <c r="M139" t="str">
        <f t="shared" ca="1" si="26"/>
        <v>48661483</v>
      </c>
      <c r="N139" t="str">
        <f t="shared" ca="1" si="27"/>
        <v>240906255</v>
      </c>
      <c r="O139" t="str">
        <f t="shared" ca="1" si="27"/>
        <v>560722838</v>
      </c>
      <c r="P139" t="str" cm="1">
        <f t="array" aca="1" ref="P139" ca="1">9 &amp; INDEX($AH$3:$AH$6,Y139)&amp; TEXT(RANDBETWEEN(0,9999999),"0000000")</f>
        <v>936742784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7398699286608244</v>
      </c>
      <c r="T139" t="s">
        <v>341</v>
      </c>
      <c r="V139" s="4"/>
      <c r="X139">
        <f ca="1">RANDBETWEEN(2,COUNTA(rua_cod!A:A))</f>
        <v>41</v>
      </c>
      <c r="Y139">
        <f t="shared" ca="1" si="30"/>
        <v>3</v>
      </c>
      <c r="Z139">
        <f t="shared" ca="1" si="31"/>
        <v>3</v>
      </c>
      <c r="AA139">
        <f t="shared" ca="1" si="32"/>
        <v>1984</v>
      </c>
      <c r="AB139">
        <f t="shared" ca="1" si="33"/>
        <v>7</v>
      </c>
      <c r="AC139">
        <f t="shared" ca="1" si="34"/>
        <v>18</v>
      </c>
      <c r="AD139">
        <f t="shared" ca="1" si="35"/>
        <v>36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Lurdes Tiago Moreira Lima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Rua do Guarda-Mor</v>
      </c>
      <c r="H140" t="str" cm="1">
        <f t="array" aca="1" ref="H140" ca="1">INDEX(rua_cod!$A:$A,Médicos!X140) &amp; "-" &amp; TEXT(RANDBETWEEN(0,999),"000")</f>
        <v>2659-254</v>
      </c>
      <c r="I140" t="str" cm="1">
        <f t="array" aca="1" ref="I140" ca="1">INDEX(rua_cod!$B:$B,Médicos!X140)</f>
        <v>Ericeira</v>
      </c>
      <c r="J140" t="s">
        <v>341</v>
      </c>
      <c r="K140" t="s">
        <v>225</v>
      </c>
      <c r="L140" t="s">
        <v>265</v>
      </c>
      <c r="M140" t="str">
        <f t="shared" ca="1" si="26"/>
        <v>89671263</v>
      </c>
      <c r="N140" t="str">
        <f t="shared" ca="1" si="27"/>
        <v>594994860</v>
      </c>
      <c r="O140" t="str">
        <f t="shared" ca="1" si="27"/>
        <v>359811035</v>
      </c>
      <c r="P140" t="str" cm="1">
        <f t="array" aca="1" ref="P140" ca="1">9 &amp; INDEX($AH$3:$AH$6,Y140)&amp; TEXT(RANDBETWEEN(0,9999999),"0000000")</f>
        <v>928941033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4014517933321919</v>
      </c>
      <c r="T140" t="s">
        <v>341</v>
      </c>
      <c r="V140" s="4"/>
      <c r="X140">
        <f ca="1">RANDBETWEEN(2,COUNTA(rua_cod!A:A))</f>
        <v>32</v>
      </c>
      <c r="Y140">
        <f t="shared" ca="1" si="30"/>
        <v>2</v>
      </c>
      <c r="Z140">
        <f t="shared" ca="1" si="31"/>
        <v>2</v>
      </c>
      <c r="AA140">
        <f t="shared" ca="1" si="32"/>
        <v>1951</v>
      </c>
      <c r="AB140">
        <f t="shared" ca="1" si="33"/>
        <v>11</v>
      </c>
      <c r="AC140">
        <f t="shared" ca="1" si="34"/>
        <v>27</v>
      </c>
      <c r="AD140">
        <f t="shared" ca="1" si="35"/>
        <v>69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Duarte Rodrigo Andrade Gonçalves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Rua Augusta</v>
      </c>
      <c r="H141" t="str" cm="1">
        <f t="array" aca="1" ref="H141" ca="1">INDEX(rua_cod!$A:$A,Médicos!X141) &amp; "-" &amp; TEXT(RANDBETWEEN(0,999),"000")</f>
        <v>2650-284</v>
      </c>
      <c r="I141" t="str" cm="1">
        <f t="array" aca="1" ref="I141" ca="1">INDEX(rua_cod!$B:$B,Médicos!X141)</f>
        <v>Amadora</v>
      </c>
      <c r="J141" t="s">
        <v>341</v>
      </c>
      <c r="K141" t="s">
        <v>225</v>
      </c>
      <c r="L141" t="s">
        <v>265</v>
      </c>
      <c r="M141" t="str">
        <f t="shared" ca="1" si="26"/>
        <v>11422774</v>
      </c>
      <c r="N141" t="str">
        <f t="shared" ca="1" si="27"/>
        <v>902827915</v>
      </c>
      <c r="O141" t="str">
        <f t="shared" ca="1" si="27"/>
        <v>284961599</v>
      </c>
      <c r="P141" t="str" cm="1">
        <f t="array" aca="1" ref="P141" ca="1">9 &amp; INDEX($AH$3:$AH$6,Y141)&amp; TEXT(RANDBETWEEN(0,9999999),"0000000")</f>
        <v>920855789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7298538626914177</v>
      </c>
      <c r="T141" t="s">
        <v>341</v>
      </c>
      <c r="V141" s="4"/>
      <c r="X141">
        <f ca="1">RANDBETWEEN(2,COUNTA(rua_cod!A:A))</f>
        <v>9</v>
      </c>
      <c r="Y141">
        <f t="shared" ca="1" si="30"/>
        <v>2</v>
      </c>
      <c r="Z141">
        <f t="shared" ca="1" si="31"/>
        <v>2</v>
      </c>
      <c r="AA141">
        <f t="shared" ca="1" si="32"/>
        <v>1971</v>
      </c>
      <c r="AB141">
        <f t="shared" ca="1" si="33"/>
        <v>1</v>
      </c>
      <c r="AC141">
        <f t="shared" ca="1" si="34"/>
        <v>12</v>
      </c>
      <c r="AD141">
        <f t="shared" ca="1" si="35"/>
        <v>49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Bruno Lurdes Leite Neves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Rua da Betesga</v>
      </c>
      <c r="H142" t="str" cm="1">
        <f t="array" aca="1" ref="H142" ca="1">INDEX(rua_cod!$A:$A,Médicos!X142) &amp; "-" &amp; TEXT(RANDBETWEEN(0,999),"000")</f>
        <v>2655-604</v>
      </c>
      <c r="I142" t="str" cm="1">
        <f t="array" aca="1" ref="I142" ca="1">INDEX(rua_cod!$B:$B,Médicos!X142)</f>
        <v>Ericeira</v>
      </c>
      <c r="J142" t="s">
        <v>341</v>
      </c>
      <c r="K142" t="s">
        <v>225</v>
      </c>
      <c r="L142" t="s">
        <v>265</v>
      </c>
      <c r="M142" t="str">
        <f t="shared" ca="1" si="26"/>
        <v>21730648</v>
      </c>
      <c r="N142" t="str">
        <f t="shared" ca="1" si="27"/>
        <v>225685705</v>
      </c>
      <c r="O142" t="str">
        <f t="shared" ca="1" si="27"/>
        <v>327688285</v>
      </c>
      <c r="P142" t="str" cm="1">
        <f t="array" aca="1" ref="P142" ca="1">9 &amp; INDEX($AH$3:$AH$6,Y142)&amp; TEXT(RANDBETWEEN(0,9999999),"0000000")</f>
        <v>912942751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3543386695737718</v>
      </c>
      <c r="T142" t="s">
        <v>341</v>
      </c>
      <c r="V142" s="4"/>
      <c r="X142">
        <f ca="1">RANDBETWEEN(2,COUNTA(rua_cod!A:A))</f>
        <v>31</v>
      </c>
      <c r="Y142">
        <f t="shared" ca="1" si="30"/>
        <v>1</v>
      </c>
      <c r="Z142">
        <f t="shared" ca="1" si="31"/>
        <v>1</v>
      </c>
      <c r="AA142">
        <f t="shared" ca="1" si="32"/>
        <v>1963</v>
      </c>
      <c r="AB142">
        <f t="shared" ca="1" si="33"/>
        <v>5</v>
      </c>
      <c r="AC142">
        <f t="shared" ca="1" si="34"/>
        <v>3</v>
      </c>
      <c r="AD142">
        <f t="shared" ca="1" si="35"/>
        <v>57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André Duarte Borges Batista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de São Mamede</v>
      </c>
      <c r="H143" t="str" cm="1">
        <f t="array" aca="1" ref="H143" ca="1">INDEX(rua_cod!$A:$A,Médicos!X143) &amp; "-" &amp; TEXT(RANDBETWEEN(0,999),"000")</f>
        <v>2834-291</v>
      </c>
      <c r="I143" t="str" cm="1">
        <f t="array" aca="1" ref="I143" ca="1">INDEX(rua_cod!$B:$B,Médicos!X143)</f>
        <v>Barreiro</v>
      </c>
      <c r="J143" t="s">
        <v>341</v>
      </c>
      <c r="K143" t="s">
        <v>225</v>
      </c>
      <c r="L143" t="s">
        <v>265</v>
      </c>
      <c r="M143" t="str">
        <f t="shared" ca="1" si="26"/>
        <v>66021357</v>
      </c>
      <c r="N143" t="str">
        <f t="shared" ca="1" si="27"/>
        <v>284585550</v>
      </c>
      <c r="O143" t="str">
        <f t="shared" ca="1" si="27"/>
        <v>359131396</v>
      </c>
      <c r="P143" t="str" cm="1">
        <f t="array" aca="1" ref="P143" ca="1">9 &amp; INDEX($AH$3:$AH$6,Y143)&amp; TEXT(RANDBETWEEN(0,9999999),"0000000")</f>
        <v>933964705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7323319529261492</v>
      </c>
      <c r="T143" t="s">
        <v>341</v>
      </c>
      <c r="V143" s="4"/>
      <c r="X143">
        <f ca="1">RANDBETWEEN(2,COUNTA(rua_cod!A:A))</f>
        <v>17</v>
      </c>
      <c r="Y143">
        <f t="shared" ca="1" si="30"/>
        <v>3</v>
      </c>
      <c r="Z143">
        <f t="shared" ca="1" si="31"/>
        <v>1</v>
      </c>
      <c r="AA143">
        <f t="shared" ca="1" si="32"/>
        <v>1961</v>
      </c>
      <c r="AB143">
        <f t="shared" ca="1" si="33"/>
        <v>8</v>
      </c>
      <c r="AC143">
        <f t="shared" ca="1" si="34"/>
        <v>22</v>
      </c>
      <c r="AD143">
        <f t="shared" ca="1" si="35"/>
        <v>59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Duarte Marco Magalhães Magalhães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Rua General Morais Sarmento</v>
      </c>
      <c r="H144" t="str" cm="1">
        <f t="array" aca="1" ref="H144" ca="1">INDEX(rua_cod!$A:$A,Médicos!X144) &amp; "-" &amp; TEXT(RANDBETWEEN(0,999),"000")</f>
        <v>2750-691</v>
      </c>
      <c r="I144" t="str" cm="1">
        <f t="array" aca="1" ref="I144" ca="1">INDEX(rua_cod!$B:$B,Médicos!X144)</f>
        <v>Cascais</v>
      </c>
      <c r="J144" t="s">
        <v>341</v>
      </c>
      <c r="K144" t="s">
        <v>225</v>
      </c>
      <c r="L144" t="s">
        <v>265</v>
      </c>
      <c r="M144" t="str">
        <f t="shared" ca="1" si="26"/>
        <v>54678731</v>
      </c>
      <c r="N144" t="str">
        <f t="shared" ca="1" si="27"/>
        <v>544130420</v>
      </c>
      <c r="O144" t="str">
        <f t="shared" ca="1" si="27"/>
        <v>770259056</v>
      </c>
      <c r="P144" t="str" cm="1">
        <f t="array" aca="1" ref="P144" ca="1">9 &amp; INDEX($AH$3:$AH$6,Y144)&amp; TEXT(RANDBETWEEN(0,9999999),"0000000")</f>
        <v>923241388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9857194090137254</v>
      </c>
      <c r="T144" t="s">
        <v>341</v>
      </c>
      <c r="V144" s="4"/>
      <c r="X144">
        <f ca="1">RANDBETWEEN(2,COUNTA(rua_cod!A:A))</f>
        <v>24</v>
      </c>
      <c r="Y144">
        <f t="shared" ca="1" si="30"/>
        <v>2</v>
      </c>
      <c r="Z144">
        <f t="shared" ca="1" si="31"/>
        <v>2</v>
      </c>
      <c r="AA144">
        <f t="shared" ca="1" si="32"/>
        <v>1977</v>
      </c>
      <c r="AB144">
        <f t="shared" ca="1" si="33"/>
        <v>9</v>
      </c>
      <c r="AC144">
        <f t="shared" ca="1" si="34"/>
        <v>15</v>
      </c>
      <c r="AD144">
        <f t="shared" ca="1" si="35"/>
        <v>43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Miguel Beatriz Azevedo Macedo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Nova do Almada</v>
      </c>
      <c r="H145" t="str" cm="1">
        <f t="array" aca="1" ref="H145" ca="1">INDEX(rua_cod!$A:$A,Médicos!X145) &amp; "-" &amp; TEXT(RANDBETWEEN(0,999),"000")</f>
        <v>2704-015</v>
      </c>
      <c r="I145" t="str" cm="1">
        <f t="array" aca="1" ref="I145" ca="1">INDEX(rua_cod!$B:$B,Médicos!X145)</f>
        <v>Amadora</v>
      </c>
      <c r="J145" t="s">
        <v>341</v>
      </c>
      <c r="K145" t="s">
        <v>225</v>
      </c>
      <c r="L145" t="s">
        <v>265</v>
      </c>
      <c r="M145" t="str">
        <f t="shared" ca="1" si="26"/>
        <v>21738527</v>
      </c>
      <c r="N145" t="str">
        <f t="shared" ca="1" si="27"/>
        <v>913572165</v>
      </c>
      <c r="O145" t="str">
        <f t="shared" ca="1" si="27"/>
        <v>270502804</v>
      </c>
      <c r="P145" t="str" cm="1">
        <f t="array" aca="1" ref="P145" ca="1">9 &amp; INDEX($AH$3:$AH$6,Y145)&amp; TEXT(RANDBETWEEN(0,9999999),"0000000")</f>
        <v>921918564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6912440888497050</v>
      </c>
      <c r="T145" t="s">
        <v>341</v>
      </c>
      <c r="V145" s="4"/>
      <c r="X145">
        <f ca="1">RANDBETWEEN(2,COUNTA(rua_cod!A:A))</f>
        <v>15</v>
      </c>
      <c r="Y145">
        <f t="shared" ca="1" si="30"/>
        <v>2</v>
      </c>
      <c r="Z145">
        <f t="shared" ca="1" si="31"/>
        <v>2</v>
      </c>
      <c r="AA145">
        <f t="shared" ca="1" si="32"/>
        <v>1962</v>
      </c>
      <c r="AB145">
        <f t="shared" ca="1" si="33"/>
        <v>2</v>
      </c>
      <c r="AC145">
        <f t="shared" ca="1" si="34"/>
        <v>9</v>
      </c>
      <c r="AD145">
        <f t="shared" ca="1" si="35"/>
        <v>58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Rodrigo Afonso Pacheco Valente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Calçada do Poço dos Mouros</v>
      </c>
      <c r="H146" t="str" cm="1">
        <f t="array" aca="1" ref="H146" ca="1">INDEX(rua_cod!$A:$A,Médicos!X146) &amp; "-" &amp; TEXT(RANDBETWEEN(0,999),"000")</f>
        <v>2754-547</v>
      </c>
      <c r="I146" t="str" cm="1">
        <f t="array" aca="1" ref="I146" ca="1">INDEX(rua_cod!$B:$B,Médicos!X146)</f>
        <v>Cascais</v>
      </c>
      <c r="J146" t="s">
        <v>341</v>
      </c>
      <c r="K146" t="s">
        <v>225</v>
      </c>
      <c r="L146" t="s">
        <v>265</v>
      </c>
      <c r="M146" t="str">
        <f t="shared" ca="1" si="26"/>
        <v>62091086</v>
      </c>
      <c r="N146" t="str">
        <f t="shared" ca="1" si="27"/>
        <v>477457676</v>
      </c>
      <c r="O146" t="str">
        <f t="shared" ca="1" si="27"/>
        <v>408920259</v>
      </c>
      <c r="P146" t="str" cm="1">
        <f t="array" aca="1" ref="P146" ca="1">9 &amp; INDEX($AH$3:$AH$6,Y146)&amp; TEXT(RANDBETWEEN(0,9999999),"0000000")</f>
        <v>963018025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7694885854365643</v>
      </c>
      <c r="T146" t="s">
        <v>341</v>
      </c>
      <c r="V146" s="4"/>
      <c r="X146">
        <f ca="1">RANDBETWEEN(2,COUNTA(rua_cod!A:A))</f>
        <v>25</v>
      </c>
      <c r="Y146">
        <f t="shared" ca="1" si="30"/>
        <v>4</v>
      </c>
      <c r="Z146">
        <f t="shared" ca="1" si="31"/>
        <v>3</v>
      </c>
      <c r="AA146">
        <f t="shared" ca="1" si="32"/>
        <v>1975</v>
      </c>
      <c r="AB146">
        <f t="shared" ca="1" si="33"/>
        <v>10</v>
      </c>
      <c r="AC146">
        <f t="shared" ca="1" si="34"/>
        <v>25</v>
      </c>
      <c r="AD146">
        <f t="shared" ca="1" si="35"/>
        <v>45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Joaquim Ana Moura Castro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Avenida Ressano Garcia</v>
      </c>
      <c r="H147" t="str" cm="1">
        <f t="array" aca="1" ref="H147" ca="1">INDEX(rua_cod!$A:$A,Médicos!X147) &amp; "-" &amp; TEXT(RANDBETWEEN(0,999),"000")</f>
        <v>2814-704</v>
      </c>
      <c r="I147" t="str" cm="1">
        <f t="array" aca="1" ref="I147" ca="1">INDEX(rua_cod!$B:$B,Médicos!X147)</f>
        <v>Almada</v>
      </c>
      <c r="J147" t="s">
        <v>341</v>
      </c>
      <c r="K147" t="s">
        <v>225</v>
      </c>
      <c r="L147" t="s">
        <v>265</v>
      </c>
      <c r="M147" t="str">
        <f t="shared" ca="1" si="26"/>
        <v>89103082</v>
      </c>
      <c r="N147" t="str">
        <f t="shared" ca="1" si="27"/>
        <v>743610187</v>
      </c>
      <c r="O147" t="str">
        <f t="shared" ca="1" si="27"/>
        <v>500129836</v>
      </c>
      <c r="P147" t="str" cm="1">
        <f t="array" aca="1" ref="P147" ca="1">9 &amp; INDEX($AH$3:$AH$6,Y147)&amp; TEXT(RANDBETWEEN(0,9999999),"0000000")</f>
        <v>963279658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9864668517168086</v>
      </c>
      <c r="T147" t="s">
        <v>341</v>
      </c>
      <c r="V147" s="4"/>
      <c r="X147">
        <f ca="1">RANDBETWEEN(2,COUNTA(rua_cod!A:A))</f>
        <v>6</v>
      </c>
      <c r="Y147">
        <f t="shared" ca="1" si="30"/>
        <v>4</v>
      </c>
      <c r="Z147">
        <f t="shared" ca="1" si="31"/>
        <v>1</v>
      </c>
      <c r="AA147">
        <f t="shared" ca="1" si="32"/>
        <v>1952</v>
      </c>
      <c r="AB147">
        <f t="shared" ca="1" si="33"/>
        <v>3</v>
      </c>
      <c r="AC147">
        <f t="shared" ca="1" si="34"/>
        <v>8</v>
      </c>
      <c r="AD147">
        <f t="shared" ca="1" si="35"/>
        <v>68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Luís Marco Paiva Pinho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Estrada Militar</v>
      </c>
      <c r="H148" t="str" cm="1">
        <f t="array" aca="1" ref="H148" ca="1">INDEX(rua_cod!$A:$A,Médicos!X148) &amp; "-" &amp; TEXT(RANDBETWEEN(0,999),"000")</f>
        <v>1949-645</v>
      </c>
      <c r="I148" t="str" cm="1">
        <f t="array" aca="1" ref="I148" ca="1">INDEX(rua_cod!$B:$B,Médicos!X148)</f>
        <v>Lisboa</v>
      </c>
      <c r="J148" t="s">
        <v>341</v>
      </c>
      <c r="K148" t="s">
        <v>225</v>
      </c>
      <c r="L148" t="s">
        <v>265</v>
      </c>
      <c r="M148" t="str">
        <f t="shared" ca="1" si="26"/>
        <v>32675612</v>
      </c>
      <c r="N148" t="str">
        <f t="shared" ca="1" si="27"/>
        <v>192449057</v>
      </c>
      <c r="O148" t="str">
        <f t="shared" ca="1" si="27"/>
        <v>538255343</v>
      </c>
      <c r="P148" t="str" cm="1">
        <f t="array" aca="1" ref="P148" ca="1">9 &amp; INDEX($AH$3:$AH$6,Y148)&amp; TEXT(RANDBETWEEN(0,9999999),"0000000")</f>
        <v>913620853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9227384308838224</v>
      </c>
      <c r="T148" t="s">
        <v>341</v>
      </c>
      <c r="V148" s="4"/>
      <c r="X148">
        <f ca="1">RANDBETWEEN(2,COUNTA(rua_cod!A:A))</f>
        <v>45</v>
      </c>
      <c r="Y148">
        <f t="shared" ca="1" si="30"/>
        <v>1</v>
      </c>
      <c r="Z148">
        <f t="shared" ca="1" si="31"/>
        <v>3</v>
      </c>
      <c r="AA148">
        <f t="shared" ca="1" si="32"/>
        <v>1958</v>
      </c>
      <c r="AB148">
        <f t="shared" ca="1" si="33"/>
        <v>6</v>
      </c>
      <c r="AC148">
        <f t="shared" ca="1" si="34"/>
        <v>10</v>
      </c>
      <c r="AD148">
        <f t="shared" ca="1" si="35"/>
        <v>62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Lara Matilde Barbosa Amaral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do Arsenal</v>
      </c>
      <c r="H149" t="str" cm="1">
        <f t="array" aca="1" ref="H149" ca="1">INDEX(rua_cod!$A:$A,Médicos!X149) &amp; "-" &amp; TEXT(RANDBETWEEN(0,999),"000")</f>
        <v>2830-164</v>
      </c>
      <c r="I149" t="str" cm="1">
        <f t="array" aca="1" ref="I149" ca="1">INDEX(rua_cod!$B:$B,Médicos!X149)</f>
        <v>Barreiro</v>
      </c>
      <c r="J149" t="s">
        <v>341</v>
      </c>
      <c r="K149" t="s">
        <v>225</v>
      </c>
      <c r="L149" t="s">
        <v>265</v>
      </c>
      <c r="M149" t="str">
        <f t="shared" ca="1" si="26"/>
        <v>80287999</v>
      </c>
      <c r="N149" t="str">
        <f t="shared" ca="1" si="27"/>
        <v>216476045</v>
      </c>
      <c r="O149" t="str">
        <f t="shared" ca="1" si="27"/>
        <v>817104764</v>
      </c>
      <c r="P149" t="str" cm="1">
        <f t="array" aca="1" ref="P149" ca="1">9 &amp; INDEX($AH$3:$AH$6,Y149)&amp; TEXT(RANDBETWEEN(0,9999999),"0000000")</f>
        <v>915480941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4505817795020473</v>
      </c>
      <c r="T149" t="s">
        <v>341</v>
      </c>
      <c r="V149" s="4"/>
      <c r="X149">
        <f ca="1">RANDBETWEEN(2,COUNTA(rua_cod!A:A))</f>
        <v>16</v>
      </c>
      <c r="Y149">
        <f t="shared" ca="1" si="30"/>
        <v>1</v>
      </c>
      <c r="Z149">
        <f t="shared" ca="1" si="31"/>
        <v>3</v>
      </c>
      <c r="AA149">
        <f t="shared" ca="1" si="32"/>
        <v>1953</v>
      </c>
      <c r="AB149">
        <f t="shared" ca="1" si="33"/>
        <v>7</v>
      </c>
      <c r="AC149">
        <f t="shared" ca="1" si="34"/>
        <v>24</v>
      </c>
      <c r="AD149">
        <f t="shared" ca="1" si="35"/>
        <v>67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André Pedro Henriques Leal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Calçada do Poço dos Mouros</v>
      </c>
      <c r="H150" t="str" cm="1">
        <f t="array" aca="1" ref="H150" ca="1">INDEX(rua_cod!$A:$A,Médicos!X150) &amp; "-" &amp; TEXT(RANDBETWEEN(0,999),"000")</f>
        <v>1349-316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12905400</v>
      </c>
      <c r="N150" t="str">
        <f t="shared" ca="1" si="27"/>
        <v>125063505</v>
      </c>
      <c r="O150" t="str">
        <f t="shared" ca="1" si="27"/>
        <v>501138053</v>
      </c>
      <c r="P150" t="str" cm="1">
        <f t="array" aca="1" ref="P150" ca="1">9 &amp; INDEX($AH$3:$AH$6,Y150)&amp; TEXT(RANDBETWEEN(0,9999999),"0000000")</f>
        <v>936431971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7928779022501213</v>
      </c>
      <c r="T150" t="s">
        <v>341</v>
      </c>
      <c r="V150" s="4"/>
      <c r="X150">
        <f ca="1">RANDBETWEEN(2,COUNTA(rua_cod!A:A))</f>
        <v>71</v>
      </c>
      <c r="Y150">
        <f t="shared" ca="1" si="30"/>
        <v>3</v>
      </c>
      <c r="Z150">
        <f t="shared" ca="1" si="31"/>
        <v>2</v>
      </c>
      <c r="AA150">
        <f t="shared" ca="1" si="32"/>
        <v>1965</v>
      </c>
      <c r="AB150">
        <f t="shared" ca="1" si="33"/>
        <v>5</v>
      </c>
      <c r="AC150">
        <f t="shared" ca="1" si="34"/>
        <v>29</v>
      </c>
      <c r="AD150">
        <f t="shared" ca="1" si="35"/>
        <v>55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Luís Joana Silva Simões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Avenida Ressano Garcia</v>
      </c>
      <c r="H151" t="str" cm="1">
        <f t="array" aca="1" ref="H151" ca="1">INDEX(rua_cod!$A:$A,Médicos!X151) &amp; "-" &amp; TEXT(RANDBETWEEN(0,999),"000")</f>
        <v>2754-578</v>
      </c>
      <c r="I151" t="str" cm="1">
        <f t="array" aca="1" ref="I151" ca="1">INDEX(rua_cod!$B:$B,Médicos!X151)</f>
        <v>Cascais</v>
      </c>
      <c r="J151" t="s">
        <v>341</v>
      </c>
      <c r="K151" t="s">
        <v>225</v>
      </c>
      <c r="L151" t="s">
        <v>265</v>
      </c>
      <c r="M151" t="str">
        <f t="shared" ca="1" si="26"/>
        <v>37214987</v>
      </c>
      <c r="N151" t="str">
        <f t="shared" ca="1" si="27"/>
        <v>361002811</v>
      </c>
      <c r="O151" t="str">
        <f t="shared" ca="1" si="27"/>
        <v>447363077</v>
      </c>
      <c r="P151" t="str" cm="1">
        <f t="array" aca="1" ref="P151" ca="1">9 &amp; INDEX($AH$3:$AH$6,Y151)&amp; TEXT(RANDBETWEEN(0,9999999),"0000000")</f>
        <v>965743122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5819712431994805</v>
      </c>
      <c r="T151" t="s">
        <v>341</v>
      </c>
      <c r="V151" s="4"/>
      <c r="X151">
        <f ca="1">RANDBETWEEN(2,COUNTA(rua_cod!A:A))</f>
        <v>25</v>
      </c>
      <c r="Y151">
        <f t="shared" ca="1" si="30"/>
        <v>4</v>
      </c>
      <c r="Z151">
        <f t="shared" ca="1" si="31"/>
        <v>3</v>
      </c>
      <c r="AA151">
        <f t="shared" ca="1" si="32"/>
        <v>1979</v>
      </c>
      <c r="AB151">
        <f t="shared" ca="1" si="33"/>
        <v>4</v>
      </c>
      <c r="AC151">
        <f t="shared" ca="1" si="34"/>
        <v>22</v>
      </c>
      <c r="AD151">
        <f t="shared" ca="1" si="35"/>
        <v>41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Sofia André Torres Esteves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dos Bacalhoeiros</v>
      </c>
      <c r="H152" t="str" cm="1">
        <f t="array" aca="1" ref="H152" ca="1">INDEX(rua_cod!$A:$A,Médicos!X152) &amp; "-" &amp; TEXT(RANDBETWEEN(0,999),"000")</f>
        <v>2610-788</v>
      </c>
      <c r="I152" t="str" cm="1">
        <f t="array" aca="1" ref="I152" ca="1">INDEX(rua_cod!$B:$B,Médicos!X152)</f>
        <v>Amadora</v>
      </c>
      <c r="J152" t="s">
        <v>341</v>
      </c>
      <c r="K152" t="s">
        <v>225</v>
      </c>
      <c r="L152" t="s">
        <v>265</v>
      </c>
      <c r="M152" t="str">
        <f t="shared" ca="1" si="26"/>
        <v>83966120</v>
      </c>
      <c r="N152" t="str">
        <f t="shared" ca="1" si="27"/>
        <v>416640380</v>
      </c>
      <c r="O152" t="str">
        <f t="shared" ca="1" si="27"/>
        <v>131159353</v>
      </c>
      <c r="P152" t="str" cm="1">
        <f t="array" aca="1" ref="P152" ca="1">9 &amp; INDEX($AH$3:$AH$6,Y152)&amp; TEXT(RANDBETWEEN(0,9999999),"0000000")</f>
        <v>926295857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9029602689288456</v>
      </c>
      <c r="T152" t="s">
        <v>341</v>
      </c>
      <c r="V152" s="4"/>
      <c r="X152">
        <f ca="1">RANDBETWEEN(2,COUNTA(rua_cod!A:A))</f>
        <v>12</v>
      </c>
      <c r="Y152">
        <f t="shared" ca="1" si="30"/>
        <v>2</v>
      </c>
      <c r="Z152">
        <f t="shared" ca="1" si="31"/>
        <v>2</v>
      </c>
      <c r="AA152">
        <f t="shared" ca="1" si="32"/>
        <v>1976</v>
      </c>
      <c r="AB152">
        <f t="shared" ca="1" si="33"/>
        <v>8</v>
      </c>
      <c r="AC152">
        <f t="shared" ca="1" si="34"/>
        <v>13</v>
      </c>
      <c r="AD152">
        <f t="shared" ca="1" si="35"/>
        <v>44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Francisco Lara Campos Valente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Calçada de Carriche</v>
      </c>
      <c r="H153" t="str" cm="1">
        <f t="array" aca="1" ref="H153" ca="1">INDEX(rua_cod!$A:$A,Médicos!X153) &amp; "-" &amp; TEXT(RANDBETWEEN(0,999),"000")</f>
        <v>1000-469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28663613</v>
      </c>
      <c r="N153" t="str">
        <f t="shared" ca="1" si="27"/>
        <v>411003715</v>
      </c>
      <c r="O153" t="str">
        <f t="shared" ca="1" si="27"/>
        <v>366619390</v>
      </c>
      <c r="P153" t="str" cm="1">
        <f t="array" aca="1" ref="P153" ca="1">9 &amp; INDEX($AH$3:$AH$6,Y153)&amp; TEXT(RANDBETWEEN(0,9999999),"0000000")</f>
        <v>929673859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8176869096417513</v>
      </c>
      <c r="T153" t="s">
        <v>341</v>
      </c>
      <c r="V153" s="4"/>
      <c r="X153">
        <f ca="1">RANDBETWEEN(2,COUNTA(rua_cod!A:A))</f>
        <v>62</v>
      </c>
      <c r="Y153">
        <f t="shared" ca="1" si="30"/>
        <v>2</v>
      </c>
      <c r="Z153">
        <f t="shared" ca="1" si="31"/>
        <v>2</v>
      </c>
      <c r="AA153">
        <f t="shared" ca="1" si="32"/>
        <v>1984</v>
      </c>
      <c r="AB153">
        <f t="shared" ca="1" si="33"/>
        <v>9</v>
      </c>
      <c r="AC153">
        <f t="shared" ca="1" si="34"/>
        <v>15</v>
      </c>
      <c r="AD153">
        <f t="shared" ca="1" si="35"/>
        <v>36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André Gabriel Brito Barros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do Sacramento à Lapa</v>
      </c>
      <c r="H154" t="str" cm="1">
        <f t="array" aca="1" ref="H154" ca="1">INDEX(rua_cod!$A:$A,Médicos!X154) &amp; "-" &amp; TEXT(RANDBETWEEN(0,999),"000")</f>
        <v>1400-732</v>
      </c>
      <c r="I154" t="str" cm="1">
        <f t="array" aca="1" ref="I154" ca="1">INDEX(rua_cod!$B:$B,Médicos!X154)</f>
        <v>Lisboa</v>
      </c>
      <c r="J154" t="s">
        <v>341</v>
      </c>
      <c r="K154" t="s">
        <v>225</v>
      </c>
      <c r="L154" t="s">
        <v>265</v>
      </c>
      <c r="M154" t="str">
        <f t="shared" ca="1" si="26"/>
        <v>25482706</v>
      </c>
      <c r="N154" t="str">
        <f t="shared" ca="1" si="27"/>
        <v>765402945</v>
      </c>
      <c r="O154" t="str">
        <f t="shared" ca="1" si="27"/>
        <v>536384914</v>
      </c>
      <c r="P154" t="str" cm="1">
        <f t="array" aca="1" ref="P154" ca="1">9 &amp; INDEX($AH$3:$AH$6,Y154)&amp; TEXT(RANDBETWEEN(0,9999999),"0000000")</f>
        <v>920009863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2954841087591391</v>
      </c>
      <c r="T154" t="s">
        <v>341</v>
      </c>
      <c r="V154" s="4"/>
      <c r="X154">
        <f ca="1">RANDBETWEEN(2,COUNTA(rua_cod!A:A))</f>
        <v>57</v>
      </c>
      <c r="Y154">
        <f t="shared" ca="1" si="30"/>
        <v>2</v>
      </c>
      <c r="Z154">
        <f t="shared" ca="1" si="31"/>
        <v>2</v>
      </c>
      <c r="AA154">
        <f t="shared" ca="1" si="32"/>
        <v>1975</v>
      </c>
      <c r="AB154">
        <f t="shared" ca="1" si="33"/>
        <v>7</v>
      </c>
      <c r="AC154">
        <f t="shared" ca="1" si="34"/>
        <v>6</v>
      </c>
      <c r="AD154">
        <f t="shared" ca="1" si="35"/>
        <v>45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Leonor Laura Garcia Gaspar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dos Heróis de Quionga</v>
      </c>
      <c r="H155" t="str" cm="1">
        <f t="array" aca="1" ref="H155" ca="1">INDEX(rua_cod!$A:$A,Médicos!X155) &amp; "-" &amp; TEXT(RANDBETWEEN(0,999),"000")</f>
        <v>2834-966</v>
      </c>
      <c r="I155" t="str" cm="1">
        <f t="array" aca="1" ref="I155" ca="1">INDEX(rua_cod!$B:$B,Médicos!X155)</f>
        <v>Barreiro</v>
      </c>
      <c r="J155" t="s">
        <v>341</v>
      </c>
      <c r="K155" t="s">
        <v>225</v>
      </c>
      <c r="L155" t="s">
        <v>265</v>
      </c>
      <c r="M155" t="str">
        <f t="shared" ca="1" si="26"/>
        <v>41364663</v>
      </c>
      <c r="N155" t="str">
        <f t="shared" ca="1" si="27"/>
        <v>297121548</v>
      </c>
      <c r="O155" t="str">
        <f t="shared" ca="1" si="27"/>
        <v>207729858</v>
      </c>
      <c r="P155" t="str" cm="1">
        <f t="array" aca="1" ref="P155" ca="1">9 &amp; INDEX($AH$3:$AH$6,Y155)&amp; TEXT(RANDBETWEEN(0,9999999),"0000000")</f>
        <v>914810007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1000956305061079</v>
      </c>
      <c r="T155" t="s">
        <v>341</v>
      </c>
      <c r="V155" s="4"/>
      <c r="X155">
        <f ca="1">RANDBETWEEN(2,COUNTA(rua_cod!A:A))</f>
        <v>17</v>
      </c>
      <c r="Y155">
        <f t="shared" ca="1" si="30"/>
        <v>1</v>
      </c>
      <c r="Z155">
        <f t="shared" ca="1" si="31"/>
        <v>1</v>
      </c>
      <c r="AA155">
        <f t="shared" ca="1" si="32"/>
        <v>1955</v>
      </c>
      <c r="AB155">
        <f t="shared" ca="1" si="33"/>
        <v>11</v>
      </c>
      <c r="AC155">
        <f t="shared" ca="1" si="34"/>
        <v>6</v>
      </c>
      <c r="AD155">
        <f t="shared" ca="1" si="35"/>
        <v>65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Joana Miguel Simões Magalhães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da Prata</v>
      </c>
      <c r="H156" t="str" cm="1">
        <f t="array" aca="1" ref="H156" ca="1">INDEX(rua_cod!$A:$A,Médicos!X156) &amp; "-" &amp; TEXT(RANDBETWEEN(0,999),"000")</f>
        <v>2674-033</v>
      </c>
      <c r="I156" t="str" cm="1">
        <f t="array" aca="1" ref="I156" ca="1">INDEX(rua_cod!$B:$B,Médicos!X156)</f>
        <v>Loures</v>
      </c>
      <c r="J156" t="s">
        <v>341</v>
      </c>
      <c r="K156" t="s">
        <v>225</v>
      </c>
      <c r="L156" t="s">
        <v>265</v>
      </c>
      <c r="M156" t="str">
        <f t="shared" ca="1" si="26"/>
        <v>70583638</v>
      </c>
      <c r="N156" t="str">
        <f t="shared" ca="1" si="27"/>
        <v>820797322</v>
      </c>
      <c r="O156" t="str">
        <f t="shared" ca="1" si="27"/>
        <v>488415616</v>
      </c>
      <c r="P156" t="str" cm="1">
        <f t="array" aca="1" ref="P156" ca="1">9 &amp; INDEX($AH$3:$AH$6,Y156)&amp; TEXT(RANDBETWEEN(0,9999999),"0000000")</f>
        <v>960245585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8132520382886093</v>
      </c>
      <c r="T156" t="s">
        <v>341</v>
      </c>
      <c r="V156" s="4"/>
      <c r="X156">
        <f ca="1">RANDBETWEEN(2,COUNTA(rua_cod!A:A))</f>
        <v>84</v>
      </c>
      <c r="Y156">
        <f t="shared" ca="1" si="30"/>
        <v>4</v>
      </c>
      <c r="Z156">
        <f t="shared" ca="1" si="31"/>
        <v>3</v>
      </c>
      <c r="AA156">
        <f t="shared" ca="1" si="32"/>
        <v>1952</v>
      </c>
      <c r="AB156">
        <f t="shared" ca="1" si="33"/>
        <v>3</v>
      </c>
      <c r="AC156">
        <f t="shared" ca="1" si="34"/>
        <v>29</v>
      </c>
      <c r="AD156">
        <f t="shared" ca="1" si="35"/>
        <v>68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Luís Sofia Neto Fernandes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Rua General Morais Sarmento</v>
      </c>
      <c r="H157" t="str" cm="1">
        <f t="array" aca="1" ref="H157" ca="1">INDEX(rua_cod!$A:$A,Médicos!X157) &amp; "-" &amp; TEXT(RANDBETWEEN(0,999),"000")</f>
        <v>2780-844</v>
      </c>
      <c r="I157" t="str" cm="1">
        <f t="array" aca="1" ref="I157" ca="1">INDEX(rua_cod!$B:$B,Médicos!X157)</f>
        <v>Oeiras</v>
      </c>
      <c r="J157" t="s">
        <v>341</v>
      </c>
      <c r="K157" t="s">
        <v>225</v>
      </c>
      <c r="L157" t="s">
        <v>265</v>
      </c>
      <c r="M157" t="str">
        <f t="shared" ca="1" si="26"/>
        <v>58386578</v>
      </c>
      <c r="N157" t="str">
        <f t="shared" ca="1" si="27"/>
        <v>398261928</v>
      </c>
      <c r="O157" t="str">
        <f t="shared" ca="1" si="27"/>
        <v>745805040</v>
      </c>
      <c r="P157" t="str" cm="1">
        <f t="array" aca="1" ref="P157" ca="1">9 &amp; INDEX($AH$3:$AH$6,Y157)&amp; TEXT(RANDBETWEEN(0,9999999),"0000000")</f>
        <v>933281122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7783983921926235</v>
      </c>
      <c r="T157" t="s">
        <v>341</v>
      </c>
      <c r="V157" s="4"/>
      <c r="X157">
        <f ca="1">RANDBETWEEN(2,COUNTA(rua_cod!A:A))</f>
        <v>88</v>
      </c>
      <c r="Y157">
        <f t="shared" ca="1" si="30"/>
        <v>3</v>
      </c>
      <c r="Z157">
        <f t="shared" ca="1" si="31"/>
        <v>2</v>
      </c>
      <c r="AA157">
        <f t="shared" ca="1" si="32"/>
        <v>1965</v>
      </c>
      <c r="AB157">
        <f t="shared" ca="1" si="33"/>
        <v>5</v>
      </c>
      <c r="AC157">
        <f t="shared" ca="1" si="34"/>
        <v>16</v>
      </c>
      <c r="AD157">
        <f t="shared" ca="1" si="35"/>
        <v>55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Rodrigo Lurdes Baptista Simões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Nova do Almada</v>
      </c>
      <c r="H158" t="str" cm="1">
        <f t="array" aca="1" ref="H158" ca="1">INDEX(rua_cod!$A:$A,Médicos!X158) &amp; "-" &amp; TEXT(RANDBETWEEN(0,999),"000")</f>
        <v>1100-063</v>
      </c>
      <c r="I158" t="str" cm="1">
        <f t="array" aca="1" ref="I158" ca="1">INDEX(rua_cod!$B:$B,Médicos!X158)</f>
        <v>Lisboa</v>
      </c>
      <c r="J158" t="s">
        <v>341</v>
      </c>
      <c r="K158" t="s">
        <v>225</v>
      </c>
      <c r="L158" t="s">
        <v>265</v>
      </c>
      <c r="M158" t="str">
        <f t="shared" ca="1" si="26"/>
        <v>45025823</v>
      </c>
      <c r="N158" t="str">
        <f t="shared" ca="1" si="27"/>
        <v>332576686</v>
      </c>
      <c r="O158" t="str">
        <f t="shared" ca="1" si="27"/>
        <v>223939937</v>
      </c>
      <c r="P158" t="str" cm="1">
        <f t="array" aca="1" ref="P158" ca="1">9 &amp; INDEX($AH$3:$AH$6,Y158)&amp; TEXT(RANDBETWEEN(0,9999999),"0000000")</f>
        <v>926088652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9921593681079800</v>
      </c>
      <c r="T158" t="s">
        <v>341</v>
      </c>
      <c r="V158" s="4"/>
      <c r="X158">
        <f ca="1">RANDBETWEEN(2,COUNTA(rua_cod!A:A))</f>
        <v>46</v>
      </c>
      <c r="Y158">
        <f t="shared" ca="1" si="30"/>
        <v>2</v>
      </c>
      <c r="Z158">
        <f t="shared" ca="1" si="31"/>
        <v>1</v>
      </c>
      <c r="AA158">
        <f t="shared" ca="1" si="32"/>
        <v>1977</v>
      </c>
      <c r="AB158">
        <f t="shared" ca="1" si="33"/>
        <v>7</v>
      </c>
      <c r="AC158">
        <f t="shared" ca="1" si="34"/>
        <v>12</v>
      </c>
      <c r="AD158">
        <f t="shared" ca="1" si="35"/>
        <v>43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Laura Sara Guerreiro Garcia</v>
      </c>
      <c r="E159" t="str">
        <f ca="1">Nomes!S160</f>
        <v>Feminino</v>
      </c>
      <c r="F159" s="2">
        <v>28184</v>
      </c>
      <c r="G159" t="str" cm="1">
        <f t="array" aca="1" ref="G159" ca="1">INDEX(rua_cod!$F:$F,RANDBETWEEN(2,COUNTA(rua_cod!F:F)))</f>
        <v>Calçada do Moinho de Vento</v>
      </c>
      <c r="H159" t="str" cm="1">
        <f t="array" aca="1" ref="H159" ca="1">INDEX(rua_cod!$A:$A,Médicos!X159) &amp; "-" &amp; TEXT(RANDBETWEEN(0,999),"000")</f>
        <v>1750-977</v>
      </c>
      <c r="I159" t="str" cm="1">
        <f t="array" aca="1" ref="I159" ca="1">INDEX(rua_cod!$B:$B,Médicos!X159)</f>
        <v>Lisboa</v>
      </c>
      <c r="J159" t="s">
        <v>341</v>
      </c>
      <c r="K159" t="s">
        <v>225</v>
      </c>
      <c r="L159" t="s">
        <v>265</v>
      </c>
      <c r="M159" t="str">
        <f t="shared" ca="1" si="26"/>
        <v>13676223</v>
      </c>
      <c r="N159" t="str">
        <f t="shared" ca="1" si="27"/>
        <v>307679278</v>
      </c>
      <c r="O159" t="str">
        <f t="shared" ca="1" si="27"/>
        <v>641449523</v>
      </c>
      <c r="P159" t="str" cm="1">
        <f t="array" aca="1" ref="P159" ca="1">9 &amp; INDEX($AH$3:$AH$6,Y159)&amp; TEXT(RANDBETWEEN(0,9999999),"0000000")</f>
        <v>937967987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8146381407998538</v>
      </c>
      <c r="T159" t="s">
        <v>341</v>
      </c>
      <c r="V159" s="4"/>
      <c r="X159">
        <f ca="1">RANDBETWEEN(2,COUNTA(rua_cod!A:A))</f>
        <v>49</v>
      </c>
      <c r="Y159">
        <f t="shared" ca="1" si="30"/>
        <v>3</v>
      </c>
      <c r="Z159">
        <f t="shared" ca="1" si="31"/>
        <v>2</v>
      </c>
      <c r="AA159">
        <f t="shared" ca="1" si="32"/>
        <v>1976</v>
      </c>
      <c r="AB159">
        <f t="shared" ca="1" si="33"/>
        <v>4</v>
      </c>
      <c r="AC159">
        <f t="shared" ca="1" si="34"/>
        <v>21</v>
      </c>
      <c r="AD159">
        <f t="shared" ca="1" si="35"/>
        <v>44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Inês Santiago Assunção Borges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de São Mamede</v>
      </c>
      <c r="H160" t="str" cm="1">
        <f t="array" aca="1" ref="H160" ca="1">INDEX(rua_cod!$A:$A,Médicos!X160) &amp; "-" &amp; TEXT(RANDBETWEEN(0,999),"000")</f>
        <v>1249-197</v>
      </c>
      <c r="I160" t="str" cm="1">
        <f t="array" aca="1" ref="I160" ca="1">INDEX(rua_cod!$B:$B,Médicos!X160)</f>
        <v>Lisboa</v>
      </c>
      <c r="J160" t="s">
        <v>341</v>
      </c>
      <c r="K160" t="s">
        <v>225</v>
      </c>
      <c r="L160" t="s">
        <v>265</v>
      </c>
      <c r="M160" t="str">
        <f t="shared" ca="1" si="26"/>
        <v>52003786</v>
      </c>
      <c r="N160" t="str">
        <f t="shared" ca="1" si="27"/>
        <v>349538121</v>
      </c>
      <c r="O160" t="str">
        <f t="shared" ca="1" si="27"/>
        <v>882129899</v>
      </c>
      <c r="P160" t="str" cm="1">
        <f t="array" aca="1" ref="P160" ca="1">9 &amp; INDEX($AH$3:$AH$6,Y160)&amp; TEXT(RANDBETWEEN(0,9999999),"0000000")</f>
        <v>916649610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3212206409477872</v>
      </c>
      <c r="T160" t="s">
        <v>341</v>
      </c>
      <c r="V160" s="4"/>
      <c r="X160">
        <f ca="1">RANDBETWEEN(2,COUNTA(rua_cod!A:A))</f>
        <v>63</v>
      </c>
      <c r="Y160">
        <f t="shared" ca="1" si="30"/>
        <v>1</v>
      </c>
      <c r="Z160">
        <f t="shared" ca="1" si="31"/>
        <v>2</v>
      </c>
      <c r="AA160">
        <f t="shared" ca="1" si="32"/>
        <v>1951</v>
      </c>
      <c r="AB160">
        <f t="shared" ca="1" si="33"/>
        <v>9</v>
      </c>
      <c r="AC160">
        <f t="shared" ca="1" si="34"/>
        <v>31</v>
      </c>
      <c r="AD160">
        <f t="shared" ca="1" si="35"/>
        <v>69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Joana Daniela Gonçalves Baptista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Ferreira Lapa</v>
      </c>
      <c r="H161" t="str" cm="1">
        <f t="array" aca="1" ref="H161" ca="1">INDEX(rua_cod!$A:$A,Médicos!X161) &amp; "-" &amp; TEXT(RANDBETWEEN(0,999),"000")</f>
        <v>1800-592</v>
      </c>
      <c r="I161" t="str" cm="1">
        <f t="array" aca="1" ref="I161" ca="1">INDEX(rua_cod!$B:$B,Médicos!X161)</f>
        <v>Lisboa</v>
      </c>
      <c r="J161" t="s">
        <v>341</v>
      </c>
      <c r="K161" t="s">
        <v>225</v>
      </c>
      <c r="L161" t="s">
        <v>265</v>
      </c>
      <c r="M161" t="str">
        <f t="shared" ca="1" si="26"/>
        <v>38783660</v>
      </c>
      <c r="N161" t="str">
        <f t="shared" ca="1" si="27"/>
        <v>913884488</v>
      </c>
      <c r="O161" t="str">
        <f t="shared" ca="1" si="27"/>
        <v>822306861</v>
      </c>
      <c r="P161" t="str" cm="1">
        <f t="array" aca="1" ref="P161" ca="1">9 &amp; INDEX($AH$3:$AH$6,Y161)&amp; TEXT(RANDBETWEEN(0,9999999),"0000000")</f>
        <v>925902199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7698523703296158</v>
      </c>
      <c r="T161" t="s">
        <v>341</v>
      </c>
      <c r="V161" s="4"/>
      <c r="X161">
        <f ca="1">RANDBETWEEN(2,COUNTA(rua_cod!A:A))</f>
        <v>56</v>
      </c>
      <c r="Y161">
        <f t="shared" ca="1" si="30"/>
        <v>2</v>
      </c>
      <c r="Z161">
        <f t="shared" ca="1" si="31"/>
        <v>2</v>
      </c>
      <c r="AA161">
        <f t="shared" ca="1" si="32"/>
        <v>1962</v>
      </c>
      <c r="AB161">
        <f t="shared" ca="1" si="33"/>
        <v>11</v>
      </c>
      <c r="AC161">
        <f t="shared" ca="1" si="34"/>
        <v>17</v>
      </c>
      <c r="AD161">
        <f t="shared" ca="1" si="35"/>
        <v>58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Laura Diana Araújo Anjos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de São Bento</v>
      </c>
      <c r="H162" t="str" cm="1">
        <f t="array" aca="1" ref="H162" ca="1">INDEX(rua_cod!$A:$A,Médicos!X162) &amp; "-" &amp; TEXT(RANDBETWEEN(0,999),"000")</f>
        <v>1067-314</v>
      </c>
      <c r="I162" t="str" cm="1">
        <f t="array" aca="1" ref="I162" ca="1">INDEX(rua_cod!$B:$B,Médicos!X162)</f>
        <v>Lisboa</v>
      </c>
      <c r="J162" t="s">
        <v>341</v>
      </c>
      <c r="K162" t="s">
        <v>225</v>
      </c>
      <c r="L162" t="s">
        <v>265</v>
      </c>
      <c r="M162" t="str">
        <f t="shared" ca="1" si="26"/>
        <v>27233695</v>
      </c>
      <c r="N162" t="str">
        <f t="shared" ca="1" si="27"/>
        <v>689060306</v>
      </c>
      <c r="O162" t="str">
        <f t="shared" ca="1" si="27"/>
        <v>682181266</v>
      </c>
      <c r="P162" t="str" cm="1">
        <f t="array" aca="1" ref="P162" ca="1">9 &amp; INDEX($AH$3:$AH$6,Y162)&amp; TEXT(RANDBETWEEN(0,9999999),"0000000")</f>
        <v>919454395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3648854159377488</v>
      </c>
      <c r="T162" t="s">
        <v>341</v>
      </c>
      <c r="V162" s="4"/>
      <c r="X162">
        <f ca="1">RANDBETWEEN(2,COUNTA(rua_cod!A:A))</f>
        <v>82</v>
      </c>
      <c r="Y162">
        <f t="shared" ca="1" si="30"/>
        <v>1</v>
      </c>
      <c r="Z162">
        <f t="shared" ca="1" si="31"/>
        <v>2</v>
      </c>
      <c r="AA162">
        <f t="shared" ca="1" si="32"/>
        <v>1972</v>
      </c>
      <c r="AB162">
        <f t="shared" ca="1" si="33"/>
        <v>8</v>
      </c>
      <c r="AC162">
        <f t="shared" ca="1" si="34"/>
        <v>10</v>
      </c>
      <c r="AD162">
        <f t="shared" ca="1" si="35"/>
        <v>48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Vera Ana Costa Azevedo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Calçada de Carriche</v>
      </c>
      <c r="H163" t="str" cm="1">
        <f t="array" aca="1" ref="H163" ca="1">INDEX(rua_cod!$A:$A,Médicos!X163) &amp; "-" &amp; TEXT(RANDBETWEEN(0,999),"000")</f>
        <v>2750-695</v>
      </c>
      <c r="I163" t="str" cm="1">
        <f t="array" aca="1" ref="I163" ca="1">INDEX(rua_cod!$B:$B,Médicos!X163)</f>
        <v>Cascais</v>
      </c>
      <c r="J163" t="s">
        <v>341</v>
      </c>
      <c r="K163" t="s">
        <v>225</v>
      </c>
      <c r="L163" t="s">
        <v>265</v>
      </c>
      <c r="M163" t="str">
        <f t="shared" ca="1" si="26"/>
        <v>43551861</v>
      </c>
      <c r="N163" t="str">
        <f t="shared" ca="1" si="27"/>
        <v>605102614</v>
      </c>
      <c r="O163" t="str">
        <f t="shared" ca="1" si="27"/>
        <v>300055587</v>
      </c>
      <c r="P163" t="str" cm="1">
        <f t="array" aca="1" ref="P163" ca="1">9 &amp; INDEX($AH$3:$AH$6,Y163)&amp; TEXT(RANDBETWEEN(0,9999999),"0000000")</f>
        <v>968406933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9093431420933240</v>
      </c>
      <c r="T163" t="s">
        <v>341</v>
      </c>
      <c r="V163" s="4"/>
      <c r="X163">
        <f ca="1">RANDBETWEEN(2,COUNTA(rua_cod!A:A))</f>
        <v>24</v>
      </c>
      <c r="Y163">
        <f t="shared" ca="1" si="30"/>
        <v>4</v>
      </c>
      <c r="Z163">
        <f t="shared" ca="1" si="31"/>
        <v>1</v>
      </c>
      <c r="AA163">
        <f t="shared" ca="1" si="32"/>
        <v>1972</v>
      </c>
      <c r="AB163">
        <f t="shared" ca="1" si="33"/>
        <v>3</v>
      </c>
      <c r="AC163">
        <f t="shared" ca="1" si="34"/>
        <v>24</v>
      </c>
      <c r="AD163">
        <f t="shared" ca="1" si="35"/>
        <v>48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João Gabriel Carvalho Lopes</v>
      </c>
      <c r="E164" t="str">
        <f ca="1">Nomes!S165</f>
        <v>Masculino</v>
      </c>
      <c r="F164" s="2">
        <v>22302</v>
      </c>
      <c r="G164" t="str" cm="1">
        <f t="array" aca="1" ref="G164" ca="1">INDEX(rua_cod!$F:$F,RANDBETWEEN(2,COUNTA(rua_cod!F:F)))</f>
        <v>Rua dos Bacalhoeiros</v>
      </c>
      <c r="H164" t="str" cm="1">
        <f t="array" aca="1" ref="H164" ca="1">INDEX(rua_cod!$A:$A,Médicos!X164) &amp; "-" &amp; TEXT(RANDBETWEEN(0,999),"000")</f>
        <v>2650-186</v>
      </c>
      <c r="I164" t="str" cm="1">
        <f t="array" aca="1" ref="I164" ca="1">INDEX(rua_cod!$B:$B,Médicos!X164)</f>
        <v>Amadora</v>
      </c>
      <c r="J164" t="s">
        <v>341</v>
      </c>
      <c r="K164" t="s">
        <v>225</v>
      </c>
      <c r="L164" t="s">
        <v>265</v>
      </c>
      <c r="M164" t="str">
        <f t="shared" ca="1" si="26"/>
        <v>86965771</v>
      </c>
      <c r="N164" t="str">
        <f t="shared" ca="1" si="27"/>
        <v>161451864</v>
      </c>
      <c r="O164" t="str">
        <f t="shared" ca="1" si="27"/>
        <v>463917308</v>
      </c>
      <c r="P164" t="str" cm="1">
        <f t="array" aca="1" ref="P164" ca="1">9 &amp; INDEX($AH$3:$AH$6,Y164)&amp; TEXT(RANDBETWEEN(0,9999999),"0000000")</f>
        <v>933632388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5289123304011465</v>
      </c>
      <c r="T164" t="s">
        <v>341</v>
      </c>
      <c r="V164" s="4"/>
      <c r="X164">
        <f ca="1">RANDBETWEEN(2,COUNTA(rua_cod!A:A))</f>
        <v>9</v>
      </c>
      <c r="Y164">
        <f t="shared" ca="1" si="30"/>
        <v>3</v>
      </c>
      <c r="Z164">
        <f t="shared" ca="1" si="31"/>
        <v>3</v>
      </c>
      <c r="AA164">
        <f t="shared" ca="1" si="32"/>
        <v>1950</v>
      </c>
      <c r="AB164">
        <f t="shared" ca="1" si="33"/>
        <v>3</v>
      </c>
      <c r="AC164">
        <f t="shared" ca="1" si="34"/>
        <v>21</v>
      </c>
      <c r="AD164">
        <f t="shared" ca="1" si="35"/>
        <v>70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Joana Martim Pinho Freitas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Travessa de São João da Praça</v>
      </c>
      <c r="H165" t="str" cm="1">
        <f t="array" aca="1" ref="H165" ca="1">INDEX(rua_cod!$A:$A,Médicos!X165) &amp; "-" &amp; TEXT(RANDBETWEEN(0,999),"000")</f>
        <v>2674-355</v>
      </c>
      <c r="I165" t="str" cm="1">
        <f t="array" aca="1" ref="I165" ca="1">INDEX(rua_cod!$B:$B,Médicos!X165)</f>
        <v>Loures</v>
      </c>
      <c r="J165" t="s">
        <v>341</v>
      </c>
      <c r="K165" t="s">
        <v>225</v>
      </c>
      <c r="L165" t="s">
        <v>265</v>
      </c>
      <c r="M165" t="str">
        <f t="shared" ca="1" si="26"/>
        <v>84077239</v>
      </c>
      <c r="N165" t="str">
        <f t="shared" ca="1" si="27"/>
        <v>625576417</v>
      </c>
      <c r="O165" t="str">
        <f t="shared" ca="1" si="27"/>
        <v>452491817</v>
      </c>
      <c r="P165" t="str" cm="1">
        <f t="array" aca="1" ref="P165" ca="1">9 &amp; INDEX($AH$3:$AH$6,Y165)&amp; TEXT(RANDBETWEEN(0,9999999),"0000000")</f>
        <v>922233286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1285098388708651</v>
      </c>
      <c r="T165" t="s">
        <v>341</v>
      </c>
      <c r="V165" s="4"/>
      <c r="X165">
        <f ca="1">RANDBETWEEN(2,COUNTA(rua_cod!A:A))</f>
        <v>84</v>
      </c>
      <c r="Y165">
        <f t="shared" ca="1" si="30"/>
        <v>2</v>
      </c>
      <c r="Z165">
        <f t="shared" ca="1" si="31"/>
        <v>1</v>
      </c>
      <c r="AA165">
        <f t="shared" ca="1" si="32"/>
        <v>1980</v>
      </c>
      <c r="AB165">
        <f t="shared" ca="1" si="33"/>
        <v>5</v>
      </c>
      <c r="AC165">
        <f t="shared" ca="1" si="34"/>
        <v>29</v>
      </c>
      <c r="AD165">
        <f t="shared" ca="1" si="35"/>
        <v>40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Afonso Martim Sá Jesus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Cidade de Bolama</v>
      </c>
      <c r="H166" t="str" cm="1">
        <f t="array" aca="1" ref="H166" ca="1">INDEX(rua_cod!$A:$A,Médicos!X166) &amp; "-" &amp; TEXT(RANDBETWEEN(0,999),"000")</f>
        <v>1749-043</v>
      </c>
      <c r="I166" t="str" cm="1">
        <f t="array" aca="1" ref="I166" ca="1">INDEX(rua_cod!$B:$B,Médicos!X166)</f>
        <v>Lisboa</v>
      </c>
      <c r="J166" t="s">
        <v>341</v>
      </c>
      <c r="K166" t="s">
        <v>225</v>
      </c>
      <c r="L166" t="s">
        <v>265</v>
      </c>
      <c r="M166" t="str">
        <f t="shared" ca="1" si="26"/>
        <v>82369240</v>
      </c>
      <c r="N166" t="str">
        <f t="shared" ca="1" si="27"/>
        <v>248061513</v>
      </c>
      <c r="O166" t="str">
        <f t="shared" ca="1" si="27"/>
        <v>200806897</v>
      </c>
      <c r="P166" t="str" cm="1">
        <f t="array" aca="1" ref="P166" ca="1">9 &amp; INDEX($AH$3:$AH$6,Y166)&amp; TEXT(RANDBETWEEN(0,9999999),"0000000")</f>
        <v>936099878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7746270413036489</v>
      </c>
      <c r="T166" t="s">
        <v>341</v>
      </c>
      <c r="V166" s="4"/>
      <c r="X166">
        <f ca="1">RANDBETWEEN(2,COUNTA(rua_cod!A:A))</f>
        <v>61</v>
      </c>
      <c r="Y166">
        <f t="shared" ca="1" si="30"/>
        <v>3</v>
      </c>
      <c r="Z166">
        <f t="shared" ca="1" si="31"/>
        <v>2</v>
      </c>
      <c r="AA166">
        <f t="shared" ca="1" si="32"/>
        <v>1973</v>
      </c>
      <c r="AB166">
        <f t="shared" ca="1" si="33"/>
        <v>3</v>
      </c>
      <c r="AC166">
        <f t="shared" ca="1" si="34"/>
        <v>25</v>
      </c>
      <c r="AD166">
        <f t="shared" ca="1" si="35"/>
        <v>47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Bruno Ana Anjos Borges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de São Mamede</v>
      </c>
      <c r="H167" t="str" cm="1">
        <f t="array" aca="1" ref="H167" ca="1">INDEX(rua_cod!$A:$A,Médicos!X167) &amp; "-" &amp; TEXT(RANDBETWEEN(0,999),"000")</f>
        <v>2870-439</v>
      </c>
      <c r="I167" t="str" cm="1">
        <f t="array" aca="1" ref="I167" ca="1">INDEX(rua_cod!$B:$B,Médicos!X167)</f>
        <v>Montijo</v>
      </c>
      <c r="J167" t="s">
        <v>341</v>
      </c>
      <c r="K167" t="s">
        <v>225</v>
      </c>
      <c r="L167" t="s">
        <v>265</v>
      </c>
      <c r="M167" t="str">
        <f t="shared" ca="1" si="26"/>
        <v>39037357</v>
      </c>
      <c r="N167" t="str">
        <f t="shared" ca="1" si="27"/>
        <v>450891693</v>
      </c>
      <c r="O167" t="str">
        <f t="shared" ca="1" si="27"/>
        <v>297671901</v>
      </c>
      <c r="P167" t="str" cm="1">
        <f t="array" aca="1" ref="P167" ca="1">9 &amp; INDEX($AH$3:$AH$6,Y167)&amp; TEXT(RANDBETWEEN(0,9999999),"0000000")</f>
        <v>935603469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7963971444000330</v>
      </c>
      <c r="T167" t="s">
        <v>341</v>
      </c>
      <c r="V167" s="4"/>
      <c r="X167">
        <f ca="1">RANDBETWEEN(2,COUNTA(rua_cod!A:A))</f>
        <v>87</v>
      </c>
      <c r="Y167">
        <f t="shared" ca="1" si="30"/>
        <v>3</v>
      </c>
      <c r="Z167">
        <f t="shared" ca="1" si="31"/>
        <v>1</v>
      </c>
      <c r="AA167">
        <f t="shared" ca="1" si="32"/>
        <v>1976</v>
      </c>
      <c r="AB167">
        <f t="shared" ca="1" si="33"/>
        <v>9</v>
      </c>
      <c r="AC167">
        <f t="shared" ca="1" si="34"/>
        <v>10</v>
      </c>
      <c r="AD167">
        <f t="shared" ca="1" si="35"/>
        <v>44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Luís Lurdes Leite Ramos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do Arsenal</v>
      </c>
      <c r="H168" t="str" cm="1">
        <f t="array" aca="1" ref="H168" ca="1">INDEX(rua_cod!$A:$A,Médicos!X168) &amp; "-" &amp; TEXT(RANDBETWEEN(0,999),"000")</f>
        <v>2750-492</v>
      </c>
      <c r="I168" t="str" cm="1">
        <f t="array" aca="1" ref="I168" ca="1">INDEX(rua_cod!$B:$B,Médicos!X168)</f>
        <v>Cascais</v>
      </c>
      <c r="J168" t="s">
        <v>341</v>
      </c>
      <c r="K168" t="s">
        <v>225</v>
      </c>
      <c r="L168" t="s">
        <v>265</v>
      </c>
      <c r="M168" t="str">
        <f t="shared" ca="1" si="26"/>
        <v>67370638</v>
      </c>
      <c r="N168" t="str">
        <f t="shared" ca="1" si="27"/>
        <v>554619521</v>
      </c>
      <c r="O168" t="str">
        <f t="shared" ca="1" si="27"/>
        <v>930059915</v>
      </c>
      <c r="P168" t="str" cm="1">
        <f t="array" aca="1" ref="P168" ca="1">9 &amp; INDEX($AH$3:$AH$6,Y168)&amp; TEXT(RANDBETWEEN(0,9999999),"0000000")</f>
        <v>939909235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9335518735939204</v>
      </c>
      <c r="T168" t="s">
        <v>341</v>
      </c>
      <c r="V168" s="4"/>
      <c r="X168">
        <f ca="1">RANDBETWEEN(2,COUNTA(rua_cod!A:A))</f>
        <v>24</v>
      </c>
      <c r="Y168">
        <f t="shared" ca="1" si="30"/>
        <v>3</v>
      </c>
      <c r="Z168">
        <f t="shared" ca="1" si="31"/>
        <v>1</v>
      </c>
      <c r="AA168">
        <f t="shared" ca="1" si="32"/>
        <v>1967</v>
      </c>
      <c r="AB168">
        <f t="shared" ca="1" si="33"/>
        <v>12</v>
      </c>
      <c r="AC168">
        <f t="shared" ca="1" si="34"/>
        <v>10</v>
      </c>
      <c r="AD168">
        <f t="shared" ca="1" si="35"/>
        <v>53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Lara Sara Moreira Correia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da Junqueira</v>
      </c>
      <c r="H169" t="str" cm="1">
        <f t="array" aca="1" ref="H169" ca="1">INDEX(rua_cod!$A:$A,Médicos!X169) &amp; "-" &amp; TEXT(RANDBETWEEN(0,999),"000")</f>
        <v>2700-735</v>
      </c>
      <c r="I169" t="str" cm="1">
        <f t="array" aca="1" ref="I169" ca="1">INDEX(rua_cod!$B:$B,Médicos!X169)</f>
        <v>Amadora</v>
      </c>
      <c r="J169" t="s">
        <v>341</v>
      </c>
      <c r="K169" t="s">
        <v>225</v>
      </c>
      <c r="L169" t="s">
        <v>265</v>
      </c>
      <c r="M169" t="str">
        <f t="shared" ca="1" si="26"/>
        <v>55878848</v>
      </c>
      <c r="N169" t="str">
        <f t="shared" ca="1" si="27"/>
        <v>381807367</v>
      </c>
      <c r="O169" t="str">
        <f t="shared" ca="1" si="27"/>
        <v>275152793</v>
      </c>
      <c r="P169" t="str" cm="1">
        <f t="array" aca="1" ref="P169" ca="1">9 &amp; INDEX($AH$3:$AH$6,Y169)&amp; TEXT(RANDBETWEEN(0,9999999),"0000000")</f>
        <v>961051907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4655560804702904</v>
      </c>
      <c r="T169" t="s">
        <v>341</v>
      </c>
      <c r="V169" s="4"/>
      <c r="X169">
        <f ca="1">RANDBETWEEN(2,COUNTA(rua_cod!A:A))</f>
        <v>10</v>
      </c>
      <c r="Y169">
        <f t="shared" ca="1" si="30"/>
        <v>4</v>
      </c>
      <c r="Z169">
        <f t="shared" ca="1" si="31"/>
        <v>3</v>
      </c>
      <c r="AA169">
        <f t="shared" ca="1" si="32"/>
        <v>1983</v>
      </c>
      <c r="AB169">
        <f t="shared" ca="1" si="33"/>
        <v>3</v>
      </c>
      <c r="AC169">
        <f t="shared" ca="1" si="34"/>
        <v>2</v>
      </c>
      <c r="AD169">
        <f t="shared" ca="1" si="35"/>
        <v>37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João Diogo Coelho Lourenço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Augusta</v>
      </c>
      <c r="H170" t="str" cm="1">
        <f t="array" aca="1" ref="H170" ca="1">INDEX(rua_cod!$A:$A,Médicos!X170) &amp; "-" &amp; TEXT(RANDBETWEEN(0,999),"000")</f>
        <v>1067-256</v>
      </c>
      <c r="I170" t="str" cm="1">
        <f t="array" aca="1" ref="I170" ca="1">INDEX(rua_cod!$B:$B,Médicos!X170)</f>
        <v>Lisboa</v>
      </c>
      <c r="J170" t="s">
        <v>341</v>
      </c>
      <c r="K170" t="s">
        <v>225</v>
      </c>
      <c r="L170" t="s">
        <v>265</v>
      </c>
      <c r="M170" t="str">
        <f t="shared" ca="1" si="26"/>
        <v>19707962</v>
      </c>
      <c r="N170" t="str">
        <f t="shared" ca="1" si="27"/>
        <v>170506769</v>
      </c>
      <c r="O170" t="str">
        <f t="shared" ca="1" si="27"/>
        <v>609984132</v>
      </c>
      <c r="P170" t="str" cm="1">
        <f t="array" aca="1" ref="P170" ca="1">9 &amp; INDEX($AH$3:$AH$6,Y170)&amp; TEXT(RANDBETWEEN(0,9999999),"0000000")</f>
        <v>936949219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2959157804896978</v>
      </c>
      <c r="T170" t="s">
        <v>341</v>
      </c>
      <c r="V170" s="4"/>
      <c r="X170">
        <f ca="1">RANDBETWEEN(2,COUNTA(rua_cod!A:A))</f>
        <v>82</v>
      </c>
      <c r="Y170">
        <f t="shared" ca="1" si="30"/>
        <v>3</v>
      </c>
      <c r="Z170">
        <f t="shared" ca="1" si="31"/>
        <v>3</v>
      </c>
      <c r="AA170">
        <f t="shared" ca="1" si="32"/>
        <v>1963</v>
      </c>
      <c r="AB170">
        <f t="shared" ca="1" si="33"/>
        <v>8</v>
      </c>
      <c r="AC170">
        <f t="shared" ca="1" si="34"/>
        <v>11</v>
      </c>
      <c r="AD170">
        <f t="shared" ca="1" si="35"/>
        <v>57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Diana Ana Lopes Leal</v>
      </c>
      <c r="E171" t="str">
        <f ca="1">Nomes!S172</f>
        <v>Feminino</v>
      </c>
      <c r="F171" s="2">
        <v>18245</v>
      </c>
      <c r="G171" t="str" cm="1">
        <f t="array" aca="1" ref="G171" ca="1">INDEX(rua_cod!$F:$F,RANDBETWEEN(2,COUNTA(rua_cod!F:F)))</f>
        <v>Rua do Sacramento à Lapa</v>
      </c>
      <c r="H171" t="str" cm="1">
        <f t="array" aca="1" ref="H171" ca="1">INDEX(rua_cod!$A:$A,Médicos!X171) &amp; "-" &amp; TEXT(RANDBETWEEN(0,999),"000")</f>
        <v>1400-268</v>
      </c>
      <c r="I171" t="str" cm="1">
        <f t="array" aca="1" ref="I171" ca="1">INDEX(rua_cod!$B:$B,Médicos!X171)</f>
        <v>Lisboa</v>
      </c>
      <c r="J171" t="s">
        <v>341</v>
      </c>
      <c r="K171" t="s">
        <v>225</v>
      </c>
      <c r="L171" t="s">
        <v>265</v>
      </c>
      <c r="M171" t="str">
        <f t="shared" ca="1" si="26"/>
        <v>29044902</v>
      </c>
      <c r="N171" t="str">
        <f t="shared" ca="1" si="27"/>
        <v>980235413</v>
      </c>
      <c r="O171" t="str">
        <f t="shared" ca="1" si="27"/>
        <v>557204719</v>
      </c>
      <c r="P171" t="str" cm="1">
        <f t="array" aca="1" ref="P171" ca="1">9 &amp; INDEX($AH$3:$AH$6,Y171)&amp; TEXT(RANDBETWEEN(0,9999999),"0000000")</f>
        <v>933453384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3327319484389525</v>
      </c>
      <c r="T171" t="s">
        <v>341</v>
      </c>
      <c r="V171" s="4"/>
      <c r="X171">
        <f ca="1">RANDBETWEEN(2,COUNTA(rua_cod!A:A))</f>
        <v>57</v>
      </c>
      <c r="Y171">
        <f t="shared" ca="1" si="30"/>
        <v>3</v>
      </c>
      <c r="Z171">
        <f t="shared" ca="1" si="31"/>
        <v>3</v>
      </c>
      <c r="AA171">
        <f t="shared" ca="1" si="32"/>
        <v>1964</v>
      </c>
      <c r="AB171">
        <f t="shared" ca="1" si="33"/>
        <v>4</v>
      </c>
      <c r="AC171">
        <f t="shared" ca="1" si="34"/>
        <v>23</v>
      </c>
      <c r="AD171">
        <f t="shared" ca="1" si="35"/>
        <v>56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Bruno Martim Alves Amorim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Estrada da Circunvalação de Lisboa</v>
      </c>
      <c r="H172" t="str" cm="1">
        <f t="array" aca="1" ref="H172" ca="1">INDEX(rua_cod!$A:$A,Médicos!X172) &amp; "-" &amp; TEXT(RANDBETWEEN(0,999),"000")</f>
        <v>1050-334</v>
      </c>
      <c r="I172" t="str" cm="1">
        <f t="array" aca="1" ref="I172" ca="1">INDEX(rua_cod!$B:$B,Médicos!X172)</f>
        <v>Lisboa</v>
      </c>
      <c r="J172" t="s">
        <v>341</v>
      </c>
      <c r="K172" t="s">
        <v>225</v>
      </c>
      <c r="L172" t="s">
        <v>265</v>
      </c>
      <c r="M172" t="str">
        <f t="shared" ca="1" si="26"/>
        <v>60807036</v>
      </c>
      <c r="N172" t="str">
        <f t="shared" ca="1" si="27"/>
        <v>177264944</v>
      </c>
      <c r="O172" t="str">
        <f t="shared" ca="1" si="27"/>
        <v>970788186</v>
      </c>
      <c r="P172" t="str" cm="1">
        <f t="array" aca="1" ref="P172" ca="1">9 &amp; INDEX($AH$3:$AH$6,Y172)&amp; TEXT(RANDBETWEEN(0,9999999),"0000000")</f>
        <v>932653186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1783304191630829</v>
      </c>
      <c r="T172" t="s">
        <v>341</v>
      </c>
      <c r="V172" s="4"/>
      <c r="X172">
        <f ca="1">RANDBETWEEN(2,COUNTA(rua_cod!A:A))</f>
        <v>66</v>
      </c>
      <c r="Y172">
        <f t="shared" ca="1" si="30"/>
        <v>3</v>
      </c>
      <c r="Z172">
        <f t="shared" ca="1" si="31"/>
        <v>3</v>
      </c>
      <c r="AA172">
        <f t="shared" ca="1" si="32"/>
        <v>1959</v>
      </c>
      <c r="AB172">
        <f t="shared" ca="1" si="33"/>
        <v>1</v>
      </c>
      <c r="AC172">
        <f t="shared" ca="1" si="34"/>
        <v>7</v>
      </c>
      <c r="AD172">
        <f t="shared" ca="1" si="35"/>
        <v>61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Santiago Tomás Cunha Rocha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Calçada de Carriche</v>
      </c>
      <c r="H173" t="str" cm="1">
        <f t="array" aca="1" ref="H173" ca="1">INDEX(rua_cod!$A:$A,Médicos!X173) &amp; "-" &amp; TEXT(RANDBETWEEN(0,999),"000")</f>
        <v>2650-738</v>
      </c>
      <c r="I173" t="str" cm="1">
        <f t="array" aca="1" ref="I173" ca="1">INDEX(rua_cod!$B:$B,Médicos!X173)</f>
        <v>Amadora</v>
      </c>
      <c r="J173" t="s">
        <v>341</v>
      </c>
      <c r="K173" t="s">
        <v>225</v>
      </c>
      <c r="L173" t="s">
        <v>265</v>
      </c>
      <c r="M173" t="str">
        <f t="shared" ca="1" si="26"/>
        <v>15905611</v>
      </c>
      <c r="N173" t="str">
        <f t="shared" ca="1" si="27"/>
        <v>729925333</v>
      </c>
      <c r="O173" t="str">
        <f t="shared" ca="1" si="27"/>
        <v>567147525</v>
      </c>
      <c r="P173" t="str" cm="1">
        <f t="array" aca="1" ref="P173" ca="1">9 &amp; INDEX($AH$3:$AH$6,Y173)&amp; TEXT(RANDBETWEEN(0,9999999),"0000000")</f>
        <v>929417754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3485049971199973</v>
      </c>
      <c r="T173" t="s">
        <v>341</v>
      </c>
      <c r="V173" s="4"/>
      <c r="X173">
        <f ca="1">RANDBETWEEN(2,COUNTA(rua_cod!A:A))</f>
        <v>9</v>
      </c>
      <c r="Y173">
        <f t="shared" ca="1" si="30"/>
        <v>2</v>
      </c>
      <c r="Z173">
        <f t="shared" ca="1" si="31"/>
        <v>1</v>
      </c>
      <c r="AA173">
        <f t="shared" ca="1" si="32"/>
        <v>1955</v>
      </c>
      <c r="AB173">
        <f t="shared" ca="1" si="33"/>
        <v>11</v>
      </c>
      <c r="AC173">
        <f t="shared" ca="1" si="34"/>
        <v>6</v>
      </c>
      <c r="AD173">
        <f t="shared" ca="1" si="35"/>
        <v>65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Bruno Bruno Carvalho Maia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do Guarda-Mor</v>
      </c>
      <c r="H174" t="str" cm="1">
        <f t="array" aca="1" ref="H174" ca="1">INDEX(rua_cod!$A:$A,Médicos!X174) &amp; "-" &amp; TEXT(RANDBETWEEN(0,999),"000")</f>
        <v>1049-330</v>
      </c>
      <c r="I174" t="str" cm="1">
        <f t="array" aca="1" ref="I174" ca="1">INDEX(rua_cod!$B:$B,Médicos!X174)</f>
        <v>Lisboa</v>
      </c>
      <c r="J174" t="s">
        <v>341</v>
      </c>
      <c r="K174" t="s">
        <v>225</v>
      </c>
      <c r="L174" t="s">
        <v>265</v>
      </c>
      <c r="M174" t="str">
        <f t="shared" ca="1" si="26"/>
        <v>93350844</v>
      </c>
      <c r="N174" t="str">
        <f t="shared" ca="1" si="27"/>
        <v>153636500</v>
      </c>
      <c r="O174" t="str">
        <f t="shared" ca="1" si="27"/>
        <v>116334004</v>
      </c>
      <c r="P174" t="str" cm="1">
        <f t="array" aca="1" ref="P174" ca="1">9 &amp; INDEX($AH$3:$AH$6,Y174)&amp; TEXT(RANDBETWEEN(0,9999999),"0000000")</f>
        <v>969626693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3495057975583342</v>
      </c>
      <c r="T174" t="s">
        <v>341</v>
      </c>
      <c r="V174" s="4"/>
      <c r="X174">
        <f ca="1">RANDBETWEEN(2,COUNTA(rua_cod!A:A))</f>
        <v>76</v>
      </c>
      <c r="Y174">
        <f t="shared" ca="1" si="30"/>
        <v>4</v>
      </c>
      <c r="Z174">
        <f t="shared" ca="1" si="31"/>
        <v>2</v>
      </c>
      <c r="AA174">
        <f t="shared" ca="1" si="32"/>
        <v>1969</v>
      </c>
      <c r="AB174">
        <f t="shared" ca="1" si="33"/>
        <v>9</v>
      </c>
      <c r="AC174">
        <f t="shared" ca="1" si="34"/>
        <v>26</v>
      </c>
      <c r="AD174">
        <f t="shared" ca="1" si="35"/>
        <v>51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Sara Daniela Teixeira Pinheiro</v>
      </c>
      <c r="E175" t="str">
        <f ca="1">Nomes!S176</f>
        <v>Feminino</v>
      </c>
      <c r="F175" s="2">
        <v>24653</v>
      </c>
      <c r="G175" t="str" cm="1">
        <f t="array" aca="1" ref="G175" ca="1">INDEX(rua_cod!$F:$F,RANDBETWEEN(2,COUNTA(rua_cod!F:F)))</f>
        <v>Travessa de São João da Praça</v>
      </c>
      <c r="H175" t="str" cm="1">
        <f t="array" aca="1" ref="H175" ca="1">INDEX(rua_cod!$A:$A,Médicos!X175) &amp; "-" &amp; TEXT(RANDBETWEEN(0,999),"000")</f>
        <v>2654-137</v>
      </c>
      <c r="I175" t="str" cm="1">
        <f t="array" aca="1" ref="I175" ca="1">INDEX(rua_cod!$B:$B,Médicos!X175)</f>
        <v>Amadora</v>
      </c>
      <c r="J175" t="s">
        <v>341</v>
      </c>
      <c r="K175" t="s">
        <v>225</v>
      </c>
      <c r="L175" t="s">
        <v>265</v>
      </c>
      <c r="M175" t="str">
        <f t="shared" ca="1" si="26"/>
        <v>57528031</v>
      </c>
      <c r="N175" t="str">
        <f t="shared" ca="1" si="27"/>
        <v>145413352</v>
      </c>
      <c r="O175" t="str">
        <f t="shared" ca="1" si="27"/>
        <v>251683328</v>
      </c>
      <c r="P175" t="str" cm="1">
        <f t="array" aca="1" ref="P175" ca="1">9 &amp; INDEX($AH$3:$AH$6,Y175)&amp; TEXT(RANDBETWEEN(0,9999999),"0000000")</f>
        <v>937679904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3748675317497252</v>
      </c>
      <c r="T175" t="s">
        <v>341</v>
      </c>
      <c r="V175" s="4"/>
      <c r="X175">
        <f ca="1">RANDBETWEEN(2,COUNTA(rua_cod!A:A))</f>
        <v>14</v>
      </c>
      <c r="Y175">
        <f t="shared" ca="1" si="30"/>
        <v>3</v>
      </c>
      <c r="Z175">
        <f t="shared" ca="1" si="31"/>
        <v>3</v>
      </c>
      <c r="AA175">
        <f t="shared" ca="1" si="32"/>
        <v>1976</v>
      </c>
      <c r="AB175">
        <f t="shared" ca="1" si="33"/>
        <v>2</v>
      </c>
      <c r="AC175">
        <f t="shared" ca="1" si="34"/>
        <v>18</v>
      </c>
      <c r="AD175">
        <f t="shared" ca="1" si="35"/>
        <v>44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Francisca Sara Henriques Matos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Rua de São Mamede</v>
      </c>
      <c r="H176" t="str" cm="1">
        <f t="array" aca="1" ref="H176" ca="1">INDEX(rua_cod!$A:$A,Médicos!X176) &amp; "-" &amp; TEXT(RANDBETWEEN(0,999),"000")</f>
        <v>2804-538</v>
      </c>
      <c r="I176" t="str" cm="1">
        <f t="array" aca="1" ref="I176" ca="1">INDEX(rua_cod!$B:$B,Médicos!X176)</f>
        <v>Almada</v>
      </c>
      <c r="J176" t="s">
        <v>341</v>
      </c>
      <c r="K176" t="s">
        <v>225</v>
      </c>
      <c r="L176" t="s">
        <v>265</v>
      </c>
      <c r="M176" t="str">
        <f t="shared" ca="1" si="26"/>
        <v>27772785</v>
      </c>
      <c r="N176" t="str">
        <f t="shared" ca="1" si="27"/>
        <v>107226444</v>
      </c>
      <c r="O176" t="str">
        <f t="shared" ca="1" si="27"/>
        <v>523344445</v>
      </c>
      <c r="P176" t="str" cm="1">
        <f t="array" aca="1" ref="P176" ca="1">9 &amp; INDEX($AH$3:$AH$6,Y176)&amp; TEXT(RANDBETWEEN(0,9999999),"0000000")</f>
        <v>932001134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4386671481790748</v>
      </c>
      <c r="T176" t="s">
        <v>341</v>
      </c>
      <c r="V176" s="4"/>
      <c r="X176">
        <f ca="1">RANDBETWEEN(2,COUNTA(rua_cod!A:A))</f>
        <v>7</v>
      </c>
      <c r="Y176">
        <f t="shared" ca="1" si="30"/>
        <v>3</v>
      </c>
      <c r="Z176">
        <f t="shared" ca="1" si="31"/>
        <v>1</v>
      </c>
      <c r="AA176">
        <f t="shared" ca="1" si="32"/>
        <v>1961</v>
      </c>
      <c r="AB176">
        <f t="shared" ca="1" si="33"/>
        <v>5</v>
      </c>
      <c r="AC176">
        <f t="shared" ca="1" si="34"/>
        <v>10</v>
      </c>
      <c r="AD176">
        <f t="shared" ca="1" si="35"/>
        <v>59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Francisco José Marques Oliveira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de São Mamede</v>
      </c>
      <c r="H177" t="str" cm="1">
        <f t="array" aca="1" ref="H177" ca="1">INDEX(rua_cod!$A:$A,Médicos!X177) &amp; "-" &amp; TEXT(RANDBETWEEN(0,999),"000")</f>
        <v>2655-445</v>
      </c>
      <c r="I177" t="str" cm="1">
        <f t="array" aca="1" ref="I177" ca="1">INDEX(rua_cod!$B:$B,Médicos!X177)</f>
        <v>Ericeira</v>
      </c>
      <c r="J177" t="s">
        <v>341</v>
      </c>
      <c r="K177" t="s">
        <v>225</v>
      </c>
      <c r="L177" t="s">
        <v>265</v>
      </c>
      <c r="M177" t="str">
        <f t="shared" ca="1" si="26"/>
        <v>84355834</v>
      </c>
      <c r="N177" t="str">
        <f t="shared" ca="1" si="27"/>
        <v>433418494</v>
      </c>
      <c r="O177" t="str">
        <f t="shared" ca="1" si="27"/>
        <v>630565250</v>
      </c>
      <c r="P177" t="str" cm="1">
        <f t="array" aca="1" ref="P177" ca="1">9 &amp; INDEX($AH$3:$AH$6,Y177)&amp; TEXT(RANDBETWEEN(0,9999999),"0000000")</f>
        <v>919170827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7280854307785171</v>
      </c>
      <c r="T177" t="s">
        <v>341</v>
      </c>
      <c r="V177" s="4"/>
      <c r="X177">
        <f ca="1">RANDBETWEEN(2,COUNTA(rua_cod!A:A))</f>
        <v>31</v>
      </c>
      <c r="Y177">
        <f t="shared" ca="1" si="30"/>
        <v>1</v>
      </c>
      <c r="Z177">
        <f t="shared" ca="1" si="31"/>
        <v>1</v>
      </c>
      <c r="AA177">
        <f t="shared" ca="1" si="32"/>
        <v>1953</v>
      </c>
      <c r="AB177">
        <f t="shared" ca="1" si="33"/>
        <v>5</v>
      </c>
      <c r="AC177">
        <f t="shared" ca="1" si="34"/>
        <v>7</v>
      </c>
      <c r="AD177">
        <f t="shared" ca="1" si="35"/>
        <v>67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José André Matias Coelho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do Instituto Bacteriológico</v>
      </c>
      <c r="H178" t="str" cm="1">
        <f t="array" aca="1" ref="H178" ca="1">INDEX(rua_cod!$A:$A,Médicos!X178) &amp; "-" &amp; TEXT(RANDBETWEEN(0,999),"000")</f>
        <v>1900-438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98627878</v>
      </c>
      <c r="N178" t="str">
        <f t="shared" ca="1" si="27"/>
        <v>123505587</v>
      </c>
      <c r="O178" t="str">
        <f t="shared" ca="1" si="27"/>
        <v>325481920</v>
      </c>
      <c r="P178" t="str" cm="1">
        <f t="array" aca="1" ref="P178" ca="1">9 &amp; INDEX($AH$3:$AH$6,Y178)&amp; TEXT(RANDBETWEEN(0,9999999),"0000000")</f>
        <v>915271622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9766671648216348</v>
      </c>
      <c r="T178" t="s">
        <v>341</v>
      </c>
      <c r="V178" s="4"/>
      <c r="X178">
        <f ca="1">RANDBETWEEN(2,COUNTA(rua_cod!A:A))</f>
        <v>42</v>
      </c>
      <c r="Y178">
        <f t="shared" ca="1" si="30"/>
        <v>1</v>
      </c>
      <c r="Z178">
        <f t="shared" ca="1" si="31"/>
        <v>1</v>
      </c>
      <c r="AA178">
        <f t="shared" ca="1" si="32"/>
        <v>1962</v>
      </c>
      <c r="AB178">
        <f t="shared" ca="1" si="33"/>
        <v>4</v>
      </c>
      <c r="AC178">
        <f t="shared" ca="1" si="34"/>
        <v>15</v>
      </c>
      <c r="AD178">
        <f t="shared" ca="1" si="35"/>
        <v>58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Afonso Francisca Pinto Pires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do Arsenal</v>
      </c>
      <c r="H179" t="str" cm="1">
        <f t="array" aca="1" ref="H179" ca="1">INDEX(rua_cod!$A:$A,Médicos!X179) &amp; "-" &amp; TEXT(RANDBETWEEN(0,999),"000")</f>
        <v>2424-717</v>
      </c>
      <c r="I179" t="str" cm="1">
        <f t="array" aca="1" ref="I179" ca="1">INDEX(rua_cod!$B:$B,Médicos!X179)</f>
        <v>Leiria</v>
      </c>
      <c r="J179" t="s">
        <v>341</v>
      </c>
      <c r="K179" t="s">
        <v>225</v>
      </c>
      <c r="L179" t="s">
        <v>265</v>
      </c>
      <c r="M179" t="str">
        <f t="shared" ca="1" si="26"/>
        <v>57539318</v>
      </c>
      <c r="N179" t="str">
        <f t="shared" ca="1" si="27"/>
        <v>228942548</v>
      </c>
      <c r="O179" t="str">
        <f t="shared" ca="1" si="27"/>
        <v>283920897</v>
      </c>
      <c r="P179" t="str" cm="1">
        <f t="array" aca="1" ref="P179" ca="1">9 &amp; INDEX($AH$3:$AH$6,Y179)&amp; TEXT(RANDBETWEEN(0,9999999),"0000000")</f>
        <v>964533877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1717709676511069</v>
      </c>
      <c r="T179" t="s">
        <v>341</v>
      </c>
      <c r="V179" s="4"/>
      <c r="X179">
        <f ca="1">RANDBETWEEN(2,COUNTA(rua_cod!A:A))</f>
        <v>39</v>
      </c>
      <c r="Y179">
        <f t="shared" ca="1" si="30"/>
        <v>4</v>
      </c>
      <c r="Z179">
        <f t="shared" ca="1" si="31"/>
        <v>3</v>
      </c>
      <c r="AA179">
        <f t="shared" ca="1" si="32"/>
        <v>1956</v>
      </c>
      <c r="AB179">
        <f t="shared" ca="1" si="33"/>
        <v>3</v>
      </c>
      <c r="AC179">
        <f t="shared" ca="1" si="34"/>
        <v>19</v>
      </c>
      <c r="AD179">
        <f t="shared" ca="1" si="35"/>
        <v>64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Matilde Vera Pinto Correia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da Prata</v>
      </c>
      <c r="H180" t="str" cm="1">
        <f t="array" aca="1" ref="H180" ca="1">INDEX(rua_cod!$A:$A,Médicos!X180) &amp; "-" &amp; TEXT(RANDBETWEEN(0,999),"000")</f>
        <v>1269-856</v>
      </c>
      <c r="I180" t="str" cm="1">
        <f t="array" aca="1" ref="I180" ca="1">INDEX(rua_cod!$B:$B,Médicos!X180)</f>
        <v>Lisboa</v>
      </c>
      <c r="J180" t="s">
        <v>341</v>
      </c>
      <c r="K180" t="s">
        <v>225</v>
      </c>
      <c r="L180" t="s">
        <v>265</v>
      </c>
      <c r="M180" t="str">
        <f t="shared" ca="1" si="26"/>
        <v>24655462</v>
      </c>
      <c r="N180" t="str">
        <f t="shared" ca="1" si="27"/>
        <v>896307280</v>
      </c>
      <c r="O180" t="str">
        <f t="shared" ca="1" si="27"/>
        <v>581713469</v>
      </c>
      <c r="P180" t="str" cm="1">
        <f t="array" aca="1" ref="P180" ca="1">9 &amp; INDEX($AH$3:$AH$6,Y180)&amp; TEXT(RANDBETWEEN(0,9999999),"0000000")</f>
        <v>929547165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7899436679114855</v>
      </c>
      <c r="T180" t="s">
        <v>341</v>
      </c>
      <c r="V180" s="4"/>
      <c r="X180">
        <f ca="1">RANDBETWEEN(2,COUNTA(rua_cod!A:A))</f>
        <v>52</v>
      </c>
      <c r="Y180">
        <f t="shared" ca="1" si="30"/>
        <v>2</v>
      </c>
      <c r="Z180">
        <f t="shared" ca="1" si="31"/>
        <v>3</v>
      </c>
      <c r="AA180">
        <f t="shared" ca="1" si="32"/>
        <v>1975</v>
      </c>
      <c r="AB180">
        <f t="shared" ca="1" si="33"/>
        <v>9</v>
      </c>
      <c r="AC180">
        <f t="shared" ca="1" si="34"/>
        <v>11</v>
      </c>
      <c r="AD180">
        <f t="shared" ca="1" si="35"/>
        <v>45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Laura Daniela Ribeiro Figueiredo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Calçada de Carriche</v>
      </c>
      <c r="H181" t="str" cm="1">
        <f t="array" aca="1" ref="H181" ca="1">INDEX(rua_cod!$A:$A,Médicos!X181) &amp; "-" &amp; TEXT(RANDBETWEEN(0,999),"000")</f>
        <v>2904-447</v>
      </c>
      <c r="I181" t="str" cm="1">
        <f t="array" aca="1" ref="I181" ca="1">INDEX(rua_cod!$B:$B,Médicos!X181)</f>
        <v>Setúbal</v>
      </c>
      <c r="J181" t="s">
        <v>341</v>
      </c>
      <c r="K181" t="s">
        <v>225</v>
      </c>
      <c r="L181" t="s">
        <v>265</v>
      </c>
      <c r="M181" t="str">
        <f t="shared" ca="1" si="26"/>
        <v>14954895</v>
      </c>
      <c r="N181" t="str">
        <f t="shared" ca="1" si="27"/>
        <v>205907707</v>
      </c>
      <c r="O181" t="str">
        <f t="shared" ca="1" si="27"/>
        <v>445185587</v>
      </c>
      <c r="P181" t="str" cm="1">
        <f t="array" aca="1" ref="P181" ca="1">9 &amp; INDEX($AH$3:$AH$6,Y181)&amp; TEXT(RANDBETWEEN(0,9999999),"0000000")</f>
        <v>963277438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6633908563705947</v>
      </c>
      <c r="T181" t="s">
        <v>341</v>
      </c>
      <c r="V181" s="4"/>
      <c r="X181">
        <f ca="1">RANDBETWEEN(2,COUNTA(rua_cod!A:A))</f>
        <v>99</v>
      </c>
      <c r="Y181">
        <f t="shared" ca="1" si="30"/>
        <v>4</v>
      </c>
      <c r="Z181">
        <f t="shared" ca="1" si="31"/>
        <v>3</v>
      </c>
      <c r="AA181">
        <f t="shared" ca="1" si="32"/>
        <v>1967</v>
      </c>
      <c r="AB181">
        <f t="shared" ca="1" si="33"/>
        <v>11</v>
      </c>
      <c r="AC181">
        <f t="shared" ca="1" si="34"/>
        <v>5</v>
      </c>
      <c r="AD181">
        <f t="shared" ca="1" si="35"/>
        <v>53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Diana Gabriel Pires Assunção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Avenida Ressano Garcia</v>
      </c>
      <c r="H182" t="str" cm="1">
        <f t="array" aca="1" ref="H182" ca="1">INDEX(rua_cod!$A:$A,Médicos!X182) &amp; "-" &amp; TEXT(RANDBETWEEN(0,999),"000")</f>
        <v>2700-882</v>
      </c>
      <c r="I182" t="str" cm="1">
        <f t="array" aca="1" ref="I182" ca="1">INDEX(rua_cod!$B:$B,Médicos!X182)</f>
        <v>Amadora</v>
      </c>
      <c r="J182" t="s">
        <v>341</v>
      </c>
      <c r="K182" t="s">
        <v>225</v>
      </c>
      <c r="L182" t="s">
        <v>265</v>
      </c>
      <c r="M182" t="str">
        <f t="shared" ca="1" si="26"/>
        <v>60136859</v>
      </c>
      <c r="N182" t="str">
        <f t="shared" ca="1" si="27"/>
        <v>636432439</v>
      </c>
      <c r="O182" t="str">
        <f t="shared" ca="1" si="27"/>
        <v>308004980</v>
      </c>
      <c r="P182" t="str" cm="1">
        <f t="array" aca="1" ref="P182" ca="1">9 &amp; INDEX($AH$3:$AH$6,Y182)&amp; TEXT(RANDBETWEEN(0,9999999),"0000000")</f>
        <v>968198845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8721936916203710</v>
      </c>
      <c r="T182" t="s">
        <v>341</v>
      </c>
      <c r="V182" s="4"/>
      <c r="X182">
        <f ca="1">RANDBETWEEN(2,COUNTA(rua_cod!A:A))</f>
        <v>10</v>
      </c>
      <c r="Y182">
        <f t="shared" ca="1" si="30"/>
        <v>4</v>
      </c>
      <c r="Z182">
        <f t="shared" ca="1" si="31"/>
        <v>2</v>
      </c>
      <c r="AA182">
        <f t="shared" ca="1" si="32"/>
        <v>1957</v>
      </c>
      <c r="AB182">
        <f t="shared" ca="1" si="33"/>
        <v>2</v>
      </c>
      <c r="AC182">
        <f t="shared" ca="1" si="34"/>
        <v>31</v>
      </c>
      <c r="AD182">
        <f t="shared" ca="1" si="35"/>
        <v>63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Daniela Ricardo Abreu Coelho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Rua Augusta</v>
      </c>
      <c r="H183" t="str" cm="1">
        <f t="array" aca="1" ref="H183" ca="1">INDEX(rua_cod!$A:$A,Médicos!X183) &amp; "-" &amp; TEXT(RANDBETWEEN(0,999),"000")</f>
        <v>1070-752</v>
      </c>
      <c r="I183" t="str" cm="1">
        <f t="array" aca="1" ref="I183" ca="1">INDEX(rua_cod!$B:$B,Médicos!X183)</f>
        <v>Lisboa</v>
      </c>
      <c r="J183" t="s">
        <v>341</v>
      </c>
      <c r="K183" t="s">
        <v>225</v>
      </c>
      <c r="L183" t="s">
        <v>265</v>
      </c>
      <c r="M183" t="str">
        <f t="shared" ca="1" si="26"/>
        <v>27675706</v>
      </c>
      <c r="N183" t="str">
        <f t="shared" ca="1" si="27"/>
        <v>487052733</v>
      </c>
      <c r="O183" t="str">
        <f t="shared" ca="1" si="27"/>
        <v>636539716</v>
      </c>
      <c r="P183" t="str" cm="1">
        <f t="array" aca="1" ref="P183" ca="1">9 &amp; INDEX($AH$3:$AH$6,Y183)&amp; TEXT(RANDBETWEEN(0,9999999),"0000000")</f>
        <v>964668005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2088110746378181</v>
      </c>
      <c r="T183" t="s">
        <v>341</v>
      </c>
      <c r="V183" s="4"/>
      <c r="X183">
        <f ca="1">RANDBETWEEN(2,COUNTA(rua_cod!A:A))</f>
        <v>51</v>
      </c>
      <c r="Y183">
        <f t="shared" ca="1" si="30"/>
        <v>4</v>
      </c>
      <c r="Z183">
        <f t="shared" ca="1" si="31"/>
        <v>2</v>
      </c>
      <c r="AA183">
        <f t="shared" ca="1" si="32"/>
        <v>1974</v>
      </c>
      <c r="AB183">
        <f t="shared" ca="1" si="33"/>
        <v>11</v>
      </c>
      <c r="AC183">
        <f t="shared" ca="1" si="34"/>
        <v>23</v>
      </c>
      <c r="AD183">
        <f t="shared" ca="1" si="35"/>
        <v>46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Joaquim Maria Simões Reis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do Sol a Santana</v>
      </c>
      <c r="H184" t="str" cm="1">
        <f t="array" aca="1" ref="H184" ca="1">INDEX(rua_cod!$A:$A,Médicos!X184) &amp; "-" &amp; TEXT(RANDBETWEEN(0,999),"000")</f>
        <v>1950-562</v>
      </c>
      <c r="I184" t="str" cm="1">
        <f t="array" aca="1" ref="I184" ca="1">INDEX(rua_cod!$B:$B,Médicos!X184)</f>
        <v>Lisboa</v>
      </c>
      <c r="J184" t="s">
        <v>341</v>
      </c>
      <c r="K184" t="s">
        <v>225</v>
      </c>
      <c r="L184" t="s">
        <v>265</v>
      </c>
      <c r="M184" t="str">
        <f t="shared" ca="1" si="26"/>
        <v>18456483</v>
      </c>
      <c r="N184" t="str">
        <f t="shared" ca="1" si="27"/>
        <v>909709587</v>
      </c>
      <c r="O184" t="str">
        <f t="shared" ca="1" si="27"/>
        <v>453173552</v>
      </c>
      <c r="P184" t="str" cm="1">
        <f t="array" aca="1" ref="P184" ca="1">9 &amp; INDEX($AH$3:$AH$6,Y184)&amp; TEXT(RANDBETWEEN(0,9999999),"0000000")</f>
        <v>914157224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9441173918211996</v>
      </c>
      <c r="T184" t="s">
        <v>341</v>
      </c>
      <c r="V184" s="4"/>
      <c r="X184">
        <f ca="1">RANDBETWEEN(2,COUNTA(rua_cod!A:A))</f>
        <v>41</v>
      </c>
      <c r="Y184">
        <f t="shared" ca="1" si="30"/>
        <v>1</v>
      </c>
      <c r="Z184">
        <f t="shared" ca="1" si="31"/>
        <v>2</v>
      </c>
      <c r="AA184">
        <f t="shared" ca="1" si="32"/>
        <v>1967</v>
      </c>
      <c r="AB184">
        <f t="shared" ca="1" si="33"/>
        <v>4</v>
      </c>
      <c r="AC184">
        <f t="shared" ca="1" si="34"/>
        <v>16</v>
      </c>
      <c r="AD184">
        <f t="shared" ca="1" si="35"/>
        <v>53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Diogo Sara Gonçalves Silva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Estrada Militar</v>
      </c>
      <c r="H185" t="str" cm="1">
        <f t="array" aca="1" ref="H185" ca="1">INDEX(rua_cod!$A:$A,Médicos!X185) &amp; "-" &amp; TEXT(RANDBETWEEN(0,999),"000")</f>
        <v>2424-067</v>
      </c>
      <c r="I185" t="str" cm="1">
        <f t="array" aca="1" ref="I185" ca="1">INDEX(rua_cod!$B:$B,Médicos!X185)</f>
        <v>Leiria</v>
      </c>
      <c r="J185" t="s">
        <v>341</v>
      </c>
      <c r="K185" t="s">
        <v>225</v>
      </c>
      <c r="L185" t="s">
        <v>265</v>
      </c>
      <c r="M185" t="str">
        <f t="shared" ca="1" si="26"/>
        <v>26175337</v>
      </c>
      <c r="N185" t="str">
        <f t="shared" ca="1" si="27"/>
        <v>233942209</v>
      </c>
      <c r="O185" t="str">
        <f t="shared" ca="1" si="27"/>
        <v>432212128</v>
      </c>
      <c r="P185" t="str" cm="1">
        <f t="array" aca="1" ref="P185" ca="1">9 &amp; INDEX($AH$3:$AH$6,Y185)&amp; TEXT(RANDBETWEEN(0,9999999),"0000000")</f>
        <v>913013511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3236643400415082</v>
      </c>
      <c r="T185" t="s">
        <v>341</v>
      </c>
      <c r="V185" s="4"/>
      <c r="X185">
        <f ca="1">RANDBETWEEN(2,COUNTA(rua_cod!A:A))</f>
        <v>39</v>
      </c>
      <c r="Y185">
        <f t="shared" ca="1" si="30"/>
        <v>1</v>
      </c>
      <c r="Z185">
        <f t="shared" ca="1" si="31"/>
        <v>1</v>
      </c>
      <c r="AA185">
        <f t="shared" ca="1" si="32"/>
        <v>1980</v>
      </c>
      <c r="AB185">
        <f t="shared" ca="1" si="33"/>
        <v>3</v>
      </c>
      <c r="AC185">
        <f t="shared" ca="1" si="34"/>
        <v>28</v>
      </c>
      <c r="AD185">
        <f t="shared" ca="1" si="35"/>
        <v>40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Francisca Beatriz Domingues Matias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dos Heróis de Quionga</v>
      </c>
      <c r="H186" t="str" cm="1">
        <f t="array" aca="1" ref="H186" ca="1">INDEX(rua_cod!$A:$A,Médicos!X186) &amp; "-" &amp; TEXT(RANDBETWEEN(0,999),"000")</f>
        <v>2714-200</v>
      </c>
      <c r="I186" t="str" cm="1">
        <f t="array" aca="1" ref="I186" ca="1">INDEX(rua_cod!$B:$B,Médicos!X186)</f>
        <v>Sintra</v>
      </c>
      <c r="J186" t="s">
        <v>341</v>
      </c>
      <c r="K186" t="s">
        <v>225</v>
      </c>
      <c r="L186" t="s">
        <v>265</v>
      </c>
      <c r="M186" t="str">
        <f t="shared" ca="1" si="26"/>
        <v>95913587</v>
      </c>
      <c r="N186" t="str">
        <f t="shared" ca="1" si="27"/>
        <v>960021758</v>
      </c>
      <c r="O186" t="str">
        <f t="shared" ca="1" si="27"/>
        <v>396962048</v>
      </c>
      <c r="P186" t="str" cm="1">
        <f t="array" aca="1" ref="P186" ca="1">9 &amp; INDEX($AH$3:$AH$6,Y186)&amp; TEXT(RANDBETWEEN(0,9999999),"0000000")</f>
        <v>914096416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4132736085216110</v>
      </c>
      <c r="T186" t="s">
        <v>341</v>
      </c>
      <c r="V186" s="4"/>
      <c r="X186">
        <f ca="1">RANDBETWEEN(2,COUNTA(rua_cod!A:A))</f>
        <v>101</v>
      </c>
      <c r="Y186">
        <f t="shared" ca="1" si="30"/>
        <v>1</v>
      </c>
      <c r="Z186">
        <f t="shared" ca="1" si="31"/>
        <v>3</v>
      </c>
      <c r="AA186">
        <f t="shared" ca="1" si="32"/>
        <v>1951</v>
      </c>
      <c r="AB186">
        <f t="shared" ca="1" si="33"/>
        <v>7</v>
      </c>
      <c r="AC186">
        <f t="shared" ca="1" si="34"/>
        <v>22</v>
      </c>
      <c r="AD186">
        <f t="shared" ca="1" si="35"/>
        <v>69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José Gabriel Pinheiro Mendes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Garrett</v>
      </c>
      <c r="H187" t="str" cm="1">
        <f t="array" aca="1" ref="H187" ca="1">INDEX(rua_cod!$A:$A,Médicos!X187) &amp; "-" &amp; TEXT(RANDBETWEEN(0,999),"000")</f>
        <v>1149-558</v>
      </c>
      <c r="I187" t="str" cm="1">
        <f t="array" aca="1" ref="I187" ca="1">INDEX(rua_cod!$B:$B,Médicos!X187)</f>
        <v>Lisboa</v>
      </c>
      <c r="J187" t="s">
        <v>341</v>
      </c>
      <c r="K187" t="s">
        <v>225</v>
      </c>
      <c r="L187" t="s">
        <v>265</v>
      </c>
      <c r="M187" t="str">
        <f t="shared" ca="1" si="26"/>
        <v>75089681</v>
      </c>
      <c r="N187" t="str">
        <f t="shared" ca="1" si="27"/>
        <v>239553891</v>
      </c>
      <c r="O187" t="str">
        <f t="shared" ca="1" si="27"/>
        <v>697820835</v>
      </c>
      <c r="P187" t="str" cm="1">
        <f t="array" aca="1" ref="P187" ca="1">9 &amp; INDEX($AH$3:$AH$6,Y187)&amp; TEXT(RANDBETWEEN(0,9999999),"0000000")</f>
        <v>936564359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3507478995283515</v>
      </c>
      <c r="T187" t="s">
        <v>341</v>
      </c>
      <c r="V187" s="4"/>
      <c r="X187">
        <f ca="1">RANDBETWEEN(2,COUNTA(rua_cod!A:A))</f>
        <v>59</v>
      </c>
      <c r="Y187">
        <f t="shared" ca="1" si="30"/>
        <v>3</v>
      </c>
      <c r="Z187">
        <f t="shared" ca="1" si="31"/>
        <v>2</v>
      </c>
      <c r="AA187">
        <f t="shared" ca="1" si="32"/>
        <v>1987</v>
      </c>
      <c r="AB187">
        <f t="shared" ca="1" si="33"/>
        <v>12</v>
      </c>
      <c r="AC187">
        <f t="shared" ca="1" si="34"/>
        <v>31</v>
      </c>
      <c r="AD187">
        <f t="shared" ca="1" si="35"/>
        <v>33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Diana Ana Torres Pinho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da Betesga</v>
      </c>
      <c r="H188" t="str" cm="1">
        <f t="array" aca="1" ref="H188" ca="1">INDEX(rua_cod!$A:$A,Médicos!X188) &amp; "-" &amp; TEXT(RANDBETWEEN(0,999),"000")</f>
        <v>1169-120</v>
      </c>
      <c r="I188" t="str" cm="1">
        <f t="array" aca="1" ref="I188" ca="1">INDEX(rua_cod!$B:$B,Médicos!X188)</f>
        <v>Lisboa</v>
      </c>
      <c r="J188" t="s">
        <v>341</v>
      </c>
      <c r="K188" t="s">
        <v>225</v>
      </c>
      <c r="L188" t="s">
        <v>265</v>
      </c>
      <c r="M188" t="str">
        <f t="shared" ca="1" si="26"/>
        <v>88783849</v>
      </c>
      <c r="N188" t="str">
        <f t="shared" ca="1" si="27"/>
        <v>561478164</v>
      </c>
      <c r="O188" t="str">
        <f t="shared" ca="1" si="27"/>
        <v>933209070</v>
      </c>
      <c r="P188" t="str" cm="1">
        <f t="array" aca="1" ref="P188" ca="1">9 &amp; INDEX($AH$3:$AH$6,Y188)&amp; TEXT(RANDBETWEEN(0,9999999),"0000000")</f>
        <v>919052883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8348179404697188</v>
      </c>
      <c r="T188" t="s">
        <v>341</v>
      </c>
      <c r="V188" s="4"/>
      <c r="X188">
        <f ca="1">RANDBETWEEN(2,COUNTA(rua_cod!A:A))</f>
        <v>70</v>
      </c>
      <c r="Y188">
        <f t="shared" ca="1" si="30"/>
        <v>1</v>
      </c>
      <c r="Z188">
        <f t="shared" ca="1" si="31"/>
        <v>2</v>
      </c>
      <c r="AA188">
        <f t="shared" ca="1" si="32"/>
        <v>1989</v>
      </c>
      <c r="AB188">
        <f t="shared" ca="1" si="33"/>
        <v>11</v>
      </c>
      <c r="AC188">
        <f t="shared" ca="1" si="34"/>
        <v>31</v>
      </c>
      <c r="AD188">
        <f t="shared" ca="1" si="35"/>
        <v>31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Diana Miguel Machado Moura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Nova do Almada</v>
      </c>
      <c r="H189" t="str" cm="1">
        <f t="array" aca="1" ref="H189" ca="1">INDEX(rua_cod!$A:$A,Médicos!X189) &amp; "-" &amp; TEXT(RANDBETWEEN(0,999),"000")</f>
        <v>2004-675</v>
      </c>
      <c r="I189" t="str" cm="1">
        <f t="array" aca="1" ref="I189" ca="1">INDEX(rua_cod!$B:$B,Médicos!X189)</f>
        <v>Santarém</v>
      </c>
      <c r="J189" t="s">
        <v>341</v>
      </c>
      <c r="K189" t="s">
        <v>225</v>
      </c>
      <c r="L189" t="s">
        <v>265</v>
      </c>
      <c r="M189" t="str">
        <f t="shared" ca="1" si="26"/>
        <v>24037909</v>
      </c>
      <c r="N189" t="str">
        <f t="shared" ca="1" si="27"/>
        <v>415957619</v>
      </c>
      <c r="O189" t="str">
        <f t="shared" ca="1" si="27"/>
        <v>269220803</v>
      </c>
      <c r="P189" t="str" cm="1">
        <f t="array" aca="1" ref="P189" ca="1">9 &amp; INDEX($AH$3:$AH$6,Y189)&amp; TEXT(RANDBETWEEN(0,9999999),"0000000")</f>
        <v>919411030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2169878629694276</v>
      </c>
      <c r="T189" t="s">
        <v>341</v>
      </c>
      <c r="V189" s="4"/>
      <c r="X189">
        <f ca="1">RANDBETWEEN(2,COUNTA(rua_cod!A:A))</f>
        <v>94</v>
      </c>
      <c r="Y189">
        <f t="shared" ca="1" si="30"/>
        <v>1</v>
      </c>
      <c r="Z189">
        <f t="shared" ca="1" si="31"/>
        <v>2</v>
      </c>
      <c r="AA189">
        <f t="shared" ca="1" si="32"/>
        <v>1960</v>
      </c>
      <c r="AB189">
        <f t="shared" ca="1" si="33"/>
        <v>5</v>
      </c>
      <c r="AC189">
        <f t="shared" ca="1" si="34"/>
        <v>25</v>
      </c>
      <c r="AD189">
        <f t="shared" ca="1" si="35"/>
        <v>60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Luís Sofia Vicente Rocha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do Salitre</v>
      </c>
      <c r="H190" t="str" cm="1">
        <f t="array" aca="1" ref="H190" ca="1">INDEX(rua_cod!$A:$A,Médicos!X190) &amp; "-" &amp; TEXT(RANDBETWEEN(0,999),"000")</f>
        <v>1950-761</v>
      </c>
      <c r="I190" t="str" cm="1">
        <f t="array" aca="1" ref="I190" ca="1">INDEX(rua_cod!$B:$B,Médicos!X190)</f>
        <v>Lisboa</v>
      </c>
      <c r="J190" t="s">
        <v>341</v>
      </c>
      <c r="K190" t="s">
        <v>225</v>
      </c>
      <c r="L190" t="s">
        <v>265</v>
      </c>
      <c r="M190" t="str">
        <f t="shared" ca="1" si="26"/>
        <v>85538628</v>
      </c>
      <c r="N190" t="str">
        <f t="shared" ca="1" si="27"/>
        <v>426742303</v>
      </c>
      <c r="O190" t="str">
        <f t="shared" ca="1" si="27"/>
        <v>113842419</v>
      </c>
      <c r="P190" t="str" cm="1">
        <f t="array" aca="1" ref="P190" ca="1">9 &amp; INDEX($AH$3:$AH$6,Y190)&amp; TEXT(RANDBETWEEN(0,9999999),"0000000")</f>
        <v>930812972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9183181781634706</v>
      </c>
      <c r="T190" t="s">
        <v>341</v>
      </c>
      <c r="V190" s="4"/>
      <c r="X190">
        <f ca="1">RANDBETWEEN(2,COUNTA(rua_cod!A:A))</f>
        <v>41</v>
      </c>
      <c r="Y190">
        <f t="shared" ca="1" si="30"/>
        <v>3</v>
      </c>
      <c r="Z190">
        <f t="shared" ca="1" si="31"/>
        <v>3</v>
      </c>
      <c r="AA190">
        <f t="shared" ca="1" si="32"/>
        <v>1964</v>
      </c>
      <c r="AB190">
        <f t="shared" ca="1" si="33"/>
        <v>12</v>
      </c>
      <c r="AC190">
        <f t="shared" ca="1" si="34"/>
        <v>7</v>
      </c>
      <c r="AD190">
        <f t="shared" ca="1" si="35"/>
        <v>56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Lurdes Sofia Maia Vaz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Augusta</v>
      </c>
      <c r="H191" t="str" cm="1">
        <f t="array" aca="1" ref="H191" ca="1">INDEX(rua_cod!$A:$A,Médicos!X191) &amp; "-" &amp; TEXT(RANDBETWEEN(0,999),"000")</f>
        <v>1250-340</v>
      </c>
      <c r="I191" t="str" cm="1">
        <f t="array" aca="1" ref="I191" ca="1">INDEX(rua_cod!$B:$B,Médicos!X191)</f>
        <v>Lisboa</v>
      </c>
      <c r="J191" t="s">
        <v>341</v>
      </c>
      <c r="K191" t="s">
        <v>225</v>
      </c>
      <c r="L191" t="s">
        <v>265</v>
      </c>
      <c r="M191" t="str">
        <f t="shared" ca="1" si="26"/>
        <v>28777337</v>
      </c>
      <c r="N191" t="str">
        <f t="shared" ca="1" si="27"/>
        <v>638474076</v>
      </c>
      <c r="O191" t="str">
        <f t="shared" ca="1" si="27"/>
        <v>639067277</v>
      </c>
      <c r="P191" t="str" cm="1">
        <f t="array" aca="1" ref="P191" ca="1">9 &amp; INDEX($AH$3:$AH$6,Y191)&amp; TEXT(RANDBETWEEN(0,9999999),"0000000")</f>
        <v>927848699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9020295215144740</v>
      </c>
      <c r="T191" t="s">
        <v>341</v>
      </c>
      <c r="V191" s="4"/>
      <c r="X191">
        <f ca="1">RANDBETWEEN(2,COUNTA(rua_cod!A:A))</f>
        <v>50</v>
      </c>
      <c r="Y191">
        <f t="shared" ca="1" si="30"/>
        <v>2</v>
      </c>
      <c r="Z191">
        <f t="shared" ca="1" si="31"/>
        <v>2</v>
      </c>
      <c r="AA191">
        <f t="shared" ca="1" si="32"/>
        <v>1967</v>
      </c>
      <c r="AB191">
        <f t="shared" ca="1" si="33"/>
        <v>11</v>
      </c>
      <c r="AC191">
        <f t="shared" ca="1" si="34"/>
        <v>14</v>
      </c>
      <c r="AD191">
        <f t="shared" ca="1" si="35"/>
        <v>53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Daniela José Ribeiro Vieira</v>
      </c>
      <c r="E192" t="str">
        <f ca="1">Nomes!S193</f>
        <v>Feminino</v>
      </c>
      <c r="F192" s="2">
        <v>14252</v>
      </c>
      <c r="G192" t="str" cm="1">
        <f t="array" aca="1" ref="G192" ca="1">INDEX(rua_cod!$F:$F,RANDBETWEEN(2,COUNTA(rua_cod!F:F)))</f>
        <v>Rua Júlio César Machado</v>
      </c>
      <c r="H192" t="str" cm="1">
        <f t="array" aca="1" ref="H192" ca="1">INDEX(rua_cod!$A:$A,Médicos!X192) &amp; "-" &amp; TEXT(RANDBETWEEN(0,999),"000")</f>
        <v>2000-293</v>
      </c>
      <c r="I192" t="str" cm="1">
        <f t="array" aca="1" ref="I192" ca="1">INDEX(rua_cod!$B:$B,Médicos!X192)</f>
        <v>Santarém</v>
      </c>
      <c r="J192" t="s">
        <v>341</v>
      </c>
      <c r="K192" t="s">
        <v>225</v>
      </c>
      <c r="L192" t="s">
        <v>265</v>
      </c>
      <c r="M192" t="str">
        <f t="shared" ca="1" si="26"/>
        <v>60897552</v>
      </c>
      <c r="N192" t="str">
        <f t="shared" ca="1" si="27"/>
        <v>110288915</v>
      </c>
      <c r="O192" t="str">
        <f t="shared" ca="1" si="27"/>
        <v>470573315</v>
      </c>
      <c r="P192" t="str" cm="1">
        <f t="array" aca="1" ref="P192" ca="1">9 &amp; INDEX($AH$3:$AH$6,Y192)&amp; TEXT(RANDBETWEEN(0,9999999),"0000000")</f>
        <v>934071006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3392079602978895</v>
      </c>
      <c r="T192" t="s">
        <v>341</v>
      </c>
      <c r="V192" s="4"/>
      <c r="X192">
        <f ca="1">RANDBETWEEN(2,COUNTA(rua_cod!A:A))</f>
        <v>93</v>
      </c>
      <c r="Y192">
        <f t="shared" ca="1" si="30"/>
        <v>3</v>
      </c>
      <c r="Z192">
        <f t="shared" ca="1" si="31"/>
        <v>3</v>
      </c>
      <c r="AA192">
        <f t="shared" ca="1" si="32"/>
        <v>1970</v>
      </c>
      <c r="AB192">
        <f t="shared" ca="1" si="33"/>
        <v>10</v>
      </c>
      <c r="AC192">
        <f t="shared" ca="1" si="34"/>
        <v>5</v>
      </c>
      <c r="AD192">
        <f t="shared" ca="1" si="35"/>
        <v>50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Martim Sofia Nunes Maia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Estrada das Laranjeiras</v>
      </c>
      <c r="H193" t="str" cm="1">
        <f t="array" aca="1" ref="H193" ca="1">INDEX(rua_cod!$A:$A,Médicos!X193) &amp; "-" &amp; TEXT(RANDBETWEEN(0,999),"000")</f>
        <v>2790-579</v>
      </c>
      <c r="I193" t="str" cm="1">
        <f t="array" aca="1" ref="I193" ca="1">INDEX(rua_cod!$B:$B,Médicos!X193)</f>
        <v>Carnaxide</v>
      </c>
      <c r="J193" t="s">
        <v>341</v>
      </c>
      <c r="K193" t="s">
        <v>225</v>
      </c>
      <c r="L193" t="s">
        <v>265</v>
      </c>
      <c r="M193" t="str">
        <f t="shared" ca="1" si="26"/>
        <v>35327400</v>
      </c>
      <c r="N193" t="str">
        <f t="shared" ca="1" si="27"/>
        <v>114941340</v>
      </c>
      <c r="O193" t="str">
        <f t="shared" ca="1" si="27"/>
        <v>681623433</v>
      </c>
      <c r="P193" t="str" cm="1">
        <f t="array" aca="1" ref="P193" ca="1">9 &amp; INDEX($AH$3:$AH$6,Y193)&amp; TEXT(RANDBETWEEN(0,9999999),"0000000")</f>
        <v>915278818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1718560182417623</v>
      </c>
      <c r="T193" t="s">
        <v>341</v>
      </c>
      <c r="V193" s="4"/>
      <c r="X193">
        <f ca="1">RANDBETWEEN(2,COUNTA(rua_cod!A:A))</f>
        <v>22</v>
      </c>
      <c r="Y193">
        <f t="shared" ca="1" si="30"/>
        <v>1</v>
      </c>
      <c r="Z193">
        <f t="shared" ca="1" si="31"/>
        <v>2</v>
      </c>
      <c r="AA193">
        <f t="shared" ca="1" si="32"/>
        <v>1950</v>
      </c>
      <c r="AB193">
        <f t="shared" ca="1" si="33"/>
        <v>12</v>
      </c>
      <c r="AC193">
        <f t="shared" ca="1" si="34"/>
        <v>22</v>
      </c>
      <c r="AD193">
        <f t="shared" ca="1" si="35"/>
        <v>70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José Francisca Batista Campos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Rua do Instituto Bacteriológico</v>
      </c>
      <c r="H194" t="str" cm="1">
        <f t="array" aca="1" ref="H194" ca="1">INDEX(rua_cod!$A:$A,Médicos!X194) &amp; "-" &amp; TEXT(RANDBETWEEN(0,999),"000")</f>
        <v>2009-043</v>
      </c>
      <c r="I194" t="str" cm="1">
        <f t="array" aca="1" ref="I194" ca="1">INDEX(rua_cod!$B:$B,Médicos!X194)</f>
        <v>Santarém</v>
      </c>
      <c r="J194" t="s">
        <v>341</v>
      </c>
      <c r="K194" t="s">
        <v>225</v>
      </c>
      <c r="L194" t="s">
        <v>265</v>
      </c>
      <c r="M194" t="str">
        <f t="shared" ca="1" si="26"/>
        <v>19370863</v>
      </c>
      <c r="N194" t="str">
        <f t="shared" ca="1" si="27"/>
        <v>713240054</v>
      </c>
      <c r="O194" t="str">
        <f t="shared" ca="1" si="27"/>
        <v>374737372</v>
      </c>
      <c r="P194" t="str" cm="1">
        <f t="array" aca="1" ref="P194" ca="1">9 &amp; INDEX($AH$3:$AH$6,Y194)&amp; TEXT(RANDBETWEEN(0,9999999),"0000000")</f>
        <v>932603721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2485842209307351</v>
      </c>
      <c r="T194" t="s">
        <v>341</v>
      </c>
      <c r="V194" s="4"/>
      <c r="X194">
        <f ca="1">RANDBETWEEN(2,COUNTA(rua_cod!A:A))</f>
        <v>95</v>
      </c>
      <c r="Y194">
        <f t="shared" ca="1" si="30"/>
        <v>3</v>
      </c>
      <c r="Z194">
        <f t="shared" ca="1" si="31"/>
        <v>1</v>
      </c>
      <c r="AA194">
        <f t="shared" ca="1" si="32"/>
        <v>1984</v>
      </c>
      <c r="AB194">
        <f t="shared" ca="1" si="33"/>
        <v>10</v>
      </c>
      <c r="AC194">
        <f t="shared" ca="1" si="34"/>
        <v>21</v>
      </c>
      <c r="AD194">
        <f t="shared" ca="1" si="35"/>
        <v>36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Francisca Gabriel Santos Ferreira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dos Fanqueiros</v>
      </c>
      <c r="H195" t="str" cm="1">
        <f t="array" aca="1" ref="H195" ca="1">INDEX(rua_cod!$A:$A,Médicos!X195) &amp; "-" &amp; TEXT(RANDBETWEEN(0,999),"000")</f>
        <v>1349-490</v>
      </c>
      <c r="I195" t="str" cm="1">
        <f t="array" aca="1" ref="I195" ca="1">INDEX(rua_cod!$B:$B,Médicos!X195)</f>
        <v>Lisboa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79375818</v>
      </c>
      <c r="N195" t="str">
        <f t="shared" ref="N195:O199" ca="1" si="39">TEXT(RANDBETWEEN(100000000,999999999),"000000000")</f>
        <v>166457190</v>
      </c>
      <c r="O195" t="str">
        <f t="shared" ca="1" si="39"/>
        <v>923837709</v>
      </c>
      <c r="P195" t="str" cm="1">
        <f t="array" aca="1" ref="P195" ca="1">9 &amp; INDEX($AH$3:$AH$6,Y195)&amp; TEXT(RANDBETWEEN(0,9999999),"0000000")</f>
        <v>911324644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1462559114813873</v>
      </c>
      <c r="T195" t="s">
        <v>341</v>
      </c>
      <c r="V195" s="4"/>
      <c r="X195">
        <f ca="1">RANDBETWEEN(2,COUNTA(rua_cod!A:A))</f>
        <v>71</v>
      </c>
      <c r="Y195">
        <f t="shared" ref="Y195:Y199" ca="1" si="42">RANDBETWEEN(1,4)</f>
        <v>1</v>
      </c>
      <c r="Z195">
        <f t="shared" ref="Z195:Z199" ca="1" si="43">RANDBETWEEN(1,3)</f>
        <v>3</v>
      </c>
      <c r="AA195">
        <f t="shared" ref="AA195:AA199" ca="1" si="44">RANDBETWEEN(1950,1994)</f>
        <v>1956</v>
      </c>
      <c r="AB195">
        <f t="shared" ref="AB195:AB199" ca="1" si="45">RANDBETWEEN(1,12)</f>
        <v>6</v>
      </c>
      <c r="AC195">
        <f t="shared" ref="AC195:AC199" ca="1" si="46">RANDBETWEEN(1,31)</f>
        <v>15</v>
      </c>
      <c r="AD195">
        <f t="shared" ref="AD195:AD199" ca="1" si="47">2020-AA195</f>
        <v>64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Miguel Vera Gomes Matos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da Betesga</v>
      </c>
      <c r="H196" t="str" cm="1">
        <f t="array" aca="1" ref="H196" ca="1">INDEX(rua_cod!$A:$A,Médicos!X196) &amp; "-" &amp; TEXT(RANDBETWEEN(0,999),"000")</f>
        <v>2670-977</v>
      </c>
      <c r="I196" t="str" cm="1">
        <f t="array" aca="1" ref="I196" ca="1">INDEX(rua_cod!$B:$B,Médicos!X196)</f>
        <v>Loures</v>
      </c>
      <c r="J196" t="s">
        <v>341</v>
      </c>
      <c r="K196" t="s">
        <v>225</v>
      </c>
      <c r="L196" t="s">
        <v>265</v>
      </c>
      <c r="M196" t="str">
        <f t="shared" ca="1" si="38"/>
        <v>22188250</v>
      </c>
      <c r="N196" t="str">
        <f t="shared" ca="1" si="39"/>
        <v>490867929</v>
      </c>
      <c r="O196" t="str">
        <f t="shared" ca="1" si="39"/>
        <v>710642107</v>
      </c>
      <c r="P196" t="str" cm="1">
        <f t="array" aca="1" ref="P196" ca="1">9 &amp; INDEX($AH$3:$AH$6,Y196)&amp; TEXT(RANDBETWEEN(0,9999999),"0000000")</f>
        <v>918289791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8158449454816440</v>
      </c>
      <c r="T196" t="s">
        <v>341</v>
      </c>
      <c r="V196" s="4"/>
      <c r="X196">
        <f ca="1">RANDBETWEEN(2,COUNTA(rua_cod!A:A))</f>
        <v>83</v>
      </c>
      <c r="Y196">
        <f t="shared" ca="1" si="42"/>
        <v>1</v>
      </c>
      <c r="Z196">
        <f t="shared" ca="1" si="43"/>
        <v>1</v>
      </c>
      <c r="AA196">
        <f t="shared" ca="1" si="44"/>
        <v>1971</v>
      </c>
      <c r="AB196">
        <f t="shared" ca="1" si="45"/>
        <v>2</v>
      </c>
      <c r="AC196">
        <f t="shared" ca="1" si="46"/>
        <v>27</v>
      </c>
      <c r="AD196">
        <f t="shared" ca="1" si="47"/>
        <v>49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Marco Luís Martins Sá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da Betesga</v>
      </c>
      <c r="H197" t="str" cm="1">
        <f t="array" aca="1" ref="H197" ca="1">INDEX(rua_cod!$A:$A,Médicos!X197) &amp; "-" &amp; TEXT(RANDBETWEEN(0,999),"000")</f>
        <v>2829-841</v>
      </c>
      <c r="I197" t="str" cm="1">
        <f t="array" aca="1" ref="I197" ca="1">INDEX(rua_cod!$B:$B,Médicos!X197)</f>
        <v>Caparica</v>
      </c>
      <c r="J197" t="s">
        <v>341</v>
      </c>
      <c r="K197" t="s">
        <v>225</v>
      </c>
      <c r="L197" t="s">
        <v>265</v>
      </c>
      <c r="M197" t="str">
        <f t="shared" ca="1" si="38"/>
        <v>66751097</v>
      </c>
      <c r="N197" t="str">
        <f t="shared" ca="1" si="39"/>
        <v>670627927</v>
      </c>
      <c r="O197" t="str">
        <f t="shared" ca="1" si="39"/>
        <v>186560583</v>
      </c>
      <c r="P197" t="str" cm="1">
        <f t="array" aca="1" ref="P197" ca="1">9 &amp; INDEX($AH$3:$AH$6,Y197)&amp; TEXT(RANDBETWEEN(0,9999999),"0000000")</f>
        <v>916144103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3969437999115554</v>
      </c>
      <c r="T197" t="s">
        <v>341</v>
      </c>
      <c r="V197" s="4"/>
      <c r="X197">
        <f ca="1">RANDBETWEEN(2,COUNTA(rua_cod!A:A))</f>
        <v>19</v>
      </c>
      <c r="Y197">
        <f t="shared" ca="1" si="42"/>
        <v>1</v>
      </c>
      <c r="Z197">
        <f t="shared" ca="1" si="43"/>
        <v>2</v>
      </c>
      <c r="AA197">
        <f t="shared" ca="1" si="44"/>
        <v>1989</v>
      </c>
      <c r="AB197">
        <f t="shared" ca="1" si="45"/>
        <v>7</v>
      </c>
      <c r="AC197">
        <f t="shared" ca="1" si="46"/>
        <v>29</v>
      </c>
      <c r="AD197">
        <f t="shared" ca="1" si="47"/>
        <v>31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José Sara Pinto Soares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Avenida Ressano Garcia</v>
      </c>
      <c r="H198" t="str" cm="1">
        <f t="array" aca="1" ref="H198" ca="1">INDEX(rua_cod!$A:$A,Médicos!X198) &amp; "-" &amp; TEXT(RANDBETWEEN(0,999),"000")</f>
        <v>2614-327</v>
      </c>
      <c r="I198" t="str" cm="1">
        <f t="array" aca="1" ref="I198" ca="1">INDEX(rua_cod!$B:$B,Médicos!X198)</f>
        <v>Amadora</v>
      </c>
      <c r="J198" t="s">
        <v>341</v>
      </c>
      <c r="K198" t="s">
        <v>225</v>
      </c>
      <c r="L198" t="s">
        <v>265</v>
      </c>
      <c r="M198" t="str">
        <f t="shared" ca="1" si="38"/>
        <v>73783473</v>
      </c>
      <c r="N198" t="str">
        <f t="shared" ca="1" si="39"/>
        <v>656524634</v>
      </c>
      <c r="O198" t="str">
        <f t="shared" ca="1" si="39"/>
        <v>820319046</v>
      </c>
      <c r="P198" t="str" cm="1">
        <f t="array" aca="1" ref="P198" ca="1">9 &amp; INDEX($AH$3:$AH$6,Y198)&amp; TEXT(RANDBETWEEN(0,9999999),"0000000")</f>
        <v>911847907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8273773033143274</v>
      </c>
      <c r="T198" t="s">
        <v>341</v>
      </c>
      <c r="V198" s="4"/>
      <c r="X198">
        <f ca="1">RANDBETWEEN(2,COUNTA(rua_cod!A:A))</f>
        <v>11</v>
      </c>
      <c r="Y198">
        <f t="shared" ca="1" si="42"/>
        <v>1</v>
      </c>
      <c r="Z198">
        <f t="shared" ca="1" si="43"/>
        <v>2</v>
      </c>
      <c r="AA198">
        <f t="shared" ca="1" si="44"/>
        <v>1978</v>
      </c>
      <c r="AB198">
        <f t="shared" ca="1" si="45"/>
        <v>9</v>
      </c>
      <c r="AC198">
        <f t="shared" ca="1" si="46"/>
        <v>26</v>
      </c>
      <c r="AD198">
        <f t="shared" ca="1" si="47"/>
        <v>42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Laura Rodrigo Morais Domingues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Estrada Militar</v>
      </c>
      <c r="H199" t="str" cm="1">
        <f t="array" aca="1" ref="H199" ca="1">INDEX(rua_cod!$A:$A,Médicos!X199) &amp; "-" &amp; TEXT(RANDBETWEEN(0,999),"000")</f>
        <v>1399-928</v>
      </c>
      <c r="I199" t="str" cm="1">
        <f t="array" aca="1" ref="I199" ca="1">INDEX(rua_cod!$B:$B,Médicos!X199)</f>
        <v>Lisboa</v>
      </c>
      <c r="J199" t="s">
        <v>341</v>
      </c>
      <c r="K199" t="s">
        <v>225</v>
      </c>
      <c r="L199" t="s">
        <v>265</v>
      </c>
      <c r="M199" t="str">
        <f t="shared" ca="1" si="38"/>
        <v>64803703</v>
      </c>
      <c r="N199" t="str">
        <f t="shared" ca="1" si="39"/>
        <v>328230956</v>
      </c>
      <c r="O199" t="str">
        <f t="shared" ca="1" si="39"/>
        <v>966065366</v>
      </c>
      <c r="P199" t="str" cm="1">
        <f t="array" aca="1" ref="P199" ca="1">9 &amp; INDEX($AH$3:$AH$6,Y199)&amp; TEXT(RANDBETWEEN(0,9999999),"0000000")</f>
        <v>910002472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5157729207196694</v>
      </c>
      <c r="T199" t="s">
        <v>341</v>
      </c>
      <c r="V199" s="4"/>
      <c r="X199">
        <f ca="1">RANDBETWEEN(2,COUNTA(rua_cod!A:A))</f>
        <v>55</v>
      </c>
      <c r="Y199">
        <f t="shared" ca="1" si="42"/>
        <v>1</v>
      </c>
      <c r="Z199">
        <f t="shared" ca="1" si="43"/>
        <v>2</v>
      </c>
      <c r="AA199">
        <f t="shared" ca="1" si="44"/>
        <v>1964</v>
      </c>
      <c r="AB199">
        <f t="shared" ca="1" si="45"/>
        <v>4</v>
      </c>
      <c r="AC199">
        <f t="shared" ca="1" si="46"/>
        <v>16</v>
      </c>
      <c r="AD199">
        <f t="shared" ca="1" si="47"/>
        <v>56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Mariana Barbosa Simões</v>
      </c>
      <c r="E2" t="str">
        <f ca="1">Nomes!S50</f>
        <v>Feminino</v>
      </c>
      <c r="F2" s="2">
        <f ca="1">DATE(AA2,AB2,AC2)</f>
        <v>30647</v>
      </c>
      <c r="G2" t="str" cm="1">
        <f t="array" aca="1" ref="G2" ca="1">INDEX(rua_cod!$F:$F,RANDBETWEEN(2,COUNTA(rua_cod!F:F)))</f>
        <v>Rua do Sacramento à Lapa</v>
      </c>
      <c r="H2" t="str" cm="1">
        <f t="array" aca="1" ref="H2" ca="1">INDEX(rua_cod!$A:$A,Receptionist!X2) &amp; "-" &amp; TEXT(RANDBETWEEN(0,999),"000")</f>
        <v>1748-385</v>
      </c>
      <c r="I2" t="str" cm="1">
        <f t="array" aca="1" ref="I2" ca="1">INDEX(rua_cod!$B:$B,Receptionist!X2)</f>
        <v>Lisboa</v>
      </c>
      <c r="J2" t="s">
        <v>3742</v>
      </c>
      <c r="K2" t="s">
        <v>225</v>
      </c>
      <c r="L2" t="s">
        <v>265</v>
      </c>
      <c r="M2" t="str">
        <f ca="1">TEXT(RANDBETWEEN(10000000,99999999),"00000000")</f>
        <v>11050636</v>
      </c>
      <c r="N2" t="str">
        <f ca="1">TEXT(RANDBETWEEN(100000000,999999999),"000000000")</f>
        <v>246006044</v>
      </c>
      <c r="O2" t="str">
        <f ca="1">TEXT(RANDBETWEEN(100000000,999999999),"000000000")</f>
        <v>640459364</v>
      </c>
      <c r="P2" t="str" cm="1">
        <f t="array" aca="1" ref="P2" ca="1">9 &amp; INDEX($AH$3:$AH$6,Y2)&amp; TEXT(RANDBETWEEN(0,9999999),"0000000")</f>
        <v>934759967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77</v>
      </c>
      <c r="Y2">
        <f ca="1">RANDBETWEEN(1,4)</f>
        <v>3</v>
      </c>
      <c r="Z2">
        <f ca="1">RANDBETWEEN(1,3)</f>
        <v>3</v>
      </c>
      <c r="AA2">
        <f ca="1">RANDBETWEEN(1950,1994)</f>
        <v>1983</v>
      </c>
      <c r="AB2">
        <f ca="1">RANDBETWEEN(1,12)</f>
        <v>11</v>
      </c>
      <c r="AC2">
        <f ca="1">RANDBETWEEN(1,31)</f>
        <v>27</v>
      </c>
      <c r="AD2">
        <f ca="1">2020-AA2</f>
        <v>37</v>
      </c>
      <c r="AH2" t="s">
        <v>266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Lurdes Santos Batista</v>
      </c>
      <c r="E3" t="str">
        <f ca="1">Nomes!S51</f>
        <v>Feminino</v>
      </c>
      <c r="F3" s="2">
        <f t="shared" ref="F3:F11" ca="1" si="2">DATE(AA3,AB3,AC3)</f>
        <v>23530</v>
      </c>
      <c r="G3" t="str" cm="1">
        <f t="array" aca="1" ref="G3" ca="1">INDEX(rua_cod!$F:$F,RANDBETWEEN(2,COUNTA(rua_cod!F:F)))</f>
        <v>Rua do Instituto Bacteriológico</v>
      </c>
      <c r="H3" t="str" cm="1">
        <f t="array" aca="1" ref="H3" ca="1">INDEX(rua_cod!$A:$A,Receptionist!X3) &amp; "-" &amp; TEXT(RANDBETWEEN(0,999),"000")</f>
        <v>2700-119</v>
      </c>
      <c r="I3" t="str" cm="1">
        <f t="array" aca="1" ref="I3" ca="1">INDEX(rua_cod!$B:$B,Receptionist!X3)</f>
        <v>Amadora</v>
      </c>
      <c r="J3" t="s">
        <v>3742</v>
      </c>
      <c r="K3" t="s">
        <v>225</v>
      </c>
      <c r="L3" t="s">
        <v>265</v>
      </c>
      <c r="M3" t="str">
        <f t="shared" ref="M3:M11" ca="1" si="3">TEXT(RANDBETWEEN(10000000,99999999),"00000000")</f>
        <v>43727353</v>
      </c>
      <c r="N3" t="str">
        <f t="shared" ref="N3:O11" ca="1" si="4">TEXT(RANDBETWEEN(100000000,999999999),"000000000")</f>
        <v>891573668</v>
      </c>
      <c r="O3" t="str">
        <f t="shared" ca="1" si="4"/>
        <v>326519379</v>
      </c>
      <c r="P3" t="str" cm="1">
        <f t="array" aca="1" ref="P3" ca="1">9 &amp; INDEX($AH$3:$AH$6,Y3)&amp; TEXT(RANDBETWEEN(0,9999999),"0000000")</f>
        <v>939212574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10</v>
      </c>
      <c r="Y3">
        <f t="shared" ref="Y3:Y11" ca="1" si="6">RANDBETWEEN(1,4)</f>
        <v>3</v>
      </c>
      <c r="Z3">
        <f t="shared" ref="Z3:Z11" ca="1" si="7">RANDBETWEEN(1,3)</f>
        <v>2</v>
      </c>
      <c r="AA3">
        <f t="shared" ref="AA3:AA11" ca="1" si="8">RANDBETWEEN(1950,1994)</f>
        <v>1964</v>
      </c>
      <c r="AB3">
        <f t="shared" ref="AB3:AB11" ca="1" si="9">RANDBETWEEN(1,12)</f>
        <v>6</v>
      </c>
      <c r="AC3">
        <f t="shared" ref="AC3:AC11" ca="1" si="10">RANDBETWEEN(1,31)</f>
        <v>2</v>
      </c>
      <c r="AD3">
        <f t="shared" ref="AD3:AD11" ca="1" si="11">2020-AA3</f>
        <v>56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Ana Lara Monteiro Vieira</v>
      </c>
      <c r="E4" t="str">
        <f ca="1">Nomes!S52</f>
        <v>Feminino</v>
      </c>
      <c r="F4" s="2">
        <f t="shared" ca="1" si="2"/>
        <v>27710</v>
      </c>
      <c r="G4" t="str" cm="1">
        <f t="array" aca="1" ref="G4" ca="1">INDEX(rua_cod!$F:$F,RANDBETWEEN(2,COUNTA(rua_cod!F:F)))</f>
        <v>Rua do Sol a Santana</v>
      </c>
      <c r="H4" t="str" cm="1">
        <f t="array" aca="1" ref="H4" ca="1">INDEX(rua_cod!$A:$A,Receptionist!X4) &amp; "-" &amp; TEXT(RANDBETWEEN(0,999),"000")</f>
        <v>2410-294</v>
      </c>
      <c r="I4" t="str" cm="1">
        <f t="array" aca="1" ref="I4" ca="1">INDEX(rua_cod!$B:$B,Receptionist!X4)</f>
        <v>Leiria</v>
      </c>
      <c r="J4" t="s">
        <v>3742</v>
      </c>
      <c r="K4" t="s">
        <v>225</v>
      </c>
      <c r="L4" t="s">
        <v>265</v>
      </c>
      <c r="M4" t="str">
        <f t="shared" ca="1" si="3"/>
        <v>38826463</v>
      </c>
      <c r="N4" t="str">
        <f t="shared" ca="1" si="4"/>
        <v>194119843</v>
      </c>
      <c r="O4" t="str">
        <f t="shared" ca="1" si="4"/>
        <v>908610684</v>
      </c>
      <c r="P4" t="str" cm="1">
        <f t="array" aca="1" ref="P4" ca="1">9 &amp; INDEX($AH$3:$AH$6,Y4)&amp; TEXT(RANDBETWEEN(0,9999999),"0000000")</f>
        <v>920144022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34</v>
      </c>
      <c r="Y4">
        <f t="shared" ca="1" si="6"/>
        <v>2</v>
      </c>
      <c r="Z4">
        <f t="shared" ca="1" si="7"/>
        <v>2</v>
      </c>
      <c r="AA4">
        <f t="shared" ca="1" si="8"/>
        <v>1975</v>
      </c>
      <c r="AB4">
        <f t="shared" ca="1" si="9"/>
        <v>11</v>
      </c>
      <c r="AC4">
        <f t="shared" ca="1" si="10"/>
        <v>12</v>
      </c>
      <c r="AD4">
        <f t="shared" ca="1" si="11"/>
        <v>45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Inês Miguel Alves Mota</v>
      </c>
      <c r="E5" t="str">
        <f ca="1">Nomes!S53</f>
        <v>Feminino</v>
      </c>
      <c r="F5" s="2">
        <f t="shared" ca="1" si="2"/>
        <v>21799</v>
      </c>
      <c r="G5" t="str" cm="1">
        <f t="array" aca="1" ref="G5" ca="1">INDEX(rua_cod!$F:$F,RANDBETWEEN(2,COUNTA(rua_cod!F:F)))</f>
        <v>Rua do Instituto Bacteriológico</v>
      </c>
      <c r="H5" t="str" cm="1">
        <f t="array" aca="1" ref="H5" ca="1">INDEX(rua_cod!$A:$A,Receptionist!X5) &amp; "-" &amp; TEXT(RANDBETWEEN(0,999),"000")</f>
        <v>2805-401</v>
      </c>
      <c r="I5" t="str" cm="1">
        <f t="array" aca="1" ref="I5" ca="1">INDEX(rua_cod!$B:$B,Receptionist!X5)</f>
        <v>Almada</v>
      </c>
      <c r="J5" t="s">
        <v>3742</v>
      </c>
      <c r="K5" t="s">
        <v>225</v>
      </c>
      <c r="L5" t="s">
        <v>265</v>
      </c>
      <c r="M5" t="str">
        <f t="shared" ca="1" si="3"/>
        <v>82773041</v>
      </c>
      <c r="N5" t="str">
        <f t="shared" ca="1" si="4"/>
        <v>424083520</v>
      </c>
      <c r="O5" t="str">
        <f t="shared" ca="1" si="4"/>
        <v>135624048</v>
      </c>
      <c r="P5" t="str" cm="1">
        <f t="array" aca="1" ref="P5" ca="1">9 &amp; INDEX($AH$3:$AH$6,Y5)&amp; TEXT(RANDBETWEEN(0,9999999),"0000000")</f>
        <v>910313316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4</v>
      </c>
      <c r="Y5">
        <f t="shared" ca="1" si="6"/>
        <v>1</v>
      </c>
      <c r="Z5">
        <f t="shared" ca="1" si="7"/>
        <v>2</v>
      </c>
      <c r="AA5">
        <f t="shared" ca="1" si="8"/>
        <v>1959</v>
      </c>
      <c r="AB5">
        <f t="shared" ca="1" si="9"/>
        <v>9</v>
      </c>
      <c r="AC5">
        <f t="shared" ca="1" si="10"/>
        <v>6</v>
      </c>
      <c r="AD5">
        <f t="shared" ca="1" si="11"/>
        <v>61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Maria Mariana Cardoso Pinho</v>
      </c>
      <c r="E6" t="str">
        <f ca="1">Nomes!S54</f>
        <v>Feminino</v>
      </c>
      <c r="F6" s="2">
        <f t="shared" ca="1" si="2"/>
        <v>20257</v>
      </c>
      <c r="G6" t="str" cm="1">
        <f t="array" aca="1" ref="G6" ca="1">INDEX(rua_cod!$F:$F,RANDBETWEEN(2,COUNTA(rua_cod!F:F)))</f>
        <v>Rua do Salitre</v>
      </c>
      <c r="H6" t="str" cm="1">
        <f t="array" aca="1" ref="H6" ca="1">INDEX(rua_cod!$A:$A,Receptionist!X6) &amp; "-" &amp; TEXT(RANDBETWEEN(0,999),"000")</f>
        <v>2720-342</v>
      </c>
      <c r="I6" t="str" cm="1">
        <f t="array" aca="1" ref="I6" ca="1">INDEX(rua_cod!$B:$B,Receptionist!X6)</f>
        <v>Amadora</v>
      </c>
      <c r="J6" t="s">
        <v>3742</v>
      </c>
      <c r="K6" t="s">
        <v>225</v>
      </c>
      <c r="L6" t="s">
        <v>265</v>
      </c>
      <c r="M6" t="str">
        <f t="shared" ca="1" si="3"/>
        <v>65130354</v>
      </c>
      <c r="N6" t="str">
        <f t="shared" ca="1" si="4"/>
        <v>151284137</v>
      </c>
      <c r="O6" t="str">
        <f t="shared" ca="1" si="4"/>
        <v>643242207</v>
      </c>
      <c r="P6" t="str" cm="1">
        <f t="array" aca="1" ref="P6" ca="1">9 &amp; INDEX($AH$3:$AH$6,Y6)&amp; TEXT(RANDBETWEEN(0,9999999),"0000000")</f>
        <v>939376508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8</v>
      </c>
      <c r="Y6">
        <f t="shared" ca="1" si="6"/>
        <v>3</v>
      </c>
      <c r="Z6">
        <f t="shared" ca="1" si="7"/>
        <v>1</v>
      </c>
      <c r="AA6">
        <f t="shared" ca="1" si="8"/>
        <v>1955</v>
      </c>
      <c r="AB6">
        <f t="shared" ca="1" si="9"/>
        <v>6</v>
      </c>
      <c r="AC6">
        <f t="shared" ca="1" si="10"/>
        <v>17</v>
      </c>
      <c r="AD6">
        <f t="shared" ca="1" si="11"/>
        <v>65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Ana Joana Coelho Coelho</v>
      </c>
      <c r="E7" t="str">
        <f ca="1">Nomes!S55</f>
        <v>Feminino</v>
      </c>
      <c r="F7" s="2">
        <f t="shared" ca="1" si="2"/>
        <v>23806</v>
      </c>
      <c r="G7" t="str" cm="1">
        <f t="array" aca="1" ref="G7" ca="1">INDEX(rua_cod!$F:$F,RANDBETWEEN(2,COUNTA(rua_cod!F:F)))</f>
        <v>Rua do Arsenal</v>
      </c>
      <c r="H7" t="str" cm="1">
        <f t="array" aca="1" ref="H7" ca="1">INDEX(rua_cod!$A:$A,Receptionist!X7) &amp; "-" &amp; TEXT(RANDBETWEEN(0,999),"000")</f>
        <v>2780-608</v>
      </c>
      <c r="I7" t="str" cm="1">
        <f t="array" aca="1" ref="I7" ca="1">INDEX(rua_cod!$B:$B,Receptionist!X7)</f>
        <v>Oeiras</v>
      </c>
      <c r="J7" t="s">
        <v>3742</v>
      </c>
      <c r="K7" t="s">
        <v>225</v>
      </c>
      <c r="L7" t="s">
        <v>265</v>
      </c>
      <c r="M7" t="str">
        <f t="shared" ca="1" si="3"/>
        <v>94186350</v>
      </c>
      <c r="N7" t="str">
        <f t="shared" ca="1" si="4"/>
        <v>752202297</v>
      </c>
      <c r="O7" t="str">
        <f t="shared" ca="1" si="4"/>
        <v>612177018</v>
      </c>
      <c r="P7" t="str" cm="1">
        <f t="array" aca="1" ref="P7" ca="1">9 &amp; INDEX($AH$3:$AH$6,Y7)&amp; TEXT(RANDBETWEEN(0,9999999),"0000000")</f>
        <v>922686011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88</v>
      </c>
      <c r="Y7">
        <f t="shared" ca="1" si="6"/>
        <v>2</v>
      </c>
      <c r="Z7">
        <f t="shared" ca="1" si="7"/>
        <v>1</v>
      </c>
      <c r="AA7">
        <f t="shared" ca="1" si="8"/>
        <v>1965</v>
      </c>
      <c r="AB7">
        <f t="shared" ca="1" si="9"/>
        <v>3</v>
      </c>
      <c r="AC7">
        <f t="shared" ca="1" si="10"/>
        <v>5</v>
      </c>
      <c r="AD7">
        <f t="shared" ca="1" si="11"/>
        <v>55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Matilde Rodrigo Simões Leal</v>
      </c>
      <c r="E8" t="str">
        <f ca="1">Nomes!S56</f>
        <v>Feminino</v>
      </c>
      <c r="F8" s="2">
        <f t="shared" ca="1" si="2"/>
        <v>22090</v>
      </c>
      <c r="G8" t="str" cm="1">
        <f t="array" aca="1" ref="G8" ca="1">INDEX(rua_cod!$F:$F,RANDBETWEEN(2,COUNTA(rua_cod!F:F)))</f>
        <v>Avenida Ressano Garcia</v>
      </c>
      <c r="H8" t="str" cm="1">
        <f t="array" aca="1" ref="H8" ca="1">INDEX(rua_cod!$A:$A,Receptionist!X8) &amp; "-" &amp; TEXT(RANDBETWEEN(0,999),"000")</f>
        <v>2805-064</v>
      </c>
      <c r="I8" t="str" cm="1">
        <f t="array" aca="1" ref="I8" ca="1">INDEX(rua_cod!$B:$B,Receptionist!X8)</f>
        <v>Almada</v>
      </c>
      <c r="J8" t="s">
        <v>3742</v>
      </c>
      <c r="K8" t="s">
        <v>225</v>
      </c>
      <c r="L8" t="s">
        <v>265</v>
      </c>
      <c r="M8" t="str">
        <f t="shared" ca="1" si="3"/>
        <v>37064225</v>
      </c>
      <c r="N8" t="str">
        <f t="shared" ca="1" si="4"/>
        <v>630927875</v>
      </c>
      <c r="O8" t="str">
        <f t="shared" ca="1" si="4"/>
        <v>766780726</v>
      </c>
      <c r="P8" t="str" cm="1">
        <f t="array" aca="1" ref="P8" ca="1">9 &amp; INDEX($AH$3:$AH$6,Y8)&amp; TEXT(RANDBETWEEN(0,9999999),"0000000")</f>
        <v>936433483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4</v>
      </c>
      <c r="Y8">
        <f t="shared" ca="1" si="6"/>
        <v>3</v>
      </c>
      <c r="Z8">
        <f t="shared" ca="1" si="7"/>
        <v>2</v>
      </c>
      <c r="AA8">
        <f t="shared" ca="1" si="8"/>
        <v>1960</v>
      </c>
      <c r="AB8">
        <f t="shared" ca="1" si="9"/>
        <v>6</v>
      </c>
      <c r="AC8">
        <f t="shared" ca="1" si="10"/>
        <v>23</v>
      </c>
      <c r="AD8">
        <f t="shared" ca="1" si="11"/>
        <v>60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Mariana Joaquim Fonseca Guerreiro</v>
      </c>
      <c r="E9" t="str">
        <f ca="1">Nomes!S57</f>
        <v>Feminino</v>
      </c>
      <c r="F9" s="2">
        <f t="shared" ca="1" si="2"/>
        <v>21294</v>
      </c>
      <c r="G9" t="str" cm="1">
        <f t="array" aca="1" ref="G9" ca="1">INDEX(rua_cod!$F:$F,RANDBETWEEN(2,COUNTA(rua_cod!F:F)))</f>
        <v>Rua do Comércio</v>
      </c>
      <c r="H9" t="str" cm="1">
        <f t="array" aca="1" ref="H9" ca="1">INDEX(rua_cod!$A:$A,Receptionist!X9) &amp; "-" &amp; TEXT(RANDBETWEEN(0,999),"000")</f>
        <v>1050-291</v>
      </c>
      <c r="I9" t="str" cm="1">
        <f t="array" aca="1" ref="I9" ca="1">INDEX(rua_cod!$B:$B,Receptionist!X9)</f>
        <v>Lisboa</v>
      </c>
      <c r="J9" t="s">
        <v>3742</v>
      </c>
      <c r="K9" t="s">
        <v>225</v>
      </c>
      <c r="L9" t="s">
        <v>265</v>
      </c>
      <c r="M9" t="str">
        <f t="shared" ca="1" si="3"/>
        <v>40607062</v>
      </c>
      <c r="N9" t="str">
        <f t="shared" ca="1" si="4"/>
        <v>320847261</v>
      </c>
      <c r="O9" t="str">
        <f t="shared" ca="1" si="4"/>
        <v>379371267</v>
      </c>
      <c r="P9" t="str" cm="1">
        <f t="array" aca="1" ref="P9" ca="1">9 &amp; INDEX($AH$3:$AH$6,Y9)&amp; TEXT(RANDBETWEEN(0,9999999),"0000000")</f>
        <v>912830850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66</v>
      </c>
      <c r="Y9">
        <f t="shared" ca="1" si="6"/>
        <v>1</v>
      </c>
      <c r="Z9">
        <f t="shared" ca="1" si="7"/>
        <v>3</v>
      </c>
      <c r="AA9">
        <f t="shared" ca="1" si="8"/>
        <v>1958</v>
      </c>
      <c r="AB9">
        <f t="shared" ca="1" si="9"/>
        <v>4</v>
      </c>
      <c r="AC9">
        <f t="shared" ca="1" si="10"/>
        <v>19</v>
      </c>
      <c r="AD9">
        <f t="shared" ca="1" si="11"/>
        <v>62</v>
      </c>
      <c r="AH9" s="5" t="s">
        <v>340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Catarina Vera Alves Oliveira</v>
      </c>
      <c r="E10" t="str">
        <f ca="1">Nomes!S58</f>
        <v>Feminino</v>
      </c>
      <c r="F10" s="2">
        <f t="shared" ca="1" si="2"/>
        <v>18730</v>
      </c>
      <c r="G10" t="str" cm="1">
        <f t="array" aca="1" ref="G10" ca="1">INDEX(rua_cod!$F:$F,RANDBETWEEN(2,COUNTA(rua_cod!F:F)))</f>
        <v>Rua do Salitre</v>
      </c>
      <c r="H10" t="str" cm="1">
        <f t="array" aca="1" ref="H10" ca="1">INDEX(rua_cod!$A:$A,Receptionist!X10) &amp; "-" &amp; TEXT(RANDBETWEEN(0,999),"000")</f>
        <v>2000-357</v>
      </c>
      <c r="I10" t="str" cm="1">
        <f t="array" aca="1" ref="I10" ca="1">INDEX(rua_cod!$B:$B,Receptionist!X10)</f>
        <v>Santarém</v>
      </c>
      <c r="J10" t="s">
        <v>3742</v>
      </c>
      <c r="K10" t="s">
        <v>225</v>
      </c>
      <c r="L10" t="s">
        <v>265</v>
      </c>
      <c r="M10" t="str">
        <f t="shared" ca="1" si="3"/>
        <v>20843110</v>
      </c>
      <c r="N10" t="str">
        <f t="shared" ca="1" si="4"/>
        <v>765298526</v>
      </c>
      <c r="O10" t="str">
        <f t="shared" ca="1" si="4"/>
        <v>824484004</v>
      </c>
      <c r="P10" t="str" cm="1">
        <f t="array" aca="1" ref="P10" ca="1">9 &amp; INDEX($AH$3:$AH$6,Y10)&amp; TEXT(RANDBETWEEN(0,9999999),"0000000")</f>
        <v>924839897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93</v>
      </c>
      <c r="Y10">
        <f t="shared" ca="1" si="6"/>
        <v>2</v>
      </c>
      <c r="Z10">
        <f t="shared" ca="1" si="7"/>
        <v>3</v>
      </c>
      <c r="AA10">
        <f t="shared" ca="1" si="8"/>
        <v>1951</v>
      </c>
      <c r="AB10">
        <f t="shared" ca="1" si="9"/>
        <v>4</v>
      </c>
      <c r="AC10">
        <f t="shared" ca="1" si="10"/>
        <v>12</v>
      </c>
      <c r="AD10">
        <f t="shared" ca="1" si="11"/>
        <v>69</v>
      </c>
      <c r="AH10" s="5" t="s">
        <v>340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Ana Luís Lima Neves</v>
      </c>
      <c r="E11" t="str">
        <f ca="1">Nomes!S59</f>
        <v>Feminino</v>
      </c>
      <c r="F11" s="2">
        <f t="shared" ca="1" si="2"/>
        <v>22842</v>
      </c>
      <c r="G11" t="str" cm="1">
        <f t="array" aca="1" ref="G11" ca="1">INDEX(rua_cod!$F:$F,RANDBETWEEN(2,COUNTA(rua_cod!F:F)))</f>
        <v>Rua da Madalena</v>
      </c>
      <c r="H11" t="str" cm="1">
        <f t="array" aca="1" ref="H11" ca="1">INDEX(rua_cod!$A:$A,Receptionist!X11) &amp; "-" &amp; TEXT(RANDBETWEEN(0,999),"000")</f>
        <v>1050-185</v>
      </c>
      <c r="I11" t="str" cm="1">
        <f t="array" aca="1" ref="I11" ca="1">INDEX(rua_cod!$B:$B,Receptionist!X11)</f>
        <v>Lisboa</v>
      </c>
      <c r="J11" t="s">
        <v>3742</v>
      </c>
      <c r="K11" t="s">
        <v>225</v>
      </c>
      <c r="L11" t="s">
        <v>265</v>
      </c>
      <c r="M11" t="str">
        <f t="shared" ca="1" si="3"/>
        <v>60992870</v>
      </c>
      <c r="N11" t="str">
        <f t="shared" ca="1" si="4"/>
        <v>858489401</v>
      </c>
      <c r="O11" t="str">
        <f t="shared" ca="1" si="4"/>
        <v>564175515</v>
      </c>
      <c r="P11" t="str" cm="1">
        <f t="array" aca="1" ref="P11" ca="1">9 &amp; INDEX($AH$3:$AH$6,Y11)&amp; TEXT(RANDBETWEEN(0,9999999),"0000000")</f>
        <v>919443232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66</v>
      </c>
      <c r="Y11">
        <f t="shared" ca="1" si="6"/>
        <v>1</v>
      </c>
      <c r="Z11">
        <f t="shared" ca="1" si="7"/>
        <v>3</v>
      </c>
      <c r="AA11">
        <f t="shared" ca="1" si="8"/>
        <v>1962</v>
      </c>
      <c r="AB11">
        <f t="shared" ca="1" si="9"/>
        <v>7</v>
      </c>
      <c r="AC11">
        <f t="shared" ca="1" si="10"/>
        <v>15</v>
      </c>
      <c r="AD11">
        <f t="shared" ca="1" si="11"/>
        <v>58</v>
      </c>
      <c r="AH11" s="5" t="s">
        <v>340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3723</v>
      </c>
      <c r="B4" t="s">
        <v>3724</v>
      </c>
      <c r="D4" s="5" t="s">
        <v>3725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topLeftCell="A162" workbookViewId="0">
      <selection activeCell="A199" sqref="A199"/>
    </sheetView>
  </sheetViews>
  <sheetFormatPr defaultRowHeight="15" x14ac:dyDescent="0.25"/>
  <cols>
    <col min="6" max="6" width="10.7109375" bestFit="1" customWidth="1"/>
  </cols>
  <sheetData>
    <row r="1" spans="1:2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3734</v>
      </c>
      <c r="V1" s="5" t="s">
        <v>3733</v>
      </c>
    </row>
    <row r="2" spans="1:22" x14ac:dyDescent="0.25">
      <c r="A2">
        <v>188</v>
      </c>
      <c r="B2" t="s">
        <v>2026</v>
      </c>
      <c r="C2" t="s">
        <v>2027</v>
      </c>
      <c r="D2" t="s">
        <v>69</v>
      </c>
      <c r="E2" t="s">
        <v>66</v>
      </c>
      <c r="F2" s="7">
        <v>34816</v>
      </c>
      <c r="G2" t="s">
        <v>254</v>
      </c>
      <c r="H2" t="s">
        <v>2028</v>
      </c>
      <c r="I2" t="s">
        <v>211</v>
      </c>
      <c r="J2" t="s">
        <v>3727</v>
      </c>
      <c r="K2" t="s">
        <v>225</v>
      </c>
      <c r="L2" t="s">
        <v>265</v>
      </c>
      <c r="M2" t="s">
        <v>2029</v>
      </c>
      <c r="N2" t="s">
        <v>2030</v>
      </c>
      <c r="O2" t="s">
        <v>2031</v>
      </c>
      <c r="P2" t="s">
        <v>2032</v>
      </c>
      <c r="Q2" t="s">
        <v>2033</v>
      </c>
      <c r="R2" s="3" t="s">
        <v>3730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25">
      <c r="A3">
        <v>189</v>
      </c>
      <c r="B3" t="s">
        <v>2034</v>
      </c>
      <c r="C3" t="s">
        <v>2035</v>
      </c>
      <c r="D3" t="s">
        <v>76</v>
      </c>
      <c r="E3" t="s">
        <v>66</v>
      </c>
      <c r="F3" s="7">
        <v>23831</v>
      </c>
      <c r="G3" t="s">
        <v>249</v>
      </c>
      <c r="H3" t="s">
        <v>2036</v>
      </c>
      <c r="I3" t="s">
        <v>211</v>
      </c>
      <c r="J3" t="s">
        <v>3727</v>
      </c>
      <c r="K3" t="s">
        <v>225</v>
      </c>
      <c r="L3" t="s">
        <v>265</v>
      </c>
      <c r="M3" t="s">
        <v>2037</v>
      </c>
      <c r="N3" t="s">
        <v>2038</v>
      </c>
      <c r="O3" t="s">
        <v>2039</v>
      </c>
      <c r="P3" t="s">
        <v>2040</v>
      </c>
      <c r="Q3" t="s">
        <v>2041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25">
      <c r="A4">
        <v>190</v>
      </c>
      <c r="B4" t="s">
        <v>2042</v>
      </c>
      <c r="C4" t="s">
        <v>2043</v>
      </c>
      <c r="D4" t="s">
        <v>85</v>
      </c>
      <c r="E4" t="s">
        <v>66</v>
      </c>
      <c r="F4" s="7">
        <v>26848</v>
      </c>
      <c r="G4" t="s">
        <v>255</v>
      </c>
      <c r="H4" t="s">
        <v>2044</v>
      </c>
      <c r="I4" t="s">
        <v>208</v>
      </c>
      <c r="J4" t="s">
        <v>3727</v>
      </c>
      <c r="K4" t="s">
        <v>225</v>
      </c>
      <c r="L4" t="s">
        <v>265</v>
      </c>
      <c r="M4" t="s">
        <v>2045</v>
      </c>
      <c r="N4" t="s">
        <v>2046</v>
      </c>
      <c r="O4" t="s">
        <v>2047</v>
      </c>
      <c r="P4" t="s">
        <v>2048</v>
      </c>
      <c r="Q4" t="s">
        <v>2049</v>
      </c>
      <c r="R4" t="str">
        <f t="shared" si="0"/>
        <v>user-female.jpg</v>
      </c>
      <c r="U4" t="str">
        <f t="shared" ref="U4:U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25">
      <c r="A5">
        <v>191</v>
      </c>
      <c r="B5" t="s">
        <v>2050</v>
      </c>
      <c r="C5" t="s">
        <v>2051</v>
      </c>
      <c r="D5" t="s">
        <v>54</v>
      </c>
      <c r="E5" t="s">
        <v>53</v>
      </c>
      <c r="F5" s="7">
        <v>34485</v>
      </c>
      <c r="G5" t="s">
        <v>250</v>
      </c>
      <c r="H5" t="s">
        <v>2052</v>
      </c>
      <c r="I5" t="s">
        <v>223</v>
      </c>
      <c r="J5" t="s">
        <v>3727</v>
      </c>
      <c r="K5" t="s">
        <v>225</v>
      </c>
      <c r="L5" t="s">
        <v>265</v>
      </c>
      <c r="M5" t="s">
        <v>2053</v>
      </c>
      <c r="N5" t="s">
        <v>2054</v>
      </c>
      <c r="O5" t="s">
        <v>2055</v>
      </c>
      <c r="P5" t="s">
        <v>2056</v>
      </c>
      <c r="Q5" t="s">
        <v>2057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2058</v>
      </c>
      <c r="I6" t="s">
        <v>211</v>
      </c>
      <c r="J6" t="s">
        <v>3727</v>
      </c>
      <c r="K6" t="s">
        <v>225</v>
      </c>
      <c r="L6" t="s">
        <v>265</v>
      </c>
      <c r="M6" t="s">
        <v>2059</v>
      </c>
      <c r="N6" t="s">
        <v>2060</v>
      </c>
      <c r="O6" t="s">
        <v>2061</v>
      </c>
      <c r="P6" t="s">
        <v>2062</v>
      </c>
      <c r="Q6" t="s">
        <v>2063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25">
      <c r="A7">
        <v>193</v>
      </c>
      <c r="B7" t="s">
        <v>2064</v>
      </c>
      <c r="C7" t="s">
        <v>2065</v>
      </c>
      <c r="D7" t="s">
        <v>87</v>
      </c>
      <c r="E7" t="s">
        <v>66</v>
      </c>
      <c r="F7" s="7">
        <v>25448</v>
      </c>
      <c r="G7" t="s">
        <v>226</v>
      </c>
      <c r="H7" t="s">
        <v>2066</v>
      </c>
      <c r="I7" t="s">
        <v>211</v>
      </c>
      <c r="J7" t="s">
        <v>3727</v>
      </c>
      <c r="K7" t="s">
        <v>225</v>
      </c>
      <c r="L7" t="s">
        <v>265</v>
      </c>
      <c r="M7" t="s">
        <v>2067</v>
      </c>
      <c r="N7" t="s">
        <v>2068</v>
      </c>
      <c r="O7" t="s">
        <v>2069</v>
      </c>
      <c r="P7" t="s">
        <v>2070</v>
      </c>
      <c r="Q7" t="s">
        <v>2071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2072</v>
      </c>
      <c r="I8" t="s">
        <v>211</v>
      </c>
      <c r="J8" t="s">
        <v>3727</v>
      </c>
      <c r="K8" t="s">
        <v>225</v>
      </c>
      <c r="L8" t="s">
        <v>265</v>
      </c>
      <c r="M8" t="s">
        <v>2073</v>
      </c>
      <c r="N8" t="s">
        <v>2074</v>
      </c>
      <c r="O8" t="s">
        <v>2075</v>
      </c>
      <c r="P8" t="s">
        <v>2076</v>
      </c>
      <c r="Q8" t="s">
        <v>2077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25">
      <c r="A9">
        <v>195</v>
      </c>
      <c r="B9" t="s">
        <v>2078</v>
      </c>
      <c r="C9" t="s">
        <v>2079</v>
      </c>
      <c r="D9" t="s">
        <v>87</v>
      </c>
      <c r="E9" t="s">
        <v>66</v>
      </c>
      <c r="F9" s="7">
        <v>41662</v>
      </c>
      <c r="G9" t="s">
        <v>246</v>
      </c>
      <c r="H9" t="s">
        <v>2080</v>
      </c>
      <c r="I9" t="s">
        <v>211</v>
      </c>
      <c r="J9" t="s">
        <v>3727</v>
      </c>
      <c r="K9" t="s">
        <v>225</v>
      </c>
      <c r="L9" t="s">
        <v>265</v>
      </c>
      <c r="M9" t="s">
        <v>2081</v>
      </c>
      <c r="N9" t="s">
        <v>2082</v>
      </c>
      <c r="O9" t="s">
        <v>2083</v>
      </c>
      <c r="P9" t="s">
        <v>2084</v>
      </c>
      <c r="Q9" t="s">
        <v>2085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25">
      <c r="A10">
        <v>196</v>
      </c>
      <c r="B10" t="s">
        <v>2086</v>
      </c>
      <c r="C10" t="s">
        <v>2087</v>
      </c>
      <c r="D10" t="s">
        <v>78</v>
      </c>
      <c r="E10" t="s">
        <v>53</v>
      </c>
      <c r="F10" s="7">
        <v>28055</v>
      </c>
      <c r="G10" t="s">
        <v>238</v>
      </c>
      <c r="H10" t="s">
        <v>2088</v>
      </c>
      <c r="I10" t="s">
        <v>202</v>
      </c>
      <c r="J10" t="s">
        <v>3727</v>
      </c>
      <c r="K10" t="s">
        <v>225</v>
      </c>
      <c r="L10" t="s">
        <v>265</v>
      </c>
      <c r="M10" t="s">
        <v>2089</v>
      </c>
      <c r="N10" t="s">
        <v>2090</v>
      </c>
      <c r="O10" t="s">
        <v>2091</v>
      </c>
      <c r="P10" t="s">
        <v>2092</v>
      </c>
      <c r="Q10" t="s">
        <v>2093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25">
      <c r="A11">
        <v>197</v>
      </c>
      <c r="B11" t="s">
        <v>2094</v>
      </c>
      <c r="C11" t="s">
        <v>2095</v>
      </c>
      <c r="D11" t="s">
        <v>87</v>
      </c>
      <c r="E11" t="s">
        <v>66</v>
      </c>
      <c r="F11" s="7">
        <v>30531</v>
      </c>
      <c r="G11" t="s">
        <v>232</v>
      </c>
      <c r="H11" t="s">
        <v>2096</v>
      </c>
      <c r="I11" t="s">
        <v>201</v>
      </c>
      <c r="J11" t="s">
        <v>3727</v>
      </c>
      <c r="K11" t="s">
        <v>225</v>
      </c>
      <c r="L11" t="s">
        <v>265</v>
      </c>
      <c r="M11" t="s">
        <v>2097</v>
      </c>
      <c r="N11" t="s">
        <v>2098</v>
      </c>
      <c r="O11" t="s">
        <v>2099</v>
      </c>
      <c r="P11" t="s">
        <v>2100</v>
      </c>
      <c r="Q11" t="s">
        <v>2101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25">
      <c r="A12">
        <v>198</v>
      </c>
      <c r="B12" t="s">
        <v>3738</v>
      </c>
      <c r="C12" t="s">
        <v>2103</v>
      </c>
      <c r="D12" t="s">
        <v>76</v>
      </c>
      <c r="E12" t="s">
        <v>66</v>
      </c>
      <c r="F12" s="7">
        <v>10192</v>
      </c>
      <c r="G12" t="s">
        <v>237</v>
      </c>
      <c r="H12" t="s">
        <v>2104</v>
      </c>
      <c r="I12" t="s">
        <v>209</v>
      </c>
      <c r="J12" t="s">
        <v>3727</v>
      </c>
      <c r="K12" t="s">
        <v>225</v>
      </c>
      <c r="L12" t="s">
        <v>265</v>
      </c>
      <c r="M12" t="s">
        <v>2105</v>
      </c>
      <c r="N12" t="s">
        <v>2106</v>
      </c>
      <c r="O12" t="s">
        <v>2107</v>
      </c>
      <c r="P12" t="s">
        <v>2108</v>
      </c>
      <c r="Q12" t="s">
        <v>2109</v>
      </c>
      <c r="R12" t="str">
        <f t="shared" si="0"/>
        <v>user-female.jpg</v>
      </c>
      <c r="U12" t="str">
        <f t="shared" si="1"/>
        <v>(198,'ineada2810w',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25">
      <c r="A13">
        <v>199</v>
      </c>
      <c r="B13" t="s">
        <v>2110</v>
      </c>
      <c r="C13" t="s">
        <v>2111</v>
      </c>
      <c r="D13" t="s">
        <v>2112</v>
      </c>
      <c r="E13" t="s">
        <v>53</v>
      </c>
      <c r="F13" s="7">
        <v>11987</v>
      </c>
      <c r="G13" t="s">
        <v>252</v>
      </c>
      <c r="H13" t="s">
        <v>2113</v>
      </c>
      <c r="I13" t="s">
        <v>223</v>
      </c>
      <c r="J13" t="s">
        <v>3727</v>
      </c>
      <c r="K13" t="s">
        <v>225</v>
      </c>
      <c r="L13" t="s">
        <v>265</v>
      </c>
      <c r="M13" t="s">
        <v>2114</v>
      </c>
      <c r="N13" t="s">
        <v>2115</v>
      </c>
      <c r="O13" t="s">
        <v>2116</v>
      </c>
      <c r="P13" t="s">
        <v>2117</v>
      </c>
      <c r="Q13" t="s">
        <v>2118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25">
      <c r="A14">
        <v>200</v>
      </c>
      <c r="B14" t="s">
        <v>2119</v>
      </c>
      <c r="C14" t="s">
        <v>2120</v>
      </c>
      <c r="D14" t="s">
        <v>2121</v>
      </c>
      <c r="E14" t="s">
        <v>53</v>
      </c>
      <c r="F14" s="7">
        <v>28287</v>
      </c>
      <c r="G14" t="s">
        <v>241</v>
      </c>
      <c r="H14" t="s">
        <v>2122</v>
      </c>
      <c r="I14" t="s">
        <v>211</v>
      </c>
      <c r="J14" t="s">
        <v>3727</v>
      </c>
      <c r="K14" t="s">
        <v>225</v>
      </c>
      <c r="L14" t="s">
        <v>265</v>
      </c>
      <c r="M14" t="s">
        <v>2123</v>
      </c>
      <c r="N14" t="s">
        <v>2124</v>
      </c>
      <c r="O14" t="s">
        <v>2125</v>
      </c>
      <c r="P14" t="s">
        <v>2126</v>
      </c>
      <c r="Q14" t="s">
        <v>2127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25">
      <c r="A15">
        <v>201</v>
      </c>
      <c r="B15" t="s">
        <v>2128</v>
      </c>
      <c r="C15" t="s">
        <v>2129</v>
      </c>
      <c r="D15" t="s">
        <v>2130</v>
      </c>
      <c r="E15" t="s">
        <v>66</v>
      </c>
      <c r="F15" s="7">
        <v>26925</v>
      </c>
      <c r="G15" t="s">
        <v>262</v>
      </c>
      <c r="H15" t="s">
        <v>2131</v>
      </c>
      <c r="I15" t="s">
        <v>211</v>
      </c>
      <c r="J15" t="s">
        <v>3727</v>
      </c>
      <c r="K15" t="s">
        <v>225</v>
      </c>
      <c r="L15" t="s">
        <v>265</v>
      </c>
      <c r="M15" t="s">
        <v>2132</v>
      </c>
      <c r="N15" t="s">
        <v>2133</v>
      </c>
      <c r="O15" t="s">
        <v>2134</v>
      </c>
      <c r="P15" t="s">
        <v>2135</v>
      </c>
      <c r="Q15" t="s">
        <v>2136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25">
      <c r="A16">
        <v>202</v>
      </c>
      <c r="B16" t="s">
        <v>2137</v>
      </c>
      <c r="C16" t="s">
        <v>2138</v>
      </c>
      <c r="D16" t="s">
        <v>2139</v>
      </c>
      <c r="E16" t="s">
        <v>66</v>
      </c>
      <c r="F16" s="7">
        <v>21109</v>
      </c>
      <c r="G16" t="s">
        <v>257</v>
      </c>
      <c r="H16" t="s">
        <v>2140</v>
      </c>
      <c r="I16" t="s">
        <v>211</v>
      </c>
      <c r="J16" t="s">
        <v>3727</v>
      </c>
      <c r="K16" t="s">
        <v>225</v>
      </c>
      <c r="L16" t="s">
        <v>265</v>
      </c>
      <c r="M16" t="s">
        <v>2141</v>
      </c>
      <c r="N16" t="s">
        <v>2142</v>
      </c>
      <c r="O16" t="s">
        <v>2143</v>
      </c>
      <c r="P16" t="s">
        <v>2144</v>
      </c>
      <c r="Q16" t="s">
        <v>2145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25">
      <c r="A17">
        <v>203</v>
      </c>
      <c r="B17" t="s">
        <v>2146</v>
      </c>
      <c r="C17" t="s">
        <v>2147</v>
      </c>
      <c r="D17" t="s">
        <v>2148</v>
      </c>
      <c r="E17" t="s">
        <v>53</v>
      </c>
      <c r="F17" s="7">
        <v>31299</v>
      </c>
      <c r="G17" t="s">
        <v>244</v>
      </c>
      <c r="H17" t="s">
        <v>2149</v>
      </c>
      <c r="I17" t="s">
        <v>203</v>
      </c>
      <c r="J17" t="s">
        <v>3727</v>
      </c>
      <c r="K17" t="s">
        <v>225</v>
      </c>
      <c r="L17" t="s">
        <v>265</v>
      </c>
      <c r="M17" t="s">
        <v>2150</v>
      </c>
      <c r="N17" t="s">
        <v>2151</v>
      </c>
      <c r="O17" t="s">
        <v>2152</v>
      </c>
      <c r="P17" t="s">
        <v>2153</v>
      </c>
      <c r="Q17" t="s">
        <v>2154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25">
      <c r="A18">
        <v>204</v>
      </c>
      <c r="B18" t="s">
        <v>2155</v>
      </c>
      <c r="C18" t="s">
        <v>2156</v>
      </c>
      <c r="D18" t="s">
        <v>2157</v>
      </c>
      <c r="E18" t="s">
        <v>66</v>
      </c>
      <c r="F18" s="7">
        <v>22764</v>
      </c>
      <c r="G18" t="s">
        <v>241</v>
      </c>
      <c r="H18" t="s">
        <v>2158</v>
      </c>
      <c r="I18" t="s">
        <v>210</v>
      </c>
      <c r="J18" t="s">
        <v>3727</v>
      </c>
      <c r="K18" t="s">
        <v>225</v>
      </c>
      <c r="L18" t="s">
        <v>265</v>
      </c>
      <c r="M18" t="s">
        <v>2159</v>
      </c>
      <c r="N18" t="s">
        <v>2160</v>
      </c>
      <c r="O18" t="s">
        <v>2161</v>
      </c>
      <c r="P18" t="s">
        <v>2162</v>
      </c>
      <c r="Q18" t="s">
        <v>2163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25">
      <c r="A19">
        <v>205</v>
      </c>
      <c r="B19" t="s">
        <v>2164</v>
      </c>
      <c r="C19" t="s">
        <v>2165</v>
      </c>
      <c r="D19" t="s">
        <v>2166</v>
      </c>
      <c r="E19" t="s">
        <v>53</v>
      </c>
      <c r="F19" s="7">
        <v>23791</v>
      </c>
      <c r="G19" t="s">
        <v>234</v>
      </c>
      <c r="H19" t="s">
        <v>2167</v>
      </c>
      <c r="I19" t="s">
        <v>211</v>
      </c>
      <c r="J19" t="s">
        <v>3727</v>
      </c>
      <c r="K19" t="s">
        <v>225</v>
      </c>
      <c r="L19" t="s">
        <v>265</v>
      </c>
      <c r="M19" t="s">
        <v>2168</v>
      </c>
      <c r="N19" t="s">
        <v>2169</v>
      </c>
      <c r="O19" t="s">
        <v>2170</v>
      </c>
      <c r="P19" t="s">
        <v>2171</v>
      </c>
      <c r="Q19" t="s">
        <v>2172</v>
      </c>
      <c r="R19" s="3" t="s">
        <v>3729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25">
      <c r="A20">
        <v>206</v>
      </c>
      <c r="B20" t="s">
        <v>2173</v>
      </c>
      <c r="C20" t="s">
        <v>2174</v>
      </c>
      <c r="D20" t="s">
        <v>2175</v>
      </c>
      <c r="E20" t="s">
        <v>66</v>
      </c>
      <c r="F20" s="7">
        <v>10827</v>
      </c>
      <c r="G20" t="s">
        <v>245</v>
      </c>
      <c r="H20" t="s">
        <v>2176</v>
      </c>
      <c r="I20" t="s">
        <v>211</v>
      </c>
      <c r="J20" t="s">
        <v>3727</v>
      </c>
      <c r="K20" t="s">
        <v>225</v>
      </c>
      <c r="L20" t="s">
        <v>265</v>
      </c>
      <c r="M20" t="s">
        <v>2177</v>
      </c>
      <c r="N20" t="s">
        <v>2178</v>
      </c>
      <c r="O20" t="s">
        <v>2179</v>
      </c>
      <c r="P20" t="s">
        <v>2180</v>
      </c>
      <c r="Q20" t="s">
        <v>2181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25">
      <c r="A21">
        <v>207</v>
      </c>
      <c r="B21" t="s">
        <v>2182</v>
      </c>
      <c r="C21" t="s">
        <v>2183</v>
      </c>
      <c r="D21" t="s">
        <v>2184</v>
      </c>
      <c r="E21" t="s">
        <v>53</v>
      </c>
      <c r="F21" s="7">
        <v>29267</v>
      </c>
      <c r="G21" t="s">
        <v>262</v>
      </c>
      <c r="H21" t="s">
        <v>2185</v>
      </c>
      <c r="I21" t="s">
        <v>212</v>
      </c>
      <c r="J21" t="s">
        <v>3727</v>
      </c>
      <c r="K21" t="s">
        <v>225</v>
      </c>
      <c r="L21" t="s">
        <v>265</v>
      </c>
      <c r="M21" t="s">
        <v>2186</v>
      </c>
      <c r="N21" t="s">
        <v>2187</v>
      </c>
      <c r="O21" t="s">
        <v>2188</v>
      </c>
      <c r="P21" t="s">
        <v>2189</v>
      </c>
      <c r="Q21" t="s">
        <v>2190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25">
      <c r="A22">
        <v>208</v>
      </c>
      <c r="B22" t="s">
        <v>2191</v>
      </c>
      <c r="C22" t="s">
        <v>2192</v>
      </c>
      <c r="D22" t="s">
        <v>2193</v>
      </c>
      <c r="E22" t="s">
        <v>66</v>
      </c>
      <c r="F22" s="7">
        <v>12111</v>
      </c>
      <c r="G22" t="s">
        <v>248</v>
      </c>
      <c r="H22" t="s">
        <v>2194</v>
      </c>
      <c r="I22" t="s">
        <v>211</v>
      </c>
      <c r="J22" t="s">
        <v>3727</v>
      </c>
      <c r="K22" t="s">
        <v>225</v>
      </c>
      <c r="L22" t="s">
        <v>265</v>
      </c>
      <c r="M22" t="s">
        <v>2195</v>
      </c>
      <c r="N22" t="s">
        <v>2196</v>
      </c>
      <c r="O22" t="s">
        <v>2197</v>
      </c>
      <c r="P22" t="s">
        <v>2198</v>
      </c>
      <c r="Q22" t="s">
        <v>2199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25">
      <c r="A23">
        <v>209</v>
      </c>
      <c r="B23" t="s">
        <v>2200</v>
      </c>
      <c r="C23" t="s">
        <v>2201</v>
      </c>
      <c r="D23" t="s">
        <v>2202</v>
      </c>
      <c r="E23" t="s">
        <v>53</v>
      </c>
      <c r="F23" s="7">
        <v>22513</v>
      </c>
      <c r="G23" t="s">
        <v>241</v>
      </c>
      <c r="H23" t="s">
        <v>2203</v>
      </c>
      <c r="I23" t="s">
        <v>216</v>
      </c>
      <c r="J23" t="s">
        <v>3727</v>
      </c>
      <c r="K23" t="s">
        <v>225</v>
      </c>
      <c r="L23" t="s">
        <v>265</v>
      </c>
      <c r="M23" t="s">
        <v>2204</v>
      </c>
      <c r="N23" t="s">
        <v>2205</v>
      </c>
      <c r="O23" t="s">
        <v>2206</v>
      </c>
      <c r="P23" t="s">
        <v>2207</v>
      </c>
      <c r="Q23" t="s">
        <v>2208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25">
      <c r="A24">
        <v>210</v>
      </c>
      <c r="B24" t="s">
        <v>2209</v>
      </c>
      <c r="C24" t="s">
        <v>2210</v>
      </c>
      <c r="D24" t="s">
        <v>2211</v>
      </c>
      <c r="E24" t="s">
        <v>66</v>
      </c>
      <c r="F24" s="7">
        <v>22253</v>
      </c>
      <c r="G24" t="s">
        <v>244</v>
      </c>
      <c r="H24" t="s">
        <v>2212</v>
      </c>
      <c r="I24" t="s">
        <v>211</v>
      </c>
      <c r="J24" t="s">
        <v>3727</v>
      </c>
      <c r="K24" t="s">
        <v>225</v>
      </c>
      <c r="L24" t="s">
        <v>265</v>
      </c>
      <c r="M24" t="s">
        <v>2213</v>
      </c>
      <c r="N24" t="s">
        <v>2214</v>
      </c>
      <c r="O24" t="s">
        <v>2215</v>
      </c>
      <c r="P24" t="s">
        <v>2216</v>
      </c>
      <c r="Q24" t="s">
        <v>2217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25">
      <c r="A25">
        <v>211</v>
      </c>
      <c r="B25" t="s">
        <v>2218</v>
      </c>
      <c r="C25" t="s">
        <v>2219</v>
      </c>
      <c r="D25" t="s">
        <v>2220</v>
      </c>
      <c r="E25" t="s">
        <v>66</v>
      </c>
      <c r="F25" s="7">
        <v>14100</v>
      </c>
      <c r="G25" t="s">
        <v>240</v>
      </c>
      <c r="H25" t="s">
        <v>2221</v>
      </c>
      <c r="I25" t="s">
        <v>210</v>
      </c>
      <c r="J25" t="s">
        <v>3727</v>
      </c>
      <c r="K25" t="s">
        <v>225</v>
      </c>
      <c r="L25" t="s">
        <v>265</v>
      </c>
      <c r="M25" t="s">
        <v>2222</v>
      </c>
      <c r="N25" t="s">
        <v>2223</v>
      </c>
      <c r="O25" t="s">
        <v>2224</v>
      </c>
      <c r="P25" t="s">
        <v>2225</v>
      </c>
      <c r="Q25" t="s">
        <v>2226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25">
      <c r="A26">
        <v>212</v>
      </c>
      <c r="B26" t="s">
        <v>2227</v>
      </c>
      <c r="C26" t="s">
        <v>2228</v>
      </c>
      <c r="D26" t="s">
        <v>2229</v>
      </c>
      <c r="E26" t="s">
        <v>53</v>
      </c>
      <c r="F26" s="7">
        <v>14176</v>
      </c>
      <c r="G26" t="s">
        <v>246</v>
      </c>
      <c r="H26" t="s">
        <v>2230</v>
      </c>
      <c r="I26" t="s">
        <v>202</v>
      </c>
      <c r="J26" t="s">
        <v>3727</v>
      </c>
      <c r="K26" t="s">
        <v>225</v>
      </c>
      <c r="L26" t="s">
        <v>265</v>
      </c>
      <c r="M26" t="s">
        <v>2231</v>
      </c>
      <c r="N26" t="s">
        <v>2232</v>
      </c>
      <c r="O26" t="s">
        <v>2233</v>
      </c>
      <c r="P26" t="s">
        <v>2234</v>
      </c>
      <c r="Q26" t="s">
        <v>2235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25">
      <c r="A27">
        <v>213</v>
      </c>
      <c r="B27" t="s">
        <v>2236</v>
      </c>
      <c r="C27" t="s">
        <v>2237</v>
      </c>
      <c r="D27" t="s">
        <v>2238</v>
      </c>
      <c r="E27" t="s">
        <v>53</v>
      </c>
      <c r="F27" s="7">
        <v>15060</v>
      </c>
      <c r="G27" t="s">
        <v>230</v>
      </c>
      <c r="H27" t="s">
        <v>2239</v>
      </c>
      <c r="I27" t="s">
        <v>208</v>
      </c>
      <c r="J27" t="s">
        <v>3727</v>
      </c>
      <c r="K27" t="s">
        <v>225</v>
      </c>
      <c r="L27" t="s">
        <v>265</v>
      </c>
      <c r="M27" t="s">
        <v>2240</v>
      </c>
      <c r="N27" t="s">
        <v>2241</v>
      </c>
      <c r="O27" t="s">
        <v>2242</v>
      </c>
      <c r="P27" t="s">
        <v>2243</v>
      </c>
      <c r="Q27" t="s">
        <v>2244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25">
      <c r="A28">
        <v>214</v>
      </c>
      <c r="B28" t="s">
        <v>2245</v>
      </c>
      <c r="C28" t="s">
        <v>2246</v>
      </c>
      <c r="D28" t="s">
        <v>2247</v>
      </c>
      <c r="E28" t="s">
        <v>53</v>
      </c>
      <c r="F28" s="7">
        <v>32317</v>
      </c>
      <c r="G28" t="s">
        <v>240</v>
      </c>
      <c r="H28" t="s">
        <v>2248</v>
      </c>
      <c r="I28" t="s">
        <v>211</v>
      </c>
      <c r="J28" t="s">
        <v>3727</v>
      </c>
      <c r="K28" t="s">
        <v>225</v>
      </c>
      <c r="L28" t="s">
        <v>265</v>
      </c>
      <c r="M28" t="s">
        <v>2249</v>
      </c>
      <c r="N28" t="s">
        <v>2250</v>
      </c>
      <c r="O28" t="s">
        <v>2251</v>
      </c>
      <c r="P28" t="s">
        <v>2252</v>
      </c>
      <c r="Q28" t="s">
        <v>2253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25">
      <c r="A29">
        <v>215</v>
      </c>
      <c r="B29" t="s">
        <v>2254</v>
      </c>
      <c r="C29" t="s">
        <v>2255</v>
      </c>
      <c r="D29" t="s">
        <v>2256</v>
      </c>
      <c r="E29" t="s">
        <v>66</v>
      </c>
      <c r="F29" s="7">
        <v>31298</v>
      </c>
      <c r="G29" t="s">
        <v>254</v>
      </c>
      <c r="H29" t="s">
        <v>2257</v>
      </c>
      <c r="I29" t="s">
        <v>211</v>
      </c>
      <c r="J29" t="s">
        <v>3727</v>
      </c>
      <c r="K29" t="s">
        <v>225</v>
      </c>
      <c r="L29" t="s">
        <v>265</v>
      </c>
      <c r="M29" t="s">
        <v>2258</v>
      </c>
      <c r="N29" t="s">
        <v>2259</v>
      </c>
      <c r="O29" t="s">
        <v>2260</v>
      </c>
      <c r="P29" t="s">
        <v>2261</v>
      </c>
      <c r="Q29" t="s">
        <v>2262</v>
      </c>
      <c r="R29" s="3" t="s">
        <v>3728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25">
      <c r="A30">
        <v>216</v>
      </c>
      <c r="B30" t="s">
        <v>296</v>
      </c>
      <c r="C30" t="s">
        <v>297</v>
      </c>
      <c r="D30" t="s">
        <v>2263</v>
      </c>
      <c r="E30" t="s">
        <v>66</v>
      </c>
      <c r="F30" s="7">
        <v>20622</v>
      </c>
      <c r="G30" t="s">
        <v>247</v>
      </c>
      <c r="H30" t="s">
        <v>2264</v>
      </c>
      <c r="I30" t="s">
        <v>220</v>
      </c>
      <c r="J30" t="s">
        <v>3727</v>
      </c>
      <c r="K30" t="s">
        <v>225</v>
      </c>
      <c r="L30" t="s">
        <v>265</v>
      </c>
      <c r="M30" t="s">
        <v>2265</v>
      </c>
      <c r="N30" t="s">
        <v>2266</v>
      </c>
      <c r="O30" t="s">
        <v>2267</v>
      </c>
      <c r="P30" t="s">
        <v>2268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25">
      <c r="A31">
        <v>217</v>
      </c>
      <c r="B31" t="s">
        <v>2269</v>
      </c>
      <c r="C31" t="s">
        <v>2270</v>
      </c>
      <c r="D31" t="s">
        <v>2271</v>
      </c>
      <c r="E31" t="s">
        <v>66</v>
      </c>
      <c r="F31" s="7">
        <v>15242</v>
      </c>
      <c r="G31" t="s">
        <v>230</v>
      </c>
      <c r="H31" t="s">
        <v>2272</v>
      </c>
      <c r="I31" t="s">
        <v>219</v>
      </c>
      <c r="J31" t="s">
        <v>3727</v>
      </c>
      <c r="K31" t="s">
        <v>225</v>
      </c>
      <c r="L31" t="s">
        <v>265</v>
      </c>
      <c r="M31" t="s">
        <v>2273</v>
      </c>
      <c r="N31" t="s">
        <v>2274</v>
      </c>
      <c r="O31" t="s">
        <v>2275</v>
      </c>
      <c r="P31" t="s">
        <v>2276</v>
      </c>
      <c r="Q31" t="s">
        <v>2277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25">
      <c r="A32">
        <v>218</v>
      </c>
      <c r="B32" t="s">
        <v>2278</v>
      </c>
      <c r="C32" t="s">
        <v>2279</v>
      </c>
      <c r="D32" t="s">
        <v>2280</v>
      </c>
      <c r="E32" t="s">
        <v>53</v>
      </c>
      <c r="F32" s="7">
        <v>38538</v>
      </c>
      <c r="G32" t="s">
        <v>260</v>
      </c>
      <c r="H32" t="s">
        <v>2281</v>
      </c>
      <c r="I32" t="s">
        <v>211</v>
      </c>
      <c r="J32" t="s">
        <v>3727</v>
      </c>
      <c r="K32" t="s">
        <v>225</v>
      </c>
      <c r="L32" t="s">
        <v>265</v>
      </c>
      <c r="M32" t="s">
        <v>2282</v>
      </c>
      <c r="N32" t="s">
        <v>2283</v>
      </c>
      <c r="O32" t="s">
        <v>2284</v>
      </c>
      <c r="P32" t="s">
        <v>2285</v>
      </c>
      <c r="Q32" t="s">
        <v>2286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25">
      <c r="A33">
        <v>219</v>
      </c>
      <c r="B33" t="s">
        <v>2287</v>
      </c>
      <c r="C33" t="s">
        <v>2288</v>
      </c>
      <c r="D33" t="s">
        <v>2289</v>
      </c>
      <c r="E33" t="s">
        <v>66</v>
      </c>
      <c r="F33" s="7">
        <v>22147</v>
      </c>
      <c r="G33" t="s">
        <v>243</v>
      </c>
      <c r="H33" t="s">
        <v>2290</v>
      </c>
      <c r="I33" t="s">
        <v>211</v>
      </c>
      <c r="J33" t="s">
        <v>3727</v>
      </c>
      <c r="K33" t="s">
        <v>225</v>
      </c>
      <c r="L33" t="s">
        <v>265</v>
      </c>
      <c r="M33" t="s">
        <v>2291</v>
      </c>
      <c r="N33" t="s">
        <v>2292</v>
      </c>
      <c r="O33" t="s">
        <v>2293</v>
      </c>
      <c r="P33" t="s">
        <v>2294</v>
      </c>
      <c r="Q33" t="s">
        <v>2295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25">
      <c r="A34">
        <v>220</v>
      </c>
      <c r="B34" t="s">
        <v>2296</v>
      </c>
      <c r="C34" t="s">
        <v>2297</v>
      </c>
      <c r="D34" t="s">
        <v>2298</v>
      </c>
      <c r="E34" t="s">
        <v>66</v>
      </c>
      <c r="F34" s="7">
        <v>26345</v>
      </c>
      <c r="G34" t="s">
        <v>241</v>
      </c>
      <c r="H34" t="s">
        <v>2299</v>
      </c>
      <c r="I34" t="s">
        <v>207</v>
      </c>
      <c r="J34" t="s">
        <v>3727</v>
      </c>
      <c r="K34" t="s">
        <v>225</v>
      </c>
      <c r="L34" t="s">
        <v>265</v>
      </c>
      <c r="M34" t="s">
        <v>2300</v>
      </c>
      <c r="N34" t="s">
        <v>2301</v>
      </c>
      <c r="O34" t="s">
        <v>2302</v>
      </c>
      <c r="P34" t="s">
        <v>2303</v>
      </c>
      <c r="Q34" t="s">
        <v>2304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25">
      <c r="A35">
        <v>221</v>
      </c>
      <c r="B35" t="s">
        <v>2305</v>
      </c>
      <c r="C35" t="s">
        <v>2306</v>
      </c>
      <c r="D35" t="s">
        <v>2307</v>
      </c>
      <c r="E35" t="s">
        <v>53</v>
      </c>
      <c r="F35" s="7">
        <v>24701</v>
      </c>
      <c r="G35" t="s">
        <v>256</v>
      </c>
      <c r="H35" t="s">
        <v>2308</v>
      </c>
      <c r="I35" t="s">
        <v>211</v>
      </c>
      <c r="J35" t="s">
        <v>3727</v>
      </c>
      <c r="K35" t="s">
        <v>225</v>
      </c>
      <c r="L35" t="s">
        <v>265</v>
      </c>
      <c r="M35" t="s">
        <v>2309</v>
      </c>
      <c r="N35" t="s">
        <v>2310</v>
      </c>
      <c r="O35" t="s">
        <v>2311</v>
      </c>
      <c r="P35" t="s">
        <v>2312</v>
      </c>
      <c r="Q35" t="s">
        <v>2313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25">
      <c r="A36">
        <v>222</v>
      </c>
      <c r="B36" t="s">
        <v>2314</v>
      </c>
      <c r="C36" t="s">
        <v>2315</v>
      </c>
      <c r="D36" t="s">
        <v>2316</v>
      </c>
      <c r="E36" t="s">
        <v>66</v>
      </c>
      <c r="F36" s="7">
        <v>36840</v>
      </c>
      <c r="G36" t="s">
        <v>246</v>
      </c>
      <c r="H36" t="s">
        <v>2317</v>
      </c>
      <c r="I36" t="s">
        <v>220</v>
      </c>
      <c r="J36" t="s">
        <v>3727</v>
      </c>
      <c r="K36" t="s">
        <v>225</v>
      </c>
      <c r="L36" t="s">
        <v>265</v>
      </c>
      <c r="M36" t="s">
        <v>2318</v>
      </c>
      <c r="N36" t="s">
        <v>2319</v>
      </c>
      <c r="O36" t="s">
        <v>2320</v>
      </c>
      <c r="P36" t="s">
        <v>2321</v>
      </c>
      <c r="Q36" t="s">
        <v>2322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25">
      <c r="A37">
        <v>223</v>
      </c>
      <c r="B37" t="s">
        <v>2323</v>
      </c>
      <c r="C37" t="s">
        <v>2324</v>
      </c>
      <c r="D37" t="s">
        <v>2325</v>
      </c>
      <c r="E37" t="s">
        <v>53</v>
      </c>
      <c r="F37" s="7">
        <v>40951</v>
      </c>
      <c r="G37" t="s">
        <v>238</v>
      </c>
      <c r="H37" t="s">
        <v>2326</v>
      </c>
      <c r="I37" t="s">
        <v>211</v>
      </c>
      <c r="J37" t="s">
        <v>3727</v>
      </c>
      <c r="K37" t="s">
        <v>225</v>
      </c>
      <c r="L37" t="s">
        <v>265</v>
      </c>
      <c r="M37" t="s">
        <v>2327</v>
      </c>
      <c r="N37" t="s">
        <v>2328</v>
      </c>
      <c r="O37" t="s">
        <v>2329</v>
      </c>
      <c r="P37" t="s">
        <v>2330</v>
      </c>
      <c r="Q37" t="s">
        <v>2331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25">
      <c r="A38">
        <v>224</v>
      </c>
      <c r="B38" t="s">
        <v>2332</v>
      </c>
      <c r="C38" t="s">
        <v>2333</v>
      </c>
      <c r="D38" t="s">
        <v>2334</v>
      </c>
      <c r="E38" t="s">
        <v>53</v>
      </c>
      <c r="F38" s="7">
        <v>43838</v>
      </c>
      <c r="G38" t="s">
        <v>257</v>
      </c>
      <c r="H38" t="s">
        <v>2335</v>
      </c>
      <c r="I38" t="s">
        <v>209</v>
      </c>
      <c r="J38" t="s">
        <v>3727</v>
      </c>
      <c r="K38" t="s">
        <v>225</v>
      </c>
      <c r="L38" t="s">
        <v>265</v>
      </c>
      <c r="M38" t="s">
        <v>2336</v>
      </c>
      <c r="N38" t="s">
        <v>2337</v>
      </c>
      <c r="O38" t="s">
        <v>2338</v>
      </c>
      <c r="P38" t="s">
        <v>2339</v>
      </c>
      <c r="Q38" t="s">
        <v>2340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25">
      <c r="A39">
        <v>225</v>
      </c>
      <c r="B39" t="s">
        <v>2341</v>
      </c>
      <c r="C39" t="s">
        <v>2342</v>
      </c>
      <c r="D39" t="s">
        <v>2343</v>
      </c>
      <c r="E39" t="s">
        <v>53</v>
      </c>
      <c r="F39" s="7">
        <v>13937</v>
      </c>
      <c r="G39" t="s">
        <v>245</v>
      </c>
      <c r="H39" t="s">
        <v>2344</v>
      </c>
      <c r="I39" t="s">
        <v>222</v>
      </c>
      <c r="J39" t="s">
        <v>3727</v>
      </c>
      <c r="K39" t="s">
        <v>225</v>
      </c>
      <c r="L39" t="s">
        <v>265</v>
      </c>
      <c r="M39" t="s">
        <v>2345</v>
      </c>
      <c r="N39" t="s">
        <v>2346</v>
      </c>
      <c r="O39" t="s">
        <v>2347</v>
      </c>
      <c r="P39" t="s">
        <v>2348</v>
      </c>
      <c r="Q39" t="s">
        <v>2349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25">
      <c r="A40">
        <v>226</v>
      </c>
      <c r="B40" t="s">
        <v>2350</v>
      </c>
      <c r="C40" t="s">
        <v>2351</v>
      </c>
      <c r="D40" t="s">
        <v>2352</v>
      </c>
      <c r="E40" t="s">
        <v>53</v>
      </c>
      <c r="F40" s="7">
        <v>32387</v>
      </c>
      <c r="G40" t="s">
        <v>254</v>
      </c>
      <c r="H40" t="s">
        <v>2353</v>
      </c>
      <c r="I40" t="s">
        <v>223</v>
      </c>
      <c r="J40" t="s">
        <v>3727</v>
      </c>
      <c r="K40" t="s">
        <v>225</v>
      </c>
      <c r="L40" t="s">
        <v>265</v>
      </c>
      <c r="M40" t="s">
        <v>2354</v>
      </c>
      <c r="N40" t="s">
        <v>2355</v>
      </c>
      <c r="O40" t="s">
        <v>2356</v>
      </c>
      <c r="P40" t="s">
        <v>2357</v>
      </c>
      <c r="Q40" t="s">
        <v>2358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25">
      <c r="A41">
        <v>227</v>
      </c>
      <c r="B41" t="s">
        <v>2359</v>
      </c>
      <c r="C41" t="s">
        <v>2360</v>
      </c>
      <c r="D41" t="s">
        <v>2361</v>
      </c>
      <c r="E41" t="s">
        <v>53</v>
      </c>
      <c r="F41" s="7">
        <v>10615</v>
      </c>
      <c r="G41" t="s">
        <v>227</v>
      </c>
      <c r="H41" t="s">
        <v>2362</v>
      </c>
      <c r="I41" t="s">
        <v>200</v>
      </c>
      <c r="J41" t="s">
        <v>3727</v>
      </c>
      <c r="K41" t="s">
        <v>225</v>
      </c>
      <c r="L41" t="s">
        <v>265</v>
      </c>
      <c r="M41" t="s">
        <v>2363</v>
      </c>
      <c r="N41" t="s">
        <v>2364</v>
      </c>
      <c r="O41" t="s">
        <v>2365</v>
      </c>
      <c r="P41" t="s">
        <v>2366</v>
      </c>
      <c r="Q41" t="s">
        <v>2367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25">
      <c r="A42">
        <v>228</v>
      </c>
      <c r="B42" t="s">
        <v>2368</v>
      </c>
      <c r="C42" t="s">
        <v>2369</v>
      </c>
      <c r="D42" t="s">
        <v>2370</v>
      </c>
      <c r="E42" t="s">
        <v>53</v>
      </c>
      <c r="F42" s="7">
        <v>28753</v>
      </c>
      <c r="G42" t="s">
        <v>256</v>
      </c>
      <c r="H42" t="s">
        <v>2371</v>
      </c>
      <c r="I42" t="s">
        <v>211</v>
      </c>
      <c r="J42" t="s">
        <v>3727</v>
      </c>
      <c r="K42" t="s">
        <v>225</v>
      </c>
      <c r="L42" t="s">
        <v>265</v>
      </c>
      <c r="M42" t="s">
        <v>2372</v>
      </c>
      <c r="N42" t="s">
        <v>2373</v>
      </c>
      <c r="O42" t="s">
        <v>2374</v>
      </c>
      <c r="P42" t="s">
        <v>2375</v>
      </c>
      <c r="Q42" t="s">
        <v>2376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25">
      <c r="A43">
        <v>229</v>
      </c>
      <c r="B43" t="s">
        <v>2377</v>
      </c>
      <c r="C43" t="s">
        <v>2378</v>
      </c>
      <c r="D43" t="s">
        <v>2379</v>
      </c>
      <c r="E43" t="s">
        <v>53</v>
      </c>
      <c r="F43" s="7">
        <v>20196</v>
      </c>
      <c r="G43" t="s">
        <v>246</v>
      </c>
      <c r="H43" t="s">
        <v>2380</v>
      </c>
      <c r="I43" t="s">
        <v>223</v>
      </c>
      <c r="J43" t="s">
        <v>3727</v>
      </c>
      <c r="K43" t="s">
        <v>225</v>
      </c>
      <c r="L43" t="s">
        <v>265</v>
      </c>
      <c r="M43" t="s">
        <v>2381</v>
      </c>
      <c r="N43" t="s">
        <v>2382</v>
      </c>
      <c r="O43" t="s">
        <v>2383</v>
      </c>
      <c r="P43" t="s">
        <v>2384</v>
      </c>
      <c r="Q43" t="s">
        <v>2385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25">
      <c r="A44">
        <v>230</v>
      </c>
      <c r="B44" t="s">
        <v>2386</v>
      </c>
      <c r="C44" t="s">
        <v>2387</v>
      </c>
      <c r="D44" t="s">
        <v>2388</v>
      </c>
      <c r="E44" t="s">
        <v>53</v>
      </c>
      <c r="F44" s="7">
        <v>28461</v>
      </c>
      <c r="G44" t="s">
        <v>240</v>
      </c>
      <c r="H44" t="s">
        <v>2389</v>
      </c>
      <c r="I44" t="s">
        <v>211</v>
      </c>
      <c r="J44" t="s">
        <v>3727</v>
      </c>
      <c r="K44" t="s">
        <v>225</v>
      </c>
      <c r="L44" t="s">
        <v>265</v>
      </c>
      <c r="M44" t="s">
        <v>2390</v>
      </c>
      <c r="N44" t="s">
        <v>2391</v>
      </c>
      <c r="O44" t="s">
        <v>2392</v>
      </c>
      <c r="P44" t="s">
        <v>2393</v>
      </c>
      <c r="Q44" t="s">
        <v>2394</v>
      </c>
      <c r="R44" s="3" t="s">
        <v>3731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25">
      <c r="A45">
        <v>231</v>
      </c>
      <c r="B45" t="s">
        <v>291</v>
      </c>
      <c r="C45" t="s">
        <v>292</v>
      </c>
      <c r="D45" t="s">
        <v>2395</v>
      </c>
      <c r="E45" t="s">
        <v>53</v>
      </c>
      <c r="F45" s="7">
        <v>36293</v>
      </c>
      <c r="G45" t="s">
        <v>259</v>
      </c>
      <c r="H45" t="s">
        <v>2396</v>
      </c>
      <c r="I45" t="s">
        <v>223</v>
      </c>
      <c r="J45" t="s">
        <v>3727</v>
      </c>
      <c r="K45" t="s">
        <v>225</v>
      </c>
      <c r="L45" t="s">
        <v>265</v>
      </c>
      <c r="M45" t="s">
        <v>2397</v>
      </c>
      <c r="N45" t="s">
        <v>2398</v>
      </c>
      <c r="O45" t="s">
        <v>2399</v>
      </c>
      <c r="P45" t="s">
        <v>2400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25">
      <c r="A46">
        <v>232</v>
      </c>
      <c r="B46" t="s">
        <v>2401</v>
      </c>
      <c r="C46" t="s">
        <v>2402</v>
      </c>
      <c r="D46" t="s">
        <v>2403</v>
      </c>
      <c r="E46" t="s">
        <v>53</v>
      </c>
      <c r="F46" s="7">
        <v>14532</v>
      </c>
      <c r="G46" t="s">
        <v>251</v>
      </c>
      <c r="H46" t="s">
        <v>2404</v>
      </c>
      <c r="I46" t="s">
        <v>223</v>
      </c>
      <c r="J46" t="s">
        <v>3727</v>
      </c>
      <c r="K46" t="s">
        <v>225</v>
      </c>
      <c r="L46" t="s">
        <v>265</v>
      </c>
      <c r="M46" t="s">
        <v>2405</v>
      </c>
      <c r="N46" t="s">
        <v>2406</v>
      </c>
      <c r="O46" t="s">
        <v>2407</v>
      </c>
      <c r="P46" t="s">
        <v>2408</v>
      </c>
      <c r="Q46" t="s">
        <v>2409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25">
      <c r="A47">
        <v>233</v>
      </c>
      <c r="B47" t="s">
        <v>2410</v>
      </c>
      <c r="C47" t="s">
        <v>2411</v>
      </c>
      <c r="D47" t="s">
        <v>2412</v>
      </c>
      <c r="E47" t="s">
        <v>53</v>
      </c>
      <c r="F47" s="7">
        <v>41931</v>
      </c>
      <c r="G47" t="s">
        <v>243</v>
      </c>
      <c r="H47" t="s">
        <v>2413</v>
      </c>
      <c r="I47" t="s">
        <v>201</v>
      </c>
      <c r="J47" t="s">
        <v>3727</v>
      </c>
      <c r="K47" t="s">
        <v>225</v>
      </c>
      <c r="L47" t="s">
        <v>265</v>
      </c>
      <c r="M47" t="s">
        <v>2414</v>
      </c>
      <c r="N47" t="s">
        <v>2415</v>
      </c>
      <c r="O47" t="s">
        <v>2416</v>
      </c>
      <c r="P47" t="s">
        <v>2417</v>
      </c>
      <c r="Q47" t="s">
        <v>2418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25">
      <c r="A48">
        <v>234</v>
      </c>
      <c r="B48" t="s">
        <v>2419</v>
      </c>
      <c r="C48" t="s">
        <v>2420</v>
      </c>
      <c r="D48" t="s">
        <v>2421</v>
      </c>
      <c r="E48" t="s">
        <v>53</v>
      </c>
      <c r="F48" s="7">
        <v>42843</v>
      </c>
      <c r="G48" t="s">
        <v>254</v>
      </c>
      <c r="H48" t="s">
        <v>2422</v>
      </c>
      <c r="I48" t="s">
        <v>211</v>
      </c>
      <c r="J48" t="s">
        <v>3727</v>
      </c>
      <c r="K48" t="s">
        <v>225</v>
      </c>
      <c r="L48" t="s">
        <v>265</v>
      </c>
      <c r="M48" t="s">
        <v>2423</v>
      </c>
      <c r="N48" t="s">
        <v>2424</v>
      </c>
      <c r="O48" t="s">
        <v>2425</v>
      </c>
      <c r="P48" t="s">
        <v>2426</v>
      </c>
      <c r="Q48" t="s">
        <v>2427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25">
      <c r="A49">
        <v>235</v>
      </c>
      <c r="B49" t="s">
        <v>2428</v>
      </c>
      <c r="C49" t="s">
        <v>2429</v>
      </c>
      <c r="D49" t="s">
        <v>2430</v>
      </c>
      <c r="E49" t="s">
        <v>66</v>
      </c>
      <c r="F49" s="7">
        <v>25752</v>
      </c>
      <c r="G49" t="s">
        <v>236</v>
      </c>
      <c r="H49" t="s">
        <v>2431</v>
      </c>
      <c r="I49" t="s">
        <v>211</v>
      </c>
      <c r="J49" t="s">
        <v>3727</v>
      </c>
      <c r="K49" t="s">
        <v>225</v>
      </c>
      <c r="L49" t="s">
        <v>265</v>
      </c>
      <c r="M49" t="s">
        <v>2432</v>
      </c>
      <c r="N49" t="s">
        <v>2433</v>
      </c>
      <c r="O49" t="s">
        <v>2434</v>
      </c>
      <c r="P49" t="s">
        <v>2435</v>
      </c>
      <c r="Q49" t="s">
        <v>2436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25">
      <c r="A50">
        <v>236</v>
      </c>
      <c r="B50" t="s">
        <v>2437</v>
      </c>
      <c r="C50" t="s">
        <v>2438</v>
      </c>
      <c r="D50" t="s">
        <v>2439</v>
      </c>
      <c r="E50" t="s">
        <v>66</v>
      </c>
      <c r="F50" s="7">
        <v>23798</v>
      </c>
      <c r="G50" t="s">
        <v>237</v>
      </c>
      <c r="H50" t="s">
        <v>2440</v>
      </c>
      <c r="I50" t="s">
        <v>208</v>
      </c>
      <c r="J50" t="s">
        <v>3727</v>
      </c>
      <c r="K50" t="s">
        <v>225</v>
      </c>
      <c r="L50" t="s">
        <v>265</v>
      </c>
      <c r="M50" t="s">
        <v>2441</v>
      </c>
      <c r="N50" t="s">
        <v>2442</v>
      </c>
      <c r="O50" t="s">
        <v>2443</v>
      </c>
      <c r="P50" t="s">
        <v>2444</v>
      </c>
      <c r="Q50" t="s">
        <v>2445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25">
      <c r="A51">
        <v>237</v>
      </c>
      <c r="B51" t="s">
        <v>2446</v>
      </c>
      <c r="C51" t="s">
        <v>2447</v>
      </c>
      <c r="D51" t="s">
        <v>2448</v>
      </c>
      <c r="E51" t="s">
        <v>53</v>
      </c>
      <c r="F51" s="7">
        <v>10175</v>
      </c>
      <c r="G51" t="s">
        <v>246</v>
      </c>
      <c r="H51" t="s">
        <v>2449</v>
      </c>
      <c r="I51" t="s">
        <v>221</v>
      </c>
      <c r="J51" t="s">
        <v>3727</v>
      </c>
      <c r="K51" t="s">
        <v>225</v>
      </c>
      <c r="L51" t="s">
        <v>265</v>
      </c>
      <c r="M51" t="s">
        <v>2450</v>
      </c>
      <c r="N51" t="s">
        <v>2451</v>
      </c>
      <c r="O51" t="s">
        <v>2452</v>
      </c>
      <c r="P51" t="s">
        <v>2453</v>
      </c>
      <c r="Q51" t="s">
        <v>2454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25">
      <c r="A52">
        <v>238</v>
      </c>
      <c r="B52" t="s">
        <v>2455</v>
      </c>
      <c r="C52" t="s">
        <v>2456</v>
      </c>
      <c r="D52" t="s">
        <v>2457</v>
      </c>
      <c r="E52" t="s">
        <v>53</v>
      </c>
      <c r="F52" s="7">
        <v>16409</v>
      </c>
      <c r="G52" t="s">
        <v>252</v>
      </c>
      <c r="H52" t="s">
        <v>2458</v>
      </c>
      <c r="I52" t="s">
        <v>211</v>
      </c>
      <c r="J52" t="s">
        <v>3727</v>
      </c>
      <c r="K52" t="s">
        <v>225</v>
      </c>
      <c r="L52" t="s">
        <v>265</v>
      </c>
      <c r="M52" t="s">
        <v>2459</v>
      </c>
      <c r="N52" t="s">
        <v>2460</v>
      </c>
      <c r="O52" t="s">
        <v>2461</v>
      </c>
      <c r="P52" t="s">
        <v>2462</v>
      </c>
      <c r="Q52" t="s">
        <v>2463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25">
      <c r="A53">
        <v>239</v>
      </c>
      <c r="B53" t="s">
        <v>2464</v>
      </c>
      <c r="C53" t="s">
        <v>2465</v>
      </c>
      <c r="D53" t="s">
        <v>2466</v>
      </c>
      <c r="E53" t="s">
        <v>66</v>
      </c>
      <c r="F53" s="7">
        <v>44012</v>
      </c>
      <c r="G53" t="s">
        <v>228</v>
      </c>
      <c r="H53" t="s">
        <v>2467</v>
      </c>
      <c r="I53" t="s">
        <v>211</v>
      </c>
      <c r="J53" t="s">
        <v>3727</v>
      </c>
      <c r="K53" t="s">
        <v>225</v>
      </c>
      <c r="L53" t="s">
        <v>265</v>
      </c>
      <c r="M53" t="s">
        <v>2468</v>
      </c>
      <c r="N53" t="s">
        <v>2469</v>
      </c>
      <c r="O53" t="s">
        <v>2470</v>
      </c>
      <c r="P53" t="s">
        <v>2471</v>
      </c>
      <c r="Q53" t="s">
        <v>2472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25">
      <c r="A54">
        <v>240</v>
      </c>
      <c r="B54" t="s">
        <v>2473</v>
      </c>
      <c r="C54" t="s">
        <v>2474</v>
      </c>
      <c r="D54" t="s">
        <v>2475</v>
      </c>
      <c r="E54" t="s">
        <v>53</v>
      </c>
      <c r="F54" s="7">
        <v>21337</v>
      </c>
      <c r="G54" t="s">
        <v>244</v>
      </c>
      <c r="H54" t="s">
        <v>2476</v>
      </c>
      <c r="I54" t="s">
        <v>205</v>
      </c>
      <c r="J54" t="s">
        <v>3727</v>
      </c>
      <c r="K54" t="s">
        <v>225</v>
      </c>
      <c r="L54" t="s">
        <v>265</v>
      </c>
      <c r="M54" t="s">
        <v>2477</v>
      </c>
      <c r="N54" t="s">
        <v>2478</v>
      </c>
      <c r="O54" t="s">
        <v>2479</v>
      </c>
      <c r="P54" t="s">
        <v>2480</v>
      </c>
      <c r="Q54" t="s">
        <v>2481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25">
      <c r="A55">
        <v>241</v>
      </c>
      <c r="B55" t="s">
        <v>2482</v>
      </c>
      <c r="C55" t="s">
        <v>2483</v>
      </c>
      <c r="D55" t="s">
        <v>2484</v>
      </c>
      <c r="E55" t="s">
        <v>53</v>
      </c>
      <c r="F55" s="7">
        <v>35631</v>
      </c>
      <c r="G55" t="s">
        <v>255</v>
      </c>
      <c r="H55" t="s">
        <v>2485</v>
      </c>
      <c r="I55" t="s">
        <v>216</v>
      </c>
      <c r="J55" t="s">
        <v>3727</v>
      </c>
      <c r="K55" t="s">
        <v>225</v>
      </c>
      <c r="L55" t="s">
        <v>265</v>
      </c>
      <c r="M55" t="s">
        <v>2486</v>
      </c>
      <c r="N55" t="s">
        <v>2487</v>
      </c>
      <c r="O55" t="s">
        <v>2488</v>
      </c>
      <c r="P55" t="s">
        <v>2489</v>
      </c>
      <c r="Q55" t="s">
        <v>2490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25">
      <c r="A56">
        <v>242</v>
      </c>
      <c r="B56" t="s">
        <v>2491</v>
      </c>
      <c r="C56" t="s">
        <v>2492</v>
      </c>
      <c r="D56" t="s">
        <v>2493</v>
      </c>
      <c r="E56" t="s">
        <v>53</v>
      </c>
      <c r="F56" s="7">
        <v>14541</v>
      </c>
      <c r="G56" t="s">
        <v>237</v>
      </c>
      <c r="H56" t="s">
        <v>2494</v>
      </c>
      <c r="I56" t="s">
        <v>222</v>
      </c>
      <c r="J56" t="s">
        <v>3727</v>
      </c>
      <c r="K56" t="s">
        <v>225</v>
      </c>
      <c r="L56" t="s">
        <v>265</v>
      </c>
      <c r="M56" t="s">
        <v>2495</v>
      </c>
      <c r="N56" t="s">
        <v>2496</v>
      </c>
      <c r="O56" t="s">
        <v>2497</v>
      </c>
      <c r="P56" t="s">
        <v>2498</v>
      </c>
      <c r="Q56" t="s">
        <v>2499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25">
      <c r="A57">
        <v>243</v>
      </c>
      <c r="B57" t="s">
        <v>2500</v>
      </c>
      <c r="C57" t="s">
        <v>2501</v>
      </c>
      <c r="D57" t="s">
        <v>2502</v>
      </c>
      <c r="E57" t="s">
        <v>66</v>
      </c>
      <c r="F57" s="7">
        <v>10289</v>
      </c>
      <c r="G57" t="s">
        <v>252</v>
      </c>
      <c r="H57" t="s">
        <v>2503</v>
      </c>
      <c r="I57" t="s">
        <v>203</v>
      </c>
      <c r="J57" t="s">
        <v>3727</v>
      </c>
      <c r="K57" t="s">
        <v>225</v>
      </c>
      <c r="L57" t="s">
        <v>265</v>
      </c>
      <c r="M57" t="s">
        <v>2504</v>
      </c>
      <c r="N57" t="s">
        <v>2505</v>
      </c>
      <c r="O57" t="s">
        <v>2506</v>
      </c>
      <c r="P57" t="s">
        <v>2507</v>
      </c>
      <c r="Q57" t="s">
        <v>2508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25">
      <c r="A58">
        <v>244</v>
      </c>
      <c r="B58" t="s">
        <v>2509</v>
      </c>
      <c r="C58" t="s">
        <v>2510</v>
      </c>
      <c r="D58" t="s">
        <v>2511</v>
      </c>
      <c r="E58" t="s">
        <v>53</v>
      </c>
      <c r="F58" s="7">
        <v>30780</v>
      </c>
      <c r="G58" t="s">
        <v>254</v>
      </c>
      <c r="H58" t="s">
        <v>2512</v>
      </c>
      <c r="I58" t="s">
        <v>209</v>
      </c>
      <c r="J58" t="s">
        <v>3727</v>
      </c>
      <c r="K58" t="s">
        <v>225</v>
      </c>
      <c r="L58" t="s">
        <v>265</v>
      </c>
      <c r="M58" t="s">
        <v>2513</v>
      </c>
      <c r="N58" t="s">
        <v>2514</v>
      </c>
      <c r="O58" t="s">
        <v>2515</v>
      </c>
      <c r="P58" t="s">
        <v>2516</v>
      </c>
      <c r="Q58" t="s">
        <v>2517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25">
      <c r="A59">
        <v>245</v>
      </c>
      <c r="B59" t="s">
        <v>2518</v>
      </c>
      <c r="C59" t="s">
        <v>2519</v>
      </c>
      <c r="D59" t="s">
        <v>2520</v>
      </c>
      <c r="E59" t="s">
        <v>53</v>
      </c>
      <c r="F59" s="7">
        <v>37531</v>
      </c>
      <c r="G59" t="s">
        <v>232</v>
      </c>
      <c r="H59" t="s">
        <v>2521</v>
      </c>
      <c r="I59" t="s">
        <v>205</v>
      </c>
      <c r="J59" t="s">
        <v>3727</v>
      </c>
      <c r="K59" t="s">
        <v>225</v>
      </c>
      <c r="L59" t="s">
        <v>265</v>
      </c>
      <c r="M59" t="s">
        <v>2522</v>
      </c>
      <c r="N59" t="s">
        <v>2523</v>
      </c>
      <c r="O59" t="s">
        <v>2524</v>
      </c>
      <c r="P59" t="s">
        <v>2525</v>
      </c>
      <c r="Q59" t="s">
        <v>2526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25">
      <c r="A60">
        <v>246</v>
      </c>
      <c r="B60" t="s">
        <v>2527</v>
      </c>
      <c r="C60" t="s">
        <v>2528</v>
      </c>
      <c r="D60" t="s">
        <v>2529</v>
      </c>
      <c r="E60" t="s">
        <v>53</v>
      </c>
      <c r="F60" s="7">
        <v>43428</v>
      </c>
      <c r="G60" t="s">
        <v>232</v>
      </c>
      <c r="H60" t="s">
        <v>2530</v>
      </c>
      <c r="I60" t="s">
        <v>211</v>
      </c>
      <c r="J60" t="s">
        <v>3727</v>
      </c>
      <c r="K60" t="s">
        <v>225</v>
      </c>
      <c r="L60" t="s">
        <v>265</v>
      </c>
      <c r="M60" t="s">
        <v>2531</v>
      </c>
      <c r="N60" t="s">
        <v>2532</v>
      </c>
      <c r="O60" t="s">
        <v>2533</v>
      </c>
      <c r="P60" t="s">
        <v>2534</v>
      </c>
      <c r="Q60" t="s">
        <v>2535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25">
      <c r="A61">
        <v>247</v>
      </c>
      <c r="B61" t="s">
        <v>2536</v>
      </c>
      <c r="C61" t="s">
        <v>2537</v>
      </c>
      <c r="D61" t="s">
        <v>2538</v>
      </c>
      <c r="E61" t="s">
        <v>53</v>
      </c>
      <c r="F61" s="7">
        <v>27744</v>
      </c>
      <c r="G61" t="s">
        <v>250</v>
      </c>
      <c r="H61" t="s">
        <v>2539</v>
      </c>
      <c r="I61" t="s">
        <v>211</v>
      </c>
      <c r="J61" t="s">
        <v>3727</v>
      </c>
      <c r="K61" t="s">
        <v>225</v>
      </c>
      <c r="L61" t="s">
        <v>265</v>
      </c>
      <c r="M61" t="s">
        <v>2540</v>
      </c>
      <c r="N61" t="s">
        <v>2541</v>
      </c>
      <c r="O61" t="s">
        <v>2542</v>
      </c>
      <c r="P61" t="s">
        <v>2543</v>
      </c>
      <c r="Q61" t="s">
        <v>2544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25">
      <c r="A62">
        <v>248</v>
      </c>
      <c r="B62" t="s">
        <v>2545</v>
      </c>
      <c r="C62" t="s">
        <v>2546</v>
      </c>
      <c r="D62" t="s">
        <v>2547</v>
      </c>
      <c r="E62" t="s">
        <v>66</v>
      </c>
      <c r="F62" s="7">
        <v>39695</v>
      </c>
      <c r="G62" t="s">
        <v>257</v>
      </c>
      <c r="H62" t="s">
        <v>2548</v>
      </c>
      <c r="I62" t="s">
        <v>216</v>
      </c>
      <c r="J62" t="s">
        <v>3727</v>
      </c>
      <c r="K62" t="s">
        <v>225</v>
      </c>
      <c r="L62" t="s">
        <v>265</v>
      </c>
      <c r="M62" t="s">
        <v>2549</v>
      </c>
      <c r="N62" t="s">
        <v>2550</v>
      </c>
      <c r="O62" t="s">
        <v>2551</v>
      </c>
      <c r="P62" t="s">
        <v>2552</v>
      </c>
      <c r="Q62" t="s">
        <v>2553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25">
      <c r="A63">
        <v>249</v>
      </c>
      <c r="B63" t="s">
        <v>2554</v>
      </c>
      <c r="C63" t="s">
        <v>2555</v>
      </c>
      <c r="D63" t="s">
        <v>2556</v>
      </c>
      <c r="E63" t="s">
        <v>53</v>
      </c>
      <c r="F63" s="7">
        <v>30630</v>
      </c>
      <c r="G63" t="s">
        <v>262</v>
      </c>
      <c r="H63" t="s">
        <v>2557</v>
      </c>
      <c r="I63" t="s">
        <v>211</v>
      </c>
      <c r="J63" t="s">
        <v>3727</v>
      </c>
      <c r="K63" t="s">
        <v>225</v>
      </c>
      <c r="L63" t="s">
        <v>265</v>
      </c>
      <c r="M63" t="s">
        <v>2558</v>
      </c>
      <c r="N63" t="s">
        <v>2559</v>
      </c>
      <c r="O63" t="s">
        <v>2560</v>
      </c>
      <c r="P63" t="s">
        <v>2561</v>
      </c>
      <c r="Q63" t="s">
        <v>2562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25">
      <c r="A64">
        <v>250</v>
      </c>
      <c r="B64" t="s">
        <v>2563</v>
      </c>
      <c r="C64" t="s">
        <v>2564</v>
      </c>
      <c r="D64" t="s">
        <v>2565</v>
      </c>
      <c r="E64" t="s">
        <v>66</v>
      </c>
      <c r="F64" s="7">
        <v>12753</v>
      </c>
      <c r="G64" t="s">
        <v>238</v>
      </c>
      <c r="H64" t="s">
        <v>2566</v>
      </c>
      <c r="I64" t="s">
        <v>211</v>
      </c>
      <c r="J64" t="s">
        <v>3727</v>
      </c>
      <c r="K64" t="s">
        <v>225</v>
      </c>
      <c r="L64" t="s">
        <v>265</v>
      </c>
      <c r="M64" t="s">
        <v>2567</v>
      </c>
      <c r="N64" t="s">
        <v>2568</v>
      </c>
      <c r="O64" t="s">
        <v>2569</v>
      </c>
      <c r="P64" t="s">
        <v>2570</v>
      </c>
      <c r="Q64" t="s">
        <v>2571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25">
      <c r="A65">
        <v>251</v>
      </c>
      <c r="B65" t="s">
        <v>2572</v>
      </c>
      <c r="C65" t="s">
        <v>2573</v>
      </c>
      <c r="D65" t="s">
        <v>2574</v>
      </c>
      <c r="E65" t="s">
        <v>66</v>
      </c>
      <c r="F65" s="7">
        <v>13063</v>
      </c>
      <c r="G65" t="s">
        <v>256</v>
      </c>
      <c r="H65" t="s">
        <v>2575</v>
      </c>
      <c r="I65" t="s">
        <v>201</v>
      </c>
      <c r="J65" t="s">
        <v>3727</v>
      </c>
      <c r="K65" t="s">
        <v>225</v>
      </c>
      <c r="L65" t="s">
        <v>265</v>
      </c>
      <c r="M65" t="s">
        <v>2576</v>
      </c>
      <c r="N65" t="s">
        <v>2577</v>
      </c>
      <c r="O65" t="s">
        <v>2578</v>
      </c>
      <c r="P65" t="s">
        <v>2579</v>
      </c>
      <c r="Q65" t="s">
        <v>2580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25">
      <c r="A66">
        <v>252</v>
      </c>
      <c r="B66" t="s">
        <v>2581</v>
      </c>
      <c r="C66" t="s">
        <v>2582</v>
      </c>
      <c r="D66" t="s">
        <v>2583</v>
      </c>
      <c r="E66" t="s">
        <v>53</v>
      </c>
      <c r="F66" s="7">
        <v>37114</v>
      </c>
      <c r="G66" t="s">
        <v>241</v>
      </c>
      <c r="H66" t="s">
        <v>2584</v>
      </c>
      <c r="I66" t="s">
        <v>201</v>
      </c>
      <c r="J66" t="s">
        <v>3727</v>
      </c>
      <c r="K66" t="s">
        <v>225</v>
      </c>
      <c r="L66" t="s">
        <v>265</v>
      </c>
      <c r="M66" t="s">
        <v>2585</v>
      </c>
      <c r="N66" t="s">
        <v>2586</v>
      </c>
      <c r="O66" t="s">
        <v>2587</v>
      </c>
      <c r="P66" t="s">
        <v>2588</v>
      </c>
      <c r="Q66" t="s">
        <v>2589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25">
      <c r="A67">
        <v>253</v>
      </c>
      <c r="B67" t="s">
        <v>2590</v>
      </c>
      <c r="C67" t="s">
        <v>2591</v>
      </c>
      <c r="D67" t="s">
        <v>2592</v>
      </c>
      <c r="E67" t="s">
        <v>66</v>
      </c>
      <c r="F67" s="7">
        <v>19832</v>
      </c>
      <c r="G67" t="s">
        <v>253</v>
      </c>
      <c r="H67" t="s">
        <v>2593</v>
      </c>
      <c r="I67" t="s">
        <v>211</v>
      </c>
      <c r="J67" t="s">
        <v>3727</v>
      </c>
      <c r="K67" t="s">
        <v>225</v>
      </c>
      <c r="L67" t="s">
        <v>265</v>
      </c>
      <c r="M67" t="s">
        <v>2594</v>
      </c>
      <c r="N67" t="s">
        <v>2595</v>
      </c>
      <c r="O67" t="s">
        <v>2596</v>
      </c>
      <c r="P67" t="s">
        <v>2597</v>
      </c>
      <c r="Q67" t="s">
        <v>2598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25">
      <c r="A68">
        <v>254</v>
      </c>
      <c r="B68" t="s">
        <v>2599</v>
      </c>
      <c r="C68" t="s">
        <v>2600</v>
      </c>
      <c r="D68" t="s">
        <v>2601</v>
      </c>
      <c r="E68" t="s">
        <v>66</v>
      </c>
      <c r="F68" s="7">
        <v>11481</v>
      </c>
      <c r="G68" t="s">
        <v>259</v>
      </c>
      <c r="H68" t="s">
        <v>2602</v>
      </c>
      <c r="I68" t="s">
        <v>211</v>
      </c>
      <c r="J68" t="s">
        <v>3727</v>
      </c>
      <c r="K68" t="s">
        <v>225</v>
      </c>
      <c r="L68" t="s">
        <v>265</v>
      </c>
      <c r="M68" t="s">
        <v>2603</v>
      </c>
      <c r="N68" t="s">
        <v>2604</v>
      </c>
      <c r="O68" t="s">
        <v>2605</v>
      </c>
      <c r="P68" t="s">
        <v>2606</v>
      </c>
      <c r="Q68" t="s">
        <v>2607</v>
      </c>
      <c r="R68" t="str">
        <f t="shared" si="3"/>
        <v>user-female.jpg</v>
      </c>
      <c r="U68" t="str">
        <f t="shared" ref="U68:U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25">
      <c r="A69">
        <v>255</v>
      </c>
      <c r="B69" t="s">
        <v>329</v>
      </c>
      <c r="C69" t="s">
        <v>330</v>
      </c>
      <c r="D69" t="s">
        <v>2608</v>
      </c>
      <c r="E69" t="s">
        <v>66</v>
      </c>
      <c r="F69" s="7">
        <v>19996</v>
      </c>
      <c r="G69" t="s">
        <v>255</v>
      </c>
      <c r="H69" t="s">
        <v>2609</v>
      </c>
      <c r="I69" t="s">
        <v>202</v>
      </c>
      <c r="J69" t="s">
        <v>3727</v>
      </c>
      <c r="K69" t="s">
        <v>225</v>
      </c>
      <c r="L69" t="s">
        <v>265</v>
      </c>
      <c r="M69" t="s">
        <v>2610</v>
      </c>
      <c r="N69" t="s">
        <v>2611</v>
      </c>
      <c r="O69" t="s">
        <v>2612</v>
      </c>
      <c r="P69" t="s">
        <v>2613</v>
      </c>
      <c r="Q69" t="s">
        <v>2614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25">
      <c r="A70">
        <v>256</v>
      </c>
      <c r="B70" t="s">
        <v>2615</v>
      </c>
      <c r="C70" t="s">
        <v>2616</v>
      </c>
      <c r="D70" t="s">
        <v>2617</v>
      </c>
      <c r="E70" t="s">
        <v>66</v>
      </c>
      <c r="F70" s="7">
        <v>9739</v>
      </c>
      <c r="G70" t="s">
        <v>251</v>
      </c>
      <c r="H70" t="s">
        <v>2618</v>
      </c>
      <c r="I70" t="s">
        <v>217</v>
      </c>
      <c r="J70" t="s">
        <v>3727</v>
      </c>
      <c r="K70" t="s">
        <v>225</v>
      </c>
      <c r="L70" t="s">
        <v>265</v>
      </c>
      <c r="M70" t="s">
        <v>2619</v>
      </c>
      <c r="N70" t="s">
        <v>2620</v>
      </c>
      <c r="O70" t="s">
        <v>2621</v>
      </c>
      <c r="P70" t="s">
        <v>2622</v>
      </c>
      <c r="Q70" t="s">
        <v>2623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25">
      <c r="A71">
        <v>257</v>
      </c>
      <c r="B71" t="s">
        <v>2624</v>
      </c>
      <c r="C71" t="s">
        <v>2625</v>
      </c>
      <c r="D71" t="s">
        <v>2626</v>
      </c>
      <c r="E71" t="s">
        <v>66</v>
      </c>
      <c r="F71" s="7">
        <v>19419</v>
      </c>
      <c r="G71" t="s">
        <v>250</v>
      </c>
      <c r="H71" t="s">
        <v>2627</v>
      </c>
      <c r="I71" t="s">
        <v>211</v>
      </c>
      <c r="J71" t="s">
        <v>3727</v>
      </c>
      <c r="K71" t="s">
        <v>225</v>
      </c>
      <c r="L71" t="s">
        <v>265</v>
      </c>
      <c r="M71" t="s">
        <v>2628</v>
      </c>
      <c r="N71" t="s">
        <v>2629</v>
      </c>
      <c r="O71" t="s">
        <v>2630</v>
      </c>
      <c r="P71" t="s">
        <v>2631</v>
      </c>
      <c r="Q71" t="s">
        <v>2632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25">
      <c r="A72">
        <v>258</v>
      </c>
      <c r="B72" t="s">
        <v>2633</v>
      </c>
      <c r="C72" t="s">
        <v>2634</v>
      </c>
      <c r="D72" t="s">
        <v>2635</v>
      </c>
      <c r="E72" t="s">
        <v>53</v>
      </c>
      <c r="F72" s="7">
        <v>36001</v>
      </c>
      <c r="G72" t="s">
        <v>230</v>
      </c>
      <c r="H72" t="s">
        <v>2636</v>
      </c>
      <c r="I72" t="s">
        <v>211</v>
      </c>
      <c r="J72" t="s">
        <v>3727</v>
      </c>
      <c r="K72" t="s">
        <v>225</v>
      </c>
      <c r="L72" t="s">
        <v>265</v>
      </c>
      <c r="M72" t="s">
        <v>2637</v>
      </c>
      <c r="N72" t="s">
        <v>2638</v>
      </c>
      <c r="O72" t="s">
        <v>2639</v>
      </c>
      <c r="P72" t="s">
        <v>2640</v>
      </c>
      <c r="Q72" t="s">
        <v>2641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25">
      <c r="A73">
        <v>259</v>
      </c>
      <c r="B73" t="s">
        <v>2642</v>
      </c>
      <c r="C73" t="s">
        <v>2643</v>
      </c>
      <c r="D73" t="s">
        <v>2644</v>
      </c>
      <c r="E73" t="s">
        <v>53</v>
      </c>
      <c r="F73" s="7">
        <v>42853</v>
      </c>
      <c r="G73" t="s">
        <v>227</v>
      </c>
      <c r="H73" t="s">
        <v>2645</v>
      </c>
      <c r="I73" t="s">
        <v>208</v>
      </c>
      <c r="J73" t="s">
        <v>3727</v>
      </c>
      <c r="K73" t="s">
        <v>225</v>
      </c>
      <c r="L73" t="s">
        <v>265</v>
      </c>
      <c r="M73" t="s">
        <v>2646</v>
      </c>
      <c r="N73" t="s">
        <v>2647</v>
      </c>
      <c r="O73" t="s">
        <v>2648</v>
      </c>
      <c r="P73" t="s">
        <v>2649</v>
      </c>
      <c r="Q73" t="s">
        <v>2650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25">
      <c r="A74">
        <v>260</v>
      </c>
      <c r="B74" t="s">
        <v>2651</v>
      </c>
      <c r="C74" t="s">
        <v>2652</v>
      </c>
      <c r="D74" t="s">
        <v>2653</v>
      </c>
      <c r="E74" t="s">
        <v>53</v>
      </c>
      <c r="F74" s="7">
        <v>38941</v>
      </c>
      <c r="G74" t="s">
        <v>256</v>
      </c>
      <c r="H74" t="s">
        <v>2654</v>
      </c>
      <c r="I74" t="s">
        <v>223</v>
      </c>
      <c r="J74" t="s">
        <v>3727</v>
      </c>
      <c r="K74" t="s">
        <v>225</v>
      </c>
      <c r="L74" t="s">
        <v>265</v>
      </c>
      <c r="M74" t="s">
        <v>2655</v>
      </c>
      <c r="N74" t="s">
        <v>2656</v>
      </c>
      <c r="O74" t="s">
        <v>2657</v>
      </c>
      <c r="P74" t="s">
        <v>2658</v>
      </c>
      <c r="Q74" t="s">
        <v>2659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25">
      <c r="A75">
        <v>261</v>
      </c>
      <c r="B75" t="s">
        <v>2660</v>
      </c>
      <c r="C75" t="s">
        <v>2661</v>
      </c>
      <c r="D75" t="s">
        <v>2662</v>
      </c>
      <c r="E75" t="s">
        <v>53</v>
      </c>
      <c r="F75" s="7">
        <v>19821</v>
      </c>
      <c r="G75" t="s">
        <v>231</v>
      </c>
      <c r="H75" t="s">
        <v>2663</v>
      </c>
      <c r="I75" t="s">
        <v>211</v>
      </c>
      <c r="J75" t="s">
        <v>3727</v>
      </c>
      <c r="K75" t="s">
        <v>225</v>
      </c>
      <c r="L75" t="s">
        <v>265</v>
      </c>
      <c r="M75" t="s">
        <v>2664</v>
      </c>
      <c r="N75" t="s">
        <v>2665</v>
      </c>
      <c r="O75" t="s">
        <v>2666</v>
      </c>
      <c r="P75" t="s">
        <v>2667</v>
      </c>
      <c r="Q75" t="s">
        <v>2668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25">
      <c r="A76">
        <v>262</v>
      </c>
      <c r="B76" t="s">
        <v>2419</v>
      </c>
      <c r="C76" t="s">
        <v>2420</v>
      </c>
      <c r="D76" t="s">
        <v>2669</v>
      </c>
      <c r="E76" t="s">
        <v>53</v>
      </c>
      <c r="F76" s="7">
        <v>41522</v>
      </c>
      <c r="G76" t="s">
        <v>229</v>
      </c>
      <c r="H76" t="s">
        <v>2670</v>
      </c>
      <c r="I76" t="s">
        <v>211</v>
      </c>
      <c r="J76" t="s">
        <v>3727</v>
      </c>
      <c r="K76" t="s">
        <v>225</v>
      </c>
      <c r="L76" t="s">
        <v>265</v>
      </c>
      <c r="M76" t="s">
        <v>2671</v>
      </c>
      <c r="N76" t="s">
        <v>2672</v>
      </c>
      <c r="O76" t="s">
        <v>2673</v>
      </c>
      <c r="P76" t="s">
        <v>2674</v>
      </c>
      <c r="Q76" t="s">
        <v>2427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25">
      <c r="A77">
        <v>263</v>
      </c>
      <c r="B77" t="s">
        <v>2675</v>
      </c>
      <c r="C77" t="s">
        <v>2676</v>
      </c>
      <c r="D77" t="s">
        <v>2677</v>
      </c>
      <c r="E77" t="s">
        <v>66</v>
      </c>
      <c r="F77" s="7">
        <v>24620</v>
      </c>
      <c r="G77" t="s">
        <v>257</v>
      </c>
      <c r="H77" t="s">
        <v>2678</v>
      </c>
      <c r="I77" t="s">
        <v>211</v>
      </c>
      <c r="J77" t="s">
        <v>3727</v>
      </c>
      <c r="K77" t="s">
        <v>225</v>
      </c>
      <c r="L77" t="s">
        <v>265</v>
      </c>
      <c r="M77" t="s">
        <v>2679</v>
      </c>
      <c r="N77" t="s">
        <v>2680</v>
      </c>
      <c r="O77" t="s">
        <v>2681</v>
      </c>
      <c r="P77" t="s">
        <v>2682</v>
      </c>
      <c r="Q77" t="s">
        <v>2683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25">
      <c r="A78">
        <v>264</v>
      </c>
      <c r="B78" t="s">
        <v>2684</v>
      </c>
      <c r="C78" t="s">
        <v>2685</v>
      </c>
      <c r="D78" t="s">
        <v>2686</v>
      </c>
      <c r="E78" t="s">
        <v>66</v>
      </c>
      <c r="F78" s="7">
        <v>24983</v>
      </c>
      <c r="G78" t="s">
        <v>238</v>
      </c>
      <c r="H78" t="s">
        <v>2687</v>
      </c>
      <c r="I78" t="s">
        <v>210</v>
      </c>
      <c r="J78" t="s">
        <v>3727</v>
      </c>
      <c r="K78" t="s">
        <v>225</v>
      </c>
      <c r="L78" t="s">
        <v>265</v>
      </c>
      <c r="M78" t="s">
        <v>2688</v>
      </c>
      <c r="N78" t="s">
        <v>2689</v>
      </c>
      <c r="O78" t="s">
        <v>2690</v>
      </c>
      <c r="P78" t="s">
        <v>2691</v>
      </c>
      <c r="Q78" t="s">
        <v>2692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25">
      <c r="A79">
        <v>265</v>
      </c>
      <c r="B79" t="s">
        <v>2693</v>
      </c>
      <c r="C79" t="s">
        <v>2694</v>
      </c>
      <c r="D79" t="s">
        <v>2695</v>
      </c>
      <c r="E79" t="s">
        <v>66</v>
      </c>
      <c r="F79" s="7">
        <v>28641</v>
      </c>
      <c r="G79" t="s">
        <v>240</v>
      </c>
      <c r="H79" t="s">
        <v>2696</v>
      </c>
      <c r="I79" t="s">
        <v>211</v>
      </c>
      <c r="J79" t="s">
        <v>3727</v>
      </c>
      <c r="K79" t="s">
        <v>225</v>
      </c>
      <c r="L79" t="s">
        <v>265</v>
      </c>
      <c r="M79" t="s">
        <v>2697</v>
      </c>
      <c r="N79" t="s">
        <v>2698</v>
      </c>
      <c r="O79" t="s">
        <v>2699</v>
      </c>
      <c r="P79" t="s">
        <v>2700</v>
      </c>
      <c r="Q79" t="s">
        <v>2701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25">
      <c r="A80">
        <v>266</v>
      </c>
      <c r="B80" t="s">
        <v>2702</v>
      </c>
      <c r="C80" t="s">
        <v>2703</v>
      </c>
      <c r="D80" t="s">
        <v>2704</v>
      </c>
      <c r="E80" t="s">
        <v>66</v>
      </c>
      <c r="F80" s="7">
        <v>35043</v>
      </c>
      <c r="G80" t="s">
        <v>229</v>
      </c>
      <c r="H80" t="s">
        <v>2705</v>
      </c>
      <c r="I80" t="s">
        <v>211</v>
      </c>
      <c r="J80" t="s">
        <v>3727</v>
      </c>
      <c r="K80" t="s">
        <v>225</v>
      </c>
      <c r="L80" t="s">
        <v>265</v>
      </c>
      <c r="M80" t="s">
        <v>2706</v>
      </c>
      <c r="N80" t="s">
        <v>2707</v>
      </c>
      <c r="O80" t="s">
        <v>2708</v>
      </c>
      <c r="P80" t="s">
        <v>2709</v>
      </c>
      <c r="Q80" t="s">
        <v>2710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25">
      <c r="A81">
        <v>267</v>
      </c>
      <c r="B81" t="s">
        <v>2711</v>
      </c>
      <c r="C81" t="s">
        <v>2712</v>
      </c>
      <c r="D81" t="s">
        <v>2713</v>
      </c>
      <c r="E81" t="s">
        <v>53</v>
      </c>
      <c r="F81" s="7">
        <v>22527</v>
      </c>
      <c r="G81" t="s">
        <v>240</v>
      </c>
      <c r="H81" t="s">
        <v>2714</v>
      </c>
      <c r="I81" t="s">
        <v>205</v>
      </c>
      <c r="J81" t="s">
        <v>3727</v>
      </c>
      <c r="K81" t="s">
        <v>225</v>
      </c>
      <c r="L81" t="s">
        <v>265</v>
      </c>
      <c r="M81" t="s">
        <v>2715</v>
      </c>
      <c r="N81" t="s">
        <v>2716</v>
      </c>
      <c r="O81" t="s">
        <v>2717</v>
      </c>
      <c r="P81" t="s">
        <v>2718</v>
      </c>
      <c r="Q81" t="s">
        <v>2719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25">
      <c r="A82">
        <v>268</v>
      </c>
      <c r="B82" t="s">
        <v>2720</v>
      </c>
      <c r="C82" t="s">
        <v>2721</v>
      </c>
      <c r="D82" t="s">
        <v>2722</v>
      </c>
      <c r="E82" t="s">
        <v>53</v>
      </c>
      <c r="F82" s="7">
        <v>12686</v>
      </c>
      <c r="G82" t="s">
        <v>250</v>
      </c>
      <c r="H82" t="s">
        <v>2723</v>
      </c>
      <c r="I82" t="s">
        <v>211</v>
      </c>
      <c r="J82" t="s">
        <v>3727</v>
      </c>
      <c r="K82" t="s">
        <v>225</v>
      </c>
      <c r="L82" t="s">
        <v>265</v>
      </c>
      <c r="M82" t="s">
        <v>2724</v>
      </c>
      <c r="N82" t="s">
        <v>2725</v>
      </c>
      <c r="O82" t="s">
        <v>2726</v>
      </c>
      <c r="P82" t="s">
        <v>2727</v>
      </c>
      <c r="Q82" t="s">
        <v>2728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25">
      <c r="A83">
        <v>269</v>
      </c>
      <c r="B83" t="s">
        <v>2729</v>
      </c>
      <c r="C83" t="s">
        <v>2730</v>
      </c>
      <c r="D83" t="s">
        <v>2731</v>
      </c>
      <c r="E83" t="s">
        <v>66</v>
      </c>
      <c r="F83" s="7">
        <v>36263</v>
      </c>
      <c r="G83" t="s">
        <v>241</v>
      </c>
      <c r="H83" t="s">
        <v>2732</v>
      </c>
      <c r="I83" t="s">
        <v>211</v>
      </c>
      <c r="J83" t="s">
        <v>3727</v>
      </c>
      <c r="K83" t="s">
        <v>225</v>
      </c>
      <c r="L83" t="s">
        <v>265</v>
      </c>
      <c r="M83" t="s">
        <v>2733</v>
      </c>
      <c r="N83" t="s">
        <v>2734</v>
      </c>
      <c r="O83" t="s">
        <v>2735</v>
      </c>
      <c r="P83" t="s">
        <v>2736</v>
      </c>
      <c r="Q83" t="s">
        <v>2737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25">
      <c r="A84">
        <v>270</v>
      </c>
      <c r="B84" t="s">
        <v>326</v>
      </c>
      <c r="C84" t="s">
        <v>327</v>
      </c>
      <c r="D84" t="s">
        <v>2738</v>
      </c>
      <c r="E84" t="s">
        <v>53</v>
      </c>
      <c r="F84" s="7">
        <v>13617</v>
      </c>
      <c r="G84" t="s">
        <v>228</v>
      </c>
      <c r="H84" t="s">
        <v>2739</v>
      </c>
      <c r="I84" t="s">
        <v>218</v>
      </c>
      <c r="J84" t="s">
        <v>3727</v>
      </c>
      <c r="K84" t="s">
        <v>225</v>
      </c>
      <c r="L84" t="s">
        <v>265</v>
      </c>
      <c r="M84" t="s">
        <v>2740</v>
      </c>
      <c r="N84" t="s">
        <v>2741</v>
      </c>
      <c r="O84" t="s">
        <v>2742</v>
      </c>
      <c r="P84" t="s">
        <v>2743</v>
      </c>
      <c r="Q84" t="s">
        <v>2744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25">
      <c r="A85">
        <v>271</v>
      </c>
      <c r="B85" t="s">
        <v>2745</v>
      </c>
      <c r="C85" t="s">
        <v>2746</v>
      </c>
      <c r="D85" t="s">
        <v>2747</v>
      </c>
      <c r="E85" t="s">
        <v>53</v>
      </c>
      <c r="F85" s="7">
        <v>41552</v>
      </c>
      <c r="G85" t="s">
        <v>247</v>
      </c>
      <c r="H85" t="s">
        <v>2748</v>
      </c>
      <c r="I85" t="s">
        <v>222</v>
      </c>
      <c r="J85" t="s">
        <v>3727</v>
      </c>
      <c r="K85" t="s">
        <v>225</v>
      </c>
      <c r="L85" t="s">
        <v>265</v>
      </c>
      <c r="M85" t="s">
        <v>2749</v>
      </c>
      <c r="N85" t="s">
        <v>2750</v>
      </c>
      <c r="O85" t="s">
        <v>2751</v>
      </c>
      <c r="P85" t="s">
        <v>2752</v>
      </c>
      <c r="Q85" t="s">
        <v>2753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25">
      <c r="A86">
        <v>272</v>
      </c>
      <c r="B86" t="s">
        <v>2754</v>
      </c>
      <c r="C86" t="s">
        <v>2755</v>
      </c>
      <c r="D86" t="s">
        <v>2756</v>
      </c>
      <c r="E86" t="s">
        <v>66</v>
      </c>
      <c r="F86" s="7">
        <v>27773</v>
      </c>
      <c r="G86" t="s">
        <v>242</v>
      </c>
      <c r="H86" t="s">
        <v>2757</v>
      </c>
      <c r="I86" t="s">
        <v>211</v>
      </c>
      <c r="J86" t="s">
        <v>3727</v>
      </c>
      <c r="K86" t="s">
        <v>225</v>
      </c>
      <c r="L86" t="s">
        <v>265</v>
      </c>
      <c r="M86" t="s">
        <v>2758</v>
      </c>
      <c r="N86" t="s">
        <v>2759</v>
      </c>
      <c r="O86" t="s">
        <v>2760</v>
      </c>
      <c r="P86" t="s">
        <v>2761</v>
      </c>
      <c r="Q86" t="s">
        <v>2762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25">
      <c r="A87">
        <v>273</v>
      </c>
      <c r="B87" t="s">
        <v>2763</v>
      </c>
      <c r="C87" t="s">
        <v>2764</v>
      </c>
      <c r="D87" t="s">
        <v>2765</v>
      </c>
      <c r="E87" t="s">
        <v>53</v>
      </c>
      <c r="F87" s="7">
        <v>27273</v>
      </c>
      <c r="G87" t="s">
        <v>240</v>
      </c>
      <c r="H87" t="s">
        <v>2766</v>
      </c>
      <c r="I87" t="s">
        <v>205</v>
      </c>
      <c r="J87" t="s">
        <v>3727</v>
      </c>
      <c r="K87" t="s">
        <v>225</v>
      </c>
      <c r="L87" t="s">
        <v>265</v>
      </c>
      <c r="M87" t="s">
        <v>2767</v>
      </c>
      <c r="N87" t="s">
        <v>2768</v>
      </c>
      <c r="O87" t="s">
        <v>2769</v>
      </c>
      <c r="P87" t="s">
        <v>2770</v>
      </c>
      <c r="Q87" t="s">
        <v>2771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25">
      <c r="A88">
        <v>274</v>
      </c>
      <c r="B88" t="s">
        <v>2772</v>
      </c>
      <c r="C88" t="s">
        <v>2773</v>
      </c>
      <c r="D88" t="s">
        <v>2774</v>
      </c>
      <c r="E88" t="s">
        <v>53</v>
      </c>
      <c r="F88" s="7">
        <v>33962</v>
      </c>
      <c r="G88" t="s">
        <v>239</v>
      </c>
      <c r="H88" t="s">
        <v>2775</v>
      </c>
      <c r="I88" t="s">
        <v>211</v>
      </c>
      <c r="J88" t="s">
        <v>3727</v>
      </c>
      <c r="K88" t="s">
        <v>225</v>
      </c>
      <c r="L88" t="s">
        <v>265</v>
      </c>
      <c r="M88" t="s">
        <v>2776</v>
      </c>
      <c r="N88" t="s">
        <v>2777</v>
      </c>
      <c r="O88" t="s">
        <v>2778</v>
      </c>
      <c r="P88" t="s">
        <v>2779</v>
      </c>
      <c r="Q88" t="s">
        <v>2780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25">
      <c r="A89">
        <v>275</v>
      </c>
      <c r="B89" t="s">
        <v>2781</v>
      </c>
      <c r="C89" t="s">
        <v>2782</v>
      </c>
      <c r="D89" t="s">
        <v>2783</v>
      </c>
      <c r="E89" t="s">
        <v>66</v>
      </c>
      <c r="F89" s="7">
        <v>16313</v>
      </c>
      <c r="G89" t="s">
        <v>238</v>
      </c>
      <c r="H89" t="s">
        <v>2784</v>
      </c>
      <c r="I89" t="s">
        <v>218</v>
      </c>
      <c r="J89" t="s">
        <v>3727</v>
      </c>
      <c r="K89" t="s">
        <v>225</v>
      </c>
      <c r="L89" t="s">
        <v>265</v>
      </c>
      <c r="M89" t="s">
        <v>2785</v>
      </c>
      <c r="N89" t="s">
        <v>2786</v>
      </c>
      <c r="O89" t="s">
        <v>2787</v>
      </c>
      <c r="P89" t="s">
        <v>2788</v>
      </c>
      <c r="Q89" t="s">
        <v>2789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25">
      <c r="A90">
        <v>276</v>
      </c>
      <c r="B90" t="s">
        <v>294</v>
      </c>
      <c r="C90" t="s">
        <v>295</v>
      </c>
      <c r="D90" t="s">
        <v>2790</v>
      </c>
      <c r="E90" t="s">
        <v>53</v>
      </c>
      <c r="F90" s="7">
        <v>40133</v>
      </c>
      <c r="G90" t="s">
        <v>254</v>
      </c>
      <c r="H90" t="s">
        <v>2791</v>
      </c>
      <c r="I90" t="s">
        <v>211</v>
      </c>
      <c r="J90" t="s">
        <v>3727</v>
      </c>
      <c r="K90" t="s">
        <v>225</v>
      </c>
      <c r="L90" t="s">
        <v>265</v>
      </c>
      <c r="M90" t="s">
        <v>2792</v>
      </c>
      <c r="N90" t="s">
        <v>2793</v>
      </c>
      <c r="O90" t="s">
        <v>2794</v>
      </c>
      <c r="P90" t="s">
        <v>2795</v>
      </c>
      <c r="Q90" t="s">
        <v>2796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25">
      <c r="A91">
        <v>277</v>
      </c>
      <c r="B91" t="s">
        <v>2797</v>
      </c>
      <c r="C91" t="s">
        <v>2798</v>
      </c>
      <c r="D91" t="s">
        <v>2799</v>
      </c>
      <c r="E91" t="s">
        <v>53</v>
      </c>
      <c r="F91" s="7">
        <v>16302</v>
      </c>
      <c r="G91" t="s">
        <v>236</v>
      </c>
      <c r="H91" t="s">
        <v>2800</v>
      </c>
      <c r="I91" t="s">
        <v>211</v>
      </c>
      <c r="J91" t="s">
        <v>3727</v>
      </c>
      <c r="K91" t="s">
        <v>225</v>
      </c>
      <c r="L91" t="s">
        <v>265</v>
      </c>
      <c r="M91" t="s">
        <v>2801</v>
      </c>
      <c r="N91" t="s">
        <v>2802</v>
      </c>
      <c r="O91" t="s">
        <v>2803</v>
      </c>
      <c r="P91" t="s">
        <v>2804</v>
      </c>
      <c r="Q91" t="s">
        <v>2805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25">
      <c r="A92">
        <v>278</v>
      </c>
      <c r="B92" t="s">
        <v>2806</v>
      </c>
      <c r="C92" t="s">
        <v>2807</v>
      </c>
      <c r="D92" t="s">
        <v>2808</v>
      </c>
      <c r="E92" t="s">
        <v>53</v>
      </c>
      <c r="F92" s="7">
        <v>15230</v>
      </c>
      <c r="G92" t="s">
        <v>243</v>
      </c>
      <c r="H92" t="s">
        <v>2809</v>
      </c>
      <c r="I92" t="s">
        <v>211</v>
      </c>
      <c r="J92" t="s">
        <v>3727</v>
      </c>
      <c r="K92" t="s">
        <v>225</v>
      </c>
      <c r="L92" t="s">
        <v>265</v>
      </c>
      <c r="M92" t="s">
        <v>2810</v>
      </c>
      <c r="N92" t="s">
        <v>2811</v>
      </c>
      <c r="O92" t="s">
        <v>2812</v>
      </c>
      <c r="P92" t="s">
        <v>2813</v>
      </c>
      <c r="Q92" t="s">
        <v>2814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25">
      <c r="A93">
        <v>279</v>
      </c>
      <c r="B93" t="s">
        <v>2815</v>
      </c>
      <c r="C93" t="s">
        <v>2816</v>
      </c>
      <c r="D93" t="s">
        <v>2817</v>
      </c>
      <c r="E93" t="s">
        <v>66</v>
      </c>
      <c r="F93" s="7">
        <v>33682</v>
      </c>
      <c r="G93" t="s">
        <v>261</v>
      </c>
      <c r="H93" t="s">
        <v>2818</v>
      </c>
      <c r="I93" t="s">
        <v>216</v>
      </c>
      <c r="J93" t="s">
        <v>3727</v>
      </c>
      <c r="K93" t="s">
        <v>225</v>
      </c>
      <c r="L93" t="s">
        <v>265</v>
      </c>
      <c r="M93" t="s">
        <v>2819</v>
      </c>
      <c r="N93" t="s">
        <v>2820</v>
      </c>
      <c r="O93" t="s">
        <v>2821</v>
      </c>
      <c r="P93" t="s">
        <v>2822</v>
      </c>
      <c r="Q93" t="s">
        <v>2823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25">
      <c r="A94">
        <v>280</v>
      </c>
      <c r="B94" t="s">
        <v>332</v>
      </c>
      <c r="C94" t="s">
        <v>333</v>
      </c>
      <c r="D94" t="s">
        <v>2824</v>
      </c>
      <c r="E94" t="s">
        <v>53</v>
      </c>
      <c r="F94" s="7">
        <v>19081</v>
      </c>
      <c r="G94" t="s">
        <v>238</v>
      </c>
      <c r="H94" t="s">
        <v>2825</v>
      </c>
      <c r="I94" t="s">
        <v>205</v>
      </c>
      <c r="J94" t="s">
        <v>3727</v>
      </c>
      <c r="K94" t="s">
        <v>225</v>
      </c>
      <c r="L94" t="s">
        <v>265</v>
      </c>
      <c r="M94" t="s">
        <v>2826</v>
      </c>
      <c r="N94" t="s">
        <v>2827</v>
      </c>
      <c r="O94" t="s">
        <v>2828</v>
      </c>
      <c r="P94" t="s">
        <v>2829</v>
      </c>
      <c r="Q94" t="s">
        <v>2830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25">
      <c r="A95">
        <v>281</v>
      </c>
      <c r="B95" t="s">
        <v>2831</v>
      </c>
      <c r="C95" t="s">
        <v>2832</v>
      </c>
      <c r="D95" t="s">
        <v>2833</v>
      </c>
      <c r="E95" t="s">
        <v>53</v>
      </c>
      <c r="F95" s="7">
        <v>28822</v>
      </c>
      <c r="G95" t="s">
        <v>259</v>
      </c>
      <c r="H95" t="s">
        <v>2834</v>
      </c>
      <c r="I95" t="s">
        <v>222</v>
      </c>
      <c r="J95" t="s">
        <v>3727</v>
      </c>
      <c r="K95" t="s">
        <v>225</v>
      </c>
      <c r="L95" t="s">
        <v>265</v>
      </c>
      <c r="M95" t="s">
        <v>2835</v>
      </c>
      <c r="N95" t="s">
        <v>2836</v>
      </c>
      <c r="O95" t="s">
        <v>2837</v>
      </c>
      <c r="P95" t="s">
        <v>2838</v>
      </c>
      <c r="Q95" t="s">
        <v>2839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25">
      <c r="A96">
        <v>282</v>
      </c>
      <c r="B96" t="s">
        <v>2840</v>
      </c>
      <c r="C96" t="s">
        <v>2841</v>
      </c>
      <c r="D96" t="s">
        <v>2842</v>
      </c>
      <c r="E96" t="s">
        <v>53</v>
      </c>
      <c r="F96" s="7">
        <v>23243</v>
      </c>
      <c r="G96" t="s">
        <v>256</v>
      </c>
      <c r="H96" t="s">
        <v>2843</v>
      </c>
      <c r="I96" t="s">
        <v>218</v>
      </c>
      <c r="J96" t="s">
        <v>3727</v>
      </c>
      <c r="K96" t="s">
        <v>225</v>
      </c>
      <c r="L96" t="s">
        <v>265</v>
      </c>
      <c r="M96" t="s">
        <v>2844</v>
      </c>
      <c r="N96" t="s">
        <v>2845</v>
      </c>
      <c r="O96" t="s">
        <v>2846</v>
      </c>
      <c r="P96" t="s">
        <v>2847</v>
      </c>
      <c r="Q96" t="s">
        <v>2848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25">
      <c r="A97">
        <v>283</v>
      </c>
      <c r="B97" t="s">
        <v>2849</v>
      </c>
      <c r="C97" t="s">
        <v>2850</v>
      </c>
      <c r="D97" t="s">
        <v>2851</v>
      </c>
      <c r="E97" t="s">
        <v>53</v>
      </c>
      <c r="F97" s="7">
        <v>18576</v>
      </c>
      <c r="G97" t="s">
        <v>229</v>
      </c>
      <c r="H97" t="s">
        <v>2852</v>
      </c>
      <c r="I97" t="s">
        <v>211</v>
      </c>
      <c r="J97" t="s">
        <v>3727</v>
      </c>
      <c r="K97" t="s">
        <v>225</v>
      </c>
      <c r="L97" t="s">
        <v>265</v>
      </c>
      <c r="M97" t="s">
        <v>2853</v>
      </c>
      <c r="N97" t="s">
        <v>2854</v>
      </c>
      <c r="O97" t="s">
        <v>2855</v>
      </c>
      <c r="P97" t="s">
        <v>2856</v>
      </c>
      <c r="Q97" t="s">
        <v>2857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25">
      <c r="A98">
        <v>284</v>
      </c>
      <c r="B98" t="s">
        <v>2858</v>
      </c>
      <c r="C98" t="s">
        <v>2859</v>
      </c>
      <c r="D98" t="s">
        <v>2860</v>
      </c>
      <c r="E98" t="s">
        <v>66</v>
      </c>
      <c r="F98" s="7">
        <v>36577</v>
      </c>
      <c r="G98" t="s">
        <v>255</v>
      </c>
      <c r="H98" t="s">
        <v>2861</v>
      </c>
      <c r="I98" t="s">
        <v>210</v>
      </c>
      <c r="J98" t="s">
        <v>3727</v>
      </c>
      <c r="K98" t="s">
        <v>225</v>
      </c>
      <c r="L98" t="s">
        <v>265</v>
      </c>
      <c r="M98" t="s">
        <v>2862</v>
      </c>
      <c r="N98" t="s">
        <v>2863</v>
      </c>
      <c r="O98" t="s">
        <v>2864</v>
      </c>
      <c r="P98" t="s">
        <v>2865</v>
      </c>
      <c r="Q98" t="s">
        <v>2866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25">
      <c r="A99">
        <v>285</v>
      </c>
      <c r="B99" t="s">
        <v>2867</v>
      </c>
      <c r="C99" t="s">
        <v>2868</v>
      </c>
      <c r="D99" t="s">
        <v>2869</v>
      </c>
      <c r="E99" t="s">
        <v>53</v>
      </c>
      <c r="F99" s="7">
        <v>18365</v>
      </c>
      <c r="G99" t="s">
        <v>241</v>
      </c>
      <c r="H99" t="s">
        <v>2870</v>
      </c>
      <c r="I99" t="s">
        <v>211</v>
      </c>
      <c r="J99" t="s">
        <v>3727</v>
      </c>
      <c r="K99" t="s">
        <v>225</v>
      </c>
      <c r="L99" t="s">
        <v>265</v>
      </c>
      <c r="M99" t="s">
        <v>2871</v>
      </c>
      <c r="N99" t="s">
        <v>2872</v>
      </c>
      <c r="O99" t="s">
        <v>2873</v>
      </c>
      <c r="P99" t="s">
        <v>2874</v>
      </c>
      <c r="Q99" t="s">
        <v>2875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25">
      <c r="A100">
        <v>286</v>
      </c>
      <c r="B100" t="s">
        <v>2876</v>
      </c>
      <c r="C100" t="s">
        <v>2877</v>
      </c>
      <c r="D100" t="s">
        <v>2878</v>
      </c>
      <c r="E100" t="s">
        <v>53</v>
      </c>
      <c r="F100" s="7">
        <v>31062</v>
      </c>
      <c r="G100" t="s">
        <v>238</v>
      </c>
      <c r="H100" t="s">
        <v>2879</v>
      </c>
      <c r="I100" t="s">
        <v>201</v>
      </c>
      <c r="J100" t="s">
        <v>3727</v>
      </c>
      <c r="K100" t="s">
        <v>225</v>
      </c>
      <c r="L100" t="s">
        <v>265</v>
      </c>
      <c r="M100" t="s">
        <v>2880</v>
      </c>
      <c r="N100" t="s">
        <v>2881</v>
      </c>
      <c r="O100" t="s">
        <v>2882</v>
      </c>
      <c r="P100" t="s">
        <v>2883</v>
      </c>
      <c r="Q100" t="s">
        <v>2884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25">
      <c r="A101">
        <v>287</v>
      </c>
      <c r="B101" t="s">
        <v>2885</v>
      </c>
      <c r="C101" t="s">
        <v>2886</v>
      </c>
      <c r="D101" t="s">
        <v>2887</v>
      </c>
      <c r="E101" t="s">
        <v>53</v>
      </c>
      <c r="F101" s="7">
        <v>37490</v>
      </c>
      <c r="G101" t="s">
        <v>226</v>
      </c>
      <c r="H101" t="s">
        <v>2888</v>
      </c>
      <c r="I101" t="s">
        <v>211</v>
      </c>
      <c r="J101" t="s">
        <v>3727</v>
      </c>
      <c r="K101" t="s">
        <v>225</v>
      </c>
      <c r="L101" t="s">
        <v>265</v>
      </c>
      <c r="M101" t="s">
        <v>2889</v>
      </c>
      <c r="N101" t="s">
        <v>2890</v>
      </c>
      <c r="O101" t="s">
        <v>2891</v>
      </c>
      <c r="P101" t="s">
        <v>2892</v>
      </c>
      <c r="Q101" t="s">
        <v>2893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25">
      <c r="A102">
        <v>288</v>
      </c>
      <c r="B102" t="s">
        <v>2323</v>
      </c>
      <c r="C102" t="s">
        <v>2324</v>
      </c>
      <c r="D102" t="s">
        <v>2894</v>
      </c>
      <c r="E102" t="s">
        <v>53</v>
      </c>
      <c r="F102" s="7">
        <v>23523</v>
      </c>
      <c r="G102" t="s">
        <v>238</v>
      </c>
      <c r="H102" t="s">
        <v>2895</v>
      </c>
      <c r="I102" t="s">
        <v>211</v>
      </c>
      <c r="J102" t="s">
        <v>3727</v>
      </c>
      <c r="K102" t="s">
        <v>225</v>
      </c>
      <c r="L102" t="s">
        <v>265</v>
      </c>
      <c r="M102" t="s">
        <v>2896</v>
      </c>
      <c r="N102" t="s">
        <v>2897</v>
      </c>
      <c r="O102" t="s">
        <v>2898</v>
      </c>
      <c r="P102" t="s">
        <v>2899</v>
      </c>
      <c r="Q102" t="s">
        <v>2331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25">
      <c r="A103">
        <v>289</v>
      </c>
      <c r="B103" t="s">
        <v>2900</v>
      </c>
      <c r="C103" t="s">
        <v>2901</v>
      </c>
      <c r="D103" t="s">
        <v>2902</v>
      </c>
      <c r="E103" t="s">
        <v>53</v>
      </c>
      <c r="F103" s="7">
        <v>43571</v>
      </c>
      <c r="G103" t="s">
        <v>242</v>
      </c>
      <c r="H103" t="s">
        <v>2903</v>
      </c>
      <c r="I103" t="s">
        <v>211</v>
      </c>
      <c r="J103" t="s">
        <v>3727</v>
      </c>
      <c r="K103" t="s">
        <v>225</v>
      </c>
      <c r="L103" t="s">
        <v>265</v>
      </c>
      <c r="M103" t="s">
        <v>2904</v>
      </c>
      <c r="N103" t="s">
        <v>2905</v>
      </c>
      <c r="O103" t="s">
        <v>2906</v>
      </c>
      <c r="P103" t="s">
        <v>2907</v>
      </c>
      <c r="Q103" t="s">
        <v>2908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25">
      <c r="A104">
        <v>290</v>
      </c>
      <c r="B104" t="s">
        <v>2909</v>
      </c>
      <c r="C104" t="s">
        <v>2910</v>
      </c>
      <c r="D104" t="s">
        <v>2911</v>
      </c>
      <c r="E104" t="s">
        <v>66</v>
      </c>
      <c r="F104" s="7">
        <v>35936</v>
      </c>
      <c r="G104" t="s">
        <v>252</v>
      </c>
      <c r="H104" t="s">
        <v>2912</v>
      </c>
      <c r="I104" t="s">
        <v>217</v>
      </c>
      <c r="J104" t="s">
        <v>3727</v>
      </c>
      <c r="K104" t="s">
        <v>225</v>
      </c>
      <c r="L104" t="s">
        <v>265</v>
      </c>
      <c r="M104" t="s">
        <v>2913</v>
      </c>
      <c r="N104" t="s">
        <v>2914</v>
      </c>
      <c r="O104" t="s">
        <v>2915</v>
      </c>
      <c r="P104" t="s">
        <v>2916</v>
      </c>
      <c r="Q104" t="s">
        <v>2917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25">
      <c r="A105">
        <v>291</v>
      </c>
      <c r="B105" t="s">
        <v>2918</v>
      </c>
      <c r="C105" t="s">
        <v>2919</v>
      </c>
      <c r="D105" t="s">
        <v>2920</v>
      </c>
      <c r="E105" t="s">
        <v>53</v>
      </c>
      <c r="F105" s="7">
        <v>33299</v>
      </c>
      <c r="G105" t="s">
        <v>244</v>
      </c>
      <c r="H105" t="s">
        <v>2921</v>
      </c>
      <c r="I105" t="s">
        <v>217</v>
      </c>
      <c r="J105" t="s">
        <v>3727</v>
      </c>
      <c r="K105" t="s">
        <v>225</v>
      </c>
      <c r="L105" t="s">
        <v>265</v>
      </c>
      <c r="M105" t="s">
        <v>2922</v>
      </c>
      <c r="N105" t="s">
        <v>2923</v>
      </c>
      <c r="O105" t="s">
        <v>2924</v>
      </c>
      <c r="P105" t="s">
        <v>2925</v>
      </c>
      <c r="Q105" t="s">
        <v>2926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25">
      <c r="A106">
        <v>292</v>
      </c>
      <c r="B106" t="s">
        <v>2927</v>
      </c>
      <c r="C106" t="s">
        <v>2928</v>
      </c>
      <c r="D106" t="s">
        <v>2929</v>
      </c>
      <c r="E106" t="s">
        <v>66</v>
      </c>
      <c r="F106" s="7">
        <v>12890</v>
      </c>
      <c r="G106" t="s">
        <v>236</v>
      </c>
      <c r="H106" t="s">
        <v>2930</v>
      </c>
      <c r="I106" t="s">
        <v>215</v>
      </c>
      <c r="J106" t="s">
        <v>3727</v>
      </c>
      <c r="K106" t="s">
        <v>225</v>
      </c>
      <c r="L106" t="s">
        <v>265</v>
      </c>
      <c r="M106" t="s">
        <v>2931</v>
      </c>
      <c r="N106" t="s">
        <v>2932</v>
      </c>
      <c r="O106" t="s">
        <v>2933</v>
      </c>
      <c r="P106" t="s">
        <v>2934</v>
      </c>
      <c r="Q106" t="s">
        <v>2935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25">
      <c r="A107">
        <v>293</v>
      </c>
      <c r="B107" t="s">
        <v>326</v>
      </c>
      <c r="C107" t="s">
        <v>327</v>
      </c>
      <c r="D107" t="s">
        <v>2936</v>
      </c>
      <c r="E107" t="s">
        <v>53</v>
      </c>
      <c r="F107" s="7">
        <v>39911</v>
      </c>
      <c r="G107" t="s">
        <v>247</v>
      </c>
      <c r="H107" t="s">
        <v>2937</v>
      </c>
      <c r="I107" t="s">
        <v>218</v>
      </c>
      <c r="J107" t="s">
        <v>3727</v>
      </c>
      <c r="K107" t="s">
        <v>225</v>
      </c>
      <c r="L107" t="s">
        <v>265</v>
      </c>
      <c r="M107" t="s">
        <v>2938</v>
      </c>
      <c r="N107" t="s">
        <v>2939</v>
      </c>
      <c r="O107" t="s">
        <v>2940</v>
      </c>
      <c r="P107" t="s">
        <v>2941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25">
      <c r="A108">
        <v>294</v>
      </c>
      <c r="B108" t="s">
        <v>2942</v>
      </c>
      <c r="C108" t="s">
        <v>2943</v>
      </c>
      <c r="D108" t="s">
        <v>2944</v>
      </c>
      <c r="E108" t="s">
        <v>53</v>
      </c>
      <c r="F108" s="7">
        <v>24416</v>
      </c>
      <c r="G108" t="s">
        <v>250</v>
      </c>
      <c r="H108" t="s">
        <v>2945</v>
      </c>
      <c r="I108" t="s">
        <v>210</v>
      </c>
      <c r="J108" t="s">
        <v>3727</v>
      </c>
      <c r="K108" t="s">
        <v>225</v>
      </c>
      <c r="L108" t="s">
        <v>265</v>
      </c>
      <c r="M108" t="s">
        <v>2946</v>
      </c>
      <c r="N108" t="s">
        <v>2947</v>
      </c>
      <c r="O108" t="s">
        <v>2948</v>
      </c>
      <c r="P108" t="s">
        <v>2949</v>
      </c>
      <c r="Q108" t="s">
        <v>2950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25">
      <c r="A109">
        <v>295</v>
      </c>
      <c r="B109" t="s">
        <v>2951</v>
      </c>
      <c r="C109" t="s">
        <v>2952</v>
      </c>
      <c r="D109" t="s">
        <v>2953</v>
      </c>
      <c r="E109" t="s">
        <v>53</v>
      </c>
      <c r="F109" s="7">
        <v>33423</v>
      </c>
      <c r="G109" t="s">
        <v>246</v>
      </c>
      <c r="H109" t="s">
        <v>2954</v>
      </c>
      <c r="I109" t="s">
        <v>211</v>
      </c>
      <c r="J109" t="s">
        <v>3727</v>
      </c>
      <c r="K109" t="s">
        <v>225</v>
      </c>
      <c r="L109" t="s">
        <v>265</v>
      </c>
      <c r="M109" t="s">
        <v>2955</v>
      </c>
      <c r="N109" t="s">
        <v>2956</v>
      </c>
      <c r="O109" t="s">
        <v>2957</v>
      </c>
      <c r="P109" t="s">
        <v>2958</v>
      </c>
      <c r="Q109" t="s">
        <v>2959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25">
      <c r="A110">
        <v>296</v>
      </c>
      <c r="B110" t="s">
        <v>2960</v>
      </c>
      <c r="C110" t="s">
        <v>2961</v>
      </c>
      <c r="D110" t="s">
        <v>2962</v>
      </c>
      <c r="E110" t="s">
        <v>66</v>
      </c>
      <c r="F110" s="7">
        <v>9013</v>
      </c>
      <c r="G110" t="s">
        <v>263</v>
      </c>
      <c r="H110" t="s">
        <v>2963</v>
      </c>
      <c r="I110" t="s">
        <v>211</v>
      </c>
      <c r="J110" t="s">
        <v>3727</v>
      </c>
      <c r="K110" t="s">
        <v>225</v>
      </c>
      <c r="L110" t="s">
        <v>265</v>
      </c>
      <c r="M110" t="s">
        <v>2964</v>
      </c>
      <c r="N110" t="s">
        <v>2965</v>
      </c>
      <c r="O110" t="s">
        <v>2966</v>
      </c>
      <c r="P110" t="s">
        <v>2967</v>
      </c>
      <c r="Q110" t="s">
        <v>2968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25">
      <c r="A111">
        <v>297</v>
      </c>
      <c r="B111" t="s">
        <v>301</v>
      </c>
      <c r="C111" t="s">
        <v>302</v>
      </c>
      <c r="D111" t="s">
        <v>2969</v>
      </c>
      <c r="E111" t="s">
        <v>53</v>
      </c>
      <c r="F111" s="7">
        <v>34653</v>
      </c>
      <c r="G111" t="s">
        <v>254</v>
      </c>
      <c r="H111" t="s">
        <v>2970</v>
      </c>
      <c r="I111" t="s">
        <v>211</v>
      </c>
      <c r="J111" t="s">
        <v>3727</v>
      </c>
      <c r="K111" t="s">
        <v>225</v>
      </c>
      <c r="L111" t="s">
        <v>265</v>
      </c>
      <c r="M111" t="s">
        <v>2971</v>
      </c>
      <c r="N111" t="s">
        <v>2972</v>
      </c>
      <c r="O111" t="s">
        <v>2973</v>
      </c>
      <c r="P111" t="s">
        <v>2974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25">
      <c r="A112">
        <v>298</v>
      </c>
      <c r="B112" t="s">
        <v>2034</v>
      </c>
      <c r="C112" t="s">
        <v>2035</v>
      </c>
      <c r="D112" t="s">
        <v>2975</v>
      </c>
      <c r="E112" t="s">
        <v>66</v>
      </c>
      <c r="F112" s="7">
        <v>11305</v>
      </c>
      <c r="G112" t="s">
        <v>249</v>
      </c>
      <c r="H112" t="s">
        <v>2976</v>
      </c>
      <c r="I112" t="s">
        <v>211</v>
      </c>
      <c r="J112" t="s">
        <v>3727</v>
      </c>
      <c r="K112" t="s">
        <v>225</v>
      </c>
      <c r="L112" t="s">
        <v>265</v>
      </c>
      <c r="M112" t="s">
        <v>2977</v>
      </c>
      <c r="N112" t="s">
        <v>2978</v>
      </c>
      <c r="O112" t="s">
        <v>2979</v>
      </c>
      <c r="P112" t="s">
        <v>2980</v>
      </c>
      <c r="Q112" t="s">
        <v>2981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25">
      <c r="A113">
        <v>299</v>
      </c>
      <c r="B113" t="s">
        <v>2982</v>
      </c>
      <c r="C113" t="s">
        <v>2983</v>
      </c>
      <c r="D113" t="s">
        <v>2984</v>
      </c>
      <c r="E113" t="s">
        <v>66</v>
      </c>
      <c r="F113" s="7">
        <v>13043</v>
      </c>
      <c r="G113" t="s">
        <v>232</v>
      </c>
      <c r="H113" t="s">
        <v>2985</v>
      </c>
      <c r="I113" t="s">
        <v>211</v>
      </c>
      <c r="J113" t="s">
        <v>3727</v>
      </c>
      <c r="K113" t="s">
        <v>225</v>
      </c>
      <c r="L113" t="s">
        <v>265</v>
      </c>
      <c r="M113" t="s">
        <v>2986</v>
      </c>
      <c r="N113" t="s">
        <v>2987</v>
      </c>
      <c r="O113" t="s">
        <v>2988</v>
      </c>
      <c r="P113" t="s">
        <v>2989</v>
      </c>
      <c r="Q113" t="s">
        <v>2990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25">
      <c r="A114">
        <v>300</v>
      </c>
      <c r="B114" t="s">
        <v>2991</v>
      </c>
      <c r="C114" t="s">
        <v>2992</v>
      </c>
      <c r="D114" t="s">
        <v>2993</v>
      </c>
      <c r="E114" t="s">
        <v>66</v>
      </c>
      <c r="F114" s="7">
        <v>43678</v>
      </c>
      <c r="G114" t="s">
        <v>244</v>
      </c>
      <c r="H114" t="s">
        <v>2994</v>
      </c>
      <c r="I114" t="s">
        <v>211</v>
      </c>
      <c r="J114" t="s">
        <v>3727</v>
      </c>
      <c r="K114" t="s">
        <v>225</v>
      </c>
      <c r="L114" t="s">
        <v>265</v>
      </c>
      <c r="M114" t="s">
        <v>2995</v>
      </c>
      <c r="N114" t="s">
        <v>2996</v>
      </c>
      <c r="O114" t="s">
        <v>2997</v>
      </c>
      <c r="P114" t="s">
        <v>2998</v>
      </c>
      <c r="Q114" t="s">
        <v>2999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25">
      <c r="A115">
        <v>301</v>
      </c>
      <c r="B115" t="s">
        <v>3000</v>
      </c>
      <c r="C115" t="s">
        <v>3001</v>
      </c>
      <c r="D115" t="s">
        <v>3002</v>
      </c>
      <c r="E115" t="s">
        <v>66</v>
      </c>
      <c r="F115" s="7">
        <v>16742</v>
      </c>
      <c r="G115" t="s">
        <v>256</v>
      </c>
      <c r="H115" t="s">
        <v>3003</v>
      </c>
      <c r="I115" t="s">
        <v>211</v>
      </c>
      <c r="J115" t="s">
        <v>3727</v>
      </c>
      <c r="K115" t="s">
        <v>225</v>
      </c>
      <c r="L115" t="s">
        <v>265</v>
      </c>
      <c r="M115" t="s">
        <v>3004</v>
      </c>
      <c r="N115" t="s">
        <v>3005</v>
      </c>
      <c r="O115" t="s">
        <v>3006</v>
      </c>
      <c r="P115" t="s">
        <v>3007</v>
      </c>
      <c r="Q115" t="s">
        <v>3008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25">
      <c r="A116">
        <v>302</v>
      </c>
      <c r="B116" t="s">
        <v>3009</v>
      </c>
      <c r="C116" t="s">
        <v>3010</v>
      </c>
      <c r="D116" t="s">
        <v>3011</v>
      </c>
      <c r="E116" t="s">
        <v>66</v>
      </c>
      <c r="F116" s="7">
        <v>31845</v>
      </c>
      <c r="G116" t="s">
        <v>250</v>
      </c>
      <c r="H116" t="s">
        <v>3012</v>
      </c>
      <c r="I116" t="s">
        <v>211</v>
      </c>
      <c r="J116" t="s">
        <v>3727</v>
      </c>
      <c r="K116" t="s">
        <v>225</v>
      </c>
      <c r="L116" t="s">
        <v>265</v>
      </c>
      <c r="M116" t="s">
        <v>3013</v>
      </c>
      <c r="N116" t="s">
        <v>3014</v>
      </c>
      <c r="O116" t="s">
        <v>3015</v>
      </c>
      <c r="P116" t="s">
        <v>3016</v>
      </c>
      <c r="Q116" t="s">
        <v>3017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25">
      <c r="A117">
        <v>303</v>
      </c>
      <c r="B117" t="s">
        <v>3018</v>
      </c>
      <c r="C117" t="s">
        <v>3019</v>
      </c>
      <c r="D117" t="s">
        <v>3020</v>
      </c>
      <c r="E117" t="s">
        <v>66</v>
      </c>
      <c r="F117" s="7">
        <v>13451</v>
      </c>
      <c r="G117" t="s">
        <v>260</v>
      </c>
      <c r="H117" t="s">
        <v>3021</v>
      </c>
      <c r="I117" t="s">
        <v>208</v>
      </c>
      <c r="J117" t="s">
        <v>3727</v>
      </c>
      <c r="K117" t="s">
        <v>225</v>
      </c>
      <c r="L117" t="s">
        <v>265</v>
      </c>
      <c r="M117" t="s">
        <v>3022</v>
      </c>
      <c r="N117" t="s">
        <v>3023</v>
      </c>
      <c r="O117" t="s">
        <v>3024</v>
      </c>
      <c r="P117" t="s">
        <v>3025</v>
      </c>
      <c r="Q117" t="s">
        <v>3026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25">
      <c r="A118">
        <v>304</v>
      </c>
      <c r="B118" t="s">
        <v>304</v>
      </c>
      <c r="C118" t="s">
        <v>305</v>
      </c>
      <c r="D118" t="s">
        <v>3027</v>
      </c>
      <c r="E118" t="s">
        <v>53</v>
      </c>
      <c r="F118" s="7">
        <v>13647</v>
      </c>
      <c r="G118" t="s">
        <v>242</v>
      </c>
      <c r="H118" t="s">
        <v>3028</v>
      </c>
      <c r="I118" t="s">
        <v>211</v>
      </c>
      <c r="J118" t="s">
        <v>3727</v>
      </c>
      <c r="K118" t="s">
        <v>225</v>
      </c>
      <c r="L118" t="s">
        <v>265</v>
      </c>
      <c r="M118" t="s">
        <v>3029</v>
      </c>
      <c r="N118" t="s">
        <v>3030</v>
      </c>
      <c r="O118" t="s">
        <v>3031</v>
      </c>
      <c r="P118" t="s">
        <v>3032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25">
      <c r="A119">
        <v>305</v>
      </c>
      <c r="B119" t="s">
        <v>315</v>
      </c>
      <c r="C119" t="s">
        <v>316</v>
      </c>
      <c r="D119" t="s">
        <v>3033</v>
      </c>
      <c r="E119" t="s">
        <v>53</v>
      </c>
      <c r="F119" s="7">
        <v>33045</v>
      </c>
      <c r="G119" t="s">
        <v>244</v>
      </c>
      <c r="H119" t="s">
        <v>3034</v>
      </c>
      <c r="I119" t="s">
        <v>216</v>
      </c>
      <c r="J119" t="s">
        <v>3727</v>
      </c>
      <c r="K119" t="s">
        <v>225</v>
      </c>
      <c r="L119" t="s">
        <v>265</v>
      </c>
      <c r="M119" t="s">
        <v>3035</v>
      </c>
      <c r="N119" t="s">
        <v>3036</v>
      </c>
      <c r="O119" t="s">
        <v>3037</v>
      </c>
      <c r="P119" t="s">
        <v>3038</v>
      </c>
      <c r="Q119" t="s">
        <v>3039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25">
      <c r="A120">
        <v>306</v>
      </c>
      <c r="B120" t="s">
        <v>3040</v>
      </c>
      <c r="C120" t="s">
        <v>3041</v>
      </c>
      <c r="D120" t="s">
        <v>3042</v>
      </c>
      <c r="E120" t="s">
        <v>53</v>
      </c>
      <c r="F120" s="7">
        <v>18446</v>
      </c>
      <c r="G120" t="s">
        <v>253</v>
      </c>
      <c r="H120" t="s">
        <v>3043</v>
      </c>
      <c r="I120" t="s">
        <v>208</v>
      </c>
      <c r="J120" t="s">
        <v>3727</v>
      </c>
      <c r="K120" t="s">
        <v>225</v>
      </c>
      <c r="L120" t="s">
        <v>265</v>
      </c>
      <c r="M120" t="s">
        <v>3044</v>
      </c>
      <c r="N120" t="s">
        <v>3045</v>
      </c>
      <c r="O120" t="s">
        <v>3046</v>
      </c>
      <c r="P120" t="s">
        <v>3047</v>
      </c>
      <c r="Q120" t="s">
        <v>3048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25">
      <c r="A121">
        <v>307</v>
      </c>
      <c r="B121" t="s">
        <v>3049</v>
      </c>
      <c r="C121" t="s">
        <v>3050</v>
      </c>
      <c r="D121" t="s">
        <v>3051</v>
      </c>
      <c r="E121" t="s">
        <v>66</v>
      </c>
      <c r="F121" s="7">
        <v>28450</v>
      </c>
      <c r="G121" t="s">
        <v>237</v>
      </c>
      <c r="H121" t="s">
        <v>3052</v>
      </c>
      <c r="I121" t="s">
        <v>211</v>
      </c>
      <c r="J121" t="s">
        <v>3727</v>
      </c>
      <c r="K121" t="s">
        <v>225</v>
      </c>
      <c r="L121" t="s">
        <v>265</v>
      </c>
      <c r="M121" t="s">
        <v>3053</v>
      </c>
      <c r="N121" t="s">
        <v>3054</v>
      </c>
      <c r="O121" t="s">
        <v>3055</v>
      </c>
      <c r="P121" t="s">
        <v>3056</v>
      </c>
      <c r="Q121" t="s">
        <v>3057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25">
      <c r="A122">
        <v>308</v>
      </c>
      <c r="B122" t="s">
        <v>3058</v>
      </c>
      <c r="C122" t="s">
        <v>3059</v>
      </c>
      <c r="D122" t="s">
        <v>3060</v>
      </c>
      <c r="E122" t="s">
        <v>53</v>
      </c>
      <c r="F122" s="7">
        <v>42428</v>
      </c>
      <c r="G122" t="s">
        <v>229</v>
      </c>
      <c r="H122" t="s">
        <v>3061</v>
      </c>
      <c r="I122" t="s">
        <v>201</v>
      </c>
      <c r="J122" t="s">
        <v>3727</v>
      </c>
      <c r="K122" t="s">
        <v>225</v>
      </c>
      <c r="L122" t="s">
        <v>265</v>
      </c>
      <c r="M122" t="s">
        <v>3062</v>
      </c>
      <c r="N122" t="s">
        <v>3063</v>
      </c>
      <c r="O122" t="s">
        <v>3064</v>
      </c>
      <c r="P122" t="s">
        <v>3065</v>
      </c>
      <c r="Q122" t="s">
        <v>3066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25">
      <c r="A123">
        <v>309</v>
      </c>
      <c r="B123" t="s">
        <v>3067</v>
      </c>
      <c r="C123" t="s">
        <v>3068</v>
      </c>
      <c r="D123" t="s">
        <v>3069</v>
      </c>
      <c r="E123" t="s">
        <v>66</v>
      </c>
      <c r="F123" s="7">
        <v>43463</v>
      </c>
      <c r="G123" t="s">
        <v>235</v>
      </c>
      <c r="H123" t="s">
        <v>3070</v>
      </c>
      <c r="I123" t="s">
        <v>205</v>
      </c>
      <c r="J123" t="s">
        <v>3727</v>
      </c>
      <c r="K123" t="s">
        <v>225</v>
      </c>
      <c r="L123" t="s">
        <v>265</v>
      </c>
      <c r="M123" t="s">
        <v>3071</v>
      </c>
      <c r="N123" t="s">
        <v>3072</v>
      </c>
      <c r="O123" t="s">
        <v>3073</v>
      </c>
      <c r="P123" t="s">
        <v>3074</v>
      </c>
      <c r="Q123" t="s">
        <v>3075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25">
      <c r="A124">
        <v>310</v>
      </c>
      <c r="B124" t="s">
        <v>3076</v>
      </c>
      <c r="C124" t="s">
        <v>3077</v>
      </c>
      <c r="D124" t="s">
        <v>3078</v>
      </c>
      <c r="E124" t="s">
        <v>53</v>
      </c>
      <c r="F124" s="7">
        <v>8971</v>
      </c>
      <c r="G124" t="s">
        <v>228</v>
      </c>
      <c r="H124" t="s">
        <v>3079</v>
      </c>
      <c r="I124" t="s">
        <v>210</v>
      </c>
      <c r="J124" t="s">
        <v>3727</v>
      </c>
      <c r="K124" t="s">
        <v>225</v>
      </c>
      <c r="L124" t="s">
        <v>265</v>
      </c>
      <c r="M124" t="s">
        <v>3080</v>
      </c>
      <c r="N124" t="s">
        <v>3081</v>
      </c>
      <c r="O124" t="s">
        <v>3082</v>
      </c>
      <c r="P124" t="s">
        <v>3083</v>
      </c>
      <c r="Q124" t="s">
        <v>3084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25">
      <c r="A125">
        <v>311</v>
      </c>
      <c r="B125" t="s">
        <v>3085</v>
      </c>
      <c r="C125" t="s">
        <v>3086</v>
      </c>
      <c r="D125" t="s">
        <v>3087</v>
      </c>
      <c r="E125" t="s">
        <v>53</v>
      </c>
      <c r="F125" s="7">
        <v>13497</v>
      </c>
      <c r="G125" t="s">
        <v>227</v>
      </c>
      <c r="H125" t="s">
        <v>3088</v>
      </c>
      <c r="I125" t="s">
        <v>215</v>
      </c>
      <c r="J125" t="s">
        <v>3727</v>
      </c>
      <c r="K125" t="s">
        <v>225</v>
      </c>
      <c r="L125" t="s">
        <v>265</v>
      </c>
      <c r="M125" t="s">
        <v>3089</v>
      </c>
      <c r="N125" t="s">
        <v>3090</v>
      </c>
      <c r="O125" t="s">
        <v>3091</v>
      </c>
      <c r="P125" t="s">
        <v>3092</v>
      </c>
      <c r="Q125" t="s">
        <v>3093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25">
      <c r="A126">
        <v>312</v>
      </c>
      <c r="B126" t="s">
        <v>3094</v>
      </c>
      <c r="C126" t="s">
        <v>3095</v>
      </c>
      <c r="D126" t="s">
        <v>3096</v>
      </c>
      <c r="E126" t="s">
        <v>53</v>
      </c>
      <c r="F126" s="7">
        <v>25240</v>
      </c>
      <c r="G126" t="s">
        <v>243</v>
      </c>
      <c r="H126" t="s">
        <v>3097</v>
      </c>
      <c r="I126" t="s">
        <v>210</v>
      </c>
      <c r="J126" t="s">
        <v>3727</v>
      </c>
      <c r="K126" t="s">
        <v>225</v>
      </c>
      <c r="L126" t="s">
        <v>265</v>
      </c>
      <c r="M126" t="s">
        <v>3098</v>
      </c>
      <c r="N126" t="s">
        <v>3099</v>
      </c>
      <c r="O126" t="s">
        <v>3100</v>
      </c>
      <c r="P126" t="s">
        <v>3101</v>
      </c>
      <c r="Q126" t="s">
        <v>3102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25">
      <c r="A127">
        <v>313</v>
      </c>
      <c r="B127" t="s">
        <v>3103</v>
      </c>
      <c r="C127" t="s">
        <v>3104</v>
      </c>
      <c r="D127" t="s">
        <v>3105</v>
      </c>
      <c r="E127" t="s">
        <v>66</v>
      </c>
      <c r="F127" s="7">
        <v>16827</v>
      </c>
      <c r="G127" t="s">
        <v>244</v>
      </c>
      <c r="H127" t="s">
        <v>3106</v>
      </c>
      <c r="I127" t="s">
        <v>222</v>
      </c>
      <c r="J127" t="s">
        <v>3727</v>
      </c>
      <c r="K127" t="s">
        <v>225</v>
      </c>
      <c r="L127" t="s">
        <v>265</v>
      </c>
      <c r="M127" t="s">
        <v>3107</v>
      </c>
      <c r="N127" t="s">
        <v>3108</v>
      </c>
      <c r="O127" t="s">
        <v>3109</v>
      </c>
      <c r="P127" t="s">
        <v>3110</v>
      </c>
      <c r="Q127" t="s">
        <v>3111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25">
      <c r="A128">
        <v>314</v>
      </c>
      <c r="B128" t="s">
        <v>3112</v>
      </c>
      <c r="C128" t="s">
        <v>3113</v>
      </c>
      <c r="D128" t="s">
        <v>3114</v>
      </c>
      <c r="E128" t="s">
        <v>66</v>
      </c>
      <c r="F128" s="7">
        <v>14246</v>
      </c>
      <c r="G128" t="s">
        <v>261</v>
      </c>
      <c r="H128" t="s">
        <v>3115</v>
      </c>
      <c r="I128" t="s">
        <v>209</v>
      </c>
      <c r="J128" t="s">
        <v>3727</v>
      </c>
      <c r="K128" t="s">
        <v>225</v>
      </c>
      <c r="L128" t="s">
        <v>265</v>
      </c>
      <c r="M128" t="s">
        <v>3116</v>
      </c>
      <c r="N128" t="s">
        <v>3117</v>
      </c>
      <c r="O128" t="s">
        <v>3118</v>
      </c>
      <c r="P128" t="s">
        <v>3119</v>
      </c>
      <c r="Q128" t="s">
        <v>3120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25">
      <c r="A129">
        <v>315</v>
      </c>
      <c r="B129" t="s">
        <v>3121</v>
      </c>
      <c r="C129" t="s">
        <v>3122</v>
      </c>
      <c r="D129" t="s">
        <v>3123</v>
      </c>
      <c r="E129" t="s">
        <v>53</v>
      </c>
      <c r="F129" s="7">
        <v>43342</v>
      </c>
      <c r="G129" t="s">
        <v>231</v>
      </c>
      <c r="H129" t="s">
        <v>3124</v>
      </c>
      <c r="I129" t="s">
        <v>223</v>
      </c>
      <c r="J129" t="s">
        <v>3727</v>
      </c>
      <c r="K129" t="s">
        <v>225</v>
      </c>
      <c r="L129" t="s">
        <v>265</v>
      </c>
      <c r="M129" t="s">
        <v>3125</v>
      </c>
      <c r="N129" t="s">
        <v>3126</v>
      </c>
      <c r="O129" t="s">
        <v>3127</v>
      </c>
      <c r="P129" t="s">
        <v>3128</v>
      </c>
      <c r="Q129" t="s">
        <v>3129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25">
      <c r="A130">
        <v>316</v>
      </c>
      <c r="B130" t="s">
        <v>2401</v>
      </c>
      <c r="C130" t="s">
        <v>2402</v>
      </c>
      <c r="D130" t="s">
        <v>3130</v>
      </c>
      <c r="E130" t="s">
        <v>66</v>
      </c>
      <c r="F130" s="7">
        <v>37343</v>
      </c>
      <c r="G130" t="s">
        <v>234</v>
      </c>
      <c r="H130" t="s">
        <v>3131</v>
      </c>
      <c r="I130" t="s">
        <v>223</v>
      </c>
      <c r="J130" t="s">
        <v>3727</v>
      </c>
      <c r="K130" t="s">
        <v>225</v>
      </c>
      <c r="L130" t="s">
        <v>265</v>
      </c>
      <c r="M130" t="s">
        <v>3132</v>
      </c>
      <c r="N130" t="s">
        <v>3133</v>
      </c>
      <c r="O130" t="s">
        <v>3134</v>
      </c>
      <c r="P130" t="s">
        <v>3135</v>
      </c>
      <c r="Q130" t="s">
        <v>3136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25">
      <c r="A131">
        <v>317</v>
      </c>
      <c r="B131" t="s">
        <v>3137</v>
      </c>
      <c r="C131" t="s">
        <v>3138</v>
      </c>
      <c r="D131" t="s">
        <v>3139</v>
      </c>
      <c r="E131" t="s">
        <v>53</v>
      </c>
      <c r="F131" s="7">
        <v>35503</v>
      </c>
      <c r="G131" t="s">
        <v>254</v>
      </c>
      <c r="H131" t="s">
        <v>3140</v>
      </c>
      <c r="I131" t="s">
        <v>201</v>
      </c>
      <c r="J131" t="s">
        <v>3727</v>
      </c>
      <c r="K131" t="s">
        <v>225</v>
      </c>
      <c r="L131" t="s">
        <v>265</v>
      </c>
      <c r="M131" t="s">
        <v>3141</v>
      </c>
      <c r="N131" t="s">
        <v>3142</v>
      </c>
      <c r="O131" t="s">
        <v>3143</v>
      </c>
      <c r="P131" t="s">
        <v>3144</v>
      </c>
      <c r="Q131" t="s">
        <v>3145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25">
      <c r="A132">
        <v>318</v>
      </c>
      <c r="B132" t="s">
        <v>3146</v>
      </c>
      <c r="C132" t="s">
        <v>3147</v>
      </c>
      <c r="D132" t="s">
        <v>3148</v>
      </c>
      <c r="E132" t="s">
        <v>53</v>
      </c>
      <c r="F132" s="7">
        <v>10487</v>
      </c>
      <c r="G132" t="s">
        <v>261</v>
      </c>
      <c r="H132" t="s">
        <v>3149</v>
      </c>
      <c r="I132" t="s">
        <v>211</v>
      </c>
      <c r="J132" t="s">
        <v>3727</v>
      </c>
      <c r="K132" t="s">
        <v>225</v>
      </c>
      <c r="L132" t="s">
        <v>265</v>
      </c>
      <c r="M132" t="s">
        <v>3150</v>
      </c>
      <c r="N132" t="s">
        <v>3151</v>
      </c>
      <c r="O132" t="s">
        <v>3152</v>
      </c>
      <c r="P132" t="s">
        <v>3153</v>
      </c>
      <c r="Q132" t="s">
        <v>3154</v>
      </c>
      <c r="R132" t="str">
        <f t="shared" si="6"/>
        <v>user-male.jpg</v>
      </c>
      <c r="U132" t="str">
        <f t="shared" ref="U132:U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25">
      <c r="A133">
        <v>319</v>
      </c>
      <c r="B133" t="s">
        <v>3155</v>
      </c>
      <c r="C133" t="s">
        <v>3156</v>
      </c>
      <c r="D133" t="s">
        <v>3157</v>
      </c>
      <c r="E133" t="s">
        <v>66</v>
      </c>
      <c r="F133" s="7">
        <v>20453</v>
      </c>
      <c r="G133" t="s">
        <v>245</v>
      </c>
      <c r="H133" t="s">
        <v>3158</v>
      </c>
      <c r="I133" t="s">
        <v>211</v>
      </c>
      <c r="J133" t="s">
        <v>3727</v>
      </c>
      <c r="K133" t="s">
        <v>225</v>
      </c>
      <c r="L133" t="s">
        <v>265</v>
      </c>
      <c r="M133" t="s">
        <v>3159</v>
      </c>
      <c r="N133" t="s">
        <v>3160</v>
      </c>
      <c r="O133" t="s">
        <v>3161</v>
      </c>
      <c r="P133" t="s">
        <v>3162</v>
      </c>
      <c r="Q133" t="s">
        <v>3163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25">
      <c r="A134">
        <v>320</v>
      </c>
      <c r="B134" t="s">
        <v>3164</v>
      </c>
      <c r="C134" t="s">
        <v>3165</v>
      </c>
      <c r="D134" t="s">
        <v>3166</v>
      </c>
      <c r="E134" t="s">
        <v>53</v>
      </c>
      <c r="F134" s="7">
        <v>43922</v>
      </c>
      <c r="G134" t="s">
        <v>252</v>
      </c>
      <c r="H134" t="s">
        <v>3167</v>
      </c>
      <c r="I134" t="s">
        <v>211</v>
      </c>
      <c r="J134" t="s">
        <v>3727</v>
      </c>
      <c r="K134" t="s">
        <v>225</v>
      </c>
      <c r="L134" t="s">
        <v>265</v>
      </c>
      <c r="M134" t="s">
        <v>3168</v>
      </c>
      <c r="N134" t="s">
        <v>3169</v>
      </c>
      <c r="O134" t="s">
        <v>3170</v>
      </c>
      <c r="P134" t="s">
        <v>3171</v>
      </c>
      <c r="Q134" t="s">
        <v>3172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25">
      <c r="A135">
        <v>321</v>
      </c>
      <c r="B135" t="s">
        <v>3173</v>
      </c>
      <c r="C135" t="s">
        <v>3174</v>
      </c>
      <c r="D135" t="s">
        <v>3175</v>
      </c>
      <c r="E135" t="s">
        <v>53</v>
      </c>
      <c r="F135" s="7">
        <v>25320</v>
      </c>
      <c r="G135" t="s">
        <v>260</v>
      </c>
      <c r="H135" t="s">
        <v>3176</v>
      </c>
      <c r="I135" t="s">
        <v>216</v>
      </c>
      <c r="J135" t="s">
        <v>3727</v>
      </c>
      <c r="K135" t="s">
        <v>225</v>
      </c>
      <c r="L135" t="s">
        <v>265</v>
      </c>
      <c r="M135" t="s">
        <v>3177</v>
      </c>
      <c r="N135" t="s">
        <v>3178</v>
      </c>
      <c r="O135" t="s">
        <v>3179</v>
      </c>
      <c r="P135" t="s">
        <v>3180</v>
      </c>
      <c r="Q135" t="s">
        <v>3181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25">
      <c r="A136">
        <v>322</v>
      </c>
      <c r="B136" t="s">
        <v>323</v>
      </c>
      <c r="C136" t="s">
        <v>324</v>
      </c>
      <c r="D136" t="s">
        <v>3182</v>
      </c>
      <c r="E136" t="s">
        <v>66</v>
      </c>
      <c r="F136" s="7">
        <v>20063</v>
      </c>
      <c r="G136" t="s">
        <v>262</v>
      </c>
      <c r="H136" t="s">
        <v>3183</v>
      </c>
      <c r="I136" t="s">
        <v>211</v>
      </c>
      <c r="J136" t="s">
        <v>3727</v>
      </c>
      <c r="K136" t="s">
        <v>225</v>
      </c>
      <c r="L136" t="s">
        <v>265</v>
      </c>
      <c r="M136" t="s">
        <v>3184</v>
      </c>
      <c r="N136" t="s">
        <v>3185</v>
      </c>
      <c r="O136" t="s">
        <v>3186</v>
      </c>
      <c r="P136" t="s">
        <v>3187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25">
      <c r="A137">
        <v>323</v>
      </c>
      <c r="B137" t="s">
        <v>3188</v>
      </c>
      <c r="C137" t="s">
        <v>3189</v>
      </c>
      <c r="D137" t="s">
        <v>3190</v>
      </c>
      <c r="E137" t="s">
        <v>53</v>
      </c>
      <c r="F137" s="7">
        <v>34756</v>
      </c>
      <c r="G137" t="s">
        <v>242</v>
      </c>
      <c r="H137" t="s">
        <v>3191</v>
      </c>
      <c r="I137" t="s">
        <v>209</v>
      </c>
      <c r="J137" t="s">
        <v>3727</v>
      </c>
      <c r="K137" t="s">
        <v>225</v>
      </c>
      <c r="L137" t="s">
        <v>265</v>
      </c>
      <c r="M137" t="s">
        <v>3192</v>
      </c>
      <c r="N137" t="s">
        <v>3193</v>
      </c>
      <c r="O137" t="s">
        <v>3194</v>
      </c>
      <c r="P137" t="s">
        <v>3195</v>
      </c>
      <c r="Q137" t="s">
        <v>3196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25">
      <c r="A138">
        <v>324</v>
      </c>
      <c r="B138" t="s">
        <v>3197</v>
      </c>
      <c r="C138" t="s">
        <v>3198</v>
      </c>
      <c r="D138" t="s">
        <v>3199</v>
      </c>
      <c r="E138" t="s">
        <v>53</v>
      </c>
      <c r="F138" s="7">
        <v>14392</v>
      </c>
      <c r="G138" t="s">
        <v>237</v>
      </c>
      <c r="H138" t="s">
        <v>3200</v>
      </c>
      <c r="I138" t="s">
        <v>211</v>
      </c>
      <c r="J138" t="s">
        <v>3727</v>
      </c>
      <c r="K138" t="s">
        <v>225</v>
      </c>
      <c r="L138" t="s">
        <v>265</v>
      </c>
      <c r="M138" t="s">
        <v>3201</v>
      </c>
      <c r="N138" t="s">
        <v>3202</v>
      </c>
      <c r="O138" t="s">
        <v>3203</v>
      </c>
      <c r="P138" t="s">
        <v>3204</v>
      </c>
      <c r="Q138" t="s">
        <v>3205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25">
      <c r="A139">
        <v>325</v>
      </c>
      <c r="B139" t="s">
        <v>3206</v>
      </c>
      <c r="C139" t="s">
        <v>3207</v>
      </c>
      <c r="D139" t="s">
        <v>3208</v>
      </c>
      <c r="E139" t="s">
        <v>66</v>
      </c>
      <c r="F139" s="7">
        <v>17070</v>
      </c>
      <c r="G139" t="s">
        <v>231</v>
      </c>
      <c r="H139" t="s">
        <v>3209</v>
      </c>
      <c r="I139" t="s">
        <v>205</v>
      </c>
      <c r="J139" t="s">
        <v>3727</v>
      </c>
      <c r="K139" t="s">
        <v>225</v>
      </c>
      <c r="L139" t="s">
        <v>265</v>
      </c>
      <c r="M139" t="s">
        <v>3210</v>
      </c>
      <c r="N139" t="s">
        <v>3211</v>
      </c>
      <c r="O139" t="s">
        <v>3212</v>
      </c>
      <c r="P139" t="s">
        <v>3213</v>
      </c>
      <c r="Q139" t="s">
        <v>3214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25">
      <c r="A140">
        <v>326</v>
      </c>
      <c r="B140" t="s">
        <v>2563</v>
      </c>
      <c r="C140" t="s">
        <v>2564</v>
      </c>
      <c r="D140" t="s">
        <v>3215</v>
      </c>
      <c r="E140" t="s">
        <v>66</v>
      </c>
      <c r="F140" s="7">
        <v>18282</v>
      </c>
      <c r="G140" t="s">
        <v>244</v>
      </c>
      <c r="H140" t="s">
        <v>3216</v>
      </c>
      <c r="I140" t="s">
        <v>211</v>
      </c>
      <c r="J140" t="s">
        <v>3727</v>
      </c>
      <c r="K140" t="s">
        <v>225</v>
      </c>
      <c r="L140" t="s">
        <v>265</v>
      </c>
      <c r="M140" t="s">
        <v>3217</v>
      </c>
      <c r="N140" t="s">
        <v>3218</v>
      </c>
      <c r="O140" t="s">
        <v>3219</v>
      </c>
      <c r="P140" t="s">
        <v>3220</v>
      </c>
      <c r="Q140" t="s">
        <v>3221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25">
      <c r="A141">
        <v>327</v>
      </c>
      <c r="B141" t="s">
        <v>286</v>
      </c>
      <c r="C141" t="s">
        <v>287</v>
      </c>
      <c r="D141" t="s">
        <v>3222</v>
      </c>
      <c r="E141" t="s">
        <v>66</v>
      </c>
      <c r="F141" s="7">
        <v>9562</v>
      </c>
      <c r="G141" t="s">
        <v>228</v>
      </c>
      <c r="H141" t="s">
        <v>3223</v>
      </c>
      <c r="I141" t="s">
        <v>211</v>
      </c>
      <c r="J141" t="s">
        <v>3727</v>
      </c>
      <c r="K141" t="s">
        <v>225</v>
      </c>
      <c r="L141" t="s">
        <v>265</v>
      </c>
      <c r="M141" t="s">
        <v>3224</v>
      </c>
      <c r="N141" t="s">
        <v>3225</v>
      </c>
      <c r="O141" t="s">
        <v>3226</v>
      </c>
      <c r="P141" t="s">
        <v>3227</v>
      </c>
      <c r="Q141" t="s">
        <v>3228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25">
      <c r="A142">
        <v>328</v>
      </c>
      <c r="B142" t="s">
        <v>3229</v>
      </c>
      <c r="C142" t="s">
        <v>3230</v>
      </c>
      <c r="D142" t="s">
        <v>3231</v>
      </c>
      <c r="E142" t="s">
        <v>53</v>
      </c>
      <c r="F142" s="7">
        <v>10733</v>
      </c>
      <c r="G142" t="s">
        <v>244</v>
      </c>
      <c r="H142" t="s">
        <v>3232</v>
      </c>
      <c r="I142" t="s">
        <v>209</v>
      </c>
      <c r="J142" t="s">
        <v>3727</v>
      </c>
      <c r="K142" t="s">
        <v>225</v>
      </c>
      <c r="L142" t="s">
        <v>265</v>
      </c>
      <c r="M142" t="s">
        <v>3233</v>
      </c>
      <c r="N142" t="s">
        <v>3234</v>
      </c>
      <c r="O142" t="s">
        <v>3235</v>
      </c>
      <c r="P142" t="s">
        <v>3236</v>
      </c>
      <c r="Q142" t="s">
        <v>3237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25">
      <c r="A143">
        <v>329</v>
      </c>
      <c r="B143" t="s">
        <v>3238</v>
      </c>
      <c r="C143" t="s">
        <v>3239</v>
      </c>
      <c r="D143" t="s">
        <v>3240</v>
      </c>
      <c r="E143" t="s">
        <v>66</v>
      </c>
      <c r="F143" s="7">
        <v>43003</v>
      </c>
      <c r="G143" t="s">
        <v>252</v>
      </c>
      <c r="H143" t="s">
        <v>3241</v>
      </c>
      <c r="I143" t="s">
        <v>220</v>
      </c>
      <c r="J143" t="s">
        <v>3727</v>
      </c>
      <c r="K143" t="s">
        <v>225</v>
      </c>
      <c r="L143" t="s">
        <v>265</v>
      </c>
      <c r="M143" t="s">
        <v>3242</v>
      </c>
      <c r="N143" t="s">
        <v>3243</v>
      </c>
      <c r="O143" t="s">
        <v>3244</v>
      </c>
      <c r="P143" t="s">
        <v>3245</v>
      </c>
      <c r="Q143" t="s">
        <v>3246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25">
      <c r="A144">
        <v>330</v>
      </c>
      <c r="B144" t="s">
        <v>3247</v>
      </c>
      <c r="C144" t="s">
        <v>3248</v>
      </c>
      <c r="D144" t="s">
        <v>3249</v>
      </c>
      <c r="E144" t="s">
        <v>66</v>
      </c>
      <c r="F144" s="7">
        <v>29468</v>
      </c>
      <c r="G144" t="s">
        <v>252</v>
      </c>
      <c r="H144" t="s">
        <v>3250</v>
      </c>
      <c r="I144" t="s">
        <v>203</v>
      </c>
      <c r="J144" t="s">
        <v>3727</v>
      </c>
      <c r="K144" t="s">
        <v>225</v>
      </c>
      <c r="L144" t="s">
        <v>265</v>
      </c>
      <c r="M144" t="s">
        <v>3251</v>
      </c>
      <c r="N144" t="s">
        <v>3252</v>
      </c>
      <c r="O144" t="s">
        <v>3253</v>
      </c>
      <c r="P144" t="s">
        <v>3254</v>
      </c>
      <c r="Q144" t="s">
        <v>3255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25">
      <c r="A145">
        <v>331</v>
      </c>
      <c r="B145" t="s">
        <v>3256</v>
      </c>
      <c r="C145" t="s">
        <v>3257</v>
      </c>
      <c r="D145" t="s">
        <v>3258</v>
      </c>
      <c r="E145" t="s">
        <v>66</v>
      </c>
      <c r="F145" s="7">
        <v>26648</v>
      </c>
      <c r="G145" t="s">
        <v>245</v>
      </c>
      <c r="H145" t="s">
        <v>3259</v>
      </c>
      <c r="I145" t="s">
        <v>211</v>
      </c>
      <c r="J145" t="s">
        <v>3727</v>
      </c>
      <c r="K145" t="s">
        <v>225</v>
      </c>
      <c r="L145" t="s">
        <v>265</v>
      </c>
      <c r="M145" t="s">
        <v>3260</v>
      </c>
      <c r="N145" t="s">
        <v>3261</v>
      </c>
      <c r="O145" t="s">
        <v>3262</v>
      </c>
      <c r="P145" t="s">
        <v>3263</v>
      </c>
      <c r="Q145" t="s">
        <v>3264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25">
      <c r="A146">
        <v>332</v>
      </c>
      <c r="B146" t="s">
        <v>3265</v>
      </c>
      <c r="C146" t="s">
        <v>3266</v>
      </c>
      <c r="D146" t="s">
        <v>3267</v>
      </c>
      <c r="E146" t="s">
        <v>66</v>
      </c>
      <c r="F146" s="7">
        <v>12366</v>
      </c>
      <c r="G146" t="s">
        <v>233</v>
      </c>
      <c r="H146" t="s">
        <v>3268</v>
      </c>
      <c r="I146" t="s">
        <v>209</v>
      </c>
      <c r="J146" t="s">
        <v>3727</v>
      </c>
      <c r="K146" t="s">
        <v>225</v>
      </c>
      <c r="L146" t="s">
        <v>265</v>
      </c>
      <c r="M146" t="s">
        <v>3269</v>
      </c>
      <c r="N146" t="s">
        <v>3270</v>
      </c>
      <c r="O146" t="s">
        <v>3271</v>
      </c>
      <c r="P146" t="s">
        <v>3272</v>
      </c>
      <c r="Q146" t="s">
        <v>3273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25">
      <c r="A147">
        <v>333</v>
      </c>
      <c r="B147" t="s">
        <v>3274</v>
      </c>
      <c r="C147" t="s">
        <v>3275</v>
      </c>
      <c r="D147" t="s">
        <v>3276</v>
      </c>
      <c r="E147" t="s">
        <v>53</v>
      </c>
      <c r="F147" s="7">
        <v>15788</v>
      </c>
      <c r="G147" t="s">
        <v>246</v>
      </c>
      <c r="H147" t="s">
        <v>3277</v>
      </c>
      <c r="I147" t="s">
        <v>211</v>
      </c>
      <c r="J147" t="s">
        <v>3727</v>
      </c>
      <c r="K147" t="s">
        <v>225</v>
      </c>
      <c r="L147" t="s">
        <v>265</v>
      </c>
      <c r="M147" t="s">
        <v>3278</v>
      </c>
      <c r="N147" t="s">
        <v>3279</v>
      </c>
      <c r="O147" t="s">
        <v>3280</v>
      </c>
      <c r="P147" t="s">
        <v>3281</v>
      </c>
      <c r="Q147" t="s">
        <v>3282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25">
      <c r="A148">
        <v>334</v>
      </c>
      <c r="B148" t="s">
        <v>3283</v>
      </c>
      <c r="C148" t="s">
        <v>3284</v>
      </c>
      <c r="D148" t="s">
        <v>3285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3727</v>
      </c>
      <c r="K148" t="s">
        <v>225</v>
      </c>
      <c r="L148" t="s">
        <v>265</v>
      </c>
      <c r="M148" t="s">
        <v>3286</v>
      </c>
      <c r="N148" t="s">
        <v>3287</v>
      </c>
      <c r="O148" t="s">
        <v>3288</v>
      </c>
      <c r="P148" t="s">
        <v>3289</v>
      </c>
      <c r="Q148" t="s">
        <v>3290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25">
      <c r="A149">
        <v>335</v>
      </c>
      <c r="B149" t="s">
        <v>3291</v>
      </c>
      <c r="C149" t="s">
        <v>3292</v>
      </c>
      <c r="D149" t="s">
        <v>3293</v>
      </c>
      <c r="E149" t="s">
        <v>53</v>
      </c>
      <c r="F149" s="7">
        <v>36735</v>
      </c>
      <c r="G149" t="s">
        <v>235</v>
      </c>
      <c r="H149" t="s">
        <v>3294</v>
      </c>
      <c r="I149" t="s">
        <v>202</v>
      </c>
      <c r="J149" t="s">
        <v>3727</v>
      </c>
      <c r="K149" t="s">
        <v>225</v>
      </c>
      <c r="L149" t="s">
        <v>265</v>
      </c>
      <c r="M149" t="s">
        <v>3295</v>
      </c>
      <c r="N149" t="s">
        <v>3296</v>
      </c>
      <c r="O149" t="s">
        <v>3297</v>
      </c>
      <c r="P149" t="s">
        <v>3298</v>
      </c>
      <c r="Q149" t="s">
        <v>3299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25">
      <c r="A150">
        <v>336</v>
      </c>
      <c r="B150" t="s">
        <v>3300</v>
      </c>
      <c r="C150" t="s">
        <v>3301</v>
      </c>
      <c r="D150" t="s">
        <v>3302</v>
      </c>
      <c r="E150" t="s">
        <v>66</v>
      </c>
      <c r="F150" s="7">
        <v>29002</v>
      </c>
      <c r="G150" t="s">
        <v>232</v>
      </c>
      <c r="H150" t="s">
        <v>3303</v>
      </c>
      <c r="I150" t="s">
        <v>211</v>
      </c>
      <c r="J150" t="s">
        <v>3727</v>
      </c>
      <c r="K150" t="s">
        <v>225</v>
      </c>
      <c r="L150" t="s">
        <v>265</v>
      </c>
      <c r="M150" t="s">
        <v>3304</v>
      </c>
      <c r="N150" t="s">
        <v>3305</v>
      </c>
      <c r="O150" t="s">
        <v>3306</v>
      </c>
      <c r="P150" t="s">
        <v>3307</v>
      </c>
      <c r="Q150" t="s">
        <v>3308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25">
      <c r="A151">
        <v>337</v>
      </c>
      <c r="B151" t="s">
        <v>3309</v>
      </c>
      <c r="C151" t="s">
        <v>3310</v>
      </c>
      <c r="D151" t="s">
        <v>3311</v>
      </c>
      <c r="E151" t="s">
        <v>53</v>
      </c>
      <c r="F151" s="7">
        <v>41285</v>
      </c>
      <c r="G151" t="s">
        <v>229</v>
      </c>
      <c r="H151" t="s">
        <v>3312</v>
      </c>
      <c r="I151" t="s">
        <v>211</v>
      </c>
      <c r="J151" t="s">
        <v>3727</v>
      </c>
      <c r="K151" t="s">
        <v>225</v>
      </c>
      <c r="L151" t="s">
        <v>265</v>
      </c>
      <c r="M151" t="s">
        <v>3313</v>
      </c>
      <c r="N151" t="s">
        <v>3314</v>
      </c>
      <c r="O151" t="s">
        <v>3315</v>
      </c>
      <c r="P151" t="s">
        <v>3316</v>
      </c>
      <c r="Q151" t="s">
        <v>3317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25">
      <c r="A152">
        <v>338</v>
      </c>
      <c r="B152" t="s">
        <v>3318</v>
      </c>
      <c r="C152" t="s">
        <v>3319</v>
      </c>
      <c r="D152" t="s">
        <v>3320</v>
      </c>
      <c r="E152" t="s">
        <v>53</v>
      </c>
      <c r="F152" s="7">
        <v>27590</v>
      </c>
      <c r="G152" t="s">
        <v>261</v>
      </c>
      <c r="H152" t="s">
        <v>3321</v>
      </c>
      <c r="I152" t="s">
        <v>221</v>
      </c>
      <c r="J152" t="s">
        <v>3727</v>
      </c>
      <c r="K152" t="s">
        <v>225</v>
      </c>
      <c r="L152" t="s">
        <v>265</v>
      </c>
      <c r="M152" t="s">
        <v>3322</v>
      </c>
      <c r="N152" t="s">
        <v>3323</v>
      </c>
      <c r="O152" t="s">
        <v>3324</v>
      </c>
      <c r="P152" t="s">
        <v>3325</v>
      </c>
      <c r="Q152" t="s">
        <v>3326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25">
      <c r="A153">
        <v>339</v>
      </c>
      <c r="B153" t="s">
        <v>321</v>
      </c>
      <c r="C153" t="s">
        <v>322</v>
      </c>
      <c r="D153" t="s">
        <v>3327</v>
      </c>
      <c r="E153" t="s">
        <v>53</v>
      </c>
      <c r="F153" s="7">
        <v>30972</v>
      </c>
      <c r="G153" t="s">
        <v>245</v>
      </c>
      <c r="H153" t="s">
        <v>3328</v>
      </c>
      <c r="I153" t="s">
        <v>211</v>
      </c>
      <c r="J153" t="s">
        <v>3727</v>
      </c>
      <c r="K153" t="s">
        <v>225</v>
      </c>
      <c r="L153" t="s">
        <v>265</v>
      </c>
      <c r="M153" t="s">
        <v>3329</v>
      </c>
      <c r="N153" t="s">
        <v>3330</v>
      </c>
      <c r="O153" t="s">
        <v>3331</v>
      </c>
      <c r="P153" t="s">
        <v>3332</v>
      </c>
      <c r="Q153" t="s">
        <v>3333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25">
      <c r="A154">
        <v>340</v>
      </c>
      <c r="B154" t="s">
        <v>3334</v>
      </c>
      <c r="C154" t="s">
        <v>3335</v>
      </c>
      <c r="D154" t="s">
        <v>3336</v>
      </c>
      <c r="E154" t="s">
        <v>53</v>
      </c>
      <c r="F154" s="7">
        <v>9540</v>
      </c>
      <c r="G154" t="s">
        <v>247</v>
      </c>
      <c r="H154" t="s">
        <v>3337</v>
      </c>
      <c r="I154" t="s">
        <v>211</v>
      </c>
      <c r="J154" t="s">
        <v>3727</v>
      </c>
      <c r="K154" t="s">
        <v>225</v>
      </c>
      <c r="L154" t="s">
        <v>265</v>
      </c>
      <c r="M154" t="s">
        <v>3338</v>
      </c>
      <c r="N154" t="s">
        <v>3339</v>
      </c>
      <c r="O154" t="s">
        <v>3340</v>
      </c>
      <c r="P154" t="s">
        <v>3341</v>
      </c>
      <c r="Q154" t="s">
        <v>3342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25">
      <c r="A155">
        <v>341</v>
      </c>
      <c r="B155" t="s">
        <v>3343</v>
      </c>
      <c r="C155" t="s">
        <v>3344</v>
      </c>
      <c r="D155" t="s">
        <v>3345</v>
      </c>
      <c r="E155" t="s">
        <v>53</v>
      </c>
      <c r="F155" s="7">
        <v>9785</v>
      </c>
      <c r="G155" t="s">
        <v>257</v>
      </c>
      <c r="H155" t="s">
        <v>3346</v>
      </c>
      <c r="I155" t="s">
        <v>216</v>
      </c>
      <c r="J155" t="s">
        <v>3727</v>
      </c>
      <c r="K155" t="s">
        <v>225</v>
      </c>
      <c r="L155" t="s">
        <v>265</v>
      </c>
      <c r="M155" t="s">
        <v>3347</v>
      </c>
      <c r="N155" t="s">
        <v>3348</v>
      </c>
      <c r="O155" t="s">
        <v>3349</v>
      </c>
      <c r="P155" t="s">
        <v>3350</v>
      </c>
      <c r="Q155" t="s">
        <v>3351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25">
      <c r="A156">
        <v>342</v>
      </c>
      <c r="B156" t="s">
        <v>298</v>
      </c>
      <c r="C156" t="s">
        <v>299</v>
      </c>
      <c r="D156" t="s">
        <v>3352</v>
      </c>
      <c r="E156" t="s">
        <v>53</v>
      </c>
      <c r="F156" s="7">
        <v>26847</v>
      </c>
      <c r="G156" t="s">
        <v>245</v>
      </c>
      <c r="H156" t="s">
        <v>3353</v>
      </c>
      <c r="I156" t="s">
        <v>222</v>
      </c>
      <c r="J156" t="s">
        <v>3727</v>
      </c>
      <c r="K156" t="s">
        <v>225</v>
      </c>
      <c r="L156" t="s">
        <v>265</v>
      </c>
      <c r="M156" t="s">
        <v>3354</v>
      </c>
      <c r="N156" t="s">
        <v>3355</v>
      </c>
      <c r="O156" t="s">
        <v>3356</v>
      </c>
      <c r="P156" t="s">
        <v>3357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25">
      <c r="A157">
        <v>343</v>
      </c>
      <c r="B157" t="s">
        <v>3358</v>
      </c>
      <c r="C157" t="s">
        <v>3359</v>
      </c>
      <c r="D157" t="s">
        <v>3360</v>
      </c>
      <c r="E157" t="s">
        <v>53</v>
      </c>
      <c r="F157" s="7">
        <v>44029</v>
      </c>
      <c r="G157" t="s">
        <v>241</v>
      </c>
      <c r="H157" t="s">
        <v>3361</v>
      </c>
      <c r="I157" t="s">
        <v>211</v>
      </c>
      <c r="J157" t="s">
        <v>3727</v>
      </c>
      <c r="K157" t="s">
        <v>225</v>
      </c>
      <c r="L157" t="s">
        <v>265</v>
      </c>
      <c r="M157" t="s">
        <v>3362</v>
      </c>
      <c r="N157" t="s">
        <v>3363</v>
      </c>
      <c r="O157" t="s">
        <v>3364</v>
      </c>
      <c r="P157" t="s">
        <v>3365</v>
      </c>
      <c r="Q157" t="s">
        <v>3366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25">
      <c r="A158">
        <v>344</v>
      </c>
      <c r="B158" t="s">
        <v>3367</v>
      </c>
      <c r="C158" t="s">
        <v>3368</v>
      </c>
      <c r="D158" t="s">
        <v>3369</v>
      </c>
      <c r="E158" t="s">
        <v>66</v>
      </c>
      <c r="F158" s="7">
        <v>11043</v>
      </c>
      <c r="G158" t="s">
        <v>243</v>
      </c>
      <c r="H158" t="s">
        <v>3370</v>
      </c>
      <c r="I158" t="s">
        <v>210</v>
      </c>
      <c r="J158" t="s">
        <v>3727</v>
      </c>
      <c r="K158" t="s">
        <v>225</v>
      </c>
      <c r="L158" t="s">
        <v>265</v>
      </c>
      <c r="M158" t="s">
        <v>3371</v>
      </c>
      <c r="N158" t="s">
        <v>3372</v>
      </c>
      <c r="O158" t="s">
        <v>3373</v>
      </c>
      <c r="P158" t="s">
        <v>3374</v>
      </c>
      <c r="Q158" t="s">
        <v>3375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25">
      <c r="A159">
        <v>345</v>
      </c>
      <c r="B159" t="s">
        <v>309</v>
      </c>
      <c r="C159" t="s">
        <v>310</v>
      </c>
      <c r="D159" t="s">
        <v>3376</v>
      </c>
      <c r="E159" t="s">
        <v>53</v>
      </c>
      <c r="F159" s="7">
        <v>28184</v>
      </c>
      <c r="G159" t="s">
        <v>257</v>
      </c>
      <c r="H159" t="s">
        <v>3377</v>
      </c>
      <c r="I159" t="s">
        <v>213</v>
      </c>
      <c r="J159" t="s">
        <v>3727</v>
      </c>
      <c r="K159" t="s">
        <v>225</v>
      </c>
      <c r="L159" t="s">
        <v>265</v>
      </c>
      <c r="M159" t="s">
        <v>3378</v>
      </c>
      <c r="N159" t="s">
        <v>3379</v>
      </c>
      <c r="O159" t="s">
        <v>3380</v>
      </c>
      <c r="P159" t="s">
        <v>3381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25">
      <c r="A160">
        <v>346</v>
      </c>
      <c r="B160" t="s">
        <v>3382</v>
      </c>
      <c r="C160" t="s">
        <v>3383</v>
      </c>
      <c r="D160" t="s">
        <v>3384</v>
      </c>
      <c r="E160" t="s">
        <v>66</v>
      </c>
      <c r="F160" s="7">
        <v>20148</v>
      </c>
      <c r="G160" t="s">
        <v>229</v>
      </c>
      <c r="H160" t="s">
        <v>3385</v>
      </c>
      <c r="I160" t="s">
        <v>202</v>
      </c>
      <c r="J160" t="s">
        <v>3727</v>
      </c>
      <c r="K160" t="s">
        <v>225</v>
      </c>
      <c r="L160" t="s">
        <v>265</v>
      </c>
      <c r="M160" t="s">
        <v>3386</v>
      </c>
      <c r="N160" t="s">
        <v>3387</v>
      </c>
      <c r="O160" t="s">
        <v>3388</v>
      </c>
      <c r="P160" t="s">
        <v>3389</v>
      </c>
      <c r="Q160" t="s">
        <v>3390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25">
      <c r="A161">
        <v>347</v>
      </c>
      <c r="B161" t="s">
        <v>307</v>
      </c>
      <c r="C161" t="s">
        <v>308</v>
      </c>
      <c r="D161" t="s">
        <v>3391</v>
      </c>
      <c r="E161" t="s">
        <v>53</v>
      </c>
      <c r="F161" s="7">
        <v>40822</v>
      </c>
      <c r="G161" t="s">
        <v>253</v>
      </c>
      <c r="H161" t="s">
        <v>3392</v>
      </c>
      <c r="I161" t="s">
        <v>211</v>
      </c>
      <c r="J161" t="s">
        <v>3727</v>
      </c>
      <c r="K161" t="s">
        <v>225</v>
      </c>
      <c r="L161" t="s">
        <v>265</v>
      </c>
      <c r="M161" t="s">
        <v>3393</v>
      </c>
      <c r="N161" t="s">
        <v>3394</v>
      </c>
      <c r="O161" t="s">
        <v>3395</v>
      </c>
      <c r="P161" t="s">
        <v>3396</v>
      </c>
      <c r="Q161" t="s">
        <v>3397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25">
      <c r="A162">
        <v>348</v>
      </c>
      <c r="B162" t="s">
        <v>3398</v>
      </c>
      <c r="C162" t="s">
        <v>3399</v>
      </c>
      <c r="D162" t="s">
        <v>3400</v>
      </c>
      <c r="E162" t="s">
        <v>53</v>
      </c>
      <c r="F162" s="7">
        <v>24061</v>
      </c>
      <c r="G162" t="s">
        <v>244</v>
      </c>
      <c r="H162" t="s">
        <v>3401</v>
      </c>
      <c r="I162" t="s">
        <v>211</v>
      </c>
      <c r="J162" t="s">
        <v>3727</v>
      </c>
      <c r="K162" t="s">
        <v>225</v>
      </c>
      <c r="L162" t="s">
        <v>265</v>
      </c>
      <c r="M162" t="s">
        <v>3402</v>
      </c>
      <c r="N162" t="s">
        <v>3403</v>
      </c>
      <c r="O162" t="s">
        <v>3404</v>
      </c>
      <c r="P162" t="s">
        <v>3405</v>
      </c>
      <c r="Q162" t="s">
        <v>3406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25">
      <c r="A163">
        <v>349</v>
      </c>
      <c r="B163" t="s">
        <v>3407</v>
      </c>
      <c r="C163" t="s">
        <v>3408</v>
      </c>
      <c r="D163" t="s">
        <v>3409</v>
      </c>
      <c r="E163" t="s">
        <v>66</v>
      </c>
      <c r="F163" s="7">
        <v>29777</v>
      </c>
      <c r="G163" t="s">
        <v>262</v>
      </c>
      <c r="H163" t="s">
        <v>3410</v>
      </c>
      <c r="I163" t="s">
        <v>211</v>
      </c>
      <c r="J163" t="s">
        <v>3727</v>
      </c>
      <c r="K163" t="s">
        <v>225</v>
      </c>
      <c r="L163" t="s">
        <v>265</v>
      </c>
      <c r="M163" t="s">
        <v>3411</v>
      </c>
      <c r="N163" t="s">
        <v>3412</v>
      </c>
      <c r="O163" t="s">
        <v>3413</v>
      </c>
      <c r="P163" t="s">
        <v>3414</v>
      </c>
      <c r="Q163" t="s">
        <v>3415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25">
      <c r="A164">
        <v>350</v>
      </c>
      <c r="B164" t="s">
        <v>3416</v>
      </c>
      <c r="C164" t="s">
        <v>3417</v>
      </c>
      <c r="D164" t="s">
        <v>3418</v>
      </c>
      <c r="E164" t="s">
        <v>66</v>
      </c>
      <c r="F164" s="7">
        <v>22302</v>
      </c>
      <c r="G164" t="s">
        <v>262</v>
      </c>
      <c r="H164" t="s">
        <v>3419</v>
      </c>
      <c r="I164" t="s">
        <v>202</v>
      </c>
      <c r="J164" t="s">
        <v>3727</v>
      </c>
      <c r="K164" t="s">
        <v>225</v>
      </c>
      <c r="L164" t="s">
        <v>265</v>
      </c>
      <c r="M164" t="s">
        <v>3420</v>
      </c>
      <c r="N164" t="s">
        <v>3421</v>
      </c>
      <c r="O164" t="s">
        <v>3422</v>
      </c>
      <c r="P164" t="s">
        <v>3423</v>
      </c>
      <c r="Q164" t="s">
        <v>3424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25">
      <c r="A165">
        <v>351</v>
      </c>
      <c r="B165" t="s">
        <v>312</v>
      </c>
      <c r="C165" t="s">
        <v>313</v>
      </c>
      <c r="D165" t="s">
        <v>3425</v>
      </c>
      <c r="E165" t="s">
        <v>66</v>
      </c>
      <c r="F165" s="7">
        <v>44419</v>
      </c>
      <c r="G165" t="s">
        <v>262</v>
      </c>
      <c r="H165" t="s">
        <v>3426</v>
      </c>
      <c r="I165" t="s">
        <v>211</v>
      </c>
      <c r="J165" t="s">
        <v>3727</v>
      </c>
      <c r="K165" t="s">
        <v>225</v>
      </c>
      <c r="L165" t="s">
        <v>265</v>
      </c>
      <c r="M165" t="s">
        <v>3427</v>
      </c>
      <c r="N165" t="s">
        <v>3428</v>
      </c>
      <c r="O165" t="s">
        <v>3429</v>
      </c>
      <c r="P165" t="s">
        <v>3430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25">
      <c r="A166">
        <v>352</v>
      </c>
      <c r="B166" t="s">
        <v>288</v>
      </c>
      <c r="C166" t="s">
        <v>289</v>
      </c>
      <c r="D166" t="s">
        <v>3431</v>
      </c>
      <c r="E166" t="s">
        <v>66</v>
      </c>
      <c r="F166" s="7">
        <v>11307</v>
      </c>
      <c r="G166" t="s">
        <v>227</v>
      </c>
      <c r="H166" t="s">
        <v>3432</v>
      </c>
      <c r="I166" t="s">
        <v>217</v>
      </c>
      <c r="J166" t="s">
        <v>3727</v>
      </c>
      <c r="K166" t="s">
        <v>225</v>
      </c>
      <c r="L166" t="s">
        <v>265</v>
      </c>
      <c r="M166" t="s">
        <v>3433</v>
      </c>
      <c r="N166" t="s">
        <v>3434</v>
      </c>
      <c r="O166" t="s">
        <v>3435</v>
      </c>
      <c r="P166" t="s">
        <v>3436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25">
      <c r="A167">
        <v>353</v>
      </c>
      <c r="B167" t="s">
        <v>3437</v>
      </c>
      <c r="C167" t="s">
        <v>3438</v>
      </c>
      <c r="D167" t="s">
        <v>3439</v>
      </c>
      <c r="E167" t="s">
        <v>66</v>
      </c>
      <c r="F167" s="7">
        <v>31637</v>
      </c>
      <c r="G167" t="s">
        <v>259</v>
      </c>
      <c r="H167" t="s">
        <v>3440</v>
      </c>
      <c r="I167" t="s">
        <v>206</v>
      </c>
      <c r="J167" t="s">
        <v>3727</v>
      </c>
      <c r="K167" t="s">
        <v>225</v>
      </c>
      <c r="L167" t="s">
        <v>265</v>
      </c>
      <c r="M167" t="s">
        <v>3441</v>
      </c>
      <c r="N167" t="s">
        <v>3442</v>
      </c>
      <c r="O167" t="s">
        <v>3443</v>
      </c>
      <c r="P167" t="s">
        <v>3444</v>
      </c>
      <c r="Q167" t="s">
        <v>3445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25">
      <c r="A168">
        <v>354</v>
      </c>
      <c r="B168" t="s">
        <v>3446</v>
      </c>
      <c r="C168" t="s">
        <v>3447</v>
      </c>
      <c r="D168" t="s">
        <v>3448</v>
      </c>
      <c r="E168" t="s">
        <v>53</v>
      </c>
      <c r="F168" s="7">
        <v>42520</v>
      </c>
      <c r="G168" t="s">
        <v>233</v>
      </c>
      <c r="H168" t="s">
        <v>3449</v>
      </c>
      <c r="I168" t="s">
        <v>201</v>
      </c>
      <c r="J168" t="s">
        <v>3727</v>
      </c>
      <c r="K168" t="s">
        <v>225</v>
      </c>
      <c r="L168" t="s">
        <v>265</v>
      </c>
      <c r="M168" t="s">
        <v>3450</v>
      </c>
      <c r="N168" t="s">
        <v>3451</v>
      </c>
      <c r="O168" t="s">
        <v>3452</v>
      </c>
      <c r="P168" t="s">
        <v>3453</v>
      </c>
      <c r="Q168" t="s">
        <v>3454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25">
      <c r="A169">
        <v>355</v>
      </c>
      <c r="B169" t="s">
        <v>2942</v>
      </c>
      <c r="C169" t="s">
        <v>2943</v>
      </c>
      <c r="D169" t="s">
        <v>3455</v>
      </c>
      <c r="E169" t="s">
        <v>53</v>
      </c>
      <c r="F169" s="7">
        <v>37371</v>
      </c>
      <c r="G169" t="s">
        <v>247</v>
      </c>
      <c r="H169" t="s">
        <v>3456</v>
      </c>
      <c r="I169" t="s">
        <v>210</v>
      </c>
      <c r="J169" t="s">
        <v>3727</v>
      </c>
      <c r="K169" t="s">
        <v>225</v>
      </c>
      <c r="L169" t="s">
        <v>265</v>
      </c>
      <c r="M169" t="s">
        <v>3457</v>
      </c>
      <c r="N169" t="s">
        <v>3458</v>
      </c>
      <c r="O169" t="s">
        <v>3459</v>
      </c>
      <c r="P169" t="s">
        <v>3460</v>
      </c>
      <c r="Q169" t="s">
        <v>3461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25">
      <c r="A170">
        <v>356</v>
      </c>
      <c r="B170" t="s">
        <v>3462</v>
      </c>
      <c r="C170" t="s">
        <v>3463</v>
      </c>
      <c r="D170" t="s">
        <v>3464</v>
      </c>
      <c r="E170" t="s">
        <v>53</v>
      </c>
      <c r="F170" s="7">
        <v>19794</v>
      </c>
      <c r="G170" t="s">
        <v>233</v>
      </c>
      <c r="H170" t="s">
        <v>3465</v>
      </c>
      <c r="I170" t="s">
        <v>213</v>
      </c>
      <c r="J170" t="s">
        <v>3727</v>
      </c>
      <c r="K170" t="s">
        <v>225</v>
      </c>
      <c r="L170" t="s">
        <v>265</v>
      </c>
      <c r="M170" t="s">
        <v>3466</v>
      </c>
      <c r="N170" t="s">
        <v>3467</v>
      </c>
      <c r="O170" t="s">
        <v>3468</v>
      </c>
      <c r="P170" t="s">
        <v>3469</v>
      </c>
      <c r="Q170" t="s">
        <v>3470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25">
      <c r="A171">
        <v>357</v>
      </c>
      <c r="B171" t="s">
        <v>3471</v>
      </c>
      <c r="C171" t="s">
        <v>3472</v>
      </c>
      <c r="D171" t="s">
        <v>3473</v>
      </c>
      <c r="E171" t="s">
        <v>66</v>
      </c>
      <c r="F171" s="7">
        <v>18245</v>
      </c>
      <c r="G171" t="s">
        <v>259</v>
      </c>
      <c r="H171" t="s">
        <v>3474</v>
      </c>
      <c r="I171" t="s">
        <v>222</v>
      </c>
      <c r="J171" t="s">
        <v>3727</v>
      </c>
      <c r="K171" t="s">
        <v>225</v>
      </c>
      <c r="L171" t="s">
        <v>265</v>
      </c>
      <c r="M171" t="s">
        <v>3475</v>
      </c>
      <c r="N171" t="s">
        <v>3476</v>
      </c>
      <c r="O171" t="s">
        <v>3477</v>
      </c>
      <c r="P171" t="s">
        <v>3478</v>
      </c>
      <c r="Q171" t="s">
        <v>3479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25">
      <c r="A172">
        <v>358</v>
      </c>
      <c r="B172" t="s">
        <v>3480</v>
      </c>
      <c r="C172" t="s">
        <v>3481</v>
      </c>
      <c r="D172" t="s">
        <v>3482</v>
      </c>
      <c r="E172" t="s">
        <v>66</v>
      </c>
      <c r="F172" s="7">
        <v>36726</v>
      </c>
      <c r="G172" t="s">
        <v>248</v>
      </c>
      <c r="H172" t="s">
        <v>3483</v>
      </c>
      <c r="I172" t="s">
        <v>223</v>
      </c>
      <c r="J172" t="s">
        <v>3727</v>
      </c>
      <c r="K172" t="s">
        <v>225</v>
      </c>
      <c r="L172" t="s">
        <v>265</v>
      </c>
      <c r="M172" t="s">
        <v>3484</v>
      </c>
      <c r="N172" t="s">
        <v>3485</v>
      </c>
      <c r="O172" t="s">
        <v>3486</v>
      </c>
      <c r="P172" t="s">
        <v>3487</v>
      </c>
      <c r="Q172" t="s">
        <v>3488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25">
      <c r="A173">
        <v>359</v>
      </c>
      <c r="B173" t="s">
        <v>3206</v>
      </c>
      <c r="C173" t="s">
        <v>3207</v>
      </c>
      <c r="D173" t="s">
        <v>3489</v>
      </c>
      <c r="E173" t="s">
        <v>66</v>
      </c>
      <c r="F173" s="7">
        <v>21504</v>
      </c>
      <c r="G173" t="s">
        <v>237</v>
      </c>
      <c r="H173" t="s">
        <v>3490</v>
      </c>
      <c r="I173" t="s">
        <v>205</v>
      </c>
      <c r="J173" t="s">
        <v>3727</v>
      </c>
      <c r="K173" t="s">
        <v>225</v>
      </c>
      <c r="L173" t="s">
        <v>265</v>
      </c>
      <c r="M173" t="s">
        <v>3491</v>
      </c>
      <c r="N173" t="s">
        <v>3492</v>
      </c>
      <c r="O173" t="s">
        <v>3493</v>
      </c>
      <c r="P173" t="s">
        <v>3494</v>
      </c>
      <c r="Q173" t="s">
        <v>3495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25">
      <c r="A174">
        <v>360</v>
      </c>
      <c r="B174" t="s">
        <v>3496</v>
      </c>
      <c r="C174" t="s">
        <v>3497</v>
      </c>
      <c r="D174" t="s">
        <v>3498</v>
      </c>
      <c r="E174" t="s">
        <v>66</v>
      </c>
      <c r="F174" s="7">
        <v>20070</v>
      </c>
      <c r="G174" t="s">
        <v>232</v>
      </c>
      <c r="H174" t="s">
        <v>3499</v>
      </c>
      <c r="I174" t="s">
        <v>210</v>
      </c>
      <c r="J174" t="s">
        <v>3727</v>
      </c>
      <c r="K174" t="s">
        <v>225</v>
      </c>
      <c r="L174" t="s">
        <v>265</v>
      </c>
      <c r="M174" t="s">
        <v>3500</v>
      </c>
      <c r="N174" t="s">
        <v>3501</v>
      </c>
      <c r="O174" t="s">
        <v>3502</v>
      </c>
      <c r="P174" t="s">
        <v>3503</v>
      </c>
      <c r="Q174" t="s">
        <v>3504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25">
      <c r="A175">
        <v>361</v>
      </c>
      <c r="B175" t="s">
        <v>3505</v>
      </c>
      <c r="C175" t="s">
        <v>3506</v>
      </c>
      <c r="D175" t="s">
        <v>3507</v>
      </c>
      <c r="E175" t="s">
        <v>53</v>
      </c>
      <c r="F175" s="7">
        <v>24653</v>
      </c>
      <c r="G175" t="s">
        <v>256</v>
      </c>
      <c r="H175" t="s">
        <v>3508</v>
      </c>
      <c r="I175" t="s">
        <v>223</v>
      </c>
      <c r="J175" t="s">
        <v>3727</v>
      </c>
      <c r="K175" t="s">
        <v>225</v>
      </c>
      <c r="L175" t="s">
        <v>265</v>
      </c>
      <c r="M175" t="s">
        <v>3509</v>
      </c>
      <c r="N175" t="s">
        <v>3510</v>
      </c>
      <c r="O175" t="s">
        <v>3511</v>
      </c>
      <c r="P175" t="s">
        <v>3512</v>
      </c>
      <c r="Q175" t="s">
        <v>3513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25">
      <c r="A176">
        <v>362</v>
      </c>
      <c r="B176" t="s">
        <v>2720</v>
      </c>
      <c r="C176" t="s">
        <v>2721</v>
      </c>
      <c r="D176" t="s">
        <v>3514</v>
      </c>
      <c r="E176" t="s">
        <v>53</v>
      </c>
      <c r="F176" s="7">
        <v>43783</v>
      </c>
      <c r="G176" t="s">
        <v>246</v>
      </c>
      <c r="H176" t="s">
        <v>3515</v>
      </c>
      <c r="I176" t="s">
        <v>211</v>
      </c>
      <c r="J176" t="s">
        <v>3727</v>
      </c>
      <c r="K176" t="s">
        <v>225</v>
      </c>
      <c r="L176" t="s">
        <v>265</v>
      </c>
      <c r="M176" t="s">
        <v>3516</v>
      </c>
      <c r="N176" t="s">
        <v>3517</v>
      </c>
      <c r="O176" t="s">
        <v>3518</v>
      </c>
      <c r="P176" t="s">
        <v>3519</v>
      </c>
      <c r="Q176" t="s">
        <v>3520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25">
      <c r="A177">
        <v>363</v>
      </c>
      <c r="B177" t="s">
        <v>3521</v>
      </c>
      <c r="C177" t="s">
        <v>3522</v>
      </c>
      <c r="D177" t="s">
        <v>3523</v>
      </c>
      <c r="E177" t="s">
        <v>53</v>
      </c>
      <c r="F177" s="7">
        <v>36076</v>
      </c>
      <c r="G177" t="s">
        <v>226</v>
      </c>
      <c r="H177" t="s">
        <v>3524</v>
      </c>
      <c r="I177" t="s">
        <v>211</v>
      </c>
      <c r="J177" t="s">
        <v>3727</v>
      </c>
      <c r="K177" t="s">
        <v>225</v>
      </c>
      <c r="L177" t="s">
        <v>265</v>
      </c>
      <c r="M177" t="s">
        <v>3525</v>
      </c>
      <c r="N177" t="s">
        <v>3526</v>
      </c>
      <c r="O177" t="s">
        <v>3527</v>
      </c>
      <c r="P177" t="s">
        <v>3528</v>
      </c>
      <c r="Q177" t="s">
        <v>3529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25">
      <c r="A178">
        <v>364</v>
      </c>
      <c r="B178" t="s">
        <v>3530</v>
      </c>
      <c r="C178" t="s">
        <v>3531</v>
      </c>
      <c r="D178" t="s">
        <v>3532</v>
      </c>
      <c r="E178" t="s">
        <v>66</v>
      </c>
      <c r="F178" s="7">
        <v>25872</v>
      </c>
      <c r="G178" t="s">
        <v>257</v>
      </c>
      <c r="H178" t="s">
        <v>3533</v>
      </c>
      <c r="I178" t="s">
        <v>207</v>
      </c>
      <c r="J178" t="s">
        <v>3727</v>
      </c>
      <c r="K178" t="s">
        <v>225</v>
      </c>
      <c r="L178" t="s">
        <v>265</v>
      </c>
      <c r="M178" t="s">
        <v>3534</v>
      </c>
      <c r="N178" t="s">
        <v>3535</v>
      </c>
      <c r="O178" t="s">
        <v>3536</v>
      </c>
      <c r="P178" t="s">
        <v>3537</v>
      </c>
      <c r="Q178" t="s">
        <v>3538</v>
      </c>
      <c r="R178" s="3" t="s">
        <v>3732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25">
      <c r="A179">
        <v>365</v>
      </c>
      <c r="B179" t="s">
        <v>3539</v>
      </c>
      <c r="C179" t="s">
        <v>3540</v>
      </c>
      <c r="D179" t="s">
        <v>3541</v>
      </c>
      <c r="E179" t="s">
        <v>53</v>
      </c>
      <c r="F179" s="7">
        <v>30608</v>
      </c>
      <c r="G179" t="s">
        <v>236</v>
      </c>
      <c r="H179" t="s">
        <v>3542</v>
      </c>
      <c r="I179" t="s">
        <v>213</v>
      </c>
      <c r="J179" t="s">
        <v>3727</v>
      </c>
      <c r="K179" t="s">
        <v>225</v>
      </c>
      <c r="L179" t="s">
        <v>265</v>
      </c>
      <c r="M179" t="s">
        <v>3543</v>
      </c>
      <c r="N179" t="s">
        <v>3544</v>
      </c>
      <c r="O179" t="s">
        <v>3545</v>
      </c>
      <c r="P179" t="s">
        <v>3546</v>
      </c>
      <c r="Q179" t="s">
        <v>3547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25">
      <c r="A180">
        <v>366</v>
      </c>
      <c r="B180" t="s">
        <v>3548</v>
      </c>
      <c r="C180" t="s">
        <v>3549</v>
      </c>
      <c r="D180" t="s">
        <v>3550</v>
      </c>
      <c r="E180" t="s">
        <v>53</v>
      </c>
      <c r="F180" s="7">
        <v>22927</v>
      </c>
      <c r="G180" t="s">
        <v>241</v>
      </c>
      <c r="H180" t="s">
        <v>3551</v>
      </c>
      <c r="I180" t="s">
        <v>211</v>
      </c>
      <c r="J180" t="s">
        <v>3727</v>
      </c>
      <c r="K180" t="s">
        <v>225</v>
      </c>
      <c r="L180" t="s">
        <v>265</v>
      </c>
      <c r="M180" t="s">
        <v>3552</v>
      </c>
      <c r="N180" t="s">
        <v>3553</v>
      </c>
      <c r="O180" t="s">
        <v>3554</v>
      </c>
      <c r="P180" t="s">
        <v>3555</v>
      </c>
      <c r="Q180" t="s">
        <v>3556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25">
      <c r="A181">
        <v>367</v>
      </c>
      <c r="B181" t="s">
        <v>318</v>
      </c>
      <c r="C181" t="s">
        <v>319</v>
      </c>
      <c r="D181" t="s">
        <v>3557</v>
      </c>
      <c r="E181" t="s">
        <v>66</v>
      </c>
      <c r="F181" s="7">
        <v>42761</v>
      </c>
      <c r="G181" t="s">
        <v>229</v>
      </c>
      <c r="H181" t="s">
        <v>3558</v>
      </c>
      <c r="I181" t="s">
        <v>217</v>
      </c>
      <c r="J181" t="s">
        <v>3727</v>
      </c>
      <c r="K181" t="s">
        <v>225</v>
      </c>
      <c r="L181" t="s">
        <v>265</v>
      </c>
      <c r="M181" t="s">
        <v>3559</v>
      </c>
      <c r="N181" t="s">
        <v>3560</v>
      </c>
      <c r="O181" t="s">
        <v>3561</v>
      </c>
      <c r="P181" t="s">
        <v>3562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25">
      <c r="A182">
        <v>368</v>
      </c>
      <c r="B182" t="s">
        <v>3563</v>
      </c>
      <c r="C182" t="s">
        <v>3564</v>
      </c>
      <c r="D182" t="s">
        <v>3565</v>
      </c>
      <c r="E182" t="s">
        <v>53</v>
      </c>
      <c r="F182" s="7">
        <v>13720</v>
      </c>
      <c r="G182" t="s">
        <v>242</v>
      </c>
      <c r="H182" t="s">
        <v>3566</v>
      </c>
      <c r="I182" t="s">
        <v>209</v>
      </c>
      <c r="J182" t="s">
        <v>3727</v>
      </c>
      <c r="K182" t="s">
        <v>225</v>
      </c>
      <c r="L182" t="s">
        <v>265</v>
      </c>
      <c r="M182" t="s">
        <v>3567</v>
      </c>
      <c r="N182" t="s">
        <v>3568</v>
      </c>
      <c r="O182" t="s">
        <v>3569</v>
      </c>
      <c r="P182" t="s">
        <v>3570</v>
      </c>
      <c r="Q182" t="s">
        <v>3571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25">
      <c r="A183">
        <v>369</v>
      </c>
      <c r="B183" t="s">
        <v>3572</v>
      </c>
      <c r="C183" t="s">
        <v>3573</v>
      </c>
      <c r="D183" t="s">
        <v>3574</v>
      </c>
      <c r="E183" t="s">
        <v>53</v>
      </c>
      <c r="F183" s="7">
        <v>31325</v>
      </c>
      <c r="G183" t="s">
        <v>250</v>
      </c>
      <c r="H183" t="s">
        <v>3575</v>
      </c>
      <c r="I183" t="s">
        <v>211</v>
      </c>
      <c r="J183" t="s">
        <v>3727</v>
      </c>
      <c r="K183" t="s">
        <v>225</v>
      </c>
      <c r="L183" t="s">
        <v>265</v>
      </c>
      <c r="M183" t="s">
        <v>3576</v>
      </c>
      <c r="N183" t="s">
        <v>3577</v>
      </c>
      <c r="O183" t="s">
        <v>3578</v>
      </c>
      <c r="P183" t="s">
        <v>3579</v>
      </c>
      <c r="Q183" t="s">
        <v>3580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25">
      <c r="A184">
        <v>370</v>
      </c>
      <c r="B184" t="s">
        <v>2102</v>
      </c>
      <c r="C184" t="s">
        <v>2103</v>
      </c>
      <c r="D184" t="s">
        <v>3581</v>
      </c>
      <c r="E184" t="s">
        <v>66</v>
      </c>
      <c r="F184" s="7">
        <v>21600</v>
      </c>
      <c r="G184" t="s">
        <v>234</v>
      </c>
      <c r="H184" t="s">
        <v>3582</v>
      </c>
      <c r="I184" t="s">
        <v>209</v>
      </c>
      <c r="J184" t="s">
        <v>3727</v>
      </c>
      <c r="K184" t="s">
        <v>225</v>
      </c>
      <c r="L184" t="s">
        <v>265</v>
      </c>
      <c r="M184" t="s">
        <v>3583</v>
      </c>
      <c r="N184" t="s">
        <v>3584</v>
      </c>
      <c r="O184" t="s">
        <v>3585</v>
      </c>
      <c r="P184" t="s">
        <v>3586</v>
      </c>
      <c r="Q184" t="s">
        <v>3587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25">
      <c r="A185">
        <v>371</v>
      </c>
      <c r="B185" t="s">
        <v>3588</v>
      </c>
      <c r="C185" t="s">
        <v>3589</v>
      </c>
      <c r="D185" t="s">
        <v>3590</v>
      </c>
      <c r="E185" t="s">
        <v>66</v>
      </c>
      <c r="F185" s="7">
        <v>42111</v>
      </c>
      <c r="G185" t="s">
        <v>235</v>
      </c>
      <c r="H185" t="s">
        <v>3591</v>
      </c>
      <c r="I185" t="s">
        <v>211</v>
      </c>
      <c r="J185" t="s">
        <v>3727</v>
      </c>
      <c r="K185" t="s">
        <v>225</v>
      </c>
      <c r="L185" t="s">
        <v>265</v>
      </c>
      <c r="M185" t="s">
        <v>3592</v>
      </c>
      <c r="N185" t="s">
        <v>3593</v>
      </c>
      <c r="O185" t="s">
        <v>3594</v>
      </c>
      <c r="P185" t="s">
        <v>3595</v>
      </c>
      <c r="Q185" t="s">
        <v>3596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25">
      <c r="A186">
        <v>372</v>
      </c>
      <c r="B186" t="s">
        <v>3597</v>
      </c>
      <c r="C186" t="s">
        <v>3598</v>
      </c>
      <c r="D186" t="s">
        <v>3599</v>
      </c>
      <c r="E186" t="s">
        <v>66</v>
      </c>
      <c r="F186" s="7">
        <v>30832</v>
      </c>
      <c r="G186" t="s">
        <v>259</v>
      </c>
      <c r="H186" t="s">
        <v>3600</v>
      </c>
      <c r="I186" t="s">
        <v>204</v>
      </c>
      <c r="J186" t="s">
        <v>3727</v>
      </c>
      <c r="K186" t="s">
        <v>225</v>
      </c>
      <c r="L186" t="s">
        <v>265</v>
      </c>
      <c r="M186" t="s">
        <v>3601</v>
      </c>
      <c r="N186" t="s">
        <v>3602</v>
      </c>
      <c r="O186" t="s">
        <v>3603</v>
      </c>
      <c r="P186" t="s">
        <v>3604</v>
      </c>
      <c r="Q186" t="s">
        <v>3605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25">
      <c r="A187">
        <v>373</v>
      </c>
      <c r="B187" t="s">
        <v>3606</v>
      </c>
      <c r="C187" t="s">
        <v>3607</v>
      </c>
      <c r="D187" t="s">
        <v>3608</v>
      </c>
      <c r="E187" t="s">
        <v>53</v>
      </c>
      <c r="F187" s="7">
        <v>39033</v>
      </c>
      <c r="G187" t="s">
        <v>230</v>
      </c>
      <c r="H187" t="s">
        <v>3609</v>
      </c>
      <c r="I187" t="s">
        <v>211</v>
      </c>
      <c r="J187" t="s">
        <v>3727</v>
      </c>
      <c r="K187" t="s">
        <v>225</v>
      </c>
      <c r="L187" t="s">
        <v>265</v>
      </c>
      <c r="M187" t="s">
        <v>3610</v>
      </c>
      <c r="N187" t="s">
        <v>3611</v>
      </c>
      <c r="O187" t="s">
        <v>3612</v>
      </c>
      <c r="P187" t="s">
        <v>3613</v>
      </c>
      <c r="Q187" t="s">
        <v>3614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25">
      <c r="A188">
        <v>374</v>
      </c>
      <c r="B188" t="s">
        <v>3615</v>
      </c>
      <c r="C188" t="s">
        <v>3616</v>
      </c>
      <c r="D188" t="s">
        <v>3617</v>
      </c>
      <c r="E188" t="s">
        <v>66</v>
      </c>
      <c r="F188" s="7">
        <v>27447</v>
      </c>
      <c r="G188" t="s">
        <v>251</v>
      </c>
      <c r="H188" t="s">
        <v>3618</v>
      </c>
      <c r="I188" t="s">
        <v>211</v>
      </c>
      <c r="J188" t="s">
        <v>3727</v>
      </c>
      <c r="K188" t="s">
        <v>225</v>
      </c>
      <c r="L188" t="s">
        <v>265</v>
      </c>
      <c r="M188" t="s">
        <v>3619</v>
      </c>
      <c r="N188" t="s">
        <v>3620</v>
      </c>
      <c r="O188" t="s">
        <v>3621</v>
      </c>
      <c r="P188" t="s">
        <v>3622</v>
      </c>
      <c r="Q188" t="s">
        <v>3623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25">
      <c r="A189">
        <v>375</v>
      </c>
      <c r="B189" t="s">
        <v>3624</v>
      </c>
      <c r="C189" t="s">
        <v>3625</v>
      </c>
      <c r="D189" t="s">
        <v>3626</v>
      </c>
      <c r="E189" t="s">
        <v>53</v>
      </c>
      <c r="F189" s="7">
        <v>19510</v>
      </c>
      <c r="G189" t="s">
        <v>244</v>
      </c>
      <c r="H189" t="s">
        <v>3627</v>
      </c>
      <c r="I189" t="s">
        <v>201</v>
      </c>
      <c r="J189" t="s">
        <v>3727</v>
      </c>
      <c r="K189" t="s">
        <v>225</v>
      </c>
      <c r="L189" t="s">
        <v>265</v>
      </c>
      <c r="M189" t="s">
        <v>3628</v>
      </c>
      <c r="N189" t="s">
        <v>3629</v>
      </c>
      <c r="O189" t="s">
        <v>3630</v>
      </c>
      <c r="P189" t="s">
        <v>3631</v>
      </c>
      <c r="Q189" t="s">
        <v>3632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25">
      <c r="A190">
        <v>376</v>
      </c>
      <c r="B190" t="s">
        <v>3633</v>
      </c>
      <c r="C190" t="s">
        <v>3634</v>
      </c>
      <c r="D190" t="s">
        <v>3635</v>
      </c>
      <c r="E190" t="s">
        <v>53</v>
      </c>
      <c r="F190" s="7">
        <v>35493</v>
      </c>
      <c r="G190" t="s">
        <v>260</v>
      </c>
      <c r="H190" t="s">
        <v>3636</v>
      </c>
      <c r="I190" t="s">
        <v>211</v>
      </c>
      <c r="J190" t="s">
        <v>3727</v>
      </c>
      <c r="K190" t="s">
        <v>225</v>
      </c>
      <c r="L190" t="s">
        <v>265</v>
      </c>
      <c r="M190" t="s">
        <v>3637</v>
      </c>
      <c r="N190" t="s">
        <v>3638</v>
      </c>
      <c r="O190" t="s">
        <v>3639</v>
      </c>
      <c r="P190" t="s">
        <v>3640</v>
      </c>
      <c r="Q190" t="s">
        <v>3641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25">
      <c r="A191">
        <v>377</v>
      </c>
      <c r="B191" t="s">
        <v>3642</v>
      </c>
      <c r="C191" t="s">
        <v>3643</v>
      </c>
      <c r="D191" t="s">
        <v>3644</v>
      </c>
      <c r="E191" t="s">
        <v>53</v>
      </c>
      <c r="F191" s="7">
        <v>40749</v>
      </c>
      <c r="G191" t="s">
        <v>234</v>
      </c>
      <c r="H191" t="s">
        <v>3645</v>
      </c>
      <c r="I191" t="s">
        <v>204</v>
      </c>
      <c r="J191" t="s">
        <v>3727</v>
      </c>
      <c r="K191" t="s">
        <v>225</v>
      </c>
      <c r="L191" t="s">
        <v>265</v>
      </c>
      <c r="M191" t="s">
        <v>3646</v>
      </c>
      <c r="N191" t="s">
        <v>3647</v>
      </c>
      <c r="O191" t="s">
        <v>3648</v>
      </c>
      <c r="P191" t="s">
        <v>3649</v>
      </c>
      <c r="Q191" t="s">
        <v>3650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25">
      <c r="A192">
        <v>378</v>
      </c>
      <c r="B192" t="s">
        <v>3651</v>
      </c>
      <c r="C192" t="s">
        <v>3652</v>
      </c>
      <c r="D192" t="s">
        <v>3653</v>
      </c>
      <c r="E192" t="s">
        <v>66</v>
      </c>
      <c r="F192" s="7">
        <v>14252</v>
      </c>
      <c r="G192" t="s">
        <v>229</v>
      </c>
      <c r="H192" t="s">
        <v>3654</v>
      </c>
      <c r="I192" t="s">
        <v>211</v>
      </c>
      <c r="J192" t="s">
        <v>3727</v>
      </c>
      <c r="K192" t="s">
        <v>225</v>
      </c>
      <c r="L192" t="s">
        <v>265</v>
      </c>
      <c r="M192" t="s">
        <v>3655</v>
      </c>
      <c r="N192" t="s">
        <v>3656</v>
      </c>
      <c r="O192" t="s">
        <v>3657</v>
      </c>
      <c r="P192" t="s">
        <v>3658</v>
      </c>
      <c r="Q192" t="s">
        <v>3659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25">
      <c r="A193">
        <v>379</v>
      </c>
      <c r="B193" t="s">
        <v>3660</v>
      </c>
      <c r="C193" t="s">
        <v>3661</v>
      </c>
      <c r="D193" t="s">
        <v>3662</v>
      </c>
      <c r="E193" t="s">
        <v>66</v>
      </c>
      <c r="F193" s="7">
        <v>31720</v>
      </c>
      <c r="G193" t="s">
        <v>231</v>
      </c>
      <c r="H193" t="s">
        <v>3663</v>
      </c>
      <c r="I193" t="s">
        <v>209</v>
      </c>
      <c r="J193" t="s">
        <v>3727</v>
      </c>
      <c r="K193" t="s">
        <v>225</v>
      </c>
      <c r="L193" t="s">
        <v>265</v>
      </c>
      <c r="M193" t="s">
        <v>3664</v>
      </c>
      <c r="N193" t="s">
        <v>3665</v>
      </c>
      <c r="O193" t="s">
        <v>3666</v>
      </c>
      <c r="P193" t="s">
        <v>3667</v>
      </c>
      <c r="Q193" t="s">
        <v>3668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25">
      <c r="A194">
        <v>380</v>
      </c>
      <c r="B194" t="s">
        <v>3669</v>
      </c>
      <c r="C194" t="s">
        <v>3670</v>
      </c>
      <c r="D194" t="s">
        <v>3671</v>
      </c>
      <c r="E194" t="s">
        <v>66</v>
      </c>
      <c r="F194" s="7">
        <v>32584</v>
      </c>
      <c r="G194" t="s">
        <v>250</v>
      </c>
      <c r="H194" t="s">
        <v>3672</v>
      </c>
      <c r="I194" t="s">
        <v>211</v>
      </c>
      <c r="J194" t="s">
        <v>3727</v>
      </c>
      <c r="K194" t="s">
        <v>225</v>
      </c>
      <c r="L194" t="s">
        <v>265</v>
      </c>
      <c r="M194" t="s">
        <v>3673</v>
      </c>
      <c r="N194" t="s">
        <v>3674</v>
      </c>
      <c r="O194" t="s">
        <v>3675</v>
      </c>
      <c r="P194" t="s">
        <v>3676</v>
      </c>
      <c r="Q194" t="s">
        <v>3677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25">
      <c r="A195">
        <v>381</v>
      </c>
      <c r="B195" t="s">
        <v>3678</v>
      </c>
      <c r="C195" t="s">
        <v>3679</v>
      </c>
      <c r="D195" t="s">
        <v>3680</v>
      </c>
      <c r="E195" t="s">
        <v>66</v>
      </c>
      <c r="F195" s="7">
        <v>23808</v>
      </c>
      <c r="G195" t="s">
        <v>262</v>
      </c>
      <c r="H195" t="s">
        <v>3681</v>
      </c>
      <c r="I195" t="s">
        <v>222</v>
      </c>
      <c r="J195" t="s">
        <v>3727</v>
      </c>
      <c r="K195" t="s">
        <v>225</v>
      </c>
      <c r="L195" t="s">
        <v>265</v>
      </c>
      <c r="M195" t="s">
        <v>3682</v>
      </c>
      <c r="N195" t="s">
        <v>3683</v>
      </c>
      <c r="O195" t="s">
        <v>3684</v>
      </c>
      <c r="P195" t="s">
        <v>3685</v>
      </c>
      <c r="Q195" t="s">
        <v>3686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25">
      <c r="A196">
        <v>382</v>
      </c>
      <c r="B196" t="s">
        <v>3687</v>
      </c>
      <c r="C196" t="s">
        <v>3688</v>
      </c>
      <c r="D196" t="s">
        <v>3689</v>
      </c>
      <c r="E196" t="s">
        <v>53</v>
      </c>
      <c r="F196" s="7">
        <v>38168</v>
      </c>
      <c r="G196" t="s">
        <v>248</v>
      </c>
      <c r="H196" t="s">
        <v>3690</v>
      </c>
      <c r="I196" t="s">
        <v>211</v>
      </c>
      <c r="J196" t="s">
        <v>3727</v>
      </c>
      <c r="K196" t="s">
        <v>225</v>
      </c>
      <c r="L196" t="s">
        <v>265</v>
      </c>
      <c r="M196" t="s">
        <v>3691</v>
      </c>
      <c r="N196" t="s">
        <v>3692</v>
      </c>
      <c r="O196" t="s">
        <v>3693</v>
      </c>
      <c r="P196" t="s">
        <v>3694</v>
      </c>
      <c r="Q196" t="s">
        <v>3695</v>
      </c>
      <c r="R196" t="str">
        <f t="shared" si="9"/>
        <v>user-male.jpg</v>
      </c>
      <c r="U196" t="str">
        <f t="shared" ref="U196:U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8" si="11">"(" &amp; A196 &amp;"),"</f>
        <v>(382),</v>
      </c>
    </row>
    <row r="197" spans="1:22" x14ac:dyDescent="0.25">
      <c r="A197">
        <v>383</v>
      </c>
      <c r="B197" t="s">
        <v>3696</v>
      </c>
      <c r="C197" t="s">
        <v>3697</v>
      </c>
      <c r="D197" t="s">
        <v>3698</v>
      </c>
      <c r="E197" t="s">
        <v>66</v>
      </c>
      <c r="F197" s="7">
        <v>44443</v>
      </c>
      <c r="G197" t="s">
        <v>261</v>
      </c>
      <c r="H197" t="s">
        <v>3699</v>
      </c>
      <c r="I197" t="s">
        <v>211</v>
      </c>
      <c r="J197" t="s">
        <v>3727</v>
      </c>
      <c r="K197" t="s">
        <v>225</v>
      </c>
      <c r="L197" t="s">
        <v>265</v>
      </c>
      <c r="M197" t="s">
        <v>3700</v>
      </c>
      <c r="N197" t="s">
        <v>3701</v>
      </c>
      <c r="O197" t="s">
        <v>3702</v>
      </c>
      <c r="P197" t="s">
        <v>3703</v>
      </c>
      <c r="Q197" t="s">
        <v>3704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25">
      <c r="A198">
        <v>384</v>
      </c>
      <c r="B198" t="s">
        <v>3705</v>
      </c>
      <c r="C198" t="s">
        <v>3706</v>
      </c>
      <c r="D198" t="s">
        <v>3707</v>
      </c>
      <c r="E198" t="s">
        <v>66</v>
      </c>
      <c r="F198" s="7">
        <v>14423</v>
      </c>
      <c r="G198" t="s">
        <v>239</v>
      </c>
      <c r="H198" t="s">
        <v>3708</v>
      </c>
      <c r="I198" t="s">
        <v>209</v>
      </c>
      <c r="J198" t="s">
        <v>3727</v>
      </c>
      <c r="K198" t="s">
        <v>225</v>
      </c>
      <c r="L198" t="s">
        <v>265</v>
      </c>
      <c r="M198" t="s">
        <v>3709</v>
      </c>
      <c r="N198" t="s">
        <v>3710</v>
      </c>
      <c r="O198" t="s">
        <v>3711</v>
      </c>
      <c r="P198" t="s">
        <v>3712</v>
      </c>
      <c r="Q198" t="s">
        <v>3713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25">
      <c r="A199">
        <v>385</v>
      </c>
      <c r="B199" t="s">
        <v>3714</v>
      </c>
      <c r="C199" t="s">
        <v>3715</v>
      </c>
      <c r="D199" t="s">
        <v>3716</v>
      </c>
      <c r="E199" t="s">
        <v>53</v>
      </c>
      <c r="F199" s="7">
        <v>12035</v>
      </c>
      <c r="G199" t="s">
        <v>236</v>
      </c>
      <c r="H199" t="s">
        <v>3717</v>
      </c>
      <c r="I199" t="s">
        <v>216</v>
      </c>
      <c r="J199" t="s">
        <v>3727</v>
      </c>
      <c r="K199" t="s">
        <v>225</v>
      </c>
      <c r="L199" t="s">
        <v>265</v>
      </c>
      <c r="M199" t="s">
        <v>3718</v>
      </c>
      <c r="N199" t="s">
        <v>3719</v>
      </c>
      <c r="O199" t="s">
        <v>3720</v>
      </c>
      <c r="P199" t="s">
        <v>3721</v>
      </c>
      <c r="Q199" t="s">
        <v>3722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workbookViewId="0">
      <selection activeCell="N101" sqref="N101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3724</v>
      </c>
      <c r="W1" s="5" t="s">
        <v>3735</v>
      </c>
      <c r="X1" s="5" t="s">
        <v>3736</v>
      </c>
      <c r="Y1" s="5" t="s">
        <v>3737</v>
      </c>
    </row>
    <row r="2" spans="1:25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3726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3726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3726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X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3726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3726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3726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3726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3726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3726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3726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3726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3726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3726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3726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3726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3726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3726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3726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3726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3726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3726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3726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3726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3726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3726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3726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3726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3726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3726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3726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3726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3726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3726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3726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3726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3726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3726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3726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3726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3726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3726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3726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3726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3726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3726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3726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3726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3726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3726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3726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3726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3726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3726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3726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3726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3726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3726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3726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3726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3726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3726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3726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3726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3726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3726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3726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3726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X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3726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3726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3726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3726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3726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3726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3726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3726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3726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3726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3726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3726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3726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3726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3726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3726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3726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3726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3726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3726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3726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3726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3726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3726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3726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3726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3726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3726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3726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3726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3726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3726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3726</v>
      </c>
      <c r="K101" t="s">
        <v>225</v>
      </c>
      <c r="L101" t="s">
        <v>265</v>
      </c>
      <c r="M101" t="s">
        <v>1238</v>
      </c>
      <c r="N101">
        <v>453617913</v>
      </c>
      <c r="O101" t="s">
        <v>1239</v>
      </c>
      <c r="P101" t="s">
        <v>1240</v>
      </c>
      <c r="Q101" t="s">
        <v>1241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25">
      <c r="A102">
        <v>101</v>
      </c>
      <c r="B102" t="s">
        <v>1242</v>
      </c>
      <c r="C102" t="s">
        <v>1243</v>
      </c>
      <c r="D102" t="s">
        <v>1244</v>
      </c>
      <c r="E102" t="s">
        <v>66</v>
      </c>
      <c r="F102" s="7">
        <v>13043</v>
      </c>
      <c r="G102" t="s">
        <v>244</v>
      </c>
      <c r="H102" t="s">
        <v>1245</v>
      </c>
      <c r="I102" t="s">
        <v>201</v>
      </c>
      <c r="J102" t="s">
        <v>3726</v>
      </c>
      <c r="K102" t="s">
        <v>225</v>
      </c>
      <c r="L102" t="s">
        <v>265</v>
      </c>
      <c r="M102" t="s">
        <v>1246</v>
      </c>
      <c r="N102" t="s">
        <v>1247</v>
      </c>
      <c r="O102" t="s">
        <v>1248</v>
      </c>
      <c r="P102" t="s">
        <v>1249</v>
      </c>
      <c r="Q102" t="s">
        <v>1250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25">
      <c r="A103">
        <v>102</v>
      </c>
      <c r="B103" t="s">
        <v>1251</v>
      </c>
      <c r="C103" t="s">
        <v>1252</v>
      </c>
      <c r="D103" t="s">
        <v>1253</v>
      </c>
      <c r="E103" t="s">
        <v>66</v>
      </c>
      <c r="F103" s="7">
        <v>43678</v>
      </c>
      <c r="G103" t="s">
        <v>235</v>
      </c>
      <c r="H103" t="s">
        <v>1254</v>
      </c>
      <c r="I103" t="s">
        <v>208</v>
      </c>
      <c r="J103" t="s">
        <v>3726</v>
      </c>
      <c r="K103" t="s">
        <v>225</v>
      </c>
      <c r="L103" t="s">
        <v>265</v>
      </c>
      <c r="M103" t="s">
        <v>1255</v>
      </c>
      <c r="N103" t="s">
        <v>1256</v>
      </c>
      <c r="O103" t="s">
        <v>1257</v>
      </c>
      <c r="P103" t="s">
        <v>1258</v>
      </c>
      <c r="Q103" t="s">
        <v>1259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25">
      <c r="A104">
        <v>103</v>
      </c>
      <c r="B104" t="s">
        <v>1260</v>
      </c>
      <c r="C104" t="s">
        <v>1261</v>
      </c>
      <c r="D104" t="s">
        <v>1262</v>
      </c>
      <c r="E104" t="s">
        <v>66</v>
      </c>
      <c r="F104" s="7">
        <v>16742</v>
      </c>
      <c r="G104" t="s">
        <v>253</v>
      </c>
      <c r="H104" t="s">
        <v>1263</v>
      </c>
      <c r="I104" t="s">
        <v>201</v>
      </c>
      <c r="J104" t="s">
        <v>3726</v>
      </c>
      <c r="K104" t="s">
        <v>225</v>
      </c>
      <c r="L104" t="s">
        <v>265</v>
      </c>
      <c r="M104" t="s">
        <v>1264</v>
      </c>
      <c r="N104" t="s">
        <v>1265</v>
      </c>
      <c r="O104" t="s">
        <v>1266</v>
      </c>
      <c r="P104" t="s">
        <v>1267</v>
      </c>
      <c r="Q104" t="s">
        <v>1268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25">
      <c r="A105">
        <v>104</v>
      </c>
      <c r="B105" t="s">
        <v>1269</v>
      </c>
      <c r="C105" t="s">
        <v>1270</v>
      </c>
      <c r="D105" t="s">
        <v>1271</v>
      </c>
      <c r="E105" t="s">
        <v>66</v>
      </c>
      <c r="F105" s="7">
        <v>31845</v>
      </c>
      <c r="G105" t="s">
        <v>237</v>
      </c>
      <c r="H105" t="s">
        <v>1272</v>
      </c>
      <c r="I105" t="s">
        <v>208</v>
      </c>
      <c r="J105" t="s">
        <v>3726</v>
      </c>
      <c r="K105" t="s">
        <v>225</v>
      </c>
      <c r="L105" t="s">
        <v>265</v>
      </c>
      <c r="M105" t="s">
        <v>1273</v>
      </c>
      <c r="N105" t="s">
        <v>1274</v>
      </c>
      <c r="O105" t="s">
        <v>1275</v>
      </c>
      <c r="P105" t="s">
        <v>1276</v>
      </c>
      <c r="Q105" t="s">
        <v>1277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25">
      <c r="A106">
        <v>105</v>
      </c>
      <c r="B106" t="s">
        <v>1278</v>
      </c>
      <c r="C106" t="s">
        <v>1279</v>
      </c>
      <c r="D106" t="s">
        <v>1280</v>
      </c>
      <c r="E106" t="s">
        <v>66</v>
      </c>
      <c r="F106" s="7">
        <v>13451</v>
      </c>
      <c r="G106" t="s">
        <v>233</v>
      </c>
      <c r="H106" t="s">
        <v>1281</v>
      </c>
      <c r="I106" t="s">
        <v>213</v>
      </c>
      <c r="J106" t="s">
        <v>3726</v>
      </c>
      <c r="K106" t="s">
        <v>225</v>
      </c>
      <c r="L106" t="s">
        <v>265</v>
      </c>
      <c r="M106" t="s">
        <v>1282</v>
      </c>
      <c r="N106" t="s">
        <v>1283</v>
      </c>
      <c r="O106" t="s">
        <v>1284</v>
      </c>
      <c r="P106" t="s">
        <v>1285</v>
      </c>
      <c r="Q106" t="s">
        <v>1286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25">
      <c r="A107">
        <v>106</v>
      </c>
      <c r="B107" t="s">
        <v>1287</v>
      </c>
      <c r="C107" t="s">
        <v>1288</v>
      </c>
      <c r="D107" t="s">
        <v>1289</v>
      </c>
      <c r="E107" t="s">
        <v>53</v>
      </c>
      <c r="F107" s="7">
        <v>13647</v>
      </c>
      <c r="G107" t="s">
        <v>235</v>
      </c>
      <c r="H107" t="s">
        <v>1290</v>
      </c>
      <c r="I107" t="s">
        <v>221</v>
      </c>
      <c r="J107" t="s">
        <v>3726</v>
      </c>
      <c r="K107" t="s">
        <v>225</v>
      </c>
      <c r="L107" t="s">
        <v>265</v>
      </c>
      <c r="M107" t="s">
        <v>1291</v>
      </c>
      <c r="N107" t="s">
        <v>1292</v>
      </c>
      <c r="O107" t="s">
        <v>1293</v>
      </c>
      <c r="P107" t="s">
        <v>1294</v>
      </c>
      <c r="Q107" t="s">
        <v>1295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25">
      <c r="A108">
        <v>107</v>
      </c>
      <c r="B108" t="s">
        <v>1296</v>
      </c>
      <c r="C108" t="s">
        <v>1297</v>
      </c>
      <c r="D108" t="s">
        <v>1298</v>
      </c>
      <c r="E108" t="s">
        <v>53</v>
      </c>
      <c r="F108" s="7">
        <v>33045</v>
      </c>
      <c r="G108" t="s">
        <v>237</v>
      </c>
      <c r="H108" t="s">
        <v>1299</v>
      </c>
      <c r="I108" t="s">
        <v>211</v>
      </c>
      <c r="J108" t="s">
        <v>3726</v>
      </c>
      <c r="K108" t="s">
        <v>225</v>
      </c>
      <c r="L108" t="s">
        <v>265</v>
      </c>
      <c r="M108" t="s">
        <v>1300</v>
      </c>
      <c r="N108" t="s">
        <v>1301</v>
      </c>
      <c r="O108" t="s">
        <v>1302</v>
      </c>
      <c r="P108" t="s">
        <v>1303</v>
      </c>
      <c r="Q108" t="s">
        <v>1304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25">
      <c r="A109">
        <v>108</v>
      </c>
      <c r="B109" t="s">
        <v>1305</v>
      </c>
      <c r="C109" t="s">
        <v>1306</v>
      </c>
      <c r="D109" t="s">
        <v>1307</v>
      </c>
      <c r="E109" t="s">
        <v>53</v>
      </c>
      <c r="F109" s="7">
        <v>18446</v>
      </c>
      <c r="G109" t="s">
        <v>246</v>
      </c>
      <c r="H109" t="s">
        <v>1308</v>
      </c>
      <c r="I109" t="s">
        <v>211</v>
      </c>
      <c r="J109" t="s">
        <v>3726</v>
      </c>
      <c r="K109" t="s">
        <v>225</v>
      </c>
      <c r="L109" t="s">
        <v>265</v>
      </c>
      <c r="M109" t="s">
        <v>1309</v>
      </c>
      <c r="N109" t="s">
        <v>1310</v>
      </c>
      <c r="O109" t="s">
        <v>1311</v>
      </c>
      <c r="P109" t="s">
        <v>1312</v>
      </c>
      <c r="Q109" t="s">
        <v>1313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25">
      <c r="A110">
        <v>109</v>
      </c>
      <c r="B110" t="s">
        <v>1314</v>
      </c>
      <c r="C110" t="s">
        <v>1315</v>
      </c>
      <c r="D110" t="s">
        <v>1316</v>
      </c>
      <c r="E110" t="s">
        <v>66</v>
      </c>
      <c r="F110" s="7">
        <v>28450</v>
      </c>
      <c r="G110" t="s">
        <v>250</v>
      </c>
      <c r="H110" t="s">
        <v>1317</v>
      </c>
      <c r="I110" t="s">
        <v>223</v>
      </c>
      <c r="J110" t="s">
        <v>3726</v>
      </c>
      <c r="K110" t="s">
        <v>225</v>
      </c>
      <c r="L110" t="s">
        <v>265</v>
      </c>
      <c r="M110" t="s">
        <v>1318</v>
      </c>
      <c r="N110" t="s">
        <v>1319</v>
      </c>
      <c r="O110" t="s">
        <v>1320</v>
      </c>
      <c r="P110" t="s">
        <v>1321</v>
      </c>
      <c r="Q110" t="s">
        <v>1322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25">
      <c r="A111">
        <v>110</v>
      </c>
      <c r="B111" t="s">
        <v>1323</v>
      </c>
      <c r="C111" t="s">
        <v>1324</v>
      </c>
      <c r="D111" t="s">
        <v>1325</v>
      </c>
      <c r="E111" t="s">
        <v>53</v>
      </c>
      <c r="F111" s="7">
        <v>42428</v>
      </c>
      <c r="G111" t="s">
        <v>228</v>
      </c>
      <c r="H111" t="s">
        <v>1326</v>
      </c>
      <c r="I111" t="s">
        <v>215</v>
      </c>
      <c r="J111" t="s">
        <v>3726</v>
      </c>
      <c r="K111" t="s">
        <v>225</v>
      </c>
      <c r="L111" t="s">
        <v>265</v>
      </c>
      <c r="M111" t="s">
        <v>1327</v>
      </c>
      <c r="N111" t="s">
        <v>1328</v>
      </c>
      <c r="O111" t="s">
        <v>1329</v>
      </c>
      <c r="P111" t="s">
        <v>1330</v>
      </c>
      <c r="Q111" t="s">
        <v>1331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25">
      <c r="A112">
        <v>111</v>
      </c>
      <c r="B112" t="s">
        <v>1332</v>
      </c>
      <c r="C112" t="s">
        <v>1333</v>
      </c>
      <c r="D112" t="s">
        <v>1334</v>
      </c>
      <c r="E112" t="s">
        <v>66</v>
      </c>
      <c r="F112" s="7">
        <v>43463</v>
      </c>
      <c r="G112" t="s">
        <v>249</v>
      </c>
      <c r="H112" t="s">
        <v>1335</v>
      </c>
      <c r="I112" t="s">
        <v>216</v>
      </c>
      <c r="J112" t="s">
        <v>3726</v>
      </c>
      <c r="K112" t="s">
        <v>225</v>
      </c>
      <c r="L112" t="s">
        <v>265</v>
      </c>
      <c r="M112" t="s">
        <v>1336</v>
      </c>
      <c r="N112" t="s">
        <v>1337</v>
      </c>
      <c r="O112" t="s">
        <v>1338</v>
      </c>
      <c r="P112" t="s">
        <v>1339</v>
      </c>
      <c r="Q112" t="s">
        <v>1340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25">
      <c r="A113">
        <v>112</v>
      </c>
      <c r="B113" t="s">
        <v>1341</v>
      </c>
      <c r="C113" t="s">
        <v>1342</v>
      </c>
      <c r="D113" t="s">
        <v>1343</v>
      </c>
      <c r="E113" t="s">
        <v>53</v>
      </c>
      <c r="F113" s="7">
        <v>8971</v>
      </c>
      <c r="G113" t="s">
        <v>262</v>
      </c>
      <c r="H113" t="s">
        <v>1344</v>
      </c>
      <c r="I113" t="s">
        <v>211</v>
      </c>
      <c r="J113" t="s">
        <v>3726</v>
      </c>
      <c r="K113" t="s">
        <v>225</v>
      </c>
      <c r="L113" t="s">
        <v>265</v>
      </c>
      <c r="M113" t="s">
        <v>1345</v>
      </c>
      <c r="N113" t="s">
        <v>1346</v>
      </c>
      <c r="O113" t="s">
        <v>1347</v>
      </c>
      <c r="P113" t="s">
        <v>1348</v>
      </c>
      <c r="Q113" t="s">
        <v>1349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25">
      <c r="A114">
        <v>113</v>
      </c>
      <c r="B114" t="s">
        <v>1350</v>
      </c>
      <c r="C114" t="s">
        <v>1351</v>
      </c>
      <c r="D114" t="s">
        <v>1352</v>
      </c>
      <c r="E114" t="s">
        <v>53</v>
      </c>
      <c r="F114" s="7">
        <v>13497</v>
      </c>
      <c r="G114" t="s">
        <v>255</v>
      </c>
      <c r="H114" t="s">
        <v>1353</v>
      </c>
      <c r="I114" t="s">
        <v>211</v>
      </c>
      <c r="J114" t="s">
        <v>3726</v>
      </c>
      <c r="K114" t="s">
        <v>225</v>
      </c>
      <c r="L114" t="s">
        <v>265</v>
      </c>
      <c r="M114" t="s">
        <v>1354</v>
      </c>
      <c r="N114" t="s">
        <v>1355</v>
      </c>
      <c r="O114" t="s">
        <v>1356</v>
      </c>
      <c r="P114" t="s">
        <v>1357</v>
      </c>
      <c r="Q114" t="s">
        <v>1358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25">
      <c r="A115">
        <v>114</v>
      </c>
      <c r="B115" t="s">
        <v>1359</v>
      </c>
      <c r="C115" t="s">
        <v>1360</v>
      </c>
      <c r="D115" t="s">
        <v>1361</v>
      </c>
      <c r="E115" t="s">
        <v>53</v>
      </c>
      <c r="F115" s="7">
        <v>25240</v>
      </c>
      <c r="G115" t="s">
        <v>248</v>
      </c>
      <c r="H115" t="s">
        <v>1362</v>
      </c>
      <c r="I115" t="s">
        <v>214</v>
      </c>
      <c r="J115" t="s">
        <v>3726</v>
      </c>
      <c r="K115" t="s">
        <v>225</v>
      </c>
      <c r="L115" t="s">
        <v>265</v>
      </c>
      <c r="M115" t="s">
        <v>1363</v>
      </c>
      <c r="N115" t="s">
        <v>1364</v>
      </c>
      <c r="O115" t="s">
        <v>1365</v>
      </c>
      <c r="P115" t="s">
        <v>1366</v>
      </c>
      <c r="Q115" t="s">
        <v>1367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25">
      <c r="A116">
        <v>115</v>
      </c>
      <c r="B116" t="s">
        <v>1368</v>
      </c>
      <c r="C116" t="s">
        <v>1369</v>
      </c>
      <c r="D116" t="s">
        <v>1370</v>
      </c>
      <c r="E116" t="s">
        <v>66</v>
      </c>
      <c r="F116" s="7">
        <v>16827</v>
      </c>
      <c r="G116" t="s">
        <v>260</v>
      </c>
      <c r="H116" t="s">
        <v>1371</v>
      </c>
      <c r="I116" t="s">
        <v>211</v>
      </c>
      <c r="J116" t="s">
        <v>3726</v>
      </c>
      <c r="K116" t="s">
        <v>225</v>
      </c>
      <c r="L116" t="s">
        <v>265</v>
      </c>
      <c r="M116" t="s">
        <v>1372</v>
      </c>
      <c r="N116" t="s">
        <v>1373</v>
      </c>
      <c r="O116" t="s">
        <v>1374</v>
      </c>
      <c r="P116" t="s">
        <v>1375</v>
      </c>
      <c r="Q116" t="s">
        <v>1376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25">
      <c r="A117">
        <v>116</v>
      </c>
      <c r="B117" t="s">
        <v>1377</v>
      </c>
      <c r="C117" t="s">
        <v>1378</v>
      </c>
      <c r="D117" t="s">
        <v>1379</v>
      </c>
      <c r="E117" t="s">
        <v>66</v>
      </c>
      <c r="F117" s="7">
        <v>14246</v>
      </c>
      <c r="G117" t="s">
        <v>246</v>
      </c>
      <c r="H117" t="s">
        <v>1380</v>
      </c>
      <c r="I117" t="s">
        <v>211</v>
      </c>
      <c r="J117" t="s">
        <v>3726</v>
      </c>
      <c r="K117" t="s">
        <v>225</v>
      </c>
      <c r="L117" t="s">
        <v>265</v>
      </c>
      <c r="M117" t="s">
        <v>1381</v>
      </c>
      <c r="N117" t="s">
        <v>1382</v>
      </c>
      <c r="O117" t="s">
        <v>1383</v>
      </c>
      <c r="P117" t="s">
        <v>1384</v>
      </c>
      <c r="Q117" t="s">
        <v>1385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25">
      <c r="A118">
        <v>117</v>
      </c>
      <c r="B118" t="s">
        <v>1386</v>
      </c>
      <c r="C118" t="s">
        <v>1387</v>
      </c>
      <c r="D118" t="s">
        <v>1388</v>
      </c>
      <c r="E118" t="s">
        <v>53</v>
      </c>
      <c r="F118" s="7">
        <v>43342</v>
      </c>
      <c r="G118" t="s">
        <v>255</v>
      </c>
      <c r="H118" t="s">
        <v>1389</v>
      </c>
      <c r="I118" t="s">
        <v>211</v>
      </c>
      <c r="J118" t="s">
        <v>3726</v>
      </c>
      <c r="K118" t="s">
        <v>225</v>
      </c>
      <c r="L118" t="s">
        <v>265</v>
      </c>
      <c r="M118" t="s">
        <v>1390</v>
      </c>
      <c r="N118" t="s">
        <v>1391</v>
      </c>
      <c r="O118" t="s">
        <v>1392</v>
      </c>
      <c r="P118" t="s">
        <v>1393</v>
      </c>
      <c r="Q118" t="s">
        <v>1394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25">
      <c r="A119">
        <v>118</v>
      </c>
      <c r="B119" t="s">
        <v>1395</v>
      </c>
      <c r="C119" t="s">
        <v>1396</v>
      </c>
      <c r="D119" t="s">
        <v>1397</v>
      </c>
      <c r="E119" t="s">
        <v>66</v>
      </c>
      <c r="F119" s="7">
        <v>37343</v>
      </c>
      <c r="G119" t="s">
        <v>227</v>
      </c>
      <c r="H119" t="s">
        <v>1398</v>
      </c>
      <c r="I119" t="s">
        <v>218</v>
      </c>
      <c r="J119" t="s">
        <v>3726</v>
      </c>
      <c r="K119" t="s">
        <v>225</v>
      </c>
      <c r="L119" t="s">
        <v>265</v>
      </c>
      <c r="M119" t="s">
        <v>1399</v>
      </c>
      <c r="N119" t="s">
        <v>1400</v>
      </c>
      <c r="O119" t="s">
        <v>1401</v>
      </c>
      <c r="P119" t="s">
        <v>1402</v>
      </c>
      <c r="Q119" t="s">
        <v>1403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25">
      <c r="A120">
        <v>119</v>
      </c>
      <c r="B120" t="s">
        <v>1404</v>
      </c>
      <c r="C120" t="s">
        <v>1405</v>
      </c>
      <c r="D120" t="s">
        <v>1406</v>
      </c>
      <c r="E120" t="s">
        <v>53</v>
      </c>
      <c r="F120" s="7">
        <v>35503</v>
      </c>
      <c r="G120" t="s">
        <v>246</v>
      </c>
      <c r="H120" t="s">
        <v>1407</v>
      </c>
      <c r="I120" t="s">
        <v>221</v>
      </c>
      <c r="J120" t="s">
        <v>3726</v>
      </c>
      <c r="K120" t="s">
        <v>225</v>
      </c>
      <c r="L120" t="s">
        <v>265</v>
      </c>
      <c r="M120" t="s">
        <v>1408</v>
      </c>
      <c r="N120" t="s">
        <v>1409</v>
      </c>
      <c r="O120" t="s">
        <v>1410</v>
      </c>
      <c r="P120" t="s">
        <v>1411</v>
      </c>
      <c r="Q120" t="s">
        <v>1412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25">
      <c r="A121">
        <v>120</v>
      </c>
      <c r="B121" t="s">
        <v>1413</v>
      </c>
      <c r="C121" t="s">
        <v>1414</v>
      </c>
      <c r="D121" t="s">
        <v>1415</v>
      </c>
      <c r="E121" t="s">
        <v>53</v>
      </c>
      <c r="F121" s="7">
        <v>10487</v>
      </c>
      <c r="G121" t="s">
        <v>237</v>
      </c>
      <c r="H121" t="s">
        <v>1416</v>
      </c>
      <c r="I121" t="s">
        <v>211</v>
      </c>
      <c r="J121" t="s">
        <v>3726</v>
      </c>
      <c r="K121" t="s">
        <v>225</v>
      </c>
      <c r="L121" t="s">
        <v>265</v>
      </c>
      <c r="M121" t="s">
        <v>1417</v>
      </c>
      <c r="N121" t="s">
        <v>1418</v>
      </c>
      <c r="O121" t="s">
        <v>1419</v>
      </c>
      <c r="P121" t="s">
        <v>1420</v>
      </c>
      <c r="Q121" t="s">
        <v>1421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25">
      <c r="A122">
        <v>121</v>
      </c>
      <c r="B122" t="s">
        <v>1422</v>
      </c>
      <c r="C122" t="s">
        <v>1423</v>
      </c>
      <c r="D122" t="s">
        <v>1424</v>
      </c>
      <c r="E122" t="s">
        <v>66</v>
      </c>
      <c r="F122" s="7">
        <v>20453</v>
      </c>
      <c r="G122" t="s">
        <v>260</v>
      </c>
      <c r="H122" t="s">
        <v>1425</v>
      </c>
      <c r="I122" t="s">
        <v>211</v>
      </c>
      <c r="J122" t="s">
        <v>3726</v>
      </c>
      <c r="K122" t="s">
        <v>225</v>
      </c>
      <c r="L122" t="s">
        <v>265</v>
      </c>
      <c r="M122" t="s">
        <v>1426</v>
      </c>
      <c r="N122" t="s">
        <v>1427</v>
      </c>
      <c r="O122" t="s">
        <v>1428</v>
      </c>
      <c r="P122" t="s">
        <v>1429</v>
      </c>
      <c r="Q122" t="s">
        <v>1430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25">
      <c r="A123">
        <v>122</v>
      </c>
      <c r="B123" t="s">
        <v>1431</v>
      </c>
      <c r="C123" t="s">
        <v>1432</v>
      </c>
      <c r="D123" t="s">
        <v>1433</v>
      </c>
      <c r="E123" t="s">
        <v>53</v>
      </c>
      <c r="F123" s="7">
        <v>43922</v>
      </c>
      <c r="G123" t="s">
        <v>231</v>
      </c>
      <c r="H123" t="s">
        <v>1434</v>
      </c>
      <c r="I123" t="s">
        <v>211</v>
      </c>
      <c r="J123" t="s">
        <v>3726</v>
      </c>
      <c r="K123" t="s">
        <v>225</v>
      </c>
      <c r="L123" t="s">
        <v>265</v>
      </c>
      <c r="M123" t="s">
        <v>1435</v>
      </c>
      <c r="N123" t="s">
        <v>1436</v>
      </c>
      <c r="O123" t="s">
        <v>1437</v>
      </c>
      <c r="P123" t="s">
        <v>1438</v>
      </c>
      <c r="Q123" t="s">
        <v>1439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25">
      <c r="A124">
        <v>123</v>
      </c>
      <c r="B124" t="s">
        <v>1440</v>
      </c>
      <c r="C124" t="s">
        <v>1441</v>
      </c>
      <c r="D124" t="s">
        <v>1442</v>
      </c>
      <c r="E124" t="s">
        <v>53</v>
      </c>
      <c r="F124" s="7">
        <v>25320</v>
      </c>
      <c r="G124" t="s">
        <v>243</v>
      </c>
      <c r="H124" t="s">
        <v>1443</v>
      </c>
      <c r="I124" t="s">
        <v>211</v>
      </c>
      <c r="J124" t="s">
        <v>3726</v>
      </c>
      <c r="K124" t="s">
        <v>225</v>
      </c>
      <c r="L124" t="s">
        <v>265</v>
      </c>
      <c r="M124" t="s">
        <v>1444</v>
      </c>
      <c r="N124" t="s">
        <v>1445</v>
      </c>
      <c r="O124" t="s">
        <v>1446</v>
      </c>
      <c r="P124" t="s">
        <v>1447</v>
      </c>
      <c r="Q124" t="s">
        <v>1448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25">
      <c r="A125">
        <v>124</v>
      </c>
      <c r="B125" t="s">
        <v>1449</v>
      </c>
      <c r="C125" t="s">
        <v>1450</v>
      </c>
      <c r="D125" t="s">
        <v>1451</v>
      </c>
      <c r="E125" t="s">
        <v>66</v>
      </c>
      <c r="F125" s="7">
        <v>20063</v>
      </c>
      <c r="G125" t="s">
        <v>246</v>
      </c>
      <c r="H125" t="s">
        <v>1452</v>
      </c>
      <c r="I125" t="s">
        <v>213</v>
      </c>
      <c r="J125" t="s">
        <v>3726</v>
      </c>
      <c r="K125" t="s">
        <v>225</v>
      </c>
      <c r="L125" t="s">
        <v>265</v>
      </c>
      <c r="M125" t="s">
        <v>1453</v>
      </c>
      <c r="N125" t="s">
        <v>1454</v>
      </c>
      <c r="O125" t="s">
        <v>1455</v>
      </c>
      <c r="P125" t="s">
        <v>1456</v>
      </c>
      <c r="Q125" t="s">
        <v>1457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25">
      <c r="A126">
        <v>125</v>
      </c>
      <c r="B126" t="s">
        <v>1458</v>
      </c>
      <c r="C126" t="s">
        <v>1459</v>
      </c>
      <c r="D126" t="s">
        <v>1460</v>
      </c>
      <c r="E126" t="s">
        <v>53</v>
      </c>
      <c r="F126" s="7">
        <v>34756</v>
      </c>
      <c r="G126" t="s">
        <v>263</v>
      </c>
      <c r="H126" t="s">
        <v>1461</v>
      </c>
      <c r="I126" t="s">
        <v>217</v>
      </c>
      <c r="J126" t="s">
        <v>3726</v>
      </c>
      <c r="K126" t="s">
        <v>225</v>
      </c>
      <c r="L126" t="s">
        <v>265</v>
      </c>
      <c r="M126" t="s">
        <v>1462</v>
      </c>
      <c r="N126" t="s">
        <v>1463</v>
      </c>
      <c r="O126" t="s">
        <v>1464</v>
      </c>
      <c r="P126" t="s">
        <v>1465</v>
      </c>
      <c r="Q126" t="s">
        <v>1466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25">
      <c r="A127">
        <v>126</v>
      </c>
      <c r="B127" t="s">
        <v>1467</v>
      </c>
      <c r="C127" t="s">
        <v>1468</v>
      </c>
      <c r="D127" t="s">
        <v>1469</v>
      </c>
      <c r="E127" t="s">
        <v>53</v>
      </c>
      <c r="F127" s="7">
        <v>14392</v>
      </c>
      <c r="G127" t="s">
        <v>248</v>
      </c>
      <c r="H127" t="s">
        <v>1470</v>
      </c>
      <c r="I127" t="s">
        <v>211</v>
      </c>
      <c r="J127" t="s">
        <v>3726</v>
      </c>
      <c r="K127" t="s">
        <v>225</v>
      </c>
      <c r="L127" t="s">
        <v>265</v>
      </c>
      <c r="M127" t="s">
        <v>1471</v>
      </c>
      <c r="N127" t="s">
        <v>1472</v>
      </c>
      <c r="O127" t="s">
        <v>1473</v>
      </c>
      <c r="P127" t="s">
        <v>1474</v>
      </c>
      <c r="Q127" t="s">
        <v>1475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25">
      <c r="A128">
        <v>127</v>
      </c>
      <c r="B128" t="s">
        <v>1476</v>
      </c>
      <c r="C128" t="s">
        <v>1477</v>
      </c>
      <c r="D128" t="s">
        <v>1478</v>
      </c>
      <c r="E128" t="s">
        <v>66</v>
      </c>
      <c r="F128" s="7">
        <v>17070</v>
      </c>
      <c r="G128" t="s">
        <v>229</v>
      </c>
      <c r="H128" t="s">
        <v>1479</v>
      </c>
      <c r="I128" t="s">
        <v>211</v>
      </c>
      <c r="J128" t="s">
        <v>3726</v>
      </c>
      <c r="K128" t="s">
        <v>225</v>
      </c>
      <c r="L128" t="s">
        <v>265</v>
      </c>
      <c r="M128" t="s">
        <v>1480</v>
      </c>
      <c r="N128" t="s">
        <v>1481</v>
      </c>
      <c r="O128" t="s">
        <v>1482</v>
      </c>
      <c r="P128" t="s">
        <v>1483</v>
      </c>
      <c r="Q128" t="s">
        <v>1484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25">
      <c r="A129">
        <v>128</v>
      </c>
      <c r="B129" t="s">
        <v>1485</v>
      </c>
      <c r="C129" t="s">
        <v>1486</v>
      </c>
      <c r="D129" t="s">
        <v>1487</v>
      </c>
      <c r="E129" t="s">
        <v>66</v>
      </c>
      <c r="F129" s="7">
        <v>18282</v>
      </c>
      <c r="G129" t="s">
        <v>239</v>
      </c>
      <c r="H129" t="s">
        <v>1488</v>
      </c>
      <c r="I129" t="s">
        <v>211</v>
      </c>
      <c r="J129" t="s">
        <v>3726</v>
      </c>
      <c r="K129" t="s">
        <v>225</v>
      </c>
      <c r="L129" t="s">
        <v>265</v>
      </c>
      <c r="M129" t="s">
        <v>1489</v>
      </c>
      <c r="N129" t="s">
        <v>1490</v>
      </c>
      <c r="O129" t="s">
        <v>1491</v>
      </c>
      <c r="P129" t="s">
        <v>1492</v>
      </c>
      <c r="Q129" t="s">
        <v>1493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25">
      <c r="A130">
        <v>129</v>
      </c>
      <c r="B130" t="s">
        <v>1494</v>
      </c>
      <c r="C130" t="s">
        <v>1495</v>
      </c>
      <c r="D130" t="s">
        <v>1496</v>
      </c>
      <c r="E130" t="s">
        <v>66</v>
      </c>
      <c r="F130" s="7">
        <v>9562</v>
      </c>
      <c r="G130" t="s">
        <v>252</v>
      </c>
      <c r="H130" t="s">
        <v>1497</v>
      </c>
      <c r="I130" t="s">
        <v>206</v>
      </c>
      <c r="J130" t="s">
        <v>3726</v>
      </c>
      <c r="K130" t="s">
        <v>225</v>
      </c>
      <c r="L130" t="s">
        <v>265</v>
      </c>
      <c r="M130" t="s">
        <v>1498</v>
      </c>
      <c r="N130" t="s">
        <v>1499</v>
      </c>
      <c r="O130" t="s">
        <v>1500</v>
      </c>
      <c r="P130" t="s">
        <v>1501</v>
      </c>
      <c r="Q130" t="s">
        <v>1502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25">
      <c r="A131">
        <v>130</v>
      </c>
      <c r="B131" t="s">
        <v>1503</v>
      </c>
      <c r="C131" t="s">
        <v>1504</v>
      </c>
      <c r="D131" t="s">
        <v>1505</v>
      </c>
      <c r="E131" t="s">
        <v>53</v>
      </c>
      <c r="F131" s="7">
        <v>10733</v>
      </c>
      <c r="G131" t="s">
        <v>231</v>
      </c>
      <c r="H131" t="s">
        <v>1506</v>
      </c>
      <c r="I131" t="s">
        <v>201</v>
      </c>
      <c r="J131" t="s">
        <v>3726</v>
      </c>
      <c r="K131" t="s">
        <v>225</v>
      </c>
      <c r="L131" t="s">
        <v>265</v>
      </c>
      <c r="M131" t="s">
        <v>1507</v>
      </c>
      <c r="N131" t="s">
        <v>1508</v>
      </c>
      <c r="O131" t="s">
        <v>1509</v>
      </c>
      <c r="P131" t="s">
        <v>1510</v>
      </c>
      <c r="Q131" t="s">
        <v>1511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25">
      <c r="A132">
        <v>131</v>
      </c>
      <c r="B132" t="s">
        <v>1512</v>
      </c>
      <c r="C132" t="s">
        <v>1513</v>
      </c>
      <c r="D132" t="s">
        <v>1514</v>
      </c>
      <c r="E132" t="s">
        <v>66</v>
      </c>
      <c r="F132" s="7">
        <v>43003</v>
      </c>
      <c r="G132" t="s">
        <v>228</v>
      </c>
      <c r="H132" t="s">
        <v>1515</v>
      </c>
      <c r="I132" t="s">
        <v>211</v>
      </c>
      <c r="J132" t="s">
        <v>3726</v>
      </c>
      <c r="K132" t="s">
        <v>225</v>
      </c>
      <c r="L132" t="s">
        <v>265</v>
      </c>
      <c r="M132" t="s">
        <v>1516</v>
      </c>
      <c r="N132" t="s">
        <v>1517</v>
      </c>
      <c r="O132" t="s">
        <v>1518</v>
      </c>
      <c r="P132" t="s">
        <v>1519</v>
      </c>
      <c r="Q132" t="s">
        <v>1520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7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X187" si="10">"(" &amp;A132 &amp; ",'" &amp; S132 &amp; "', '" &amp; T132 &amp; "'),"</f>
        <v>(131,'6778090543805430', '31'),</v>
      </c>
      <c r="Y132" t="str">
        <f t="shared" ref="Y132:Y187" si="11">"(" &amp;A132 &amp; "),"</f>
        <v>(131),</v>
      </c>
    </row>
    <row r="133" spans="1:25" x14ac:dyDescent="0.25">
      <c r="A133">
        <v>132</v>
      </c>
      <c r="B133" t="s">
        <v>1521</v>
      </c>
      <c r="C133" t="s">
        <v>1522</v>
      </c>
      <c r="D133" t="s">
        <v>1523</v>
      </c>
      <c r="E133" t="s">
        <v>66</v>
      </c>
      <c r="F133" s="7">
        <v>29468</v>
      </c>
      <c r="G133" t="s">
        <v>237</v>
      </c>
      <c r="H133" t="s">
        <v>1524</v>
      </c>
      <c r="I133" t="s">
        <v>211</v>
      </c>
      <c r="J133" t="s">
        <v>3726</v>
      </c>
      <c r="K133" t="s">
        <v>225</v>
      </c>
      <c r="L133" t="s">
        <v>265</v>
      </c>
      <c r="M133" t="s">
        <v>1525</v>
      </c>
      <c r="N133" t="s">
        <v>1526</v>
      </c>
      <c r="O133" t="s">
        <v>1527</v>
      </c>
      <c r="P133" t="s">
        <v>1528</v>
      </c>
      <c r="Q133" t="s">
        <v>1529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25">
      <c r="A134">
        <v>133</v>
      </c>
      <c r="B134" t="s">
        <v>1530</v>
      </c>
      <c r="C134" t="s">
        <v>1531</v>
      </c>
      <c r="D134" t="s">
        <v>1532</v>
      </c>
      <c r="E134" t="s">
        <v>66</v>
      </c>
      <c r="F134" s="7">
        <v>26648</v>
      </c>
      <c r="G134" t="s">
        <v>251</v>
      </c>
      <c r="H134" t="s">
        <v>1533</v>
      </c>
      <c r="I134" t="s">
        <v>211</v>
      </c>
      <c r="J134" t="s">
        <v>3726</v>
      </c>
      <c r="K134" t="s">
        <v>225</v>
      </c>
      <c r="L134" t="s">
        <v>265</v>
      </c>
      <c r="M134" t="s">
        <v>1534</v>
      </c>
      <c r="N134" t="s">
        <v>1535</v>
      </c>
      <c r="O134" t="s">
        <v>1536</v>
      </c>
      <c r="P134" t="s">
        <v>1537</v>
      </c>
      <c r="Q134" t="s">
        <v>1538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25">
      <c r="A135">
        <v>134</v>
      </c>
      <c r="B135" t="s">
        <v>1539</v>
      </c>
      <c r="C135" t="s">
        <v>1540</v>
      </c>
      <c r="D135" t="s">
        <v>1541</v>
      </c>
      <c r="E135" t="s">
        <v>66</v>
      </c>
      <c r="F135" s="7">
        <v>12366</v>
      </c>
      <c r="G135" t="s">
        <v>253</v>
      </c>
      <c r="H135" t="s">
        <v>1542</v>
      </c>
      <c r="I135" t="s">
        <v>211</v>
      </c>
      <c r="J135" t="s">
        <v>3726</v>
      </c>
      <c r="K135" t="s">
        <v>225</v>
      </c>
      <c r="L135" t="s">
        <v>265</v>
      </c>
      <c r="M135" t="s">
        <v>1543</v>
      </c>
      <c r="N135" t="s">
        <v>1544</v>
      </c>
      <c r="O135" t="s">
        <v>1545</v>
      </c>
      <c r="P135" t="s">
        <v>1546</v>
      </c>
      <c r="Q135" t="s">
        <v>1547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25">
      <c r="A136">
        <v>135</v>
      </c>
      <c r="B136" t="s">
        <v>1548</v>
      </c>
      <c r="C136" t="s">
        <v>1549</v>
      </c>
      <c r="D136" t="s">
        <v>1550</v>
      </c>
      <c r="E136" t="s">
        <v>53</v>
      </c>
      <c r="F136" s="7">
        <v>15788</v>
      </c>
      <c r="G136" t="s">
        <v>259</v>
      </c>
      <c r="H136" t="s">
        <v>1551</v>
      </c>
      <c r="I136" t="s">
        <v>211</v>
      </c>
      <c r="J136" t="s">
        <v>3726</v>
      </c>
      <c r="K136" t="s">
        <v>225</v>
      </c>
      <c r="L136" t="s">
        <v>265</v>
      </c>
      <c r="M136" t="s">
        <v>1552</v>
      </c>
      <c r="N136" t="s">
        <v>1553</v>
      </c>
      <c r="O136" t="s">
        <v>1554</v>
      </c>
      <c r="P136" t="s">
        <v>1555</v>
      </c>
      <c r="Q136" t="s">
        <v>1556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25">
      <c r="A137">
        <v>136</v>
      </c>
      <c r="B137" t="s">
        <v>1557</v>
      </c>
      <c r="C137" t="s">
        <v>1558</v>
      </c>
      <c r="D137" t="s">
        <v>1559</v>
      </c>
      <c r="E137" t="s">
        <v>53</v>
      </c>
      <c r="F137" s="7">
        <v>37028</v>
      </c>
      <c r="G137" t="s">
        <v>241</v>
      </c>
      <c r="H137" t="s">
        <v>1560</v>
      </c>
      <c r="I137" t="s">
        <v>201</v>
      </c>
      <c r="J137" t="s">
        <v>3726</v>
      </c>
      <c r="K137" t="s">
        <v>225</v>
      </c>
      <c r="L137" t="s">
        <v>265</v>
      </c>
      <c r="M137" t="s">
        <v>1561</v>
      </c>
      <c r="N137" t="s">
        <v>1562</v>
      </c>
      <c r="O137" t="s">
        <v>1563</v>
      </c>
      <c r="P137" t="s">
        <v>1564</v>
      </c>
      <c r="Q137" t="s">
        <v>1565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25">
      <c r="A138">
        <v>137</v>
      </c>
      <c r="B138" t="s">
        <v>1566</v>
      </c>
      <c r="C138" t="s">
        <v>1567</v>
      </c>
      <c r="D138" t="s">
        <v>1568</v>
      </c>
      <c r="E138" t="s">
        <v>53</v>
      </c>
      <c r="F138" s="7">
        <v>36735</v>
      </c>
      <c r="G138" t="s">
        <v>259</v>
      </c>
      <c r="H138" t="s">
        <v>1569</v>
      </c>
      <c r="I138" t="s">
        <v>211</v>
      </c>
      <c r="J138" t="s">
        <v>3726</v>
      </c>
      <c r="K138" t="s">
        <v>225</v>
      </c>
      <c r="L138" t="s">
        <v>265</v>
      </c>
      <c r="M138" t="s">
        <v>1570</v>
      </c>
      <c r="N138" t="s">
        <v>1571</v>
      </c>
      <c r="O138" t="s">
        <v>1572</v>
      </c>
      <c r="P138" t="s">
        <v>1573</v>
      </c>
      <c r="Q138" t="s">
        <v>1574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25">
      <c r="A139">
        <v>138</v>
      </c>
      <c r="B139" t="s">
        <v>1575</v>
      </c>
      <c r="C139" t="s">
        <v>1576</v>
      </c>
      <c r="D139" t="s">
        <v>1577</v>
      </c>
      <c r="E139" t="s">
        <v>66</v>
      </c>
      <c r="F139" s="7">
        <v>29002</v>
      </c>
      <c r="G139" t="s">
        <v>246</v>
      </c>
      <c r="H139" t="s">
        <v>1578</v>
      </c>
      <c r="I139" t="s">
        <v>211</v>
      </c>
      <c r="J139" t="s">
        <v>3726</v>
      </c>
      <c r="K139" t="s">
        <v>225</v>
      </c>
      <c r="L139" t="s">
        <v>265</v>
      </c>
      <c r="M139" t="s">
        <v>1579</v>
      </c>
      <c r="N139" t="s">
        <v>1580</v>
      </c>
      <c r="O139" t="s">
        <v>1581</v>
      </c>
      <c r="P139" t="s">
        <v>1582</v>
      </c>
      <c r="Q139" t="s">
        <v>1583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25">
      <c r="A140">
        <v>139</v>
      </c>
      <c r="B140" t="s">
        <v>1584</v>
      </c>
      <c r="C140" t="s">
        <v>1585</v>
      </c>
      <c r="D140" t="s">
        <v>1586</v>
      </c>
      <c r="E140" t="s">
        <v>53</v>
      </c>
      <c r="F140" s="7">
        <v>41285</v>
      </c>
      <c r="G140" t="s">
        <v>242</v>
      </c>
      <c r="H140" t="s">
        <v>1587</v>
      </c>
      <c r="I140" t="s">
        <v>223</v>
      </c>
      <c r="J140" t="s">
        <v>3726</v>
      </c>
      <c r="K140" t="s">
        <v>225</v>
      </c>
      <c r="L140" t="s">
        <v>265</v>
      </c>
      <c r="M140" t="s">
        <v>1588</v>
      </c>
      <c r="N140" t="s">
        <v>1589</v>
      </c>
      <c r="O140" t="s">
        <v>1590</v>
      </c>
      <c r="P140" t="s">
        <v>1591</v>
      </c>
      <c r="Q140" t="s">
        <v>1592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25">
      <c r="A141">
        <v>140</v>
      </c>
      <c r="B141" t="s">
        <v>1593</v>
      </c>
      <c r="C141" t="s">
        <v>1594</v>
      </c>
      <c r="D141" t="s">
        <v>1595</v>
      </c>
      <c r="E141" t="s">
        <v>53</v>
      </c>
      <c r="F141" s="7">
        <v>27590</v>
      </c>
      <c r="G141" t="s">
        <v>245</v>
      </c>
      <c r="H141" t="s">
        <v>1596</v>
      </c>
      <c r="I141" t="s">
        <v>211</v>
      </c>
      <c r="J141" t="s">
        <v>3726</v>
      </c>
      <c r="K141" t="s">
        <v>225</v>
      </c>
      <c r="L141" t="s">
        <v>265</v>
      </c>
      <c r="M141" t="s">
        <v>1597</v>
      </c>
      <c r="N141" t="s">
        <v>1598</v>
      </c>
      <c r="O141" t="s">
        <v>1599</v>
      </c>
      <c r="P141" t="s">
        <v>1600</v>
      </c>
      <c r="Q141" t="s">
        <v>1601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25">
      <c r="A142">
        <v>141</v>
      </c>
      <c r="B142" t="s">
        <v>1602</v>
      </c>
      <c r="C142" t="s">
        <v>1603</v>
      </c>
      <c r="D142" t="s">
        <v>1604</v>
      </c>
      <c r="E142" t="s">
        <v>53</v>
      </c>
      <c r="F142" s="7">
        <v>30972</v>
      </c>
      <c r="G142" t="s">
        <v>230</v>
      </c>
      <c r="H142" t="s">
        <v>1605</v>
      </c>
      <c r="I142" t="s">
        <v>210</v>
      </c>
      <c r="J142" t="s">
        <v>3726</v>
      </c>
      <c r="K142" t="s">
        <v>225</v>
      </c>
      <c r="L142" t="s">
        <v>265</v>
      </c>
      <c r="M142" t="s">
        <v>1606</v>
      </c>
      <c r="N142" t="s">
        <v>1607</v>
      </c>
      <c r="O142" t="s">
        <v>1608</v>
      </c>
      <c r="P142" t="s">
        <v>1609</v>
      </c>
      <c r="Q142" t="s">
        <v>1610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25">
      <c r="A143">
        <v>142</v>
      </c>
      <c r="B143" t="s">
        <v>1611</v>
      </c>
      <c r="C143" t="s">
        <v>1612</v>
      </c>
      <c r="D143" t="s">
        <v>1613</v>
      </c>
      <c r="E143" t="s">
        <v>53</v>
      </c>
      <c r="F143" s="7">
        <v>9540</v>
      </c>
      <c r="G143" t="s">
        <v>246</v>
      </c>
      <c r="H143" t="s">
        <v>1614</v>
      </c>
      <c r="I143" t="s">
        <v>205</v>
      </c>
      <c r="J143" t="s">
        <v>3726</v>
      </c>
      <c r="K143" t="s">
        <v>225</v>
      </c>
      <c r="L143" t="s">
        <v>265</v>
      </c>
      <c r="M143" t="s">
        <v>1615</v>
      </c>
      <c r="N143" t="s">
        <v>1616</v>
      </c>
      <c r="O143" t="s">
        <v>1617</v>
      </c>
      <c r="P143" t="s">
        <v>1618</v>
      </c>
      <c r="Q143" t="s">
        <v>1619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25">
      <c r="A144">
        <v>143</v>
      </c>
      <c r="B144" t="s">
        <v>1620</v>
      </c>
      <c r="C144" t="s">
        <v>1621</v>
      </c>
      <c r="D144" t="s">
        <v>1622</v>
      </c>
      <c r="E144" t="s">
        <v>53</v>
      </c>
      <c r="F144" s="7">
        <v>9785</v>
      </c>
      <c r="G144" t="s">
        <v>246</v>
      </c>
      <c r="H144" t="s">
        <v>1623</v>
      </c>
      <c r="I144" t="s">
        <v>205</v>
      </c>
      <c r="J144" t="s">
        <v>3726</v>
      </c>
      <c r="K144" t="s">
        <v>225</v>
      </c>
      <c r="L144" t="s">
        <v>265</v>
      </c>
      <c r="M144" t="s">
        <v>1624</v>
      </c>
      <c r="N144" t="s">
        <v>1625</v>
      </c>
      <c r="O144" t="s">
        <v>1626</v>
      </c>
      <c r="P144" t="s">
        <v>1627</v>
      </c>
      <c r="Q144" t="s">
        <v>1628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25">
      <c r="A145">
        <v>144</v>
      </c>
      <c r="B145" t="s">
        <v>1629</v>
      </c>
      <c r="C145" t="s">
        <v>1630</v>
      </c>
      <c r="D145" t="s">
        <v>1631</v>
      </c>
      <c r="E145" t="s">
        <v>53</v>
      </c>
      <c r="F145" s="7">
        <v>26847</v>
      </c>
      <c r="G145" t="s">
        <v>230</v>
      </c>
      <c r="H145" t="s">
        <v>1632</v>
      </c>
      <c r="I145" t="s">
        <v>209</v>
      </c>
      <c r="J145" t="s">
        <v>3726</v>
      </c>
      <c r="K145" t="s">
        <v>225</v>
      </c>
      <c r="L145" t="s">
        <v>265</v>
      </c>
      <c r="M145" t="s">
        <v>1633</v>
      </c>
      <c r="N145" t="s">
        <v>1634</v>
      </c>
      <c r="O145" t="s">
        <v>1635</v>
      </c>
      <c r="P145" t="s">
        <v>1636</v>
      </c>
      <c r="Q145" t="s">
        <v>1637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25">
      <c r="A146">
        <v>145</v>
      </c>
      <c r="B146" t="s">
        <v>1638</v>
      </c>
      <c r="C146" t="s">
        <v>1639</v>
      </c>
      <c r="D146" t="s">
        <v>1640</v>
      </c>
      <c r="E146" t="s">
        <v>53</v>
      </c>
      <c r="F146" s="7">
        <v>44029</v>
      </c>
      <c r="G146" t="s">
        <v>253</v>
      </c>
      <c r="H146" t="s">
        <v>1641</v>
      </c>
      <c r="I146" t="s">
        <v>211</v>
      </c>
      <c r="J146" t="s">
        <v>3726</v>
      </c>
      <c r="K146" t="s">
        <v>225</v>
      </c>
      <c r="L146" t="s">
        <v>265</v>
      </c>
      <c r="M146" t="s">
        <v>1642</v>
      </c>
      <c r="N146" t="s">
        <v>1643</v>
      </c>
      <c r="O146" t="s">
        <v>1644</v>
      </c>
      <c r="P146" t="s">
        <v>1645</v>
      </c>
      <c r="Q146" t="s">
        <v>1646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25">
      <c r="A147">
        <v>146</v>
      </c>
      <c r="B147" t="s">
        <v>1647</v>
      </c>
      <c r="C147" t="s">
        <v>1648</v>
      </c>
      <c r="D147" t="s">
        <v>1649</v>
      </c>
      <c r="E147" t="s">
        <v>66</v>
      </c>
      <c r="F147" s="7">
        <v>11043</v>
      </c>
      <c r="G147" t="s">
        <v>241</v>
      </c>
      <c r="H147" t="s">
        <v>1650</v>
      </c>
      <c r="I147" t="s">
        <v>211</v>
      </c>
      <c r="J147" t="s">
        <v>3726</v>
      </c>
      <c r="K147" t="s">
        <v>225</v>
      </c>
      <c r="L147" t="s">
        <v>265</v>
      </c>
      <c r="M147" t="s">
        <v>1651</v>
      </c>
      <c r="N147" t="s">
        <v>1652</v>
      </c>
      <c r="O147" t="s">
        <v>1653</v>
      </c>
      <c r="P147" t="s">
        <v>1654</v>
      </c>
      <c r="Q147" t="s">
        <v>1655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25">
      <c r="A148">
        <v>147</v>
      </c>
      <c r="B148" t="s">
        <v>1656</v>
      </c>
      <c r="C148" t="s">
        <v>1657</v>
      </c>
      <c r="D148" t="s">
        <v>1658</v>
      </c>
      <c r="E148" t="s">
        <v>53</v>
      </c>
      <c r="F148" s="7">
        <v>28184</v>
      </c>
      <c r="G148" t="s">
        <v>231</v>
      </c>
      <c r="H148" t="s">
        <v>1659</v>
      </c>
      <c r="I148" t="s">
        <v>218</v>
      </c>
      <c r="J148" t="s">
        <v>3726</v>
      </c>
      <c r="K148" t="s">
        <v>225</v>
      </c>
      <c r="L148" t="s">
        <v>265</v>
      </c>
      <c r="M148" t="s">
        <v>1660</v>
      </c>
      <c r="N148" t="s">
        <v>1661</v>
      </c>
      <c r="O148" t="s">
        <v>1662</v>
      </c>
      <c r="P148" t="s">
        <v>1663</v>
      </c>
      <c r="Q148" t="s">
        <v>1664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25">
      <c r="A149">
        <v>148</v>
      </c>
      <c r="B149" t="s">
        <v>1665</v>
      </c>
      <c r="C149" t="s">
        <v>1666</v>
      </c>
      <c r="D149" t="s">
        <v>1667</v>
      </c>
      <c r="E149" t="s">
        <v>66</v>
      </c>
      <c r="F149" s="7">
        <v>20148</v>
      </c>
      <c r="G149" t="s">
        <v>254</v>
      </c>
      <c r="H149" t="s">
        <v>1668</v>
      </c>
      <c r="I149" t="s">
        <v>210</v>
      </c>
      <c r="J149" t="s">
        <v>3726</v>
      </c>
      <c r="K149" t="s">
        <v>225</v>
      </c>
      <c r="L149" t="s">
        <v>265</v>
      </c>
      <c r="M149" t="s">
        <v>1669</v>
      </c>
      <c r="N149" t="s">
        <v>1670</v>
      </c>
      <c r="O149" t="s">
        <v>1671</v>
      </c>
      <c r="P149" t="s">
        <v>1672</v>
      </c>
      <c r="Q149" t="s">
        <v>1673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25">
      <c r="A150">
        <v>149</v>
      </c>
      <c r="B150" t="s">
        <v>1674</v>
      </c>
      <c r="C150" t="s">
        <v>1675</v>
      </c>
      <c r="D150" t="s">
        <v>1676</v>
      </c>
      <c r="E150" t="s">
        <v>53</v>
      </c>
      <c r="F150" s="7">
        <v>40822</v>
      </c>
      <c r="G150" t="s">
        <v>243</v>
      </c>
      <c r="H150" t="s">
        <v>1677</v>
      </c>
      <c r="I150" t="s">
        <v>210</v>
      </c>
      <c r="J150" t="s">
        <v>3726</v>
      </c>
      <c r="K150" t="s">
        <v>225</v>
      </c>
      <c r="L150" t="s">
        <v>265</v>
      </c>
      <c r="M150" t="s">
        <v>1678</v>
      </c>
      <c r="N150" t="s">
        <v>1679</v>
      </c>
      <c r="O150" t="s">
        <v>1680</v>
      </c>
      <c r="P150" t="s">
        <v>1681</v>
      </c>
      <c r="Q150" t="s">
        <v>1682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25">
      <c r="A151">
        <v>150</v>
      </c>
      <c r="B151" t="s">
        <v>1683</v>
      </c>
      <c r="C151" t="s">
        <v>1684</v>
      </c>
      <c r="D151" t="s">
        <v>1685</v>
      </c>
      <c r="E151" t="s">
        <v>53</v>
      </c>
      <c r="F151" s="7">
        <v>24061</v>
      </c>
      <c r="G151" t="s">
        <v>242</v>
      </c>
      <c r="H151" t="s">
        <v>1686</v>
      </c>
      <c r="I151" t="s">
        <v>211</v>
      </c>
      <c r="J151" t="s">
        <v>3726</v>
      </c>
      <c r="K151" t="s">
        <v>225</v>
      </c>
      <c r="L151" t="s">
        <v>265</v>
      </c>
      <c r="M151" t="s">
        <v>1687</v>
      </c>
      <c r="N151" t="s">
        <v>1688</v>
      </c>
      <c r="O151" t="s">
        <v>1689</v>
      </c>
      <c r="P151" t="s">
        <v>1690</v>
      </c>
      <c r="Q151" t="s">
        <v>1691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25">
      <c r="A152">
        <v>151</v>
      </c>
      <c r="B152" t="s">
        <v>1692</v>
      </c>
      <c r="C152" t="s">
        <v>1693</v>
      </c>
      <c r="D152" t="s">
        <v>1694</v>
      </c>
      <c r="E152" t="s">
        <v>66</v>
      </c>
      <c r="F152" s="7">
        <v>29777</v>
      </c>
      <c r="G152" t="s">
        <v>236</v>
      </c>
      <c r="H152" t="s">
        <v>1695</v>
      </c>
      <c r="I152" t="s">
        <v>205</v>
      </c>
      <c r="J152" t="s">
        <v>3726</v>
      </c>
      <c r="K152" t="s">
        <v>225</v>
      </c>
      <c r="L152" t="s">
        <v>265</v>
      </c>
      <c r="M152" t="s">
        <v>1696</v>
      </c>
      <c r="N152" t="s">
        <v>1697</v>
      </c>
      <c r="O152" t="s">
        <v>1698</v>
      </c>
      <c r="P152" t="s">
        <v>1699</v>
      </c>
      <c r="Q152" t="s">
        <v>1700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25">
      <c r="A153">
        <v>152</v>
      </c>
      <c r="B153" t="s">
        <v>1701</v>
      </c>
      <c r="C153" t="s">
        <v>1702</v>
      </c>
      <c r="D153" t="s">
        <v>1703</v>
      </c>
      <c r="E153" t="s">
        <v>66</v>
      </c>
      <c r="F153" s="7">
        <v>22302</v>
      </c>
      <c r="G153" t="s">
        <v>259</v>
      </c>
      <c r="H153" t="s">
        <v>1704</v>
      </c>
      <c r="I153" t="s">
        <v>211</v>
      </c>
      <c r="J153" t="s">
        <v>3726</v>
      </c>
      <c r="K153" t="s">
        <v>225</v>
      </c>
      <c r="L153" t="s">
        <v>265</v>
      </c>
      <c r="M153" t="s">
        <v>1705</v>
      </c>
      <c r="N153" t="s">
        <v>1706</v>
      </c>
      <c r="O153" t="s">
        <v>1707</v>
      </c>
      <c r="P153" t="s">
        <v>1708</v>
      </c>
      <c r="Q153" t="s">
        <v>1709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25">
      <c r="A154">
        <v>153</v>
      </c>
      <c r="B154" t="s">
        <v>1710</v>
      </c>
      <c r="C154" t="s">
        <v>1711</v>
      </c>
      <c r="D154" t="s">
        <v>1712</v>
      </c>
      <c r="E154" t="s">
        <v>66</v>
      </c>
      <c r="F154" s="7">
        <v>44419</v>
      </c>
      <c r="G154" t="s">
        <v>247</v>
      </c>
      <c r="H154" t="s">
        <v>1713</v>
      </c>
      <c r="I154" t="s">
        <v>211</v>
      </c>
      <c r="J154" t="s">
        <v>3726</v>
      </c>
      <c r="K154" t="s">
        <v>225</v>
      </c>
      <c r="L154" t="s">
        <v>265</v>
      </c>
      <c r="M154" t="s">
        <v>1714</v>
      </c>
      <c r="N154" t="s">
        <v>1715</v>
      </c>
      <c r="O154" t="s">
        <v>1716</v>
      </c>
      <c r="P154" t="s">
        <v>1717</v>
      </c>
      <c r="Q154" t="s">
        <v>1718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25">
      <c r="A155">
        <v>154</v>
      </c>
      <c r="B155" t="s">
        <v>1719</v>
      </c>
      <c r="C155" t="s">
        <v>1720</v>
      </c>
      <c r="D155" t="s">
        <v>1721</v>
      </c>
      <c r="E155" t="s">
        <v>66</v>
      </c>
      <c r="F155" s="7">
        <v>11307</v>
      </c>
      <c r="G155" t="s">
        <v>251</v>
      </c>
      <c r="H155" t="s">
        <v>1722</v>
      </c>
      <c r="I155" t="s">
        <v>211</v>
      </c>
      <c r="J155" t="s">
        <v>3726</v>
      </c>
      <c r="K155" t="s">
        <v>225</v>
      </c>
      <c r="L155" t="s">
        <v>265</v>
      </c>
      <c r="M155" t="s">
        <v>1723</v>
      </c>
      <c r="N155" t="s">
        <v>1724</v>
      </c>
      <c r="O155" t="s">
        <v>1725</v>
      </c>
      <c r="P155" t="s">
        <v>1726</v>
      </c>
      <c r="Q155" t="s">
        <v>1727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25">
      <c r="A156">
        <v>155</v>
      </c>
      <c r="B156" t="s">
        <v>1728</v>
      </c>
      <c r="C156" t="s">
        <v>1729</v>
      </c>
      <c r="D156" t="s">
        <v>1730</v>
      </c>
      <c r="E156" t="s">
        <v>66</v>
      </c>
      <c r="F156" s="7">
        <v>31637</v>
      </c>
      <c r="G156" t="s">
        <v>240</v>
      </c>
      <c r="H156" t="s">
        <v>1731</v>
      </c>
      <c r="I156" t="s">
        <v>206</v>
      </c>
      <c r="J156" t="s">
        <v>3726</v>
      </c>
      <c r="K156" t="s">
        <v>225</v>
      </c>
      <c r="L156" t="s">
        <v>265</v>
      </c>
      <c r="M156" t="s">
        <v>1732</v>
      </c>
      <c r="N156" t="s">
        <v>1733</v>
      </c>
      <c r="O156" t="s">
        <v>1734</v>
      </c>
      <c r="P156" t="s">
        <v>1735</v>
      </c>
      <c r="Q156" t="s">
        <v>1736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25">
      <c r="A157">
        <v>156</v>
      </c>
      <c r="B157" t="s">
        <v>1737</v>
      </c>
      <c r="C157" t="s">
        <v>1738</v>
      </c>
      <c r="D157" t="s">
        <v>1739</v>
      </c>
      <c r="E157" t="s">
        <v>53</v>
      </c>
      <c r="F157" s="7">
        <v>42520</v>
      </c>
      <c r="G157" t="s">
        <v>259</v>
      </c>
      <c r="H157" t="s">
        <v>1740</v>
      </c>
      <c r="I157" t="s">
        <v>221</v>
      </c>
      <c r="J157" t="s">
        <v>3726</v>
      </c>
      <c r="K157" t="s">
        <v>225</v>
      </c>
      <c r="L157" t="s">
        <v>265</v>
      </c>
      <c r="M157" t="s">
        <v>1741</v>
      </c>
      <c r="N157" t="s">
        <v>1742</v>
      </c>
      <c r="O157" t="s">
        <v>1743</v>
      </c>
      <c r="P157" t="s">
        <v>1744</v>
      </c>
      <c r="Q157" t="s">
        <v>1745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25">
      <c r="A158">
        <v>157</v>
      </c>
      <c r="B158" t="s">
        <v>1746</v>
      </c>
      <c r="C158" t="s">
        <v>1747</v>
      </c>
      <c r="D158" t="s">
        <v>1748</v>
      </c>
      <c r="E158" t="s">
        <v>53</v>
      </c>
      <c r="F158" s="7">
        <v>37371</v>
      </c>
      <c r="G158" t="s">
        <v>238</v>
      </c>
      <c r="H158" t="s">
        <v>1749</v>
      </c>
      <c r="I158" t="s">
        <v>208</v>
      </c>
      <c r="J158" t="s">
        <v>3726</v>
      </c>
      <c r="K158" t="s">
        <v>225</v>
      </c>
      <c r="L158" t="s">
        <v>265</v>
      </c>
      <c r="M158" t="s">
        <v>1750</v>
      </c>
      <c r="N158" t="s">
        <v>1751</v>
      </c>
      <c r="O158" t="s">
        <v>1752</v>
      </c>
      <c r="P158" t="s">
        <v>1753</v>
      </c>
      <c r="Q158" t="s">
        <v>1754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25">
      <c r="A159">
        <v>158</v>
      </c>
      <c r="B159" t="s">
        <v>1755</v>
      </c>
      <c r="C159" t="s">
        <v>1756</v>
      </c>
      <c r="D159" t="s">
        <v>1757</v>
      </c>
      <c r="E159" t="s">
        <v>53</v>
      </c>
      <c r="F159" s="7">
        <v>19794</v>
      </c>
      <c r="G159" t="s">
        <v>228</v>
      </c>
      <c r="H159" t="s">
        <v>1758</v>
      </c>
      <c r="I159" t="s">
        <v>205</v>
      </c>
      <c r="J159" t="s">
        <v>3726</v>
      </c>
      <c r="K159" t="s">
        <v>225</v>
      </c>
      <c r="L159" t="s">
        <v>265</v>
      </c>
      <c r="M159" t="s">
        <v>1759</v>
      </c>
      <c r="N159" t="s">
        <v>1760</v>
      </c>
      <c r="O159" t="s">
        <v>1761</v>
      </c>
      <c r="P159" t="s">
        <v>1762</v>
      </c>
      <c r="Q159" t="s">
        <v>1763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25">
      <c r="A160">
        <v>159</v>
      </c>
      <c r="B160" t="s">
        <v>1764</v>
      </c>
      <c r="C160" t="s">
        <v>1765</v>
      </c>
      <c r="D160" t="s">
        <v>1766</v>
      </c>
      <c r="E160" t="s">
        <v>66</v>
      </c>
      <c r="F160" s="7">
        <v>18245</v>
      </c>
      <c r="G160" t="s">
        <v>246</v>
      </c>
      <c r="H160" t="s">
        <v>1767</v>
      </c>
      <c r="I160" t="s">
        <v>209</v>
      </c>
      <c r="J160" t="s">
        <v>3726</v>
      </c>
      <c r="K160" t="s">
        <v>225</v>
      </c>
      <c r="L160" t="s">
        <v>265</v>
      </c>
      <c r="M160" t="s">
        <v>1768</v>
      </c>
      <c r="N160" t="s">
        <v>1769</v>
      </c>
      <c r="O160" t="s">
        <v>1770</v>
      </c>
      <c r="P160" t="s">
        <v>1771</v>
      </c>
      <c r="Q160" t="s">
        <v>1772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25">
      <c r="A161">
        <v>160</v>
      </c>
      <c r="B161" t="s">
        <v>1773</v>
      </c>
      <c r="C161" t="s">
        <v>1774</v>
      </c>
      <c r="D161" t="s">
        <v>1775</v>
      </c>
      <c r="E161" t="s">
        <v>66</v>
      </c>
      <c r="F161" s="7">
        <v>36726</v>
      </c>
      <c r="G161" t="s">
        <v>241</v>
      </c>
      <c r="H161" t="s">
        <v>1776</v>
      </c>
      <c r="I161" t="s">
        <v>211</v>
      </c>
      <c r="J161" t="s">
        <v>3726</v>
      </c>
      <c r="K161" t="s">
        <v>225</v>
      </c>
      <c r="L161" t="s">
        <v>265</v>
      </c>
      <c r="M161" t="s">
        <v>1777</v>
      </c>
      <c r="N161" t="s">
        <v>1778</v>
      </c>
      <c r="O161" t="s">
        <v>1779</v>
      </c>
      <c r="P161" t="s">
        <v>1780</v>
      </c>
      <c r="Q161" t="s">
        <v>1781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25">
      <c r="A162">
        <v>161</v>
      </c>
      <c r="B162" t="s">
        <v>1782</v>
      </c>
      <c r="C162" t="s">
        <v>1783</v>
      </c>
      <c r="D162" t="s">
        <v>1784</v>
      </c>
      <c r="E162" t="s">
        <v>66</v>
      </c>
      <c r="F162" s="7">
        <v>21504</v>
      </c>
      <c r="G162" t="s">
        <v>257</v>
      </c>
      <c r="H162" t="s">
        <v>1785</v>
      </c>
      <c r="I162" t="s">
        <v>208</v>
      </c>
      <c r="J162" t="s">
        <v>3726</v>
      </c>
      <c r="K162" t="s">
        <v>225</v>
      </c>
      <c r="L162" t="s">
        <v>265</v>
      </c>
      <c r="M162" t="s">
        <v>1786</v>
      </c>
      <c r="N162" t="s">
        <v>1787</v>
      </c>
      <c r="O162" t="s">
        <v>1788</v>
      </c>
      <c r="P162" t="s">
        <v>1789</v>
      </c>
      <c r="Q162" t="s">
        <v>1790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25">
      <c r="A163">
        <v>162</v>
      </c>
      <c r="B163" t="s">
        <v>1791</v>
      </c>
      <c r="C163" t="s">
        <v>1792</v>
      </c>
      <c r="D163" t="s">
        <v>1793</v>
      </c>
      <c r="E163" t="s">
        <v>66</v>
      </c>
      <c r="F163" s="7">
        <v>20070</v>
      </c>
      <c r="G163" t="s">
        <v>239</v>
      </c>
      <c r="H163" t="s">
        <v>1794</v>
      </c>
      <c r="I163" t="s">
        <v>203</v>
      </c>
      <c r="J163" t="s">
        <v>3726</v>
      </c>
      <c r="K163" t="s">
        <v>225</v>
      </c>
      <c r="L163" t="s">
        <v>265</v>
      </c>
      <c r="M163" t="s">
        <v>1795</v>
      </c>
      <c r="N163" t="s">
        <v>1796</v>
      </c>
      <c r="O163" t="s">
        <v>1797</v>
      </c>
      <c r="P163" t="s">
        <v>1798</v>
      </c>
      <c r="Q163" t="s">
        <v>1799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25">
      <c r="A164">
        <v>163</v>
      </c>
      <c r="B164" t="s">
        <v>1800</v>
      </c>
      <c r="C164" t="s">
        <v>1801</v>
      </c>
      <c r="D164" t="s">
        <v>1802</v>
      </c>
      <c r="E164" t="s">
        <v>53</v>
      </c>
      <c r="F164" s="7">
        <v>24653</v>
      </c>
      <c r="G164" t="s">
        <v>243</v>
      </c>
      <c r="H164" t="s">
        <v>1803</v>
      </c>
      <c r="I164" t="s">
        <v>207</v>
      </c>
      <c r="J164" t="s">
        <v>3726</v>
      </c>
      <c r="K164" t="s">
        <v>225</v>
      </c>
      <c r="L164" t="s">
        <v>265</v>
      </c>
      <c r="M164" t="s">
        <v>1804</v>
      </c>
      <c r="N164" t="s">
        <v>1805</v>
      </c>
      <c r="O164" t="s">
        <v>1806</v>
      </c>
      <c r="P164" t="s">
        <v>1807</v>
      </c>
      <c r="Q164" t="s">
        <v>1808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25">
      <c r="A165">
        <v>164</v>
      </c>
      <c r="B165" t="s">
        <v>1809</v>
      </c>
      <c r="C165" t="s">
        <v>1810</v>
      </c>
      <c r="D165" t="s">
        <v>1811</v>
      </c>
      <c r="E165" t="s">
        <v>53</v>
      </c>
      <c r="F165" s="7">
        <v>43783</v>
      </c>
      <c r="G165" t="s">
        <v>242</v>
      </c>
      <c r="H165" t="s">
        <v>1812</v>
      </c>
      <c r="I165" t="s">
        <v>220</v>
      </c>
      <c r="J165" t="s">
        <v>3726</v>
      </c>
      <c r="K165" t="s">
        <v>225</v>
      </c>
      <c r="L165" t="s">
        <v>265</v>
      </c>
      <c r="M165" t="s">
        <v>1813</v>
      </c>
      <c r="N165" t="s">
        <v>1814</v>
      </c>
      <c r="O165" t="s">
        <v>1815</v>
      </c>
      <c r="P165" t="s">
        <v>1816</v>
      </c>
      <c r="Q165" t="s">
        <v>1817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25">
      <c r="A166">
        <v>165</v>
      </c>
      <c r="B166" t="s">
        <v>1818</v>
      </c>
      <c r="C166" t="s">
        <v>1819</v>
      </c>
      <c r="D166" t="s">
        <v>1820</v>
      </c>
      <c r="E166" t="s">
        <v>53</v>
      </c>
      <c r="F166" s="7">
        <v>36076</v>
      </c>
      <c r="G166" t="s">
        <v>252</v>
      </c>
      <c r="H166" t="s">
        <v>1821</v>
      </c>
      <c r="I166" t="s">
        <v>210</v>
      </c>
      <c r="J166" t="s">
        <v>3726</v>
      </c>
      <c r="K166" t="s">
        <v>225</v>
      </c>
      <c r="L166" t="s">
        <v>265</v>
      </c>
      <c r="M166" t="s">
        <v>1822</v>
      </c>
      <c r="N166" t="s">
        <v>1823</v>
      </c>
      <c r="O166" t="s">
        <v>1824</v>
      </c>
      <c r="P166" t="s">
        <v>1825</v>
      </c>
      <c r="Q166" t="s">
        <v>1826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25">
      <c r="A167">
        <v>166</v>
      </c>
      <c r="B167" t="s">
        <v>1827</v>
      </c>
      <c r="C167" t="s">
        <v>1828</v>
      </c>
      <c r="D167" t="s">
        <v>1829</v>
      </c>
      <c r="E167" t="s">
        <v>66</v>
      </c>
      <c r="F167" s="7">
        <v>25872</v>
      </c>
      <c r="G167" t="s">
        <v>253</v>
      </c>
      <c r="H167" t="s">
        <v>1830</v>
      </c>
      <c r="I167" t="s">
        <v>211</v>
      </c>
      <c r="J167" t="s">
        <v>3726</v>
      </c>
      <c r="K167" t="s">
        <v>225</v>
      </c>
      <c r="L167" t="s">
        <v>265</v>
      </c>
      <c r="M167" t="s">
        <v>1831</v>
      </c>
      <c r="N167" t="s">
        <v>1832</v>
      </c>
      <c r="O167" t="s">
        <v>1833</v>
      </c>
      <c r="P167" t="s">
        <v>1834</v>
      </c>
      <c r="Q167" t="s">
        <v>1835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25">
      <c r="A168">
        <v>167</v>
      </c>
      <c r="B168" t="s">
        <v>1836</v>
      </c>
      <c r="C168" t="s">
        <v>1837</v>
      </c>
      <c r="D168" t="s">
        <v>1838</v>
      </c>
      <c r="E168" t="s">
        <v>53</v>
      </c>
      <c r="F168" s="7">
        <v>30608</v>
      </c>
      <c r="G168" t="s">
        <v>236</v>
      </c>
      <c r="H168" t="s">
        <v>1839</v>
      </c>
      <c r="I168" t="s">
        <v>211</v>
      </c>
      <c r="J168" t="s">
        <v>3726</v>
      </c>
      <c r="K168" t="s">
        <v>225</v>
      </c>
      <c r="L168" t="s">
        <v>265</v>
      </c>
      <c r="M168" t="s">
        <v>1840</v>
      </c>
      <c r="N168" t="s">
        <v>1841</v>
      </c>
      <c r="O168" t="s">
        <v>1842</v>
      </c>
      <c r="P168" t="s">
        <v>1843</v>
      </c>
      <c r="Q168" t="s">
        <v>1844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25">
      <c r="A169">
        <v>168</v>
      </c>
      <c r="B169" t="s">
        <v>1845</v>
      </c>
      <c r="C169" t="s">
        <v>1846</v>
      </c>
      <c r="D169" t="s">
        <v>1847</v>
      </c>
      <c r="E169" t="s">
        <v>53</v>
      </c>
      <c r="F169" s="7">
        <v>22927</v>
      </c>
      <c r="G169" t="s">
        <v>229</v>
      </c>
      <c r="H169" t="s">
        <v>1848</v>
      </c>
      <c r="I169" t="s">
        <v>211</v>
      </c>
      <c r="J169" t="s">
        <v>3726</v>
      </c>
      <c r="K169" t="s">
        <v>225</v>
      </c>
      <c r="L169" t="s">
        <v>265</v>
      </c>
      <c r="M169" t="s">
        <v>1849</v>
      </c>
      <c r="N169" t="s">
        <v>1850</v>
      </c>
      <c r="O169" t="s">
        <v>1851</v>
      </c>
      <c r="P169" t="s">
        <v>1852</v>
      </c>
      <c r="Q169" t="s">
        <v>1853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25">
      <c r="A170">
        <v>169</v>
      </c>
      <c r="B170" t="s">
        <v>1854</v>
      </c>
      <c r="C170" t="s">
        <v>1855</v>
      </c>
      <c r="D170" t="s">
        <v>1856</v>
      </c>
      <c r="E170" t="s">
        <v>66</v>
      </c>
      <c r="F170" s="7">
        <v>42761</v>
      </c>
      <c r="G170" t="s">
        <v>246</v>
      </c>
      <c r="H170" t="s">
        <v>1857</v>
      </c>
      <c r="I170" t="s">
        <v>211</v>
      </c>
      <c r="J170" t="s">
        <v>3726</v>
      </c>
      <c r="K170" t="s">
        <v>225</v>
      </c>
      <c r="L170" t="s">
        <v>265</v>
      </c>
      <c r="M170" t="s">
        <v>1858</v>
      </c>
      <c r="N170" t="s">
        <v>1859</v>
      </c>
      <c r="O170" t="s">
        <v>1860</v>
      </c>
      <c r="P170" t="s">
        <v>1861</v>
      </c>
      <c r="Q170" t="s">
        <v>1862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25">
      <c r="A171">
        <v>170</v>
      </c>
      <c r="B171" t="s">
        <v>1863</v>
      </c>
      <c r="C171" t="s">
        <v>1864</v>
      </c>
      <c r="D171" t="s">
        <v>1865</v>
      </c>
      <c r="E171" t="s">
        <v>53</v>
      </c>
      <c r="F171" s="7">
        <v>13720</v>
      </c>
      <c r="G171" t="s">
        <v>247</v>
      </c>
      <c r="H171" t="s">
        <v>1866</v>
      </c>
      <c r="I171" t="s">
        <v>205</v>
      </c>
      <c r="J171" t="s">
        <v>3726</v>
      </c>
      <c r="K171" t="s">
        <v>225</v>
      </c>
      <c r="L171" t="s">
        <v>265</v>
      </c>
      <c r="M171" t="s">
        <v>1867</v>
      </c>
      <c r="N171" t="s">
        <v>1868</v>
      </c>
      <c r="O171" t="s">
        <v>1869</v>
      </c>
      <c r="P171" t="s">
        <v>1870</v>
      </c>
      <c r="Q171" t="s">
        <v>1871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25">
      <c r="A172">
        <v>171</v>
      </c>
      <c r="B172" t="s">
        <v>1872</v>
      </c>
      <c r="C172" t="s">
        <v>1873</v>
      </c>
      <c r="D172" t="s">
        <v>1874</v>
      </c>
      <c r="E172" t="s">
        <v>53</v>
      </c>
      <c r="F172" s="7">
        <v>31325</v>
      </c>
      <c r="G172" t="s">
        <v>240</v>
      </c>
      <c r="H172" t="s">
        <v>1875</v>
      </c>
      <c r="I172" t="s">
        <v>205</v>
      </c>
      <c r="J172" t="s">
        <v>3726</v>
      </c>
      <c r="K172" t="s">
        <v>225</v>
      </c>
      <c r="L172" t="s">
        <v>265</v>
      </c>
      <c r="M172" t="s">
        <v>1876</v>
      </c>
      <c r="N172" t="s">
        <v>1877</v>
      </c>
      <c r="O172" t="s">
        <v>1878</v>
      </c>
      <c r="P172" t="s">
        <v>1879</v>
      </c>
      <c r="Q172" t="s">
        <v>1880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25">
      <c r="A173">
        <v>172</v>
      </c>
      <c r="B173" t="s">
        <v>1881</v>
      </c>
      <c r="C173" t="s">
        <v>1882</v>
      </c>
      <c r="D173" t="s">
        <v>1883</v>
      </c>
      <c r="E173" t="s">
        <v>66</v>
      </c>
      <c r="F173" s="7">
        <v>21600</v>
      </c>
      <c r="G173" t="s">
        <v>226</v>
      </c>
      <c r="H173" t="s">
        <v>1884</v>
      </c>
      <c r="I173" t="s">
        <v>201</v>
      </c>
      <c r="J173" t="s">
        <v>3726</v>
      </c>
      <c r="K173" t="s">
        <v>225</v>
      </c>
      <c r="L173" t="s">
        <v>265</v>
      </c>
      <c r="M173" t="s">
        <v>1885</v>
      </c>
      <c r="N173" t="s">
        <v>1886</v>
      </c>
      <c r="O173" t="s">
        <v>1887</v>
      </c>
      <c r="P173" t="s">
        <v>1888</v>
      </c>
      <c r="Q173" t="s">
        <v>1889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25">
      <c r="A174">
        <v>173</v>
      </c>
      <c r="B174" t="s">
        <v>1890</v>
      </c>
      <c r="C174" t="s">
        <v>1891</v>
      </c>
      <c r="D174" t="s">
        <v>1892</v>
      </c>
      <c r="E174" t="s">
        <v>66</v>
      </c>
      <c r="F174" s="7">
        <v>42111</v>
      </c>
      <c r="G174" t="s">
        <v>263</v>
      </c>
      <c r="H174" t="s">
        <v>1893</v>
      </c>
      <c r="I174" t="s">
        <v>211</v>
      </c>
      <c r="J174" t="s">
        <v>3726</v>
      </c>
      <c r="K174" t="s">
        <v>225</v>
      </c>
      <c r="L174" t="s">
        <v>265</v>
      </c>
      <c r="M174" t="s">
        <v>1894</v>
      </c>
      <c r="N174" t="s">
        <v>1895</v>
      </c>
      <c r="O174" t="s">
        <v>1896</v>
      </c>
      <c r="P174" t="s">
        <v>1897</v>
      </c>
      <c r="Q174" t="s">
        <v>1898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25">
      <c r="A175">
        <v>174</v>
      </c>
      <c r="B175" t="s">
        <v>1899</v>
      </c>
      <c r="C175" t="s">
        <v>1900</v>
      </c>
      <c r="D175" t="s">
        <v>1901</v>
      </c>
      <c r="E175" t="s">
        <v>66</v>
      </c>
      <c r="F175" s="7">
        <v>30832</v>
      </c>
      <c r="G175" t="s">
        <v>248</v>
      </c>
      <c r="H175" t="s">
        <v>1902</v>
      </c>
      <c r="I175" t="s">
        <v>210</v>
      </c>
      <c r="J175" t="s">
        <v>3726</v>
      </c>
      <c r="K175" t="s">
        <v>225</v>
      </c>
      <c r="L175" t="s">
        <v>265</v>
      </c>
      <c r="M175" t="s">
        <v>1903</v>
      </c>
      <c r="N175" t="s">
        <v>1904</v>
      </c>
      <c r="O175" t="s">
        <v>1905</v>
      </c>
      <c r="P175" t="s">
        <v>1906</v>
      </c>
      <c r="Q175" t="s">
        <v>1907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25">
      <c r="A176">
        <v>175</v>
      </c>
      <c r="B176" t="s">
        <v>1908</v>
      </c>
      <c r="C176" t="s">
        <v>1909</v>
      </c>
      <c r="D176" t="s">
        <v>1910</v>
      </c>
      <c r="E176" t="s">
        <v>53</v>
      </c>
      <c r="F176" s="7">
        <v>39033</v>
      </c>
      <c r="G176" t="s">
        <v>235</v>
      </c>
      <c r="H176" t="s">
        <v>1911</v>
      </c>
      <c r="I176" t="s">
        <v>208</v>
      </c>
      <c r="J176" t="s">
        <v>3726</v>
      </c>
      <c r="K176" t="s">
        <v>225</v>
      </c>
      <c r="L176" t="s">
        <v>265</v>
      </c>
      <c r="M176" t="s">
        <v>1912</v>
      </c>
      <c r="N176" t="s">
        <v>1913</v>
      </c>
      <c r="O176" t="s">
        <v>1914</v>
      </c>
      <c r="P176" t="s">
        <v>1915</v>
      </c>
      <c r="Q176" t="s">
        <v>1916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25">
      <c r="A177">
        <v>176</v>
      </c>
      <c r="B177" t="s">
        <v>1917</v>
      </c>
      <c r="C177" t="s">
        <v>1918</v>
      </c>
      <c r="D177" t="s">
        <v>1919</v>
      </c>
      <c r="E177" t="s">
        <v>66</v>
      </c>
      <c r="F177" s="7">
        <v>27447</v>
      </c>
      <c r="G177" t="s">
        <v>253</v>
      </c>
      <c r="H177" t="s">
        <v>1920</v>
      </c>
      <c r="I177" t="s">
        <v>210</v>
      </c>
      <c r="J177" t="s">
        <v>3726</v>
      </c>
      <c r="K177" t="s">
        <v>225</v>
      </c>
      <c r="L177" t="s">
        <v>265</v>
      </c>
      <c r="M177" t="s">
        <v>1921</v>
      </c>
      <c r="N177" t="s">
        <v>1922</v>
      </c>
      <c r="O177" t="s">
        <v>1923</v>
      </c>
      <c r="P177" t="s">
        <v>1924</v>
      </c>
      <c r="Q177" t="s">
        <v>1925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25">
      <c r="A178">
        <v>177</v>
      </c>
      <c r="B178" t="s">
        <v>1926</v>
      </c>
      <c r="C178" t="s">
        <v>1927</v>
      </c>
      <c r="D178" t="s">
        <v>1928</v>
      </c>
      <c r="E178" t="s">
        <v>53</v>
      </c>
      <c r="F178" s="7">
        <v>19510</v>
      </c>
      <c r="G178" t="s">
        <v>226</v>
      </c>
      <c r="H178" t="s">
        <v>1929</v>
      </c>
      <c r="I178" t="s">
        <v>210</v>
      </c>
      <c r="J178" t="s">
        <v>3726</v>
      </c>
      <c r="K178" t="s">
        <v>225</v>
      </c>
      <c r="L178" t="s">
        <v>265</v>
      </c>
      <c r="M178" t="s">
        <v>1930</v>
      </c>
      <c r="N178" t="s">
        <v>1931</v>
      </c>
      <c r="O178" t="s">
        <v>1932</v>
      </c>
      <c r="P178" t="s">
        <v>1933</v>
      </c>
      <c r="Q178" t="s">
        <v>1934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25">
      <c r="A179">
        <v>178</v>
      </c>
      <c r="B179" t="s">
        <v>1935</v>
      </c>
      <c r="C179" t="s">
        <v>1936</v>
      </c>
      <c r="D179" t="s">
        <v>1937</v>
      </c>
      <c r="E179" t="s">
        <v>53</v>
      </c>
      <c r="F179" s="7">
        <v>35493</v>
      </c>
      <c r="G179" t="s">
        <v>238</v>
      </c>
      <c r="H179" t="s">
        <v>1938</v>
      </c>
      <c r="I179" t="s">
        <v>211</v>
      </c>
      <c r="J179" t="s">
        <v>3726</v>
      </c>
      <c r="K179" t="s">
        <v>225</v>
      </c>
      <c r="L179" t="s">
        <v>265</v>
      </c>
      <c r="M179" t="s">
        <v>1939</v>
      </c>
      <c r="N179" t="s">
        <v>1940</v>
      </c>
      <c r="O179" t="s">
        <v>1941</v>
      </c>
      <c r="P179" t="s">
        <v>1942</v>
      </c>
      <c r="Q179" t="s">
        <v>1943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25">
      <c r="A180">
        <v>179</v>
      </c>
      <c r="B180" t="s">
        <v>1944</v>
      </c>
      <c r="C180" t="s">
        <v>1945</v>
      </c>
      <c r="D180" t="s">
        <v>1946</v>
      </c>
      <c r="E180" t="s">
        <v>53</v>
      </c>
      <c r="F180" s="7">
        <v>40749</v>
      </c>
      <c r="G180" t="s">
        <v>235</v>
      </c>
      <c r="H180" t="s">
        <v>1947</v>
      </c>
      <c r="I180" t="s">
        <v>212</v>
      </c>
      <c r="J180" t="s">
        <v>3726</v>
      </c>
      <c r="K180" t="s">
        <v>225</v>
      </c>
      <c r="L180" t="s">
        <v>265</v>
      </c>
      <c r="M180" t="s">
        <v>1948</v>
      </c>
      <c r="N180" t="s">
        <v>1949</v>
      </c>
      <c r="O180" t="s">
        <v>1950</v>
      </c>
      <c r="P180" t="s">
        <v>1951</v>
      </c>
      <c r="Q180" t="s">
        <v>1952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25">
      <c r="A181">
        <v>180</v>
      </c>
      <c r="B181" t="s">
        <v>1953</v>
      </c>
      <c r="C181" t="s">
        <v>1954</v>
      </c>
      <c r="D181" t="s">
        <v>1955</v>
      </c>
      <c r="E181" t="s">
        <v>66</v>
      </c>
      <c r="F181" s="7">
        <v>14252</v>
      </c>
      <c r="G181" t="s">
        <v>250</v>
      </c>
      <c r="H181" t="s">
        <v>1956</v>
      </c>
      <c r="I181" t="s">
        <v>223</v>
      </c>
      <c r="J181" t="s">
        <v>3726</v>
      </c>
      <c r="K181" t="s">
        <v>225</v>
      </c>
      <c r="L181" t="s">
        <v>265</v>
      </c>
      <c r="M181" t="s">
        <v>1957</v>
      </c>
      <c r="N181" t="s">
        <v>1958</v>
      </c>
      <c r="O181" t="s">
        <v>1959</v>
      </c>
      <c r="P181" t="s">
        <v>1960</v>
      </c>
      <c r="Q181" t="s">
        <v>1961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25">
      <c r="A182">
        <v>181</v>
      </c>
      <c r="B182" t="s">
        <v>1962</v>
      </c>
      <c r="C182" t="s">
        <v>1963</v>
      </c>
      <c r="D182" t="s">
        <v>1964</v>
      </c>
      <c r="E182" t="s">
        <v>66</v>
      </c>
      <c r="F182" s="7">
        <v>31720</v>
      </c>
      <c r="G182" t="s">
        <v>232</v>
      </c>
      <c r="H182" t="s">
        <v>1965</v>
      </c>
      <c r="I182" t="s">
        <v>201</v>
      </c>
      <c r="J182" t="s">
        <v>3726</v>
      </c>
      <c r="K182" t="s">
        <v>225</v>
      </c>
      <c r="L182" t="s">
        <v>265</v>
      </c>
      <c r="M182" t="s">
        <v>1966</v>
      </c>
      <c r="N182" t="s">
        <v>1967</v>
      </c>
      <c r="O182" t="s">
        <v>1968</v>
      </c>
      <c r="P182" t="s">
        <v>1969</v>
      </c>
      <c r="Q182" t="s">
        <v>1970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25">
      <c r="A183">
        <v>182</v>
      </c>
      <c r="B183" t="s">
        <v>1971</v>
      </c>
      <c r="C183" t="s">
        <v>1972</v>
      </c>
      <c r="D183" t="s">
        <v>1973</v>
      </c>
      <c r="E183" t="s">
        <v>66</v>
      </c>
      <c r="F183" s="7">
        <v>32584</v>
      </c>
      <c r="G183" t="s">
        <v>263</v>
      </c>
      <c r="H183" t="s">
        <v>1974</v>
      </c>
      <c r="I183" t="s">
        <v>214</v>
      </c>
      <c r="J183" t="s">
        <v>3726</v>
      </c>
      <c r="K183" t="s">
        <v>225</v>
      </c>
      <c r="L183" t="s">
        <v>265</v>
      </c>
      <c r="M183" t="s">
        <v>1975</v>
      </c>
      <c r="N183" t="s">
        <v>1976</v>
      </c>
      <c r="O183" t="s">
        <v>1977</v>
      </c>
      <c r="P183" t="s">
        <v>1978</v>
      </c>
      <c r="Q183" t="s">
        <v>1979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25">
      <c r="A184">
        <v>183</v>
      </c>
      <c r="B184" t="s">
        <v>1980</v>
      </c>
      <c r="C184" t="s">
        <v>1981</v>
      </c>
      <c r="D184" t="s">
        <v>1982</v>
      </c>
      <c r="E184" t="s">
        <v>66</v>
      </c>
      <c r="F184" s="7">
        <v>23808</v>
      </c>
      <c r="G184" t="s">
        <v>241</v>
      </c>
      <c r="H184" t="s">
        <v>1983</v>
      </c>
      <c r="I184" t="s">
        <v>211</v>
      </c>
      <c r="J184" t="s">
        <v>3726</v>
      </c>
      <c r="K184" t="s">
        <v>225</v>
      </c>
      <c r="L184" t="s">
        <v>265</v>
      </c>
      <c r="M184" t="s">
        <v>1984</v>
      </c>
      <c r="N184" t="s">
        <v>1985</v>
      </c>
      <c r="O184" t="s">
        <v>1986</v>
      </c>
      <c r="P184" t="s">
        <v>1987</v>
      </c>
      <c r="Q184" t="s">
        <v>1988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25">
      <c r="A185">
        <v>184</v>
      </c>
      <c r="B185" t="s">
        <v>1989</v>
      </c>
      <c r="C185" t="s">
        <v>1990</v>
      </c>
      <c r="D185" t="s">
        <v>1991</v>
      </c>
      <c r="E185" t="s">
        <v>53</v>
      </c>
      <c r="F185" s="7">
        <v>38168</v>
      </c>
      <c r="G185" t="s">
        <v>242</v>
      </c>
      <c r="H185" t="s">
        <v>1992</v>
      </c>
      <c r="I185" t="s">
        <v>210</v>
      </c>
      <c r="J185" t="s">
        <v>3726</v>
      </c>
      <c r="K185" t="s">
        <v>225</v>
      </c>
      <c r="L185" t="s">
        <v>265</v>
      </c>
      <c r="M185" t="s">
        <v>1993</v>
      </c>
      <c r="N185" t="s">
        <v>1994</v>
      </c>
      <c r="O185" t="s">
        <v>1995</v>
      </c>
      <c r="P185" t="s">
        <v>1996</v>
      </c>
      <c r="Q185" t="s">
        <v>1997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25">
      <c r="A186">
        <v>185</v>
      </c>
      <c r="B186" t="s">
        <v>1998</v>
      </c>
      <c r="C186" t="s">
        <v>1999</v>
      </c>
      <c r="D186" t="s">
        <v>2000</v>
      </c>
      <c r="E186" t="s">
        <v>66</v>
      </c>
      <c r="F186" s="7">
        <v>44443</v>
      </c>
      <c r="G186" t="s">
        <v>253</v>
      </c>
      <c r="H186" t="s">
        <v>2001</v>
      </c>
      <c r="I186" t="s">
        <v>200</v>
      </c>
      <c r="J186" t="s">
        <v>3726</v>
      </c>
      <c r="K186" t="s">
        <v>225</v>
      </c>
      <c r="L186" t="s">
        <v>265</v>
      </c>
      <c r="M186" t="s">
        <v>2002</v>
      </c>
      <c r="N186" t="s">
        <v>2003</v>
      </c>
      <c r="O186" t="s">
        <v>2004</v>
      </c>
      <c r="P186" t="s">
        <v>2005</v>
      </c>
      <c r="Q186" t="s">
        <v>2006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25">
      <c r="A187">
        <v>186</v>
      </c>
      <c r="B187" t="s">
        <v>2007</v>
      </c>
      <c r="C187" t="s">
        <v>2008</v>
      </c>
      <c r="D187" t="s">
        <v>2009</v>
      </c>
      <c r="E187" t="s">
        <v>66</v>
      </c>
      <c r="F187" s="7">
        <v>14423</v>
      </c>
      <c r="G187" t="s">
        <v>242</v>
      </c>
      <c r="H187" t="s">
        <v>2010</v>
      </c>
      <c r="I187" t="s">
        <v>211</v>
      </c>
      <c r="J187" t="s">
        <v>3726</v>
      </c>
      <c r="K187" t="s">
        <v>225</v>
      </c>
      <c r="L187" t="s">
        <v>265</v>
      </c>
      <c r="M187" t="s">
        <v>2011</v>
      </c>
      <c r="N187" t="s">
        <v>2012</v>
      </c>
      <c r="O187" t="s">
        <v>2013</v>
      </c>
      <c r="P187" t="s">
        <v>2014</v>
      </c>
      <c r="Q187" t="s">
        <v>2015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25">
      <c r="A188">
        <v>187</v>
      </c>
      <c r="B188" t="s">
        <v>2016</v>
      </c>
      <c r="C188" t="s">
        <v>2017</v>
      </c>
      <c r="D188" t="s">
        <v>2018</v>
      </c>
      <c r="E188" t="s">
        <v>53</v>
      </c>
      <c r="F188" s="7">
        <v>12035</v>
      </c>
      <c r="G188" t="s">
        <v>241</v>
      </c>
      <c r="H188" t="s">
        <v>2019</v>
      </c>
      <c r="I188" t="s">
        <v>221</v>
      </c>
      <c r="J188" t="s">
        <v>3726</v>
      </c>
      <c r="K188" t="s">
        <v>225</v>
      </c>
      <c r="L188" t="s">
        <v>265</v>
      </c>
      <c r="M188" t="s">
        <v>2020</v>
      </c>
      <c r="N188" t="s">
        <v>2021</v>
      </c>
      <c r="O188" t="s">
        <v>2022</v>
      </c>
      <c r="P188" t="s">
        <v>2023</v>
      </c>
      <c r="Q188" t="s">
        <v>2024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Y11"/>
  <sheetViews>
    <sheetView tabSelected="1" workbookViewId="0">
      <selection activeCell="A3" sqref="A3:Q3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W1" s="5" t="s">
        <v>3735</v>
      </c>
      <c r="X1" s="5" t="s">
        <v>3843</v>
      </c>
      <c r="Y1" s="5" t="s">
        <v>3737</v>
      </c>
    </row>
    <row r="2" spans="1:25" x14ac:dyDescent="0.25">
      <c r="A2">
        <v>386</v>
      </c>
      <c r="B2" t="s">
        <v>3743</v>
      </c>
      <c r="C2" t="s">
        <v>3744</v>
      </c>
      <c r="D2" t="s">
        <v>3783</v>
      </c>
      <c r="E2" t="s">
        <v>53</v>
      </c>
      <c r="F2" s="7">
        <v>32673</v>
      </c>
      <c r="G2" t="s">
        <v>259</v>
      </c>
      <c r="H2" t="s">
        <v>3784</v>
      </c>
      <c r="I2" t="s">
        <v>210</v>
      </c>
      <c r="J2" t="s">
        <v>3742</v>
      </c>
      <c r="K2" t="s">
        <v>225</v>
      </c>
      <c r="L2" t="s">
        <v>265</v>
      </c>
      <c r="M2" t="s">
        <v>3785</v>
      </c>
      <c r="N2" t="s">
        <v>3786</v>
      </c>
      <c r="O2" t="s">
        <v>3787</v>
      </c>
      <c r="P2" t="s">
        <v>3788</v>
      </c>
      <c r="Q2" t="s">
        <v>3745</v>
      </c>
      <c r="R2" t="s">
        <v>3746</v>
      </c>
      <c r="S2" s="8"/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'pswrec001', 'Santiago Assunção Vieira', 'Masculino', '1989-06-14', 'Rua da Alfândega', '2614-241', 'Amadora', 'Recepcionista', 'Portuguesa', 'Bilhete de Identidade', '76127900', '213459174', '630516313', '912802112', 'rec001@hospital.upskill.com', 'rec001.jpg'),</v>
      </c>
      <c r="X2" t="str">
        <f>"VALUES (" &amp;A2 &amp; "),"</f>
        <v>VALUES (386),</v>
      </c>
      <c r="Y2" t="str">
        <f>"VALUES (" &amp;A2 &amp; "),"</f>
        <v>VALUES (386),</v>
      </c>
    </row>
    <row r="3" spans="1:25" x14ac:dyDescent="0.25">
      <c r="A3">
        <v>387</v>
      </c>
      <c r="B3" t="s">
        <v>3747</v>
      </c>
      <c r="C3" t="s">
        <v>3748</v>
      </c>
      <c r="D3" t="s">
        <v>3789</v>
      </c>
      <c r="E3" t="s">
        <v>53</v>
      </c>
      <c r="F3" s="7">
        <v>20278</v>
      </c>
      <c r="G3" t="s">
        <v>252</v>
      </c>
      <c r="H3" t="s">
        <v>3790</v>
      </c>
      <c r="I3" t="s">
        <v>208</v>
      </c>
      <c r="J3" t="s">
        <v>3742</v>
      </c>
      <c r="K3" t="s">
        <v>225</v>
      </c>
      <c r="L3" t="s">
        <v>265</v>
      </c>
      <c r="M3" t="s">
        <v>3791</v>
      </c>
      <c r="N3" t="s">
        <v>3792</v>
      </c>
      <c r="O3" t="s">
        <v>3793</v>
      </c>
      <c r="P3" t="s">
        <v>3794</v>
      </c>
      <c r="Q3" t="s">
        <v>3749</v>
      </c>
      <c r="R3" t="s">
        <v>3750</v>
      </c>
      <c r="S3" s="8"/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'pswrec002', 'José Pires Antunes', 'Masculino', '1955-07-08', 'Rua de São Julião', '2900-411', 'Setúbal', 'Recepcionista', 'Portuguesa', 'Bilhete de Identidade', '41324617', '848321758', '586932508', '966229913', 'rec002@hospital.upskill.com', 'rec002.jpg'),</v>
      </c>
      <c r="X3" t="str">
        <f>"(" &amp;A3 &amp; "),"</f>
        <v>(387),</v>
      </c>
      <c r="Y3" t="str">
        <f>"(" &amp;A3 &amp; "),"</f>
        <v>(387),</v>
      </c>
    </row>
    <row r="4" spans="1:25" x14ac:dyDescent="0.25">
      <c r="A4">
        <v>388</v>
      </c>
      <c r="B4" t="s">
        <v>3751</v>
      </c>
      <c r="C4" t="s">
        <v>3752</v>
      </c>
      <c r="D4" t="s">
        <v>3795</v>
      </c>
      <c r="E4" t="s">
        <v>66</v>
      </c>
      <c r="F4" s="7">
        <v>19981</v>
      </c>
      <c r="G4" t="s">
        <v>254</v>
      </c>
      <c r="H4" t="s">
        <v>3796</v>
      </c>
      <c r="I4" t="s">
        <v>210</v>
      </c>
      <c r="J4" t="s">
        <v>3742</v>
      </c>
      <c r="K4" t="s">
        <v>225</v>
      </c>
      <c r="L4" t="s">
        <v>265</v>
      </c>
      <c r="M4" t="s">
        <v>3797</v>
      </c>
      <c r="N4" t="s">
        <v>3798</v>
      </c>
      <c r="O4" t="s">
        <v>3799</v>
      </c>
      <c r="P4" t="s">
        <v>3800</v>
      </c>
      <c r="Q4" t="s">
        <v>3753</v>
      </c>
      <c r="R4" t="s">
        <v>3754</v>
      </c>
      <c r="S4" s="8"/>
      <c r="W4" t="str">
        <f t="shared" ref="W4:W10" si="0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'pswrec003', 'Catarina Sofia Cunha Gomes', 'Feminino', '1954-09-14', 'Rua do Sacramento à Lapa', '2654-228', 'Amadora', 'Recepcionista', 'Portuguesa', 'Bilhete de Identidade', '47409942', '858039431', '349866136', '934738939', 'rec003@hospital.upskill.com', 'rec003.jpg'),</v>
      </c>
      <c r="X4" t="str">
        <f t="shared" ref="X4:X10" si="1">"(" &amp;A4 &amp; "),"</f>
        <v>(388),</v>
      </c>
      <c r="Y4" t="str">
        <f t="shared" ref="Y4:Y10" si="2">"(" &amp;A4 &amp; "),"</f>
        <v>(388),</v>
      </c>
    </row>
    <row r="5" spans="1:25" x14ac:dyDescent="0.25">
      <c r="A5">
        <v>389</v>
      </c>
      <c r="B5" t="s">
        <v>3755</v>
      </c>
      <c r="C5" t="s">
        <v>3756</v>
      </c>
      <c r="D5" t="s">
        <v>3801</v>
      </c>
      <c r="E5" t="s">
        <v>53</v>
      </c>
      <c r="F5" s="7">
        <v>25381</v>
      </c>
      <c r="G5" t="s">
        <v>236</v>
      </c>
      <c r="H5" t="s">
        <v>3802</v>
      </c>
      <c r="I5" t="s">
        <v>211</v>
      </c>
      <c r="J5" t="s">
        <v>3742</v>
      </c>
      <c r="K5" t="s">
        <v>225</v>
      </c>
      <c r="L5" t="s">
        <v>265</v>
      </c>
      <c r="M5" t="s">
        <v>3803</v>
      </c>
      <c r="N5" t="s">
        <v>3804</v>
      </c>
      <c r="O5" t="s">
        <v>3805</v>
      </c>
      <c r="P5" t="s">
        <v>3806</v>
      </c>
      <c r="Q5" t="s">
        <v>3757</v>
      </c>
      <c r="R5" t="s">
        <v>3758</v>
      </c>
      <c r="S5" s="8"/>
      <c r="W5" t="str">
        <f t="shared" si="0"/>
        <v>(389,'rec004', 'pswrec004', 'Duarte José Miranda Oliveira', 'Masculino', '1969-06-27', 'Rua da Madalena', '1449-634', 'Lisboa', 'Recepcionista', 'Portuguesa', 'Bilhete de Identidade', '76178103', '427188848', '995257896', '918829948', 'rec004@hospital.upskill.com', 'rec004.jpg'),</v>
      </c>
      <c r="X5" t="str">
        <f t="shared" si="1"/>
        <v>(389),</v>
      </c>
      <c r="Y5" t="str">
        <f t="shared" si="2"/>
        <v>(389),</v>
      </c>
    </row>
    <row r="6" spans="1:25" x14ac:dyDescent="0.25">
      <c r="A6">
        <v>390</v>
      </c>
      <c r="B6" t="s">
        <v>3759</v>
      </c>
      <c r="C6" t="s">
        <v>3760</v>
      </c>
      <c r="D6" t="s">
        <v>3807</v>
      </c>
      <c r="E6" t="s">
        <v>53</v>
      </c>
      <c r="F6" s="7">
        <v>30930</v>
      </c>
      <c r="G6" t="s">
        <v>246</v>
      </c>
      <c r="H6" t="s">
        <v>3808</v>
      </c>
      <c r="I6" t="s">
        <v>211</v>
      </c>
      <c r="J6" t="s">
        <v>3742</v>
      </c>
      <c r="K6" t="s">
        <v>225</v>
      </c>
      <c r="L6" t="s">
        <v>265</v>
      </c>
      <c r="M6" t="s">
        <v>3809</v>
      </c>
      <c r="N6" t="s">
        <v>3810</v>
      </c>
      <c r="O6" t="s">
        <v>3811</v>
      </c>
      <c r="P6" t="s">
        <v>3812</v>
      </c>
      <c r="Q6" t="s">
        <v>3761</v>
      </c>
      <c r="R6" t="s">
        <v>3762</v>
      </c>
      <c r="S6" s="8"/>
      <c r="W6" t="str">
        <f t="shared" si="0"/>
        <v>(390,'rec005', 'pswrec005', 'Santiago Matilde Figueiredo Figueiredo', 'Masculino', '1984-09-05', 'Rua do Guarda-Mor', '1549-731', 'Lisboa', 'Recepcionista', 'Portuguesa', 'Bilhete de Identidade', '62507076', '634350831', '684226986', '931373585', 'rec005@hospital.upskill.com', 'rec005.jpg'),</v>
      </c>
      <c r="X6" t="str">
        <f t="shared" si="1"/>
        <v>(390),</v>
      </c>
      <c r="Y6" t="str">
        <f t="shared" si="2"/>
        <v>(390),</v>
      </c>
    </row>
    <row r="7" spans="1:25" x14ac:dyDescent="0.25">
      <c r="A7">
        <v>391</v>
      </c>
      <c r="B7" t="s">
        <v>3763</v>
      </c>
      <c r="C7" t="s">
        <v>3764</v>
      </c>
      <c r="D7" t="s">
        <v>3813</v>
      </c>
      <c r="E7" t="s">
        <v>53</v>
      </c>
      <c r="F7" s="7">
        <v>32308</v>
      </c>
      <c r="G7" t="s">
        <v>241</v>
      </c>
      <c r="H7" t="s">
        <v>3814</v>
      </c>
      <c r="I7" t="s">
        <v>210</v>
      </c>
      <c r="J7" t="s">
        <v>3742</v>
      </c>
      <c r="K7" t="s">
        <v>225</v>
      </c>
      <c r="L7" t="s">
        <v>265</v>
      </c>
      <c r="M7" t="s">
        <v>3815</v>
      </c>
      <c r="N7" t="s">
        <v>3816</v>
      </c>
      <c r="O7" t="s">
        <v>3817</v>
      </c>
      <c r="P7" t="s">
        <v>3818</v>
      </c>
      <c r="Q7" t="s">
        <v>3765</v>
      </c>
      <c r="R7" t="s">
        <v>3766</v>
      </c>
      <c r="S7" s="8"/>
      <c r="W7" t="str">
        <f t="shared" si="0"/>
        <v>(391,'rec006', 'pswrec006', 'Duarte Luís Castro Antunes', 'Masculino', '1988-06-14', 'Rua da Prata', '2654-578', 'Amadora', 'Recepcionista', 'Portuguesa', 'Bilhete de Identidade', '91496657', '489716842', '539816581', '963125267', 'rec006@hospital.upskill.com', 'rec006.jpg'),</v>
      </c>
      <c r="X7" t="str">
        <f t="shared" si="1"/>
        <v>(391),</v>
      </c>
      <c r="Y7" t="str">
        <f t="shared" si="2"/>
        <v>(391),</v>
      </c>
    </row>
    <row r="8" spans="1:25" x14ac:dyDescent="0.25">
      <c r="A8">
        <v>392</v>
      </c>
      <c r="B8" t="s">
        <v>3767</v>
      </c>
      <c r="C8" t="s">
        <v>3768</v>
      </c>
      <c r="D8" t="s">
        <v>3819</v>
      </c>
      <c r="E8" t="s">
        <v>53</v>
      </c>
      <c r="F8" s="7">
        <v>25566</v>
      </c>
      <c r="G8" t="s">
        <v>238</v>
      </c>
      <c r="H8" t="s">
        <v>3820</v>
      </c>
      <c r="I8" t="s">
        <v>211</v>
      </c>
      <c r="J8" t="s">
        <v>3742</v>
      </c>
      <c r="K8" t="s">
        <v>225</v>
      </c>
      <c r="L8" t="s">
        <v>265</v>
      </c>
      <c r="M8" t="s">
        <v>3821</v>
      </c>
      <c r="N8" t="s">
        <v>3822</v>
      </c>
      <c r="O8" t="s">
        <v>3823</v>
      </c>
      <c r="P8" t="s">
        <v>3824</v>
      </c>
      <c r="Q8" t="s">
        <v>3769</v>
      </c>
      <c r="R8" t="s">
        <v>3770</v>
      </c>
      <c r="S8" s="8"/>
      <c r="W8" t="str">
        <f t="shared" si="0"/>
        <v>(392,'rec007', 'pswrec007', 'Tiago Rodrigo Cunha Ramos', 'Masculino', '1969-12-29', 'Calçada do Moinho de Vento', '1349-564', 'Lisboa', 'Recepcionista', 'Portuguesa', 'Bilhete de Identidade', '63387806', '829988758', '815702121', '914945528', 'rec007@hospital.upskill.com', 'rec007.jpg'),</v>
      </c>
      <c r="X8" t="str">
        <f t="shared" si="1"/>
        <v>(392),</v>
      </c>
      <c r="Y8" t="str">
        <f t="shared" si="2"/>
        <v>(392),</v>
      </c>
    </row>
    <row r="9" spans="1:25" x14ac:dyDescent="0.25">
      <c r="A9">
        <v>393</v>
      </c>
      <c r="B9" t="s">
        <v>3771</v>
      </c>
      <c r="C9" t="s">
        <v>3772</v>
      </c>
      <c r="D9" t="s">
        <v>3825</v>
      </c>
      <c r="E9" t="s">
        <v>53</v>
      </c>
      <c r="F9" s="7">
        <v>31761</v>
      </c>
      <c r="G9" t="s">
        <v>256</v>
      </c>
      <c r="H9" t="s">
        <v>3826</v>
      </c>
      <c r="I9" t="s">
        <v>207</v>
      </c>
      <c r="J9" t="s">
        <v>3742</v>
      </c>
      <c r="K9" t="s">
        <v>225</v>
      </c>
      <c r="L9" t="s">
        <v>265</v>
      </c>
      <c r="M9" t="s">
        <v>3827</v>
      </c>
      <c r="N9" t="s">
        <v>3828</v>
      </c>
      <c r="O9" t="s">
        <v>3829</v>
      </c>
      <c r="P9" t="s">
        <v>3830</v>
      </c>
      <c r="Q9" t="s">
        <v>3773</v>
      </c>
      <c r="R9" t="s">
        <v>3774</v>
      </c>
      <c r="S9" s="8"/>
      <c r="W9" t="str">
        <f t="shared" si="0"/>
        <v>(393,'rec008', 'pswrec008', 'Gabriel João Torres Ferreira', 'Masculino', '1986-12-15', 'Travessa de São João da Praça', '2745-266', 'Queluz', 'Recepcionista', 'Portuguesa', 'Bilhete de Identidade', '93447178', '267136156', '608205890', '911291253', 'rec008@hospital.upskill.com', 'rec008.jpg'),</v>
      </c>
      <c r="X9" t="str">
        <f t="shared" si="1"/>
        <v>(393),</v>
      </c>
      <c r="Y9" t="str">
        <f t="shared" si="2"/>
        <v>(393),</v>
      </c>
    </row>
    <row r="10" spans="1:25" x14ac:dyDescent="0.25">
      <c r="A10">
        <v>394</v>
      </c>
      <c r="B10" t="s">
        <v>3775</v>
      </c>
      <c r="C10" t="s">
        <v>3776</v>
      </c>
      <c r="D10" t="s">
        <v>3831</v>
      </c>
      <c r="E10" t="s">
        <v>53</v>
      </c>
      <c r="F10" s="7">
        <v>25164</v>
      </c>
      <c r="G10" t="s">
        <v>226</v>
      </c>
      <c r="H10" t="s">
        <v>3832</v>
      </c>
      <c r="I10" t="s">
        <v>220</v>
      </c>
      <c r="J10" t="s">
        <v>3742</v>
      </c>
      <c r="K10" t="s">
        <v>225</v>
      </c>
      <c r="L10" t="s">
        <v>265</v>
      </c>
      <c r="M10" t="s">
        <v>3833</v>
      </c>
      <c r="N10" t="s">
        <v>3834</v>
      </c>
      <c r="O10" t="s">
        <v>3835</v>
      </c>
      <c r="P10" t="s">
        <v>3836</v>
      </c>
      <c r="Q10" t="s">
        <v>3777</v>
      </c>
      <c r="R10" t="s">
        <v>3778</v>
      </c>
      <c r="S10" s="8"/>
      <c r="W10" t="str">
        <f t="shared" si="0"/>
        <v>(394,'rec009', 'pswrec009', 'Tiago Inês Pereira Henriques', 'Masculino', '1968-11-22', 'Rua do Arsenal', '2750-876', 'Cascais', 'Recepcionista', 'Portuguesa', 'Bilhete de Identidade', '37567118', '587506877', '884609656', '966490826', 'rec009@hospital.upskill.com', 'rec009.jpg'),</v>
      </c>
      <c r="X10" t="str">
        <f t="shared" si="1"/>
        <v>(394),</v>
      </c>
      <c r="Y10" t="str">
        <f t="shared" si="2"/>
        <v>(394),</v>
      </c>
    </row>
    <row r="11" spans="1:25" x14ac:dyDescent="0.25">
      <c r="A11">
        <v>395</v>
      </c>
      <c r="B11" t="s">
        <v>3779</v>
      </c>
      <c r="C11" t="s">
        <v>3780</v>
      </c>
      <c r="D11" t="s">
        <v>3837</v>
      </c>
      <c r="E11" t="s">
        <v>53</v>
      </c>
      <c r="F11" s="7">
        <v>33052</v>
      </c>
      <c r="G11" t="s">
        <v>241</v>
      </c>
      <c r="H11" t="s">
        <v>3838</v>
      </c>
      <c r="I11" t="s">
        <v>217</v>
      </c>
      <c r="J11" t="s">
        <v>3742</v>
      </c>
      <c r="K11" t="s">
        <v>225</v>
      </c>
      <c r="L11" t="s">
        <v>265</v>
      </c>
      <c r="M11" t="s">
        <v>3839</v>
      </c>
      <c r="N11" t="s">
        <v>3840</v>
      </c>
      <c r="O11" t="s">
        <v>3841</v>
      </c>
      <c r="P11" t="s">
        <v>3842</v>
      </c>
      <c r="Q11" t="s">
        <v>3781</v>
      </c>
      <c r="R11" t="s">
        <v>3782</v>
      </c>
      <c r="S11" s="8"/>
      <c r="W11" t="str">
        <f>"(" &amp;A11 &amp; ",'" &amp; B11 &amp; "', '" &amp; C11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'pswrec010', 'Marco Inês Reis Araújo', 'Masculino', '1990-06-28', 'Rua da Prata', '2829-427', 'Caparica', 'Recepcionista', 'Portuguesa', 'Bilhete de Identidade', '50227653', '692666346', '144598948', '939877634', 'rec010@hospital.upskill.com', 'rec010.jpg');</v>
      </c>
      <c r="X11" t="str">
        <f>"(" &amp;A11 &amp; ");"</f>
        <v>(395);</v>
      </c>
      <c r="Y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2021-03-04T18:50:11Z</dcterms:modified>
</cp:coreProperties>
</file>